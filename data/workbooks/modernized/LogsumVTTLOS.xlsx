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name="Alpha" vbProcedure="false">Sheet1!$B$8</definedName>
    <definedName function="false" hidden="false" name="Beta" vbProcedure="false">Sheet1!$B$7</definedName>
    <definedName function="false" hidden="false" name="Cost1" vbProcedure="false">Sheet1!$A$10:$A$245</definedName>
    <definedName function="false" hidden="false" name="Cost2" vbProcedure="false">Sheet1!$B$10:$B$245</definedName>
    <definedName function="false" hidden="false" name="EXP_U1" vbProcedure="false">Sheet1!$E$10:$E$245</definedName>
    <definedName function="false" hidden="false" name="EXP_U2" vbProcedure="false">Sheet1!$F$10:$F$245</definedName>
    <definedName function="false" hidden="false" name="LOGSUM" vbProcedure="false">Sheet1!$J$10:$J$245</definedName>
    <definedName function="false" hidden="false" name="PROB1" vbProcedure="false">Sheet1!$G$10:$G$245</definedName>
    <definedName function="false" hidden="false" name="PROB2" vbProcedure="false">Sheet1!$H$10:$H$245</definedName>
    <definedName function="false" hidden="false" name="TTLOS" vbProcedure="false">Sheet1!$K$10:$K$245</definedName>
    <definedName function="false" hidden="false" name="UTIL1" vbProcedure="false">Sheet1!$C$10:$C$397</definedName>
    <definedName function="false" hidden="false" name="UTIL2" vbProcedure="false">Sheet1!$D$10:$D$397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<sst xmlns="http://schemas.openxmlformats.org/spreadsheetml/2006/main" count="17" uniqueCount="16">
  <si>
    <t xml:space="preserve">LOGSUM VS. TTLOS</t>
  </si>
  <si>
    <t xml:space="preserve">LOGSUM = LN SUM E(Ui)</t>
  </si>
  <si>
    <t xml:space="preserve">TTLOS = SUM UiPi</t>
  </si>
  <si>
    <t xml:space="preserve">U=a+bC</t>
  </si>
  <si>
    <t xml:space="preserve">Beta</t>
  </si>
  <si>
    <t xml:space="preserve">Alpha</t>
  </si>
  <si>
    <t xml:space="preserve">Cost1</t>
  </si>
  <si>
    <t xml:space="preserve">Cost2</t>
  </si>
  <si>
    <t xml:space="preserve">UTIL1</t>
  </si>
  <si>
    <t xml:space="preserve">UTIL2</t>
  </si>
  <si>
    <t xml:space="preserve">EXP(UTIL1)</t>
  </si>
  <si>
    <t xml:space="preserve">EXP(UTIL2)</t>
  </si>
  <si>
    <t xml:space="preserve">PROB1</t>
  </si>
  <si>
    <t xml:space="preserve">PROB2</t>
  </si>
  <si>
    <t xml:space="preserve">LOGSUM</t>
  </si>
  <si>
    <t xml:space="preserve">TTLOS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</si>
</sst>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LOGSUM vs. TOTAL TRANSPORTATION LEVEL OF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Sheet1!$J$9</c:f>
              <c:strCache>
                <c:ptCount val="1"/>
                <c:pt idx="0">
                  <c:v>LOGSUM</c:v>
                </c:pt>
              </c:strCache>
            </c:strRef>
          </c:tx>
          <c:spPr>
            <a:solidFill>
              <a:srgbClr val="000080"/>
            </a:solidFill>
            <a:ln w="0">
              <a:solidFill>
                <a:srgbClr val="000080"/>
              </a:solidFill>
              <a:custDash>
                <a:ds d="1543599" sp="385900"/>
              </a:custDash>
            </a:ln>
          </c:spPr>
          <c:marker>
            <c:symbol val="diamond"/>
            <c:size val="3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  <a:custDash>
                    <a:ds d="1543599" sp="3859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Sheet1!$I$10:$I$100</c:f>
              <c:numCache>
                <c:formatCode>General</c:formatCode>
                <c:ptCount val="9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6.09999999999999</c:v>
                </c:pt>
                <c:pt idx="62">
                  <c:v>6.19999999999999</c:v>
                </c:pt>
                <c:pt idx="63">
                  <c:v>6.29999999999999</c:v>
                </c:pt>
                <c:pt idx="64">
                  <c:v>6.39999999999999</c:v>
                </c:pt>
                <c:pt idx="65">
                  <c:v>6.49999999999999</c:v>
                </c:pt>
                <c:pt idx="66">
                  <c:v>6.59999999999999</c:v>
                </c:pt>
                <c:pt idx="67">
                  <c:v>6.69999999999999</c:v>
                </c:pt>
                <c:pt idx="68">
                  <c:v>6.79999999999999</c:v>
                </c:pt>
                <c:pt idx="69">
                  <c:v>6.89999999999999</c:v>
                </c:pt>
                <c:pt idx="70">
                  <c:v>6.99999999999999</c:v>
                </c:pt>
                <c:pt idx="71">
                  <c:v>7.09999999999999</c:v>
                </c:pt>
                <c:pt idx="72">
                  <c:v>7.19999999999999</c:v>
                </c:pt>
                <c:pt idx="73">
                  <c:v>7.29999999999999</c:v>
                </c:pt>
                <c:pt idx="74">
                  <c:v>7.39999999999999</c:v>
                </c:pt>
                <c:pt idx="75">
                  <c:v>7.49999999999999</c:v>
                </c:pt>
                <c:pt idx="76">
                  <c:v>7.59999999999999</c:v>
                </c:pt>
                <c:pt idx="77">
                  <c:v>7.69999999999999</c:v>
                </c:pt>
                <c:pt idx="78">
                  <c:v>7.79999999999999</c:v>
                </c:pt>
                <c:pt idx="79">
                  <c:v>7.89999999999999</c:v>
                </c:pt>
                <c:pt idx="80">
                  <c:v>7.99999999999999</c:v>
                </c:pt>
                <c:pt idx="81">
                  <c:v>8.09999999999999</c:v>
                </c:pt>
                <c:pt idx="82">
                  <c:v>8.19999999999999</c:v>
                </c:pt>
                <c:pt idx="83">
                  <c:v>8.29999999999999</c:v>
                </c:pt>
                <c:pt idx="84">
                  <c:v>8.39999999999999</c:v>
                </c:pt>
                <c:pt idx="85">
                  <c:v>8.49999999999999</c:v>
                </c:pt>
                <c:pt idx="86">
                  <c:v>8.59999999999999</c:v>
                </c:pt>
                <c:pt idx="87">
                  <c:v>8.69999999999999</c:v>
                </c:pt>
                <c:pt idx="88">
                  <c:v>8.79999999999999</c:v>
                </c:pt>
                <c:pt idx="89">
                  <c:v>8.89999999999998</c:v>
                </c:pt>
                <c:pt idx="90">
                  <c:v>8.99999999999998</c:v>
                </c:pt>
              </c:numCache>
            </c:numRef>
          </c:xVal>
          <c:yVal>
            <c:numRef>
              <c:f>Sheet1!$J$10:$J$100</c:f>
              <c:numCache>
                <c:formatCode>General</c:formatCode>
                <c:ptCount val="91"/>
                <c:pt idx="0">
                  <c:v>0.313261687518223</c:v>
                </c:pt>
                <c:pt idx="1">
                  <c:v>0.241153874732088</c:v>
                </c:pt>
                <c:pt idx="2">
                  <c:v>0.171100665947778</c:v>
                </c:pt>
                <c:pt idx="3">
                  <c:v>0.103186048885458</c:v>
                </c:pt>
                <c:pt idx="4">
                  <c:v>0.0374879504858857</c:v>
                </c:pt>
                <c:pt idx="5">
                  <c:v>-0.0259230158198933</c:v>
                </c:pt>
                <c:pt idx="6">
                  <c:v>-0.0869847476000474</c:v>
                </c:pt>
                <c:pt idx="7">
                  <c:v>-0.145644755531473</c:v>
                </c:pt>
                <c:pt idx="8">
                  <c:v>-0.201861130618408</c:v>
                </c:pt>
                <c:pt idx="9">
                  <c:v>-0.255603339926429</c:v>
                </c:pt>
                <c:pt idx="10">
                  <c:v>-0.306852819440055</c:v>
                </c:pt>
                <c:pt idx="11">
                  <c:v>-0.355603339926429</c:v>
                </c:pt>
                <c:pt idx="12">
                  <c:v>-0.401861130618408</c:v>
                </c:pt>
                <c:pt idx="13">
                  <c:v>-0.445644755531473</c:v>
                </c:pt>
                <c:pt idx="14">
                  <c:v>-0.486984747600047</c:v>
                </c:pt>
                <c:pt idx="15">
                  <c:v>-0.525923015819893</c:v>
                </c:pt>
                <c:pt idx="16">
                  <c:v>-0.562512049514115</c:v>
                </c:pt>
                <c:pt idx="17">
                  <c:v>-0.596813951114542</c:v>
                </c:pt>
                <c:pt idx="18">
                  <c:v>-0.628899334052222</c:v>
                </c:pt>
                <c:pt idx="19">
                  <c:v>-0.658846125267912</c:v>
                </c:pt>
                <c:pt idx="20">
                  <c:v>-0.686738312481777</c:v>
                </c:pt>
                <c:pt idx="21">
                  <c:v>-0.712664674884569</c:v>
                </c:pt>
                <c:pt idx="22">
                  <c:v>-0.736717532661969</c:v>
                </c:pt>
                <c:pt idx="23">
                  <c:v>-0.758991546167008</c:v>
                </c:pt>
                <c:pt idx="24">
                  <c:v>-0.779582590081549</c:v>
                </c:pt>
                <c:pt idx="25">
                  <c:v>-0.798586722017248</c:v>
                </c:pt>
                <c:pt idx="26">
                  <c:v>-0.816099259111661</c:v>
                </c:pt>
                <c:pt idx="27">
                  <c:v>-0.832213970613734</c:v>
                </c:pt>
                <c:pt idx="28">
                  <c:v>-0.847022389473926</c:v>
                </c:pt>
                <c:pt idx="29">
                  <c:v>-0.86061324171704</c:v>
                </c:pt>
                <c:pt idx="30">
                  <c:v>-0.873071988957028</c:v>
                </c:pt>
                <c:pt idx="31">
                  <c:v>-0.884480476820245</c:v>
                </c:pt>
                <c:pt idx="32">
                  <c:v>-0.894916680231304</c:v>
                </c:pt>
                <c:pt idx="33">
                  <c:v>-0.904454535402037</c:v>
                </c:pt>
                <c:pt idx="34">
                  <c:v>-0.91316384784605</c:v>
                </c:pt>
                <c:pt idx="35">
                  <c:v>-0.921110265707451</c:v>
                </c:pt>
                <c:pt idx="36">
                  <c:v>-0.92835530803233</c:v>
                </c:pt>
                <c:pt idx="37">
                  <c:v>-0.93495643822341</c:v>
                </c:pt>
                <c:pt idx="38">
                  <c:v>-0.940967173712029</c:v>
                </c:pt>
                <c:pt idx="39">
                  <c:v>-0.946437223782037</c:v>
                </c:pt>
                <c:pt idx="40">
                  <c:v>-0.951412648426258</c:v>
                </c:pt>
                <c:pt idx="41">
                  <c:v>-0.955936032061426</c:v>
                </c:pt>
                <c:pt idx="42">
                  <c:v>-0.96004666683757</c:v>
                </c:pt>
                <c:pt idx="43">
                  <c:v>-0.963780741129341</c:v>
                </c:pt>
                <c:pt idx="44">
                  <c:v>-0.967171529575135</c:v>
                </c:pt>
                <c:pt idx="45">
                  <c:v>-0.970249581727379</c:v>
                </c:pt>
                <c:pt idx="46">
                  <c:v>-0.973042906991792</c:v>
                </c:pt>
                <c:pt idx="47">
                  <c:v>-0.975577154066221</c:v>
                </c:pt>
                <c:pt idx="48">
                  <c:v>-0.977875783545121</c:v>
                </c:pt>
                <c:pt idx="49">
                  <c:v>-0.979960232739602</c:v>
                </c:pt>
                <c:pt idx="50">
                  <c:v>-0.98185007208219</c:v>
                </c:pt>
                <c:pt idx="51">
                  <c:v>-0.98356315274709</c:v>
                </c:pt>
                <c:pt idx="52">
                  <c:v>-0.985115745328082</c:v>
                </c:pt>
                <c:pt idx="53">
                  <c:v>-0.986522669583974</c:v>
                </c:pt>
                <c:pt idx="54">
                  <c:v>-0.987797415392304</c:v>
                </c:pt>
                <c:pt idx="55">
                  <c:v>-0.988952255151406</c:v>
                </c:pt>
                <c:pt idx="56">
                  <c:v>-0.989998347944348</c:v>
                </c:pt>
                <c:pt idx="57">
                  <c:v>-0.990945835830112</c:v>
                </c:pt>
                <c:pt idx="58">
                  <c:v>-0.991803932661732</c:v>
                </c:pt>
                <c:pt idx="59">
                  <c:v>-0.992581005851313</c:v>
                </c:pt>
                <c:pt idx="60">
                  <c:v>-0.993284651510882</c:v>
                </c:pt>
                <c:pt idx="61">
                  <c:v>-0.993921763398221</c:v>
                </c:pt>
                <c:pt idx="62">
                  <c:v>-0.994498596090343</c:v>
                </c:pt>
                <c:pt idx="63">
                  <c:v>-0.995020822795673</c:v>
                </c:pt>
                <c:pt idx="64">
                  <c:v>-0.995493588200751</c:v>
                </c:pt>
                <c:pt idx="65">
                  <c:v>-0.995921556729429</c:v>
                </c:pt>
                <c:pt idx="66">
                  <c:v>-0.996308956573053</c:v>
                </c:pt>
                <c:pt idx="67">
                  <c:v>-0.996659619829633</c:v>
                </c:pt>
                <c:pt idx="68">
                  <c:v>-0.996977019069168</c:v>
                </c:pt>
                <c:pt idx="69">
                  <c:v>-0.997264300621464</c:v>
                </c:pt>
                <c:pt idx="70">
                  <c:v>-0.997524314862269</c:v>
                </c:pt>
                <c:pt idx="71">
                  <c:v>-0.997759643753751</c:v>
                </c:pt>
                <c:pt idx="72">
                  <c:v>-0.997972625876162</c:v>
                </c:pt>
                <c:pt idx="73">
                  <c:v>-0.998165379169411</c:v>
                </c:pt>
                <c:pt idx="74">
                  <c:v>-0.998339821585955</c:v>
                </c:pt>
                <c:pt idx="75">
                  <c:v>-0.998497689840246</c:v>
                </c:pt>
                <c:pt idx="76">
                  <c:v>-0.99864055642474</c:v>
                </c:pt>
                <c:pt idx="77">
                  <c:v>-0.998769845048286</c:v>
                </c:pt>
                <c:pt idx="78">
                  <c:v>-0.998886844639535</c:v>
                </c:pt>
                <c:pt idx="79">
                  <c:v>-0.998992722045765</c:v>
                </c:pt>
                <c:pt idx="80">
                  <c:v>-0.999088533546226</c:v>
                </c:pt>
                <c:pt idx="81">
                  <c:v>-0.999175235288674</c:v>
                </c:pt>
                <c:pt idx="82">
                  <c:v>-0.999253692748172</c:v>
                </c:pt>
                <c:pt idx="83">
                  <c:v>-0.999324689298415</c:v>
                </c:pt>
                <c:pt idx="84">
                  <c:v>-0.999388933977747</c:v>
                </c:pt>
                <c:pt idx="85">
                  <c:v>-0.999447068524639</c:v>
                </c:pt>
                <c:pt idx="86">
                  <c:v>-0.999499673750614</c:v>
                </c:pt>
                <c:pt idx="87">
                  <c:v>-0.999547275312401</c:v>
                </c:pt>
                <c:pt idx="88">
                  <c:v>-0.999590348939475</c:v>
                </c:pt>
                <c:pt idx="89">
                  <c:v>-0.999629325167946</c:v>
                </c:pt>
                <c:pt idx="90">
                  <c:v>-0.999664593627104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Sheet1!$K$9</c:f>
              <c:strCache>
                <c:ptCount val="1"/>
                <c:pt idx="0">
                  <c:v>TTLOS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Sheet1!$I$10:$I$100</c:f>
              <c:numCache>
                <c:formatCode>General</c:formatCode>
                <c:ptCount val="9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6.09999999999999</c:v>
                </c:pt>
                <c:pt idx="62">
                  <c:v>6.19999999999999</c:v>
                </c:pt>
                <c:pt idx="63">
                  <c:v>6.29999999999999</c:v>
                </c:pt>
                <c:pt idx="64">
                  <c:v>6.39999999999999</c:v>
                </c:pt>
                <c:pt idx="65">
                  <c:v>6.49999999999999</c:v>
                </c:pt>
                <c:pt idx="66">
                  <c:v>6.59999999999999</c:v>
                </c:pt>
                <c:pt idx="67">
                  <c:v>6.69999999999999</c:v>
                </c:pt>
                <c:pt idx="68">
                  <c:v>6.79999999999999</c:v>
                </c:pt>
                <c:pt idx="69">
                  <c:v>6.89999999999999</c:v>
                </c:pt>
                <c:pt idx="70">
                  <c:v>6.99999999999999</c:v>
                </c:pt>
                <c:pt idx="71">
                  <c:v>7.09999999999999</c:v>
                </c:pt>
                <c:pt idx="72">
                  <c:v>7.19999999999999</c:v>
                </c:pt>
                <c:pt idx="73">
                  <c:v>7.29999999999999</c:v>
                </c:pt>
                <c:pt idx="74">
                  <c:v>7.39999999999999</c:v>
                </c:pt>
                <c:pt idx="75">
                  <c:v>7.49999999999999</c:v>
                </c:pt>
                <c:pt idx="76">
                  <c:v>7.59999999999999</c:v>
                </c:pt>
                <c:pt idx="77">
                  <c:v>7.69999999999999</c:v>
                </c:pt>
                <c:pt idx="78">
                  <c:v>7.79999999999999</c:v>
                </c:pt>
                <c:pt idx="79">
                  <c:v>7.89999999999999</c:v>
                </c:pt>
                <c:pt idx="80">
                  <c:v>7.99999999999999</c:v>
                </c:pt>
                <c:pt idx="81">
                  <c:v>8.09999999999999</c:v>
                </c:pt>
                <c:pt idx="82">
                  <c:v>8.19999999999999</c:v>
                </c:pt>
                <c:pt idx="83">
                  <c:v>8.29999999999999</c:v>
                </c:pt>
                <c:pt idx="84">
                  <c:v>8.39999999999999</c:v>
                </c:pt>
                <c:pt idx="85">
                  <c:v>8.49999999999999</c:v>
                </c:pt>
                <c:pt idx="86">
                  <c:v>8.59999999999999</c:v>
                </c:pt>
                <c:pt idx="87">
                  <c:v>8.69999999999999</c:v>
                </c:pt>
                <c:pt idx="88">
                  <c:v>8.79999999999999</c:v>
                </c:pt>
                <c:pt idx="89">
                  <c:v>8.89999999999998</c:v>
                </c:pt>
                <c:pt idx="90">
                  <c:v>8.99999999999998</c:v>
                </c:pt>
              </c:numCache>
            </c:numRef>
          </c:xVal>
          <c:yVal>
            <c:numRef>
              <c:f>Sheet1!$K$10:$K$100</c:f>
              <c:numCache>
                <c:formatCode>General</c:formatCode>
                <c:ptCount val="91"/>
                <c:pt idx="0">
                  <c:v>-0.268941421369995</c:v>
                </c:pt>
                <c:pt idx="1">
                  <c:v>-0.360145447637496</c:v>
                </c:pt>
                <c:pt idx="2">
                  <c:v>-0.44802041509791</c:v>
                </c:pt>
                <c:pt idx="3">
                  <c:v>-0.532268559482284</c:v>
                </c:pt>
                <c:pt idx="4">
                  <c:v>-0.612606216264523</c:v>
                </c:pt>
                <c:pt idx="5">
                  <c:v>-0.688770334399073</c:v>
                </c:pt>
                <c:pt idx="6">
                  <c:v>-0.760524935955019</c:v>
                </c:pt>
                <c:pt idx="7">
                  <c:v>-0.827667244956502</c:v>
                </c:pt>
                <c:pt idx="8">
                  <c:v>-0.890033200537505</c:v>
                </c:pt>
                <c:pt idx="9">
                  <c:v>-0.947502081252106</c:v>
                </c:pt>
                <c:pt idx="10">
                  <c:v>-1</c:v>
                </c:pt>
                <c:pt idx="11">
                  <c:v>-1.04750208125211</c:v>
                </c:pt>
                <c:pt idx="12">
                  <c:v>-1.0900332005375</c:v>
                </c:pt>
                <c:pt idx="13">
                  <c:v>-1.1276672449565</c:v>
                </c:pt>
                <c:pt idx="14">
                  <c:v>-1.16052493595502</c:v>
                </c:pt>
                <c:pt idx="15">
                  <c:v>-1.18877033439907</c:v>
                </c:pt>
                <c:pt idx="16">
                  <c:v>-1.21260621626452</c:v>
                </c:pt>
                <c:pt idx="17">
                  <c:v>-1.23226855948228</c:v>
                </c:pt>
                <c:pt idx="18">
                  <c:v>-1.24802041509791</c:v>
                </c:pt>
                <c:pt idx="19">
                  <c:v>-1.2601454476375</c:v>
                </c:pt>
                <c:pt idx="20">
                  <c:v>-1.26894142137</c:v>
                </c:pt>
                <c:pt idx="21">
                  <c:v>-1.27471388384537</c:v>
                </c:pt>
                <c:pt idx="22">
                  <c:v>-1.27777025980118</c:v>
                </c:pt>
                <c:pt idx="23">
                  <c:v>-1.27841452204467</c:v>
                </c:pt>
                <c:pt idx="24">
                  <c:v>-1.27694255601799</c:v>
                </c:pt>
                <c:pt idx="25">
                  <c:v>-1.27363828570953</c:v>
                </c:pt>
                <c:pt idx="26">
                  <c:v>-1.26877058378572</c:v>
                </c:pt>
                <c:pt idx="27">
                  <c:v>-1.26259095064201</c:v>
                </c:pt>
                <c:pt idx="28">
                  <c:v>-1.25533191682088</c:v>
                </c:pt>
                <c:pt idx="29">
                  <c:v>-1.2472061012897</c:v>
                </c:pt>
                <c:pt idx="30">
                  <c:v>-1.23840584404424</c:v>
                </c:pt>
                <c:pt idx="31">
                  <c:v>-1.22910332451079</c:v>
                </c:pt>
                <c:pt idx="32">
                  <c:v>-1.21945107606331</c:v>
                </c:pt>
                <c:pt idx="33">
                  <c:v>-1.20958281033417</c:v>
                </c:pt>
                <c:pt idx="34">
                  <c:v>-1.19961447158541</c:v>
                </c:pt>
                <c:pt idx="35">
                  <c:v>-1.18964545005311</c:v>
                </c:pt>
                <c:pt idx="36">
                  <c:v>-1.1797598928927</c:v>
                </c:pt>
                <c:pt idx="37">
                  <c:v>-1.17002806135389</c:v>
                </c:pt>
                <c:pt idx="38">
                  <c:v>-1.16050769251683</c:v>
                </c:pt>
                <c:pt idx="39">
                  <c:v>-1.15124533292741</c:v>
                </c:pt>
                <c:pt idx="40">
                  <c:v>-1.1422776195327</c:v>
                </c:pt>
                <c:pt idx="41">
                  <c:v>-1.13363249031737</c:v>
                </c:pt>
                <c:pt idx="42">
                  <c:v>-1.12533031294965</c:v>
                </c:pt>
                <c:pt idx="43">
                  <c:v>-1.1173849245997</c:v>
                </c:pt>
                <c:pt idx="44">
                  <c:v>-1.10980457997473</c:v>
                </c:pt>
                <c:pt idx="45">
                  <c:v>-1.10259280762975</c:v>
                </c:pt>
                <c:pt idx="46">
                  <c:v>-1.09574917687672</c:v>
                </c:pt>
                <c:pt idx="47">
                  <c:v>-1.08926997924538</c:v>
                </c:pt>
                <c:pt idx="48">
                  <c:v>-1.0831488295573</c:v>
                </c:pt>
                <c:pt idx="49">
                  <c:v>-1.0773771923629</c:v>
                </c:pt>
                <c:pt idx="50">
                  <c:v>-1.07194483984837</c:v>
                </c:pt>
                <c:pt idx="51">
                  <c:v>-1.06684024742291</c:v>
                </c:pt>
                <c:pt idx="52">
                  <c:v>-1.06205093311175</c:v>
                </c:pt>
                <c:pt idx="53">
                  <c:v>-1.05756374665896</c:v>
                </c:pt>
                <c:pt idx="54">
                  <c:v>-1.05336511393081</c:v>
                </c:pt>
                <c:pt idx="55">
                  <c:v>-1.04944124183767</c:v>
                </c:pt>
                <c:pt idx="56">
                  <c:v>-1.04577828858776</c:v>
                </c:pt>
                <c:pt idx="57">
                  <c:v>-1.04236250366839</c:v>
                </c:pt>
                <c:pt idx="58">
                  <c:v>-1.03918034153517</c:v>
                </c:pt>
                <c:pt idx="59">
                  <c:v>-1.03621855258698</c:v>
                </c:pt>
                <c:pt idx="60">
                  <c:v>-1.03346425462142</c:v>
                </c:pt>
                <c:pt idx="61">
                  <c:v>-1.03090498760708</c:v>
                </c:pt>
                <c:pt idx="62">
                  <c:v>-1.02852875427714</c:v>
                </c:pt>
                <c:pt idx="63">
                  <c:v>-1.0263240487453</c:v>
                </c:pt>
                <c:pt idx="64">
                  <c:v>-1.02427987506908</c:v>
                </c:pt>
                <c:pt idx="65">
                  <c:v>-1.02238575743743</c:v>
                </c:pt>
                <c:pt idx="66">
                  <c:v>-1.02063174343684</c:v>
                </c:pt>
                <c:pt idx="67">
                  <c:v>-1.01900840165226</c:v>
                </c:pt>
                <c:pt idx="68">
                  <c:v>-1.01750681468331</c:v>
                </c:pt>
                <c:pt idx="69">
                  <c:v>-1.01611856850177</c:v>
                </c:pt>
                <c:pt idx="70">
                  <c:v>-1.01483573893981</c:v>
                </c:pt>
                <c:pt idx="71">
                  <c:v>-1.01365087597979</c:v>
                </c:pt>
                <c:pt idx="72">
                  <c:v>-1.01255698641211</c:v>
                </c:pt>
                <c:pt idx="73">
                  <c:v>-1.0115475153377</c:v>
                </c:pt>
                <c:pt idx="74">
                  <c:v>-1.01061632691312</c:v>
                </c:pt>
                <c:pt idx="75">
                  <c:v>-1.00975768466879</c:v>
                </c:pt>
                <c:pt idx="76">
                  <c:v>-1.00896623167283</c:v>
                </c:pt>
                <c:pt idx="77">
                  <c:v>-1.00823697076256</c:v>
                </c:pt>
                <c:pt idx="78">
                  <c:v>-1.00756524502345</c:v>
                </c:pt>
                <c:pt idx="79">
                  <c:v>-1.00694671865859</c:v>
                </c:pt>
                <c:pt idx="80">
                  <c:v>-1.0063773583608</c:v>
                </c:pt>
                <c:pt idx="81">
                  <c:v>-1.00585341527343</c:v>
                </c:pt>
                <c:pt idx="82">
                  <c:v>-1.00537140760362</c:v>
                </c:pt>
                <c:pt idx="83">
                  <c:v>-1.00492810393362</c:v>
                </c:pt>
                <c:pt idx="84">
                  <c:v>-1.00452050725981</c:v>
                </c:pt>
                <c:pt idx="85">
                  <c:v>-1.00414583977693</c:v>
                </c:pt>
                <c:pt idx="86">
                  <c:v>-1.0038015284138</c:v>
                </c:pt>
                <c:pt idx="87">
                  <c:v>-1.00348519111895</c:v>
                </c:pt>
                <c:pt idx="88">
                  <c:v>-1.00319462388689</c:v>
                </c:pt>
                <c:pt idx="89">
                  <c:v>-1.00292778851095</c:v>
                </c:pt>
                <c:pt idx="90">
                  <c:v>-1.00268280104373</c:v>
                </c:pt>
              </c:numCache>
            </c:numRef>
          </c:yVal>
          <c:smooth val="1"/>
        </c:ser>
        <c:axId val="8274209"/>
        <c:axId val="8129229"/>
      </c:scatterChart>
      <c:valAx>
        <c:axId val="82742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INPUT COST CHOICE 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129229"/>
        <c:crossesAt val="0"/>
        <c:crossBetween val="midCat"/>
      </c:valAx>
      <c:valAx>
        <c:axId val="812922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OF MOE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274209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b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26640</xdr:colOff>
      <xdr:row>8</xdr:row>
      <xdr:rowOff>152280</xdr:rowOff>
    </xdr:from>
    <xdr:to>
      <xdr:col>19</xdr:col>
      <xdr:colOff>419400</xdr:colOff>
      <xdr:row>32</xdr:row>
      <xdr:rowOff>63000</xdr:rowOff>
    </xdr:to>
    <xdr:graphicFrame>
      <xdr:nvGraphicFramePr>
        <xdr:cNvPr id="1" name="Chart 1"/>
        <xdr:cNvGraphicFramePr/>
      </xdr:nvGraphicFramePr>
      <xdr:xfrm>
        <a:off x="10229760" y="1473120"/>
        <a:ext cx="6344640" cy="387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</row>
    <row r="3" customFormat="false" ht="13" hidden="false" customHeight="false" outlineLevel="0" collapsed="false">
      <c r="A3" s="1" t="s">
        <v>1</v>
      </c>
    </row>
    <row r="4" customFormat="false" ht="13" hidden="false" customHeight="false" outlineLevel="0" collapsed="false">
      <c r="A4" s="1" t="s">
        <v>2</v>
      </c>
    </row>
    <row r="6" customFormat="false" ht="13" hidden="false" customHeight="false" outlineLevel="0" collapsed="false">
      <c r="A6" s="1" t="s">
        <v>3</v>
      </c>
    </row>
    <row r="7" customFormat="false" ht="13" hidden="false" customHeight="false" outlineLevel="0" collapsed="false">
      <c r="A7" s="1" t="s">
        <v>4</v>
      </c>
      <c r="B7" s="1" t="n">
        <v>-1</v>
      </c>
    </row>
    <row r="8" customFormat="false" ht="13" hidden="false" customHeight="false" outlineLevel="0" collapsed="false">
      <c r="A8" s="1" t="s">
        <v>5</v>
      </c>
      <c r="B8" s="1" t="n">
        <v>0</v>
      </c>
    </row>
    <row r="9" customFormat="false" ht="13" hidden="false" customHeight="false" outlineLevel="0" collapsed="false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6</v>
      </c>
      <c r="J9" s="1" t="s">
        <v>14</v>
      </c>
      <c r="K9" s="1" t="s">
        <v>15</v>
      </c>
    </row>
    <row r="10" customFormat="false" ht="13" hidden="false" customHeight="false" outlineLevel="0" collapsed="false">
      <c r="A10" s="1" t="n">
        <v>0</v>
      </c>
      <c r="B10" s="1" t="n">
        <v>1</v>
      </c>
      <c r="C10" s="1" t="n">
        <f aca="false">Alpha+Beta*Cost1</f>
        <v>0</v>
      </c>
      <c r="D10" s="1" t="n">
        <f aca="false">Alpha+Beta*Cost2</f>
        <v>-1</v>
      </c>
      <c r="E10" s="1" t="n">
        <f aca="false">EXP(C$10:C$1048576)</f>
        <v>1</v>
      </c>
      <c r="F10" s="1" t="n">
        <f aca="false">EXP(D$10:D$1048576)</f>
        <v>0.367879441171442</v>
      </c>
      <c r="G10" s="1" t="n">
        <f aca="false">EXP(UTIL1)/(EXP(UTIL1)+EXP(UTIL2))</f>
        <v>0.731058578630005</v>
      </c>
      <c r="H10" s="1" t="n">
        <f aca="false">EXP(UTIL2)/(EXP(UTIL1)+EXP(UTIL2))</f>
        <v>0.268941421369995</v>
      </c>
      <c r="I10" s="1" t="n">
        <f aca="false">Cost1</f>
        <v>0</v>
      </c>
      <c r="J10" s="1" t="n">
        <f aca="false">LN(EXP(UTIL1)+EXP(UTIL2))</f>
        <v>0.313261687518223</v>
      </c>
      <c r="K10" s="1" t="n">
        <f aca="false">PROB1*UTIL1+PROB2*UTIL2</f>
        <v>-0.268941421369995</v>
      </c>
    </row>
    <row r="11" customFormat="false" ht="13" hidden="false" customHeight="false" outlineLevel="0" collapsed="false">
      <c r="A11" s="1" t="n">
        <v>0.1</v>
      </c>
      <c r="B11" s="1" t="n">
        <v>1</v>
      </c>
      <c r="C11" s="1" t="n">
        <f aca="false">Alpha+Beta*Cost1</f>
        <v>-0.1</v>
      </c>
      <c r="D11" s="1" t="n">
        <f aca="false">Alpha+Beta*Cost2</f>
        <v>-1</v>
      </c>
      <c r="E11" s="1" t="n">
        <f aca="false">EXP(C$10:C$1048576)</f>
        <v>0.90483741803596</v>
      </c>
      <c r="F11" s="1" t="n">
        <f aca="false">EXP(D$10:D$1048576)</f>
        <v>0.367879441171442</v>
      </c>
      <c r="G11" s="1" t="n">
        <f aca="false">EXP(UTIL1)/(EXP(UTIL1)+EXP(UTIL2))</f>
        <v>0.710949502625004</v>
      </c>
      <c r="H11" s="1" t="n">
        <f aca="false">EXP(UTIL2)/(EXP(UTIL1)+EXP(UTIL2))</f>
        <v>0.289050497374996</v>
      </c>
      <c r="I11" s="1" t="n">
        <f aca="false">Cost1</f>
        <v>0.1</v>
      </c>
      <c r="J11" s="1" t="n">
        <f aca="false">LN(EXP(UTIL1)+EXP(UTIL2))</f>
        <v>0.241153874732088</v>
      </c>
      <c r="K11" s="1" t="n">
        <f aca="false">PROB1*UTIL1+PROB2*UTIL2</f>
        <v>-0.360145447637496</v>
      </c>
    </row>
    <row r="12" customFormat="false" ht="13" hidden="false" customHeight="false" outlineLevel="0" collapsed="false">
      <c r="A12" s="1" t="n">
        <f aca="false">A11+0.1</f>
        <v>0.2</v>
      </c>
      <c r="B12" s="1" t="n">
        <v>1</v>
      </c>
      <c r="C12" s="1" t="n">
        <f aca="false">Alpha+Beta*Cost1</f>
        <v>-0.2</v>
      </c>
      <c r="D12" s="1" t="n">
        <f aca="false">Alpha+Beta*Cost2</f>
        <v>-1</v>
      </c>
      <c r="E12" s="1" t="n">
        <f aca="false">EXP(C$10:C$1048576)</f>
        <v>0.818730753077982</v>
      </c>
      <c r="F12" s="1" t="n">
        <f aca="false">EXP(D$10:D$1048576)</f>
        <v>0.367879441171442</v>
      </c>
      <c r="G12" s="1" t="n">
        <f aca="false">EXP(UTIL1)/(EXP(UTIL1)+EXP(UTIL2))</f>
        <v>0.689974481127613</v>
      </c>
      <c r="H12" s="1" t="n">
        <f aca="false">EXP(UTIL2)/(EXP(UTIL1)+EXP(UTIL2))</f>
        <v>0.310025518872388</v>
      </c>
      <c r="I12" s="1" t="n">
        <f aca="false">Cost1</f>
        <v>0.2</v>
      </c>
      <c r="J12" s="1" t="n">
        <f aca="false">LN(EXP(UTIL1)+EXP(UTIL2))</f>
        <v>0.171100665947778</v>
      </c>
      <c r="K12" s="1" t="n">
        <f aca="false">PROB1*UTIL1+PROB2*UTIL2</f>
        <v>-0.44802041509791</v>
      </c>
    </row>
    <row r="13" customFormat="false" ht="13" hidden="false" customHeight="false" outlineLevel="0" collapsed="false">
      <c r="A13" s="1" t="n">
        <f aca="false">A12+0.1</f>
        <v>0.3</v>
      </c>
      <c r="B13" s="1" t="n">
        <v>1</v>
      </c>
      <c r="C13" s="1" t="n">
        <f aca="false">Alpha+Beta*Cost1</f>
        <v>-0.3</v>
      </c>
      <c r="D13" s="1" t="n">
        <f aca="false">Alpha+Beta*Cost2</f>
        <v>-1</v>
      </c>
      <c r="E13" s="1" t="n">
        <f aca="false">EXP(C$10:C$1048576)</f>
        <v>0.740818220681718</v>
      </c>
      <c r="F13" s="1" t="n">
        <f aca="false">EXP(D$10:D$1048576)</f>
        <v>0.367879441171442</v>
      </c>
      <c r="G13" s="1" t="n">
        <f aca="false">EXP(UTIL1)/(EXP(UTIL1)+EXP(UTIL2))</f>
        <v>0.668187772168166</v>
      </c>
      <c r="H13" s="1" t="n">
        <f aca="false">EXP(UTIL2)/(EXP(UTIL1)+EXP(UTIL2))</f>
        <v>0.331812227831834</v>
      </c>
      <c r="I13" s="1" t="n">
        <f aca="false">Cost1</f>
        <v>0.3</v>
      </c>
      <c r="J13" s="1" t="n">
        <f aca="false">LN(EXP(UTIL1)+EXP(UTIL2))</f>
        <v>0.103186048885458</v>
      </c>
      <c r="K13" s="1" t="n">
        <f aca="false">PROB1*UTIL1+PROB2*UTIL2</f>
        <v>-0.532268559482284</v>
      </c>
    </row>
    <row r="14" customFormat="false" ht="13" hidden="false" customHeight="false" outlineLevel="0" collapsed="false">
      <c r="A14" s="1" t="n">
        <f aca="false">A13+0.1</f>
        <v>0.4</v>
      </c>
      <c r="B14" s="1" t="n">
        <v>1</v>
      </c>
      <c r="C14" s="1" t="n">
        <f aca="false">Alpha+Beta*Cost1</f>
        <v>-0.4</v>
      </c>
      <c r="D14" s="1" t="n">
        <f aca="false">Alpha+Beta*Cost2</f>
        <v>-1</v>
      </c>
      <c r="E14" s="1" t="n">
        <f aca="false">EXP(C$10:C$1048576)</f>
        <v>0.670320046035639</v>
      </c>
      <c r="F14" s="1" t="n">
        <f aca="false">EXP(D$10:D$1048576)</f>
        <v>0.367879441171442</v>
      </c>
      <c r="G14" s="1" t="n">
        <f aca="false">EXP(UTIL1)/(EXP(UTIL1)+EXP(UTIL2))</f>
        <v>0.645656306225796</v>
      </c>
      <c r="H14" s="1" t="n">
        <f aca="false">EXP(UTIL2)/(EXP(UTIL1)+EXP(UTIL2))</f>
        <v>0.354343693774205</v>
      </c>
      <c r="I14" s="1" t="n">
        <f aca="false">Cost1</f>
        <v>0.4</v>
      </c>
      <c r="J14" s="1" t="n">
        <f aca="false">LN(EXP(UTIL1)+EXP(UTIL2))</f>
        <v>0.0374879504858857</v>
      </c>
      <c r="K14" s="1" t="n">
        <f aca="false">PROB1*UTIL1+PROB2*UTIL2</f>
        <v>-0.612606216264523</v>
      </c>
    </row>
    <row r="15" customFormat="false" ht="13" hidden="false" customHeight="false" outlineLevel="0" collapsed="false">
      <c r="A15" s="1" t="n">
        <f aca="false">A14+0.1</f>
        <v>0.5</v>
      </c>
      <c r="B15" s="1" t="n">
        <v>1</v>
      </c>
      <c r="C15" s="1" t="n">
        <f aca="false">Alpha+Beta*Cost1</f>
        <v>-0.5</v>
      </c>
      <c r="D15" s="1" t="n">
        <f aca="false">Alpha+Beta*Cost2</f>
        <v>-1</v>
      </c>
      <c r="E15" s="1" t="n">
        <f aca="false">EXP(C$10:C$1048576)</f>
        <v>0.606530659712633</v>
      </c>
      <c r="F15" s="1" t="n">
        <f aca="false">EXP(D$10:D$1048576)</f>
        <v>0.367879441171442</v>
      </c>
      <c r="G15" s="1" t="n">
        <f aca="false">EXP(UTIL1)/(EXP(UTIL1)+EXP(UTIL2))</f>
        <v>0.622459331201855</v>
      </c>
      <c r="H15" s="1" t="n">
        <f aca="false">EXP(UTIL2)/(EXP(UTIL1)+EXP(UTIL2))</f>
        <v>0.377540668798145</v>
      </c>
      <c r="I15" s="1" t="n">
        <f aca="false">Cost1</f>
        <v>0.5</v>
      </c>
      <c r="J15" s="1" t="n">
        <f aca="false">LN(EXP(UTIL1)+EXP(UTIL2))</f>
        <v>-0.0259230158198933</v>
      </c>
      <c r="K15" s="1" t="n">
        <f aca="false">PROB1*UTIL1+PROB2*UTIL2</f>
        <v>-0.688770334399073</v>
      </c>
    </row>
    <row r="16" customFormat="false" ht="13" hidden="false" customHeight="false" outlineLevel="0" collapsed="false">
      <c r="A16" s="1" t="n">
        <f aca="false">A15+0.1</f>
        <v>0.6</v>
      </c>
      <c r="B16" s="1" t="n">
        <v>1</v>
      </c>
      <c r="C16" s="1" t="n">
        <f aca="false">Alpha+Beta*Cost1</f>
        <v>-0.6</v>
      </c>
      <c r="D16" s="1" t="n">
        <f aca="false">Alpha+Beta*Cost2</f>
        <v>-1</v>
      </c>
      <c r="E16" s="1" t="n">
        <f aca="false">EXP(C$10:C$1048576)</f>
        <v>0.548811636094026</v>
      </c>
      <c r="F16" s="1" t="n">
        <f aca="false">EXP(D$10:D$1048576)</f>
        <v>0.367879441171442</v>
      </c>
      <c r="G16" s="1" t="n">
        <f aca="false">EXP(UTIL1)/(EXP(UTIL1)+EXP(UTIL2))</f>
        <v>0.598687660112452</v>
      </c>
      <c r="H16" s="1" t="n">
        <f aca="false">EXP(UTIL2)/(EXP(UTIL1)+EXP(UTIL2))</f>
        <v>0.401312339887548</v>
      </c>
      <c r="I16" s="1" t="n">
        <f aca="false">Cost1</f>
        <v>0.6</v>
      </c>
      <c r="J16" s="1" t="n">
        <f aca="false">LN(EXP(UTIL1)+EXP(UTIL2))</f>
        <v>-0.0869847476000474</v>
      </c>
      <c r="K16" s="1" t="n">
        <f aca="false">PROB1*UTIL1+PROB2*UTIL2</f>
        <v>-0.760524935955019</v>
      </c>
    </row>
    <row r="17" customFormat="false" ht="13" hidden="false" customHeight="false" outlineLevel="0" collapsed="false">
      <c r="A17" s="1" t="n">
        <f aca="false">A16+0.1</f>
        <v>0.7</v>
      </c>
      <c r="B17" s="1" t="n">
        <v>1</v>
      </c>
      <c r="C17" s="1" t="n">
        <f aca="false">Alpha+Beta*Cost1</f>
        <v>-0.7</v>
      </c>
      <c r="D17" s="1" t="n">
        <f aca="false">Alpha+Beta*Cost2</f>
        <v>-1</v>
      </c>
      <c r="E17" s="1" t="n">
        <f aca="false">EXP(C$10:C$1048576)</f>
        <v>0.49658530379141</v>
      </c>
      <c r="F17" s="1" t="n">
        <f aca="false">EXP(D$10:D$1048576)</f>
        <v>0.367879441171442</v>
      </c>
      <c r="G17" s="1" t="n">
        <f aca="false">EXP(UTIL1)/(EXP(UTIL1)+EXP(UTIL2))</f>
        <v>0.574442516811659</v>
      </c>
      <c r="H17" s="1" t="n">
        <f aca="false">EXP(UTIL2)/(EXP(UTIL1)+EXP(UTIL2))</f>
        <v>0.425557483188341</v>
      </c>
      <c r="I17" s="1" t="n">
        <f aca="false">Cost1</f>
        <v>0.7</v>
      </c>
      <c r="J17" s="1" t="n">
        <f aca="false">LN(EXP(UTIL1)+EXP(UTIL2))</f>
        <v>-0.145644755531473</v>
      </c>
      <c r="K17" s="1" t="n">
        <f aca="false">PROB1*UTIL1+PROB2*UTIL2</f>
        <v>-0.827667244956502</v>
      </c>
    </row>
    <row r="18" customFormat="false" ht="13" hidden="false" customHeight="false" outlineLevel="0" collapsed="false">
      <c r="A18" s="1" t="n">
        <f aca="false">A17+0.1</f>
        <v>0.8</v>
      </c>
      <c r="B18" s="1" t="n">
        <v>1</v>
      </c>
      <c r="C18" s="1" t="n">
        <f aca="false">Alpha+Beta*Cost1</f>
        <v>-0.8</v>
      </c>
      <c r="D18" s="1" t="n">
        <f aca="false">Alpha+Beta*Cost2</f>
        <v>-1</v>
      </c>
      <c r="E18" s="1" t="n">
        <f aca="false">EXP(C$10:C$1048576)</f>
        <v>0.449328964117222</v>
      </c>
      <c r="F18" s="1" t="n">
        <f aca="false">EXP(D$10:D$1048576)</f>
        <v>0.367879441171442</v>
      </c>
      <c r="G18" s="1" t="n">
        <f aca="false">EXP(UTIL1)/(EXP(UTIL1)+EXP(UTIL2))</f>
        <v>0.549833997312478</v>
      </c>
      <c r="H18" s="1" t="n">
        <f aca="false">EXP(UTIL2)/(EXP(UTIL1)+EXP(UTIL2))</f>
        <v>0.450166002687522</v>
      </c>
      <c r="I18" s="1" t="n">
        <f aca="false">Cost1</f>
        <v>0.8</v>
      </c>
      <c r="J18" s="1" t="n">
        <f aca="false">LN(EXP(UTIL1)+EXP(UTIL2))</f>
        <v>-0.201861130618408</v>
      </c>
      <c r="K18" s="1" t="n">
        <f aca="false">PROB1*UTIL1+PROB2*UTIL2</f>
        <v>-0.890033200537505</v>
      </c>
    </row>
    <row r="19" customFormat="false" ht="13" hidden="false" customHeight="false" outlineLevel="0" collapsed="false">
      <c r="A19" s="1" t="n">
        <f aca="false">A18+0.1</f>
        <v>0.9</v>
      </c>
      <c r="B19" s="1" t="n">
        <v>1</v>
      </c>
      <c r="C19" s="1" t="n">
        <f aca="false">Alpha+Beta*Cost1</f>
        <v>-0.9</v>
      </c>
      <c r="D19" s="1" t="n">
        <f aca="false">Alpha+Beta*Cost2</f>
        <v>-1</v>
      </c>
      <c r="E19" s="1" t="n">
        <f aca="false">EXP(C$10:C$1048576)</f>
        <v>0.406569659740599</v>
      </c>
      <c r="F19" s="1" t="n">
        <f aca="false">EXP(D$10:D$1048576)</f>
        <v>0.367879441171442</v>
      </c>
      <c r="G19" s="1" t="n">
        <f aca="false">EXP(UTIL1)/(EXP(UTIL1)+EXP(UTIL2))</f>
        <v>0.52497918747894</v>
      </c>
      <c r="H19" s="1" t="n">
        <f aca="false">EXP(UTIL2)/(EXP(UTIL1)+EXP(UTIL2))</f>
        <v>0.47502081252106</v>
      </c>
      <c r="I19" s="1" t="n">
        <f aca="false">Cost1</f>
        <v>0.9</v>
      </c>
      <c r="J19" s="1" t="n">
        <f aca="false">LN(EXP(UTIL1)+EXP(UTIL2))</f>
        <v>-0.255603339926429</v>
      </c>
      <c r="K19" s="1" t="n">
        <f aca="false">PROB1*UTIL1+PROB2*UTIL2</f>
        <v>-0.947502081252106</v>
      </c>
    </row>
    <row r="20" customFormat="false" ht="13" hidden="false" customHeight="false" outlineLevel="0" collapsed="false">
      <c r="A20" s="1" t="n">
        <f aca="false">A19+0.1</f>
        <v>1</v>
      </c>
      <c r="B20" s="1" t="n">
        <v>1</v>
      </c>
      <c r="C20" s="1" t="n">
        <f aca="false">Alpha+Beta*Cost1</f>
        <v>-1</v>
      </c>
      <c r="D20" s="1" t="n">
        <f aca="false">Alpha+Beta*Cost2</f>
        <v>-1</v>
      </c>
      <c r="E20" s="1" t="n">
        <f aca="false">EXP(C$10:C$1048576)</f>
        <v>0.367879441171442</v>
      </c>
      <c r="F20" s="1" t="n">
        <f aca="false">EXP(D$10:D$1048576)</f>
        <v>0.367879441171442</v>
      </c>
      <c r="G20" s="1" t="n">
        <f aca="false">EXP(UTIL1)/(EXP(UTIL1)+EXP(UTIL2))</f>
        <v>0.5</v>
      </c>
      <c r="H20" s="1" t="n">
        <f aca="false">EXP(UTIL2)/(EXP(UTIL1)+EXP(UTIL2))</f>
        <v>0.5</v>
      </c>
      <c r="I20" s="1" t="n">
        <f aca="false">Cost1</f>
        <v>1</v>
      </c>
      <c r="J20" s="1" t="n">
        <f aca="false">LN(EXP(UTIL1)+EXP(UTIL2))</f>
        <v>-0.306852819440055</v>
      </c>
      <c r="K20" s="1" t="n">
        <f aca="false">PROB1*UTIL1+PROB2*UTIL2</f>
        <v>-1</v>
      </c>
    </row>
    <row r="21" customFormat="false" ht="13" hidden="false" customHeight="false" outlineLevel="0" collapsed="false">
      <c r="A21" s="1" t="n">
        <f aca="false">A20+0.1</f>
        <v>1.1</v>
      </c>
      <c r="B21" s="1" t="n">
        <v>1</v>
      </c>
      <c r="C21" s="1" t="n">
        <f aca="false">Alpha+Beta*Cost1</f>
        <v>-1.1</v>
      </c>
      <c r="D21" s="1" t="n">
        <f aca="false">Alpha+Beta*Cost2</f>
        <v>-1</v>
      </c>
      <c r="E21" s="1" t="n">
        <f aca="false">EXP(C$10:C$1048576)</f>
        <v>0.33287108369808</v>
      </c>
      <c r="F21" s="1" t="n">
        <f aca="false">EXP(D$10:D$1048576)</f>
        <v>0.367879441171442</v>
      </c>
      <c r="G21" s="1" t="n">
        <f aca="false">EXP(UTIL1)/(EXP(UTIL1)+EXP(UTIL2))</f>
        <v>0.47502081252106</v>
      </c>
      <c r="H21" s="1" t="n">
        <f aca="false">EXP(UTIL2)/(EXP(UTIL1)+EXP(UTIL2))</f>
        <v>0.52497918747894</v>
      </c>
      <c r="I21" s="1" t="n">
        <f aca="false">Cost1</f>
        <v>1.1</v>
      </c>
      <c r="J21" s="1" t="n">
        <f aca="false">LN(EXP(UTIL1)+EXP(UTIL2))</f>
        <v>-0.355603339926429</v>
      </c>
      <c r="K21" s="1" t="n">
        <f aca="false">PROB1*UTIL1+PROB2*UTIL2</f>
        <v>-1.04750208125211</v>
      </c>
    </row>
    <row r="22" customFormat="false" ht="13" hidden="false" customHeight="false" outlineLevel="0" collapsed="false">
      <c r="A22" s="1" t="n">
        <f aca="false">A21+0.1</f>
        <v>1.2</v>
      </c>
      <c r="B22" s="1" t="n">
        <v>1</v>
      </c>
      <c r="C22" s="1" t="n">
        <f aca="false">Alpha+Beta*Cost1</f>
        <v>-1.2</v>
      </c>
      <c r="D22" s="1" t="n">
        <f aca="false">Alpha+Beta*Cost2</f>
        <v>-1</v>
      </c>
      <c r="E22" s="1" t="n">
        <f aca="false">EXP(C$10:C$1048576)</f>
        <v>0.301194211912202</v>
      </c>
      <c r="F22" s="1" t="n">
        <f aca="false">EXP(D$10:D$1048576)</f>
        <v>0.367879441171442</v>
      </c>
      <c r="G22" s="1" t="n">
        <f aca="false">EXP(UTIL1)/(EXP(UTIL1)+EXP(UTIL2))</f>
        <v>0.450166002687522</v>
      </c>
      <c r="H22" s="1" t="n">
        <f aca="false">EXP(UTIL2)/(EXP(UTIL1)+EXP(UTIL2))</f>
        <v>0.549833997312478</v>
      </c>
      <c r="I22" s="1" t="n">
        <f aca="false">Cost1</f>
        <v>1.2</v>
      </c>
      <c r="J22" s="1" t="n">
        <f aca="false">LN(EXP(UTIL1)+EXP(UTIL2))</f>
        <v>-0.401861130618408</v>
      </c>
      <c r="K22" s="1" t="n">
        <f aca="false">PROB1*UTIL1+PROB2*UTIL2</f>
        <v>-1.0900332005375</v>
      </c>
    </row>
    <row r="23" customFormat="false" ht="13" hidden="false" customHeight="false" outlineLevel="0" collapsed="false">
      <c r="A23" s="1" t="n">
        <f aca="false">A22+0.1</f>
        <v>1.3</v>
      </c>
      <c r="B23" s="1" t="n">
        <v>1</v>
      </c>
      <c r="C23" s="1" t="n">
        <f aca="false">Alpha+Beta*Cost1</f>
        <v>-1.3</v>
      </c>
      <c r="D23" s="1" t="n">
        <f aca="false">Alpha+Beta*Cost2</f>
        <v>-1</v>
      </c>
      <c r="E23" s="1" t="n">
        <f aca="false">EXP(C$10:C$1048576)</f>
        <v>0.272531793034013</v>
      </c>
      <c r="F23" s="1" t="n">
        <f aca="false">EXP(D$10:D$1048576)</f>
        <v>0.367879441171442</v>
      </c>
      <c r="G23" s="1" t="n">
        <f aca="false">EXP(UTIL1)/(EXP(UTIL1)+EXP(UTIL2))</f>
        <v>0.425557483188341</v>
      </c>
      <c r="H23" s="1" t="n">
        <f aca="false">EXP(UTIL2)/(EXP(UTIL1)+EXP(UTIL2))</f>
        <v>0.574442516811659</v>
      </c>
      <c r="I23" s="1" t="n">
        <f aca="false">Cost1</f>
        <v>1.3</v>
      </c>
      <c r="J23" s="1" t="n">
        <f aca="false">LN(EXP(UTIL1)+EXP(UTIL2))</f>
        <v>-0.445644755531473</v>
      </c>
      <c r="K23" s="1" t="n">
        <f aca="false">PROB1*UTIL1+PROB2*UTIL2</f>
        <v>-1.1276672449565</v>
      </c>
    </row>
    <row r="24" customFormat="false" ht="13" hidden="false" customHeight="false" outlineLevel="0" collapsed="false">
      <c r="A24" s="1" t="n">
        <f aca="false">A23+0.1</f>
        <v>1.4</v>
      </c>
      <c r="B24" s="1" t="n">
        <v>1</v>
      </c>
      <c r="C24" s="1" t="n">
        <f aca="false">Alpha+Beta*Cost1</f>
        <v>-1.4</v>
      </c>
      <c r="D24" s="1" t="n">
        <f aca="false">Alpha+Beta*Cost2</f>
        <v>-1</v>
      </c>
      <c r="E24" s="1" t="n">
        <f aca="false">EXP(C$10:C$1048576)</f>
        <v>0.246596963941606</v>
      </c>
      <c r="F24" s="1" t="n">
        <f aca="false">EXP(D$10:D$1048576)</f>
        <v>0.367879441171442</v>
      </c>
      <c r="G24" s="1" t="n">
        <f aca="false">EXP(UTIL1)/(EXP(UTIL1)+EXP(UTIL2))</f>
        <v>0.401312339887548</v>
      </c>
      <c r="H24" s="1" t="n">
        <f aca="false">EXP(UTIL2)/(EXP(UTIL1)+EXP(UTIL2))</f>
        <v>0.598687660112452</v>
      </c>
      <c r="I24" s="1" t="n">
        <f aca="false">Cost1</f>
        <v>1.4</v>
      </c>
      <c r="J24" s="1" t="n">
        <f aca="false">LN(EXP(UTIL1)+EXP(UTIL2))</f>
        <v>-0.486984747600047</v>
      </c>
      <c r="K24" s="1" t="n">
        <f aca="false">PROB1*UTIL1+PROB2*UTIL2</f>
        <v>-1.16052493595502</v>
      </c>
    </row>
    <row r="25" customFormat="false" ht="13" hidden="false" customHeight="false" outlineLevel="0" collapsed="false">
      <c r="A25" s="1" t="n">
        <f aca="false">A24+0.1</f>
        <v>1.5</v>
      </c>
      <c r="B25" s="1" t="n">
        <v>1</v>
      </c>
      <c r="C25" s="1" t="n">
        <f aca="false">Alpha+Beta*Cost1</f>
        <v>-1.5</v>
      </c>
      <c r="D25" s="1" t="n">
        <f aca="false">Alpha+Beta*Cost2</f>
        <v>-1</v>
      </c>
      <c r="E25" s="1" t="n">
        <f aca="false">EXP(C$10:C$1048576)</f>
        <v>0.22313016014843</v>
      </c>
      <c r="F25" s="1" t="n">
        <f aca="false">EXP(D$10:D$1048576)</f>
        <v>0.367879441171442</v>
      </c>
      <c r="G25" s="1" t="n">
        <f aca="false">EXP(UTIL1)/(EXP(UTIL1)+EXP(UTIL2))</f>
        <v>0.377540668798145</v>
      </c>
      <c r="H25" s="1" t="n">
        <f aca="false">EXP(UTIL2)/(EXP(UTIL1)+EXP(UTIL2))</f>
        <v>0.622459331201855</v>
      </c>
      <c r="I25" s="1" t="n">
        <f aca="false">Cost1</f>
        <v>1.5</v>
      </c>
      <c r="J25" s="1" t="n">
        <f aca="false">LN(EXP(UTIL1)+EXP(UTIL2))</f>
        <v>-0.525923015819893</v>
      </c>
      <c r="K25" s="1" t="n">
        <f aca="false">PROB1*UTIL1+PROB2*UTIL2</f>
        <v>-1.18877033439907</v>
      </c>
    </row>
    <row r="26" customFormat="false" ht="13" hidden="false" customHeight="false" outlineLevel="0" collapsed="false">
      <c r="A26" s="1" t="n">
        <f aca="false">A25+0.1</f>
        <v>1.6</v>
      </c>
      <c r="B26" s="1" t="n">
        <v>1</v>
      </c>
      <c r="C26" s="1" t="n">
        <f aca="false">Alpha+Beta*Cost1</f>
        <v>-1.6</v>
      </c>
      <c r="D26" s="1" t="n">
        <f aca="false">Alpha+Beta*Cost2</f>
        <v>-1</v>
      </c>
      <c r="E26" s="1" t="n">
        <f aca="false">EXP(C$10:C$1048576)</f>
        <v>0.201896517994655</v>
      </c>
      <c r="F26" s="1" t="n">
        <f aca="false">EXP(D$10:D$1048576)</f>
        <v>0.367879441171442</v>
      </c>
      <c r="G26" s="1" t="n">
        <f aca="false">EXP(UTIL1)/(EXP(UTIL1)+EXP(UTIL2))</f>
        <v>0.354343693774205</v>
      </c>
      <c r="H26" s="1" t="n">
        <f aca="false">EXP(UTIL2)/(EXP(UTIL1)+EXP(UTIL2))</f>
        <v>0.645656306225796</v>
      </c>
      <c r="I26" s="1" t="n">
        <f aca="false">Cost1</f>
        <v>1.6</v>
      </c>
      <c r="J26" s="1" t="n">
        <f aca="false">LN(EXP(UTIL1)+EXP(UTIL2))</f>
        <v>-0.562512049514115</v>
      </c>
      <c r="K26" s="1" t="n">
        <f aca="false">PROB1*UTIL1+PROB2*UTIL2</f>
        <v>-1.21260621626452</v>
      </c>
    </row>
    <row r="27" customFormat="false" ht="13" hidden="false" customHeight="false" outlineLevel="0" collapsed="false">
      <c r="A27" s="1" t="n">
        <f aca="false">A26+0.1</f>
        <v>1.7</v>
      </c>
      <c r="B27" s="1" t="n">
        <v>1</v>
      </c>
      <c r="C27" s="1" t="n">
        <f aca="false">Alpha+Beta*Cost1</f>
        <v>-1.7</v>
      </c>
      <c r="D27" s="1" t="n">
        <f aca="false">Alpha+Beta*Cost2</f>
        <v>-1</v>
      </c>
      <c r="E27" s="1" t="n">
        <f aca="false">EXP(C$10:C$1048576)</f>
        <v>0.182683524052735</v>
      </c>
      <c r="F27" s="1" t="n">
        <f aca="false">EXP(D$10:D$1048576)</f>
        <v>0.367879441171442</v>
      </c>
      <c r="G27" s="1" t="n">
        <f aca="false">EXP(UTIL1)/(EXP(UTIL1)+EXP(UTIL2))</f>
        <v>0.331812227831834</v>
      </c>
      <c r="H27" s="1" t="n">
        <f aca="false">EXP(UTIL2)/(EXP(UTIL1)+EXP(UTIL2))</f>
        <v>0.668187772168166</v>
      </c>
      <c r="I27" s="1" t="n">
        <f aca="false">Cost1</f>
        <v>1.7</v>
      </c>
      <c r="J27" s="1" t="n">
        <f aca="false">LN(EXP(UTIL1)+EXP(UTIL2))</f>
        <v>-0.596813951114542</v>
      </c>
      <c r="K27" s="1" t="n">
        <f aca="false">PROB1*UTIL1+PROB2*UTIL2</f>
        <v>-1.23226855948228</v>
      </c>
    </row>
    <row r="28" customFormat="false" ht="13" hidden="false" customHeight="false" outlineLevel="0" collapsed="false">
      <c r="A28" s="1" t="n">
        <f aca="false">A27+0.1</f>
        <v>1.8</v>
      </c>
      <c r="B28" s="1" t="n">
        <v>1</v>
      </c>
      <c r="C28" s="1" t="n">
        <f aca="false">Alpha+Beta*Cost1</f>
        <v>-1.8</v>
      </c>
      <c r="D28" s="1" t="n">
        <f aca="false">Alpha+Beta*Cost2</f>
        <v>-1</v>
      </c>
      <c r="E28" s="1" t="n">
        <f aca="false">EXP(C$10:C$1048576)</f>
        <v>0.165298888221586</v>
      </c>
      <c r="F28" s="1" t="n">
        <f aca="false">EXP(D$10:D$1048576)</f>
        <v>0.367879441171442</v>
      </c>
      <c r="G28" s="1" t="n">
        <f aca="false">EXP(UTIL1)/(EXP(UTIL1)+EXP(UTIL2))</f>
        <v>0.310025518872387</v>
      </c>
      <c r="H28" s="1" t="n">
        <f aca="false">EXP(UTIL2)/(EXP(UTIL1)+EXP(UTIL2))</f>
        <v>0.689974481127613</v>
      </c>
      <c r="I28" s="1" t="n">
        <f aca="false">Cost1</f>
        <v>1.8</v>
      </c>
      <c r="J28" s="1" t="n">
        <f aca="false">LN(EXP(UTIL1)+EXP(UTIL2))</f>
        <v>-0.628899334052222</v>
      </c>
      <c r="K28" s="1" t="n">
        <f aca="false">PROB1*UTIL1+PROB2*UTIL2</f>
        <v>-1.24802041509791</v>
      </c>
    </row>
    <row r="29" customFormat="false" ht="13" hidden="false" customHeight="false" outlineLevel="0" collapsed="false">
      <c r="A29" s="1" t="n">
        <f aca="false">A28+0.1</f>
        <v>1.9</v>
      </c>
      <c r="B29" s="1" t="n">
        <v>1</v>
      </c>
      <c r="C29" s="1" t="n">
        <f aca="false">Alpha+Beta*Cost1</f>
        <v>-1.9</v>
      </c>
      <c r="D29" s="1" t="n">
        <f aca="false">Alpha+Beta*Cost2</f>
        <v>-1</v>
      </c>
      <c r="E29" s="1" t="n">
        <f aca="false">EXP(C$10:C$1048576)</f>
        <v>0.149568619222635</v>
      </c>
      <c r="F29" s="1" t="n">
        <f aca="false">EXP(D$10:D$1048576)</f>
        <v>0.367879441171442</v>
      </c>
      <c r="G29" s="1" t="n">
        <f aca="false">EXP(UTIL1)/(EXP(UTIL1)+EXP(UTIL2))</f>
        <v>0.289050497374996</v>
      </c>
      <c r="H29" s="1" t="n">
        <f aca="false">EXP(UTIL2)/(EXP(UTIL1)+EXP(UTIL2))</f>
        <v>0.710949502625004</v>
      </c>
      <c r="I29" s="1" t="n">
        <f aca="false">Cost1</f>
        <v>1.9</v>
      </c>
      <c r="J29" s="1" t="n">
        <f aca="false">LN(EXP(UTIL1)+EXP(UTIL2))</f>
        <v>-0.658846125267912</v>
      </c>
      <c r="K29" s="1" t="n">
        <f aca="false">PROB1*UTIL1+PROB2*UTIL2</f>
        <v>-1.2601454476375</v>
      </c>
    </row>
    <row r="30" customFormat="false" ht="13" hidden="false" customHeight="false" outlineLevel="0" collapsed="false">
      <c r="A30" s="1" t="n">
        <f aca="false">A29+0.1</f>
        <v>2</v>
      </c>
      <c r="B30" s="1" t="n">
        <v>1</v>
      </c>
      <c r="C30" s="1" t="n">
        <f aca="false">Alpha+Beta*Cost1</f>
        <v>-2</v>
      </c>
      <c r="D30" s="1" t="n">
        <f aca="false">Alpha+Beta*Cost2</f>
        <v>-1</v>
      </c>
      <c r="E30" s="1" t="n">
        <f aca="false">EXP(C$10:C$1048576)</f>
        <v>0.135335283236613</v>
      </c>
      <c r="F30" s="1" t="n">
        <f aca="false">EXP(D$10:D$1048576)</f>
        <v>0.367879441171442</v>
      </c>
      <c r="G30" s="1" t="n">
        <f aca="false">EXP(UTIL1)/(EXP(UTIL1)+EXP(UTIL2))</f>
        <v>0.268941421369995</v>
      </c>
      <c r="H30" s="1" t="n">
        <f aca="false">EXP(UTIL2)/(EXP(UTIL1)+EXP(UTIL2))</f>
        <v>0.731058578630005</v>
      </c>
      <c r="I30" s="1" t="n">
        <f aca="false">Cost1</f>
        <v>2</v>
      </c>
      <c r="J30" s="1" t="n">
        <f aca="false">LN(EXP(UTIL1)+EXP(UTIL2))</f>
        <v>-0.686738312481777</v>
      </c>
      <c r="K30" s="1" t="n">
        <f aca="false">PROB1*UTIL1+PROB2*UTIL2</f>
        <v>-1.26894142137</v>
      </c>
    </row>
    <row r="31" customFormat="false" ht="13" hidden="false" customHeight="false" outlineLevel="0" collapsed="false">
      <c r="A31" s="1" t="n">
        <f aca="false">A30+0.1</f>
        <v>2.1</v>
      </c>
      <c r="B31" s="1" t="n">
        <v>1</v>
      </c>
      <c r="C31" s="1" t="n">
        <f aca="false">Alpha+Beta*Cost1</f>
        <v>-2.1</v>
      </c>
      <c r="D31" s="1" t="n">
        <f aca="false">Alpha+Beta*Cost2</f>
        <v>-1</v>
      </c>
      <c r="E31" s="1" t="n">
        <f aca="false">EXP(C$10:C$1048576)</f>
        <v>0.122456428252982</v>
      </c>
      <c r="F31" s="1" t="n">
        <f aca="false">EXP(D$10:D$1048576)</f>
        <v>0.367879441171442</v>
      </c>
      <c r="G31" s="1" t="n">
        <f aca="false">EXP(UTIL1)/(EXP(UTIL1)+EXP(UTIL2))</f>
        <v>0.249739894404882</v>
      </c>
      <c r="H31" s="1" t="n">
        <f aca="false">EXP(UTIL2)/(EXP(UTIL1)+EXP(UTIL2))</f>
        <v>0.750260105595118</v>
      </c>
      <c r="I31" s="1" t="n">
        <f aca="false">Cost1</f>
        <v>2.1</v>
      </c>
      <c r="J31" s="1" t="n">
        <f aca="false">LN(EXP(UTIL1)+EXP(UTIL2))</f>
        <v>-0.712664674884569</v>
      </c>
      <c r="K31" s="1" t="n">
        <f aca="false">PROB1*UTIL1+PROB2*UTIL2</f>
        <v>-1.27471388384537</v>
      </c>
    </row>
    <row r="32" customFormat="false" ht="13" hidden="false" customHeight="false" outlineLevel="0" collapsed="false">
      <c r="A32" s="1" t="n">
        <f aca="false">A31+0.1</f>
        <v>2.2</v>
      </c>
      <c r="B32" s="1" t="n">
        <v>1</v>
      </c>
      <c r="C32" s="1" t="n">
        <f aca="false">Alpha+Beta*Cost1</f>
        <v>-2.2</v>
      </c>
      <c r="D32" s="1" t="n">
        <f aca="false">Alpha+Beta*Cost2</f>
        <v>-1</v>
      </c>
      <c r="E32" s="1" t="n">
        <f aca="false">EXP(C$10:C$1048576)</f>
        <v>0.110803158362334</v>
      </c>
      <c r="F32" s="1" t="n">
        <f aca="false">EXP(D$10:D$1048576)</f>
        <v>0.367879441171442</v>
      </c>
      <c r="G32" s="1" t="n">
        <f aca="false">EXP(UTIL1)/(EXP(UTIL1)+EXP(UTIL2))</f>
        <v>0.231475216500982</v>
      </c>
      <c r="H32" s="1" t="n">
        <f aca="false">EXP(UTIL2)/(EXP(UTIL1)+EXP(UTIL2))</f>
        <v>0.768524783499018</v>
      </c>
      <c r="I32" s="1" t="n">
        <f aca="false">Cost1</f>
        <v>2.2</v>
      </c>
      <c r="J32" s="1" t="n">
        <f aca="false">LN(EXP(UTIL1)+EXP(UTIL2))</f>
        <v>-0.736717532661969</v>
      </c>
      <c r="K32" s="1" t="n">
        <f aca="false">PROB1*UTIL1+PROB2*UTIL2</f>
        <v>-1.27777025980118</v>
      </c>
    </row>
    <row r="33" customFormat="false" ht="13" hidden="false" customHeight="false" outlineLevel="0" collapsed="false">
      <c r="A33" s="1" t="n">
        <f aca="false">A32+0.1</f>
        <v>2.3</v>
      </c>
      <c r="B33" s="1" t="n">
        <v>1</v>
      </c>
      <c r="C33" s="1" t="n">
        <f aca="false">Alpha+Beta*Cost1</f>
        <v>-2.3</v>
      </c>
      <c r="D33" s="1" t="n">
        <f aca="false">Alpha+Beta*Cost2</f>
        <v>-1</v>
      </c>
      <c r="E33" s="1" t="n">
        <f aca="false">EXP(C$10:C$1048576)</f>
        <v>0.100258843722804</v>
      </c>
      <c r="F33" s="1" t="n">
        <f aca="false">EXP(D$10:D$1048576)</f>
        <v>0.367879441171442</v>
      </c>
      <c r="G33" s="1" t="n">
        <f aca="false">EXP(UTIL1)/(EXP(UTIL1)+EXP(UTIL2))</f>
        <v>0.214165016957441</v>
      </c>
      <c r="H33" s="1" t="n">
        <f aca="false">EXP(UTIL2)/(EXP(UTIL1)+EXP(UTIL2))</f>
        <v>0.785834983042559</v>
      </c>
      <c r="I33" s="1" t="n">
        <f aca="false">Cost1</f>
        <v>2.3</v>
      </c>
      <c r="J33" s="1" t="n">
        <f aca="false">LN(EXP(UTIL1)+EXP(UTIL2))</f>
        <v>-0.758991546167008</v>
      </c>
      <c r="K33" s="1" t="n">
        <f aca="false">PROB1*UTIL1+PROB2*UTIL2</f>
        <v>-1.27841452204467</v>
      </c>
    </row>
    <row r="34" customFormat="false" ht="13" hidden="false" customHeight="false" outlineLevel="0" collapsed="false">
      <c r="A34" s="1" t="n">
        <f aca="false">A33+0.1</f>
        <v>2.4</v>
      </c>
      <c r="B34" s="1" t="n">
        <v>1</v>
      </c>
      <c r="C34" s="1" t="n">
        <f aca="false">Alpha+Beta*Cost1</f>
        <v>-2.4</v>
      </c>
      <c r="D34" s="1" t="n">
        <f aca="false">Alpha+Beta*Cost2</f>
        <v>-1</v>
      </c>
      <c r="E34" s="1" t="n">
        <f aca="false">EXP(C$10:C$1048576)</f>
        <v>0.0907179532894124</v>
      </c>
      <c r="F34" s="1" t="n">
        <f aca="false">EXP(D$10:D$1048576)</f>
        <v>0.367879441171442</v>
      </c>
      <c r="G34" s="1" t="n">
        <f aca="false">EXP(UTIL1)/(EXP(UTIL1)+EXP(UTIL2))</f>
        <v>0.197816111441418</v>
      </c>
      <c r="H34" s="1" t="n">
        <f aca="false">EXP(UTIL2)/(EXP(UTIL1)+EXP(UTIL2))</f>
        <v>0.802183888558582</v>
      </c>
      <c r="I34" s="1" t="n">
        <f aca="false">Cost1</f>
        <v>2.4</v>
      </c>
      <c r="J34" s="1" t="n">
        <f aca="false">LN(EXP(UTIL1)+EXP(UTIL2))</f>
        <v>-0.779582590081549</v>
      </c>
      <c r="K34" s="1" t="n">
        <f aca="false">PROB1*UTIL1+PROB2*UTIL2</f>
        <v>-1.27694255601799</v>
      </c>
    </row>
    <row r="35" customFormat="false" ht="13" hidden="false" customHeight="false" outlineLevel="0" collapsed="false">
      <c r="A35" s="1" t="n">
        <f aca="false">A34+0.1</f>
        <v>2.5</v>
      </c>
      <c r="B35" s="1" t="n">
        <v>1</v>
      </c>
      <c r="C35" s="1" t="n">
        <f aca="false">Alpha+Beta*Cost1</f>
        <v>-2.5</v>
      </c>
      <c r="D35" s="1" t="n">
        <f aca="false">Alpha+Beta*Cost2</f>
        <v>-1</v>
      </c>
      <c r="E35" s="1" t="n">
        <f aca="false">EXP(C$10:C$1048576)</f>
        <v>0.0820849986238987</v>
      </c>
      <c r="F35" s="1" t="n">
        <f aca="false">EXP(D$10:D$1048576)</f>
        <v>0.367879441171442</v>
      </c>
      <c r="G35" s="1" t="n">
        <f aca="false">EXP(UTIL1)/(EXP(UTIL1)+EXP(UTIL2))</f>
        <v>0.182425523806356</v>
      </c>
      <c r="H35" s="1" t="n">
        <f aca="false">EXP(UTIL2)/(EXP(UTIL1)+EXP(UTIL2))</f>
        <v>0.817574476193644</v>
      </c>
      <c r="I35" s="1" t="n">
        <f aca="false">Cost1</f>
        <v>2.5</v>
      </c>
      <c r="J35" s="1" t="n">
        <f aca="false">LN(EXP(UTIL1)+EXP(UTIL2))</f>
        <v>-0.798586722017248</v>
      </c>
      <c r="K35" s="1" t="n">
        <f aca="false">PROB1*UTIL1+PROB2*UTIL2</f>
        <v>-1.27363828570953</v>
      </c>
    </row>
    <row r="36" customFormat="false" ht="13" hidden="false" customHeight="false" outlineLevel="0" collapsed="false">
      <c r="A36" s="1" t="n">
        <f aca="false">A35+0.1</f>
        <v>2.6</v>
      </c>
      <c r="B36" s="1" t="n">
        <v>1</v>
      </c>
      <c r="C36" s="1" t="n">
        <f aca="false">Alpha+Beta*Cost1</f>
        <v>-2.6</v>
      </c>
      <c r="D36" s="1" t="n">
        <f aca="false">Alpha+Beta*Cost2</f>
        <v>-1</v>
      </c>
      <c r="E36" s="1" t="n">
        <f aca="false">EXP(C$10:C$1048576)</f>
        <v>0.0742735782143338</v>
      </c>
      <c r="F36" s="1" t="n">
        <f aca="false">EXP(D$10:D$1048576)</f>
        <v>0.367879441171442</v>
      </c>
      <c r="G36" s="1" t="n">
        <f aca="false">EXP(UTIL1)/(EXP(UTIL1)+EXP(UTIL2))</f>
        <v>0.167981614866075</v>
      </c>
      <c r="H36" s="1" t="n">
        <f aca="false">EXP(UTIL2)/(EXP(UTIL1)+EXP(UTIL2))</f>
        <v>0.832018385133925</v>
      </c>
      <c r="I36" s="1" t="n">
        <f aca="false">Cost1</f>
        <v>2.6</v>
      </c>
      <c r="J36" s="1" t="n">
        <f aca="false">LN(EXP(UTIL1)+EXP(UTIL2))</f>
        <v>-0.816099259111661</v>
      </c>
      <c r="K36" s="1" t="n">
        <f aca="false">PROB1*UTIL1+PROB2*UTIL2</f>
        <v>-1.26877058378572</v>
      </c>
    </row>
    <row r="37" customFormat="false" ht="13" hidden="false" customHeight="false" outlineLevel="0" collapsed="false">
      <c r="A37" s="1" t="n">
        <f aca="false">A36+0.1</f>
        <v>2.7</v>
      </c>
      <c r="B37" s="1" t="n">
        <v>1</v>
      </c>
      <c r="C37" s="1" t="n">
        <f aca="false">Alpha+Beta*Cost1</f>
        <v>-2.7</v>
      </c>
      <c r="D37" s="1" t="n">
        <f aca="false">Alpha+Beta*Cost2</f>
        <v>-1</v>
      </c>
      <c r="E37" s="1" t="n">
        <f aca="false">EXP(C$10:C$1048576)</f>
        <v>0.0672055127397497</v>
      </c>
      <c r="F37" s="1" t="n">
        <f aca="false">EXP(D$10:D$1048576)</f>
        <v>0.367879441171442</v>
      </c>
      <c r="G37" s="1" t="n">
        <f aca="false">EXP(UTIL1)/(EXP(UTIL1)+EXP(UTIL2))</f>
        <v>0.154465265083535</v>
      </c>
      <c r="H37" s="1" t="n">
        <f aca="false">EXP(UTIL2)/(EXP(UTIL1)+EXP(UTIL2))</f>
        <v>0.845534734916466</v>
      </c>
      <c r="I37" s="1" t="n">
        <f aca="false">Cost1</f>
        <v>2.7</v>
      </c>
      <c r="J37" s="1" t="n">
        <f aca="false">LN(EXP(UTIL1)+EXP(UTIL2))</f>
        <v>-0.832213970613734</v>
      </c>
      <c r="K37" s="1" t="n">
        <f aca="false">PROB1*UTIL1+PROB2*UTIL2</f>
        <v>-1.26259095064201</v>
      </c>
    </row>
    <row r="38" customFormat="false" ht="13" hidden="false" customHeight="false" outlineLevel="0" collapsed="false">
      <c r="A38" s="1" t="n">
        <f aca="false">A37+0.1</f>
        <v>2.8</v>
      </c>
      <c r="B38" s="1" t="n">
        <v>1</v>
      </c>
      <c r="C38" s="1" t="n">
        <f aca="false">Alpha+Beta*Cost1</f>
        <v>-2.8</v>
      </c>
      <c r="D38" s="1" t="n">
        <f aca="false">Alpha+Beta*Cost2</f>
        <v>-1</v>
      </c>
      <c r="E38" s="1" t="n">
        <f aca="false">EXP(C$10:C$1048576)</f>
        <v>0.0608100626252179</v>
      </c>
      <c r="F38" s="1" t="n">
        <f aca="false">EXP(D$10:D$1048576)</f>
        <v>0.367879441171442</v>
      </c>
      <c r="G38" s="1" t="n">
        <f aca="false">EXP(UTIL1)/(EXP(UTIL1)+EXP(UTIL2))</f>
        <v>0.141851064900488</v>
      </c>
      <c r="H38" s="1" t="n">
        <f aca="false">EXP(UTIL2)/(EXP(UTIL1)+EXP(UTIL2))</f>
        <v>0.858148935099512</v>
      </c>
      <c r="I38" s="1" t="n">
        <f aca="false">Cost1</f>
        <v>2.8</v>
      </c>
      <c r="J38" s="1" t="n">
        <f aca="false">LN(EXP(UTIL1)+EXP(UTIL2))</f>
        <v>-0.847022389473926</v>
      </c>
      <c r="K38" s="1" t="n">
        <f aca="false">PROB1*UTIL1+PROB2*UTIL2</f>
        <v>-1.25533191682088</v>
      </c>
    </row>
    <row r="39" customFormat="false" ht="13" hidden="false" customHeight="false" outlineLevel="0" collapsed="false">
      <c r="A39" s="1" t="n">
        <f aca="false">A38+0.1</f>
        <v>2.9</v>
      </c>
      <c r="B39" s="1" t="n">
        <v>1</v>
      </c>
      <c r="C39" s="1" t="n">
        <f aca="false">Alpha+Beta*Cost1</f>
        <v>-2.9</v>
      </c>
      <c r="D39" s="1" t="n">
        <f aca="false">Alpha+Beta*Cost2</f>
        <v>-1</v>
      </c>
      <c r="E39" s="1" t="n">
        <f aca="false">EXP(C$10:C$1048576)</f>
        <v>0.0550232200564072</v>
      </c>
      <c r="F39" s="1" t="n">
        <f aca="false">EXP(D$10:D$1048576)</f>
        <v>0.367879441171442</v>
      </c>
      <c r="G39" s="1" t="n">
        <f aca="false">EXP(UTIL1)/(EXP(UTIL1)+EXP(UTIL2))</f>
        <v>0.130108474362998</v>
      </c>
      <c r="H39" s="1" t="n">
        <f aca="false">EXP(UTIL2)/(EXP(UTIL1)+EXP(UTIL2))</f>
        <v>0.869891525637002</v>
      </c>
      <c r="I39" s="1" t="n">
        <f aca="false">Cost1</f>
        <v>2.9</v>
      </c>
      <c r="J39" s="1" t="n">
        <f aca="false">LN(EXP(UTIL1)+EXP(UTIL2))</f>
        <v>-0.86061324171704</v>
      </c>
      <c r="K39" s="1" t="n">
        <f aca="false">PROB1*UTIL1+PROB2*UTIL2</f>
        <v>-1.2472061012897</v>
      </c>
    </row>
    <row r="40" customFormat="false" ht="13" hidden="false" customHeight="false" outlineLevel="0" collapsed="false">
      <c r="A40" s="1" t="n">
        <f aca="false">A39+0.1</f>
        <v>3</v>
      </c>
      <c r="B40" s="1" t="n">
        <v>1</v>
      </c>
      <c r="C40" s="1" t="n">
        <f aca="false">Alpha+Beta*Cost1</f>
        <v>-3</v>
      </c>
      <c r="D40" s="1" t="n">
        <f aca="false">Alpha+Beta*Cost2</f>
        <v>-1</v>
      </c>
      <c r="E40" s="1" t="n">
        <f aca="false">EXP(C$10:C$1048576)</f>
        <v>0.0497870683678639</v>
      </c>
      <c r="F40" s="1" t="n">
        <f aca="false">EXP(D$10:D$1048576)</f>
        <v>0.367879441171442</v>
      </c>
      <c r="G40" s="1" t="n">
        <f aca="false">EXP(UTIL1)/(EXP(UTIL1)+EXP(UTIL2))</f>
        <v>0.119202922022117</v>
      </c>
      <c r="H40" s="1" t="n">
        <f aca="false">EXP(UTIL2)/(EXP(UTIL1)+EXP(UTIL2))</f>
        <v>0.880797077977883</v>
      </c>
      <c r="I40" s="1" t="n">
        <f aca="false">Cost1</f>
        <v>3</v>
      </c>
      <c r="J40" s="1" t="n">
        <f aca="false">LN(EXP(UTIL1)+EXP(UTIL2))</f>
        <v>-0.873071988957028</v>
      </c>
      <c r="K40" s="1" t="n">
        <f aca="false">PROB1*UTIL1+PROB2*UTIL2</f>
        <v>-1.23840584404424</v>
      </c>
    </row>
    <row r="41" customFormat="false" ht="13" hidden="false" customHeight="false" outlineLevel="0" collapsed="false">
      <c r="A41" s="1" t="n">
        <f aca="false">A40+0.1</f>
        <v>3.1</v>
      </c>
      <c r="B41" s="1" t="n">
        <v>1</v>
      </c>
      <c r="C41" s="1" t="n">
        <f aca="false">Alpha+Beta*Cost1</f>
        <v>-3.1</v>
      </c>
      <c r="D41" s="1" t="n">
        <f aca="false">Alpha+Beta*Cost2</f>
        <v>-1</v>
      </c>
      <c r="E41" s="1" t="n">
        <f aca="false">EXP(C$10:C$1048576)</f>
        <v>0.0450492023935577</v>
      </c>
      <c r="F41" s="1" t="n">
        <f aca="false">EXP(D$10:D$1048576)</f>
        <v>0.367879441171442</v>
      </c>
      <c r="G41" s="1" t="n">
        <f aca="false">EXP(UTIL1)/(EXP(UTIL1)+EXP(UTIL2))</f>
        <v>0.109096821195613</v>
      </c>
      <c r="H41" s="1" t="n">
        <f aca="false">EXP(UTIL2)/(EXP(UTIL1)+EXP(UTIL2))</f>
        <v>0.890903178804387</v>
      </c>
      <c r="I41" s="1" t="n">
        <f aca="false">Cost1</f>
        <v>3.1</v>
      </c>
      <c r="J41" s="1" t="n">
        <f aca="false">LN(EXP(UTIL1)+EXP(UTIL2))</f>
        <v>-0.884480476820245</v>
      </c>
      <c r="K41" s="1" t="n">
        <f aca="false">PROB1*UTIL1+PROB2*UTIL2</f>
        <v>-1.22910332451079</v>
      </c>
    </row>
    <row r="42" customFormat="false" ht="13" hidden="false" customHeight="false" outlineLevel="0" collapsed="false">
      <c r="A42" s="1" t="n">
        <f aca="false">A41+0.1</f>
        <v>3.2</v>
      </c>
      <c r="B42" s="1" t="n">
        <v>1</v>
      </c>
      <c r="C42" s="1" t="n">
        <f aca="false">Alpha+Beta*Cost1</f>
        <v>-3.2</v>
      </c>
      <c r="D42" s="1" t="n">
        <f aca="false">Alpha+Beta*Cost2</f>
        <v>-1</v>
      </c>
      <c r="E42" s="1" t="n">
        <f aca="false">EXP(C$10:C$1048576)</f>
        <v>0.0407622039783662</v>
      </c>
      <c r="F42" s="1" t="n">
        <f aca="false">EXP(D$10:D$1048576)</f>
        <v>0.367879441171442</v>
      </c>
      <c r="G42" s="1" t="n">
        <f aca="false">EXP(UTIL1)/(EXP(UTIL1)+EXP(UTIL2))</f>
        <v>0.099750489119685</v>
      </c>
      <c r="H42" s="1" t="n">
        <f aca="false">EXP(UTIL2)/(EXP(UTIL1)+EXP(UTIL2))</f>
        <v>0.900249510880315</v>
      </c>
      <c r="I42" s="1" t="n">
        <f aca="false">Cost1</f>
        <v>3.2</v>
      </c>
      <c r="J42" s="1" t="n">
        <f aca="false">LN(EXP(UTIL1)+EXP(UTIL2))</f>
        <v>-0.894916680231304</v>
      </c>
      <c r="K42" s="1" t="n">
        <f aca="false">PROB1*UTIL1+PROB2*UTIL2</f>
        <v>-1.21945107606331</v>
      </c>
    </row>
    <row r="43" customFormat="false" ht="13" hidden="false" customHeight="false" outlineLevel="0" collapsed="false">
      <c r="A43" s="1" t="n">
        <f aca="false">A42+0.1</f>
        <v>3.3</v>
      </c>
      <c r="B43" s="1" t="n">
        <v>1</v>
      </c>
      <c r="C43" s="1" t="n">
        <f aca="false">Alpha+Beta*Cost1</f>
        <v>-3.3</v>
      </c>
      <c r="D43" s="1" t="n">
        <f aca="false">Alpha+Beta*Cost2</f>
        <v>-1</v>
      </c>
      <c r="E43" s="1" t="n">
        <f aca="false">EXP(C$10:C$1048576)</f>
        <v>0.0368831674012399</v>
      </c>
      <c r="F43" s="1" t="n">
        <f aca="false">EXP(D$10:D$1048576)</f>
        <v>0.367879441171442</v>
      </c>
      <c r="G43" s="1" t="n">
        <f aca="false">EXP(UTIL1)/(EXP(UTIL1)+EXP(UTIL2))</f>
        <v>0.091122961014856</v>
      </c>
      <c r="H43" s="1" t="n">
        <f aca="false">EXP(UTIL2)/(EXP(UTIL1)+EXP(UTIL2))</f>
        <v>0.908877038985144</v>
      </c>
      <c r="I43" s="1" t="n">
        <f aca="false">Cost1</f>
        <v>3.3</v>
      </c>
      <c r="J43" s="1" t="n">
        <f aca="false">LN(EXP(UTIL1)+EXP(UTIL2))</f>
        <v>-0.904454535402037</v>
      </c>
      <c r="K43" s="1" t="n">
        <f aca="false">PROB1*UTIL1+PROB2*UTIL2</f>
        <v>-1.20958281033417</v>
      </c>
    </row>
    <row r="44" customFormat="false" ht="13" hidden="false" customHeight="false" outlineLevel="0" collapsed="false">
      <c r="A44" s="1" t="n">
        <f aca="false">A43+0.1</f>
        <v>3.4</v>
      </c>
      <c r="B44" s="1" t="n">
        <v>1</v>
      </c>
      <c r="C44" s="1" t="n">
        <f aca="false">Alpha+Beta*Cost1</f>
        <v>-3.4</v>
      </c>
      <c r="D44" s="1" t="n">
        <f aca="false">Alpha+Beta*Cost2</f>
        <v>-1</v>
      </c>
      <c r="E44" s="1" t="n">
        <f aca="false">EXP(C$10:C$1048576)</f>
        <v>0.033373269960326</v>
      </c>
      <c r="F44" s="1" t="n">
        <f aca="false">EXP(D$10:D$1048576)</f>
        <v>0.367879441171442</v>
      </c>
      <c r="G44" s="1" t="n">
        <f aca="false">EXP(UTIL1)/(EXP(UTIL1)+EXP(UTIL2))</f>
        <v>0.0831726964939222</v>
      </c>
      <c r="H44" s="1" t="n">
        <f aca="false">EXP(UTIL2)/(EXP(UTIL1)+EXP(UTIL2))</f>
        <v>0.916827303506078</v>
      </c>
      <c r="I44" s="1" t="n">
        <f aca="false">Cost1</f>
        <v>3.4</v>
      </c>
      <c r="J44" s="1" t="n">
        <f aca="false">LN(EXP(UTIL1)+EXP(UTIL2))</f>
        <v>-0.91316384784605</v>
      </c>
      <c r="K44" s="1" t="n">
        <f aca="false">PROB1*UTIL1+PROB2*UTIL2</f>
        <v>-1.19961447158541</v>
      </c>
    </row>
    <row r="45" customFormat="false" ht="13" hidden="false" customHeight="false" outlineLevel="0" collapsed="false">
      <c r="A45" s="1" t="n">
        <f aca="false">A44+0.1</f>
        <v>3.5</v>
      </c>
      <c r="B45" s="1" t="n">
        <v>1</v>
      </c>
      <c r="C45" s="1" t="n">
        <f aca="false">Alpha+Beta*Cost1</f>
        <v>-3.5</v>
      </c>
      <c r="D45" s="1" t="n">
        <f aca="false">Alpha+Beta*Cost2</f>
        <v>-1</v>
      </c>
      <c r="E45" s="1" t="n">
        <f aca="false">EXP(C$10:C$1048576)</f>
        <v>0.0301973834223184</v>
      </c>
      <c r="F45" s="1" t="n">
        <f aca="false">EXP(D$10:D$1048576)</f>
        <v>0.367879441171442</v>
      </c>
      <c r="G45" s="1" t="n">
        <f aca="false">EXP(UTIL1)/(EXP(UTIL1)+EXP(UTIL2))</f>
        <v>0.0758581800212434</v>
      </c>
      <c r="H45" s="1" t="n">
        <f aca="false">EXP(UTIL2)/(EXP(UTIL1)+EXP(UTIL2))</f>
        <v>0.924141819978757</v>
      </c>
      <c r="I45" s="1" t="n">
        <f aca="false">Cost1</f>
        <v>3.5</v>
      </c>
      <c r="J45" s="1" t="n">
        <f aca="false">LN(EXP(UTIL1)+EXP(UTIL2))</f>
        <v>-0.921110265707451</v>
      </c>
      <c r="K45" s="1" t="n">
        <f aca="false">PROB1*UTIL1+PROB2*UTIL2</f>
        <v>-1.18964545005311</v>
      </c>
    </row>
    <row r="46" customFormat="false" ht="13" hidden="false" customHeight="false" outlineLevel="0" collapsed="false">
      <c r="A46" s="1" t="n">
        <f aca="false">A45+0.1</f>
        <v>3.6</v>
      </c>
      <c r="B46" s="1" t="n">
        <v>1</v>
      </c>
      <c r="C46" s="1" t="n">
        <f aca="false">Alpha+Beta*Cost1</f>
        <v>-3.6</v>
      </c>
      <c r="D46" s="1" t="n">
        <f aca="false">Alpha+Beta*Cost2</f>
        <v>-1</v>
      </c>
      <c r="E46" s="1" t="n">
        <f aca="false">EXP(C$10:C$1048576)</f>
        <v>0.0273237224472925</v>
      </c>
      <c r="F46" s="1" t="n">
        <f aca="false">EXP(D$10:D$1048576)</f>
        <v>0.367879441171442</v>
      </c>
      <c r="G46" s="1" t="n">
        <f aca="false">EXP(UTIL1)/(EXP(UTIL1)+EXP(UTIL2))</f>
        <v>0.0691384203433467</v>
      </c>
      <c r="H46" s="1" t="n">
        <f aca="false">EXP(UTIL2)/(EXP(UTIL1)+EXP(UTIL2))</f>
        <v>0.930861579656653</v>
      </c>
      <c r="I46" s="1" t="n">
        <f aca="false">Cost1</f>
        <v>3.6</v>
      </c>
      <c r="J46" s="1" t="n">
        <f aca="false">LN(EXP(UTIL1)+EXP(UTIL2))</f>
        <v>-0.92835530803233</v>
      </c>
      <c r="K46" s="1" t="n">
        <f aca="false">PROB1*UTIL1+PROB2*UTIL2</f>
        <v>-1.1797598928927</v>
      </c>
    </row>
    <row r="47" customFormat="false" ht="13" hidden="false" customHeight="false" outlineLevel="0" collapsed="false">
      <c r="A47" s="1" t="n">
        <f aca="false">A46+0.1</f>
        <v>3.7</v>
      </c>
      <c r="B47" s="1" t="n">
        <v>1</v>
      </c>
      <c r="C47" s="1" t="n">
        <f aca="false">Alpha+Beta*Cost1</f>
        <v>-3.7</v>
      </c>
      <c r="D47" s="1" t="n">
        <f aca="false">Alpha+Beta*Cost2</f>
        <v>-1</v>
      </c>
      <c r="E47" s="1" t="n">
        <f aca="false">EXP(C$10:C$1048576)</f>
        <v>0.0247235264703393</v>
      </c>
      <c r="F47" s="1" t="n">
        <f aca="false">EXP(D$10:D$1048576)</f>
        <v>0.367879441171442</v>
      </c>
      <c r="G47" s="1" t="n">
        <f aca="false">EXP(UTIL1)/(EXP(UTIL1)+EXP(UTIL2))</f>
        <v>0.0629733560569964</v>
      </c>
      <c r="H47" s="1" t="n">
        <f aca="false">EXP(UTIL2)/(EXP(UTIL1)+EXP(UTIL2))</f>
        <v>0.937026643943004</v>
      </c>
      <c r="I47" s="1" t="n">
        <f aca="false">Cost1</f>
        <v>3.7</v>
      </c>
      <c r="J47" s="1" t="n">
        <f aca="false">LN(EXP(UTIL1)+EXP(UTIL2))</f>
        <v>-0.93495643822341</v>
      </c>
      <c r="K47" s="1" t="n">
        <f aca="false">PROB1*UTIL1+PROB2*UTIL2</f>
        <v>-1.17002806135389</v>
      </c>
    </row>
    <row r="48" customFormat="false" ht="13" hidden="false" customHeight="false" outlineLevel="0" collapsed="false">
      <c r="A48" s="1" t="n">
        <f aca="false">A47+0.1</f>
        <v>3.8</v>
      </c>
      <c r="B48" s="1" t="n">
        <v>1</v>
      </c>
      <c r="C48" s="1" t="n">
        <f aca="false">Alpha+Beta*Cost1</f>
        <v>-3.8</v>
      </c>
      <c r="D48" s="1" t="n">
        <f aca="false">Alpha+Beta*Cost2</f>
        <v>-1</v>
      </c>
      <c r="E48" s="1" t="n">
        <f aca="false">EXP(C$10:C$1048576)</f>
        <v>0.0223707718561656</v>
      </c>
      <c r="F48" s="1" t="n">
        <f aca="false">EXP(D$10:D$1048576)</f>
        <v>0.367879441171442</v>
      </c>
      <c r="G48" s="1" t="n">
        <f aca="false">EXP(UTIL1)/(EXP(UTIL1)+EXP(UTIL2))</f>
        <v>0.0573241758988686</v>
      </c>
      <c r="H48" s="1" t="n">
        <f aca="false">EXP(UTIL2)/(EXP(UTIL1)+EXP(UTIL2))</f>
        <v>0.942675824101131</v>
      </c>
      <c r="I48" s="1" t="n">
        <f aca="false">Cost1</f>
        <v>3.8</v>
      </c>
      <c r="J48" s="1" t="n">
        <f aca="false">LN(EXP(UTIL1)+EXP(UTIL2))</f>
        <v>-0.940967173712029</v>
      </c>
      <c r="K48" s="1" t="n">
        <f aca="false">PROB1*UTIL1+PROB2*UTIL2</f>
        <v>-1.16050769251683</v>
      </c>
    </row>
    <row r="49" customFormat="false" ht="13" hidden="false" customHeight="false" outlineLevel="0" collapsed="false">
      <c r="A49" s="1" t="n">
        <f aca="false">A48+0.1</f>
        <v>3.9</v>
      </c>
      <c r="B49" s="1" t="n">
        <v>1</v>
      </c>
      <c r="C49" s="1" t="n">
        <f aca="false">Alpha+Beta*Cost1</f>
        <v>-3.9</v>
      </c>
      <c r="D49" s="1" t="n">
        <f aca="false">Alpha+Beta*Cost2</f>
        <v>-1</v>
      </c>
      <c r="E49" s="1" t="n">
        <f aca="false">EXP(C$10:C$1048576)</f>
        <v>0.0202419114458043</v>
      </c>
      <c r="F49" s="1" t="n">
        <f aca="false">EXP(D$10:D$1048576)</f>
        <v>0.367879441171442</v>
      </c>
      <c r="G49" s="1" t="n">
        <f aca="false">EXP(UTIL1)/(EXP(UTIL1)+EXP(UTIL2))</f>
        <v>0.0521535630784176</v>
      </c>
      <c r="H49" s="1" t="n">
        <f aca="false">EXP(UTIL2)/(EXP(UTIL1)+EXP(UTIL2))</f>
        <v>0.947846436921582</v>
      </c>
      <c r="I49" s="1" t="n">
        <f aca="false">Cost1</f>
        <v>3.9</v>
      </c>
      <c r="J49" s="1" t="n">
        <f aca="false">LN(EXP(UTIL1)+EXP(UTIL2))</f>
        <v>-0.946437223782037</v>
      </c>
      <c r="K49" s="1" t="n">
        <f aca="false">PROB1*UTIL1+PROB2*UTIL2</f>
        <v>-1.15124533292741</v>
      </c>
    </row>
    <row r="50" customFormat="false" ht="13" hidden="false" customHeight="false" outlineLevel="0" collapsed="false">
      <c r="A50" s="1" t="n">
        <f aca="false">A49+0.1</f>
        <v>4</v>
      </c>
      <c r="B50" s="1" t="n">
        <v>1</v>
      </c>
      <c r="C50" s="1" t="n">
        <f aca="false">Alpha+Beta*Cost1</f>
        <v>-4</v>
      </c>
      <c r="D50" s="1" t="n">
        <f aca="false">Alpha+Beta*Cost2</f>
        <v>-1</v>
      </c>
      <c r="E50" s="1" t="n">
        <f aca="false">EXP(C$10:C$1048576)</f>
        <v>0.0183156388887341</v>
      </c>
      <c r="F50" s="1" t="n">
        <f aca="false">EXP(D$10:D$1048576)</f>
        <v>0.367879441171442</v>
      </c>
      <c r="G50" s="1" t="n">
        <f aca="false">EXP(UTIL1)/(EXP(UTIL1)+EXP(UTIL2))</f>
        <v>0.0474258731775667</v>
      </c>
      <c r="H50" s="1" t="n">
        <f aca="false">EXP(UTIL2)/(EXP(UTIL1)+EXP(UTIL2))</f>
        <v>0.952574126822433</v>
      </c>
      <c r="I50" s="1" t="n">
        <f aca="false">Cost1</f>
        <v>4</v>
      </c>
      <c r="J50" s="1" t="n">
        <f aca="false">LN(EXP(UTIL1)+EXP(UTIL2))</f>
        <v>-0.951412648426258</v>
      </c>
      <c r="K50" s="1" t="n">
        <f aca="false">PROB1*UTIL1+PROB2*UTIL2</f>
        <v>-1.1422776195327</v>
      </c>
    </row>
    <row r="51" customFormat="false" ht="13" hidden="false" customHeight="false" outlineLevel="0" collapsed="false">
      <c r="A51" s="1" t="n">
        <f aca="false">A50+0.1</f>
        <v>4.1</v>
      </c>
      <c r="B51" s="1" t="n">
        <v>1</v>
      </c>
      <c r="C51" s="1" t="n">
        <f aca="false">Alpha+Beta*Cost1</f>
        <v>-4.1</v>
      </c>
      <c r="D51" s="1" t="n">
        <f aca="false">Alpha+Beta*Cost2</f>
        <v>-1</v>
      </c>
      <c r="E51" s="1" t="n">
        <f aca="false">EXP(C$10:C$1048576)</f>
        <v>0.0165726754017612</v>
      </c>
      <c r="F51" s="1" t="n">
        <f aca="false">EXP(D$10:D$1048576)</f>
        <v>0.367879441171442</v>
      </c>
      <c r="G51" s="1" t="n">
        <f aca="false">EXP(UTIL1)/(EXP(UTIL1)+EXP(UTIL2))</f>
        <v>0.0431072549410861</v>
      </c>
      <c r="H51" s="1" t="n">
        <f aca="false">EXP(UTIL2)/(EXP(UTIL1)+EXP(UTIL2))</f>
        <v>0.956892745058914</v>
      </c>
      <c r="I51" s="1" t="n">
        <f aca="false">Cost1</f>
        <v>4.1</v>
      </c>
      <c r="J51" s="1" t="n">
        <f aca="false">LN(EXP(UTIL1)+EXP(UTIL2))</f>
        <v>-0.955936032061426</v>
      </c>
      <c r="K51" s="1" t="n">
        <f aca="false">PROB1*UTIL1+PROB2*UTIL2</f>
        <v>-1.13363249031737</v>
      </c>
    </row>
    <row r="52" customFormat="false" ht="13" hidden="false" customHeight="false" outlineLevel="0" collapsed="false">
      <c r="A52" s="1" t="n">
        <f aca="false">A51+0.1</f>
        <v>4.2</v>
      </c>
      <c r="B52" s="1" t="n">
        <v>1</v>
      </c>
      <c r="C52" s="1" t="n">
        <f aca="false">Alpha+Beta*Cost1</f>
        <v>-4.2</v>
      </c>
      <c r="D52" s="1" t="n">
        <f aca="false">Alpha+Beta*Cost2</f>
        <v>-1</v>
      </c>
      <c r="E52" s="1" t="n">
        <f aca="false">EXP(C$10:C$1048576)</f>
        <v>0.0149955768204777</v>
      </c>
      <c r="F52" s="1" t="n">
        <f aca="false">EXP(D$10:D$1048576)</f>
        <v>0.367879441171442</v>
      </c>
      <c r="G52" s="1" t="n">
        <f aca="false">EXP(UTIL1)/(EXP(UTIL1)+EXP(UTIL2))</f>
        <v>0.0391657227967643</v>
      </c>
      <c r="H52" s="1" t="n">
        <f aca="false">EXP(UTIL2)/(EXP(UTIL1)+EXP(UTIL2))</f>
        <v>0.960834277203236</v>
      </c>
      <c r="I52" s="1" t="n">
        <f aca="false">Cost1</f>
        <v>4.2</v>
      </c>
      <c r="J52" s="1" t="n">
        <f aca="false">LN(EXP(UTIL1)+EXP(UTIL2))</f>
        <v>-0.96004666683757</v>
      </c>
      <c r="K52" s="1" t="n">
        <f aca="false">PROB1*UTIL1+PROB2*UTIL2</f>
        <v>-1.12533031294965</v>
      </c>
    </row>
    <row r="53" customFormat="false" ht="13" hidden="false" customHeight="false" outlineLevel="0" collapsed="false">
      <c r="A53" s="1" t="n">
        <f aca="false">A52+0.1</f>
        <v>4.3</v>
      </c>
      <c r="B53" s="1" t="n">
        <v>1</v>
      </c>
      <c r="C53" s="1" t="n">
        <f aca="false">Alpha+Beta*Cost1</f>
        <v>-4.3</v>
      </c>
      <c r="D53" s="1" t="n">
        <f aca="false">Alpha+Beta*Cost2</f>
        <v>-1</v>
      </c>
      <c r="E53" s="1" t="n">
        <f aca="false">EXP(C$10:C$1048576)</f>
        <v>0.0135685590122009</v>
      </c>
      <c r="F53" s="1" t="n">
        <f aca="false">EXP(D$10:D$1048576)</f>
        <v>0.367879441171442</v>
      </c>
      <c r="G53" s="1" t="n">
        <f aca="false">EXP(UTIL1)/(EXP(UTIL1)+EXP(UTIL2))</f>
        <v>0.0355711892726361</v>
      </c>
      <c r="H53" s="1" t="n">
        <f aca="false">EXP(UTIL2)/(EXP(UTIL1)+EXP(UTIL2))</f>
        <v>0.964428810727364</v>
      </c>
      <c r="I53" s="1" t="n">
        <f aca="false">Cost1</f>
        <v>4.3</v>
      </c>
      <c r="J53" s="1" t="n">
        <f aca="false">LN(EXP(UTIL1)+EXP(UTIL2))</f>
        <v>-0.963780741129341</v>
      </c>
      <c r="K53" s="1" t="n">
        <f aca="false">PROB1*UTIL1+PROB2*UTIL2</f>
        <v>-1.1173849245997</v>
      </c>
    </row>
    <row r="54" customFormat="false" ht="13" hidden="false" customHeight="false" outlineLevel="0" collapsed="false">
      <c r="A54" s="1" t="n">
        <f aca="false">A53+0.1</f>
        <v>4.4</v>
      </c>
      <c r="B54" s="1" t="n">
        <v>1</v>
      </c>
      <c r="C54" s="1" t="n">
        <f aca="false">Alpha+Beta*Cost1</f>
        <v>-4.4</v>
      </c>
      <c r="D54" s="1" t="n">
        <f aca="false">Alpha+Beta*Cost2</f>
        <v>-1</v>
      </c>
      <c r="E54" s="1" t="n">
        <f aca="false">EXP(C$10:C$1048576)</f>
        <v>0.0122773399030684</v>
      </c>
      <c r="F54" s="1" t="n">
        <f aca="false">EXP(D$10:D$1048576)</f>
        <v>0.367879441171442</v>
      </c>
      <c r="G54" s="1" t="n">
        <f aca="false">EXP(UTIL1)/(EXP(UTIL1)+EXP(UTIL2))</f>
        <v>0.0322954646984505</v>
      </c>
      <c r="H54" s="1" t="n">
        <f aca="false">EXP(UTIL2)/(EXP(UTIL1)+EXP(UTIL2))</f>
        <v>0.967704535301549</v>
      </c>
      <c r="I54" s="1" t="n">
        <f aca="false">Cost1</f>
        <v>4.4</v>
      </c>
      <c r="J54" s="1" t="n">
        <f aca="false">LN(EXP(UTIL1)+EXP(UTIL2))</f>
        <v>-0.967171529575135</v>
      </c>
      <c r="K54" s="1" t="n">
        <f aca="false">PROB1*UTIL1+PROB2*UTIL2</f>
        <v>-1.10980457997473</v>
      </c>
    </row>
    <row r="55" customFormat="false" ht="13" hidden="false" customHeight="false" outlineLevel="0" collapsed="false">
      <c r="A55" s="1" t="n">
        <f aca="false">A54+0.1</f>
        <v>4.5</v>
      </c>
      <c r="B55" s="1" t="n">
        <v>1</v>
      </c>
      <c r="C55" s="1" t="n">
        <f aca="false">Alpha+Beta*Cost1</f>
        <v>-4.5</v>
      </c>
      <c r="D55" s="1" t="n">
        <f aca="false">Alpha+Beta*Cost2</f>
        <v>-1</v>
      </c>
      <c r="E55" s="1" t="n">
        <f aca="false">EXP(C$10:C$1048576)</f>
        <v>0.0111089965382423</v>
      </c>
      <c r="F55" s="1" t="n">
        <f aca="false">EXP(D$10:D$1048576)</f>
        <v>0.367879441171442</v>
      </c>
      <c r="G55" s="1" t="n">
        <f aca="false">EXP(UTIL1)/(EXP(UTIL1)+EXP(UTIL2))</f>
        <v>0.0293122307513563</v>
      </c>
      <c r="H55" s="1" t="n">
        <f aca="false">EXP(UTIL2)/(EXP(UTIL1)+EXP(UTIL2))</f>
        <v>0.970687769248644</v>
      </c>
      <c r="I55" s="1" t="n">
        <f aca="false">Cost1</f>
        <v>4.5</v>
      </c>
      <c r="J55" s="1" t="n">
        <f aca="false">LN(EXP(UTIL1)+EXP(UTIL2))</f>
        <v>-0.970249581727379</v>
      </c>
      <c r="K55" s="1" t="n">
        <f aca="false">PROB1*UTIL1+PROB2*UTIL2</f>
        <v>-1.10259280762975</v>
      </c>
    </row>
    <row r="56" customFormat="false" ht="13" hidden="false" customHeight="false" outlineLevel="0" collapsed="false">
      <c r="A56" s="1" t="n">
        <f aca="false">A55+0.1</f>
        <v>4.6</v>
      </c>
      <c r="B56" s="1" t="n">
        <v>1</v>
      </c>
      <c r="C56" s="1" t="n">
        <f aca="false">Alpha+Beta*Cost1</f>
        <v>-4.6</v>
      </c>
      <c r="D56" s="1" t="n">
        <f aca="false">Alpha+Beta*Cost2</f>
        <v>-1</v>
      </c>
      <c r="E56" s="1" t="n">
        <f aca="false">EXP(C$10:C$1048576)</f>
        <v>0.0100518357446336</v>
      </c>
      <c r="F56" s="1" t="n">
        <f aca="false">EXP(D$10:D$1048576)</f>
        <v>0.367879441171442</v>
      </c>
      <c r="G56" s="1" t="n">
        <f aca="false">EXP(UTIL1)/(EXP(UTIL1)+EXP(UTIL2))</f>
        <v>0.0265969935768659</v>
      </c>
      <c r="H56" s="1" t="n">
        <f aca="false">EXP(UTIL2)/(EXP(UTIL1)+EXP(UTIL2))</f>
        <v>0.973403006423134</v>
      </c>
      <c r="I56" s="1" t="n">
        <f aca="false">Cost1</f>
        <v>4.6</v>
      </c>
      <c r="J56" s="1" t="n">
        <f aca="false">LN(EXP(UTIL1)+EXP(UTIL2))</f>
        <v>-0.973042906991792</v>
      </c>
      <c r="K56" s="1" t="n">
        <f aca="false">PROB1*UTIL1+PROB2*UTIL2</f>
        <v>-1.09574917687672</v>
      </c>
    </row>
    <row r="57" customFormat="false" ht="13" hidden="false" customHeight="false" outlineLevel="0" collapsed="false">
      <c r="A57" s="1" t="n">
        <f aca="false">A56+0.1</f>
        <v>4.7</v>
      </c>
      <c r="B57" s="1" t="n">
        <v>1</v>
      </c>
      <c r="C57" s="1" t="n">
        <f aca="false">Alpha+Beta*Cost1</f>
        <v>-4.7</v>
      </c>
      <c r="D57" s="1" t="n">
        <f aca="false">Alpha+Beta*Cost2</f>
        <v>-1</v>
      </c>
      <c r="E57" s="1" t="n">
        <f aca="false">EXP(C$10:C$1048576)</f>
        <v>0.00909527710169582</v>
      </c>
      <c r="F57" s="1" t="n">
        <f aca="false">EXP(D$10:D$1048576)</f>
        <v>0.367879441171442</v>
      </c>
      <c r="G57" s="1" t="n">
        <f aca="false">EXP(UTIL1)/(EXP(UTIL1)+EXP(UTIL2))</f>
        <v>0.0241270214176692</v>
      </c>
      <c r="H57" s="1" t="n">
        <f aca="false">EXP(UTIL2)/(EXP(UTIL1)+EXP(UTIL2))</f>
        <v>0.975872978582331</v>
      </c>
      <c r="I57" s="1" t="n">
        <f aca="false">Cost1</f>
        <v>4.7</v>
      </c>
      <c r="J57" s="1" t="n">
        <f aca="false">LN(EXP(UTIL1)+EXP(UTIL2))</f>
        <v>-0.975577154066221</v>
      </c>
      <c r="K57" s="1" t="n">
        <f aca="false">PROB1*UTIL1+PROB2*UTIL2</f>
        <v>-1.08926997924538</v>
      </c>
    </row>
    <row r="58" customFormat="false" ht="13" hidden="false" customHeight="false" outlineLevel="0" collapsed="false">
      <c r="A58" s="1" t="n">
        <f aca="false">A57+0.1</f>
        <v>4.8</v>
      </c>
      <c r="B58" s="1" t="n">
        <v>1</v>
      </c>
      <c r="C58" s="1" t="n">
        <f aca="false">Alpha+Beta*Cost1</f>
        <v>-4.8</v>
      </c>
      <c r="D58" s="1" t="n">
        <f aca="false">Alpha+Beta*Cost2</f>
        <v>-1</v>
      </c>
      <c r="E58" s="1" t="n">
        <f aca="false">EXP(C$10:C$1048576)</f>
        <v>0.00822974704902004</v>
      </c>
      <c r="F58" s="1" t="n">
        <f aca="false">EXP(D$10:D$1048576)</f>
        <v>0.367879441171442</v>
      </c>
      <c r="G58" s="1" t="n">
        <f aca="false">EXP(UTIL1)/(EXP(UTIL1)+EXP(UTIL2))</f>
        <v>0.0218812709361305</v>
      </c>
      <c r="H58" s="1" t="n">
        <f aca="false">EXP(UTIL2)/(EXP(UTIL1)+EXP(UTIL2))</f>
        <v>0.97811872906387</v>
      </c>
      <c r="I58" s="1" t="n">
        <f aca="false">Cost1</f>
        <v>4.8</v>
      </c>
      <c r="J58" s="1" t="n">
        <f aca="false">LN(EXP(UTIL1)+EXP(UTIL2))</f>
        <v>-0.977875783545121</v>
      </c>
      <c r="K58" s="1" t="n">
        <f aca="false">PROB1*UTIL1+PROB2*UTIL2</f>
        <v>-1.0831488295573</v>
      </c>
    </row>
    <row r="59" customFormat="false" ht="13" hidden="false" customHeight="false" outlineLevel="0" collapsed="false">
      <c r="A59" s="1" t="n">
        <f aca="false">A58+0.1</f>
        <v>4.9</v>
      </c>
      <c r="B59" s="1" t="n">
        <v>1</v>
      </c>
      <c r="C59" s="1" t="n">
        <f aca="false">Alpha+Beta*Cost1</f>
        <v>-4.9</v>
      </c>
      <c r="D59" s="1" t="n">
        <f aca="false">Alpha+Beta*Cost2</f>
        <v>-1</v>
      </c>
      <c r="E59" s="1" t="n">
        <f aca="false">EXP(C$10:C$1048576)</f>
        <v>0.00744658307092435</v>
      </c>
      <c r="F59" s="1" t="n">
        <f aca="false">EXP(D$10:D$1048576)</f>
        <v>0.367879441171442</v>
      </c>
      <c r="G59" s="1" t="n">
        <f aca="false">EXP(UTIL1)/(EXP(UTIL1)+EXP(UTIL2))</f>
        <v>0.0198403057340775</v>
      </c>
      <c r="H59" s="1" t="n">
        <f aca="false">EXP(UTIL2)/(EXP(UTIL1)+EXP(UTIL2))</f>
        <v>0.980159694265923</v>
      </c>
      <c r="I59" s="1" t="n">
        <f aca="false">Cost1</f>
        <v>4.9</v>
      </c>
      <c r="J59" s="1" t="n">
        <f aca="false">LN(EXP(UTIL1)+EXP(UTIL2))</f>
        <v>-0.979960232739602</v>
      </c>
      <c r="K59" s="1" t="n">
        <f aca="false">PROB1*UTIL1+PROB2*UTIL2</f>
        <v>-1.0773771923629</v>
      </c>
    </row>
    <row r="60" customFormat="false" ht="13" hidden="false" customHeight="false" outlineLevel="0" collapsed="false">
      <c r="A60" s="1" t="n">
        <f aca="false">A59+0.1</f>
        <v>5</v>
      </c>
      <c r="B60" s="1" t="n">
        <v>1</v>
      </c>
      <c r="C60" s="1" t="n">
        <f aca="false">Alpha+Beta*Cost1</f>
        <v>-5</v>
      </c>
      <c r="D60" s="1" t="n">
        <f aca="false">Alpha+Beta*Cost2</f>
        <v>-1</v>
      </c>
      <c r="E60" s="1" t="n">
        <f aca="false">EXP(C$10:C$1048576)</f>
        <v>0.00673794699908548</v>
      </c>
      <c r="F60" s="1" t="n">
        <f aca="false">EXP(D$10:D$1048576)</f>
        <v>0.367879441171442</v>
      </c>
      <c r="G60" s="1" t="n">
        <f aca="false">EXP(UTIL1)/(EXP(UTIL1)+EXP(UTIL2))</f>
        <v>0.0179862099620916</v>
      </c>
      <c r="H60" s="1" t="n">
        <f aca="false">EXP(UTIL2)/(EXP(UTIL1)+EXP(UTIL2))</f>
        <v>0.982013790037909</v>
      </c>
      <c r="I60" s="1" t="n">
        <f aca="false">Cost1</f>
        <v>5</v>
      </c>
      <c r="J60" s="1" t="n">
        <f aca="false">LN(EXP(UTIL1)+EXP(UTIL2))</f>
        <v>-0.98185007208219</v>
      </c>
      <c r="K60" s="1" t="n">
        <f aca="false">PROB1*UTIL1+PROB2*UTIL2</f>
        <v>-1.07194483984837</v>
      </c>
    </row>
    <row r="61" customFormat="false" ht="13" hidden="false" customHeight="false" outlineLevel="0" collapsed="false">
      <c r="A61" s="1" t="n">
        <f aca="false">A60+0.1</f>
        <v>5.1</v>
      </c>
      <c r="B61" s="1" t="n">
        <v>1</v>
      </c>
      <c r="C61" s="1" t="n">
        <f aca="false">Alpha+Beta*Cost1</f>
        <v>-5.1</v>
      </c>
      <c r="D61" s="1" t="n">
        <f aca="false">Alpha+Beta*Cost2</f>
        <v>-1</v>
      </c>
      <c r="E61" s="1" t="n">
        <f aca="false">EXP(C$10:C$1048576)</f>
        <v>0.00609674656551565</v>
      </c>
      <c r="F61" s="1" t="n">
        <f aca="false">EXP(D$10:D$1048576)</f>
        <v>0.367879441171442</v>
      </c>
      <c r="G61" s="1" t="n">
        <f aca="false">EXP(UTIL1)/(EXP(UTIL1)+EXP(UTIL2))</f>
        <v>0.016302499371441</v>
      </c>
      <c r="H61" s="1" t="n">
        <f aca="false">EXP(UTIL2)/(EXP(UTIL1)+EXP(UTIL2))</f>
        <v>0.983697500628559</v>
      </c>
      <c r="I61" s="1" t="n">
        <f aca="false">Cost1</f>
        <v>5.1</v>
      </c>
      <c r="J61" s="1" t="n">
        <f aca="false">LN(EXP(UTIL1)+EXP(UTIL2))</f>
        <v>-0.98356315274709</v>
      </c>
      <c r="K61" s="1" t="n">
        <f aca="false">PROB1*UTIL1+PROB2*UTIL2</f>
        <v>-1.06684024742291</v>
      </c>
    </row>
    <row r="62" customFormat="false" ht="13" hidden="false" customHeight="false" outlineLevel="0" collapsed="false">
      <c r="A62" s="1" t="n">
        <f aca="false">A61+0.1</f>
        <v>5.2</v>
      </c>
      <c r="B62" s="1" t="n">
        <v>1</v>
      </c>
      <c r="C62" s="1" t="n">
        <f aca="false">Alpha+Beta*Cost1</f>
        <v>-5.2</v>
      </c>
      <c r="D62" s="1" t="n">
        <f aca="false">Alpha+Beta*Cost2</f>
        <v>-1</v>
      </c>
      <c r="E62" s="1" t="n">
        <f aca="false">EXP(C$10:C$1048576)</f>
        <v>0.00551656442076079</v>
      </c>
      <c r="F62" s="1" t="n">
        <f aca="false">EXP(D$10:D$1048576)</f>
        <v>0.367879441171442</v>
      </c>
      <c r="G62" s="1" t="n">
        <f aca="false">EXP(UTIL1)/(EXP(UTIL1)+EXP(UTIL2))</f>
        <v>0.0147740316932731</v>
      </c>
      <c r="H62" s="1" t="n">
        <f aca="false">EXP(UTIL2)/(EXP(UTIL1)+EXP(UTIL2))</f>
        <v>0.985225968306727</v>
      </c>
      <c r="I62" s="1" t="n">
        <f aca="false">Cost1</f>
        <v>5.2</v>
      </c>
      <c r="J62" s="1" t="n">
        <f aca="false">LN(EXP(UTIL1)+EXP(UTIL2))</f>
        <v>-0.985115745328082</v>
      </c>
      <c r="K62" s="1" t="n">
        <f aca="false">PROB1*UTIL1+PROB2*UTIL2</f>
        <v>-1.06205093311175</v>
      </c>
    </row>
    <row r="63" customFormat="false" ht="13" hidden="false" customHeight="false" outlineLevel="0" collapsed="false">
      <c r="A63" s="1" t="n">
        <f aca="false">A62+0.1</f>
        <v>5.3</v>
      </c>
      <c r="B63" s="1" t="n">
        <v>1</v>
      </c>
      <c r="C63" s="1" t="n">
        <f aca="false">Alpha+Beta*Cost1</f>
        <v>-5.3</v>
      </c>
      <c r="D63" s="1" t="n">
        <f aca="false">Alpha+Beta*Cost2</f>
        <v>-1</v>
      </c>
      <c r="E63" s="1" t="n">
        <f aca="false">EXP(C$10:C$1048576)</f>
        <v>0.00499159390691023</v>
      </c>
      <c r="F63" s="1" t="n">
        <f aca="false">EXP(D$10:D$1048576)</f>
        <v>0.367879441171442</v>
      </c>
      <c r="G63" s="1" t="n">
        <f aca="false">EXP(UTIL1)/(EXP(UTIL1)+EXP(UTIL2))</f>
        <v>0.0133869178276648</v>
      </c>
      <c r="H63" s="1" t="n">
        <f aca="false">EXP(UTIL2)/(EXP(UTIL1)+EXP(UTIL2))</f>
        <v>0.986613082172335</v>
      </c>
      <c r="I63" s="1" t="n">
        <f aca="false">Cost1</f>
        <v>5.3</v>
      </c>
      <c r="J63" s="1" t="n">
        <f aca="false">LN(EXP(UTIL1)+EXP(UTIL2))</f>
        <v>-0.986522669583974</v>
      </c>
      <c r="K63" s="1" t="n">
        <f aca="false">PROB1*UTIL1+PROB2*UTIL2</f>
        <v>-1.05756374665896</v>
      </c>
    </row>
    <row r="64" customFormat="false" ht="13" hidden="false" customHeight="false" outlineLevel="0" collapsed="false">
      <c r="A64" s="1" t="n">
        <f aca="false">A63+0.1</f>
        <v>5.4</v>
      </c>
      <c r="B64" s="1" t="n">
        <v>1</v>
      </c>
      <c r="C64" s="1" t="n">
        <f aca="false">Alpha+Beta*Cost1</f>
        <v>-5.4</v>
      </c>
      <c r="D64" s="1" t="n">
        <f aca="false">Alpha+Beta*Cost2</f>
        <v>-1</v>
      </c>
      <c r="E64" s="1" t="n">
        <f aca="false">EXP(C$10:C$1048576)</f>
        <v>0.00451658094261268</v>
      </c>
      <c r="F64" s="1" t="n">
        <f aca="false">EXP(D$10:D$1048576)</f>
        <v>0.367879441171442</v>
      </c>
      <c r="G64" s="1" t="n">
        <f aca="false">EXP(UTIL1)/(EXP(UTIL1)+EXP(UTIL2))</f>
        <v>0.0121284349842743</v>
      </c>
      <c r="H64" s="1" t="n">
        <f aca="false">EXP(UTIL2)/(EXP(UTIL1)+EXP(UTIL2))</f>
        <v>0.987871565015726</v>
      </c>
      <c r="I64" s="1" t="n">
        <f aca="false">Cost1</f>
        <v>5.4</v>
      </c>
      <c r="J64" s="1" t="n">
        <f aca="false">LN(EXP(UTIL1)+EXP(UTIL2))</f>
        <v>-0.987797415392304</v>
      </c>
      <c r="K64" s="1" t="n">
        <f aca="false">PROB1*UTIL1+PROB2*UTIL2</f>
        <v>-1.05336511393081</v>
      </c>
    </row>
    <row r="65" customFormat="false" ht="13" hidden="false" customHeight="false" outlineLevel="0" collapsed="false">
      <c r="A65" s="1" t="n">
        <f aca="false">A64+0.1</f>
        <v>5.5</v>
      </c>
      <c r="B65" s="1" t="n">
        <v>1</v>
      </c>
      <c r="C65" s="1" t="n">
        <f aca="false">Alpha+Beta*Cost1</f>
        <v>-5.5</v>
      </c>
      <c r="D65" s="1" t="n">
        <f aca="false">Alpha+Beta*Cost2</f>
        <v>-1</v>
      </c>
      <c r="E65" s="1" t="n">
        <f aca="false">EXP(C$10:C$1048576)</f>
        <v>0.00408677143846408</v>
      </c>
      <c r="F65" s="1" t="n">
        <f aca="false">EXP(D$10:D$1048576)</f>
        <v>0.367879441171442</v>
      </c>
      <c r="G65" s="1" t="n">
        <f aca="false">EXP(UTIL1)/(EXP(UTIL1)+EXP(UTIL2))</f>
        <v>0.0109869426305932</v>
      </c>
      <c r="H65" s="1" t="n">
        <f aca="false">EXP(UTIL2)/(EXP(UTIL1)+EXP(UTIL2))</f>
        <v>0.989013057369407</v>
      </c>
      <c r="I65" s="1" t="n">
        <f aca="false">Cost1</f>
        <v>5.5</v>
      </c>
      <c r="J65" s="1" t="n">
        <f aca="false">LN(EXP(UTIL1)+EXP(UTIL2))</f>
        <v>-0.988952255151406</v>
      </c>
      <c r="K65" s="1" t="n">
        <f aca="false">PROB1*UTIL1+PROB2*UTIL2</f>
        <v>-1.04944124183767</v>
      </c>
    </row>
    <row r="66" customFormat="false" ht="13" hidden="false" customHeight="false" outlineLevel="0" collapsed="false">
      <c r="A66" s="1" t="n">
        <f aca="false">A65+0.1</f>
        <v>5.6</v>
      </c>
      <c r="B66" s="1" t="n">
        <v>1</v>
      </c>
      <c r="C66" s="1" t="n">
        <f aca="false">Alpha+Beta*Cost1</f>
        <v>-5.6</v>
      </c>
      <c r="D66" s="1" t="n">
        <f aca="false">Alpha+Beta*Cost2</f>
        <v>-1</v>
      </c>
      <c r="E66" s="1" t="n">
        <f aca="false">EXP(C$10:C$1048576)</f>
        <v>0.00369786371648295</v>
      </c>
      <c r="F66" s="1" t="n">
        <f aca="false">EXP(D$10:D$1048576)</f>
        <v>0.367879441171442</v>
      </c>
      <c r="G66" s="1" t="n">
        <f aca="false">EXP(UTIL1)/(EXP(UTIL1)+EXP(UTIL2))</f>
        <v>0.00995180186690436</v>
      </c>
      <c r="H66" s="1" t="n">
        <f aca="false">EXP(UTIL2)/(EXP(UTIL1)+EXP(UTIL2))</f>
        <v>0.990048198133096</v>
      </c>
      <c r="I66" s="1" t="n">
        <f aca="false">Cost1</f>
        <v>5.6</v>
      </c>
      <c r="J66" s="1" t="n">
        <f aca="false">LN(EXP(UTIL1)+EXP(UTIL2))</f>
        <v>-0.989998347944348</v>
      </c>
      <c r="K66" s="1" t="n">
        <f aca="false">PROB1*UTIL1+PROB2*UTIL2</f>
        <v>-1.04577828858776</v>
      </c>
    </row>
    <row r="67" customFormat="false" ht="13" hidden="false" customHeight="false" outlineLevel="0" collapsed="false">
      <c r="A67" s="1" t="n">
        <f aca="false">A66+0.1</f>
        <v>5.7</v>
      </c>
      <c r="B67" s="1" t="n">
        <v>1</v>
      </c>
      <c r="C67" s="1" t="n">
        <f aca="false">Alpha+Beta*Cost1</f>
        <v>-5.7</v>
      </c>
      <c r="D67" s="1" t="n">
        <f aca="false">Alpha+Beta*Cost2</f>
        <v>-1</v>
      </c>
      <c r="E67" s="1" t="n">
        <f aca="false">EXP(C$10:C$1048576)</f>
        <v>0.00334596545747129</v>
      </c>
      <c r="F67" s="1" t="n">
        <f aca="false">EXP(D$10:D$1048576)</f>
        <v>0.367879441171442</v>
      </c>
      <c r="G67" s="1" t="n">
        <f aca="false">EXP(UTIL1)/(EXP(UTIL1)+EXP(UTIL2))</f>
        <v>0.00901329865284786</v>
      </c>
      <c r="H67" s="1" t="n">
        <f aca="false">EXP(UTIL2)/(EXP(UTIL1)+EXP(UTIL2))</f>
        <v>0.990986701347152</v>
      </c>
      <c r="I67" s="1" t="n">
        <f aca="false">Cost1</f>
        <v>5.7</v>
      </c>
      <c r="J67" s="1" t="n">
        <f aca="false">LN(EXP(UTIL1)+EXP(UTIL2))</f>
        <v>-0.990945835830112</v>
      </c>
      <c r="K67" s="1" t="n">
        <f aca="false">PROB1*UTIL1+PROB2*UTIL2</f>
        <v>-1.04236250366839</v>
      </c>
    </row>
    <row r="68" customFormat="false" ht="13" hidden="false" customHeight="false" outlineLevel="0" collapsed="false">
      <c r="A68" s="1" t="n">
        <f aca="false">A67+0.1</f>
        <v>5.8</v>
      </c>
      <c r="B68" s="1" t="n">
        <v>1</v>
      </c>
      <c r="C68" s="1" t="n">
        <f aca="false">Alpha+Beta*Cost1</f>
        <v>-5.8</v>
      </c>
      <c r="D68" s="1" t="n">
        <f aca="false">Alpha+Beta*Cost2</f>
        <v>-1</v>
      </c>
      <c r="E68" s="1" t="n">
        <f aca="false">EXP(C$10:C$1048576)</f>
        <v>0.00302755474537583</v>
      </c>
      <c r="F68" s="1" t="n">
        <f aca="false">EXP(D$10:D$1048576)</f>
        <v>0.367879441171442</v>
      </c>
      <c r="G68" s="1" t="n">
        <f aca="false">EXP(UTIL1)/(EXP(UTIL1)+EXP(UTIL2))</f>
        <v>0.00816257115315993</v>
      </c>
      <c r="H68" s="1" t="n">
        <f aca="false">EXP(UTIL2)/(EXP(UTIL1)+EXP(UTIL2))</f>
        <v>0.99183742884684</v>
      </c>
      <c r="I68" s="1" t="n">
        <f aca="false">Cost1</f>
        <v>5.8</v>
      </c>
      <c r="J68" s="1" t="n">
        <f aca="false">LN(EXP(UTIL1)+EXP(UTIL2))</f>
        <v>-0.991803932661732</v>
      </c>
      <c r="K68" s="1" t="n">
        <f aca="false">PROB1*UTIL1+PROB2*UTIL2</f>
        <v>-1.03918034153517</v>
      </c>
    </row>
    <row r="69" customFormat="false" ht="13" hidden="false" customHeight="false" outlineLevel="0" collapsed="false">
      <c r="A69" s="1" t="n">
        <f aca="false">A68+0.1</f>
        <v>5.9</v>
      </c>
      <c r="B69" s="1" t="n">
        <v>1</v>
      </c>
      <c r="C69" s="1" t="n">
        <f aca="false">Alpha+Beta*Cost1</f>
        <v>-5.9</v>
      </c>
      <c r="D69" s="1" t="n">
        <f aca="false">Alpha+Beta*Cost2</f>
        <v>-1</v>
      </c>
      <c r="E69" s="1" t="n">
        <f aca="false">EXP(C$10:C$1048576)</f>
        <v>0.00273944481876838</v>
      </c>
      <c r="F69" s="1" t="n">
        <f aca="false">EXP(D$10:D$1048576)</f>
        <v>0.367879441171442</v>
      </c>
      <c r="G69" s="1" t="n">
        <f aca="false">EXP(UTIL1)/(EXP(UTIL1)+EXP(UTIL2))</f>
        <v>0.00739154134428201</v>
      </c>
      <c r="H69" s="1" t="n">
        <f aca="false">EXP(UTIL2)/(EXP(UTIL1)+EXP(UTIL2))</f>
        <v>0.992608458655718</v>
      </c>
      <c r="I69" s="1" t="n">
        <f aca="false">Cost1</f>
        <v>5.9</v>
      </c>
      <c r="J69" s="1" t="n">
        <f aca="false">LN(EXP(UTIL1)+EXP(UTIL2))</f>
        <v>-0.992581005851313</v>
      </c>
      <c r="K69" s="1" t="n">
        <f aca="false">PROB1*UTIL1+PROB2*UTIL2</f>
        <v>-1.03621855258698</v>
      </c>
    </row>
    <row r="70" customFormat="false" ht="13" hidden="false" customHeight="false" outlineLevel="0" collapsed="false">
      <c r="A70" s="1" t="n">
        <f aca="false">A69+0.1</f>
        <v>6</v>
      </c>
      <c r="B70" s="1" t="n">
        <v>1</v>
      </c>
      <c r="C70" s="1" t="n">
        <f aca="false">Alpha+Beta*Cost1</f>
        <v>-6</v>
      </c>
      <c r="D70" s="1" t="n">
        <f aca="false">Alpha+Beta*Cost2</f>
        <v>-1</v>
      </c>
      <c r="E70" s="1" t="n">
        <f aca="false">EXP(C$10:C$1048576)</f>
        <v>0.00247875217666637</v>
      </c>
      <c r="F70" s="1" t="n">
        <f aca="false">EXP(D$10:D$1048576)</f>
        <v>0.367879441171442</v>
      </c>
      <c r="G70" s="1" t="n">
        <f aca="false">EXP(UTIL1)/(EXP(UTIL1)+EXP(UTIL2))</f>
        <v>0.00669285092428489</v>
      </c>
      <c r="H70" s="1" t="n">
        <f aca="false">EXP(UTIL2)/(EXP(UTIL1)+EXP(UTIL2))</f>
        <v>0.993307149075715</v>
      </c>
      <c r="I70" s="1" t="n">
        <f aca="false">Cost1</f>
        <v>6</v>
      </c>
      <c r="J70" s="1" t="n">
        <f aca="false">LN(EXP(UTIL1)+EXP(UTIL2))</f>
        <v>-0.993284651510882</v>
      </c>
      <c r="K70" s="1" t="n">
        <f aca="false">PROB1*UTIL1+PROB2*UTIL2</f>
        <v>-1.03346425462142</v>
      </c>
    </row>
    <row r="71" customFormat="false" ht="13" hidden="false" customHeight="false" outlineLevel="0" collapsed="false">
      <c r="A71" s="1" t="n">
        <f aca="false">A70+0.1</f>
        <v>6.09999999999999</v>
      </c>
      <c r="B71" s="1" t="n">
        <v>1</v>
      </c>
      <c r="C71" s="1" t="n">
        <f aca="false">Alpha+Beta*Cost1</f>
        <v>-6.09999999999999</v>
      </c>
      <c r="D71" s="1" t="n">
        <f aca="false">Alpha+Beta*Cost2</f>
        <v>-1</v>
      </c>
      <c r="E71" s="1" t="n">
        <f aca="false">EXP(C$10:C$1048576)</f>
        <v>0.00224286771948582</v>
      </c>
      <c r="F71" s="1" t="n">
        <f aca="false">EXP(D$10:D$1048576)</f>
        <v>0.367879441171442</v>
      </c>
      <c r="G71" s="1" t="n">
        <f aca="false">EXP(UTIL1)/(EXP(UTIL1)+EXP(UTIL2))</f>
        <v>0.00605980149158415</v>
      </c>
      <c r="H71" s="1" t="n">
        <f aca="false">EXP(UTIL2)/(EXP(UTIL1)+EXP(UTIL2))</f>
        <v>0.993940198508416</v>
      </c>
      <c r="I71" s="1" t="n">
        <f aca="false">Cost1</f>
        <v>6.09999999999999</v>
      </c>
      <c r="J71" s="1" t="n">
        <f aca="false">LN(EXP(UTIL1)+EXP(UTIL2))</f>
        <v>-0.993921763398221</v>
      </c>
      <c r="K71" s="1" t="n">
        <f aca="false">PROB1*UTIL1+PROB2*UTIL2</f>
        <v>-1.03090498760708</v>
      </c>
    </row>
    <row r="72" customFormat="false" ht="13" hidden="false" customHeight="false" outlineLevel="0" collapsed="false">
      <c r="A72" s="1" t="n">
        <f aca="false">A71+0.1</f>
        <v>6.19999999999999</v>
      </c>
      <c r="B72" s="1" t="n">
        <v>1</v>
      </c>
      <c r="C72" s="1" t="n">
        <f aca="false">Alpha+Beta*Cost1</f>
        <v>-6.19999999999999</v>
      </c>
      <c r="D72" s="1" t="n">
        <f aca="false">Alpha+Beta*Cost2</f>
        <v>-1</v>
      </c>
      <c r="E72" s="1" t="n">
        <f aca="false">EXP(C$10:C$1048576)</f>
        <v>0.00202943063629575</v>
      </c>
      <c r="F72" s="1" t="n">
        <f aca="false">EXP(D$10:D$1048576)</f>
        <v>0.367879441171442</v>
      </c>
      <c r="G72" s="1" t="n">
        <f aca="false">EXP(UTIL1)/(EXP(UTIL1)+EXP(UTIL2))</f>
        <v>0.00548629889945044</v>
      </c>
      <c r="H72" s="1" t="n">
        <f aca="false">EXP(UTIL2)/(EXP(UTIL1)+EXP(UTIL2))</f>
        <v>0.99451370110055</v>
      </c>
      <c r="I72" s="1" t="n">
        <f aca="false">Cost1</f>
        <v>6.19999999999999</v>
      </c>
      <c r="J72" s="1" t="n">
        <f aca="false">LN(EXP(UTIL1)+EXP(UTIL2))</f>
        <v>-0.994498596090343</v>
      </c>
      <c r="K72" s="1" t="n">
        <f aca="false">PROB1*UTIL1+PROB2*UTIL2</f>
        <v>-1.02852875427714</v>
      </c>
    </row>
    <row r="73" customFormat="false" ht="13" hidden="false" customHeight="false" outlineLevel="0" collapsed="false">
      <c r="A73" s="1" t="n">
        <f aca="false">A72+0.1</f>
        <v>6.29999999999999</v>
      </c>
      <c r="B73" s="1" t="n">
        <v>1</v>
      </c>
      <c r="C73" s="1" t="n">
        <f aca="false">Alpha+Beta*Cost1</f>
        <v>-6.29999999999999</v>
      </c>
      <c r="D73" s="1" t="n">
        <f aca="false">Alpha+Beta*Cost2</f>
        <v>-1</v>
      </c>
      <c r="E73" s="1" t="n">
        <f aca="false">EXP(C$10:C$1048576)</f>
        <v>0.00183630477702892</v>
      </c>
      <c r="F73" s="1" t="n">
        <f aca="false">EXP(D$10:D$1048576)</f>
        <v>0.367879441171442</v>
      </c>
      <c r="G73" s="1" t="n">
        <f aca="false">EXP(UTIL1)/(EXP(UTIL1)+EXP(UTIL2))</f>
        <v>0.00496680165005699</v>
      </c>
      <c r="H73" s="1" t="n">
        <f aca="false">EXP(UTIL2)/(EXP(UTIL1)+EXP(UTIL2))</f>
        <v>0.995033198349943</v>
      </c>
      <c r="I73" s="1" t="n">
        <f aca="false">Cost1</f>
        <v>6.29999999999999</v>
      </c>
      <c r="J73" s="1" t="n">
        <f aca="false">LN(EXP(UTIL1)+EXP(UTIL2))</f>
        <v>-0.995020822795673</v>
      </c>
      <c r="K73" s="1" t="n">
        <f aca="false">PROB1*UTIL1+PROB2*UTIL2</f>
        <v>-1.0263240487453</v>
      </c>
    </row>
    <row r="74" customFormat="false" ht="13" hidden="false" customHeight="false" outlineLevel="0" collapsed="false">
      <c r="A74" s="1" t="n">
        <f aca="false">A73+0.1</f>
        <v>6.39999999999999</v>
      </c>
      <c r="B74" s="1" t="n">
        <v>1</v>
      </c>
      <c r="C74" s="1" t="n">
        <f aca="false">Alpha+Beta*Cost1</f>
        <v>-6.39999999999999</v>
      </c>
      <c r="D74" s="1" t="n">
        <f aca="false">Alpha+Beta*Cost2</f>
        <v>-1</v>
      </c>
      <c r="E74" s="1" t="n">
        <f aca="false">EXP(C$10:C$1048576)</f>
        <v>0.00166155727317395</v>
      </c>
      <c r="F74" s="1" t="n">
        <f aca="false">EXP(D$10:D$1048576)</f>
        <v>0.367879441171442</v>
      </c>
      <c r="G74" s="1" t="n">
        <f aca="false">EXP(UTIL1)/(EXP(UTIL1)+EXP(UTIL2))</f>
        <v>0.00449627316094121</v>
      </c>
      <c r="H74" s="1" t="n">
        <f aca="false">EXP(UTIL2)/(EXP(UTIL1)+EXP(UTIL2))</f>
        <v>0.995503726839059</v>
      </c>
      <c r="I74" s="1" t="n">
        <f aca="false">Cost1</f>
        <v>6.39999999999999</v>
      </c>
      <c r="J74" s="1" t="n">
        <f aca="false">LN(EXP(UTIL1)+EXP(UTIL2))</f>
        <v>-0.995493588200751</v>
      </c>
      <c r="K74" s="1" t="n">
        <f aca="false">PROB1*UTIL1+PROB2*UTIL2</f>
        <v>-1.02427987506908</v>
      </c>
    </row>
    <row r="75" customFormat="false" ht="13" hidden="false" customHeight="false" outlineLevel="0" collapsed="false">
      <c r="A75" s="1" t="n">
        <f aca="false">A74+0.1</f>
        <v>6.49999999999999</v>
      </c>
      <c r="B75" s="1" t="n">
        <v>1</v>
      </c>
      <c r="C75" s="1" t="n">
        <f aca="false">Alpha+Beta*Cost1</f>
        <v>-6.49999999999999</v>
      </c>
      <c r="D75" s="1" t="n">
        <f aca="false">Alpha+Beta*Cost2</f>
        <v>-1</v>
      </c>
      <c r="E75" s="1" t="n">
        <f aca="false">EXP(C$10:C$1048576)</f>
        <v>0.00150343919297758</v>
      </c>
      <c r="F75" s="1" t="n">
        <f aca="false">EXP(D$10:D$1048576)</f>
        <v>0.367879441171442</v>
      </c>
      <c r="G75" s="1" t="n">
        <f aca="false">EXP(UTIL1)/(EXP(UTIL1)+EXP(UTIL2))</f>
        <v>0.00407013771589616</v>
      </c>
      <c r="H75" s="1" t="n">
        <f aca="false">EXP(UTIL2)/(EXP(UTIL1)+EXP(UTIL2))</f>
        <v>0.995929862284104</v>
      </c>
      <c r="I75" s="1" t="n">
        <f aca="false">Cost1</f>
        <v>6.49999999999999</v>
      </c>
      <c r="J75" s="1" t="n">
        <f aca="false">LN(EXP(UTIL1)+EXP(UTIL2))</f>
        <v>-0.995921556729429</v>
      </c>
      <c r="K75" s="1" t="n">
        <f aca="false">PROB1*UTIL1+PROB2*UTIL2</f>
        <v>-1.02238575743743</v>
      </c>
    </row>
    <row r="76" customFormat="false" ht="13" hidden="false" customHeight="false" outlineLevel="0" collapsed="false">
      <c r="A76" s="1" t="n">
        <f aca="false">A75+0.1</f>
        <v>6.59999999999999</v>
      </c>
      <c r="B76" s="1" t="n">
        <v>1</v>
      </c>
      <c r="C76" s="1" t="n">
        <f aca="false">Alpha+Beta*Cost1</f>
        <v>-6.59999999999999</v>
      </c>
      <c r="D76" s="1" t="n">
        <f aca="false">Alpha+Beta*Cost2</f>
        <v>-1</v>
      </c>
      <c r="E76" s="1" t="n">
        <f aca="false">EXP(C$10:C$1048576)</f>
        <v>0.0013603680375479</v>
      </c>
      <c r="F76" s="1" t="n">
        <f aca="false">EXP(D$10:D$1048576)</f>
        <v>0.367879441171442</v>
      </c>
      <c r="G76" s="1" t="n">
        <f aca="false">EXP(UTIL1)/(EXP(UTIL1)+EXP(UTIL2))</f>
        <v>0.00368423989943602</v>
      </c>
      <c r="H76" s="1" t="n">
        <f aca="false">EXP(UTIL2)/(EXP(UTIL1)+EXP(UTIL2))</f>
        <v>0.996315760100564</v>
      </c>
      <c r="I76" s="1" t="n">
        <f aca="false">Cost1</f>
        <v>6.59999999999999</v>
      </c>
      <c r="J76" s="1" t="n">
        <f aca="false">LN(EXP(UTIL1)+EXP(UTIL2))</f>
        <v>-0.996308956573053</v>
      </c>
      <c r="K76" s="1" t="n">
        <f aca="false">PROB1*UTIL1+PROB2*UTIL2</f>
        <v>-1.02063174343684</v>
      </c>
    </row>
    <row r="77" customFormat="false" ht="13" hidden="false" customHeight="false" outlineLevel="0" collapsed="false">
      <c r="A77" s="1" t="n">
        <f aca="false">A76+0.1</f>
        <v>6.69999999999999</v>
      </c>
      <c r="B77" s="1" t="n">
        <v>1</v>
      </c>
      <c r="C77" s="1" t="n">
        <f aca="false">Alpha+Beta*Cost1</f>
        <v>-6.69999999999999</v>
      </c>
      <c r="D77" s="1" t="n">
        <f aca="false">Alpha+Beta*Cost2</f>
        <v>-1</v>
      </c>
      <c r="E77" s="1" t="n">
        <f aca="false">EXP(C$10:C$1048576)</f>
        <v>0.00123091190267349</v>
      </c>
      <c r="F77" s="1" t="n">
        <f aca="false">EXP(D$10:D$1048576)</f>
        <v>0.367879441171442</v>
      </c>
      <c r="G77" s="1" t="n">
        <f aca="false">EXP(UTIL1)/(EXP(UTIL1)+EXP(UTIL2))</f>
        <v>0.00333480730741337</v>
      </c>
      <c r="H77" s="1" t="n">
        <f aca="false">EXP(UTIL2)/(EXP(UTIL1)+EXP(UTIL2))</f>
        <v>0.996665192692587</v>
      </c>
      <c r="I77" s="1" t="n">
        <f aca="false">Cost1</f>
        <v>6.69999999999999</v>
      </c>
      <c r="J77" s="1" t="n">
        <f aca="false">LN(EXP(UTIL1)+EXP(UTIL2))</f>
        <v>-0.996659619829633</v>
      </c>
      <c r="K77" s="1" t="n">
        <f aca="false">PROB1*UTIL1+PROB2*UTIL2</f>
        <v>-1.01900840165226</v>
      </c>
    </row>
    <row r="78" customFormat="false" ht="13" hidden="false" customHeight="false" outlineLevel="0" collapsed="false">
      <c r="A78" s="1" t="n">
        <f aca="false">A77+0.1</f>
        <v>6.79999999999999</v>
      </c>
      <c r="B78" s="1" t="n">
        <v>1</v>
      </c>
      <c r="C78" s="1" t="n">
        <f aca="false">Alpha+Beta*Cost1</f>
        <v>-6.79999999999999</v>
      </c>
      <c r="D78" s="1" t="n">
        <f aca="false">Alpha+Beta*Cost2</f>
        <v>-1</v>
      </c>
      <c r="E78" s="1" t="n">
        <f aca="false">EXP(C$10:C$1048576)</f>
        <v>0.00111377514784481</v>
      </c>
      <c r="F78" s="1" t="n">
        <f aca="false">EXP(D$10:D$1048576)</f>
        <v>0.367879441171442</v>
      </c>
      <c r="G78" s="1" t="n">
        <f aca="false">EXP(UTIL1)/(EXP(UTIL1)+EXP(UTIL2))</f>
        <v>0.00301841632470845</v>
      </c>
      <c r="H78" s="1" t="n">
        <f aca="false">EXP(UTIL2)/(EXP(UTIL1)+EXP(UTIL2))</f>
        <v>0.996981583675292</v>
      </c>
      <c r="I78" s="1" t="n">
        <f aca="false">Cost1</f>
        <v>6.79999999999999</v>
      </c>
      <c r="J78" s="1" t="n">
        <f aca="false">LN(EXP(UTIL1)+EXP(UTIL2))</f>
        <v>-0.996977019069168</v>
      </c>
      <c r="K78" s="1" t="n">
        <f aca="false">PROB1*UTIL1+PROB2*UTIL2</f>
        <v>-1.01750681468331</v>
      </c>
    </row>
    <row r="79" customFormat="false" ht="13" hidden="false" customHeight="false" outlineLevel="0" collapsed="false">
      <c r="A79" s="1" t="n">
        <f aca="false">A78+0.1</f>
        <v>6.89999999999999</v>
      </c>
      <c r="B79" s="1" t="n">
        <v>1</v>
      </c>
      <c r="C79" s="1" t="n">
        <f aca="false">Alpha+Beta*Cost1</f>
        <v>-6.89999999999999</v>
      </c>
      <c r="D79" s="1" t="n">
        <f aca="false">Alpha+Beta*Cost2</f>
        <v>-1</v>
      </c>
      <c r="E79" s="1" t="n">
        <f aca="false">EXP(C$10:C$1048576)</f>
        <v>0.00100778542904852</v>
      </c>
      <c r="F79" s="1" t="n">
        <f aca="false">EXP(D$10:D$1048576)</f>
        <v>0.367879441171442</v>
      </c>
      <c r="G79" s="1" t="n">
        <f aca="false">EXP(UTIL1)/(EXP(UTIL1)+EXP(UTIL2))</f>
        <v>0.00273196076301108</v>
      </c>
      <c r="H79" s="1" t="n">
        <f aca="false">EXP(UTIL2)/(EXP(UTIL1)+EXP(UTIL2))</f>
        <v>0.997268039236989</v>
      </c>
      <c r="I79" s="1" t="n">
        <f aca="false">Cost1</f>
        <v>6.89999999999999</v>
      </c>
      <c r="J79" s="1" t="n">
        <f aca="false">LN(EXP(UTIL1)+EXP(UTIL2))</f>
        <v>-0.997264300621464</v>
      </c>
      <c r="K79" s="1" t="n">
        <f aca="false">PROB1*UTIL1+PROB2*UTIL2</f>
        <v>-1.01611856850177</v>
      </c>
    </row>
    <row r="80" customFormat="false" ht="13" hidden="false" customHeight="false" outlineLevel="0" collapsed="false">
      <c r="A80" s="1" t="n">
        <f aca="false">A79+0.1</f>
        <v>6.99999999999999</v>
      </c>
      <c r="B80" s="1" t="n">
        <v>1</v>
      </c>
      <c r="C80" s="1" t="n">
        <f aca="false">Alpha+Beta*Cost1</f>
        <v>-6.99999999999999</v>
      </c>
      <c r="D80" s="1" t="n">
        <f aca="false">Alpha+Beta*Cost2</f>
        <v>-1</v>
      </c>
      <c r="E80" s="1" t="n">
        <f aca="false">EXP(C$10:C$1048576)</f>
        <v>0.000911881965554524</v>
      </c>
      <c r="F80" s="1" t="n">
        <f aca="false">EXP(D$10:D$1048576)</f>
        <v>0.367879441171442</v>
      </c>
      <c r="G80" s="1" t="n">
        <f aca="false">EXP(UTIL1)/(EXP(UTIL1)+EXP(UTIL2))</f>
        <v>0.0024726231566348</v>
      </c>
      <c r="H80" s="1" t="n">
        <f aca="false">EXP(UTIL2)/(EXP(UTIL1)+EXP(UTIL2))</f>
        <v>0.997527376843365</v>
      </c>
      <c r="I80" s="1" t="n">
        <f aca="false">Cost1</f>
        <v>6.99999999999999</v>
      </c>
      <c r="J80" s="1" t="n">
        <f aca="false">LN(EXP(UTIL1)+EXP(UTIL2))</f>
        <v>-0.997524314862269</v>
      </c>
      <c r="K80" s="1" t="n">
        <f aca="false">PROB1*UTIL1+PROB2*UTIL2</f>
        <v>-1.01483573893981</v>
      </c>
    </row>
    <row r="81" customFormat="false" ht="13" hidden="false" customHeight="false" outlineLevel="0" collapsed="false">
      <c r="A81" s="1" t="n">
        <f aca="false">A80+0.1</f>
        <v>7.09999999999999</v>
      </c>
      <c r="B81" s="1" t="n">
        <v>1</v>
      </c>
      <c r="C81" s="1" t="n">
        <f aca="false">Alpha+Beta*Cost1</f>
        <v>-7.09999999999999</v>
      </c>
      <c r="D81" s="1" t="n">
        <f aca="false">Alpha+Beta*Cost2</f>
        <v>-1</v>
      </c>
      <c r="E81" s="1" t="n">
        <f aca="false">EXP(C$10:C$1048576)</f>
        <v>0.000825104923265912</v>
      </c>
      <c r="F81" s="1" t="n">
        <f aca="false">EXP(D$10:D$1048576)</f>
        <v>0.367879441171442</v>
      </c>
      <c r="G81" s="1" t="n">
        <f aca="false">EXP(UTIL1)/(EXP(UTIL1)+EXP(UTIL2))</f>
        <v>0.00223784852127635</v>
      </c>
      <c r="H81" s="1" t="n">
        <f aca="false">EXP(UTIL2)/(EXP(UTIL1)+EXP(UTIL2))</f>
        <v>0.997762151478724</v>
      </c>
      <c r="I81" s="1" t="n">
        <f aca="false">Cost1</f>
        <v>7.09999999999999</v>
      </c>
      <c r="J81" s="1" t="n">
        <f aca="false">LN(EXP(UTIL1)+EXP(UTIL2))</f>
        <v>-0.997759643753751</v>
      </c>
      <c r="K81" s="1" t="n">
        <f aca="false">PROB1*UTIL1+PROB2*UTIL2</f>
        <v>-1.01365087597979</v>
      </c>
    </row>
    <row r="82" customFormat="false" ht="13" hidden="false" customHeight="false" outlineLevel="0" collapsed="false">
      <c r="A82" s="1" t="n">
        <f aca="false">A81+0.1</f>
        <v>7.19999999999999</v>
      </c>
      <c r="B82" s="1" t="n">
        <v>1</v>
      </c>
      <c r="C82" s="1" t="n">
        <f aca="false">Alpha+Beta*Cost1</f>
        <v>-7.19999999999999</v>
      </c>
      <c r="D82" s="1" t="n">
        <f aca="false">Alpha+Beta*Cost2</f>
        <v>-1</v>
      </c>
      <c r="E82" s="1" t="n">
        <f aca="false">EXP(C$10:C$1048576)</f>
        <v>0.000746585808376687</v>
      </c>
      <c r="F82" s="1" t="n">
        <f aca="false">EXP(D$10:D$1048576)</f>
        <v>0.367879441171442</v>
      </c>
      <c r="G82" s="1" t="n">
        <f aca="false">EXP(UTIL1)/(EXP(UTIL1)+EXP(UTIL2))</f>
        <v>0.0020253203890499</v>
      </c>
      <c r="H82" s="1" t="n">
        <f aca="false">EXP(UTIL2)/(EXP(UTIL1)+EXP(UTIL2))</f>
        <v>0.99797467961095</v>
      </c>
      <c r="I82" s="1" t="n">
        <f aca="false">Cost1</f>
        <v>7.19999999999999</v>
      </c>
      <c r="J82" s="1" t="n">
        <f aca="false">LN(EXP(UTIL1)+EXP(UTIL2))</f>
        <v>-0.997972625876162</v>
      </c>
      <c r="K82" s="1" t="n">
        <f aca="false">PROB1*UTIL1+PROB2*UTIL2</f>
        <v>-1.01255698641211</v>
      </c>
    </row>
    <row r="83" customFormat="false" ht="13" hidden="false" customHeight="false" outlineLevel="0" collapsed="false">
      <c r="A83" s="1" t="n">
        <f aca="false">A82+0.1</f>
        <v>7.29999999999999</v>
      </c>
      <c r="B83" s="1" t="n">
        <v>1</v>
      </c>
      <c r="C83" s="1" t="n">
        <f aca="false">Alpha+Beta*Cost1</f>
        <v>-7.29999999999999</v>
      </c>
      <c r="D83" s="1" t="n">
        <f aca="false">Alpha+Beta*Cost2</f>
        <v>-1</v>
      </c>
      <c r="E83" s="1" t="n">
        <f aca="false">EXP(C$10:C$1048576)</f>
        <v>0.000675538775193851</v>
      </c>
      <c r="F83" s="1" t="n">
        <f aca="false">EXP(D$10:D$1048576)</f>
        <v>0.367879441171442</v>
      </c>
      <c r="G83" s="1" t="n">
        <f aca="false">EXP(UTIL1)/(EXP(UTIL1)+EXP(UTIL2))</f>
        <v>0.00183293894249282</v>
      </c>
      <c r="H83" s="1" t="n">
        <f aca="false">EXP(UTIL2)/(EXP(UTIL1)+EXP(UTIL2))</f>
        <v>0.998167061057507</v>
      </c>
      <c r="I83" s="1" t="n">
        <f aca="false">Cost1</f>
        <v>7.29999999999999</v>
      </c>
      <c r="J83" s="1" t="n">
        <f aca="false">LN(EXP(UTIL1)+EXP(UTIL2))</f>
        <v>-0.998165379169411</v>
      </c>
      <c r="K83" s="1" t="n">
        <f aca="false">PROB1*UTIL1+PROB2*UTIL2</f>
        <v>-1.0115475153377</v>
      </c>
    </row>
    <row r="84" customFormat="false" ht="13" hidden="false" customHeight="false" outlineLevel="0" collapsed="false">
      <c r="A84" s="1" t="n">
        <f aca="false">A83+0.1</f>
        <v>7.39999999999999</v>
      </c>
      <c r="B84" s="1" t="n">
        <v>1</v>
      </c>
      <c r="C84" s="1" t="n">
        <f aca="false">Alpha+Beta*Cost1</f>
        <v>-7.39999999999999</v>
      </c>
      <c r="D84" s="1" t="n">
        <f aca="false">Alpha+Beta*Cost2</f>
        <v>-1</v>
      </c>
      <c r="E84" s="1" t="n">
        <f aca="false">EXP(C$10:C$1048576)</f>
        <v>0.000611252761129579</v>
      </c>
      <c r="F84" s="1" t="n">
        <f aca="false">EXP(D$10:D$1048576)</f>
        <v>0.367879441171442</v>
      </c>
      <c r="G84" s="1" t="n">
        <f aca="false">EXP(UTIL1)/(EXP(UTIL1)+EXP(UTIL2))</f>
        <v>0.00165880108017444</v>
      </c>
      <c r="H84" s="1" t="n">
        <f aca="false">EXP(UTIL2)/(EXP(UTIL1)+EXP(UTIL2))</f>
        <v>0.998341198919826</v>
      </c>
      <c r="I84" s="1" t="n">
        <f aca="false">Cost1</f>
        <v>7.39999999999999</v>
      </c>
      <c r="J84" s="1" t="n">
        <f aca="false">LN(EXP(UTIL1)+EXP(UTIL2))</f>
        <v>-0.998339821585955</v>
      </c>
      <c r="K84" s="1" t="n">
        <f aca="false">PROB1*UTIL1+PROB2*UTIL2</f>
        <v>-1.01061632691312</v>
      </c>
    </row>
    <row r="85" customFormat="false" ht="13" hidden="false" customHeight="false" outlineLevel="0" collapsed="false">
      <c r="A85" s="1" t="n">
        <f aca="false">A84+0.1</f>
        <v>7.49999999999999</v>
      </c>
      <c r="B85" s="1" t="n">
        <v>1</v>
      </c>
      <c r="C85" s="1" t="n">
        <f aca="false">Alpha+Beta*Cost1</f>
        <v>-7.49999999999999</v>
      </c>
      <c r="D85" s="1" t="n">
        <f aca="false">Alpha+Beta*Cost2</f>
        <v>-1</v>
      </c>
      <c r="E85" s="1" t="n">
        <f aca="false">EXP(C$10:C$1048576)</f>
        <v>0.00055308437014784</v>
      </c>
      <c r="F85" s="1" t="n">
        <f aca="false">EXP(D$10:D$1048576)</f>
        <v>0.367879441171442</v>
      </c>
      <c r="G85" s="1" t="n">
        <f aca="false">EXP(UTIL1)/(EXP(UTIL1)+EXP(UTIL2))</f>
        <v>0.00150118225673701</v>
      </c>
      <c r="H85" s="1" t="n">
        <f aca="false">EXP(UTIL2)/(EXP(UTIL1)+EXP(UTIL2))</f>
        <v>0.998498817743263</v>
      </c>
      <c r="I85" s="1" t="n">
        <f aca="false">Cost1</f>
        <v>7.49999999999999</v>
      </c>
      <c r="J85" s="1" t="n">
        <f aca="false">LN(EXP(UTIL1)+EXP(UTIL2))</f>
        <v>-0.998497689840246</v>
      </c>
      <c r="K85" s="1" t="n">
        <f aca="false">PROB1*UTIL1+PROB2*UTIL2</f>
        <v>-1.00975768466879</v>
      </c>
    </row>
    <row r="86" customFormat="false" ht="13" hidden="false" customHeight="false" outlineLevel="0" collapsed="false">
      <c r="A86" s="1" t="n">
        <f aca="false">A85+0.1</f>
        <v>7.59999999999999</v>
      </c>
      <c r="B86" s="1" t="n">
        <v>1</v>
      </c>
      <c r="C86" s="1" t="n">
        <f aca="false">Alpha+Beta*Cost1</f>
        <v>-7.59999999999999</v>
      </c>
      <c r="D86" s="1" t="n">
        <f aca="false">Alpha+Beta*Cost2</f>
        <v>-1</v>
      </c>
      <c r="E86" s="1" t="n">
        <f aca="false">EXP(C$10:C$1048576)</f>
        <v>0.000500451433440616</v>
      </c>
      <c r="F86" s="1" t="n">
        <f aca="false">EXP(D$10:D$1048576)</f>
        <v>0.367879441171442</v>
      </c>
      <c r="G86" s="1" t="n">
        <f aca="false">EXP(UTIL1)/(EXP(UTIL1)+EXP(UTIL2))</f>
        <v>0.00135851995042897</v>
      </c>
      <c r="H86" s="1" t="n">
        <f aca="false">EXP(UTIL2)/(EXP(UTIL1)+EXP(UTIL2))</f>
        <v>0.998641480049571</v>
      </c>
      <c r="I86" s="1" t="n">
        <f aca="false">Cost1</f>
        <v>7.59999999999999</v>
      </c>
      <c r="J86" s="1" t="n">
        <f aca="false">LN(EXP(UTIL1)+EXP(UTIL2))</f>
        <v>-0.99864055642474</v>
      </c>
      <c r="K86" s="1" t="n">
        <f aca="false">PROB1*UTIL1+PROB2*UTIL2</f>
        <v>-1.00896623167283</v>
      </c>
    </row>
    <row r="87" customFormat="false" ht="13" hidden="false" customHeight="false" outlineLevel="0" collapsed="false">
      <c r="A87" s="1" t="n">
        <f aca="false">A86+0.1</f>
        <v>7.69999999999999</v>
      </c>
      <c r="B87" s="1" t="n">
        <v>1</v>
      </c>
      <c r="C87" s="1" t="n">
        <f aca="false">Alpha+Beta*Cost1</f>
        <v>-7.69999999999999</v>
      </c>
      <c r="D87" s="1" t="n">
        <f aca="false">Alpha+Beta*Cost2</f>
        <v>-1</v>
      </c>
      <c r="E87" s="1" t="n">
        <f aca="false">EXP(C$10:C$1048576)</f>
        <v>0.000452827182886802</v>
      </c>
      <c r="F87" s="1" t="n">
        <f aca="false">EXP(D$10:D$1048576)</f>
        <v>0.367879441171442</v>
      </c>
      <c r="G87" s="1" t="n">
        <f aca="false">EXP(UTIL1)/(EXP(UTIL1)+EXP(UTIL2))</f>
        <v>0.00122939862127743</v>
      </c>
      <c r="H87" s="1" t="n">
        <f aca="false">EXP(UTIL2)/(EXP(UTIL1)+EXP(UTIL2))</f>
        <v>0.998770601378723</v>
      </c>
      <c r="I87" s="1" t="n">
        <f aca="false">Cost1</f>
        <v>7.69999999999999</v>
      </c>
      <c r="J87" s="1" t="n">
        <f aca="false">LN(EXP(UTIL1)+EXP(UTIL2))</f>
        <v>-0.998769845048286</v>
      </c>
      <c r="K87" s="1" t="n">
        <f aca="false">PROB1*UTIL1+PROB2*UTIL2</f>
        <v>-1.00823697076256</v>
      </c>
    </row>
    <row r="88" customFormat="false" ht="13" hidden="false" customHeight="false" outlineLevel="0" collapsed="false">
      <c r="A88" s="1" t="n">
        <f aca="false">A87+0.1</f>
        <v>7.79999999999999</v>
      </c>
      <c r="B88" s="1" t="n">
        <v>1</v>
      </c>
      <c r="C88" s="1" t="n">
        <f aca="false">Alpha+Beta*Cost1</f>
        <v>-7.79999999999999</v>
      </c>
      <c r="D88" s="1" t="n">
        <f aca="false">Alpha+Beta*Cost2</f>
        <v>-1</v>
      </c>
      <c r="E88" s="1" t="n">
        <f aca="false">EXP(C$10:C$1048576)</f>
        <v>0.000409734978979792</v>
      </c>
      <c r="F88" s="1" t="n">
        <f aca="false">EXP(D$10:D$1048576)</f>
        <v>0.367879441171442</v>
      </c>
      <c r="G88" s="1" t="n">
        <f aca="false">EXP(UTIL1)/(EXP(UTIL1)+EXP(UTIL2))</f>
        <v>0.00111253603286033</v>
      </c>
      <c r="H88" s="1" t="n">
        <f aca="false">EXP(UTIL2)/(EXP(UTIL1)+EXP(UTIL2))</f>
        <v>0.99888746396714</v>
      </c>
      <c r="I88" s="1" t="n">
        <f aca="false">Cost1</f>
        <v>7.79999999999999</v>
      </c>
      <c r="J88" s="1" t="n">
        <f aca="false">LN(EXP(UTIL1)+EXP(UTIL2))</f>
        <v>-0.998886844639535</v>
      </c>
      <c r="K88" s="1" t="n">
        <f aca="false">PROB1*UTIL1+PROB2*UTIL2</f>
        <v>-1.00756524502345</v>
      </c>
    </row>
    <row r="89" customFormat="false" ht="13" hidden="false" customHeight="false" outlineLevel="0" collapsed="false">
      <c r="A89" s="1" t="n">
        <f aca="false">A88+0.1</f>
        <v>7.89999999999999</v>
      </c>
      <c r="B89" s="1" t="n">
        <v>1</v>
      </c>
      <c r="C89" s="1" t="n">
        <f aca="false">Alpha+Beta*Cost1</f>
        <v>-7.89999999999999</v>
      </c>
      <c r="D89" s="1" t="n">
        <f aca="false">Alpha+Beta*Cost2</f>
        <v>-1</v>
      </c>
      <c r="E89" s="1" t="n">
        <f aca="false">EXP(C$10:C$1048576)</f>
        <v>0.000370743540459093</v>
      </c>
      <c r="F89" s="1" t="n">
        <f aca="false">EXP(D$10:D$1048576)</f>
        <v>0.367879441171442</v>
      </c>
      <c r="G89" s="1" t="n">
        <f aca="false">EXP(UTIL1)/(EXP(UTIL1)+EXP(UTIL2))</f>
        <v>0.00100677082008565</v>
      </c>
      <c r="H89" s="1" t="n">
        <f aca="false">EXP(UTIL2)/(EXP(UTIL1)+EXP(UTIL2))</f>
        <v>0.998993229179914</v>
      </c>
      <c r="I89" s="1" t="n">
        <f aca="false">Cost1</f>
        <v>7.89999999999999</v>
      </c>
      <c r="J89" s="1" t="n">
        <f aca="false">LN(EXP(UTIL1)+EXP(UTIL2))</f>
        <v>-0.998992722045765</v>
      </c>
      <c r="K89" s="1" t="n">
        <f aca="false">PROB1*UTIL1+PROB2*UTIL2</f>
        <v>-1.00694671865859</v>
      </c>
    </row>
    <row r="90" customFormat="false" ht="13" hidden="false" customHeight="false" outlineLevel="0" collapsed="false">
      <c r="A90" s="1" t="n">
        <f aca="false">A89+0.1</f>
        <v>7.99999999999999</v>
      </c>
      <c r="B90" s="1" t="n">
        <v>1</v>
      </c>
      <c r="C90" s="1" t="n">
        <f aca="false">Alpha+Beta*Cost1</f>
        <v>-7.99999999999999</v>
      </c>
      <c r="D90" s="1" t="n">
        <f aca="false">Alpha+Beta*Cost2</f>
        <v>-1</v>
      </c>
      <c r="E90" s="1" t="n">
        <f aca="false">EXP(C$10:C$1048576)</f>
        <v>0.000335462627902516</v>
      </c>
      <c r="F90" s="1" t="n">
        <f aca="false">EXP(D$10:D$1048576)</f>
        <v>0.367879441171442</v>
      </c>
      <c r="G90" s="1" t="n">
        <f aca="false">EXP(UTIL1)/(EXP(UTIL1)+EXP(UTIL2))</f>
        <v>0.000911051194400657</v>
      </c>
      <c r="H90" s="1" t="n">
        <f aca="false">EXP(UTIL2)/(EXP(UTIL1)+EXP(UTIL2))</f>
        <v>0.999088948805599</v>
      </c>
      <c r="I90" s="1" t="n">
        <f aca="false">Cost1</f>
        <v>7.99999999999999</v>
      </c>
      <c r="J90" s="1" t="n">
        <f aca="false">LN(EXP(UTIL1)+EXP(UTIL2))</f>
        <v>-0.999088533546226</v>
      </c>
      <c r="K90" s="1" t="n">
        <f aca="false">PROB1*UTIL1+PROB2*UTIL2</f>
        <v>-1.0063773583608</v>
      </c>
    </row>
    <row r="91" customFormat="false" ht="13" hidden="false" customHeight="false" outlineLevel="0" collapsed="false">
      <c r="A91" s="1" t="n">
        <f aca="false">A90+0.1</f>
        <v>8.09999999999999</v>
      </c>
      <c r="B91" s="1" t="n">
        <v>1</v>
      </c>
      <c r="C91" s="1" t="n">
        <f aca="false">Alpha+Beta*Cost1</f>
        <v>-8.09999999999999</v>
      </c>
      <c r="D91" s="1" t="n">
        <f aca="false">Alpha+Beta*Cost2</f>
        <v>-1</v>
      </c>
      <c r="E91" s="1" t="n">
        <f aca="false">EXP(C$10:C$1048576)</f>
        <v>0.000303539138078871</v>
      </c>
      <c r="F91" s="1" t="n">
        <f aca="false">EXP(D$10:D$1048576)</f>
        <v>0.367879441171442</v>
      </c>
      <c r="G91" s="1" t="n">
        <f aca="false">EXP(UTIL1)/(EXP(UTIL1)+EXP(UTIL2))</f>
        <v>0.000824424686398306</v>
      </c>
      <c r="H91" s="1" t="n">
        <f aca="false">EXP(UTIL2)/(EXP(UTIL1)+EXP(UTIL2))</f>
        <v>0.999175575313602</v>
      </c>
      <c r="I91" s="1" t="n">
        <f aca="false">Cost1</f>
        <v>8.09999999999999</v>
      </c>
      <c r="J91" s="1" t="n">
        <f aca="false">LN(EXP(UTIL1)+EXP(UTIL2))</f>
        <v>-0.999175235288674</v>
      </c>
      <c r="K91" s="1" t="n">
        <f aca="false">PROB1*UTIL1+PROB2*UTIL2</f>
        <v>-1.00585341527343</v>
      </c>
    </row>
    <row r="92" customFormat="false" ht="13" hidden="false" customHeight="false" outlineLevel="0" collapsed="false">
      <c r="A92" s="1" t="n">
        <f aca="false">A91+0.1</f>
        <v>8.19999999999999</v>
      </c>
      <c r="B92" s="1" t="n">
        <v>1</v>
      </c>
      <c r="C92" s="1" t="n">
        <f aca="false">Alpha+Beta*Cost1</f>
        <v>-8.19999999999999</v>
      </c>
      <c r="D92" s="1" t="n">
        <f aca="false">Alpha+Beta*Cost2</f>
        <v>-1</v>
      </c>
      <c r="E92" s="1" t="n">
        <f aca="false">EXP(C$10:C$1048576)</f>
        <v>0.000274653569972146</v>
      </c>
      <c r="F92" s="1" t="n">
        <f aca="false">EXP(D$10:D$1048576)</f>
        <v>0.367879441171442</v>
      </c>
      <c r="G92" s="1" t="n">
        <f aca="false">EXP(UTIL1)/(EXP(UTIL1)+EXP(UTIL2))</f>
        <v>0.000746028833836707</v>
      </c>
      <c r="H92" s="1" t="n">
        <f aca="false">EXP(UTIL2)/(EXP(UTIL1)+EXP(UTIL2))</f>
        <v>0.999253971166163</v>
      </c>
      <c r="I92" s="1" t="n">
        <f aca="false">Cost1</f>
        <v>8.19999999999999</v>
      </c>
      <c r="J92" s="1" t="n">
        <f aca="false">LN(EXP(UTIL1)+EXP(UTIL2))</f>
        <v>-0.999253692748172</v>
      </c>
      <c r="K92" s="1" t="n">
        <f aca="false">PROB1*UTIL1+PROB2*UTIL2</f>
        <v>-1.00537140760362</v>
      </c>
    </row>
    <row r="93" customFormat="false" ht="13" hidden="false" customHeight="false" outlineLevel="0" collapsed="false">
      <c r="A93" s="1" t="n">
        <f aca="false">A92+0.1</f>
        <v>8.29999999999999</v>
      </c>
      <c r="B93" s="1" t="n">
        <v>1</v>
      </c>
      <c r="C93" s="1" t="n">
        <f aca="false">Alpha+Beta*Cost1</f>
        <v>-8.29999999999999</v>
      </c>
      <c r="D93" s="1" t="n">
        <f aca="false">Alpha+Beta*Cost2</f>
        <v>-1</v>
      </c>
      <c r="E93" s="1" t="n">
        <f aca="false">EXP(C$10:C$1048576)</f>
        <v>0.000248516827107955</v>
      </c>
      <c r="F93" s="1" t="n">
        <f aca="false">EXP(D$10:D$1048576)</f>
        <v>0.367879441171442</v>
      </c>
      <c r="G93" s="1" t="n">
        <f aca="false">EXP(UTIL1)/(EXP(UTIL1)+EXP(UTIL2))</f>
        <v>0.000675082730632847</v>
      </c>
      <c r="H93" s="1" t="n">
        <f aca="false">EXP(UTIL2)/(EXP(UTIL1)+EXP(UTIL2))</f>
        <v>0.999324917269367</v>
      </c>
      <c r="I93" s="1" t="n">
        <f aca="false">Cost1</f>
        <v>8.29999999999999</v>
      </c>
      <c r="J93" s="1" t="n">
        <f aca="false">LN(EXP(UTIL1)+EXP(UTIL2))</f>
        <v>-0.999324689298415</v>
      </c>
      <c r="K93" s="1" t="n">
        <f aca="false">PROB1*UTIL1+PROB2*UTIL2</f>
        <v>-1.00492810393362</v>
      </c>
    </row>
    <row r="94" customFormat="false" ht="13" hidden="false" customHeight="false" outlineLevel="0" collapsed="false">
      <c r="A94" s="1" t="n">
        <f aca="false">A93+0.1</f>
        <v>8.39999999999999</v>
      </c>
      <c r="B94" s="1" t="n">
        <v>1</v>
      </c>
      <c r="C94" s="1" t="n">
        <f aca="false">Alpha+Beta*Cost1</f>
        <v>-8.39999999999999</v>
      </c>
      <c r="D94" s="1" t="n">
        <f aca="false">Alpha+Beta*Cost2</f>
        <v>-1</v>
      </c>
      <c r="E94" s="1" t="n">
        <f aca="false">EXP(C$10:C$1048576)</f>
        <v>0.000224867324178851</v>
      </c>
      <c r="F94" s="1" t="n">
        <f aca="false">EXP(D$10:D$1048576)</f>
        <v>0.367879441171442</v>
      </c>
      <c r="G94" s="1" t="n">
        <f aca="false">EXP(UTIL1)/(EXP(UTIL1)+EXP(UTIL2))</f>
        <v>0.00061087935943441</v>
      </c>
      <c r="H94" s="1" t="n">
        <f aca="false">EXP(UTIL2)/(EXP(UTIL1)+EXP(UTIL2))</f>
        <v>0.999389120640566</v>
      </c>
      <c r="I94" s="1" t="n">
        <f aca="false">Cost1</f>
        <v>8.39999999999999</v>
      </c>
      <c r="J94" s="1" t="n">
        <f aca="false">LN(EXP(UTIL1)+EXP(UTIL2))</f>
        <v>-0.999388933977747</v>
      </c>
      <c r="K94" s="1" t="n">
        <f aca="false">PROB1*UTIL1+PROB2*UTIL2</f>
        <v>-1.00452050725981</v>
      </c>
    </row>
    <row r="95" customFormat="false" ht="13" hidden="false" customHeight="false" outlineLevel="0" collapsed="false">
      <c r="A95" s="1" t="n">
        <f aca="false">A94+0.1</f>
        <v>8.49999999999999</v>
      </c>
      <c r="B95" s="1" t="n">
        <v>1</v>
      </c>
      <c r="C95" s="1" t="n">
        <f aca="false">Alpha+Beta*Cost1</f>
        <v>-8.49999999999999</v>
      </c>
      <c r="D95" s="1" t="n">
        <f aca="false">Alpha+Beta*Cost2</f>
        <v>-1</v>
      </c>
      <c r="E95" s="1" t="n">
        <f aca="false">EXP(C$10:C$1048576)</f>
        <v>0.000203468369010647</v>
      </c>
      <c r="F95" s="1" t="n">
        <f aca="false">EXP(D$10:D$1048576)</f>
        <v>0.367879441171442</v>
      </c>
      <c r="G95" s="1" t="n">
        <f aca="false">EXP(UTIL1)/(EXP(UTIL1)+EXP(UTIL2))</f>
        <v>0.000552778636923607</v>
      </c>
      <c r="H95" s="1" t="n">
        <f aca="false">EXP(UTIL2)/(EXP(UTIL1)+EXP(UTIL2))</f>
        <v>0.999447221363076</v>
      </c>
      <c r="I95" s="1" t="n">
        <f aca="false">Cost1</f>
        <v>8.49999999999999</v>
      </c>
      <c r="J95" s="1" t="n">
        <f aca="false">LN(EXP(UTIL1)+EXP(UTIL2))</f>
        <v>-0.999447068524639</v>
      </c>
      <c r="K95" s="1" t="n">
        <f aca="false">PROB1*UTIL1+PROB2*UTIL2</f>
        <v>-1.00414583977693</v>
      </c>
    </row>
    <row r="96" customFormat="false" ht="13" hidden="false" customHeight="false" outlineLevel="0" collapsed="false">
      <c r="A96" s="1" t="n">
        <f aca="false">A95+0.1</f>
        <v>8.59999999999999</v>
      </c>
      <c r="B96" s="1" t="n">
        <v>1</v>
      </c>
      <c r="C96" s="1" t="n">
        <f aca="false">Alpha+Beta*Cost1</f>
        <v>-8.59999999999999</v>
      </c>
      <c r="D96" s="1" t="n">
        <f aca="false">Alpha+Beta*Cost2</f>
        <v>-1</v>
      </c>
      <c r="E96" s="1" t="n">
        <f aca="false">EXP(C$10:C$1048576)</f>
        <v>0.000184105793667582</v>
      </c>
      <c r="F96" s="1" t="n">
        <f aca="false">EXP(D$10:D$1048576)</f>
        <v>0.367879441171442</v>
      </c>
      <c r="G96" s="1" t="n">
        <f aca="false">EXP(UTIL1)/(EXP(UTIL1)+EXP(UTIL2))</f>
        <v>0.000500201107079571</v>
      </c>
      <c r="H96" s="1" t="n">
        <f aca="false">EXP(UTIL2)/(EXP(UTIL1)+EXP(UTIL2))</f>
        <v>0.999499798892921</v>
      </c>
      <c r="I96" s="1" t="n">
        <f aca="false">Cost1</f>
        <v>8.59999999999999</v>
      </c>
      <c r="J96" s="1" t="n">
        <f aca="false">LN(EXP(UTIL1)+EXP(UTIL2))</f>
        <v>-0.999499673750614</v>
      </c>
      <c r="K96" s="1" t="n">
        <f aca="false">PROB1*UTIL1+PROB2*UTIL2</f>
        <v>-1.0038015284138</v>
      </c>
    </row>
    <row r="97" customFormat="false" ht="13" hidden="false" customHeight="false" outlineLevel="0" collapsed="false">
      <c r="A97" s="1" t="n">
        <f aca="false">A96+0.1</f>
        <v>8.69999999999999</v>
      </c>
      <c r="B97" s="1" t="n">
        <v>1</v>
      </c>
      <c r="C97" s="1" t="n">
        <f aca="false">Alpha+Beta*Cost1</f>
        <v>-8.69999999999999</v>
      </c>
      <c r="D97" s="1" t="n">
        <f aca="false">Alpha+Beta*Cost2</f>
        <v>-1</v>
      </c>
      <c r="E97" s="1" t="n">
        <f aca="false">EXP(C$10:C$1048576)</f>
        <v>0.000166585810987636</v>
      </c>
      <c r="F97" s="1" t="n">
        <f aca="false">EXP(D$10:D$1048576)</f>
        <v>0.367879441171442</v>
      </c>
      <c r="G97" s="1" t="n">
        <f aca="false">EXP(UTIL1)/(EXP(UTIL1)+EXP(UTIL2))</f>
        <v>0.000452622223240542</v>
      </c>
      <c r="H97" s="1" t="n">
        <f aca="false">EXP(UTIL2)/(EXP(UTIL1)+EXP(UTIL2))</f>
        <v>0.999547377776759</v>
      </c>
      <c r="I97" s="1" t="n">
        <f aca="false">Cost1</f>
        <v>8.69999999999999</v>
      </c>
      <c r="J97" s="1" t="n">
        <f aca="false">LN(EXP(UTIL1)+EXP(UTIL2))</f>
        <v>-0.999547275312401</v>
      </c>
      <c r="K97" s="1" t="n">
        <f aca="false">PROB1*UTIL1+PROB2*UTIL2</f>
        <v>-1.00348519111895</v>
      </c>
    </row>
    <row r="98" customFormat="false" ht="13" hidden="false" customHeight="false" outlineLevel="0" collapsed="false">
      <c r="A98" s="1" t="n">
        <f aca="false">A97+0.1</f>
        <v>8.79999999999999</v>
      </c>
      <c r="B98" s="1" t="n">
        <v>1</v>
      </c>
      <c r="C98" s="1" t="n">
        <f aca="false">Alpha+Beta*Cost1</f>
        <v>-8.79999999999999</v>
      </c>
      <c r="D98" s="1" t="n">
        <f aca="false">Alpha+Beta*Cost2</f>
        <v>-1</v>
      </c>
      <c r="E98" s="1" t="n">
        <f aca="false">EXP(C$10:C$1048576)</f>
        <v>0.000150733075095479</v>
      </c>
      <c r="F98" s="1" t="n">
        <f aca="false">EXP(D$10:D$1048576)</f>
        <v>0.367879441171442</v>
      </c>
      <c r="G98" s="1" t="n">
        <f aca="false">EXP(UTIL1)/(EXP(UTIL1)+EXP(UTIL2))</f>
        <v>0.000409567164986057</v>
      </c>
      <c r="H98" s="1" t="n">
        <f aca="false">EXP(UTIL2)/(EXP(UTIL1)+EXP(UTIL2))</f>
        <v>0.999590432835014</v>
      </c>
      <c r="I98" s="1" t="n">
        <f aca="false">Cost1</f>
        <v>8.79999999999999</v>
      </c>
      <c r="J98" s="1" t="n">
        <f aca="false">LN(EXP(UTIL1)+EXP(UTIL2))</f>
        <v>-0.999590348939475</v>
      </c>
      <c r="K98" s="1" t="n">
        <f aca="false">PROB1*UTIL1+PROB2*UTIL2</f>
        <v>-1.00319462388689</v>
      </c>
    </row>
    <row r="99" customFormat="false" ht="13" hidden="false" customHeight="false" outlineLevel="0" collapsed="false">
      <c r="A99" s="1" t="n">
        <f aca="false">A98+0.1</f>
        <v>8.89999999999998</v>
      </c>
      <c r="B99" s="1" t="n">
        <v>1</v>
      </c>
      <c r="C99" s="1" t="n">
        <f aca="false">Alpha+Beta*Cost1</f>
        <v>-8.89999999999998</v>
      </c>
      <c r="D99" s="1" t="n">
        <f aca="false">Alpha+Beta*Cost2</f>
        <v>-1</v>
      </c>
      <c r="E99" s="1" t="n">
        <f aca="false">EXP(C$10:C$1048576)</f>
        <v>0.000136388926482014</v>
      </c>
      <c r="F99" s="1" t="n">
        <f aca="false">EXP(D$10:D$1048576)</f>
        <v>0.367879441171442</v>
      </c>
      <c r="G99" s="1" t="n">
        <f aca="false">EXP(UTIL1)/(EXP(UTIL1)+EXP(UTIL2))</f>
        <v>0.000370606140626402</v>
      </c>
      <c r="H99" s="1" t="n">
        <f aca="false">EXP(UTIL2)/(EXP(UTIL1)+EXP(UTIL2))</f>
        <v>0.999629393859374</v>
      </c>
      <c r="I99" s="1" t="n">
        <f aca="false">Cost1</f>
        <v>8.89999999999998</v>
      </c>
      <c r="J99" s="1" t="n">
        <f aca="false">LN(EXP(UTIL1)+EXP(UTIL2))</f>
        <v>-0.999629325167946</v>
      </c>
      <c r="K99" s="1" t="n">
        <f aca="false">PROB1*UTIL1+PROB2*UTIL2</f>
        <v>-1.00292778851095</v>
      </c>
    </row>
    <row r="100" customFormat="false" ht="13" hidden="false" customHeight="false" outlineLevel="0" collapsed="false">
      <c r="A100" s="1" t="n">
        <f aca="false">A99+0.1</f>
        <v>8.99999999999998</v>
      </c>
      <c r="B100" s="1" t="n">
        <v>1</v>
      </c>
      <c r="C100" s="1" t="n">
        <f aca="false">Alpha+Beta*Cost1</f>
        <v>-8.99999999999998</v>
      </c>
      <c r="D100" s="1" t="n">
        <f aca="false">Alpha+Beta*Cost2</f>
        <v>-1</v>
      </c>
      <c r="E100" s="1" t="n">
        <f aca="false">EXP(C$10:C$1048576)</f>
        <v>0.000123409804086682</v>
      </c>
      <c r="F100" s="1" t="n">
        <f aca="false">EXP(D$10:D$1048576)</f>
        <v>0.367879441171442</v>
      </c>
      <c r="G100" s="1" t="n">
        <f aca="false">EXP(UTIL1)/(EXP(UTIL1)+EXP(UTIL2))</f>
        <v>0.000335350130466483</v>
      </c>
      <c r="H100" s="1" t="n">
        <f aca="false">EXP(UTIL2)/(EXP(UTIL1)+EXP(UTIL2))</f>
        <v>0.999664649869533</v>
      </c>
      <c r="I100" s="1" t="n">
        <f aca="false">Cost1</f>
        <v>8.99999999999998</v>
      </c>
      <c r="J100" s="1" t="n">
        <f aca="false">LN(EXP(UTIL1)+EXP(UTIL2))</f>
        <v>-0.999664593627104</v>
      </c>
      <c r="K100" s="1" t="n">
        <f aca="false">PROB1*UTIL1+PROB2*UTIL2</f>
        <v>-1.00268280104373</v>
      </c>
    </row>
    <row r="101" customFormat="false" ht="13" hidden="false" customHeight="false" outlineLevel="0" collapsed="false">
      <c r="A101" s="1" t="n">
        <f aca="false">A100+0.1</f>
        <v>9.09999999999998</v>
      </c>
      <c r="B101" s="1" t="n">
        <v>1</v>
      </c>
      <c r="C101" s="1" t="n">
        <f aca="false">Alpha+Beta*Cost1</f>
        <v>-9.09999999999998</v>
      </c>
      <c r="D101" s="1" t="n">
        <f aca="false">Alpha+Beta*Cost2</f>
        <v>-1</v>
      </c>
      <c r="E101" s="1" t="n">
        <f aca="false">EXP(C$10:C$1048576)</f>
        <v>0.000111665808490117</v>
      </c>
      <c r="F101" s="1" t="n">
        <f aca="false">EXP(D$10:D$1048576)</f>
        <v>0.367879441171442</v>
      </c>
      <c r="G101" s="1" t="n">
        <f aca="false">EXP(UTIL1)/(EXP(UTIL1)+EXP(UTIL2))</f>
        <v>0.000303447030028924</v>
      </c>
      <c r="H101" s="1" t="n">
        <f aca="false">EXP(UTIL2)/(EXP(UTIL1)+EXP(UTIL2))</f>
        <v>0.999696552969971</v>
      </c>
      <c r="I101" s="1" t="n">
        <f aca="false">Cost1</f>
        <v>9.09999999999998</v>
      </c>
      <c r="J101" s="1" t="n">
        <f aca="false">LN(EXP(UTIL1)+EXP(UTIL2))</f>
        <v>-0.999696506920605</v>
      </c>
      <c r="K101" s="1" t="n">
        <f aca="false">PROB1*UTIL1+PROB2*UTIL2</f>
        <v>-1.00245792094323</v>
      </c>
    </row>
    <row r="102" customFormat="false" ht="13" hidden="false" customHeight="false" outlineLevel="0" collapsed="false">
      <c r="A102" s="1" t="n">
        <f aca="false">A101+0.1</f>
        <v>9.19999999999998</v>
      </c>
      <c r="B102" s="1" t="n">
        <v>1</v>
      </c>
      <c r="C102" s="1" t="n">
        <f aca="false">Alpha+Beta*Cost1</f>
        <v>-9.19999999999998</v>
      </c>
      <c r="D102" s="1" t="n">
        <f aca="false">Alpha+Beta*Cost2</f>
        <v>-1</v>
      </c>
      <c r="E102" s="1" t="n">
        <f aca="false">EXP(C$10:C$1048576)</f>
        <v>0.000101039401837095</v>
      </c>
      <c r="F102" s="1" t="n">
        <f aca="false">EXP(D$10:D$1048576)</f>
        <v>0.367879441171442</v>
      </c>
      <c r="G102" s="1" t="n">
        <f aca="false">EXP(UTIL1)/(EXP(UTIL1)+EXP(UTIL2))</f>
        <v>0.000274578156101337</v>
      </c>
      <c r="H102" s="1" t="n">
        <f aca="false">EXP(UTIL2)/(EXP(UTIL1)+EXP(UTIL2))</f>
        <v>0.999725421843899</v>
      </c>
      <c r="I102" s="1" t="n">
        <f aca="false">Cost1</f>
        <v>9.19999999999998</v>
      </c>
      <c r="J102" s="1" t="n">
        <f aca="false">LN(EXP(UTIL1)+EXP(UTIL2))</f>
        <v>-0.999725384140415</v>
      </c>
      <c r="K102" s="1" t="n">
        <f aca="false">PROB1*UTIL1+PROB2*UTIL2</f>
        <v>-1.00225154088003</v>
      </c>
    </row>
    <row r="103" customFormat="false" ht="13" hidden="false" customHeight="false" outlineLevel="0" collapsed="false">
      <c r="A103" s="1" t="n">
        <f aca="false">A102+0.1</f>
        <v>9.29999999999998</v>
      </c>
      <c r="B103" s="1" t="n">
        <v>1</v>
      </c>
      <c r="C103" s="1" t="n">
        <f aca="false">Alpha+Beta*Cost1</f>
        <v>-9.29999999999998</v>
      </c>
      <c r="D103" s="1" t="n">
        <f aca="false">Alpha+Beta*Cost2</f>
        <v>-1</v>
      </c>
      <c r="E103" s="1" t="n">
        <f aca="false">EXP(C$10:C$1048576)</f>
        <v>9.14242314781749E-005</v>
      </c>
      <c r="F103" s="1" t="n">
        <f aca="false">EXP(D$10:D$1048576)</f>
        <v>0.367879441171442</v>
      </c>
      <c r="G103" s="1" t="n">
        <f aca="false">EXP(UTIL1)/(EXP(UTIL1)+EXP(UTIL2))</f>
        <v>0.000248455081839339</v>
      </c>
      <c r="H103" s="1" t="n">
        <f aca="false">EXP(UTIL2)/(EXP(UTIL1)+EXP(UTIL2))</f>
        <v>0.999751544918161</v>
      </c>
      <c r="I103" s="1" t="n">
        <f aca="false">Cost1</f>
        <v>9.29999999999998</v>
      </c>
      <c r="J103" s="1" t="n">
        <f aca="false">LN(EXP(UTIL1)+EXP(UTIL2))</f>
        <v>-0.999751514048084</v>
      </c>
      <c r="K103" s="1" t="n">
        <f aca="false">PROB1*UTIL1+PROB2*UTIL2</f>
        <v>-1.00206217717927</v>
      </c>
    </row>
    <row r="104" customFormat="false" ht="13" hidden="false" customHeight="false" outlineLevel="0" collapsed="false">
      <c r="A104" s="1" t="n">
        <f aca="false">A103+0.1</f>
        <v>9.39999999999998</v>
      </c>
      <c r="B104" s="1" t="n">
        <v>1</v>
      </c>
      <c r="C104" s="1" t="n">
        <f aca="false">Alpha+Beta*Cost1</f>
        <v>-9.39999999999998</v>
      </c>
      <c r="D104" s="1" t="n">
        <f aca="false">Alpha+Beta*Cost2</f>
        <v>-1</v>
      </c>
      <c r="E104" s="1" t="n">
        <f aca="false">EXP(C$10:C$1048576)</f>
        <v>8.27240655566337E-005</v>
      </c>
      <c r="F104" s="1" t="n">
        <f aca="false">EXP(D$10:D$1048576)</f>
        <v>0.367879441171442</v>
      </c>
      <c r="G104" s="1" t="n">
        <f aca="false">EXP(UTIL1)/(EXP(UTIL1)+EXP(UTIL2))</f>
        <v>0.000224816770233299</v>
      </c>
      <c r="H104" s="1" t="n">
        <f aca="false">EXP(UTIL2)/(EXP(UTIL1)+EXP(UTIL2))</f>
        <v>0.999775183229767</v>
      </c>
      <c r="I104" s="1" t="n">
        <f aca="false">Cost1</f>
        <v>9.39999999999998</v>
      </c>
      <c r="J104" s="1" t="n">
        <f aca="false">LN(EXP(UTIL1)+EXP(UTIL2))</f>
        <v>-0.999775157954688</v>
      </c>
      <c r="K104" s="1" t="n">
        <f aca="false">PROB1*UTIL1+PROB2*UTIL2</f>
        <v>-1.00188846086996</v>
      </c>
    </row>
    <row r="105" customFormat="false" ht="13" hidden="false" customHeight="false" outlineLevel="0" collapsed="false">
      <c r="A105" s="1" t="n">
        <f aca="false">A104+0.1</f>
        <v>9.49999999999998</v>
      </c>
      <c r="B105" s="1" t="n">
        <v>1</v>
      </c>
      <c r="C105" s="1" t="n">
        <f aca="false">Alpha+Beta*Cost1</f>
        <v>-9.49999999999998</v>
      </c>
      <c r="D105" s="1" t="n">
        <f aca="false">Alpha+Beta*Cost2</f>
        <v>-1</v>
      </c>
      <c r="E105" s="1" t="n">
        <f aca="false">EXP(C$10:C$1048576)</f>
        <v>7.48518298877019E-005</v>
      </c>
      <c r="F105" s="1" t="n">
        <f aca="false">EXP(D$10:D$1048576)</f>
        <v>0.367879441171442</v>
      </c>
      <c r="G105" s="1" t="n">
        <f aca="false">EXP(UTIL1)/(EXP(UTIL1)+EXP(UTIL2))</f>
        <v>0.00020342697805521</v>
      </c>
      <c r="H105" s="1" t="n">
        <f aca="false">EXP(UTIL2)/(EXP(UTIL1)+EXP(UTIL2))</f>
        <v>0.999796573021945</v>
      </c>
      <c r="I105" s="1" t="n">
        <f aca="false">Cost1</f>
        <v>9.49999999999998</v>
      </c>
      <c r="J105" s="1" t="n">
        <f aca="false">LN(EXP(UTIL1)+EXP(UTIL2))</f>
        <v>-0.999796552327871</v>
      </c>
      <c r="K105" s="1" t="n">
        <f aca="false">PROB1*UTIL1+PROB2*UTIL2</f>
        <v>-1.00172912931347</v>
      </c>
    </row>
    <row r="106" customFormat="false" ht="13" hidden="false" customHeight="false" outlineLevel="0" collapsed="false">
      <c r="A106" s="1" t="n">
        <f aca="false">A105+0.1</f>
        <v>9.59999999999998</v>
      </c>
      <c r="B106" s="1" t="n">
        <v>1</v>
      </c>
      <c r="C106" s="1" t="n">
        <f aca="false">Alpha+Beta*Cost1</f>
        <v>-9.59999999999998</v>
      </c>
      <c r="D106" s="1" t="n">
        <f aca="false">Alpha+Beta*Cost2</f>
        <v>-1</v>
      </c>
      <c r="E106" s="1" t="n">
        <f aca="false">EXP(C$10:C$1048576)</f>
        <v>6.77287364908551E-005</v>
      </c>
      <c r="F106" s="1" t="n">
        <f aca="false">EXP(D$10:D$1048576)</f>
        <v>0.367879441171442</v>
      </c>
      <c r="G106" s="1" t="n">
        <f aca="false">EXP(UTIL1)/(EXP(UTIL1)+EXP(UTIL2))</f>
        <v>0.000184071904963427</v>
      </c>
      <c r="H106" s="1" t="n">
        <f aca="false">EXP(UTIL2)/(EXP(UTIL1)+EXP(UTIL2))</f>
        <v>0.999815928095037</v>
      </c>
      <c r="I106" s="1" t="n">
        <f aca="false">Cost1</f>
        <v>9.59999999999998</v>
      </c>
      <c r="J106" s="1" t="n">
        <f aca="false">LN(EXP(UTIL1)+EXP(UTIL2))</f>
        <v>-0.999815911151724</v>
      </c>
      <c r="K106" s="1" t="n">
        <f aca="false">PROB1*UTIL1+PROB2*UTIL2</f>
        <v>-1.00158301838269</v>
      </c>
    </row>
    <row r="107" customFormat="false" ht="13" hidden="false" customHeight="false" outlineLevel="0" collapsed="false">
      <c r="A107" s="1" t="n">
        <f aca="false">A106+0.1</f>
        <v>9.69999999999998</v>
      </c>
      <c r="B107" s="1" t="n">
        <v>1</v>
      </c>
      <c r="C107" s="1" t="n">
        <f aca="false">Alpha+Beta*Cost1</f>
        <v>-9.69999999999998</v>
      </c>
      <c r="D107" s="1" t="n">
        <f aca="false">Alpha+Beta*Cost2</f>
        <v>-1</v>
      </c>
      <c r="E107" s="1" t="n">
        <f aca="false">EXP(C$10:C$1048576)</f>
        <v>6.12834950532232E-005</v>
      </c>
      <c r="F107" s="1" t="n">
        <f aca="false">EXP(D$10:D$1048576)</f>
        <v>0.367879441171442</v>
      </c>
      <c r="G107" s="1" t="n">
        <f aca="false">EXP(UTIL1)/(EXP(UTIL1)+EXP(UTIL2))</f>
        <v>0.000166558064777339</v>
      </c>
      <c r="H107" s="1" t="n">
        <f aca="false">EXP(UTIL2)/(EXP(UTIL1)+EXP(UTIL2))</f>
        <v>0.999833441935223</v>
      </c>
      <c r="I107" s="1" t="n">
        <f aca="false">Cost1</f>
        <v>9.69999999999998</v>
      </c>
      <c r="J107" s="1" t="n">
        <f aca="false">LN(EXP(UTIL1)+EXP(UTIL2))</f>
        <v>-0.999833428062888</v>
      </c>
      <c r="K107" s="1" t="n">
        <f aca="false">PROB1*UTIL1+PROB2*UTIL2</f>
        <v>-1.00144905516356</v>
      </c>
    </row>
    <row r="108" customFormat="false" ht="13" hidden="false" customHeight="false" outlineLevel="0" collapsed="false">
      <c r="A108" s="1" t="n">
        <f aca="false">A107+0.1</f>
        <v>9.79999999999998</v>
      </c>
      <c r="B108" s="1" t="n">
        <v>1</v>
      </c>
      <c r="C108" s="1" t="n">
        <f aca="false">Alpha+Beta*Cost1</f>
        <v>-9.79999999999998</v>
      </c>
      <c r="D108" s="1" t="n">
        <f aca="false">Alpha+Beta*Cost2</f>
        <v>-1</v>
      </c>
      <c r="E108" s="1" t="n">
        <f aca="false">EXP(C$10:C$1048576)</f>
        <v>5.5451599432178E-005</v>
      </c>
      <c r="F108" s="1" t="n">
        <f aca="false">EXP(D$10:D$1048576)</f>
        <v>0.367879441171442</v>
      </c>
      <c r="G108" s="1" t="n">
        <f aca="false">EXP(UTIL1)/(EXP(UTIL1)+EXP(UTIL2))</f>
        <v>0.00015071035805976</v>
      </c>
      <c r="H108" s="1" t="n">
        <f aca="false">EXP(UTIL2)/(EXP(UTIL1)+EXP(UTIL2))</f>
        <v>0.99984928964194</v>
      </c>
      <c r="I108" s="1" t="n">
        <f aca="false">Cost1</f>
        <v>9.79999999999998</v>
      </c>
      <c r="J108" s="1" t="n">
        <f aca="false">LN(EXP(UTIL1)+EXP(UTIL2))</f>
        <v>-0.999849278283993</v>
      </c>
      <c r="K108" s="1" t="n">
        <f aca="false">PROB1*UTIL1+PROB2*UTIL2</f>
        <v>-1.00132625115093</v>
      </c>
    </row>
    <row r="109" customFormat="false" ht="13" hidden="false" customHeight="false" outlineLevel="0" collapsed="false">
      <c r="A109" s="1" t="n">
        <f aca="false">A108+0.1</f>
        <v>9.89999999999998</v>
      </c>
      <c r="B109" s="1" t="n">
        <v>1</v>
      </c>
      <c r="C109" s="1" t="n">
        <f aca="false">Alpha+Beta*Cost1</f>
        <v>-9.89999999999998</v>
      </c>
      <c r="D109" s="1" t="n">
        <f aca="false">Alpha+Beta*Cost2</f>
        <v>-1</v>
      </c>
      <c r="E109" s="1" t="n">
        <f aca="false">EXP(C$10:C$1048576)</f>
        <v>5.01746820561763E-005</v>
      </c>
      <c r="F109" s="1" t="n">
        <f aca="false">EXP(D$10:D$1048576)</f>
        <v>0.367879441171442</v>
      </c>
      <c r="G109" s="1" t="n">
        <f aca="false">EXP(UTIL1)/(EXP(UTIL1)+EXP(UTIL2))</f>
        <v>0.0001363703270795</v>
      </c>
      <c r="H109" s="1" t="n">
        <f aca="false">EXP(UTIL2)/(EXP(UTIL1)+EXP(UTIL2))</f>
        <v>0.99986362967292</v>
      </c>
      <c r="I109" s="1" t="n">
        <f aca="false">Cost1</f>
        <v>9.89999999999998</v>
      </c>
      <c r="J109" s="1" t="n">
        <f aca="false">LN(EXP(UTIL1)+EXP(UTIL2))</f>
        <v>-0.999863620373642</v>
      </c>
      <c r="K109" s="1" t="n">
        <f aca="false">PROB1*UTIL1+PROB2*UTIL2</f>
        <v>-1.00121369591101</v>
      </c>
    </row>
    <row r="110" customFormat="false" ht="13" hidden="false" customHeight="false" outlineLevel="0" collapsed="false">
      <c r="A110" s="1" t="n">
        <f aca="false">A109+0.1</f>
        <v>9.99999999999998</v>
      </c>
      <c r="B110" s="1" t="n">
        <v>1</v>
      </c>
      <c r="C110" s="1" t="n">
        <f aca="false">Alpha+Beta*Cost1</f>
        <v>-9.99999999999998</v>
      </c>
      <c r="D110" s="1" t="n">
        <f aca="false">Alpha+Beta*Cost2</f>
        <v>-1</v>
      </c>
      <c r="E110" s="1" t="n">
        <f aca="false">EXP(C$10:C$1048576)</f>
        <v>4.53999297624857E-005</v>
      </c>
      <c r="F110" s="1" t="n">
        <f aca="false">EXP(D$10:D$1048576)</f>
        <v>0.367879441171442</v>
      </c>
      <c r="G110" s="1" t="n">
        <f aca="false">EXP(UTIL1)/(EXP(UTIL1)+EXP(UTIL2))</f>
        <v>0.000123394575986234</v>
      </c>
      <c r="H110" s="1" t="n">
        <f aca="false">EXP(UTIL2)/(EXP(UTIL1)+EXP(UTIL2))</f>
        <v>0.999876605424014</v>
      </c>
      <c r="I110" s="1" t="n">
        <f aca="false">Cost1</f>
        <v>9.99999999999998</v>
      </c>
      <c r="J110" s="1" t="n">
        <f aca="false">LN(EXP(UTIL1)+EXP(UTIL2))</f>
        <v>-0.999876597810277</v>
      </c>
      <c r="K110" s="1" t="n">
        <f aca="false">PROB1*UTIL1+PROB2*UTIL2</f>
        <v>-1.00111055118388</v>
      </c>
    </row>
    <row r="111" customFormat="false" ht="13" hidden="false" customHeight="false" outlineLevel="0" collapsed="false">
      <c r="A111" s="1" t="n">
        <f aca="false">A110+0.1</f>
        <v>10.1</v>
      </c>
      <c r="B111" s="1" t="n">
        <v>1</v>
      </c>
      <c r="C111" s="1" t="n">
        <f aca="false">Alpha+Beta*Cost1</f>
        <v>-10.1</v>
      </c>
      <c r="D111" s="1" t="n">
        <f aca="false">Alpha+Beta*Cost2</f>
        <v>-1</v>
      </c>
      <c r="E111" s="1" t="n">
        <f aca="false">EXP(C$10:C$1048576)</f>
        <v>4.10795552253015E-005</v>
      </c>
      <c r="F111" s="1" t="n">
        <f aca="false">EXP(D$10:D$1048576)</f>
        <v>0.367879441171442</v>
      </c>
      <c r="G111" s="1" t="n">
        <f aca="false">EXP(UTIL1)/(EXP(UTIL1)+EXP(UTIL2))</f>
        <v>0.000111653340629565</v>
      </c>
      <c r="H111" s="1" t="n">
        <f aca="false">EXP(UTIL2)/(EXP(UTIL1)+EXP(UTIL2))</f>
        <v>0.99988834665937</v>
      </c>
      <c r="I111" s="1" t="n">
        <f aca="false">Cost1</f>
        <v>10.1</v>
      </c>
      <c r="J111" s="1" t="n">
        <f aca="false">LN(EXP(UTIL1)+EXP(UTIL2))</f>
        <v>-0.999888340425672</v>
      </c>
      <c r="K111" s="1" t="n">
        <f aca="false">PROB1*UTIL1+PROB2*UTIL2</f>
        <v>-1.00101604539973</v>
      </c>
    </row>
    <row r="112" customFormat="false" ht="13" hidden="false" customHeight="false" outlineLevel="0" collapsed="false">
      <c r="A112" s="1" t="n">
        <f aca="false">A111+0.1</f>
        <v>10.2</v>
      </c>
      <c r="B112" s="1" t="n">
        <v>1</v>
      </c>
      <c r="C112" s="1" t="n">
        <f aca="false">Alpha+Beta*Cost1</f>
        <v>-10.2</v>
      </c>
      <c r="D112" s="1" t="n">
        <f aca="false">Alpha+Beta*Cost2</f>
        <v>-1</v>
      </c>
      <c r="E112" s="1" t="n">
        <f aca="false">EXP(C$10:C$1048576)</f>
        <v>3.71703186841275E-005</v>
      </c>
      <c r="F112" s="1" t="n">
        <f aca="false">EXP(D$10:D$1048576)</f>
        <v>0.367879441171442</v>
      </c>
      <c r="G112" s="1" t="n">
        <f aca="false">EXP(UTIL1)/(EXP(UTIL1)+EXP(UTIL2))</f>
        <v>0.000101029193907775</v>
      </c>
      <c r="H112" s="1" t="n">
        <f aca="false">EXP(UTIL2)/(EXP(UTIL1)+EXP(UTIL2))</f>
        <v>0.999898970806092</v>
      </c>
      <c r="I112" s="1" t="n">
        <f aca="false">Cost1</f>
        <v>10.2</v>
      </c>
      <c r="J112" s="1" t="n">
        <f aca="false">LN(EXP(UTIL1)+EXP(UTIL2))</f>
        <v>-0.9998989657023</v>
      </c>
      <c r="K112" s="1" t="n">
        <f aca="false">PROB1*UTIL1+PROB2*UTIL2</f>
        <v>-1.00092946858395</v>
      </c>
    </row>
    <row r="113" customFormat="false" ht="13" hidden="false" customHeight="false" outlineLevel="0" collapsed="false">
      <c r="A113" s="1" t="n">
        <f aca="false">A112+0.1</f>
        <v>10.3</v>
      </c>
      <c r="B113" s="1" t="n">
        <v>1</v>
      </c>
      <c r="C113" s="1" t="n">
        <f aca="false">Alpha+Beta*Cost1</f>
        <v>-10.3</v>
      </c>
      <c r="D113" s="1" t="n">
        <f aca="false">Alpha+Beta*Cost2</f>
        <v>-1</v>
      </c>
      <c r="E113" s="1" t="n">
        <f aca="false">EXP(C$10:C$1048576)</f>
        <v>3.36330951857197E-005</v>
      </c>
      <c r="F113" s="1" t="n">
        <f aca="false">EXP(D$10:D$1048576)</f>
        <v>0.367879441171442</v>
      </c>
      <c r="G113" s="1" t="n">
        <f aca="false">EXP(UTIL1)/(EXP(UTIL1)+EXP(UTIL2))</f>
        <v>9.14158738521634E-005</v>
      </c>
      <c r="H113" s="1" t="n">
        <f aca="false">EXP(UTIL2)/(EXP(UTIL1)+EXP(UTIL2))</f>
        <v>0.999908584126148</v>
      </c>
      <c r="I113" s="1" t="n">
        <f aca="false">Cost1</f>
        <v>10.3</v>
      </c>
      <c r="J113" s="1" t="n">
        <f aca="false">LN(EXP(UTIL1)+EXP(UTIL2))</f>
        <v>-0.999908579947462</v>
      </c>
      <c r="K113" s="1" t="n">
        <f aca="false">PROB1*UTIL1+PROB2*UTIL2</f>
        <v>-1.00085016762683</v>
      </c>
    </row>
    <row r="114" customFormat="false" ht="13" hidden="false" customHeight="false" outlineLevel="0" collapsed="false">
      <c r="A114" s="1" t="n">
        <f aca="false">A113+0.1</f>
        <v>10.4</v>
      </c>
      <c r="B114" s="1" t="n">
        <v>1</v>
      </c>
      <c r="C114" s="1" t="n">
        <f aca="false">Alpha+Beta*Cost1</f>
        <v>-10.4</v>
      </c>
      <c r="D114" s="1" t="n">
        <f aca="false">Alpha+Beta*Cost2</f>
        <v>-1</v>
      </c>
      <c r="E114" s="1" t="n">
        <f aca="false">EXP(C$10:C$1048576)</f>
        <v>3.04324830084043E-005</v>
      </c>
      <c r="F114" s="1" t="n">
        <f aca="false">EXP(D$10:D$1048576)</f>
        <v>0.367879441171442</v>
      </c>
      <c r="G114" s="1" t="n">
        <f aca="false">EXP(UTIL1)/(EXP(UTIL1)+EXP(UTIL2))</f>
        <v>8.27172228516682E-005</v>
      </c>
      <c r="H114" s="1" t="n">
        <f aca="false">EXP(UTIL2)/(EXP(UTIL1)+EXP(UTIL2))</f>
        <v>0.999917282777148</v>
      </c>
      <c r="I114" s="1" t="n">
        <f aca="false">Cost1</f>
        <v>10.4</v>
      </c>
      <c r="J114" s="1" t="n">
        <f aca="false">LN(EXP(UTIL1)+EXP(UTIL2))</f>
        <v>-0.99991727935589</v>
      </c>
      <c r="K114" s="1" t="n">
        <f aca="false">PROB1*UTIL1+PROB2*UTIL2</f>
        <v>-1.00077754189481</v>
      </c>
    </row>
    <row r="115" customFormat="false" ht="13" hidden="false" customHeight="false" outlineLevel="0" collapsed="false">
      <c r="A115" s="1" t="n">
        <f aca="false">A114+0.1</f>
        <v>10.5</v>
      </c>
      <c r="B115" s="1" t="n">
        <v>1</v>
      </c>
      <c r="C115" s="1" t="n">
        <f aca="false">Alpha+Beta*Cost1</f>
        <v>-10.5</v>
      </c>
      <c r="D115" s="1" t="n">
        <f aca="false">Alpha+Beta*Cost2</f>
        <v>-1</v>
      </c>
      <c r="E115" s="1" t="n">
        <f aca="false">EXP(C$10:C$1048576)</f>
        <v>2.75364493497477E-005</v>
      </c>
      <c r="F115" s="1" t="n">
        <f aca="false">EXP(D$10:D$1048576)</f>
        <v>0.367879441171442</v>
      </c>
      <c r="G115" s="1" t="n">
        <f aca="false">EXP(UTIL1)/(EXP(UTIL1)+EXP(UTIL2))</f>
        <v>7.48462275106128E-005</v>
      </c>
      <c r="H115" s="1" t="n">
        <f aca="false">EXP(UTIL2)/(EXP(UTIL1)+EXP(UTIL2))</f>
        <v>0.999925153772489</v>
      </c>
      <c r="I115" s="1" t="n">
        <f aca="false">Cost1</f>
        <v>10.5</v>
      </c>
      <c r="J115" s="1" t="n">
        <f aca="false">LN(EXP(UTIL1)+EXP(UTIL2))</f>
        <v>-0.999925150971371</v>
      </c>
      <c r="K115" s="1" t="n">
        <f aca="false">PROB1*UTIL1+PROB2*UTIL2</f>
        <v>-1.00071103916135</v>
      </c>
    </row>
    <row r="116" customFormat="false" ht="13" hidden="false" customHeight="false" outlineLevel="0" collapsed="false">
      <c r="A116" s="1" t="n">
        <f aca="false">A115+0.1</f>
        <v>10.6</v>
      </c>
      <c r="B116" s="1" t="n">
        <v>1</v>
      </c>
      <c r="C116" s="1" t="n">
        <f aca="false">Alpha+Beta*Cost1</f>
        <v>-10.6</v>
      </c>
      <c r="D116" s="1" t="n">
        <f aca="false">Alpha+Beta*Cost2</f>
        <v>-1</v>
      </c>
      <c r="E116" s="1" t="n">
        <f aca="false">EXP(C$10:C$1048576)</f>
        <v>2.49160097315037E-005</v>
      </c>
      <c r="F116" s="1" t="n">
        <f aca="false">EXP(D$10:D$1048576)</f>
        <v>0.367879441171442</v>
      </c>
      <c r="G116" s="1" t="n">
        <f aca="false">EXP(UTIL1)/(EXP(UTIL1)+EXP(UTIL2))</f>
        <v>6.77241496197717E-005</v>
      </c>
      <c r="H116" s="1" t="n">
        <f aca="false">EXP(UTIL2)/(EXP(UTIL1)+EXP(UTIL2))</f>
        <v>0.99993227585038</v>
      </c>
      <c r="I116" s="1" t="n">
        <f aca="false">Cost1</f>
        <v>10.6</v>
      </c>
      <c r="J116" s="1" t="n">
        <f aca="false">LN(EXP(UTIL1)+EXP(UTIL2))</f>
        <v>-0.999932273556997</v>
      </c>
      <c r="K116" s="1" t="n">
        <f aca="false">PROB1*UTIL1+PROB2*UTIL2</f>
        <v>-1.00065015183635</v>
      </c>
    </row>
    <row r="117" customFormat="false" ht="13" hidden="false" customHeight="false" outlineLevel="0" collapsed="false">
      <c r="A117" s="1" t="n">
        <f aca="false">A116+0.1</f>
        <v>10.7</v>
      </c>
      <c r="B117" s="1" t="n">
        <v>1</v>
      </c>
      <c r="C117" s="1" t="n">
        <f aca="false">Alpha+Beta*Cost1</f>
        <v>-10.7</v>
      </c>
      <c r="D117" s="1" t="n">
        <f aca="false">Alpha+Beta*Cost2</f>
        <v>-1</v>
      </c>
      <c r="E117" s="1" t="n">
        <f aca="false">EXP(C$10:C$1048576)</f>
        <v>2.25449379132127E-005</v>
      </c>
      <c r="F117" s="1" t="n">
        <f aca="false">EXP(D$10:D$1048576)</f>
        <v>0.367879441171442</v>
      </c>
      <c r="G117" s="1" t="n">
        <f aca="false">EXP(UTIL1)/(EXP(UTIL1)+EXP(UTIL2))</f>
        <v>6.12797396166038E-005</v>
      </c>
      <c r="H117" s="1" t="n">
        <f aca="false">EXP(UTIL2)/(EXP(UTIL1)+EXP(UTIL2))</f>
        <v>0.999938720260383</v>
      </c>
      <c r="I117" s="1" t="n">
        <f aca="false">Cost1</f>
        <v>10.7</v>
      </c>
      <c r="J117" s="1" t="n">
        <f aca="false">LN(EXP(UTIL1)+EXP(UTIL2))</f>
        <v>-0.999938718382703</v>
      </c>
      <c r="K117" s="1" t="n">
        <f aca="false">PROB1*UTIL1+PROB2*UTIL2</f>
        <v>-1.00059441347428</v>
      </c>
    </row>
    <row r="118" customFormat="false" ht="13" hidden="false" customHeight="false" outlineLevel="0" collapsed="false">
      <c r="A118" s="1" t="n">
        <f aca="false">A117+0.1</f>
        <v>10.8</v>
      </c>
      <c r="B118" s="1" t="n">
        <v>1</v>
      </c>
      <c r="C118" s="1" t="n">
        <f aca="false">Alpha+Beta*Cost1</f>
        <v>-10.8</v>
      </c>
      <c r="D118" s="1" t="n">
        <f aca="false">Alpha+Beta*Cost2</f>
        <v>-1</v>
      </c>
      <c r="E118" s="1" t="n">
        <f aca="false">EXP(C$10:C$1048576)</f>
        <v>2.03995034111724E-005</v>
      </c>
      <c r="F118" s="1" t="n">
        <f aca="false">EXP(D$10:D$1048576)</f>
        <v>0.367879441171442</v>
      </c>
      <c r="G118" s="1" t="n">
        <f aca="false">EXP(UTIL1)/(EXP(UTIL1)+EXP(UTIL2))</f>
        <v>5.54485247227962E-005</v>
      </c>
      <c r="H118" s="1" t="n">
        <f aca="false">EXP(UTIL2)/(EXP(UTIL1)+EXP(UTIL2))</f>
        <v>0.999944551475277</v>
      </c>
      <c r="I118" s="1" t="n">
        <f aca="false">Cost1</f>
        <v>10.8</v>
      </c>
      <c r="J118" s="1" t="n">
        <f aca="false">LN(EXP(UTIL1)+EXP(UTIL2))</f>
        <v>-0.999944549937951</v>
      </c>
      <c r="K118" s="1" t="n">
        <f aca="false">PROB1*UTIL1+PROB2*UTIL2</f>
        <v>-1.00054339554228</v>
      </c>
    </row>
    <row r="119" customFormat="false" ht="13" hidden="false" customHeight="false" outlineLevel="0" collapsed="false">
      <c r="A119" s="1" t="n">
        <f aca="false">A118+0.1</f>
        <v>10.9</v>
      </c>
      <c r="B119" s="1" t="n">
        <v>1</v>
      </c>
      <c r="C119" s="1" t="n">
        <f aca="false">Alpha+Beta*Cost1</f>
        <v>-10.9</v>
      </c>
      <c r="D119" s="1" t="n">
        <f aca="false">Alpha+Beta*Cost2</f>
        <v>-1</v>
      </c>
      <c r="E119" s="1" t="n">
        <f aca="false">EXP(C$10:C$1048576)</f>
        <v>1.8458233995781E-005</v>
      </c>
      <c r="F119" s="1" t="n">
        <f aca="false">EXP(D$10:D$1048576)</f>
        <v>0.367879441171442</v>
      </c>
      <c r="G119" s="1" t="n">
        <f aca="false">EXP(UTIL1)/(EXP(UTIL1)+EXP(UTIL2))</f>
        <v>5.01721646837654E-005</v>
      </c>
      <c r="H119" s="1" t="n">
        <f aca="false">EXP(UTIL2)/(EXP(UTIL1)+EXP(UTIL2))</f>
        <v>0.999949827835316</v>
      </c>
      <c r="I119" s="1" t="n">
        <f aca="false">Cost1</f>
        <v>10.9</v>
      </c>
      <c r="J119" s="1" t="n">
        <f aca="false">LN(EXP(UTIL1)+EXP(UTIL2))</f>
        <v>-0.999949826576651</v>
      </c>
      <c r="K119" s="1" t="n">
        <f aca="false">PROB1*UTIL1+PROB2*UTIL2</f>
        <v>-1.00049670443037</v>
      </c>
    </row>
    <row r="120" customFormat="false" ht="13" hidden="false" customHeight="false" outlineLevel="0" collapsed="false">
      <c r="A120" s="1" t="n">
        <f aca="false">A119+0.1</f>
        <v>11</v>
      </c>
      <c r="B120" s="1" t="n">
        <v>1</v>
      </c>
      <c r="C120" s="1" t="n">
        <f aca="false">Alpha+Beta*Cost1</f>
        <v>-11</v>
      </c>
      <c r="D120" s="1" t="n">
        <f aca="false">Alpha+Beta*Cost2</f>
        <v>-1</v>
      </c>
      <c r="E120" s="1" t="n">
        <f aca="false">EXP(C$10:C$1048576)</f>
        <v>1.6701700790246E-005</v>
      </c>
      <c r="F120" s="1" t="n">
        <f aca="false">EXP(D$10:D$1048576)</f>
        <v>0.367879441171442</v>
      </c>
      <c r="G120" s="1" t="n">
        <f aca="false">EXP(UTIL1)/(EXP(UTIL1)+EXP(UTIL2))</f>
        <v>4.53978687024354E-005</v>
      </c>
      <c r="H120" s="1" t="n">
        <f aca="false">EXP(UTIL2)/(EXP(UTIL1)+EXP(UTIL2))</f>
        <v>0.999954602131298</v>
      </c>
      <c r="I120" s="1" t="n">
        <f aca="false">Cost1</f>
        <v>11</v>
      </c>
      <c r="J120" s="1" t="n">
        <f aca="false">LN(EXP(UTIL1)+EXP(UTIL2))</f>
        <v>-0.999954601100783</v>
      </c>
      <c r="K120" s="1" t="n">
        <f aca="false">PROB1*UTIL1+PROB2*UTIL2</f>
        <v>-1.00045397868702</v>
      </c>
    </row>
    <row r="121" customFormat="false" ht="13" hidden="false" customHeight="false" outlineLevel="0" collapsed="false">
      <c r="A121" s="1" t="n">
        <f aca="false">A120+0.1</f>
        <v>11.1</v>
      </c>
      <c r="B121" s="1" t="n">
        <v>1</v>
      </c>
      <c r="C121" s="1" t="n">
        <f aca="false">Alpha+Beta*Cost1</f>
        <v>-11.1</v>
      </c>
      <c r="D121" s="1" t="n">
        <f aca="false">Alpha+Beta*Cost2</f>
        <v>-1</v>
      </c>
      <c r="E121" s="1" t="n">
        <f aca="false">EXP(C$10:C$1048576)</f>
        <v>1.51123238198554E-005</v>
      </c>
      <c r="F121" s="1" t="n">
        <f aca="false">EXP(D$10:D$1048576)</f>
        <v>0.367879441171442</v>
      </c>
      <c r="G121" s="1" t="n">
        <f aca="false">EXP(UTIL1)/(EXP(UTIL1)+EXP(UTIL2))</f>
        <v>4.10778677647643E-005</v>
      </c>
      <c r="H121" s="1" t="n">
        <f aca="false">EXP(UTIL2)/(EXP(UTIL1)+EXP(UTIL2))</f>
        <v>0.999958922132235</v>
      </c>
      <c r="I121" s="1" t="n">
        <f aca="false">Cost1</f>
        <v>11.1</v>
      </c>
      <c r="J121" s="1" t="n">
        <f aca="false">LN(EXP(UTIL1)+EXP(UTIL2))</f>
        <v>-0.999958921288517</v>
      </c>
      <c r="K121" s="1" t="n">
        <f aca="false">PROB1*UTIL1+PROB2*UTIL2</f>
        <v>-1.00041488646442</v>
      </c>
    </row>
    <row r="122" customFormat="false" ht="13" hidden="false" customHeight="false" outlineLevel="0" collapsed="false">
      <c r="A122" s="1" t="n">
        <f aca="false">A121+0.1</f>
        <v>11.2</v>
      </c>
      <c r="B122" s="1" t="n">
        <v>1</v>
      </c>
      <c r="C122" s="1" t="n">
        <f aca="false">Alpha+Beta*Cost1</f>
        <v>-11.2</v>
      </c>
      <c r="D122" s="1" t="n">
        <f aca="false">Alpha+Beta*Cost2</f>
        <v>-1</v>
      </c>
      <c r="E122" s="1" t="n">
        <f aca="false">EXP(C$10:C$1048576)</f>
        <v>1.36741960656813E-005</v>
      </c>
      <c r="F122" s="1" t="n">
        <f aca="false">EXP(D$10:D$1048576)</f>
        <v>0.367879441171442</v>
      </c>
      <c r="G122" s="1" t="n">
        <f aca="false">EXP(UTIL1)/(EXP(UTIL1)+EXP(UTIL2))</f>
        <v>3.71689371028903E-005</v>
      </c>
      <c r="H122" s="1" t="n">
        <f aca="false">EXP(UTIL2)/(EXP(UTIL1)+EXP(UTIL2))</f>
        <v>0.999962831062897</v>
      </c>
      <c r="I122" s="1" t="n">
        <f aca="false">Cost1</f>
        <v>11.2</v>
      </c>
      <c r="J122" s="1" t="n">
        <f aca="false">LN(EXP(UTIL1)+EXP(UTIL2))</f>
        <v>-0.999962830372115</v>
      </c>
      <c r="K122" s="1" t="n">
        <f aca="false">PROB1*UTIL1+PROB2*UTIL2</f>
        <v>-1.00037912315845</v>
      </c>
    </row>
    <row r="123" customFormat="false" ht="13" hidden="false" customHeight="false" outlineLevel="0" collapsed="false">
      <c r="A123" s="1" t="n">
        <f aca="false">A122+0.1</f>
        <v>11.3</v>
      </c>
      <c r="B123" s="1" t="n">
        <v>1</v>
      </c>
      <c r="C123" s="1" t="n">
        <f aca="false">Alpha+Beta*Cost1</f>
        <v>-11.3</v>
      </c>
      <c r="D123" s="1" t="n">
        <f aca="false">Alpha+Beta*Cost2</f>
        <v>-1</v>
      </c>
      <c r="E123" s="1" t="n">
        <f aca="false">EXP(C$10:C$1048576)</f>
        <v>1.23729242617885E-005</v>
      </c>
      <c r="F123" s="1" t="n">
        <f aca="false">EXP(D$10:D$1048576)</f>
        <v>0.367879441171442</v>
      </c>
      <c r="G123" s="1" t="n">
        <f aca="false">EXP(UTIL1)/(EXP(UTIL1)+EXP(UTIL2))</f>
        <v>3.3631964038672E-005</v>
      </c>
      <c r="H123" s="1" t="n">
        <f aca="false">EXP(UTIL2)/(EXP(UTIL1)+EXP(UTIL2))</f>
        <v>0.999966368035961</v>
      </c>
      <c r="I123" s="1" t="n">
        <f aca="false">Cost1</f>
        <v>11.3</v>
      </c>
      <c r="J123" s="1" t="n">
        <f aca="false">LN(EXP(UTIL1)+EXP(UTIL2))</f>
        <v>-0.999966367470394</v>
      </c>
      <c r="K123" s="1" t="n">
        <f aca="false">PROB1*UTIL1+PROB2*UTIL2</f>
        <v>-1.0003464092296</v>
      </c>
    </row>
    <row r="124" customFormat="false" ht="13" hidden="false" customHeight="false" outlineLevel="0" collapsed="false">
      <c r="A124" s="1" t="n">
        <f aca="false">A123+0.1</f>
        <v>11.4</v>
      </c>
      <c r="B124" s="1" t="n">
        <v>1</v>
      </c>
      <c r="C124" s="1" t="n">
        <f aca="false">Alpha+Beta*Cost1</f>
        <v>-11.4</v>
      </c>
      <c r="D124" s="1" t="n">
        <f aca="false">Alpha+Beta*Cost2</f>
        <v>-1</v>
      </c>
      <c r="E124" s="1" t="n">
        <f aca="false">EXP(C$10:C$1048576)</f>
        <v>1.11954848425912E-005</v>
      </c>
      <c r="F124" s="1" t="n">
        <f aca="false">EXP(D$10:D$1048576)</f>
        <v>0.367879441171442</v>
      </c>
      <c r="G124" s="1" t="n">
        <f aca="false">EXP(UTIL1)/(EXP(UTIL1)+EXP(UTIL2))</f>
        <v>3.04315569005661E-005</v>
      </c>
      <c r="H124" s="1" t="n">
        <f aca="false">EXP(UTIL2)/(EXP(UTIL1)+EXP(UTIL2))</f>
        <v>0.9999695684431</v>
      </c>
      <c r="I124" s="1" t="n">
        <f aca="false">Cost1</f>
        <v>11.4</v>
      </c>
      <c r="J124" s="1" t="n">
        <f aca="false">LN(EXP(UTIL1)+EXP(UTIL2))</f>
        <v>-0.99996956798005</v>
      </c>
      <c r="K124" s="1" t="n">
        <f aca="false">PROB1*UTIL1+PROB2*UTIL2</f>
        <v>-1.00031648819177</v>
      </c>
    </row>
    <row r="125" customFormat="false" ht="13" hidden="false" customHeight="false" outlineLevel="0" collapsed="false">
      <c r="A125" s="1" t="n">
        <f aca="false">A124+0.1</f>
        <v>11.5</v>
      </c>
      <c r="B125" s="1" t="n">
        <v>1</v>
      </c>
      <c r="C125" s="1" t="n">
        <f aca="false">Alpha+Beta*Cost1</f>
        <v>-11.5</v>
      </c>
      <c r="D125" s="1" t="n">
        <f aca="false">Alpha+Beta*Cost2</f>
        <v>-1</v>
      </c>
      <c r="E125" s="1" t="n">
        <f aca="false">EXP(C$10:C$1048576)</f>
        <v>1.0130093598631E-005</v>
      </c>
      <c r="F125" s="1" t="n">
        <f aca="false">EXP(D$10:D$1048576)</f>
        <v>0.367879441171442</v>
      </c>
      <c r="G125" s="1" t="n">
        <f aca="false">EXP(UTIL1)/(EXP(UTIL1)+EXP(UTIL2))</f>
        <v>2.75356911145842E-005</v>
      </c>
      <c r="H125" s="1" t="n">
        <f aca="false">EXP(UTIL2)/(EXP(UTIL1)+EXP(UTIL2))</f>
        <v>0.999972464308885</v>
      </c>
      <c r="I125" s="1" t="n">
        <f aca="false">Cost1</f>
        <v>11.5</v>
      </c>
      <c r="J125" s="1" t="n">
        <f aca="false">LN(EXP(UTIL1)+EXP(UTIL2))</f>
        <v>-0.999972463929771</v>
      </c>
      <c r="K125" s="1" t="n">
        <f aca="false">PROB1*UTIL1+PROB2*UTIL2</f>
        <v>-1.0002891247567</v>
      </c>
    </row>
    <row r="126" customFormat="false" ht="13" hidden="false" customHeight="false" outlineLevel="0" collapsed="false">
      <c r="A126" s="1" t="n">
        <f aca="false">A125+0.1</f>
        <v>11.6</v>
      </c>
      <c r="B126" s="1" t="n">
        <v>1</v>
      </c>
      <c r="C126" s="1" t="n">
        <f aca="false">Alpha+Beta*Cost1</f>
        <v>-11.6</v>
      </c>
      <c r="D126" s="1" t="n">
        <f aca="false">Alpha+Beta*Cost2</f>
        <v>-1</v>
      </c>
      <c r="E126" s="1" t="n">
        <f aca="false">EXP(C$10:C$1048576)</f>
        <v>9.16608773624785E-006</v>
      </c>
      <c r="F126" s="1" t="n">
        <f aca="false">EXP(D$10:D$1048576)</f>
        <v>0.367879441171442</v>
      </c>
      <c r="G126" s="1" t="n">
        <f aca="false">EXP(UTIL1)/(EXP(UTIL1)+EXP(UTIL2))</f>
        <v>2.49153889394305E-005</v>
      </c>
      <c r="H126" s="1" t="n">
        <f aca="false">EXP(UTIL2)/(EXP(UTIL1)+EXP(UTIL2))</f>
        <v>0.999975084611061</v>
      </c>
      <c r="I126" s="1" t="n">
        <f aca="false">Cost1</f>
        <v>11.6</v>
      </c>
      <c r="J126" s="1" t="n">
        <f aca="false">LN(EXP(UTIL1)+EXP(UTIL2))</f>
        <v>-0.999975084300667</v>
      </c>
      <c r="K126" s="1" t="n">
        <f aca="false">PROB1*UTIL1+PROB2*UTIL2</f>
        <v>-1.00026410312276</v>
      </c>
    </row>
    <row r="127" customFormat="false" ht="13" hidden="false" customHeight="false" outlineLevel="0" collapsed="false">
      <c r="A127" s="1" t="n">
        <f aca="false">A126+0.1</f>
        <v>11.7</v>
      </c>
      <c r="B127" s="1" t="n">
        <v>1</v>
      </c>
      <c r="C127" s="1" t="n">
        <f aca="false">Alpha+Beta*Cost1</f>
        <v>-11.7</v>
      </c>
      <c r="D127" s="1" t="n">
        <f aca="false">Alpha+Beta*Cost2</f>
        <v>-1</v>
      </c>
      <c r="E127" s="1" t="n">
        <f aca="false">EXP(C$10:C$1048576)</f>
        <v>8.29381916075758E-006</v>
      </c>
      <c r="F127" s="1" t="n">
        <f aca="false">EXP(D$10:D$1048576)</f>
        <v>0.367879441171442</v>
      </c>
      <c r="G127" s="1" t="n">
        <f aca="false">EXP(UTIL1)/(EXP(UTIL1)+EXP(UTIL2))</f>
        <v>2.2544429650446E-005</v>
      </c>
      <c r="H127" s="1" t="n">
        <f aca="false">EXP(UTIL2)/(EXP(UTIL1)+EXP(UTIL2))</f>
        <v>0.99997745557035</v>
      </c>
      <c r="I127" s="1" t="n">
        <f aca="false">Cost1</f>
        <v>11.7</v>
      </c>
      <c r="J127" s="1" t="n">
        <f aca="false">LN(EXP(UTIL1)+EXP(UTIL2))</f>
        <v>-0.99997745531622</v>
      </c>
      <c r="K127" s="1" t="n">
        <f aca="false">PROB1*UTIL1+PROB2*UTIL2</f>
        <v>-1.00024122539726</v>
      </c>
    </row>
    <row r="128" customFormat="false" ht="13" hidden="false" customHeight="false" outlineLevel="0" collapsed="false">
      <c r="A128" s="1" t="n">
        <f aca="false">A127+0.1</f>
        <v>11.8</v>
      </c>
      <c r="B128" s="1" t="n">
        <v>1</v>
      </c>
      <c r="C128" s="1" t="n">
        <f aca="false">Alpha+Beta*Cost1</f>
        <v>-11.8</v>
      </c>
      <c r="D128" s="1" t="n">
        <f aca="false">Alpha+Beta*Cost2</f>
        <v>-1</v>
      </c>
      <c r="E128" s="1" t="n">
        <f aca="false">EXP(C$10:C$1048576)</f>
        <v>7.50455791507706E-006</v>
      </c>
      <c r="F128" s="1" t="n">
        <f aca="false">EXP(D$10:D$1048576)</f>
        <v>0.367879441171442</v>
      </c>
      <c r="G128" s="1" t="n">
        <f aca="false">EXP(UTIL1)/(EXP(UTIL1)+EXP(UTIL2))</f>
        <v>2.03990872799219E-005</v>
      </c>
      <c r="H128" s="1" t="n">
        <f aca="false">EXP(UTIL2)/(EXP(UTIL1)+EXP(UTIL2))</f>
        <v>0.99997960091272</v>
      </c>
      <c r="I128" s="1" t="n">
        <f aca="false">Cost1</f>
        <v>11.8</v>
      </c>
      <c r="J128" s="1" t="n">
        <f aca="false">LN(EXP(UTIL1)+EXP(UTIL2))</f>
        <v>-0.999979600704656</v>
      </c>
      <c r="K128" s="1" t="n">
        <f aca="false">PROB1*UTIL1+PROB2*UTIL2</f>
        <v>-1.00022031014262</v>
      </c>
    </row>
    <row r="129" customFormat="false" ht="13" hidden="false" customHeight="false" outlineLevel="0" collapsed="false">
      <c r="A129" s="1" t="n">
        <f aca="false">A128+0.1</f>
        <v>11.9</v>
      </c>
      <c r="B129" s="1" t="n">
        <v>1</v>
      </c>
      <c r="C129" s="1" t="n">
        <f aca="false">Alpha+Beta*Cost1</f>
        <v>-11.9</v>
      </c>
      <c r="D129" s="1" t="n">
        <f aca="false">Alpha+Beta*Cost2</f>
        <v>-1</v>
      </c>
      <c r="E129" s="1" t="n">
        <f aca="false">EXP(C$10:C$1048576)</f>
        <v>6.79040480737965E-006</v>
      </c>
      <c r="F129" s="1" t="n">
        <f aca="false">EXP(D$10:D$1048576)</f>
        <v>0.367879441171442</v>
      </c>
      <c r="G129" s="1" t="n">
        <f aca="false">EXP(UTIL1)/(EXP(UTIL1)+EXP(UTIL2))</f>
        <v>1.84578932956675E-005</v>
      </c>
      <c r="H129" s="1" t="n">
        <f aca="false">EXP(UTIL2)/(EXP(UTIL1)+EXP(UTIL2))</f>
        <v>0.999981542106704</v>
      </c>
      <c r="I129" s="1" t="n">
        <f aca="false">Cost1</f>
        <v>11.9</v>
      </c>
      <c r="J129" s="1" t="n">
        <f aca="false">LN(EXP(UTIL1)+EXP(UTIL2))</f>
        <v>-0.999981541936355</v>
      </c>
      <c r="K129" s="1" t="n">
        <f aca="false">PROB1*UTIL1+PROB2*UTIL2</f>
        <v>-1.00020119103692</v>
      </c>
    </row>
    <row r="130" customFormat="false" ht="13" hidden="false" customHeight="false" outlineLevel="0" collapsed="false">
      <c r="A130" s="1" t="n">
        <f aca="false">A129+0.1</f>
        <v>12</v>
      </c>
      <c r="B130" s="1" t="n">
        <v>1</v>
      </c>
      <c r="C130" s="1" t="n">
        <f aca="false">Alpha+Beta*Cost1</f>
        <v>-12</v>
      </c>
      <c r="D130" s="1" t="n">
        <f aca="false">Alpha+Beta*Cost2</f>
        <v>-1</v>
      </c>
      <c r="E130" s="1" t="n">
        <f aca="false">EXP(C$10:C$1048576)</f>
        <v>6.14421235332837E-006</v>
      </c>
      <c r="F130" s="1" t="n">
        <f aca="false">EXP(D$10:D$1048576)</f>
        <v>0.367879441171442</v>
      </c>
      <c r="G130" s="1" t="n">
        <f aca="false">EXP(UTIL1)/(EXP(UTIL1)+EXP(UTIL2))</f>
        <v>1.67014218480956E-005</v>
      </c>
      <c r="H130" s="1" t="n">
        <f aca="false">EXP(UTIL2)/(EXP(UTIL1)+EXP(UTIL2))</f>
        <v>0.999983298578152</v>
      </c>
      <c r="I130" s="1" t="n">
        <f aca="false">Cost1</f>
        <v>12</v>
      </c>
      <c r="J130" s="1" t="n">
        <f aca="false">LN(EXP(UTIL1)+EXP(UTIL2))</f>
        <v>-0.999983298438682</v>
      </c>
      <c r="K130" s="1" t="n">
        <f aca="false">PROB1*UTIL1+PROB2*UTIL2</f>
        <v>-1.00018371564033</v>
      </c>
    </row>
    <row r="131" customFormat="false" ht="13" hidden="false" customHeight="false" outlineLevel="0" collapsed="false">
      <c r="A131" s="1" t="n">
        <f aca="false">A130+0.1</f>
        <v>12.1</v>
      </c>
      <c r="B131" s="1" t="n">
        <v>1</v>
      </c>
      <c r="C131" s="1" t="n">
        <f aca="false">Alpha+Beta*Cost1</f>
        <v>-12.1</v>
      </c>
      <c r="D131" s="1" t="n">
        <f aca="false">Alpha+Beta*Cost2</f>
        <v>-1</v>
      </c>
      <c r="E131" s="1" t="n">
        <f aca="false">EXP(C$10:C$1048576)</f>
        <v>5.55951324165029E-006</v>
      </c>
      <c r="F131" s="1" t="n">
        <f aca="false">EXP(D$10:D$1048576)</f>
        <v>0.367879441171442</v>
      </c>
      <c r="G131" s="1" t="n">
        <f aca="false">EXP(UTIL1)/(EXP(UTIL1)+EXP(UTIL2))</f>
        <v>1.51120954409755E-005</v>
      </c>
      <c r="H131" s="1" t="n">
        <f aca="false">EXP(UTIL2)/(EXP(UTIL1)+EXP(UTIL2))</f>
        <v>0.999984887904559</v>
      </c>
      <c r="I131" s="1" t="n">
        <f aca="false">Cost1</f>
        <v>12.1</v>
      </c>
      <c r="J131" s="1" t="n">
        <f aca="false">LN(EXP(UTIL1)+EXP(UTIL2))</f>
        <v>-0.99998488779037</v>
      </c>
      <c r="K131" s="1" t="n">
        <f aca="false">PROB1*UTIL1+PROB2*UTIL2</f>
        <v>-1.00016774425939</v>
      </c>
    </row>
    <row r="132" customFormat="false" ht="13" hidden="false" customHeight="false" outlineLevel="0" collapsed="false">
      <c r="A132" s="1" t="n">
        <f aca="false">A131+0.1</f>
        <v>12.2</v>
      </c>
      <c r="B132" s="1" t="n">
        <v>1</v>
      </c>
      <c r="C132" s="1" t="n">
        <f aca="false">Alpha+Beta*Cost1</f>
        <v>-12.2</v>
      </c>
      <c r="D132" s="1" t="n">
        <f aca="false">Alpha+Beta*Cost2</f>
        <v>-1</v>
      </c>
      <c r="E132" s="1" t="n">
        <f aca="false">EXP(C$10:C$1048576)</f>
        <v>5.03045560711158E-006</v>
      </c>
      <c r="F132" s="1" t="n">
        <f aca="false">EXP(D$10:D$1048576)</f>
        <v>0.367879441171442</v>
      </c>
      <c r="G132" s="1" t="n">
        <f aca="false">EXP(UTIL1)/(EXP(UTIL1)+EXP(UTIL2))</f>
        <v>1.36740090846001E-005</v>
      </c>
      <c r="H132" s="1" t="n">
        <f aca="false">EXP(UTIL2)/(EXP(UTIL1)+EXP(UTIL2))</f>
        <v>0.999986325990915</v>
      </c>
      <c r="I132" s="1" t="n">
        <f aca="false">Cost1</f>
        <v>12.2</v>
      </c>
      <c r="J132" s="1" t="n">
        <f aca="false">LN(EXP(UTIL1)+EXP(UTIL2))</f>
        <v>-0.999986325897425</v>
      </c>
      <c r="K132" s="1" t="n">
        <f aca="false">PROB1*UTIL1+PROB2*UTIL2</f>
        <v>-1.00015314890175</v>
      </c>
    </row>
    <row r="133" customFormat="false" ht="13" hidden="false" customHeight="false" outlineLevel="0" collapsed="false">
      <c r="A133" s="1" t="n">
        <f aca="false">A132+0.1</f>
        <v>12.3</v>
      </c>
      <c r="B133" s="1" t="n">
        <v>1</v>
      </c>
      <c r="C133" s="1" t="n">
        <f aca="false">Alpha+Beta*Cost1</f>
        <v>-12.3</v>
      </c>
      <c r="D133" s="1" t="n">
        <f aca="false">Alpha+Beta*Cost2</f>
        <v>-1</v>
      </c>
      <c r="E133" s="1" t="n">
        <f aca="false">EXP(C$10:C$1048576)</f>
        <v>4.55174446308336E-006</v>
      </c>
      <c r="F133" s="1" t="n">
        <f aca="false">EXP(D$10:D$1048576)</f>
        <v>0.367879441171442</v>
      </c>
      <c r="G133" s="1" t="n">
        <f aca="false">EXP(UTIL1)/(EXP(UTIL1)+EXP(UTIL2))</f>
        <v>1.23727711744279E-005</v>
      </c>
      <c r="H133" s="1" t="n">
        <f aca="false">EXP(UTIL2)/(EXP(UTIL1)+EXP(UTIL2))</f>
        <v>0.999987627228826</v>
      </c>
      <c r="I133" s="1" t="n">
        <f aca="false">Cost1</f>
        <v>12.3</v>
      </c>
      <c r="J133" s="1" t="n">
        <f aca="false">LN(EXP(UTIL1)+EXP(UTIL2))</f>
        <v>-0.999987627152282</v>
      </c>
      <c r="K133" s="1" t="n">
        <f aca="false">PROB1*UTIL1+PROB2*UTIL2</f>
        <v>-1.00013981231427</v>
      </c>
    </row>
    <row r="134" customFormat="false" ht="13" hidden="false" customHeight="false" outlineLevel="0" collapsed="false">
      <c r="A134" s="1" t="n">
        <f aca="false">A133+0.1</f>
        <v>12.4</v>
      </c>
      <c r="B134" s="1" t="n">
        <v>1</v>
      </c>
      <c r="C134" s="1" t="n">
        <f aca="false">Alpha+Beta*Cost1</f>
        <v>-12.4</v>
      </c>
      <c r="D134" s="1" t="n">
        <f aca="false">Alpha+Beta*Cost2</f>
        <v>-1</v>
      </c>
      <c r="E134" s="1" t="n">
        <f aca="false">EXP(C$10:C$1048576)</f>
        <v>4.11858870753583E-006</v>
      </c>
      <c r="F134" s="1" t="n">
        <f aca="false">EXP(D$10:D$1048576)</f>
        <v>0.367879441171442</v>
      </c>
      <c r="G134" s="1" t="n">
        <f aca="false">EXP(UTIL1)/(EXP(UTIL1)+EXP(UTIL2))</f>
        <v>1.11953595051136E-005</v>
      </c>
      <c r="H134" s="1" t="n">
        <f aca="false">EXP(UTIL2)/(EXP(UTIL1)+EXP(UTIL2))</f>
        <v>0.999988804640495</v>
      </c>
      <c r="I134" s="1" t="n">
        <f aca="false">Cost1</f>
        <v>12.4</v>
      </c>
      <c r="J134" s="1" t="n">
        <f aca="false">LN(EXP(UTIL1)+EXP(UTIL2))</f>
        <v>-0.999988804577826</v>
      </c>
      <c r="K134" s="1" t="n">
        <f aca="false">PROB1*UTIL1+PROB2*UTIL2</f>
        <v>-1.00012762709836</v>
      </c>
    </row>
    <row r="135" customFormat="false" ht="13" hidden="false" customHeight="false" outlineLevel="0" collapsed="false">
      <c r="A135" s="1" t="n">
        <f aca="false">A134+0.1</f>
        <v>12.5</v>
      </c>
      <c r="B135" s="1" t="n">
        <v>1</v>
      </c>
      <c r="C135" s="1" t="n">
        <f aca="false">Alpha+Beta*Cost1</f>
        <v>-12.5</v>
      </c>
      <c r="D135" s="1" t="n">
        <f aca="false">Alpha+Beta*Cost2</f>
        <v>-1</v>
      </c>
      <c r="E135" s="1" t="n">
        <f aca="false">EXP(C$10:C$1048576)</f>
        <v>3.72665317207878E-006</v>
      </c>
      <c r="F135" s="1" t="n">
        <f aca="false">EXP(D$10:D$1048576)</f>
        <v>0.367879441171442</v>
      </c>
      <c r="G135" s="1" t="n">
        <f aca="false">EXP(UTIL1)/(EXP(UTIL1)+EXP(UTIL2))</f>
        <v>1.01299909808742E-005</v>
      </c>
      <c r="H135" s="1" t="n">
        <f aca="false">EXP(UTIL2)/(EXP(UTIL1)+EXP(UTIL2))</f>
        <v>0.999989870009019</v>
      </c>
      <c r="I135" s="1" t="n">
        <f aca="false">Cost1</f>
        <v>12.5</v>
      </c>
      <c r="J135" s="1" t="n">
        <f aca="false">LN(EXP(UTIL1)+EXP(UTIL2))</f>
        <v>-0.99998986995771</v>
      </c>
      <c r="K135" s="1" t="n">
        <f aca="false">PROB1*UTIL1+PROB2*UTIL2</f>
        <v>-1.00011649489628</v>
      </c>
    </row>
    <row r="136" customFormat="false" ht="13" hidden="false" customHeight="false" outlineLevel="0" collapsed="false">
      <c r="A136" s="1" t="n">
        <f aca="false">A135+0.1</f>
        <v>12.6</v>
      </c>
      <c r="B136" s="1" t="n">
        <v>1</v>
      </c>
      <c r="C136" s="1" t="n">
        <f aca="false">Alpha+Beta*Cost1</f>
        <v>-12.6</v>
      </c>
      <c r="D136" s="1" t="n">
        <f aca="false">Alpha+Beta*Cost2</f>
        <v>-1</v>
      </c>
      <c r="E136" s="1" t="n">
        <f aca="false">EXP(C$10:C$1048576)</f>
        <v>3.37201523413928E-006</v>
      </c>
      <c r="F136" s="1" t="n">
        <f aca="false">EXP(D$10:D$1048576)</f>
        <v>0.367879441171442</v>
      </c>
      <c r="G136" s="1" t="n">
        <f aca="false">EXP(UTIL1)/(EXP(UTIL1)+EXP(UTIL2))</f>
        <v>9.16600371985359E-006</v>
      </c>
      <c r="H136" s="1" t="n">
        <f aca="false">EXP(UTIL2)/(EXP(UTIL1)+EXP(UTIL2))</f>
        <v>0.99999083399628</v>
      </c>
      <c r="I136" s="1" t="n">
        <f aca="false">Cost1</f>
        <v>12.6</v>
      </c>
      <c r="J136" s="1" t="n">
        <f aca="false">LN(EXP(UTIL1)+EXP(UTIL2))</f>
        <v>-0.999990833954272</v>
      </c>
      <c r="K136" s="1" t="n">
        <f aca="false">PROB1*UTIL1+PROB2*UTIL2</f>
        <v>-1.00010632564315</v>
      </c>
    </row>
    <row r="137" customFormat="false" ht="13" hidden="false" customHeight="false" outlineLevel="0" collapsed="false">
      <c r="A137" s="1" t="n">
        <f aca="false">A136+0.1</f>
        <v>12.7</v>
      </c>
      <c r="B137" s="1" t="n">
        <v>1</v>
      </c>
      <c r="C137" s="1" t="n">
        <f aca="false">Alpha+Beta*Cost1</f>
        <v>-12.7</v>
      </c>
      <c r="D137" s="1" t="n">
        <f aca="false">Alpha+Beta*Cost2</f>
        <v>-1</v>
      </c>
      <c r="E137" s="1" t="n">
        <f aca="false">EXP(C$10:C$1048576)</f>
        <v>3.05112555803651E-006</v>
      </c>
      <c r="F137" s="1" t="n">
        <f aca="false">EXP(D$10:D$1048576)</f>
        <v>0.367879441171442</v>
      </c>
      <c r="G137" s="1" t="n">
        <f aca="false">EXP(UTIL1)/(EXP(UTIL1)+EXP(UTIL2))</f>
        <v>8.29375037389184E-006</v>
      </c>
      <c r="H137" s="1" t="n">
        <f aca="false">EXP(UTIL2)/(EXP(UTIL1)+EXP(UTIL2))</f>
        <v>0.999991706249626</v>
      </c>
      <c r="I137" s="1" t="n">
        <f aca="false">Cost1</f>
        <v>12.7</v>
      </c>
      <c r="J137" s="1" t="n">
        <f aca="false">LN(EXP(UTIL1)+EXP(UTIL2))</f>
        <v>-0.999991706215233</v>
      </c>
      <c r="K137" s="1" t="n">
        <f aca="false">PROB1*UTIL1+PROB2*UTIL2</f>
        <v>-1.00009703687937</v>
      </c>
    </row>
    <row r="138" customFormat="false" ht="13" hidden="false" customHeight="false" outlineLevel="0" collapsed="false">
      <c r="A138" s="1" t="n">
        <f aca="false">A137+0.1</f>
        <v>12.8</v>
      </c>
      <c r="B138" s="1" t="n">
        <v>1</v>
      </c>
      <c r="C138" s="1" t="n">
        <f aca="false">Alpha+Beta*Cost1</f>
        <v>-12.8</v>
      </c>
      <c r="D138" s="1" t="n">
        <f aca="false">Alpha+Beta*Cost2</f>
        <v>-1</v>
      </c>
      <c r="E138" s="1" t="n">
        <f aca="false">EXP(C$10:C$1048576)</f>
        <v>2.76077257203728E-006</v>
      </c>
      <c r="F138" s="1" t="n">
        <f aca="false">EXP(D$10:D$1048576)</f>
        <v>0.367879441171442</v>
      </c>
      <c r="G138" s="1" t="n">
        <f aca="false">EXP(UTIL1)/(EXP(UTIL1)+EXP(UTIL2))</f>
        <v>7.50450159711022E-006</v>
      </c>
      <c r="H138" s="1" t="n">
        <f aca="false">EXP(UTIL2)/(EXP(UTIL1)+EXP(UTIL2))</f>
        <v>0.999992495498403</v>
      </c>
      <c r="I138" s="1" t="n">
        <f aca="false">Cost1</f>
        <v>12.8</v>
      </c>
      <c r="J138" s="1" t="n">
        <f aca="false">LN(EXP(UTIL1)+EXP(UTIL2))</f>
        <v>-0.999992495470244</v>
      </c>
      <c r="K138" s="1" t="n">
        <f aca="false">PROB1*UTIL1+PROB2*UTIL2</f>
        <v>-1.00008855311885</v>
      </c>
    </row>
    <row r="139" customFormat="false" ht="13" hidden="false" customHeight="false" outlineLevel="0" collapsed="false">
      <c r="A139" s="1" t="n">
        <f aca="false">A138+0.1</f>
        <v>12.9</v>
      </c>
      <c r="B139" s="1" t="n">
        <v>1</v>
      </c>
      <c r="C139" s="1" t="n">
        <f aca="false">Alpha+Beta*Cost1</f>
        <v>-12.9</v>
      </c>
      <c r="D139" s="1" t="n">
        <f aca="false">Alpha+Beta*Cost2</f>
        <v>-1</v>
      </c>
      <c r="E139" s="1" t="n">
        <f aca="false">EXP(C$10:C$1048576)</f>
        <v>2.49805032586671E-006</v>
      </c>
      <c r="F139" s="1" t="n">
        <f aca="false">EXP(D$10:D$1048576)</f>
        <v>0.367879441171442</v>
      </c>
      <c r="G139" s="1" t="n">
        <f aca="false">EXP(UTIL1)/(EXP(UTIL1)+EXP(UTIL2))</f>
        <v>6.79035869809533E-006</v>
      </c>
      <c r="H139" s="1" t="n">
        <f aca="false">EXP(UTIL2)/(EXP(UTIL1)+EXP(UTIL2))</f>
        <v>0.999993209641302</v>
      </c>
      <c r="I139" s="1" t="n">
        <f aca="false">Cost1</f>
        <v>12.9</v>
      </c>
      <c r="J139" s="1" t="n">
        <f aca="false">LN(EXP(UTIL1)+EXP(UTIL2))</f>
        <v>-0.999993209618247</v>
      </c>
      <c r="K139" s="1" t="n">
        <f aca="false">PROB1*UTIL1+PROB2*UTIL2</f>
        <v>-1.00008080526851</v>
      </c>
    </row>
    <row r="140" customFormat="false" ht="13" hidden="false" customHeight="false" outlineLevel="0" collapsed="false">
      <c r="A140" s="1" t="n">
        <f aca="false">A139+0.1</f>
        <v>13</v>
      </c>
      <c r="B140" s="1" t="n">
        <v>1</v>
      </c>
      <c r="C140" s="1" t="n">
        <f aca="false">Alpha+Beta*Cost1</f>
        <v>-13</v>
      </c>
      <c r="D140" s="1" t="n">
        <f aca="false">Alpha+Beta*Cost2</f>
        <v>-1</v>
      </c>
      <c r="E140" s="1" t="n">
        <f aca="false">EXP(C$10:C$1048576)</f>
        <v>2.26032940698112E-006</v>
      </c>
      <c r="F140" s="1" t="n">
        <f aca="false">EXP(D$10:D$1048576)</f>
        <v>0.367879441171442</v>
      </c>
      <c r="G140" s="1" t="n">
        <f aca="false">EXP(UTIL1)/(EXP(UTIL1)+EXP(UTIL2))</f>
        <v>6.1441746022149E-006</v>
      </c>
      <c r="H140" s="1" t="n">
        <f aca="false">EXP(UTIL2)/(EXP(UTIL1)+EXP(UTIL2))</f>
        <v>0.999993855825398</v>
      </c>
      <c r="I140" s="1" t="n">
        <f aca="false">Cost1</f>
        <v>13</v>
      </c>
      <c r="J140" s="1" t="n">
        <f aca="false">LN(EXP(UTIL1)+EXP(UTIL2))</f>
        <v>-0.999993855806522</v>
      </c>
      <c r="K140" s="1" t="n">
        <f aca="false">PROB1*UTIL1+PROB2*UTIL2</f>
        <v>-1.00007373009523</v>
      </c>
    </row>
    <row r="141" customFormat="false" ht="13" hidden="false" customHeight="false" outlineLevel="0" collapsed="false">
      <c r="A141" s="1" t="n">
        <f aca="false">A140+0.1</f>
        <v>13.1</v>
      </c>
      <c r="B141" s="1" t="n">
        <v>1</v>
      </c>
      <c r="C141" s="1" t="n">
        <f aca="false">Alpha+Beta*Cost1</f>
        <v>-13.1</v>
      </c>
      <c r="D141" s="1" t="n">
        <f aca="false">Alpha+Beta*Cost2</f>
        <v>-1</v>
      </c>
      <c r="E141" s="1" t="n">
        <f aca="false">EXP(C$10:C$1048576)</f>
        <v>2.04523062452355E-006</v>
      </c>
      <c r="F141" s="1" t="n">
        <f aca="false">EXP(D$10:D$1048576)</f>
        <v>0.367879441171442</v>
      </c>
      <c r="G141" s="1" t="n">
        <f aca="false">EXP(UTIL1)/(EXP(UTIL1)+EXP(UTIL2))</f>
        <v>5.55948233363466E-006</v>
      </c>
      <c r="H141" s="1" t="n">
        <f aca="false">EXP(UTIL2)/(EXP(UTIL1)+EXP(UTIL2))</f>
        <v>0.999994440517666</v>
      </c>
      <c r="I141" s="1" t="n">
        <f aca="false">Cost1</f>
        <v>13.1</v>
      </c>
      <c r="J141" s="1" t="n">
        <f aca="false">LN(EXP(UTIL1)+EXP(UTIL2))</f>
        <v>-0.999994440502212</v>
      </c>
      <c r="K141" s="1" t="n">
        <f aca="false">PROB1*UTIL1+PROB2*UTIL2</f>
        <v>-1.00006726973624</v>
      </c>
    </row>
    <row r="142" customFormat="false" ht="13" hidden="false" customHeight="false" outlineLevel="0" collapsed="false">
      <c r="A142" s="1" t="n">
        <f aca="false">A141+0.1</f>
        <v>13.2</v>
      </c>
      <c r="B142" s="1" t="n">
        <v>1</v>
      </c>
      <c r="C142" s="1" t="n">
        <f aca="false">Alpha+Beta*Cost1</f>
        <v>-13.2</v>
      </c>
      <c r="D142" s="1" t="n">
        <f aca="false">Alpha+Beta*Cost2</f>
        <v>-1</v>
      </c>
      <c r="E142" s="1" t="n">
        <f aca="false">EXP(C$10:C$1048576)</f>
        <v>1.85060119758196E-006</v>
      </c>
      <c r="F142" s="1" t="n">
        <f aca="false">EXP(D$10:D$1048576)</f>
        <v>0.367879441171442</v>
      </c>
      <c r="G142" s="1" t="n">
        <f aca="false">EXP(UTIL1)/(EXP(UTIL1)+EXP(UTIL2))</f>
        <v>5.03043030175528E-006</v>
      </c>
      <c r="H142" s="1" t="n">
        <f aca="false">EXP(UTIL2)/(EXP(UTIL1)+EXP(UTIL2))</f>
        <v>0.999994969569698</v>
      </c>
      <c r="I142" s="1" t="n">
        <f aca="false">Cost1</f>
        <v>13.2</v>
      </c>
      <c r="J142" s="1" t="n">
        <f aca="false">LN(EXP(UTIL1)+EXP(UTIL2))</f>
        <v>-0.999994969557046</v>
      </c>
      <c r="K142" s="1" t="n">
        <f aca="false">PROB1*UTIL1+PROB2*UTIL2</f>
        <v>-1.00006137124968</v>
      </c>
    </row>
    <row r="143" customFormat="false" ht="13" hidden="false" customHeight="false" outlineLevel="0" collapsed="false">
      <c r="A143" s="1" t="n">
        <f aca="false">A142+0.1</f>
        <v>13.3</v>
      </c>
      <c r="B143" s="1" t="n">
        <v>1</v>
      </c>
      <c r="C143" s="1" t="n">
        <f aca="false">Alpha+Beta*Cost1</f>
        <v>-13.3</v>
      </c>
      <c r="D143" s="1" t="n">
        <f aca="false">Alpha+Beta*Cost2</f>
        <v>-1</v>
      </c>
      <c r="E143" s="1" t="n">
        <f aca="false">EXP(C$10:C$1048576)</f>
        <v>1.67449320943432E-006</v>
      </c>
      <c r="F143" s="1" t="n">
        <f aca="false">EXP(D$10:D$1048576)</f>
        <v>0.367879441171442</v>
      </c>
      <c r="G143" s="1" t="n">
        <f aca="false">EXP(UTIL1)/(EXP(UTIL1)+EXP(UTIL2))</f>
        <v>4.55172374480002E-006</v>
      </c>
      <c r="H143" s="1" t="n">
        <f aca="false">EXP(UTIL2)/(EXP(UTIL1)+EXP(UTIL2))</f>
        <v>0.999995448276255</v>
      </c>
      <c r="I143" s="1" t="n">
        <f aca="false">Cost1</f>
        <v>13.3</v>
      </c>
      <c r="J143" s="1" t="n">
        <f aca="false">LN(EXP(UTIL1)+EXP(UTIL2))</f>
        <v>-0.999995448265896</v>
      </c>
      <c r="K143" s="1" t="n">
        <f aca="false">PROB1*UTIL1+PROB2*UTIL2</f>
        <v>-1.00005598620206</v>
      </c>
    </row>
    <row r="144" customFormat="false" ht="13" hidden="false" customHeight="false" outlineLevel="0" collapsed="false">
      <c r="A144" s="1" t="n">
        <f aca="false">A143+0.1</f>
        <v>13.4</v>
      </c>
      <c r="B144" s="1" t="n">
        <v>1</v>
      </c>
      <c r="C144" s="1" t="n">
        <f aca="false">Alpha+Beta*Cost1</f>
        <v>-13.4</v>
      </c>
      <c r="D144" s="1" t="n">
        <f aca="false">Alpha+Beta*Cost2</f>
        <v>-1</v>
      </c>
      <c r="E144" s="1" t="n">
        <f aca="false">EXP(C$10:C$1048576)</f>
        <v>1.5151441121433E-006</v>
      </c>
      <c r="F144" s="1" t="n">
        <f aca="false">EXP(D$10:D$1048576)</f>
        <v>0.367879441171442</v>
      </c>
      <c r="G144" s="1" t="n">
        <f aca="false">EXP(UTIL1)/(EXP(UTIL1)+EXP(UTIL2))</f>
        <v>4.11857174483276E-006</v>
      </c>
      <c r="H144" s="1" t="n">
        <f aca="false">EXP(UTIL2)/(EXP(UTIL1)+EXP(UTIL2))</f>
        <v>0.999995881428255</v>
      </c>
      <c r="I144" s="1" t="n">
        <f aca="false">Cost1</f>
        <v>13.4</v>
      </c>
      <c r="J144" s="1" t="n">
        <f aca="false">LN(EXP(UTIL1)+EXP(UTIL2))</f>
        <v>-0.999995881419774</v>
      </c>
      <c r="K144" s="1" t="n">
        <f aca="false">PROB1*UTIL1+PROB2*UTIL2</f>
        <v>-1.00005107028964</v>
      </c>
    </row>
    <row r="145" customFormat="false" ht="13" hidden="false" customHeight="false" outlineLevel="0" collapsed="false">
      <c r="A145" s="1" t="n">
        <f aca="false">A144+0.1</f>
        <v>13.5</v>
      </c>
      <c r="B145" s="1" t="n">
        <v>1</v>
      </c>
      <c r="C145" s="1" t="n">
        <f aca="false">Alpha+Beta*Cost1</f>
        <v>-13.5</v>
      </c>
      <c r="D145" s="1" t="n">
        <f aca="false">Alpha+Beta*Cost2</f>
        <v>-1</v>
      </c>
      <c r="E145" s="1" t="n">
        <f aca="false">EXP(C$10:C$1048576)</f>
        <v>1.37095908638413E-006</v>
      </c>
      <c r="F145" s="1" t="n">
        <f aca="false">EXP(D$10:D$1048576)</f>
        <v>0.367879441171442</v>
      </c>
      <c r="G145" s="1" t="n">
        <f aca="false">EXP(UTIL1)/(EXP(UTIL1)+EXP(UTIL2))</f>
        <v>3.72663928418668E-006</v>
      </c>
      <c r="H145" s="1" t="n">
        <f aca="false">EXP(UTIL2)/(EXP(UTIL1)+EXP(UTIL2))</f>
        <v>0.999996273360716</v>
      </c>
      <c r="I145" s="1" t="n">
        <f aca="false">Cost1</f>
        <v>13.5</v>
      </c>
      <c r="J145" s="1" t="n">
        <f aca="false">LN(EXP(UTIL1)+EXP(UTIL2))</f>
        <v>-0.999996273353772</v>
      </c>
      <c r="K145" s="1" t="n">
        <f aca="false">PROB1*UTIL1+PROB2*UTIL2</f>
        <v>-1.00004658299105</v>
      </c>
    </row>
    <row r="146" customFormat="false" ht="13" hidden="false" customHeight="false" outlineLevel="0" collapsed="false">
      <c r="A146" s="1" t="n">
        <f aca="false">A145+0.1</f>
        <v>13.6</v>
      </c>
      <c r="B146" s="1" t="n">
        <v>1</v>
      </c>
      <c r="C146" s="1" t="n">
        <f aca="false">Alpha+Beta*Cost1</f>
        <v>-13.6</v>
      </c>
      <c r="D146" s="1" t="n">
        <f aca="false">Alpha+Beta*Cost2</f>
        <v>-1</v>
      </c>
      <c r="E146" s="1" t="n">
        <f aca="false">EXP(C$10:C$1048576)</f>
        <v>1.24049507995675E-006</v>
      </c>
      <c r="F146" s="1" t="n">
        <f aca="false">EXP(D$10:D$1048576)</f>
        <v>0.367879441171442</v>
      </c>
      <c r="G146" s="1" t="n">
        <f aca="false">EXP(UTIL1)/(EXP(UTIL1)+EXP(UTIL2))</f>
        <v>3.37200386369089E-006</v>
      </c>
      <c r="H146" s="1" t="n">
        <f aca="false">EXP(UTIL2)/(EXP(UTIL1)+EXP(UTIL2))</f>
        <v>0.999996627996136</v>
      </c>
      <c r="I146" s="1" t="n">
        <f aca="false">Cost1</f>
        <v>13.6</v>
      </c>
      <c r="J146" s="1" t="n">
        <f aca="false">LN(EXP(UTIL1)+EXP(UTIL2))</f>
        <v>-0.999996627990451</v>
      </c>
      <c r="K146" s="1" t="n">
        <f aca="false">PROB1*UTIL1+PROB2*UTIL2</f>
        <v>-1.00004248724868</v>
      </c>
    </row>
    <row r="147" customFormat="false" ht="13" hidden="false" customHeight="false" outlineLevel="0" collapsed="false">
      <c r="A147" s="1" t="n">
        <f aca="false">A146+0.1</f>
        <v>13.7</v>
      </c>
      <c r="B147" s="1" t="n">
        <v>1</v>
      </c>
      <c r="C147" s="1" t="n">
        <f aca="false">Alpha+Beta*Cost1</f>
        <v>-13.7</v>
      </c>
      <c r="D147" s="1" t="n">
        <f aca="false">Alpha+Beta*Cost2</f>
        <v>-1</v>
      </c>
      <c r="E147" s="1" t="n">
        <f aca="false">EXP(C$10:C$1048576)</f>
        <v>1.12244636523438E-006</v>
      </c>
      <c r="F147" s="1" t="n">
        <f aca="false">EXP(D$10:D$1048576)</f>
        <v>0.367879441171442</v>
      </c>
      <c r="G147" s="1" t="n">
        <f aca="false">EXP(UTIL1)/(EXP(UTIL1)+EXP(UTIL2))</f>
        <v>3.05111624869775E-006</v>
      </c>
      <c r="H147" s="1" t="n">
        <f aca="false">EXP(UTIL2)/(EXP(UTIL1)+EXP(UTIL2))</f>
        <v>0.999996948883751</v>
      </c>
      <c r="I147" s="1" t="n">
        <f aca="false">Cost1</f>
        <v>13.7</v>
      </c>
      <c r="J147" s="1" t="n">
        <f aca="false">LN(EXP(UTIL1)+EXP(UTIL2))</f>
        <v>-0.999996948879097</v>
      </c>
      <c r="K147" s="1" t="n">
        <f aca="false">PROB1*UTIL1+PROB2*UTIL2</f>
        <v>-1.00003874917636</v>
      </c>
    </row>
    <row r="148" customFormat="false" ht="13" hidden="false" customHeight="false" outlineLevel="0" collapsed="false">
      <c r="A148" s="1" t="n">
        <f aca="false">A147+0.1</f>
        <v>13.8</v>
      </c>
      <c r="B148" s="1" t="n">
        <v>1</v>
      </c>
      <c r="C148" s="1" t="n">
        <f aca="false">Alpha+Beta*Cost1</f>
        <v>-13.8</v>
      </c>
      <c r="D148" s="1" t="n">
        <f aca="false">Alpha+Beta*Cost2</f>
        <v>-1</v>
      </c>
      <c r="E148" s="1" t="n">
        <f aca="false">EXP(C$10:C$1048576)</f>
        <v>1.01563147100252E-006</v>
      </c>
      <c r="F148" s="1" t="n">
        <f aca="false">EXP(D$10:D$1048576)</f>
        <v>0.367879441171442</v>
      </c>
      <c r="G148" s="1" t="n">
        <f aca="false">EXP(UTIL1)/(EXP(UTIL1)+EXP(UTIL2))</f>
        <v>2.76076495019314E-006</v>
      </c>
      <c r="H148" s="1" t="n">
        <f aca="false">EXP(UTIL2)/(EXP(UTIL1)+EXP(UTIL2))</f>
        <v>0.99999723923505</v>
      </c>
      <c r="I148" s="1" t="n">
        <f aca="false">Cost1</f>
        <v>13.8</v>
      </c>
      <c r="J148" s="1" t="n">
        <f aca="false">LN(EXP(UTIL1)+EXP(UTIL2))</f>
        <v>-0.999997239231239</v>
      </c>
      <c r="K148" s="1" t="n">
        <f aca="false">PROB1*UTIL1+PROB2*UTIL2</f>
        <v>-1.00003533779136</v>
      </c>
    </row>
    <row r="149" customFormat="false" ht="13" hidden="false" customHeight="false" outlineLevel="0" collapsed="false">
      <c r="A149" s="1" t="n">
        <f aca="false">A148+0.1</f>
        <v>13.9</v>
      </c>
      <c r="B149" s="1" t="n">
        <v>1</v>
      </c>
      <c r="C149" s="1" t="n">
        <f aca="false">Alpha+Beta*Cost1</f>
        <v>-13.9</v>
      </c>
      <c r="D149" s="1" t="n">
        <f aca="false">Alpha+Beta*Cost2</f>
        <v>-1</v>
      </c>
      <c r="E149" s="1" t="n">
        <f aca="false">EXP(C$10:C$1048576)</f>
        <v>9.18981357897988E-007</v>
      </c>
      <c r="F149" s="1" t="n">
        <f aca="false">EXP(D$10:D$1048576)</f>
        <v>0.367879441171442</v>
      </c>
      <c r="G149" s="1" t="n">
        <f aca="false">EXP(UTIL1)/(EXP(UTIL1)+EXP(UTIL2))</f>
        <v>2.49804408562688E-006</v>
      </c>
      <c r="H149" s="1" t="n">
        <f aca="false">EXP(UTIL2)/(EXP(UTIL1)+EXP(UTIL2))</f>
        <v>0.999997501955914</v>
      </c>
      <c r="I149" s="1" t="n">
        <f aca="false">Cost1</f>
        <v>13.9</v>
      </c>
      <c r="J149" s="1" t="n">
        <f aca="false">LN(EXP(UTIL1)+EXP(UTIL2))</f>
        <v>-0.999997501952794</v>
      </c>
      <c r="K149" s="1" t="n">
        <f aca="false">PROB1*UTIL1+PROB2*UTIL2</f>
        <v>-1.0000322247687</v>
      </c>
    </row>
    <row r="150" customFormat="false" ht="13" hidden="false" customHeight="false" outlineLevel="0" collapsed="false">
      <c r="A150" s="1" t="n">
        <f aca="false">A149+0.1</f>
        <v>14</v>
      </c>
      <c r="B150" s="1" t="n">
        <v>1</v>
      </c>
      <c r="C150" s="1" t="n">
        <f aca="false">Alpha+Beta*Cost1</f>
        <v>-14</v>
      </c>
      <c r="D150" s="1" t="n">
        <f aca="false">Alpha+Beta*Cost2</f>
        <v>-1</v>
      </c>
      <c r="E150" s="1" t="n">
        <f aca="false">EXP(C$10:C$1048576)</f>
        <v>8.31528719103596E-007</v>
      </c>
      <c r="F150" s="1" t="n">
        <f aca="false">EXP(D$10:D$1048576)</f>
        <v>0.367879441171442</v>
      </c>
      <c r="G150" s="1" t="n">
        <f aca="false">EXP(UTIL1)/(EXP(UTIL1)+EXP(UTIL2))</f>
        <v>2.26032429790365E-006</v>
      </c>
      <c r="H150" s="1" t="n">
        <f aca="false">EXP(UTIL2)/(EXP(UTIL1)+EXP(UTIL2))</f>
        <v>0.999997739675702</v>
      </c>
      <c r="I150" s="1" t="n">
        <f aca="false">Cost1</f>
        <v>14</v>
      </c>
      <c r="J150" s="1" t="n">
        <f aca="false">LN(EXP(UTIL1)+EXP(UTIL2))</f>
        <v>-0.999997739673148</v>
      </c>
      <c r="K150" s="1" t="n">
        <f aca="false">PROB1*UTIL1+PROB2*UTIL2</f>
        <v>-1.00002938421587</v>
      </c>
    </row>
    <row r="151" customFormat="false" ht="13" hidden="false" customHeight="false" outlineLevel="0" collapsed="false">
      <c r="A151" s="1" t="n">
        <f aca="false">A150+0.1</f>
        <v>14.1</v>
      </c>
      <c r="B151" s="1" t="n">
        <v>1</v>
      </c>
      <c r="C151" s="1" t="n">
        <f aca="false">Alpha+Beta*Cost1</f>
        <v>-14.1</v>
      </c>
      <c r="D151" s="1" t="n">
        <f aca="false">Alpha+Beta*Cost2</f>
        <v>-1</v>
      </c>
      <c r="E151" s="1" t="n">
        <f aca="false">EXP(C$10:C$1048576)</f>
        <v>7.52398299216447E-007</v>
      </c>
      <c r="F151" s="1" t="n">
        <f aca="false">EXP(D$10:D$1048576)</f>
        <v>0.367879441171442</v>
      </c>
      <c r="G151" s="1" t="n">
        <f aca="false">EXP(UTIL1)/(EXP(UTIL1)+EXP(UTIL2))</f>
        <v>2.04522644156381E-006</v>
      </c>
      <c r="H151" s="1" t="n">
        <f aca="false">EXP(UTIL2)/(EXP(UTIL1)+EXP(UTIL2))</f>
        <v>0.999997954773559</v>
      </c>
      <c r="I151" s="1" t="n">
        <f aca="false">Cost1</f>
        <v>14.1</v>
      </c>
      <c r="J151" s="1" t="n">
        <f aca="false">LN(EXP(UTIL1)+EXP(UTIL2))</f>
        <v>-0.999997954771467</v>
      </c>
      <c r="K151" s="1" t="n">
        <f aca="false">PROB1*UTIL1+PROB2*UTIL2</f>
        <v>-1.00002679246638</v>
      </c>
    </row>
    <row r="152" customFormat="false" ht="13" hidden="false" customHeight="false" outlineLevel="0" collapsed="false">
      <c r="A152" s="1" t="n">
        <f aca="false">A151+0.1</f>
        <v>14.2</v>
      </c>
      <c r="B152" s="1" t="n">
        <v>1</v>
      </c>
      <c r="C152" s="1" t="n">
        <f aca="false">Alpha+Beta*Cost1</f>
        <v>-14.2</v>
      </c>
      <c r="D152" s="1" t="n">
        <f aca="false">Alpha+Beta*Cost2</f>
        <v>-1</v>
      </c>
      <c r="E152" s="1" t="n">
        <f aca="false">EXP(C$10:C$1048576)</f>
        <v>6.80798134397657E-007</v>
      </c>
      <c r="F152" s="1" t="n">
        <f aca="false">EXP(D$10:D$1048576)</f>
        <v>0.367879441171442</v>
      </c>
      <c r="G152" s="1" t="n">
        <f aca="false">EXP(UTIL1)/(EXP(UTIL1)+EXP(UTIL2))</f>
        <v>1.85059777286352E-006</v>
      </c>
      <c r="H152" s="1" t="n">
        <f aca="false">EXP(UTIL2)/(EXP(UTIL1)+EXP(UTIL2))</f>
        <v>0.999998149402227</v>
      </c>
      <c r="I152" s="1" t="n">
        <f aca="false">Cost1</f>
        <v>14.2</v>
      </c>
      <c r="J152" s="1" t="n">
        <f aca="false">LN(EXP(UTIL1)+EXP(UTIL2))</f>
        <v>-0.999998149400515</v>
      </c>
      <c r="K152" s="1" t="n">
        <f aca="false">PROB1*UTIL1+PROB2*UTIL2</f>
        <v>-1.0000244278906</v>
      </c>
    </row>
    <row r="153" customFormat="false" ht="13" hidden="false" customHeight="false" outlineLevel="0" collapsed="false">
      <c r="A153" s="1" t="n">
        <f aca="false">A152+0.1</f>
        <v>14.3</v>
      </c>
      <c r="B153" s="1" t="n">
        <v>1</v>
      </c>
      <c r="C153" s="1" t="n">
        <f aca="false">Alpha+Beta*Cost1</f>
        <v>-14.3</v>
      </c>
      <c r="D153" s="1" t="n">
        <f aca="false">Alpha+Beta*Cost2</f>
        <v>-1</v>
      </c>
      <c r="E153" s="1" t="n">
        <f aca="false">EXP(C$10:C$1048576)</f>
        <v>6.16011626132075E-007</v>
      </c>
      <c r="F153" s="1" t="n">
        <f aca="false">EXP(D$10:D$1048576)</f>
        <v>0.367879441171442</v>
      </c>
      <c r="G153" s="1" t="n">
        <f aca="false">EXP(UTIL1)/(EXP(UTIL1)+EXP(UTIL2))</f>
        <v>1.67449040551151E-006</v>
      </c>
      <c r="H153" s="1" t="n">
        <f aca="false">EXP(UTIL2)/(EXP(UTIL1)+EXP(UTIL2))</f>
        <v>0.999998325509594</v>
      </c>
      <c r="I153" s="1" t="n">
        <f aca="false">Cost1</f>
        <v>14.3</v>
      </c>
      <c r="J153" s="1" t="n">
        <f aca="false">LN(EXP(UTIL1)+EXP(UTIL2))</f>
        <v>-0.999998325508193</v>
      </c>
      <c r="K153" s="1" t="n">
        <f aca="false">PROB1*UTIL1+PROB2*UTIL2</f>
        <v>-1.00002227072239</v>
      </c>
    </row>
    <row r="154" customFormat="false" ht="13" hidden="false" customHeight="false" outlineLevel="0" collapsed="false">
      <c r="A154" s="1" t="n">
        <f aca="false">A153+0.1</f>
        <v>14.4</v>
      </c>
      <c r="B154" s="1" t="n">
        <v>1</v>
      </c>
      <c r="C154" s="1" t="n">
        <f aca="false">Alpha+Beta*Cost1</f>
        <v>-14.4</v>
      </c>
      <c r="D154" s="1" t="n">
        <f aca="false">Alpha+Beta*Cost2</f>
        <v>-1</v>
      </c>
      <c r="E154" s="1" t="n">
        <f aca="false">EXP(C$10:C$1048576)</f>
        <v>5.5739036926948E-007</v>
      </c>
      <c r="F154" s="1" t="n">
        <f aca="false">EXP(D$10:D$1048576)</f>
        <v>0.367879441171442</v>
      </c>
      <c r="G154" s="1" t="n">
        <f aca="false">EXP(UTIL1)/(EXP(UTIL1)+EXP(UTIL2))</f>
        <v>1.5151418164851E-006</v>
      </c>
      <c r="H154" s="1" t="n">
        <f aca="false">EXP(UTIL2)/(EXP(UTIL1)+EXP(UTIL2))</f>
        <v>0.999998484858184</v>
      </c>
      <c r="I154" s="1" t="n">
        <f aca="false">Cost1</f>
        <v>14.4</v>
      </c>
      <c r="J154" s="1" t="n">
        <f aca="false">LN(EXP(UTIL1)+EXP(UTIL2))</f>
        <v>-0.999998484857036</v>
      </c>
      <c r="K154" s="1" t="n">
        <f aca="false">PROB1*UTIL1+PROB2*UTIL2</f>
        <v>-1.00002030290034</v>
      </c>
    </row>
    <row r="155" customFormat="false" ht="13" hidden="false" customHeight="false" outlineLevel="0" collapsed="false">
      <c r="A155" s="1" t="n">
        <f aca="false">A154+0.1</f>
        <v>14.5</v>
      </c>
      <c r="B155" s="1" t="n">
        <v>1</v>
      </c>
      <c r="C155" s="1" t="n">
        <f aca="false">Alpha+Beta*Cost1</f>
        <v>-14.5</v>
      </c>
      <c r="D155" s="1" t="n">
        <f aca="false">Alpha+Beta*Cost2</f>
        <v>-1</v>
      </c>
      <c r="E155" s="1" t="n">
        <f aca="false">EXP(C$10:C$1048576)</f>
        <v>5.04347662567906E-007</v>
      </c>
      <c r="F155" s="1" t="n">
        <f aca="false">EXP(D$10:D$1048576)</f>
        <v>0.367879441171442</v>
      </c>
      <c r="G155" s="1" t="n">
        <f aca="false">EXP(UTIL1)/(EXP(UTIL1)+EXP(UTIL2))</f>
        <v>1.37095720685789E-006</v>
      </c>
      <c r="H155" s="1" t="n">
        <f aca="false">EXP(UTIL2)/(EXP(UTIL1)+EXP(UTIL2))</f>
        <v>0.999998629042793</v>
      </c>
      <c r="I155" s="1" t="n">
        <f aca="false">Cost1</f>
        <v>14.5</v>
      </c>
      <c r="J155" s="1" t="n">
        <f aca="false">LN(EXP(UTIL1)+EXP(UTIL2))</f>
        <v>-0.999998629041853</v>
      </c>
      <c r="K155" s="1" t="n">
        <f aca="false">PROB1*UTIL1+PROB2*UTIL2</f>
        <v>-1.00001850792229</v>
      </c>
    </row>
    <row r="156" customFormat="false" ht="13" hidden="false" customHeight="false" outlineLevel="0" collapsed="false">
      <c r="A156" s="1" t="n">
        <f aca="false">A155+0.1</f>
        <v>14.6</v>
      </c>
      <c r="B156" s="1" t="n">
        <v>1</v>
      </c>
      <c r="C156" s="1" t="n">
        <f aca="false">Alpha+Beta*Cost1</f>
        <v>-14.6</v>
      </c>
      <c r="D156" s="1" t="n">
        <f aca="false">Alpha+Beta*Cost2</f>
        <v>-1</v>
      </c>
      <c r="E156" s="1" t="n">
        <f aca="false">EXP(C$10:C$1048576)</f>
        <v>4.56352636790416E-007</v>
      </c>
      <c r="F156" s="1" t="n">
        <f aca="false">EXP(D$10:D$1048576)</f>
        <v>0.367879441171442</v>
      </c>
      <c r="G156" s="1" t="n">
        <f aca="false">EXP(UTIL1)/(EXP(UTIL1)+EXP(UTIL2))</f>
        <v>1.24049354113062E-006</v>
      </c>
      <c r="H156" s="1" t="n">
        <f aca="false">EXP(UTIL2)/(EXP(UTIL1)+EXP(UTIL2))</f>
        <v>0.999998759506459</v>
      </c>
      <c r="I156" s="1" t="n">
        <f aca="false">Cost1</f>
        <v>14.6</v>
      </c>
      <c r="J156" s="1" t="n">
        <f aca="false">LN(EXP(UTIL1)+EXP(UTIL2))</f>
        <v>-0.999998759505689</v>
      </c>
      <c r="K156" s="1" t="n">
        <f aca="false">PROB1*UTIL1+PROB2*UTIL2</f>
        <v>-1.00001687071216</v>
      </c>
    </row>
    <row r="157" customFormat="false" ht="13" hidden="false" customHeight="false" outlineLevel="0" collapsed="false">
      <c r="A157" s="1" t="n">
        <f aca="false">A156+0.1</f>
        <v>14.7</v>
      </c>
      <c r="B157" s="1" t="n">
        <v>1</v>
      </c>
      <c r="C157" s="1" t="n">
        <f aca="false">Alpha+Beta*Cost1</f>
        <v>-14.7</v>
      </c>
      <c r="D157" s="1" t="n">
        <f aca="false">Alpha+Beta*Cost2</f>
        <v>-1</v>
      </c>
      <c r="E157" s="1" t="n">
        <f aca="false">EXP(C$10:C$1048576)</f>
        <v>4.12924941587342E-007</v>
      </c>
      <c r="F157" s="1" t="n">
        <f aca="false">EXP(D$10:D$1048576)</f>
        <v>0.367879441171442</v>
      </c>
      <c r="G157" s="1" t="n">
        <f aca="false">EXP(UTIL1)/(EXP(UTIL1)+EXP(UTIL2))</f>
        <v>1.12244510534996E-006</v>
      </c>
      <c r="H157" s="1" t="n">
        <f aca="false">EXP(UTIL2)/(EXP(UTIL1)+EXP(UTIL2))</f>
        <v>0.999998877554895</v>
      </c>
      <c r="I157" s="1" t="n">
        <f aca="false">Cost1</f>
        <v>14.7</v>
      </c>
      <c r="J157" s="1" t="n">
        <f aca="false">LN(EXP(UTIL1)+EXP(UTIL2))</f>
        <v>-0.999998877554265</v>
      </c>
      <c r="K157" s="1" t="n">
        <f aca="false">PROB1*UTIL1+PROB2*UTIL2</f>
        <v>-1.00001537749794</v>
      </c>
    </row>
    <row r="158" customFormat="false" ht="13" hidden="false" customHeight="false" outlineLevel="0" collapsed="false">
      <c r="A158" s="1" t="n">
        <f aca="false">A157+0.1</f>
        <v>14.8</v>
      </c>
      <c r="B158" s="1" t="n">
        <v>1</v>
      </c>
      <c r="C158" s="1" t="n">
        <f aca="false">Alpha+Beta*Cost1</f>
        <v>-14.8</v>
      </c>
      <c r="D158" s="1" t="n">
        <f aca="false">Alpha+Beta*Cost2</f>
        <v>-1</v>
      </c>
      <c r="E158" s="1" t="n">
        <f aca="false">EXP(C$10:C$1048576)</f>
        <v>3.7362993798854E-007</v>
      </c>
      <c r="F158" s="1" t="n">
        <f aca="false">EXP(D$10:D$1048576)</f>
        <v>0.367879441171442</v>
      </c>
      <c r="G158" s="1" t="n">
        <f aca="false">EXP(UTIL1)/(EXP(UTIL1)+EXP(UTIL2))</f>
        <v>1.01563043949629E-006</v>
      </c>
      <c r="H158" s="1" t="n">
        <f aca="false">EXP(UTIL2)/(EXP(UTIL1)+EXP(UTIL2))</f>
        <v>0.999998984369561</v>
      </c>
      <c r="I158" s="1" t="n">
        <f aca="false">Cost1</f>
        <v>14.8</v>
      </c>
      <c r="J158" s="1" t="n">
        <f aca="false">LN(EXP(UTIL1)+EXP(UTIL2))</f>
        <v>-0.999998984369045</v>
      </c>
      <c r="K158" s="1" t="n">
        <f aca="false">PROB1*UTIL1+PROB2*UTIL2</f>
        <v>-1.00001401570007</v>
      </c>
    </row>
    <row r="159" customFormat="false" ht="13" hidden="false" customHeight="false" outlineLevel="0" collapsed="false">
      <c r="A159" s="1" t="n">
        <f aca="false">A158+0.1</f>
        <v>14.9</v>
      </c>
      <c r="B159" s="1" t="n">
        <v>1</v>
      </c>
      <c r="C159" s="1" t="n">
        <f aca="false">Alpha+Beta*Cost1</f>
        <v>-14.9</v>
      </c>
      <c r="D159" s="1" t="n">
        <f aca="false">Alpha+Beta*Cost2</f>
        <v>-1</v>
      </c>
      <c r="E159" s="1" t="n">
        <f aca="false">EXP(C$10:C$1048576)</f>
        <v>3.38074348390486E-007</v>
      </c>
      <c r="F159" s="1" t="n">
        <f aca="false">EXP(D$10:D$1048576)</f>
        <v>0.367879441171442</v>
      </c>
      <c r="G159" s="1" t="n">
        <f aca="false">EXP(UTIL1)/(EXP(UTIL1)+EXP(UTIL2))</f>
        <v>9.18980513372031E-007</v>
      </c>
      <c r="H159" s="1" t="n">
        <f aca="false">EXP(UTIL2)/(EXP(UTIL1)+EXP(UTIL2))</f>
        <v>0.999999081019487</v>
      </c>
      <c r="I159" s="1" t="n">
        <f aca="false">Cost1</f>
        <v>14.9</v>
      </c>
      <c r="J159" s="1" t="n">
        <f aca="false">LN(EXP(UTIL1)+EXP(UTIL2))</f>
        <v>-0.999999081019064</v>
      </c>
      <c r="K159" s="1" t="n">
        <f aca="false">PROB1*UTIL1+PROB2*UTIL2</f>
        <v>-1.00001277382914</v>
      </c>
    </row>
    <row r="160" customFormat="false" ht="13" hidden="false" customHeight="false" outlineLevel="0" collapsed="false">
      <c r="A160" s="1" t="n">
        <f aca="false">A159+0.1</f>
        <v>15</v>
      </c>
      <c r="B160" s="1" t="n">
        <v>1</v>
      </c>
      <c r="C160" s="1" t="n">
        <f aca="false">Alpha+Beta*Cost1</f>
        <v>-15</v>
      </c>
      <c r="D160" s="1" t="n">
        <f aca="false">Alpha+Beta*Cost2</f>
        <v>-1</v>
      </c>
      <c r="E160" s="1" t="n">
        <f aca="false">EXP(C$10:C$1048576)</f>
        <v>3.05902320501837E-007</v>
      </c>
      <c r="F160" s="1" t="n">
        <f aca="false">EXP(D$10:D$1048576)</f>
        <v>0.367879441171442</v>
      </c>
      <c r="G160" s="1" t="n">
        <f aca="false">EXP(UTIL1)/(EXP(UTIL1)+EXP(UTIL2))</f>
        <v>8.31528027664163E-007</v>
      </c>
      <c r="H160" s="1" t="n">
        <f aca="false">EXP(UTIL2)/(EXP(UTIL1)+EXP(UTIL2))</f>
        <v>0.999999168471973</v>
      </c>
      <c r="I160" s="1" t="n">
        <f aca="false">Cost1</f>
        <v>15</v>
      </c>
      <c r="J160" s="1" t="n">
        <f aca="false">LN(EXP(UTIL1)+EXP(UTIL2))</f>
        <v>-0.999999168471627</v>
      </c>
      <c r="K160" s="1" t="n">
        <f aca="false">PROB1*UTIL1+PROB2*UTIL2</f>
        <v>-1.00001164139239</v>
      </c>
    </row>
    <row r="161" customFormat="false" ht="13" hidden="false" customHeight="false" outlineLevel="0" collapsed="false">
      <c r="A161" s="1" t="n">
        <f aca="false">A160+0.1</f>
        <v>15.1</v>
      </c>
      <c r="B161" s="1" t="n">
        <v>1</v>
      </c>
      <c r="C161" s="1" t="n">
        <f aca="false">Alpha+Beta*Cost1</f>
        <v>-15.1</v>
      </c>
      <c r="D161" s="1" t="n">
        <f aca="false">Alpha+Beta*Cost2</f>
        <v>-1</v>
      </c>
      <c r="E161" s="1" t="n">
        <f aca="false">EXP(C$10:C$1048576)</f>
        <v>2.76791865854091E-007</v>
      </c>
      <c r="F161" s="1" t="n">
        <f aca="false">EXP(D$10:D$1048576)</f>
        <v>0.367879441171442</v>
      </c>
      <c r="G161" s="1" t="n">
        <f aca="false">EXP(UTIL1)/(EXP(UTIL1)+EXP(UTIL2))</f>
        <v>7.52397733113675E-007</v>
      </c>
      <c r="H161" s="1" t="n">
        <f aca="false">EXP(UTIL2)/(EXP(UTIL1)+EXP(UTIL2))</f>
        <v>0.999999247602267</v>
      </c>
      <c r="I161" s="1" t="n">
        <f aca="false">Cost1</f>
        <v>15.1</v>
      </c>
      <c r="J161" s="1" t="n">
        <f aca="false">LN(EXP(UTIL1)+EXP(UTIL2))</f>
        <v>-0.999999247601984</v>
      </c>
      <c r="K161" s="1" t="n">
        <f aca="false">PROB1*UTIL1+PROB2*UTIL2</f>
        <v>-1.00001060880804</v>
      </c>
    </row>
    <row r="162" customFormat="false" ht="13" hidden="false" customHeight="false" outlineLevel="0" collapsed="false">
      <c r="A162" s="1" t="n">
        <f aca="false">A161+0.1</f>
        <v>15.2</v>
      </c>
      <c r="B162" s="1" t="n">
        <v>1</v>
      </c>
      <c r="C162" s="1" t="n">
        <f aca="false">Alpha+Beta*Cost1</f>
        <v>-15.2</v>
      </c>
      <c r="D162" s="1" t="n">
        <f aca="false">Alpha+Beta*Cost2</f>
        <v>-1</v>
      </c>
      <c r="E162" s="1" t="n">
        <f aca="false">EXP(C$10:C$1048576)</f>
        <v>2.50451637232772E-007</v>
      </c>
      <c r="F162" s="1" t="n">
        <f aca="false">EXP(D$10:D$1048576)</f>
        <v>0.367879441171442</v>
      </c>
      <c r="G162" s="1" t="n">
        <f aca="false">EXP(UTIL1)/(EXP(UTIL1)+EXP(UTIL2))</f>
        <v>6.80797670911876E-007</v>
      </c>
      <c r="H162" s="1" t="n">
        <f aca="false">EXP(UTIL2)/(EXP(UTIL1)+EXP(UTIL2))</f>
        <v>0.999999319202329</v>
      </c>
      <c r="I162" s="1" t="n">
        <f aca="false">Cost1</f>
        <v>15.2</v>
      </c>
      <c r="J162" s="1" t="n">
        <f aca="false">LN(EXP(UTIL1)+EXP(UTIL2))</f>
        <v>-0.999999319202097</v>
      </c>
      <c r="K162" s="1" t="n">
        <f aca="false">PROB1*UTIL1+PROB2*UTIL2</f>
        <v>-1.00000966732693</v>
      </c>
    </row>
    <row r="163" customFormat="false" ht="13" hidden="false" customHeight="false" outlineLevel="0" collapsed="false">
      <c r="A163" s="1" t="n">
        <f aca="false">A162+0.1</f>
        <v>15.3</v>
      </c>
      <c r="B163" s="1" t="n">
        <v>1</v>
      </c>
      <c r="C163" s="1" t="n">
        <f aca="false">Alpha+Beta*Cost1</f>
        <v>-15.3</v>
      </c>
      <c r="D163" s="1" t="n">
        <f aca="false">Alpha+Beta*Cost2</f>
        <v>-1</v>
      </c>
      <c r="E163" s="1" t="n">
        <f aca="false">EXP(C$10:C$1048576)</f>
        <v>2.2661801277658E-007</v>
      </c>
      <c r="F163" s="1" t="n">
        <f aca="false">EXP(D$10:D$1048576)</f>
        <v>0.367879441171442</v>
      </c>
      <c r="G163" s="1" t="n">
        <f aca="false">EXP(UTIL1)/(EXP(UTIL1)+EXP(UTIL2))</f>
        <v>6.16011246661987E-007</v>
      </c>
      <c r="H163" s="1" t="n">
        <f aca="false">EXP(UTIL2)/(EXP(UTIL1)+EXP(UTIL2))</f>
        <v>0.999999383988753</v>
      </c>
      <c r="I163" s="1" t="n">
        <f aca="false">Cost1</f>
        <v>15.3</v>
      </c>
      <c r="J163" s="1" t="n">
        <f aca="false">LN(EXP(UTIL1)+EXP(UTIL2))</f>
        <v>-0.999999383988564</v>
      </c>
      <c r="K163" s="1" t="n">
        <f aca="false">PROB1*UTIL1+PROB2*UTIL2</f>
        <v>-1.00000880896083</v>
      </c>
    </row>
    <row r="164" customFormat="false" ht="13" hidden="false" customHeight="false" outlineLevel="0" collapsed="false">
      <c r="A164" s="1" t="n">
        <f aca="false">A163+0.1</f>
        <v>15.4</v>
      </c>
      <c r="B164" s="1" t="n">
        <v>1</v>
      </c>
      <c r="C164" s="1" t="n">
        <f aca="false">Alpha+Beta*Cost1</f>
        <v>-15.4</v>
      </c>
      <c r="D164" s="1" t="n">
        <f aca="false">Alpha+Beta*Cost2</f>
        <v>-1</v>
      </c>
      <c r="E164" s="1" t="n">
        <f aca="false">EXP(C$10:C$1048576)</f>
        <v>2.05052457561201E-007</v>
      </c>
      <c r="F164" s="1" t="n">
        <f aca="false">EXP(D$10:D$1048576)</f>
        <v>0.367879441171442</v>
      </c>
      <c r="G164" s="1" t="n">
        <f aca="false">EXP(UTIL1)/(EXP(UTIL1)+EXP(UTIL2))</f>
        <v>5.57390058585631E-007</v>
      </c>
      <c r="H164" s="1" t="n">
        <f aca="false">EXP(UTIL2)/(EXP(UTIL1)+EXP(UTIL2))</f>
        <v>0.999999442609941</v>
      </c>
      <c r="I164" s="1" t="n">
        <f aca="false">Cost1</f>
        <v>15.4</v>
      </c>
      <c r="J164" s="1" t="n">
        <f aca="false">LN(EXP(UTIL1)+EXP(UTIL2))</f>
        <v>-0.999999442609786</v>
      </c>
      <c r="K164" s="1" t="n">
        <f aca="false">PROB1*UTIL1+PROB2*UTIL2</f>
        <v>-1.00000802641684</v>
      </c>
    </row>
    <row r="165" customFormat="false" ht="13" hidden="false" customHeight="false" outlineLevel="0" collapsed="false">
      <c r="A165" s="1" t="n">
        <f aca="false">A164+0.1</f>
        <v>15.5</v>
      </c>
      <c r="B165" s="1" t="n">
        <v>1</v>
      </c>
      <c r="C165" s="1" t="n">
        <f aca="false">Alpha+Beta*Cost1</f>
        <v>-15.5</v>
      </c>
      <c r="D165" s="1" t="n">
        <f aca="false">Alpha+Beta*Cost2</f>
        <v>-1</v>
      </c>
      <c r="E165" s="1" t="n">
        <f aca="false">EXP(C$10:C$1048576)</f>
        <v>1.85539136261605E-007</v>
      </c>
      <c r="F165" s="1" t="n">
        <f aca="false">EXP(D$10:D$1048576)</f>
        <v>0.367879441171442</v>
      </c>
      <c r="G165" s="1" t="n">
        <f aca="false">EXP(UTIL1)/(EXP(UTIL1)+EXP(UTIL2))</f>
        <v>5.04347408201471E-007</v>
      </c>
      <c r="H165" s="1" t="n">
        <f aca="false">EXP(UTIL2)/(EXP(UTIL1)+EXP(UTIL2))</f>
        <v>0.999999495652592</v>
      </c>
      <c r="I165" s="1" t="n">
        <f aca="false">Cost1</f>
        <v>15.5</v>
      </c>
      <c r="J165" s="1" t="n">
        <f aca="false">LN(EXP(UTIL1)+EXP(UTIL2))</f>
        <v>-0.999999495652465</v>
      </c>
      <c r="K165" s="1" t="n">
        <f aca="false">PROB1*UTIL1+PROB2*UTIL2</f>
        <v>-1.00000731303742</v>
      </c>
    </row>
    <row r="166" customFormat="false" ht="13" hidden="false" customHeight="false" outlineLevel="0" collapsed="false">
      <c r="A166" s="1" t="n">
        <f aca="false">A165+0.1</f>
        <v>15.6</v>
      </c>
      <c r="B166" s="1" t="n">
        <v>1</v>
      </c>
      <c r="C166" s="1" t="n">
        <f aca="false">Alpha+Beta*Cost1</f>
        <v>-15.6</v>
      </c>
      <c r="D166" s="1" t="n">
        <f aca="false">Alpha+Beta*Cost2</f>
        <v>-1</v>
      </c>
      <c r="E166" s="1" t="n">
        <f aca="false">EXP(C$10:C$1048576)</f>
        <v>1.67882752999573E-007</v>
      </c>
      <c r="F166" s="1" t="n">
        <f aca="false">EXP(D$10:D$1048576)</f>
        <v>0.367879441171442</v>
      </c>
      <c r="G166" s="1" t="n">
        <f aca="false">EXP(UTIL1)/(EXP(UTIL1)+EXP(UTIL2))</f>
        <v>4.56352428532783E-007</v>
      </c>
      <c r="H166" s="1" t="n">
        <f aca="false">EXP(UTIL2)/(EXP(UTIL1)+EXP(UTIL2))</f>
        <v>0.999999543647572</v>
      </c>
      <c r="I166" s="1" t="n">
        <f aca="false">Cost1</f>
        <v>15.6</v>
      </c>
      <c r="J166" s="1" t="n">
        <f aca="false">LN(EXP(UTIL1)+EXP(UTIL2))</f>
        <v>-0.999999543647467</v>
      </c>
      <c r="K166" s="1" t="n">
        <f aca="false">PROB1*UTIL1+PROB2*UTIL2</f>
        <v>-1.00000666274546</v>
      </c>
    </row>
    <row r="167" customFormat="false" ht="13" hidden="false" customHeight="false" outlineLevel="0" collapsed="false">
      <c r="A167" s="1" t="n">
        <f aca="false">A166+0.1</f>
        <v>15.7</v>
      </c>
      <c r="B167" s="1" t="n">
        <v>1</v>
      </c>
      <c r="C167" s="1" t="n">
        <f aca="false">Alpha+Beta*Cost1</f>
        <v>-15.7</v>
      </c>
      <c r="D167" s="1" t="n">
        <f aca="false">Alpha+Beta*Cost2</f>
        <v>-1</v>
      </c>
      <c r="E167" s="1" t="n">
        <f aca="false">EXP(C$10:C$1048576)</f>
        <v>1.51906596756902E-007</v>
      </c>
      <c r="F167" s="1" t="n">
        <f aca="false">EXP(D$10:D$1048576)</f>
        <v>0.367879441171442</v>
      </c>
      <c r="G167" s="1" t="n">
        <f aca="false">EXP(UTIL1)/(EXP(UTIL1)+EXP(UTIL2))</f>
        <v>4.12924771080406E-007</v>
      </c>
      <c r="H167" s="1" t="n">
        <f aca="false">EXP(UTIL2)/(EXP(UTIL1)+EXP(UTIL2))</f>
        <v>0.999999587075229</v>
      </c>
      <c r="I167" s="1" t="n">
        <f aca="false">Cost1</f>
        <v>15.7</v>
      </c>
      <c r="J167" s="1" t="n">
        <f aca="false">LN(EXP(UTIL1)+EXP(UTIL2))</f>
        <v>-0.999999587075144</v>
      </c>
      <c r="K167" s="1" t="n">
        <f aca="false">PROB1*UTIL1+PROB2*UTIL2</f>
        <v>-1.00000606999413</v>
      </c>
    </row>
    <row r="168" customFormat="false" ht="13" hidden="false" customHeight="false" outlineLevel="0" collapsed="false">
      <c r="A168" s="1" t="n">
        <f aca="false">A167+0.1</f>
        <v>15.8</v>
      </c>
      <c r="B168" s="1" t="n">
        <v>1</v>
      </c>
      <c r="C168" s="1" t="n">
        <f aca="false">Alpha+Beta*Cost1</f>
        <v>-15.8</v>
      </c>
      <c r="D168" s="1" t="n">
        <f aca="false">Alpha+Beta*Cost2</f>
        <v>-1</v>
      </c>
      <c r="E168" s="1" t="n">
        <f aca="false">EXP(C$10:C$1048576)</f>
        <v>1.37450772792145E-007</v>
      </c>
      <c r="F168" s="1" t="n">
        <f aca="false">EXP(D$10:D$1048576)</f>
        <v>0.367879441171442</v>
      </c>
      <c r="G168" s="1" t="n">
        <f aca="false">EXP(UTIL1)/(EXP(UTIL1)+EXP(UTIL2))</f>
        <v>3.73629798389263E-007</v>
      </c>
      <c r="H168" s="1" t="n">
        <f aca="false">EXP(UTIL2)/(EXP(UTIL1)+EXP(UTIL2))</f>
        <v>0.999999626370202</v>
      </c>
      <c r="I168" s="1" t="n">
        <f aca="false">Cost1</f>
        <v>15.8</v>
      </c>
      <c r="J168" s="1" t="n">
        <f aca="false">LN(EXP(UTIL1)+EXP(UTIL2))</f>
        <v>-0.999999626370132</v>
      </c>
      <c r="K168" s="1" t="n">
        <f aca="false">PROB1*UTIL1+PROB2*UTIL2</f>
        <v>-1.00000552972102</v>
      </c>
    </row>
    <row r="169" customFormat="false" ht="13" hidden="false" customHeight="false" outlineLevel="0" collapsed="false">
      <c r="A169" s="1" t="n">
        <f aca="false">A168+0.1</f>
        <v>15.9</v>
      </c>
      <c r="B169" s="1" t="n">
        <v>1</v>
      </c>
      <c r="C169" s="1" t="n">
        <f aca="false">Alpha+Beta*Cost1</f>
        <v>-15.9</v>
      </c>
      <c r="D169" s="1" t="n">
        <f aca="false">Alpha+Beta*Cost2</f>
        <v>-1</v>
      </c>
      <c r="E169" s="1" t="n">
        <f aca="false">EXP(C$10:C$1048576)</f>
        <v>1.24370602360292E-007</v>
      </c>
      <c r="F169" s="1" t="n">
        <f aca="false">EXP(D$10:D$1048576)</f>
        <v>0.367879441171442</v>
      </c>
      <c r="G169" s="1" t="n">
        <f aca="false">EXP(UTIL1)/(EXP(UTIL1)+EXP(UTIL2))</f>
        <v>3.38074234096261E-007</v>
      </c>
      <c r="H169" s="1" t="n">
        <f aca="false">EXP(UTIL2)/(EXP(UTIL1)+EXP(UTIL2))</f>
        <v>0.999999661925766</v>
      </c>
      <c r="I169" s="1" t="n">
        <f aca="false">Cost1</f>
        <v>15.9</v>
      </c>
      <c r="J169" s="1" t="n">
        <f aca="false">LN(EXP(UTIL1)+EXP(UTIL2))</f>
        <v>-0.999999661925709</v>
      </c>
      <c r="K169" s="1" t="n">
        <f aca="false">PROB1*UTIL1+PROB2*UTIL2</f>
        <v>-1.00000503730609</v>
      </c>
    </row>
    <row r="170" customFormat="false" ht="13" hidden="false" customHeight="false" outlineLevel="0" collapsed="false">
      <c r="A170" s="1" t="n">
        <f aca="false">A169+0.1</f>
        <v>16</v>
      </c>
      <c r="B170" s="1" t="n">
        <v>1</v>
      </c>
      <c r="C170" s="1" t="n">
        <f aca="false">Alpha+Beta*Cost1</f>
        <v>-16</v>
      </c>
      <c r="D170" s="1" t="n">
        <f aca="false">Alpha+Beta*Cost2</f>
        <v>-1</v>
      </c>
      <c r="E170" s="1" t="n">
        <f aca="false">EXP(C$10:C$1048576)</f>
        <v>1.12535174719264E-007</v>
      </c>
      <c r="F170" s="1" t="n">
        <f aca="false">EXP(D$10:D$1048576)</f>
        <v>0.367879441171442</v>
      </c>
      <c r="G170" s="1" t="n">
        <f aca="false">EXP(UTIL1)/(EXP(UTIL1)+EXP(UTIL2))</f>
        <v>3.05902226925637E-007</v>
      </c>
      <c r="H170" s="1" t="n">
        <f aca="false">EXP(UTIL2)/(EXP(UTIL1)+EXP(UTIL2))</f>
        <v>0.999999694097773</v>
      </c>
      <c r="I170" s="1" t="n">
        <f aca="false">Cost1</f>
        <v>16</v>
      </c>
      <c r="J170" s="1" t="n">
        <f aca="false">LN(EXP(UTIL1)+EXP(UTIL2))</f>
        <v>-0.999999694097726</v>
      </c>
      <c r="K170" s="1" t="n">
        <f aca="false">PROB1*UTIL1+PROB2*UTIL2</f>
        <v>-1.0000045885334</v>
      </c>
    </row>
    <row r="171" customFormat="false" ht="13" hidden="false" customHeight="false" outlineLevel="0" collapsed="false">
      <c r="A171" s="1" t="n">
        <f aca="false">A170+0.1</f>
        <v>16.1</v>
      </c>
      <c r="B171" s="1" t="n">
        <v>1</v>
      </c>
      <c r="C171" s="1" t="n">
        <f aca="false">Alpha+Beta*Cost1</f>
        <v>-16.1</v>
      </c>
      <c r="D171" s="1" t="n">
        <f aca="false">Alpha+Beta*Cost2</f>
        <v>-1</v>
      </c>
      <c r="E171" s="1" t="n">
        <f aca="false">EXP(C$10:C$1048576)</f>
        <v>1.01826036931204E-007</v>
      </c>
      <c r="F171" s="1" t="n">
        <f aca="false">EXP(D$10:D$1048576)</f>
        <v>0.367879441171442</v>
      </c>
      <c r="G171" s="1" t="n">
        <f aca="false">EXP(UTIL1)/(EXP(UTIL1)+EXP(UTIL2))</f>
        <v>2.76791789240376E-007</v>
      </c>
      <c r="H171" s="1" t="n">
        <f aca="false">EXP(UTIL2)/(EXP(UTIL1)+EXP(UTIL2))</f>
        <v>0.999999723208211</v>
      </c>
      <c r="I171" s="1" t="n">
        <f aca="false">Cost1</f>
        <v>16.1</v>
      </c>
      <c r="J171" s="1" t="n">
        <f aca="false">LN(EXP(UTIL1)+EXP(UTIL2))</f>
        <v>-0.999999723208172</v>
      </c>
      <c r="K171" s="1" t="n">
        <f aca="false">PROB1*UTIL1+PROB2*UTIL2</f>
        <v>-1.00000417955602</v>
      </c>
    </row>
    <row r="172" customFormat="false" ht="13" hidden="false" customHeight="false" outlineLevel="0" collapsed="false">
      <c r="A172" s="1" t="n">
        <f aca="false">A171+0.1</f>
        <v>16.2</v>
      </c>
      <c r="B172" s="1" t="n">
        <v>1</v>
      </c>
      <c r="C172" s="1" t="n">
        <f aca="false">Alpha+Beta*Cost1</f>
        <v>-16.2</v>
      </c>
      <c r="D172" s="1" t="n">
        <f aca="false">Alpha+Beta*Cost2</f>
        <v>-1</v>
      </c>
      <c r="E172" s="1" t="n">
        <f aca="false">EXP(C$10:C$1048576)</f>
        <v>9.2136008345665E-008</v>
      </c>
      <c r="F172" s="1" t="n">
        <f aca="false">EXP(D$10:D$1048576)</f>
        <v>0.367879441171442</v>
      </c>
      <c r="G172" s="1" t="n">
        <f aca="false">EXP(UTIL1)/(EXP(UTIL1)+EXP(UTIL2))</f>
        <v>2.50451574506765E-007</v>
      </c>
      <c r="H172" s="1" t="n">
        <f aca="false">EXP(UTIL2)/(EXP(UTIL1)+EXP(UTIL2))</f>
        <v>0.999999749548426</v>
      </c>
      <c r="I172" s="1" t="n">
        <f aca="false">Cost1</f>
        <v>16.2</v>
      </c>
      <c r="J172" s="1" t="n">
        <f aca="false">LN(EXP(UTIL1)+EXP(UTIL2))</f>
        <v>-0.999999749548394</v>
      </c>
      <c r="K172" s="1" t="n">
        <f aca="false">PROB1*UTIL1+PROB2*UTIL2</f>
        <v>-1.00000380686393</v>
      </c>
    </row>
    <row r="173" customFormat="false" ht="13" hidden="false" customHeight="false" outlineLevel="0" collapsed="false">
      <c r="A173" s="1" t="n">
        <f aca="false">A172+0.1</f>
        <v>16.3</v>
      </c>
      <c r="B173" s="1" t="n">
        <v>1</v>
      </c>
      <c r="C173" s="1" t="n">
        <f aca="false">Alpha+Beta*Cost1</f>
        <v>-16.3</v>
      </c>
      <c r="D173" s="1" t="n">
        <f aca="false">Alpha+Beta*Cost2</f>
        <v>-1</v>
      </c>
      <c r="E173" s="1" t="n">
        <f aca="false">EXP(C$10:C$1048576)</f>
        <v>8.3368107899631E-008</v>
      </c>
      <c r="F173" s="1" t="n">
        <f aca="false">EXP(D$10:D$1048576)</f>
        <v>0.367879441171442</v>
      </c>
      <c r="G173" s="1" t="n">
        <f aca="false">EXP(UTIL1)/(EXP(UTIL1)+EXP(UTIL2))</f>
        <v>2.26617961420868E-007</v>
      </c>
      <c r="H173" s="1" t="n">
        <f aca="false">EXP(UTIL2)/(EXP(UTIL1)+EXP(UTIL2))</f>
        <v>0.999999773382039</v>
      </c>
      <c r="I173" s="1" t="n">
        <f aca="false">Cost1</f>
        <v>16.3</v>
      </c>
      <c r="J173" s="1" t="n">
        <f aca="false">LN(EXP(UTIL1)+EXP(UTIL2))</f>
        <v>-0.999999773382013</v>
      </c>
      <c r="K173" s="1" t="n">
        <f aca="false">PROB1*UTIL1+PROB2*UTIL2</f>
        <v>-1.00000346725481</v>
      </c>
    </row>
    <row r="174" customFormat="false" ht="13" hidden="false" customHeight="false" outlineLevel="0" collapsed="false">
      <c r="A174" s="1" t="n">
        <f aca="false">A173+0.1</f>
        <v>16.4</v>
      </c>
      <c r="B174" s="1" t="n">
        <v>1</v>
      </c>
      <c r="C174" s="1" t="n">
        <f aca="false">Alpha+Beta*Cost1</f>
        <v>-16.4</v>
      </c>
      <c r="D174" s="1" t="n">
        <f aca="false">Alpha+Beta*Cost2</f>
        <v>-1</v>
      </c>
      <c r="E174" s="1" t="n">
        <f aca="false">EXP(C$10:C$1048576)</f>
        <v>7.54345834984453E-008</v>
      </c>
      <c r="F174" s="1" t="n">
        <f aca="false">EXP(D$10:D$1048576)</f>
        <v>0.367879441171442</v>
      </c>
      <c r="G174" s="1" t="n">
        <f aca="false">EXP(UTIL1)/(EXP(UTIL1)+EXP(UTIL2))</f>
        <v>2.05052415514699E-007</v>
      </c>
      <c r="H174" s="1" t="n">
        <f aca="false">EXP(UTIL2)/(EXP(UTIL1)+EXP(UTIL2))</f>
        <v>0.999999794947584</v>
      </c>
      <c r="I174" s="1" t="n">
        <f aca="false">Cost1</f>
        <v>16.4</v>
      </c>
      <c r="J174" s="1" t="n">
        <f aca="false">LN(EXP(UTIL1)+EXP(UTIL2))</f>
        <v>-0.999999794947563</v>
      </c>
      <c r="K174" s="1" t="n">
        <f aca="false">PROB1*UTIL1+PROB2*UTIL2</f>
        <v>-1.0000031578072</v>
      </c>
    </row>
    <row r="175" customFormat="false" ht="13" hidden="false" customHeight="false" outlineLevel="0" collapsed="false">
      <c r="A175" s="1" t="n">
        <f aca="false">A174+0.1</f>
        <v>16.5</v>
      </c>
      <c r="B175" s="1" t="n">
        <v>1</v>
      </c>
      <c r="C175" s="1" t="n">
        <f aca="false">Alpha+Beta*Cost1</f>
        <v>-16.5</v>
      </c>
      <c r="D175" s="1" t="n">
        <f aca="false">Alpha+Beta*Cost2</f>
        <v>-1</v>
      </c>
      <c r="E175" s="1" t="n">
        <f aca="false">EXP(C$10:C$1048576)</f>
        <v>6.82560337633511E-008</v>
      </c>
      <c r="F175" s="1" t="n">
        <f aca="false">EXP(D$10:D$1048576)</f>
        <v>0.367879441171442</v>
      </c>
      <c r="G175" s="1" t="n">
        <f aca="false">EXP(UTIL1)/(EXP(UTIL1)+EXP(UTIL2))</f>
        <v>1.8553910183684E-007</v>
      </c>
      <c r="H175" s="1" t="n">
        <f aca="false">EXP(UTIL2)/(EXP(UTIL1)+EXP(UTIL2))</f>
        <v>0.999999814460898</v>
      </c>
      <c r="I175" s="1" t="n">
        <f aca="false">Cost1</f>
        <v>16.5</v>
      </c>
      <c r="J175" s="1" t="n">
        <f aca="false">LN(EXP(UTIL1)+EXP(UTIL2))</f>
        <v>-0.999999814460881</v>
      </c>
      <c r="K175" s="1" t="n">
        <f aca="false">PROB1*UTIL1+PROB2*UTIL2</f>
        <v>-1.00000287585608</v>
      </c>
    </row>
    <row r="176" customFormat="false" ht="13" hidden="false" customHeight="false" outlineLevel="0" collapsed="false">
      <c r="A176" s="1" t="n">
        <f aca="false">A175+0.1</f>
        <v>16.6</v>
      </c>
      <c r="B176" s="1" t="n">
        <v>1</v>
      </c>
      <c r="C176" s="1" t="n">
        <f aca="false">Alpha+Beta*Cost1</f>
        <v>-16.6</v>
      </c>
      <c r="D176" s="1" t="n">
        <f aca="false">Alpha+Beta*Cost2</f>
        <v>-1</v>
      </c>
      <c r="E176" s="1" t="n">
        <f aca="false">EXP(C$10:C$1048576)</f>
        <v>6.17606133558058E-008</v>
      </c>
      <c r="F176" s="1" t="n">
        <f aca="false">EXP(D$10:D$1048576)</f>
        <v>0.367879441171442</v>
      </c>
      <c r="G176" s="1" t="n">
        <f aca="false">EXP(UTIL1)/(EXP(UTIL1)+EXP(UTIL2))</f>
        <v>1.67882724814958E-007</v>
      </c>
      <c r="H176" s="1" t="n">
        <f aca="false">EXP(UTIL2)/(EXP(UTIL1)+EXP(UTIL2))</f>
        <v>0.999999832117275</v>
      </c>
      <c r="I176" s="1" t="n">
        <f aca="false">Cost1</f>
        <v>16.6</v>
      </c>
      <c r="J176" s="1" t="n">
        <f aca="false">LN(EXP(UTIL1)+EXP(UTIL2))</f>
        <v>-0.999999832117261</v>
      </c>
      <c r="K176" s="1" t="n">
        <f aca="false">PROB1*UTIL1+PROB2*UTIL2</f>
        <v>-1.00000261897051</v>
      </c>
    </row>
    <row r="177" customFormat="false" ht="13" hidden="false" customHeight="false" outlineLevel="0" collapsed="false">
      <c r="A177" s="1" t="n">
        <f aca="false">A176+0.1</f>
        <v>16.7</v>
      </c>
      <c r="B177" s="1" t="n">
        <v>1</v>
      </c>
      <c r="C177" s="1" t="n">
        <f aca="false">Alpha+Beta*Cost1</f>
        <v>-16.7</v>
      </c>
      <c r="D177" s="1" t="n">
        <f aca="false">Alpha+Beta*Cost2</f>
        <v>-1</v>
      </c>
      <c r="E177" s="1" t="n">
        <f aca="false">EXP(C$10:C$1048576)</f>
        <v>5.58833139251845E-008</v>
      </c>
      <c r="F177" s="1" t="n">
        <f aca="false">EXP(D$10:D$1048576)</f>
        <v>0.367879441171442</v>
      </c>
      <c r="G177" s="1" t="n">
        <f aca="false">EXP(UTIL1)/(EXP(UTIL1)+EXP(UTIL2))</f>
        <v>1.51906573681291E-007</v>
      </c>
      <c r="H177" s="1" t="n">
        <f aca="false">EXP(UTIL2)/(EXP(UTIL1)+EXP(UTIL2))</f>
        <v>0.999999848093426</v>
      </c>
      <c r="I177" s="1" t="n">
        <f aca="false">Cost1</f>
        <v>16.7</v>
      </c>
      <c r="J177" s="1" t="n">
        <f aca="false">LN(EXP(UTIL1)+EXP(UTIL2))</f>
        <v>-0.999999848093415</v>
      </c>
      <c r="K177" s="1" t="n">
        <f aca="false">PROB1*UTIL1+PROB2*UTIL2</f>
        <v>-1.00000238493321</v>
      </c>
    </row>
    <row r="178" customFormat="false" ht="13" hidden="false" customHeight="false" outlineLevel="0" collapsed="false">
      <c r="A178" s="1" t="n">
        <f aca="false">A177+0.1</f>
        <v>16.8</v>
      </c>
      <c r="B178" s="1" t="n">
        <v>1</v>
      </c>
      <c r="C178" s="1" t="n">
        <f aca="false">Alpha+Beta*Cost1</f>
        <v>-16.8</v>
      </c>
      <c r="D178" s="1" t="n">
        <f aca="false">Alpha+Beta*Cost2</f>
        <v>-1</v>
      </c>
      <c r="E178" s="1" t="n">
        <f aca="false">EXP(C$10:C$1048576)</f>
        <v>5.05653134833568E-008</v>
      </c>
      <c r="F178" s="1" t="n">
        <f aca="false">EXP(D$10:D$1048576)</f>
        <v>0.367879441171442</v>
      </c>
      <c r="G178" s="1" t="n">
        <f aca="false">EXP(UTIL1)/(EXP(UTIL1)+EXP(UTIL2))</f>
        <v>1.37450753899432E-007</v>
      </c>
      <c r="H178" s="1" t="n">
        <f aca="false">EXP(UTIL2)/(EXP(UTIL1)+EXP(UTIL2))</f>
        <v>0.999999862549246</v>
      </c>
      <c r="I178" s="1" t="n">
        <f aca="false">Cost1</f>
        <v>16.8</v>
      </c>
      <c r="J178" s="1" t="n">
        <f aca="false">LN(EXP(UTIL1)+EXP(UTIL2))</f>
        <v>-0.999999862549237</v>
      </c>
      <c r="K178" s="1" t="n">
        <f aca="false">PROB1*UTIL1+PROB2*UTIL2</f>
        <v>-1.00000217172191</v>
      </c>
    </row>
    <row r="179" customFormat="false" ht="13" hidden="false" customHeight="false" outlineLevel="0" collapsed="false">
      <c r="A179" s="1" t="n">
        <f aca="false">A178+0.1</f>
        <v>16.9</v>
      </c>
      <c r="B179" s="1" t="n">
        <v>1</v>
      </c>
      <c r="C179" s="1" t="n">
        <f aca="false">Alpha+Beta*Cost1</f>
        <v>-16.9</v>
      </c>
      <c r="D179" s="1" t="n">
        <f aca="false">Alpha+Beta*Cost2</f>
        <v>-1</v>
      </c>
      <c r="E179" s="1" t="n">
        <f aca="false">EXP(C$10:C$1048576)</f>
        <v>4.57533876944594E-008</v>
      </c>
      <c r="F179" s="1" t="n">
        <f aca="false">EXP(D$10:D$1048576)</f>
        <v>0.367879441171442</v>
      </c>
      <c r="G179" s="1" t="n">
        <f aca="false">EXP(UTIL1)/(EXP(UTIL1)+EXP(UTIL2))</f>
        <v>1.24370586892246E-007</v>
      </c>
      <c r="H179" s="1" t="n">
        <f aca="false">EXP(UTIL2)/(EXP(UTIL1)+EXP(UTIL2))</f>
        <v>0.999999875629413</v>
      </c>
      <c r="I179" s="1" t="n">
        <f aca="false">Cost1</f>
        <v>16.9</v>
      </c>
      <c r="J179" s="1" t="n">
        <f aca="false">LN(EXP(UTIL1)+EXP(UTIL2))</f>
        <v>-0.999999875629405</v>
      </c>
      <c r="K179" s="1" t="n">
        <f aca="false">PROB1*UTIL1+PROB2*UTIL2</f>
        <v>-1.00000197749233</v>
      </c>
    </row>
    <row r="180" customFormat="false" ht="13" hidden="false" customHeight="false" outlineLevel="0" collapsed="false">
      <c r="A180" s="1" t="n">
        <f aca="false">A179+0.1</f>
        <v>17</v>
      </c>
      <c r="B180" s="1" t="n">
        <v>1</v>
      </c>
      <c r="C180" s="1" t="n">
        <f aca="false">Alpha+Beta*Cost1</f>
        <v>-17</v>
      </c>
      <c r="D180" s="1" t="n">
        <f aca="false">Alpha+Beta*Cost2</f>
        <v>-1</v>
      </c>
      <c r="E180" s="1" t="n">
        <f aca="false">EXP(C$10:C$1048576)</f>
        <v>4.13993771878528E-008</v>
      </c>
      <c r="F180" s="1" t="n">
        <f aca="false">EXP(D$10:D$1048576)</f>
        <v>0.367879441171442</v>
      </c>
      <c r="G180" s="1" t="n">
        <f aca="false">EXP(UTIL1)/(EXP(UTIL1)+EXP(UTIL2))</f>
        <v>1.12535162055098E-007</v>
      </c>
      <c r="H180" s="1" t="n">
        <f aca="false">EXP(UTIL2)/(EXP(UTIL1)+EXP(UTIL2))</f>
        <v>0.999999887464838</v>
      </c>
      <c r="I180" s="1" t="n">
        <f aca="false">Cost1</f>
        <v>17</v>
      </c>
      <c r="J180" s="1" t="n">
        <f aca="false">LN(EXP(UTIL1)+EXP(UTIL2))</f>
        <v>-0.999999887464832</v>
      </c>
      <c r="K180" s="1" t="n">
        <f aca="false">PROB1*UTIL1+PROB2*UTIL2</f>
        <v>-1.00000180056259</v>
      </c>
    </row>
    <row r="181" customFormat="false" ht="13" hidden="false" customHeight="false" outlineLevel="0" collapsed="false">
      <c r="A181" s="1" t="n">
        <f aca="false">A180+0.1</f>
        <v>17.1</v>
      </c>
      <c r="B181" s="1" t="n">
        <v>1</v>
      </c>
      <c r="C181" s="1" t="n">
        <f aca="false">Alpha+Beta*Cost1</f>
        <v>-17.1</v>
      </c>
      <c r="D181" s="1" t="n">
        <f aca="false">Alpha+Beta*Cost2</f>
        <v>-1</v>
      </c>
      <c r="E181" s="1" t="n">
        <f aca="false">EXP(C$10:C$1048576)</f>
        <v>3.74597055629535E-008</v>
      </c>
      <c r="F181" s="1" t="n">
        <f aca="false">EXP(D$10:D$1048576)</f>
        <v>0.367879441171442</v>
      </c>
      <c r="G181" s="1" t="n">
        <f aca="false">EXP(UTIL1)/(EXP(UTIL1)+EXP(UTIL2))</f>
        <v>1.01826026562662E-007</v>
      </c>
      <c r="H181" s="1" t="n">
        <f aca="false">EXP(UTIL2)/(EXP(UTIL1)+EXP(UTIL2))</f>
        <v>0.999999898173974</v>
      </c>
      <c r="I181" s="1" t="n">
        <f aca="false">Cost1</f>
        <v>17.1</v>
      </c>
      <c r="J181" s="1" t="n">
        <f aca="false">LN(EXP(UTIL1)+EXP(UTIL2))</f>
        <v>-0.999999898173968</v>
      </c>
      <c r="K181" s="1" t="n">
        <f aca="false">PROB1*UTIL1+PROB2*UTIL2</f>
        <v>-1.00000163939903</v>
      </c>
    </row>
    <row r="182" customFormat="false" ht="13" hidden="false" customHeight="false" outlineLevel="0" collapsed="false">
      <c r="A182" s="1" t="n">
        <f aca="false">A181+0.1</f>
        <v>17.2</v>
      </c>
      <c r="B182" s="1" t="n">
        <v>1</v>
      </c>
      <c r="C182" s="1" t="n">
        <f aca="false">Alpha+Beta*Cost1</f>
        <v>-17.2</v>
      </c>
      <c r="D182" s="1" t="n">
        <f aca="false">Alpha+Beta*Cost2</f>
        <v>-1</v>
      </c>
      <c r="E182" s="1" t="n">
        <f aca="false">EXP(C$10:C$1048576)</f>
        <v>3.38949432619701E-008</v>
      </c>
      <c r="F182" s="1" t="n">
        <f aca="false">EXP(D$10:D$1048576)</f>
        <v>0.367879441171442</v>
      </c>
      <c r="G182" s="1" t="n">
        <f aca="false">EXP(UTIL1)/(EXP(UTIL1)+EXP(UTIL2))</f>
        <v>9.21359998566204E-008</v>
      </c>
      <c r="H182" s="1" t="n">
        <f aca="false">EXP(UTIL2)/(EXP(UTIL1)+EXP(UTIL2))</f>
        <v>0.999999907864</v>
      </c>
      <c r="I182" s="1" t="n">
        <f aca="false">Cost1</f>
        <v>17.2</v>
      </c>
      <c r="J182" s="1" t="n">
        <f aca="false">LN(EXP(UTIL1)+EXP(UTIL2))</f>
        <v>-0.999999907863996</v>
      </c>
      <c r="K182" s="1" t="n">
        <f aca="false">PROB1*UTIL1+PROB2*UTIL2</f>
        <v>-1.0000014926032</v>
      </c>
    </row>
    <row r="183" customFormat="false" ht="13" hidden="false" customHeight="false" outlineLevel="0" collapsed="false">
      <c r="A183" s="1" t="n">
        <f aca="false">A182+0.1</f>
        <v>17.3</v>
      </c>
      <c r="B183" s="1" t="n">
        <v>1</v>
      </c>
      <c r="C183" s="1" t="n">
        <f aca="false">Alpha+Beta*Cost1</f>
        <v>-17.3</v>
      </c>
      <c r="D183" s="1" t="n">
        <f aca="false">Alpha+Beta*Cost2</f>
        <v>-1</v>
      </c>
      <c r="E183" s="1" t="n">
        <f aca="false">EXP(C$10:C$1048576)</f>
        <v>3.06694129456363E-008</v>
      </c>
      <c r="F183" s="1" t="n">
        <f aca="false">EXP(D$10:D$1048576)</f>
        <v>0.367879441171442</v>
      </c>
      <c r="G183" s="1" t="n">
        <f aca="false">EXP(UTIL1)/(EXP(UTIL1)+EXP(UTIL2))</f>
        <v>8.33681009493889E-008</v>
      </c>
      <c r="H183" s="1" t="n">
        <f aca="false">EXP(UTIL2)/(EXP(UTIL1)+EXP(UTIL2))</f>
        <v>0.999999916631899</v>
      </c>
      <c r="I183" s="1" t="n">
        <f aca="false">Cost1</f>
        <v>17.3</v>
      </c>
      <c r="J183" s="1" t="n">
        <f aca="false">LN(EXP(UTIL1)+EXP(UTIL2))</f>
        <v>-0.999999916631896</v>
      </c>
      <c r="K183" s="1" t="n">
        <f aca="false">PROB1*UTIL1+PROB2*UTIL2</f>
        <v>-1.00000135890005</v>
      </c>
    </row>
    <row r="184" customFormat="false" ht="13" hidden="false" customHeight="false" outlineLevel="0" collapsed="false">
      <c r="A184" s="1" t="n">
        <f aca="false">A183+0.1</f>
        <v>17.4</v>
      </c>
      <c r="B184" s="1" t="n">
        <v>1</v>
      </c>
      <c r="C184" s="1" t="n">
        <f aca="false">Alpha+Beta*Cost1</f>
        <v>-17.4</v>
      </c>
      <c r="D184" s="1" t="n">
        <f aca="false">Alpha+Beta*Cost2</f>
        <v>-1</v>
      </c>
      <c r="E184" s="1" t="n">
        <f aca="false">EXP(C$10:C$1048576)</f>
        <v>2.77508324224082E-008</v>
      </c>
      <c r="F184" s="1" t="n">
        <f aca="false">EXP(D$10:D$1048576)</f>
        <v>0.367879441171442</v>
      </c>
      <c r="G184" s="1" t="n">
        <f aca="false">EXP(UTIL1)/(EXP(UTIL1)+EXP(UTIL2))</f>
        <v>7.54345778080682E-008</v>
      </c>
      <c r="H184" s="1" t="n">
        <f aca="false">EXP(UTIL2)/(EXP(UTIL1)+EXP(UTIL2))</f>
        <v>0.999999924565422</v>
      </c>
      <c r="I184" s="1" t="n">
        <f aca="false">Cost1</f>
        <v>17.4</v>
      </c>
      <c r="J184" s="1" t="n">
        <f aca="false">LN(EXP(UTIL1)+EXP(UTIL2))</f>
        <v>-0.999999924565419</v>
      </c>
      <c r="K184" s="1" t="n">
        <f aca="false">PROB1*UTIL1+PROB2*UTIL2</f>
        <v>-1.00000123712708</v>
      </c>
    </row>
    <row r="185" customFormat="false" ht="13" hidden="false" customHeight="false" outlineLevel="0" collapsed="false">
      <c r="A185" s="1" t="n">
        <f aca="false">A184+0.1</f>
        <v>17.5</v>
      </c>
      <c r="B185" s="1" t="n">
        <v>1</v>
      </c>
      <c r="C185" s="1" t="n">
        <f aca="false">Alpha+Beta*Cost1</f>
        <v>-17.5</v>
      </c>
      <c r="D185" s="1" t="n">
        <f aca="false">Alpha+Beta*Cost2</f>
        <v>-1</v>
      </c>
      <c r="E185" s="1" t="n">
        <f aca="false">EXP(C$10:C$1048576)</f>
        <v>2.51099915574404E-008</v>
      </c>
      <c r="F185" s="1" t="n">
        <f aca="false">EXP(D$10:D$1048576)</f>
        <v>0.367879441171442</v>
      </c>
      <c r="G185" s="1" t="n">
        <f aca="false">EXP(UTIL1)/(EXP(UTIL1)+EXP(UTIL2))</f>
        <v>6.82560291044643E-008</v>
      </c>
      <c r="H185" s="1" t="n">
        <f aca="false">EXP(UTIL2)/(EXP(UTIL1)+EXP(UTIL2))</f>
        <v>0.999999931743971</v>
      </c>
      <c r="I185" s="1" t="n">
        <f aca="false">Cost1</f>
        <v>17.5</v>
      </c>
      <c r="J185" s="1" t="n">
        <f aca="false">LN(EXP(UTIL1)+EXP(UTIL2))</f>
        <v>-0.999999931743969</v>
      </c>
      <c r="K185" s="1" t="n">
        <f aca="false">PROB1*UTIL1+PROB2*UTIL2</f>
        <v>-1.00000112622448</v>
      </c>
    </row>
    <row r="186" customFormat="false" ht="13" hidden="false" customHeight="false" outlineLevel="0" collapsed="false">
      <c r="A186" s="1" t="n">
        <f aca="false">A185+0.1</f>
        <v>17.6</v>
      </c>
      <c r="B186" s="1" t="n">
        <v>1</v>
      </c>
      <c r="C186" s="1" t="n">
        <f aca="false">Alpha+Beta*Cost1</f>
        <v>-17.6</v>
      </c>
      <c r="D186" s="1" t="n">
        <f aca="false">Alpha+Beta*Cost2</f>
        <v>-1</v>
      </c>
      <c r="E186" s="1" t="n">
        <f aca="false">EXP(C$10:C$1048576)</f>
        <v>2.2720459927739E-008</v>
      </c>
      <c r="F186" s="1" t="n">
        <f aca="false">EXP(D$10:D$1048576)</f>
        <v>0.367879441171442</v>
      </c>
      <c r="G186" s="1" t="n">
        <f aca="false">EXP(UTIL1)/(EXP(UTIL1)+EXP(UTIL2))</f>
        <v>6.17606095414318E-008</v>
      </c>
      <c r="H186" s="1" t="n">
        <f aca="false">EXP(UTIL2)/(EXP(UTIL1)+EXP(UTIL2))</f>
        <v>0.999999938239391</v>
      </c>
      <c r="I186" s="1" t="n">
        <f aca="false">Cost1</f>
        <v>17.6</v>
      </c>
      <c r="J186" s="1" t="n">
        <f aca="false">LN(EXP(UTIL1)+EXP(UTIL2))</f>
        <v>-0.999999938239389</v>
      </c>
      <c r="K186" s="1" t="n">
        <f aca="false">PROB1*UTIL1+PROB2*UTIL2</f>
        <v>-1.00000102522612</v>
      </c>
    </row>
    <row r="187" customFormat="false" ht="13" hidden="false" customHeight="false" outlineLevel="0" collapsed="false">
      <c r="A187" s="1" t="n">
        <f aca="false">A186+0.1</f>
        <v>17.7</v>
      </c>
      <c r="B187" s="1" t="n">
        <v>1</v>
      </c>
      <c r="C187" s="1" t="n">
        <f aca="false">Alpha+Beta*Cost1</f>
        <v>-17.7</v>
      </c>
      <c r="D187" s="1" t="n">
        <f aca="false">Alpha+Beta*Cost2</f>
        <v>-1</v>
      </c>
      <c r="E187" s="1" t="n">
        <f aca="false">EXP(C$10:C$1048576)</f>
        <v>2.05583222976049E-008</v>
      </c>
      <c r="F187" s="1" t="n">
        <f aca="false">EXP(D$10:D$1048576)</f>
        <v>0.367879441171442</v>
      </c>
      <c r="G187" s="1" t="n">
        <f aca="false">EXP(UTIL1)/(EXP(UTIL1)+EXP(UTIL2))</f>
        <v>5.58833108022391E-008</v>
      </c>
      <c r="H187" s="1" t="n">
        <f aca="false">EXP(UTIL2)/(EXP(UTIL1)+EXP(UTIL2))</f>
        <v>0.999999944116689</v>
      </c>
      <c r="I187" s="1" t="n">
        <f aca="false">Cost1</f>
        <v>17.7</v>
      </c>
      <c r="J187" s="1" t="n">
        <f aca="false">LN(EXP(UTIL1)+EXP(UTIL2))</f>
        <v>-0.999999944116688</v>
      </c>
      <c r="K187" s="1" t="n">
        <f aca="false">PROB1*UTIL1+PROB2*UTIL2</f>
        <v>-1.00000093325129</v>
      </c>
    </row>
    <row r="188" customFormat="false" ht="13" hidden="false" customHeight="false" outlineLevel="0" collapsed="false">
      <c r="A188" s="1" t="n">
        <f aca="false">A187+0.1</f>
        <v>17.8</v>
      </c>
      <c r="B188" s="1" t="n">
        <v>1</v>
      </c>
      <c r="C188" s="1" t="n">
        <f aca="false">Alpha+Beta*Cost1</f>
        <v>-17.8</v>
      </c>
      <c r="D188" s="1" t="n">
        <f aca="false">Alpha+Beta*Cost2</f>
        <v>-1</v>
      </c>
      <c r="E188" s="1" t="n">
        <f aca="false">EXP(C$10:C$1048576)</f>
        <v>1.86019392669158E-008</v>
      </c>
      <c r="F188" s="1" t="n">
        <f aca="false">EXP(D$10:D$1048576)</f>
        <v>0.367879441171442</v>
      </c>
      <c r="G188" s="1" t="n">
        <f aca="false">EXP(UTIL1)/(EXP(UTIL1)+EXP(UTIL2))</f>
        <v>5.05653109265053E-008</v>
      </c>
      <c r="H188" s="1" t="n">
        <f aca="false">EXP(UTIL2)/(EXP(UTIL1)+EXP(UTIL2))</f>
        <v>0.999999949434689</v>
      </c>
      <c r="I188" s="1" t="n">
        <f aca="false">Cost1</f>
        <v>17.8</v>
      </c>
      <c r="J188" s="1" t="n">
        <f aca="false">LN(EXP(UTIL1)+EXP(UTIL2))</f>
        <v>-0.999999949434688</v>
      </c>
      <c r="K188" s="1" t="n">
        <f aca="false">PROB1*UTIL1+PROB2*UTIL2</f>
        <v>-1.00000084949722</v>
      </c>
    </row>
    <row r="189" customFormat="false" ht="13" hidden="false" customHeight="false" outlineLevel="0" collapsed="false">
      <c r="A189" s="1" t="n">
        <f aca="false">A188+0.1</f>
        <v>17.9</v>
      </c>
      <c r="B189" s="1" t="n">
        <v>1</v>
      </c>
      <c r="C189" s="1" t="n">
        <f aca="false">Alpha+Beta*Cost1</f>
        <v>-17.9</v>
      </c>
      <c r="D189" s="1" t="n">
        <f aca="false">Alpha+Beta*Cost2</f>
        <v>-1</v>
      </c>
      <c r="E189" s="1" t="n">
        <f aca="false">EXP(C$10:C$1048576)</f>
        <v>1.68317306967378E-008</v>
      </c>
      <c r="F189" s="1" t="n">
        <f aca="false">EXP(D$10:D$1048576)</f>
        <v>0.367879441171442</v>
      </c>
      <c r="G189" s="1" t="n">
        <f aca="false">EXP(UTIL1)/(EXP(UTIL1)+EXP(UTIL2))</f>
        <v>4.57533856010864E-008</v>
      </c>
      <c r="H189" s="1" t="n">
        <f aca="false">EXP(UTIL2)/(EXP(UTIL1)+EXP(UTIL2))</f>
        <v>0.999999954246615</v>
      </c>
      <c r="I189" s="1" t="n">
        <f aca="false">Cost1</f>
        <v>17.9</v>
      </c>
      <c r="J189" s="1" t="n">
        <f aca="false">LN(EXP(UTIL1)+EXP(UTIL2))</f>
        <v>-0.999999954246613</v>
      </c>
      <c r="K189" s="1" t="n">
        <f aca="false">PROB1*UTIL1+PROB2*UTIL2</f>
        <v>-1.00000077323222</v>
      </c>
    </row>
    <row r="190" customFormat="false" ht="13" hidden="false" customHeight="false" outlineLevel="0" collapsed="false">
      <c r="A190" s="1" t="n">
        <f aca="false">A189+0.1</f>
        <v>18</v>
      </c>
      <c r="B190" s="1" t="n">
        <v>1</v>
      </c>
      <c r="C190" s="1" t="n">
        <f aca="false">Alpha+Beta*Cost1</f>
        <v>-18</v>
      </c>
      <c r="D190" s="1" t="n">
        <f aca="false">Alpha+Beta*Cost2</f>
        <v>-1</v>
      </c>
      <c r="E190" s="1" t="n">
        <f aca="false">EXP(C$10:C$1048576)</f>
        <v>1.52299797447128E-008</v>
      </c>
      <c r="F190" s="1" t="n">
        <f aca="false">EXP(D$10:D$1048576)</f>
        <v>0.367879441171442</v>
      </c>
      <c r="G190" s="1" t="n">
        <f aca="false">EXP(UTIL1)/(EXP(UTIL1)+EXP(UTIL2))</f>
        <v>4.13993754739439E-008</v>
      </c>
      <c r="H190" s="1" t="n">
        <f aca="false">EXP(UTIL2)/(EXP(UTIL1)+EXP(UTIL2))</f>
        <v>0.999999958600625</v>
      </c>
      <c r="I190" s="1" t="n">
        <f aca="false">Cost1</f>
        <v>18</v>
      </c>
      <c r="J190" s="1" t="n">
        <f aca="false">LN(EXP(UTIL1)+EXP(UTIL2))</f>
        <v>-0.999999958600624</v>
      </c>
      <c r="K190" s="1" t="n">
        <f aca="false">PROB1*UTIL1+PROB2*UTIL2</f>
        <v>-1.00000070378938</v>
      </c>
    </row>
    <row r="191" customFormat="false" ht="13" hidden="false" customHeight="false" outlineLevel="0" collapsed="false">
      <c r="A191" s="1" t="n">
        <f aca="false">A190+0.1</f>
        <v>18.1</v>
      </c>
      <c r="B191" s="1" t="n">
        <v>1</v>
      </c>
      <c r="C191" s="1" t="n">
        <f aca="false">Alpha+Beta*Cost1</f>
        <v>-18.1</v>
      </c>
      <c r="D191" s="1" t="n">
        <f aca="false">Alpha+Beta*Cost2</f>
        <v>-1</v>
      </c>
      <c r="E191" s="1" t="n">
        <f aca="false">EXP(C$10:C$1048576)</f>
        <v>1.37806555489459E-008</v>
      </c>
      <c r="F191" s="1" t="n">
        <f aca="false">EXP(D$10:D$1048576)</f>
        <v>0.367879441171442</v>
      </c>
      <c r="G191" s="1" t="n">
        <f aca="false">EXP(UTIL1)/(EXP(UTIL1)+EXP(UTIL2))</f>
        <v>3.74597041597235E-008</v>
      </c>
      <c r="H191" s="1" t="n">
        <f aca="false">EXP(UTIL2)/(EXP(UTIL1)+EXP(UTIL2))</f>
        <v>0.999999962540296</v>
      </c>
      <c r="I191" s="1" t="n">
        <f aca="false">Cost1</f>
        <v>18.1</v>
      </c>
      <c r="J191" s="1" t="n">
        <f aca="false">LN(EXP(UTIL1)+EXP(UTIL2))</f>
        <v>-0.999999962540295</v>
      </c>
      <c r="K191" s="1" t="n">
        <f aca="false">PROB1*UTIL1+PROB2*UTIL2</f>
        <v>-1.00000064056094</v>
      </c>
    </row>
    <row r="192" customFormat="false" ht="13" hidden="false" customHeight="false" outlineLevel="0" collapsed="false">
      <c r="A192" s="1" t="n">
        <f aca="false">A191+0.1</f>
        <v>18.2</v>
      </c>
      <c r="B192" s="1" t="n">
        <v>1</v>
      </c>
      <c r="C192" s="1" t="n">
        <f aca="false">Alpha+Beta*Cost1</f>
        <v>-18.2</v>
      </c>
      <c r="D192" s="1" t="n">
        <f aca="false">Alpha+Beta*Cost2</f>
        <v>-1</v>
      </c>
      <c r="E192" s="1" t="n">
        <f aca="false">EXP(C$10:C$1048576)</f>
        <v>1.24692527857511E-008</v>
      </c>
      <c r="F192" s="1" t="n">
        <f aca="false">EXP(D$10:D$1048576)</f>
        <v>0.367879441171442</v>
      </c>
      <c r="G192" s="1" t="n">
        <f aca="false">EXP(UTIL1)/(EXP(UTIL1)+EXP(UTIL2))</f>
        <v>3.38949421131025E-008</v>
      </c>
      <c r="H192" s="1" t="n">
        <f aca="false">EXP(UTIL2)/(EXP(UTIL1)+EXP(UTIL2))</f>
        <v>0.999999966105058</v>
      </c>
      <c r="I192" s="1" t="n">
        <f aca="false">Cost1</f>
        <v>18.2</v>
      </c>
      <c r="J192" s="1" t="n">
        <f aca="false">LN(EXP(UTIL1)+EXP(UTIL2))</f>
        <v>-0.999999966105057</v>
      </c>
      <c r="K192" s="1" t="n">
        <f aca="false">PROB1*UTIL1+PROB2*UTIL2</f>
        <v>-1.000000582993</v>
      </c>
    </row>
    <row r="193" customFormat="false" ht="13" hidden="false" customHeight="false" outlineLevel="0" collapsed="false">
      <c r="A193" s="1" t="n">
        <f aca="false">A192+0.1</f>
        <v>18.3</v>
      </c>
      <c r="B193" s="1" t="n">
        <v>1</v>
      </c>
      <c r="C193" s="1" t="n">
        <f aca="false">Alpha+Beta*Cost1</f>
        <v>-18.3</v>
      </c>
      <c r="D193" s="1" t="n">
        <f aca="false">Alpha+Beta*Cost2</f>
        <v>-1</v>
      </c>
      <c r="E193" s="1" t="n">
        <f aca="false">EXP(C$10:C$1048576)</f>
        <v>1.12826464954967E-008</v>
      </c>
      <c r="F193" s="1" t="n">
        <f aca="false">EXP(D$10:D$1048576)</f>
        <v>0.367879441171442</v>
      </c>
      <c r="G193" s="1" t="n">
        <f aca="false">EXP(UTIL1)/(EXP(UTIL1)+EXP(UTIL2))</f>
        <v>3.0669412005023E-008</v>
      </c>
      <c r="H193" s="1" t="n">
        <f aca="false">EXP(UTIL2)/(EXP(UTIL1)+EXP(UTIL2))</f>
        <v>0.999999969330588</v>
      </c>
      <c r="I193" s="1" t="n">
        <f aca="false">Cost1</f>
        <v>18.3</v>
      </c>
      <c r="J193" s="1" t="n">
        <f aca="false">LN(EXP(UTIL1)+EXP(UTIL2))</f>
        <v>-0.999999969330588</v>
      </c>
      <c r="K193" s="1" t="n">
        <f aca="false">PROB1*UTIL1+PROB2*UTIL2</f>
        <v>-1.00000053058083</v>
      </c>
    </row>
    <row r="194" customFormat="false" ht="13" hidden="false" customHeight="false" outlineLevel="0" collapsed="false">
      <c r="A194" s="1" t="n">
        <f aca="false">A193+0.1</f>
        <v>18.4</v>
      </c>
      <c r="B194" s="1" t="n">
        <v>1</v>
      </c>
      <c r="C194" s="1" t="n">
        <f aca="false">Alpha+Beta*Cost1</f>
        <v>-18.4</v>
      </c>
      <c r="D194" s="1" t="n">
        <f aca="false">Alpha+Beta*Cost2</f>
        <v>-1</v>
      </c>
      <c r="E194" s="1" t="n">
        <f aca="false">EXP(C$10:C$1048576)</f>
        <v>1.02089607235977E-008</v>
      </c>
      <c r="F194" s="1" t="n">
        <f aca="false">EXP(D$10:D$1048576)</f>
        <v>0.367879441171442</v>
      </c>
      <c r="G194" s="1" t="n">
        <f aca="false">EXP(UTIL1)/(EXP(UTIL1)+EXP(UTIL2))</f>
        <v>2.77508316522991E-008</v>
      </c>
      <c r="H194" s="1" t="n">
        <f aca="false">EXP(UTIL2)/(EXP(UTIL1)+EXP(UTIL2))</f>
        <v>0.999999972249168</v>
      </c>
      <c r="I194" s="1" t="n">
        <f aca="false">Cost1</f>
        <v>18.4</v>
      </c>
      <c r="J194" s="1" t="n">
        <f aca="false">LN(EXP(UTIL1)+EXP(UTIL2))</f>
        <v>-0.999999972249168</v>
      </c>
      <c r="K194" s="1" t="n">
        <f aca="false">PROB1*UTIL1+PROB2*UTIL2</f>
        <v>-1.00000048286447</v>
      </c>
    </row>
    <row r="195" customFormat="false" ht="13" hidden="false" customHeight="false" outlineLevel="0" collapsed="false">
      <c r="A195" s="1" t="n">
        <f aca="false">A194+0.1</f>
        <v>18.5</v>
      </c>
      <c r="B195" s="1" t="n">
        <v>1</v>
      </c>
      <c r="C195" s="1" t="n">
        <f aca="false">Alpha+Beta*Cost1</f>
        <v>-18.5</v>
      </c>
      <c r="D195" s="1" t="n">
        <f aca="false">Alpha+Beta*Cost2</f>
        <v>-1</v>
      </c>
      <c r="E195" s="1" t="n">
        <f aca="false">EXP(C$10:C$1048576)</f>
        <v>9.23744966197066E-009</v>
      </c>
      <c r="F195" s="1" t="n">
        <f aca="false">EXP(D$10:D$1048576)</f>
        <v>0.367879441171442</v>
      </c>
      <c r="G195" s="1" t="n">
        <f aca="false">EXP(UTIL1)/(EXP(UTIL1)+EXP(UTIL2))</f>
        <v>2.51099909269283E-008</v>
      </c>
      <c r="H195" s="1" t="n">
        <f aca="false">EXP(UTIL2)/(EXP(UTIL1)+EXP(UTIL2))</f>
        <v>0.999999974890009</v>
      </c>
      <c r="I195" s="1" t="n">
        <f aca="false">Cost1</f>
        <v>18.5</v>
      </c>
      <c r="J195" s="1" t="n">
        <f aca="false">LN(EXP(UTIL1)+EXP(UTIL2))</f>
        <v>-0.999999974890009</v>
      </c>
      <c r="K195" s="1" t="n">
        <f aca="false">PROB1*UTIL1+PROB2*UTIL2</f>
        <v>-1.00000043942484</v>
      </c>
    </row>
    <row r="196" customFormat="false" ht="13" hidden="false" customHeight="false" outlineLevel="0" collapsed="false">
      <c r="A196" s="1" t="n">
        <f aca="false">A195+0.1</f>
        <v>18.6</v>
      </c>
      <c r="B196" s="1" t="n">
        <v>1</v>
      </c>
      <c r="C196" s="1" t="n">
        <f aca="false">Alpha+Beta*Cost1</f>
        <v>-18.6</v>
      </c>
      <c r="D196" s="1" t="n">
        <f aca="false">Alpha+Beta*Cost2</f>
        <v>-1</v>
      </c>
      <c r="E196" s="1" t="n">
        <f aca="false">EXP(C$10:C$1048576)</f>
        <v>8.35839010137467E-009</v>
      </c>
      <c r="F196" s="1" t="n">
        <f aca="false">EXP(D$10:D$1048576)</f>
        <v>0.367879441171442</v>
      </c>
      <c r="G196" s="1" t="n">
        <f aca="false">EXP(UTIL1)/(EXP(UTIL1)+EXP(UTIL2))</f>
        <v>2.27204594115194E-008</v>
      </c>
      <c r="H196" s="1" t="n">
        <f aca="false">EXP(UTIL2)/(EXP(UTIL1)+EXP(UTIL2))</f>
        <v>0.999999977279541</v>
      </c>
      <c r="I196" s="1" t="n">
        <f aca="false">Cost1</f>
        <v>18.6</v>
      </c>
      <c r="J196" s="1" t="n">
        <f aca="false">LN(EXP(UTIL1)+EXP(UTIL2))</f>
        <v>-0.99999997727954</v>
      </c>
      <c r="K196" s="1" t="n">
        <f aca="false">PROB1*UTIL1+PROB2*UTIL2</f>
        <v>-1.00000039988009</v>
      </c>
    </row>
    <row r="197" customFormat="false" ht="13" hidden="false" customHeight="false" outlineLevel="0" collapsed="false">
      <c r="A197" s="1" t="n">
        <f aca="false">A196+0.1</f>
        <v>18.7</v>
      </c>
      <c r="B197" s="1" t="n">
        <v>1</v>
      </c>
      <c r="C197" s="1" t="n">
        <f aca="false">Alpha+Beta*Cost1</f>
        <v>-18.7</v>
      </c>
      <c r="D197" s="1" t="n">
        <f aca="false">Alpha+Beta*Cost2</f>
        <v>-1</v>
      </c>
      <c r="E197" s="1" t="n">
        <f aca="false">EXP(C$10:C$1048576)</f>
        <v>7.56298411826517E-009</v>
      </c>
      <c r="F197" s="1" t="n">
        <f aca="false">EXP(D$10:D$1048576)</f>
        <v>0.367879441171442</v>
      </c>
      <c r="G197" s="1" t="n">
        <f aca="false">EXP(UTIL1)/(EXP(UTIL1)+EXP(UTIL2))</f>
        <v>2.055832187496E-008</v>
      </c>
      <c r="H197" s="1" t="n">
        <f aca="false">EXP(UTIL2)/(EXP(UTIL1)+EXP(UTIL2))</f>
        <v>0.999999979441678</v>
      </c>
      <c r="I197" s="1" t="n">
        <f aca="false">Cost1</f>
        <v>18.7</v>
      </c>
      <c r="J197" s="1" t="n">
        <f aca="false">LN(EXP(UTIL1)+EXP(UTIL2))</f>
        <v>-0.999999979441678</v>
      </c>
      <c r="K197" s="1" t="n">
        <f aca="false">PROB1*UTIL1+PROB2*UTIL2</f>
        <v>-1.0000003638823</v>
      </c>
    </row>
    <row r="198" customFormat="false" ht="13" hidden="false" customHeight="false" outlineLevel="0" collapsed="false">
      <c r="A198" s="1" t="n">
        <f aca="false">A197+0.1</f>
        <v>18.8</v>
      </c>
      <c r="B198" s="1" t="n">
        <v>1</v>
      </c>
      <c r="C198" s="1" t="n">
        <f aca="false">Alpha+Beta*Cost1</f>
        <v>-18.8</v>
      </c>
      <c r="D198" s="1" t="n">
        <f aca="false">Alpha+Beta*Cost2</f>
        <v>-1</v>
      </c>
      <c r="E198" s="1" t="n">
        <f aca="false">EXP(C$10:C$1048576)</f>
        <v>6.84327102221801E-009</v>
      </c>
      <c r="F198" s="1" t="n">
        <f aca="false">EXP(D$10:D$1048576)</f>
        <v>0.367879441171442</v>
      </c>
      <c r="G198" s="1" t="n">
        <f aca="false">EXP(UTIL1)/(EXP(UTIL1)+EXP(UTIL2))</f>
        <v>1.86019389208834E-008</v>
      </c>
      <c r="H198" s="1" t="n">
        <f aca="false">EXP(UTIL2)/(EXP(UTIL1)+EXP(UTIL2))</f>
        <v>0.999999981398061</v>
      </c>
      <c r="I198" s="1" t="n">
        <f aca="false">Cost1</f>
        <v>18.8</v>
      </c>
      <c r="J198" s="1" t="n">
        <f aca="false">LN(EXP(UTIL1)+EXP(UTIL2))</f>
        <v>-0.999999981398061</v>
      </c>
      <c r="K198" s="1" t="n">
        <f aca="false">PROB1*UTIL1+PROB2*UTIL2</f>
        <v>-1.00000033111451</v>
      </c>
    </row>
    <row r="199" customFormat="false" ht="13" hidden="false" customHeight="false" outlineLevel="0" collapsed="false">
      <c r="A199" s="1" t="n">
        <f aca="false">A198+0.1</f>
        <v>18.9</v>
      </c>
      <c r="B199" s="1" t="n">
        <v>1</v>
      </c>
      <c r="C199" s="1" t="n">
        <f aca="false">Alpha+Beta*Cost1</f>
        <v>-18.9</v>
      </c>
      <c r="D199" s="1" t="n">
        <f aca="false">Alpha+Beta*Cost2</f>
        <v>-1</v>
      </c>
      <c r="E199" s="1" t="n">
        <f aca="false">EXP(C$10:C$1048576)</f>
        <v>6.19204768266404E-009</v>
      </c>
      <c r="F199" s="1" t="n">
        <f aca="false">EXP(D$10:D$1048576)</f>
        <v>0.367879441171442</v>
      </c>
      <c r="G199" s="1" t="n">
        <f aca="false">EXP(UTIL1)/(EXP(UTIL1)+EXP(UTIL2))</f>
        <v>1.68317304134304E-008</v>
      </c>
      <c r="H199" s="1" t="n">
        <f aca="false">EXP(UTIL2)/(EXP(UTIL1)+EXP(UTIL2))</f>
        <v>0.99999998316827</v>
      </c>
      <c r="I199" s="1" t="n">
        <f aca="false">Cost1</f>
        <v>18.9</v>
      </c>
      <c r="J199" s="1" t="n">
        <f aca="false">LN(EXP(UTIL1)+EXP(UTIL2))</f>
        <v>-0.999999983168269</v>
      </c>
      <c r="K199" s="1" t="n">
        <f aca="false">PROB1*UTIL1+PROB2*UTIL2</f>
        <v>-1.00000030128797</v>
      </c>
    </row>
    <row r="200" customFormat="false" ht="13" hidden="false" customHeight="false" outlineLevel="0" collapsed="false">
      <c r="A200" s="1" t="n">
        <f aca="false">A199+0.1</f>
        <v>19</v>
      </c>
      <c r="B200" s="1" t="n">
        <v>1</v>
      </c>
      <c r="C200" s="1" t="n">
        <f aca="false">Alpha+Beta*Cost1</f>
        <v>-19</v>
      </c>
      <c r="D200" s="1" t="n">
        <f aca="false">Alpha+Beta*Cost2</f>
        <v>-1</v>
      </c>
      <c r="E200" s="1" t="n">
        <f aca="false">EXP(C$10:C$1048576)</f>
        <v>5.60279643753727E-009</v>
      </c>
      <c r="F200" s="1" t="n">
        <f aca="false">EXP(D$10:D$1048576)</f>
        <v>0.367879441171442</v>
      </c>
      <c r="G200" s="1" t="n">
        <f aca="false">EXP(UTIL1)/(EXP(UTIL1)+EXP(UTIL2))</f>
        <v>1.52299795127604E-008</v>
      </c>
      <c r="H200" s="1" t="n">
        <f aca="false">EXP(UTIL2)/(EXP(UTIL1)+EXP(UTIL2))</f>
        <v>0.999999984770021</v>
      </c>
      <c r="I200" s="1" t="n">
        <f aca="false">Cost1</f>
        <v>19</v>
      </c>
      <c r="J200" s="1" t="n">
        <f aca="false">LN(EXP(UTIL1)+EXP(UTIL2))</f>
        <v>-0.99999998477002</v>
      </c>
      <c r="K200" s="1" t="n">
        <f aca="false">PROB1*UTIL1+PROB2*UTIL2</f>
        <v>-1.00000027413963</v>
      </c>
    </row>
    <row r="201" customFormat="false" ht="13" hidden="false" customHeight="false" outlineLevel="0" collapsed="false">
      <c r="A201" s="1" t="n">
        <f aca="false">A200+0.1</f>
        <v>19.1</v>
      </c>
      <c r="B201" s="1" t="n">
        <v>1</v>
      </c>
      <c r="C201" s="1" t="n">
        <f aca="false">Alpha+Beta*Cost1</f>
        <v>-19.1</v>
      </c>
      <c r="D201" s="1" t="n">
        <f aca="false">Alpha+Beta*Cost2</f>
        <v>-1</v>
      </c>
      <c r="E201" s="1" t="n">
        <f aca="false">EXP(C$10:C$1048576)</f>
        <v>5.06961986232229E-009</v>
      </c>
      <c r="F201" s="1" t="n">
        <f aca="false">EXP(D$10:D$1048576)</f>
        <v>0.367879441171442</v>
      </c>
      <c r="G201" s="1" t="n">
        <f aca="false">EXP(UTIL1)/(EXP(UTIL1)+EXP(UTIL2))</f>
        <v>1.37806553590393E-008</v>
      </c>
      <c r="H201" s="1" t="n">
        <f aca="false">EXP(UTIL2)/(EXP(UTIL1)+EXP(UTIL2))</f>
        <v>0.999999986219345</v>
      </c>
      <c r="I201" s="1" t="n">
        <f aca="false">Cost1</f>
        <v>19.1</v>
      </c>
      <c r="J201" s="1" t="n">
        <f aca="false">LN(EXP(UTIL1)+EXP(UTIL2))</f>
        <v>-0.999999986219345</v>
      </c>
      <c r="K201" s="1" t="n">
        <f aca="false">PROB1*UTIL1+PROB2*UTIL2</f>
        <v>-1.00000024942986</v>
      </c>
    </row>
    <row r="202" customFormat="false" ht="13" hidden="false" customHeight="false" outlineLevel="0" collapsed="false">
      <c r="A202" s="1" t="n">
        <f aca="false">A201+0.1</f>
        <v>19.2</v>
      </c>
      <c r="B202" s="1" t="n">
        <v>1</v>
      </c>
      <c r="C202" s="1" t="n">
        <f aca="false">Alpha+Beta*Cost1</f>
        <v>-19.2</v>
      </c>
      <c r="D202" s="1" t="n">
        <f aca="false">Alpha+Beta*Cost2</f>
        <v>-1</v>
      </c>
      <c r="E202" s="1" t="n">
        <f aca="false">EXP(C$10:C$1048576)</f>
        <v>4.58718174664751E-009</v>
      </c>
      <c r="F202" s="1" t="n">
        <f aca="false">EXP(D$10:D$1048576)</f>
        <v>0.367879441171442</v>
      </c>
      <c r="G202" s="1" t="n">
        <f aca="false">EXP(UTIL1)/(EXP(UTIL1)+EXP(UTIL2))</f>
        <v>1.24692526302687E-008</v>
      </c>
      <c r="H202" s="1" t="n">
        <f aca="false">EXP(UTIL2)/(EXP(UTIL1)+EXP(UTIL2))</f>
        <v>0.999999987530747</v>
      </c>
      <c r="I202" s="1" t="n">
        <f aca="false">Cost1</f>
        <v>19.2</v>
      </c>
      <c r="J202" s="1" t="n">
        <f aca="false">LN(EXP(UTIL1)+EXP(UTIL2))</f>
        <v>-0.999999987530747</v>
      </c>
      <c r="K202" s="1" t="n">
        <f aca="false">PROB1*UTIL1+PROB2*UTIL2</f>
        <v>-1.0000002269404</v>
      </c>
    </row>
    <row r="203" customFormat="false" ht="13" hidden="false" customHeight="false" outlineLevel="0" collapsed="false">
      <c r="A203" s="1" t="n">
        <f aca="false">A202+0.1</f>
        <v>19.3</v>
      </c>
      <c r="B203" s="1" t="n">
        <v>1</v>
      </c>
      <c r="C203" s="1" t="n">
        <f aca="false">Alpha+Beta*Cost1</f>
        <v>-19.3</v>
      </c>
      <c r="D203" s="1" t="n">
        <f aca="false">Alpha+Beta*Cost2</f>
        <v>-1</v>
      </c>
      <c r="E203" s="1" t="n">
        <f aca="false">EXP(C$10:C$1048576)</f>
        <v>4.15065368769821E-009</v>
      </c>
      <c r="F203" s="1" t="n">
        <f aca="false">EXP(D$10:D$1048576)</f>
        <v>0.367879441171442</v>
      </c>
      <c r="G203" s="1" t="n">
        <f aca="false">EXP(UTIL1)/(EXP(UTIL1)+EXP(UTIL2))</f>
        <v>1.12826463681985E-008</v>
      </c>
      <c r="H203" s="1" t="n">
        <f aca="false">EXP(UTIL2)/(EXP(UTIL1)+EXP(UTIL2))</f>
        <v>0.999999988717354</v>
      </c>
      <c r="I203" s="1" t="n">
        <f aca="false">Cost1</f>
        <v>19.3</v>
      </c>
      <c r="J203" s="1" t="n">
        <f aca="false">LN(EXP(UTIL1)+EXP(UTIL2))</f>
        <v>-0.999999988717354</v>
      </c>
      <c r="K203" s="1" t="n">
        <f aca="false">PROB1*UTIL1+PROB2*UTIL2</f>
        <v>-1.00000020647243</v>
      </c>
    </row>
    <row r="204" customFormat="false" ht="13" hidden="false" customHeight="false" outlineLevel="0" collapsed="false">
      <c r="A204" s="1" t="n">
        <f aca="false">A203+0.1</f>
        <v>19.4</v>
      </c>
      <c r="B204" s="1" t="n">
        <v>1</v>
      </c>
      <c r="C204" s="1" t="n">
        <f aca="false">Alpha+Beta*Cost1</f>
        <v>-19.4</v>
      </c>
      <c r="D204" s="1" t="n">
        <f aca="false">Alpha+Beta*Cost2</f>
        <v>-1</v>
      </c>
      <c r="E204" s="1" t="n">
        <f aca="false">EXP(C$10:C$1048576)</f>
        <v>3.75566676593828E-009</v>
      </c>
      <c r="F204" s="1" t="n">
        <f aca="false">EXP(D$10:D$1048576)</f>
        <v>0.367879441171442</v>
      </c>
      <c r="G204" s="1" t="n">
        <f aca="false">EXP(UTIL1)/(EXP(UTIL1)+EXP(UTIL2))</f>
        <v>1.02089606193747E-008</v>
      </c>
      <c r="H204" s="1" t="n">
        <f aca="false">EXP(UTIL2)/(EXP(UTIL1)+EXP(UTIL2))</f>
        <v>0.999999989791039</v>
      </c>
      <c r="I204" s="1" t="n">
        <f aca="false">Cost1</f>
        <v>19.4</v>
      </c>
      <c r="J204" s="1" t="n">
        <f aca="false">LN(EXP(UTIL1)+EXP(UTIL2))</f>
        <v>-0.999999989791039</v>
      </c>
      <c r="K204" s="1" t="n">
        <f aca="false">PROB1*UTIL1+PROB2*UTIL2</f>
        <v>-1.00000018784488</v>
      </c>
    </row>
    <row r="205" customFormat="false" ht="13" hidden="false" customHeight="false" outlineLevel="0" collapsed="false">
      <c r="A205" s="1" t="n">
        <f aca="false">A204+0.1</f>
        <v>19.5</v>
      </c>
      <c r="B205" s="1" t="n">
        <v>1</v>
      </c>
      <c r="C205" s="1" t="n">
        <f aca="false">Alpha+Beta*Cost1</f>
        <v>-19.5</v>
      </c>
      <c r="D205" s="1" t="n">
        <f aca="false">Alpha+Beta*Cost2</f>
        <v>-1</v>
      </c>
      <c r="E205" s="1" t="n">
        <f aca="false">EXP(C$10:C$1048576)</f>
        <v>3.39826781949505E-009</v>
      </c>
      <c r="F205" s="1" t="n">
        <f aca="false">EXP(D$10:D$1048576)</f>
        <v>0.367879441171442</v>
      </c>
      <c r="G205" s="1" t="n">
        <f aca="false">EXP(UTIL1)/(EXP(UTIL1)+EXP(UTIL2))</f>
        <v>9.23744957664005E-009</v>
      </c>
      <c r="H205" s="1" t="n">
        <f aca="false">EXP(UTIL2)/(EXP(UTIL1)+EXP(UTIL2))</f>
        <v>0.99999999076255</v>
      </c>
      <c r="I205" s="1" t="n">
        <f aca="false">Cost1</f>
        <v>19.5</v>
      </c>
      <c r="J205" s="1" t="n">
        <f aca="false">LN(EXP(UTIL1)+EXP(UTIL2))</f>
        <v>-0.99999999076255</v>
      </c>
      <c r="K205" s="1" t="n">
        <f aca="false">PROB1*UTIL1+PROB2*UTIL2</f>
        <v>-1.00000017089282</v>
      </c>
    </row>
    <row r="206" customFormat="false" ht="13" hidden="false" customHeight="false" outlineLevel="0" collapsed="false">
      <c r="A206" s="1" t="n">
        <f aca="false">A205+0.1</f>
        <v>19.6</v>
      </c>
      <c r="B206" s="1" t="n">
        <v>1</v>
      </c>
      <c r="C206" s="1" t="n">
        <f aca="false">Alpha+Beta*Cost1</f>
        <v>-19.6</v>
      </c>
      <c r="D206" s="1" t="n">
        <f aca="false">Alpha+Beta*Cost2</f>
        <v>-1</v>
      </c>
      <c r="E206" s="1" t="n">
        <f aca="false">EXP(C$10:C$1048576)</f>
        <v>3.07487987958658E-009</v>
      </c>
      <c r="F206" s="1" t="n">
        <f aca="false">EXP(D$10:D$1048576)</f>
        <v>0.367879441171442</v>
      </c>
      <c r="G206" s="1" t="n">
        <f aca="false">EXP(UTIL1)/(EXP(UTIL1)+EXP(UTIL2))</f>
        <v>8.35839003151186E-009</v>
      </c>
      <c r="H206" s="1" t="n">
        <f aca="false">EXP(UTIL2)/(EXP(UTIL1)+EXP(UTIL2))</f>
        <v>0.99999999164161</v>
      </c>
      <c r="I206" s="1" t="n">
        <f aca="false">Cost1</f>
        <v>19.6</v>
      </c>
      <c r="J206" s="1" t="n">
        <f aca="false">LN(EXP(UTIL1)+EXP(UTIL2))</f>
        <v>-0.99999999164161</v>
      </c>
      <c r="K206" s="1" t="n">
        <f aca="false">PROB1*UTIL1+PROB2*UTIL2</f>
        <v>-1.00000015546605</v>
      </c>
    </row>
    <row r="207" customFormat="false" ht="13" hidden="false" customHeight="false" outlineLevel="0" collapsed="false">
      <c r="A207" s="1" t="n">
        <f aca="false">A206+0.1</f>
        <v>19.7</v>
      </c>
      <c r="B207" s="1" t="n">
        <v>1</v>
      </c>
      <c r="C207" s="1" t="n">
        <f aca="false">Alpha+Beta*Cost1</f>
        <v>-19.7</v>
      </c>
      <c r="D207" s="1" t="n">
        <f aca="false">Alpha+Beta*Cost2</f>
        <v>-1</v>
      </c>
      <c r="E207" s="1" t="n">
        <f aca="false">EXP(C$10:C$1048576)</f>
        <v>2.78226637101584E-009</v>
      </c>
      <c r="F207" s="1" t="n">
        <f aca="false">EXP(D$10:D$1048576)</f>
        <v>0.367879441171442</v>
      </c>
      <c r="G207" s="1" t="n">
        <f aca="false">EXP(UTIL1)/(EXP(UTIL1)+EXP(UTIL2))</f>
        <v>7.56298406106633E-009</v>
      </c>
      <c r="H207" s="1" t="n">
        <f aca="false">EXP(UTIL2)/(EXP(UTIL1)+EXP(UTIL2))</f>
        <v>0.999999992437016</v>
      </c>
      <c r="I207" s="1" t="n">
        <f aca="false">Cost1</f>
        <v>19.7</v>
      </c>
      <c r="J207" s="1" t="n">
        <f aca="false">LN(EXP(UTIL1)+EXP(UTIL2))</f>
        <v>-0.999999992437016</v>
      </c>
      <c r="K207" s="1" t="n">
        <f aca="false">PROB1*UTIL1+PROB2*UTIL2</f>
        <v>-1.0000001414278</v>
      </c>
    </row>
    <row r="208" customFormat="false" ht="13" hidden="false" customHeight="false" outlineLevel="0" collapsed="false">
      <c r="A208" s="1" t="n">
        <f aca="false">A207+0.1</f>
        <v>19.8</v>
      </c>
      <c r="B208" s="1" t="n">
        <v>1</v>
      </c>
      <c r="C208" s="1" t="n">
        <f aca="false">Alpha+Beta*Cost1</f>
        <v>-19.8</v>
      </c>
      <c r="D208" s="1" t="n">
        <f aca="false">Alpha+Beta*Cost2</f>
        <v>-1</v>
      </c>
      <c r="E208" s="1" t="n">
        <f aca="false">EXP(C$10:C$1048576)</f>
        <v>2.51749871943825E-009</v>
      </c>
      <c r="F208" s="1" t="n">
        <f aca="false">EXP(D$10:D$1048576)</f>
        <v>0.367879441171442</v>
      </c>
      <c r="G208" s="1" t="n">
        <f aca="false">EXP(UTIL1)/(EXP(UTIL1)+EXP(UTIL2))</f>
        <v>6.84327097538756E-009</v>
      </c>
      <c r="H208" s="1" t="n">
        <f aca="false">EXP(UTIL2)/(EXP(UTIL1)+EXP(UTIL2))</f>
        <v>0.999999993156729</v>
      </c>
      <c r="I208" s="1" t="n">
        <f aca="false">Cost1</f>
        <v>19.8</v>
      </c>
      <c r="J208" s="1" t="n">
        <f aca="false">LN(EXP(UTIL1)+EXP(UTIL2))</f>
        <v>-0.999999993156729</v>
      </c>
      <c r="K208" s="1" t="n">
        <f aca="false">PROB1*UTIL1+PROB2*UTIL2</f>
        <v>-1.00000012865349</v>
      </c>
    </row>
    <row r="209" customFormat="false" ht="13" hidden="false" customHeight="false" outlineLevel="0" collapsed="false">
      <c r="A209" s="1" t="n">
        <f aca="false">A208+0.1</f>
        <v>19.9</v>
      </c>
      <c r="B209" s="1" t="n">
        <v>1</v>
      </c>
      <c r="C209" s="1" t="n">
        <f aca="false">Alpha+Beta*Cost1</f>
        <v>-19.9</v>
      </c>
      <c r="D209" s="1" t="n">
        <f aca="false">Alpha+Beta*Cost2</f>
        <v>-1</v>
      </c>
      <c r="E209" s="1" t="n">
        <f aca="false">EXP(C$10:C$1048576)</f>
        <v>2.27792704120534E-009</v>
      </c>
      <c r="F209" s="1" t="n">
        <f aca="false">EXP(D$10:D$1048576)</f>
        <v>0.367879441171442</v>
      </c>
      <c r="G209" s="1" t="n">
        <f aca="false">EXP(UTIL1)/(EXP(UTIL1)+EXP(UTIL2))</f>
        <v>6.1920476443225E-009</v>
      </c>
      <c r="H209" s="1" t="n">
        <f aca="false">EXP(UTIL2)/(EXP(UTIL1)+EXP(UTIL2))</f>
        <v>0.999999993807953</v>
      </c>
      <c r="I209" s="1" t="n">
        <f aca="false">Cost1</f>
        <v>19.9</v>
      </c>
      <c r="J209" s="1" t="n">
        <f aca="false">LN(EXP(UTIL1)+EXP(UTIL2))</f>
        <v>-0.999999993807952</v>
      </c>
      <c r="K209" s="1" t="n">
        <f aca="false">PROB1*UTIL1+PROB2*UTIL2</f>
        <v>-1.0000001170297</v>
      </c>
    </row>
    <row r="210" customFormat="false" ht="13" hidden="false" customHeight="false" outlineLevel="0" collapsed="false">
      <c r="A210" s="1" t="n">
        <f aca="false">A209+0.1</f>
        <v>20</v>
      </c>
      <c r="B210" s="1" t="n">
        <v>1</v>
      </c>
      <c r="C210" s="1" t="n">
        <f aca="false">Alpha+Beta*Cost1</f>
        <v>-20</v>
      </c>
      <c r="D210" s="1" t="n">
        <f aca="false">Alpha+Beta*Cost2</f>
        <v>-1</v>
      </c>
      <c r="E210" s="1" t="n">
        <f aca="false">EXP(C$10:C$1048576)</f>
        <v>2.06115362243853E-009</v>
      </c>
      <c r="F210" s="1" t="n">
        <f aca="false">EXP(D$10:D$1048576)</f>
        <v>0.367879441171442</v>
      </c>
      <c r="G210" s="1" t="n">
        <f aca="false">EXP(UTIL1)/(EXP(UTIL1)+EXP(UTIL2))</f>
        <v>5.60279640614586E-009</v>
      </c>
      <c r="H210" s="1" t="n">
        <f aca="false">EXP(UTIL2)/(EXP(UTIL1)+EXP(UTIL2))</f>
        <v>0.999999994397204</v>
      </c>
      <c r="I210" s="1" t="n">
        <f aca="false">Cost1</f>
        <v>20</v>
      </c>
      <c r="J210" s="1" t="n">
        <f aca="false">LN(EXP(UTIL1)+EXP(UTIL2))</f>
        <v>-0.999999994397204</v>
      </c>
      <c r="K210" s="1" t="n">
        <f aca="false">PROB1*UTIL1+PROB2*UTIL2</f>
        <v>-1.00000010645313</v>
      </c>
    </row>
    <row r="211" customFormat="false" ht="13" hidden="false" customHeight="false" outlineLevel="0" collapsed="false">
      <c r="A211" s="1" t="n">
        <f aca="false">A210+0.1</f>
        <v>20.1</v>
      </c>
      <c r="B211" s="1" t="n">
        <v>1</v>
      </c>
      <c r="C211" s="1" t="n">
        <f aca="false">Alpha+Beta*Cost1</f>
        <v>-20.1</v>
      </c>
      <c r="D211" s="1" t="n">
        <f aca="false">Alpha+Beta*Cost2</f>
        <v>-1</v>
      </c>
      <c r="E211" s="1" t="n">
        <f aca="false">EXP(C$10:C$1048576)</f>
        <v>1.86500892190274E-009</v>
      </c>
      <c r="F211" s="1" t="n">
        <f aca="false">EXP(D$10:D$1048576)</f>
        <v>0.367879441171442</v>
      </c>
      <c r="G211" s="1" t="n">
        <f aca="false">EXP(UTIL1)/(EXP(UTIL1)+EXP(UTIL2))</f>
        <v>5.06961983662117E-009</v>
      </c>
      <c r="H211" s="1" t="n">
        <f aca="false">EXP(UTIL2)/(EXP(UTIL1)+EXP(UTIL2))</f>
        <v>0.99999999493038</v>
      </c>
      <c r="I211" s="1" t="n">
        <f aca="false">Cost1</f>
        <v>20.1</v>
      </c>
      <c r="J211" s="1" t="n">
        <f aca="false">LN(EXP(UTIL1)+EXP(UTIL2))</f>
        <v>-0.99999999493038</v>
      </c>
      <c r="K211" s="1" t="n">
        <f aca="false">PROB1*UTIL1+PROB2*UTIL2</f>
        <v>-1.00000009682974</v>
      </c>
    </row>
    <row r="212" customFormat="false" ht="13" hidden="false" customHeight="false" outlineLevel="0" collapsed="false">
      <c r="A212" s="1" t="n">
        <f aca="false">A211+0.1</f>
        <v>20.2</v>
      </c>
      <c r="B212" s="1" t="n">
        <v>1</v>
      </c>
      <c r="C212" s="1" t="n">
        <f aca="false">Alpha+Beta*Cost1</f>
        <v>-20.2</v>
      </c>
      <c r="D212" s="1" t="n">
        <f aca="false">Alpha+Beta*Cost2</f>
        <v>-1</v>
      </c>
      <c r="E212" s="1" t="n">
        <f aca="false">EXP(C$10:C$1048576)</f>
        <v>1.6875298575085E-009</v>
      </c>
      <c r="F212" s="1" t="n">
        <f aca="false">EXP(D$10:D$1048576)</f>
        <v>0.367879441171442</v>
      </c>
      <c r="G212" s="1" t="n">
        <f aca="false">EXP(UTIL1)/(EXP(UTIL1)+EXP(UTIL2))</f>
        <v>4.58718172560521E-009</v>
      </c>
      <c r="H212" s="1" t="n">
        <f aca="false">EXP(UTIL2)/(EXP(UTIL1)+EXP(UTIL2))</f>
        <v>0.999999995412818</v>
      </c>
      <c r="I212" s="1" t="n">
        <f aca="false">Cost1</f>
        <v>20.2</v>
      </c>
      <c r="J212" s="1" t="n">
        <f aca="false">LN(EXP(UTIL1)+EXP(UTIL2))</f>
        <v>-0.999999995412818</v>
      </c>
      <c r="K212" s="1" t="n">
        <f aca="false">PROB1*UTIL1+PROB2*UTIL2</f>
        <v>-1.00000008807389</v>
      </c>
    </row>
    <row r="213" customFormat="false" ht="13" hidden="false" customHeight="false" outlineLevel="0" collapsed="false">
      <c r="A213" s="1" t="n">
        <f aca="false">A212+0.1</f>
        <v>20.3</v>
      </c>
      <c r="B213" s="1" t="n">
        <v>1</v>
      </c>
      <c r="C213" s="1" t="n">
        <f aca="false">Alpha+Beta*Cost1</f>
        <v>-20.3</v>
      </c>
      <c r="D213" s="1" t="n">
        <f aca="false">Alpha+Beta*Cost2</f>
        <v>-1</v>
      </c>
      <c r="E213" s="1" t="n">
        <f aca="false">EXP(C$10:C$1048576)</f>
        <v>1.52694015912658E-009</v>
      </c>
      <c r="F213" s="1" t="n">
        <f aca="false">EXP(D$10:D$1048576)</f>
        <v>0.367879441171442</v>
      </c>
      <c r="G213" s="1" t="n">
        <f aca="false">EXP(UTIL1)/(EXP(UTIL1)+EXP(UTIL2))</f>
        <v>4.15065367047022E-009</v>
      </c>
      <c r="H213" s="1" t="n">
        <f aca="false">EXP(UTIL2)/(EXP(UTIL1)+EXP(UTIL2))</f>
        <v>0.999999995849346</v>
      </c>
      <c r="I213" s="1" t="n">
        <f aca="false">Cost1</f>
        <v>20.3</v>
      </c>
      <c r="J213" s="1" t="n">
        <f aca="false">LN(EXP(UTIL1)+EXP(UTIL2))</f>
        <v>-0.999999995849346</v>
      </c>
      <c r="K213" s="1" t="n">
        <f aca="false">PROB1*UTIL1+PROB2*UTIL2</f>
        <v>-1.00000008010762</v>
      </c>
    </row>
    <row r="214" customFormat="false" ht="13" hidden="false" customHeight="false" outlineLevel="0" collapsed="false">
      <c r="A214" s="1" t="n">
        <f aca="false">A213+0.1</f>
        <v>20.4</v>
      </c>
      <c r="B214" s="1" t="n">
        <v>1</v>
      </c>
      <c r="C214" s="1" t="n">
        <f aca="false">Alpha+Beta*Cost1</f>
        <v>-20.4</v>
      </c>
      <c r="D214" s="1" t="n">
        <f aca="false">Alpha+Beta*Cost2</f>
        <v>-1</v>
      </c>
      <c r="E214" s="1" t="n">
        <f aca="false">EXP(C$10:C$1048576)</f>
        <v>1.38163259107951E-009</v>
      </c>
      <c r="F214" s="1" t="n">
        <f aca="false">EXP(D$10:D$1048576)</f>
        <v>0.367879441171442</v>
      </c>
      <c r="G214" s="1" t="n">
        <f aca="false">EXP(UTIL1)/(EXP(UTIL1)+EXP(UTIL2))</f>
        <v>3.75566675183319E-009</v>
      </c>
      <c r="H214" s="1" t="n">
        <f aca="false">EXP(UTIL2)/(EXP(UTIL1)+EXP(UTIL2))</f>
        <v>0.999999996244333</v>
      </c>
      <c r="I214" s="1" t="n">
        <f aca="false">Cost1</f>
        <v>20.4</v>
      </c>
      <c r="J214" s="1" t="n">
        <f aca="false">LN(EXP(UTIL1)+EXP(UTIL2))</f>
        <v>-0.999999996244333</v>
      </c>
      <c r="K214" s="1" t="n">
        <f aca="false">PROB1*UTIL1+PROB2*UTIL2</f>
        <v>-1.00000007285994</v>
      </c>
    </row>
    <row r="215" customFormat="false" ht="13" hidden="false" customHeight="false" outlineLevel="0" collapsed="false">
      <c r="A215" s="1" t="n">
        <f aca="false">A214+0.1</f>
        <v>20.5</v>
      </c>
      <c r="B215" s="1" t="n">
        <v>1</v>
      </c>
      <c r="C215" s="1" t="n">
        <f aca="false">Alpha+Beta*Cost1</f>
        <v>-20.5</v>
      </c>
      <c r="D215" s="1" t="n">
        <f aca="false">Alpha+Beta*Cost2</f>
        <v>-1</v>
      </c>
      <c r="E215" s="1" t="n">
        <f aca="false">EXP(C$10:C$1048576)</f>
        <v>1.25015286638672E-009</v>
      </c>
      <c r="F215" s="1" t="n">
        <f aca="false">EXP(D$10:D$1048576)</f>
        <v>0.367879441171442</v>
      </c>
      <c r="G215" s="1" t="n">
        <f aca="false">EXP(UTIL1)/(EXP(UTIL1)+EXP(UTIL2))</f>
        <v>3.39826780794677E-009</v>
      </c>
      <c r="H215" s="1" t="n">
        <f aca="false">EXP(UTIL2)/(EXP(UTIL1)+EXP(UTIL2))</f>
        <v>0.999999996601732</v>
      </c>
      <c r="I215" s="1" t="n">
        <f aca="false">Cost1</f>
        <v>20.5</v>
      </c>
      <c r="J215" s="1" t="n">
        <f aca="false">LN(EXP(UTIL1)+EXP(UTIL2))</f>
        <v>-0.999999996601732</v>
      </c>
      <c r="K215" s="1" t="n">
        <f aca="false">PROB1*UTIL1+PROB2*UTIL2</f>
        <v>-1.00000006626622</v>
      </c>
    </row>
    <row r="216" customFormat="false" ht="13" hidden="false" customHeight="false" outlineLevel="0" collapsed="false">
      <c r="A216" s="1" t="n">
        <f aca="false">A215+0.1</f>
        <v>20.6</v>
      </c>
      <c r="B216" s="1" t="n">
        <v>1</v>
      </c>
      <c r="C216" s="1" t="n">
        <f aca="false">Alpha+Beta*Cost1</f>
        <v>-20.6</v>
      </c>
      <c r="D216" s="1" t="n">
        <f aca="false">Alpha+Beta*Cost2</f>
        <v>-1</v>
      </c>
      <c r="E216" s="1" t="n">
        <f aca="false">EXP(C$10:C$1048576)</f>
        <v>1.13118509177161E-009</v>
      </c>
      <c r="F216" s="1" t="n">
        <f aca="false">EXP(D$10:D$1048576)</f>
        <v>0.367879441171442</v>
      </c>
      <c r="G216" s="1" t="n">
        <f aca="false">EXP(UTIL1)/(EXP(UTIL1)+EXP(UTIL2))</f>
        <v>3.07487987013165E-009</v>
      </c>
      <c r="H216" s="1" t="n">
        <f aca="false">EXP(UTIL2)/(EXP(UTIL1)+EXP(UTIL2))</f>
        <v>0.99999999692512</v>
      </c>
      <c r="I216" s="1" t="n">
        <f aca="false">Cost1</f>
        <v>20.6</v>
      </c>
      <c r="J216" s="1" t="n">
        <f aca="false">LN(EXP(UTIL1)+EXP(UTIL2))</f>
        <v>-0.99999999692512</v>
      </c>
      <c r="K216" s="1" t="n">
        <f aca="false">PROB1*UTIL1+PROB2*UTIL2</f>
        <v>-1.00000006026765</v>
      </c>
    </row>
    <row r="217" customFormat="false" ht="13" hidden="false" customHeight="false" outlineLevel="0" collapsed="false">
      <c r="A217" s="1" t="n">
        <f aca="false">A216+0.1</f>
        <v>20.7</v>
      </c>
      <c r="B217" s="1" t="n">
        <v>1</v>
      </c>
      <c r="C217" s="1" t="n">
        <f aca="false">Alpha+Beta*Cost1</f>
        <v>-20.7</v>
      </c>
      <c r="D217" s="1" t="n">
        <f aca="false">Alpha+Beta*Cost2</f>
        <v>-1</v>
      </c>
      <c r="E217" s="1" t="n">
        <f aca="false">EXP(C$10:C$1048576)</f>
        <v>1.02353859775939E-009</v>
      </c>
      <c r="F217" s="1" t="n">
        <f aca="false">EXP(D$10:D$1048576)</f>
        <v>0.367879441171442</v>
      </c>
      <c r="G217" s="1" t="n">
        <f aca="false">EXP(UTIL1)/(EXP(UTIL1)+EXP(UTIL2))</f>
        <v>2.7822663632748E-009</v>
      </c>
      <c r="H217" s="1" t="n">
        <f aca="false">EXP(UTIL2)/(EXP(UTIL1)+EXP(UTIL2))</f>
        <v>0.999999997217734</v>
      </c>
      <c r="I217" s="1" t="n">
        <f aca="false">Cost1</f>
        <v>20.7</v>
      </c>
      <c r="J217" s="1" t="n">
        <f aca="false">LN(EXP(UTIL1)+EXP(UTIL2))</f>
        <v>-0.999999997217734</v>
      </c>
      <c r="K217" s="1" t="n">
        <f aca="false">PROB1*UTIL1+PROB2*UTIL2</f>
        <v>-1.00000005481065</v>
      </c>
    </row>
    <row r="218" customFormat="false" ht="13" hidden="false" customHeight="false" outlineLevel="0" collapsed="false">
      <c r="A218" s="1" t="n">
        <f aca="false">A217+0.1</f>
        <v>20.8</v>
      </c>
      <c r="B218" s="1" t="n">
        <v>1</v>
      </c>
      <c r="C218" s="1" t="n">
        <f aca="false">Alpha+Beta*Cost1</f>
        <v>-20.8</v>
      </c>
      <c r="D218" s="1" t="n">
        <f aca="false">Alpha+Beta*Cost2</f>
        <v>-1</v>
      </c>
      <c r="E218" s="1" t="n">
        <f aca="false">EXP(C$10:C$1048576)</f>
        <v>9.26136022056752E-010</v>
      </c>
      <c r="F218" s="1" t="n">
        <f aca="false">EXP(D$10:D$1048576)</f>
        <v>0.367879441171442</v>
      </c>
      <c r="G218" s="1" t="n">
        <f aca="false">EXP(UTIL1)/(EXP(UTIL1)+EXP(UTIL2))</f>
        <v>2.51749871310042E-009</v>
      </c>
      <c r="H218" s="1" t="n">
        <f aca="false">EXP(UTIL2)/(EXP(UTIL1)+EXP(UTIL2))</f>
        <v>0.999999997482501</v>
      </c>
      <c r="I218" s="1" t="n">
        <f aca="false">Cost1</f>
        <v>20.8</v>
      </c>
      <c r="J218" s="1" t="n">
        <f aca="false">LN(EXP(UTIL1)+EXP(UTIL2))</f>
        <v>-0.999999997482501</v>
      </c>
      <c r="K218" s="1" t="n">
        <f aca="false">PROB1*UTIL1+PROB2*UTIL2</f>
        <v>-1.00000004984647</v>
      </c>
    </row>
    <row r="219" customFormat="false" ht="13" hidden="false" customHeight="false" outlineLevel="0" collapsed="false">
      <c r="A219" s="1" t="n">
        <f aca="false">A218+0.1</f>
        <v>20.9</v>
      </c>
      <c r="B219" s="1" t="n">
        <v>1</v>
      </c>
      <c r="C219" s="1" t="n">
        <f aca="false">Alpha+Beta*Cost1</f>
        <v>-20.9</v>
      </c>
      <c r="D219" s="1" t="n">
        <f aca="false">Alpha+Beta*Cost2</f>
        <v>-1</v>
      </c>
      <c r="E219" s="1" t="n">
        <f aca="false">EXP(C$10:C$1048576)</f>
        <v>8.38002526947925E-010</v>
      </c>
      <c r="F219" s="1" t="n">
        <f aca="false">EXP(D$10:D$1048576)</f>
        <v>0.367879441171442</v>
      </c>
      <c r="G219" s="1" t="n">
        <f aca="false">EXP(UTIL1)/(EXP(UTIL1)+EXP(UTIL2))</f>
        <v>2.27792703601635E-009</v>
      </c>
      <c r="H219" s="1" t="n">
        <f aca="false">EXP(UTIL2)/(EXP(UTIL1)+EXP(UTIL2))</f>
        <v>0.999999997722073</v>
      </c>
      <c r="I219" s="1" t="n">
        <f aca="false">Cost1</f>
        <v>20.9</v>
      </c>
      <c r="J219" s="1" t="n">
        <f aca="false">LN(EXP(UTIL1)+EXP(UTIL2))</f>
        <v>-0.999999997722073</v>
      </c>
      <c r="K219" s="1" t="n">
        <f aca="false">PROB1*UTIL1+PROB2*UTIL2</f>
        <v>-1.00000004533075</v>
      </c>
    </row>
    <row r="220" customFormat="false" ht="13" hidden="false" customHeight="false" outlineLevel="0" collapsed="false">
      <c r="A220" s="1" t="n">
        <f aca="false">A219+0.1</f>
        <v>21</v>
      </c>
      <c r="B220" s="1" t="n">
        <v>1</v>
      </c>
      <c r="C220" s="1" t="n">
        <f aca="false">Alpha+Beta*Cost1</f>
        <v>-21</v>
      </c>
      <c r="D220" s="1" t="n">
        <f aca="false">Alpha+Beta*Cost2</f>
        <v>-1</v>
      </c>
      <c r="E220" s="1" t="n">
        <f aca="false">EXP(C$10:C$1048576)</f>
        <v>7.58256042791169E-010</v>
      </c>
      <c r="F220" s="1" t="n">
        <f aca="false">EXP(D$10:D$1048576)</f>
        <v>0.367879441171442</v>
      </c>
      <c r="G220" s="1" t="n">
        <f aca="false">EXP(UTIL1)/(EXP(UTIL1)+EXP(UTIL2))</f>
        <v>2.06115361819015E-009</v>
      </c>
      <c r="H220" s="1" t="n">
        <f aca="false">EXP(UTIL2)/(EXP(UTIL1)+EXP(UTIL2))</f>
        <v>0.999999997938846</v>
      </c>
      <c r="I220" s="1" t="n">
        <f aca="false">Cost1</f>
        <v>21</v>
      </c>
      <c r="J220" s="1" t="n">
        <f aca="false">LN(EXP(UTIL1)+EXP(UTIL2))</f>
        <v>-0.999999997938846</v>
      </c>
      <c r="K220" s="1" t="n">
        <f aca="false">PROB1*UTIL1+PROB2*UTIL2</f>
        <v>-1.00000004122307</v>
      </c>
    </row>
    <row r="221" customFormat="false" ht="13" hidden="false" customHeight="false" outlineLevel="0" collapsed="false">
      <c r="A221" s="1" t="n">
        <f aca="false">A220+0.1</f>
        <v>21.1</v>
      </c>
      <c r="B221" s="1" t="n">
        <v>1</v>
      </c>
      <c r="C221" s="1" t="n">
        <f aca="false">Alpha+Beta*Cost1</f>
        <v>-21.1</v>
      </c>
      <c r="D221" s="1" t="n">
        <f aca="false">Alpha+Beta*Cost2</f>
        <v>-1</v>
      </c>
      <c r="E221" s="1" t="n">
        <f aca="false">EXP(C$10:C$1048576)</f>
        <v>6.86098439969325E-010</v>
      </c>
      <c r="F221" s="1" t="n">
        <f aca="false">EXP(D$10:D$1048576)</f>
        <v>0.367879441171442</v>
      </c>
      <c r="G221" s="1" t="n">
        <f aca="false">EXP(UTIL1)/(EXP(UTIL1)+EXP(UTIL2))</f>
        <v>1.86500891842446E-009</v>
      </c>
      <c r="H221" s="1" t="n">
        <f aca="false">EXP(UTIL2)/(EXP(UTIL1)+EXP(UTIL2))</f>
        <v>0.999999998134991</v>
      </c>
      <c r="I221" s="1" t="n">
        <f aca="false">Cost1</f>
        <v>21.1</v>
      </c>
      <c r="J221" s="1" t="n">
        <f aca="false">LN(EXP(UTIL1)+EXP(UTIL2))</f>
        <v>-0.999999998134991</v>
      </c>
      <c r="K221" s="1" t="n">
        <f aca="false">PROB1*UTIL1+PROB2*UTIL2</f>
        <v>-1.00000003748668</v>
      </c>
    </row>
    <row r="222" customFormat="false" ht="13" hidden="false" customHeight="false" outlineLevel="0" collapsed="false">
      <c r="A222" s="1" t="n">
        <f aca="false">A221+0.1</f>
        <v>21.2</v>
      </c>
      <c r="B222" s="1" t="n">
        <v>1</v>
      </c>
      <c r="C222" s="1" t="n">
        <f aca="false">Alpha+Beta*Cost1</f>
        <v>-21.2</v>
      </c>
      <c r="D222" s="1" t="n">
        <f aca="false">Alpha+Beta*Cost2</f>
        <v>-1</v>
      </c>
      <c r="E222" s="1" t="n">
        <f aca="false">EXP(C$10:C$1048576)</f>
        <v>6.20807540940343E-010</v>
      </c>
      <c r="F222" s="1" t="n">
        <f aca="false">EXP(D$10:D$1048576)</f>
        <v>0.367879441171442</v>
      </c>
      <c r="G222" s="1" t="n">
        <f aca="false">EXP(UTIL1)/(EXP(UTIL1)+EXP(UTIL2))</f>
        <v>1.68752985466072E-009</v>
      </c>
      <c r="H222" s="1" t="n">
        <f aca="false">EXP(UTIL2)/(EXP(UTIL1)+EXP(UTIL2))</f>
        <v>0.99999999831247</v>
      </c>
      <c r="I222" s="1" t="n">
        <f aca="false">Cost1</f>
        <v>21.2</v>
      </c>
      <c r="J222" s="1" t="n">
        <f aca="false">LN(EXP(UTIL1)+EXP(UTIL2))</f>
        <v>-0.99999999831247</v>
      </c>
      <c r="K222" s="1" t="n">
        <f aca="false">PROB1*UTIL1+PROB2*UTIL2</f>
        <v>-1.0000000340881</v>
      </c>
    </row>
    <row r="223" customFormat="false" ht="13" hidden="false" customHeight="false" outlineLevel="0" collapsed="false">
      <c r="A223" s="1" t="n">
        <f aca="false">A222+0.1</f>
        <v>21.3</v>
      </c>
      <c r="B223" s="1" t="n">
        <v>1</v>
      </c>
      <c r="C223" s="1" t="n">
        <f aca="false">Alpha+Beta*Cost1</f>
        <v>-21.3</v>
      </c>
      <c r="D223" s="1" t="n">
        <f aca="false">Alpha+Beta*Cost2</f>
        <v>-1</v>
      </c>
      <c r="E223" s="1" t="n">
        <f aca="false">EXP(C$10:C$1048576)</f>
        <v>5.61729892441712E-010</v>
      </c>
      <c r="F223" s="1" t="n">
        <f aca="false">EXP(D$10:D$1048576)</f>
        <v>0.367879441171442</v>
      </c>
      <c r="G223" s="1" t="n">
        <f aca="false">EXP(UTIL1)/(EXP(UTIL1)+EXP(UTIL2))</f>
        <v>1.52694015679501E-009</v>
      </c>
      <c r="H223" s="1" t="n">
        <f aca="false">EXP(UTIL2)/(EXP(UTIL1)+EXP(UTIL2))</f>
        <v>0.99999999847306</v>
      </c>
      <c r="I223" s="1" t="n">
        <f aca="false">Cost1</f>
        <v>21.3</v>
      </c>
      <c r="J223" s="1" t="n">
        <f aca="false">LN(EXP(UTIL1)+EXP(UTIL2))</f>
        <v>-0.99999999847306</v>
      </c>
      <c r="K223" s="1" t="n">
        <f aca="false">PROB1*UTIL1+PROB2*UTIL2</f>
        <v>-1.00000003099689</v>
      </c>
    </row>
    <row r="224" customFormat="false" ht="13" hidden="false" customHeight="false" outlineLevel="0" collapsed="false">
      <c r="A224" s="1" t="n">
        <f aca="false">A223+0.1</f>
        <v>21.4</v>
      </c>
      <c r="B224" s="1" t="n">
        <v>1</v>
      </c>
      <c r="C224" s="1" t="n">
        <f aca="false">Alpha+Beta*Cost1</f>
        <v>-21.4</v>
      </c>
      <c r="D224" s="1" t="n">
        <f aca="false">Alpha+Beta*Cost2</f>
        <v>-1</v>
      </c>
      <c r="E224" s="1" t="n">
        <f aca="false">EXP(C$10:C$1048576)</f>
        <v>5.08274225510575E-010</v>
      </c>
      <c r="F224" s="1" t="n">
        <f aca="false">EXP(D$10:D$1048576)</f>
        <v>0.367879441171442</v>
      </c>
      <c r="G224" s="1" t="n">
        <f aca="false">EXP(UTIL1)/(EXP(UTIL1)+EXP(UTIL2))</f>
        <v>1.38163258917058E-009</v>
      </c>
      <c r="H224" s="1" t="n">
        <f aca="false">EXP(UTIL2)/(EXP(UTIL1)+EXP(UTIL2))</f>
        <v>0.999999998618368</v>
      </c>
      <c r="I224" s="1" t="n">
        <f aca="false">Cost1</f>
        <v>21.4</v>
      </c>
      <c r="J224" s="1" t="n">
        <f aca="false">LN(EXP(UTIL1)+EXP(UTIL2))</f>
        <v>-0.999999998618367</v>
      </c>
      <c r="K224" s="1" t="n">
        <f aca="false">PROB1*UTIL1+PROB2*UTIL2</f>
        <v>-1.00000002818531</v>
      </c>
    </row>
    <row r="225" customFormat="false" ht="13" hidden="false" customHeight="false" outlineLevel="0" collapsed="false">
      <c r="A225" s="1" t="n">
        <f aca="false">A224+0.1</f>
        <v>21.5</v>
      </c>
      <c r="B225" s="1" t="n">
        <v>1</v>
      </c>
      <c r="C225" s="1" t="n">
        <f aca="false">Alpha+Beta*Cost1</f>
        <v>-21.5</v>
      </c>
      <c r="D225" s="1" t="n">
        <f aca="false">Alpha+Beta*Cost2</f>
        <v>-1</v>
      </c>
      <c r="E225" s="1" t="n">
        <f aca="false">EXP(C$10:C$1048576)</f>
        <v>4.59905537865215E-010</v>
      </c>
      <c r="F225" s="1" t="n">
        <f aca="false">EXP(D$10:D$1048576)</f>
        <v>0.367879441171442</v>
      </c>
      <c r="G225" s="1" t="n">
        <f aca="false">EXP(UTIL1)/(EXP(UTIL1)+EXP(UTIL2))</f>
        <v>1.25015286482382E-009</v>
      </c>
      <c r="H225" s="1" t="n">
        <f aca="false">EXP(UTIL2)/(EXP(UTIL1)+EXP(UTIL2))</f>
        <v>0.999999998749847</v>
      </c>
      <c r="I225" s="1" t="n">
        <f aca="false">Cost1</f>
        <v>21.5</v>
      </c>
      <c r="J225" s="1" t="n">
        <f aca="false">LN(EXP(UTIL1)+EXP(UTIL2))</f>
        <v>-0.999999998749847</v>
      </c>
      <c r="K225" s="1" t="n">
        <f aca="false">PROB1*UTIL1+PROB2*UTIL2</f>
        <v>-1.00000002562813</v>
      </c>
    </row>
    <row r="226" customFormat="false" ht="13" hidden="false" customHeight="false" outlineLevel="0" collapsed="false">
      <c r="A226" s="1" t="n">
        <f aca="false">A225+0.1</f>
        <v>21.6</v>
      </c>
      <c r="B226" s="1" t="n">
        <v>1</v>
      </c>
      <c r="C226" s="1" t="n">
        <f aca="false">Alpha+Beta*Cost1</f>
        <v>-21.6</v>
      </c>
      <c r="D226" s="1" t="n">
        <f aca="false">Alpha+Beta*Cost2</f>
        <v>-1</v>
      </c>
      <c r="E226" s="1" t="n">
        <f aca="false">EXP(C$10:C$1048576)</f>
        <v>4.161397394224E-010</v>
      </c>
      <c r="F226" s="1" t="n">
        <f aca="false">EXP(D$10:D$1048576)</f>
        <v>0.367879441171442</v>
      </c>
      <c r="G226" s="1" t="n">
        <f aca="false">EXP(UTIL1)/(EXP(UTIL1)+EXP(UTIL2))</f>
        <v>1.13118509049201E-009</v>
      </c>
      <c r="H226" s="1" t="n">
        <f aca="false">EXP(UTIL2)/(EXP(UTIL1)+EXP(UTIL2))</f>
        <v>0.999999998868815</v>
      </c>
      <c r="I226" s="1" t="n">
        <f aca="false">Cost1</f>
        <v>21.6</v>
      </c>
      <c r="J226" s="1" t="n">
        <f aca="false">LN(EXP(UTIL1)+EXP(UTIL2))</f>
        <v>-0.999999998868815</v>
      </c>
      <c r="K226" s="1" t="n">
        <f aca="false">PROB1*UTIL1+PROB2*UTIL2</f>
        <v>-1.00000002330241</v>
      </c>
    </row>
    <row r="227" customFormat="false" ht="13" hidden="false" customHeight="false" outlineLevel="0" collapsed="false">
      <c r="A227" s="1" t="n">
        <f aca="false">A226+0.1</f>
        <v>21.7</v>
      </c>
      <c r="B227" s="1" t="n">
        <v>1</v>
      </c>
      <c r="C227" s="1" t="n">
        <f aca="false">Alpha+Beta*Cost1</f>
        <v>-21.7</v>
      </c>
      <c r="D227" s="1" t="n">
        <f aca="false">Alpha+Beta*Cost2</f>
        <v>-1</v>
      </c>
      <c r="E227" s="1" t="n">
        <f aca="false">EXP(C$10:C$1048576)</f>
        <v>3.76538807361121E-010</v>
      </c>
      <c r="F227" s="1" t="n">
        <f aca="false">EXP(D$10:D$1048576)</f>
        <v>0.367879441171442</v>
      </c>
      <c r="G227" s="1" t="n">
        <f aca="false">EXP(UTIL1)/(EXP(UTIL1)+EXP(UTIL2))</f>
        <v>1.02353859671174E-009</v>
      </c>
      <c r="H227" s="1" t="n">
        <f aca="false">EXP(UTIL2)/(EXP(UTIL1)+EXP(UTIL2))</f>
        <v>0.999999998976461</v>
      </c>
      <c r="I227" s="1" t="n">
        <f aca="false">Cost1</f>
        <v>21.7</v>
      </c>
      <c r="J227" s="1" t="n">
        <f aca="false">LN(EXP(UTIL1)+EXP(UTIL2))</f>
        <v>-0.999999998976461</v>
      </c>
      <c r="K227" s="1" t="n">
        <f aca="false">PROB1*UTIL1+PROB2*UTIL2</f>
        <v>-1.00000002118725</v>
      </c>
    </row>
    <row r="228" customFormat="false" ht="13" hidden="false" customHeight="false" outlineLevel="0" collapsed="false">
      <c r="A228" s="1" t="n">
        <f aca="false">A227+0.1</f>
        <v>21.8</v>
      </c>
      <c r="B228" s="1" t="n">
        <v>1</v>
      </c>
      <c r="C228" s="1" t="n">
        <f aca="false">Alpha+Beta*Cost1</f>
        <v>-21.8</v>
      </c>
      <c r="D228" s="1" t="n">
        <f aca="false">Alpha+Beta*Cost2</f>
        <v>-1</v>
      </c>
      <c r="E228" s="1" t="n">
        <f aca="false">EXP(C$10:C$1048576)</f>
        <v>3.40706402242976E-010</v>
      </c>
      <c r="F228" s="1" t="n">
        <f aca="false">EXP(D$10:D$1048576)</f>
        <v>0.367879441171442</v>
      </c>
      <c r="G228" s="1" t="n">
        <f aca="false">EXP(UTIL1)/(EXP(UTIL1)+EXP(UTIL2))</f>
        <v>9.26136021199011E-010</v>
      </c>
      <c r="H228" s="1" t="n">
        <f aca="false">EXP(UTIL2)/(EXP(UTIL1)+EXP(UTIL2))</f>
        <v>0.999999999073864</v>
      </c>
      <c r="I228" s="1" t="n">
        <f aca="false">Cost1</f>
        <v>21.8</v>
      </c>
      <c r="J228" s="1" t="n">
        <f aca="false">LN(EXP(UTIL1)+EXP(UTIL2))</f>
        <v>-0.999999999073864</v>
      </c>
      <c r="K228" s="1" t="n">
        <f aca="false">PROB1*UTIL1+PROB2*UTIL2</f>
        <v>-1.00000001926363</v>
      </c>
    </row>
    <row r="229" customFormat="false" ht="13" hidden="false" customHeight="false" outlineLevel="0" collapsed="false">
      <c r="A229" s="1" t="n">
        <f aca="false">A228+0.1</f>
        <v>21.9</v>
      </c>
      <c r="B229" s="1" t="n">
        <v>1</v>
      </c>
      <c r="C229" s="1" t="n">
        <f aca="false">Alpha+Beta*Cost1</f>
        <v>-21.9</v>
      </c>
      <c r="D229" s="1" t="n">
        <f aca="false">Alpha+Beta*Cost2</f>
        <v>-1</v>
      </c>
      <c r="E229" s="1" t="n">
        <f aca="false">EXP(C$10:C$1048576)</f>
        <v>3.08283901313855E-010</v>
      </c>
      <c r="F229" s="1" t="n">
        <f aca="false">EXP(D$10:D$1048576)</f>
        <v>0.367879441171442</v>
      </c>
      <c r="G229" s="1" t="n">
        <f aca="false">EXP(UTIL1)/(EXP(UTIL1)+EXP(UTIL2))</f>
        <v>8.38002526245665E-010</v>
      </c>
      <c r="H229" s="1" t="n">
        <f aca="false">EXP(UTIL2)/(EXP(UTIL1)+EXP(UTIL2))</f>
        <v>0.999999999161997</v>
      </c>
      <c r="I229" s="1" t="n">
        <f aca="false">Cost1</f>
        <v>21.9</v>
      </c>
      <c r="J229" s="1" t="n">
        <f aca="false">LN(EXP(UTIL1)+EXP(UTIL2))</f>
        <v>-0.999999999161997</v>
      </c>
      <c r="K229" s="1" t="n">
        <f aca="false">PROB1*UTIL1+PROB2*UTIL2</f>
        <v>-1.00000001751425</v>
      </c>
    </row>
    <row r="230" customFormat="false" ht="13" hidden="false" customHeight="false" outlineLevel="0" collapsed="false">
      <c r="A230" s="1" t="n">
        <f aca="false">A229+0.1</f>
        <v>22</v>
      </c>
      <c r="B230" s="1" t="n">
        <v>1</v>
      </c>
      <c r="C230" s="1" t="n">
        <f aca="false">Alpha+Beta*Cost1</f>
        <v>-22</v>
      </c>
      <c r="D230" s="1" t="n">
        <f aca="false">Alpha+Beta*Cost2</f>
        <v>-1</v>
      </c>
      <c r="E230" s="1" t="n">
        <f aca="false">EXP(C$10:C$1048576)</f>
        <v>2.78946809286881E-010</v>
      </c>
      <c r="F230" s="1" t="n">
        <f aca="false">EXP(D$10:D$1048576)</f>
        <v>0.367879441171442</v>
      </c>
      <c r="G230" s="1" t="n">
        <f aca="false">EXP(UTIL1)/(EXP(UTIL1)+EXP(UTIL2))</f>
        <v>7.58256042216206E-010</v>
      </c>
      <c r="H230" s="1" t="n">
        <f aca="false">EXP(UTIL2)/(EXP(UTIL1)+EXP(UTIL2))</f>
        <v>0.999999999241744</v>
      </c>
      <c r="I230" s="1" t="n">
        <f aca="false">Cost1</f>
        <v>22</v>
      </c>
      <c r="J230" s="1" t="n">
        <f aca="false">LN(EXP(UTIL1)+EXP(UTIL2))</f>
        <v>-0.999999999241744</v>
      </c>
      <c r="K230" s="1" t="n">
        <f aca="false">PROB1*UTIL1+PROB2*UTIL2</f>
        <v>-1.00000001592338</v>
      </c>
    </row>
    <row r="231" customFormat="false" ht="13" hidden="false" customHeight="false" outlineLevel="0" collapsed="false">
      <c r="A231" s="1" t="n">
        <f aca="false">A230+0.1</f>
        <v>22.1</v>
      </c>
      <c r="B231" s="1" t="n">
        <v>1</v>
      </c>
      <c r="C231" s="1" t="n">
        <f aca="false">Alpha+Beta*Cost1</f>
        <v>-22.1</v>
      </c>
      <c r="D231" s="1" t="n">
        <f aca="false">Alpha+Beta*Cost2</f>
        <v>-1</v>
      </c>
      <c r="E231" s="1" t="n">
        <f aca="false">EXP(C$10:C$1048576)</f>
        <v>2.5240151068451E-010</v>
      </c>
      <c r="F231" s="1" t="n">
        <f aca="false">EXP(D$10:D$1048576)</f>
        <v>0.367879441171442</v>
      </c>
      <c r="G231" s="1" t="n">
        <f aca="false">EXP(UTIL1)/(EXP(UTIL1)+EXP(UTIL2))</f>
        <v>6.86098439498584E-010</v>
      </c>
      <c r="H231" s="1" t="n">
        <f aca="false">EXP(UTIL2)/(EXP(UTIL1)+EXP(UTIL2))</f>
        <v>0.999999999313902</v>
      </c>
      <c r="I231" s="1" t="n">
        <f aca="false">Cost1</f>
        <v>22.1</v>
      </c>
      <c r="J231" s="1" t="n">
        <f aca="false">LN(EXP(UTIL1)+EXP(UTIL2))</f>
        <v>-0.999999999313902</v>
      </c>
      <c r="K231" s="1" t="n">
        <f aca="false">PROB1*UTIL1+PROB2*UTIL2</f>
        <v>-1.00000001447668</v>
      </c>
    </row>
    <row r="232" customFormat="false" ht="13" hidden="false" customHeight="false" outlineLevel="0" collapsed="false">
      <c r="A232" s="1" t="n">
        <f aca="false">A231+0.1</f>
        <v>22.2</v>
      </c>
      <c r="B232" s="1" t="n">
        <v>1</v>
      </c>
      <c r="C232" s="1" t="n">
        <f aca="false">Alpha+Beta*Cost1</f>
        <v>-22.2</v>
      </c>
      <c r="D232" s="1" t="n">
        <f aca="false">Alpha+Beta*Cost2</f>
        <v>-1</v>
      </c>
      <c r="E232" s="1" t="n">
        <f aca="false">EXP(C$10:C$1048576)</f>
        <v>2.28382331236147E-010</v>
      </c>
      <c r="F232" s="1" t="n">
        <f aca="false">EXP(D$10:D$1048576)</f>
        <v>0.367879441171442</v>
      </c>
      <c r="G232" s="1" t="n">
        <f aca="false">EXP(UTIL1)/(EXP(UTIL1)+EXP(UTIL2))</f>
        <v>6.20807540554932E-010</v>
      </c>
      <c r="H232" s="1" t="n">
        <f aca="false">EXP(UTIL2)/(EXP(UTIL1)+EXP(UTIL2))</f>
        <v>0.999999999379193</v>
      </c>
      <c r="I232" s="1" t="n">
        <f aca="false">Cost1</f>
        <v>22.2</v>
      </c>
      <c r="J232" s="1" t="n">
        <f aca="false">LN(EXP(UTIL1)+EXP(UTIL2))</f>
        <v>-0.999999999379193</v>
      </c>
      <c r="K232" s="1" t="n">
        <f aca="false">PROB1*UTIL1+PROB2*UTIL2</f>
        <v>-1.00000001316112</v>
      </c>
    </row>
    <row r="233" customFormat="false" ht="13" hidden="false" customHeight="false" outlineLevel="0" collapsed="false">
      <c r="A233" s="1" t="n">
        <f aca="false">A232+0.1</f>
        <v>22.3</v>
      </c>
      <c r="B233" s="1" t="n">
        <v>1</v>
      </c>
      <c r="C233" s="1" t="n">
        <f aca="false">Alpha+Beta*Cost1</f>
        <v>-22.3</v>
      </c>
      <c r="D233" s="1" t="n">
        <f aca="false">Alpha+Beta*Cost2</f>
        <v>-1</v>
      </c>
      <c r="E233" s="1" t="n">
        <f aca="false">EXP(C$10:C$1048576)</f>
        <v>2.06648878920748E-010</v>
      </c>
      <c r="F233" s="1" t="n">
        <f aca="false">EXP(D$10:D$1048576)</f>
        <v>0.367879441171442</v>
      </c>
      <c r="G233" s="1" t="n">
        <f aca="false">EXP(UTIL1)/(EXP(UTIL1)+EXP(UTIL2))</f>
        <v>5.61729892126164E-010</v>
      </c>
      <c r="H233" s="1" t="n">
        <f aca="false">EXP(UTIL2)/(EXP(UTIL1)+EXP(UTIL2))</f>
        <v>0.99999999943827</v>
      </c>
      <c r="I233" s="1" t="n">
        <f aca="false">Cost1</f>
        <v>22.3</v>
      </c>
      <c r="J233" s="1" t="n">
        <f aca="false">LN(EXP(UTIL1)+EXP(UTIL2))</f>
        <v>-0.99999999943827</v>
      </c>
      <c r="K233" s="1" t="n">
        <f aca="false">PROB1*UTIL1+PROB2*UTIL2</f>
        <v>-1.00000001196485</v>
      </c>
    </row>
    <row r="234" customFormat="false" ht="13" hidden="false" customHeight="false" outlineLevel="0" collapsed="false">
      <c r="A234" s="1" t="n">
        <f aca="false">A233+0.1</f>
        <v>22.4000000000001</v>
      </c>
      <c r="B234" s="1" t="n">
        <v>1</v>
      </c>
      <c r="C234" s="1" t="n">
        <f aca="false">Alpha+Beta*Cost1</f>
        <v>-22.4000000000001</v>
      </c>
      <c r="D234" s="1" t="n">
        <f aca="false">Alpha+Beta*Cost2</f>
        <v>-1</v>
      </c>
      <c r="E234" s="1" t="n">
        <f aca="false">EXP(C$10:C$1048576)</f>
        <v>1.86983638042675E-010</v>
      </c>
      <c r="F234" s="1" t="n">
        <f aca="false">EXP(D$10:D$1048576)</f>
        <v>0.367879441171442</v>
      </c>
      <c r="G234" s="1" t="n">
        <f aca="false">EXP(UTIL1)/(EXP(UTIL1)+EXP(UTIL2))</f>
        <v>5.08274225252225E-010</v>
      </c>
      <c r="H234" s="1" t="n">
        <f aca="false">EXP(UTIL2)/(EXP(UTIL1)+EXP(UTIL2))</f>
        <v>0.999999999491726</v>
      </c>
      <c r="I234" s="1" t="n">
        <f aca="false">Cost1</f>
        <v>22.4000000000001</v>
      </c>
      <c r="J234" s="1" t="n">
        <f aca="false">LN(EXP(UTIL1)+EXP(UTIL2))</f>
        <v>-0.999999999491726</v>
      </c>
      <c r="K234" s="1" t="n">
        <f aca="false">PROB1*UTIL1+PROB2*UTIL2</f>
        <v>-1.00000001087707</v>
      </c>
    </row>
    <row r="235" customFormat="false" ht="13" hidden="false" customHeight="false" outlineLevel="0" collapsed="false">
      <c r="A235" s="1" t="n">
        <f aca="false">A234+0.1</f>
        <v>22.5000000000001</v>
      </c>
      <c r="B235" s="1" t="n">
        <v>1</v>
      </c>
      <c r="C235" s="1" t="n">
        <f aca="false">Alpha+Beta*Cost1</f>
        <v>-22.5000000000001</v>
      </c>
      <c r="D235" s="1" t="n">
        <f aca="false">Alpha+Beta*Cost2</f>
        <v>-1</v>
      </c>
      <c r="E235" s="1" t="n">
        <f aca="false">EXP(C$10:C$1048576)</f>
        <v>1.69189792261505E-010</v>
      </c>
      <c r="F235" s="1" t="n">
        <f aca="false">EXP(D$10:D$1048576)</f>
        <v>0.367879441171442</v>
      </c>
      <c r="G235" s="1" t="n">
        <f aca="false">EXP(UTIL1)/(EXP(UTIL1)+EXP(UTIL2))</f>
        <v>4.59905537653696E-010</v>
      </c>
      <c r="H235" s="1" t="n">
        <f aca="false">EXP(UTIL2)/(EXP(UTIL1)+EXP(UTIL2))</f>
        <v>0.999999999540095</v>
      </c>
      <c r="I235" s="1" t="n">
        <f aca="false">Cost1</f>
        <v>22.5000000000001</v>
      </c>
      <c r="J235" s="1" t="n">
        <f aca="false">LN(EXP(UTIL1)+EXP(UTIL2))</f>
        <v>-0.999999999540094</v>
      </c>
      <c r="K235" s="1" t="n">
        <f aca="false">PROB1*UTIL1+PROB2*UTIL2</f>
        <v>-1.00000000988797</v>
      </c>
    </row>
    <row r="236" customFormat="false" ht="13" hidden="false" customHeight="false" outlineLevel="0" collapsed="false">
      <c r="A236" s="1" t="n">
        <f aca="false">A235+0.1</f>
        <v>22.6000000000001</v>
      </c>
      <c r="B236" s="1" t="n">
        <v>1</v>
      </c>
      <c r="C236" s="1" t="n">
        <f aca="false">Alpha+Beta*Cost1</f>
        <v>-22.6000000000001</v>
      </c>
      <c r="D236" s="1" t="n">
        <f aca="false">Alpha+Beta*Cost2</f>
        <v>-1</v>
      </c>
      <c r="E236" s="1" t="n">
        <f aca="false">EXP(C$10:C$1048576)</f>
        <v>1.5308925478794E-010</v>
      </c>
      <c r="F236" s="1" t="n">
        <f aca="false">EXP(D$10:D$1048576)</f>
        <v>0.367879441171442</v>
      </c>
      <c r="G236" s="1" t="n">
        <f aca="false">EXP(UTIL1)/(EXP(UTIL1)+EXP(UTIL2))</f>
        <v>4.16139739249222E-010</v>
      </c>
      <c r="H236" s="1" t="n">
        <f aca="false">EXP(UTIL2)/(EXP(UTIL1)+EXP(UTIL2))</f>
        <v>0.99999999958386</v>
      </c>
      <c r="I236" s="1" t="n">
        <f aca="false">Cost1</f>
        <v>22.6000000000001</v>
      </c>
      <c r="J236" s="1" t="n">
        <f aca="false">LN(EXP(UTIL1)+EXP(UTIL2))</f>
        <v>-0.99999999958386</v>
      </c>
      <c r="K236" s="1" t="n">
        <f aca="false">PROB1*UTIL1+PROB2*UTIL2</f>
        <v>-1.00000000898862</v>
      </c>
    </row>
    <row r="237" customFormat="false" ht="13" hidden="false" customHeight="false" outlineLevel="0" collapsed="false">
      <c r="A237" s="1" t="n">
        <f aca="false">A236+0.1</f>
        <v>22.7000000000001</v>
      </c>
      <c r="B237" s="1" t="n">
        <v>1</v>
      </c>
      <c r="C237" s="1" t="n">
        <f aca="false">Alpha+Beta*Cost1</f>
        <v>-22.7000000000001</v>
      </c>
      <c r="D237" s="1" t="n">
        <f aca="false">Alpha+Beta*Cost2</f>
        <v>-1</v>
      </c>
      <c r="E237" s="1" t="n">
        <f aca="false">EXP(C$10:C$1048576)</f>
        <v>1.38520886031369E-010</v>
      </c>
      <c r="F237" s="1" t="n">
        <f aca="false">EXP(D$10:D$1048576)</f>
        <v>0.367879441171442</v>
      </c>
      <c r="G237" s="1" t="n">
        <f aca="false">EXP(UTIL1)/(EXP(UTIL1)+EXP(UTIL2))</f>
        <v>3.76538807219334E-010</v>
      </c>
      <c r="H237" s="1" t="n">
        <f aca="false">EXP(UTIL2)/(EXP(UTIL1)+EXP(UTIL2))</f>
        <v>0.999999999623461</v>
      </c>
      <c r="I237" s="1" t="n">
        <f aca="false">Cost1</f>
        <v>22.7000000000001</v>
      </c>
      <c r="J237" s="1" t="n">
        <f aca="false">LN(EXP(UTIL1)+EXP(UTIL2))</f>
        <v>-0.999999999623461</v>
      </c>
      <c r="K237" s="1" t="n">
        <f aca="false">PROB1*UTIL1+PROB2*UTIL2</f>
        <v>-1.00000000817089</v>
      </c>
    </row>
    <row r="238" customFormat="false" ht="13" hidden="false" customHeight="false" outlineLevel="0" collapsed="false">
      <c r="A238" s="1" t="n">
        <f aca="false">A237+0.1</f>
        <v>22.8000000000001</v>
      </c>
      <c r="B238" s="1" t="n">
        <v>1</v>
      </c>
      <c r="C238" s="1" t="n">
        <f aca="false">Alpha+Beta*Cost1</f>
        <v>-22.8000000000001</v>
      </c>
      <c r="D238" s="1" t="n">
        <f aca="false">Alpha+Beta*Cost2</f>
        <v>-1</v>
      </c>
      <c r="E238" s="1" t="n">
        <f aca="false">EXP(C$10:C$1048576)</f>
        <v>1.25338880860677E-010</v>
      </c>
      <c r="F238" s="1" t="n">
        <f aca="false">EXP(D$10:D$1048576)</f>
        <v>0.367879441171442</v>
      </c>
      <c r="G238" s="1" t="n">
        <f aca="false">EXP(UTIL1)/(EXP(UTIL1)+EXP(UTIL2))</f>
        <v>3.4070640212689E-010</v>
      </c>
      <c r="H238" s="1" t="n">
        <f aca="false">EXP(UTIL2)/(EXP(UTIL1)+EXP(UTIL2))</f>
        <v>0.999999999659294</v>
      </c>
      <c r="I238" s="1" t="n">
        <f aca="false">Cost1</f>
        <v>22.8000000000001</v>
      </c>
      <c r="J238" s="1" t="n">
        <f aca="false">LN(EXP(UTIL1)+EXP(UTIL2))</f>
        <v>-0.999999999659294</v>
      </c>
      <c r="K238" s="1" t="n">
        <f aca="false">PROB1*UTIL1+PROB2*UTIL2</f>
        <v>-1.0000000074274</v>
      </c>
    </row>
    <row r="239" customFormat="false" ht="13" hidden="false" customHeight="false" outlineLevel="0" collapsed="false">
      <c r="A239" s="1" t="n">
        <f aca="false">A238+0.1</f>
        <v>22.9000000000001</v>
      </c>
      <c r="B239" s="1" t="n">
        <v>1</v>
      </c>
      <c r="C239" s="1" t="n">
        <f aca="false">Alpha+Beta*Cost1</f>
        <v>-22.9000000000001</v>
      </c>
      <c r="D239" s="1" t="n">
        <f aca="false">Alpha+Beta*Cost2</f>
        <v>-1</v>
      </c>
      <c r="E239" s="1" t="n">
        <f aca="false">EXP(C$10:C$1048576)</f>
        <v>1.13411309337491E-010</v>
      </c>
      <c r="F239" s="1" t="n">
        <f aca="false">EXP(D$10:D$1048576)</f>
        <v>0.367879441171442</v>
      </c>
      <c r="G239" s="1" t="n">
        <f aca="false">EXP(UTIL1)/(EXP(UTIL1)+EXP(UTIL2))</f>
        <v>3.08283901218811E-010</v>
      </c>
      <c r="H239" s="1" t="n">
        <f aca="false">EXP(UTIL2)/(EXP(UTIL1)+EXP(UTIL2))</f>
        <v>0.999999999691716</v>
      </c>
      <c r="I239" s="1" t="n">
        <f aca="false">Cost1</f>
        <v>22.9000000000001</v>
      </c>
      <c r="J239" s="1" t="n">
        <f aca="false">LN(EXP(UTIL1)+EXP(UTIL2))</f>
        <v>-0.999999999691716</v>
      </c>
      <c r="K239" s="1" t="n">
        <f aca="false">PROB1*UTIL1+PROB2*UTIL2</f>
        <v>-1.00000000675142</v>
      </c>
    </row>
    <row r="240" customFormat="false" ht="13" hidden="false" customHeight="false" outlineLevel="0" collapsed="false">
      <c r="A240" s="1" t="n">
        <f aca="false">A239+0.1</f>
        <v>23.0000000000001</v>
      </c>
      <c r="B240" s="1" t="n">
        <v>1</v>
      </c>
      <c r="C240" s="1" t="n">
        <f aca="false">Alpha+Beta*Cost1</f>
        <v>-23.0000000000001</v>
      </c>
      <c r="D240" s="1" t="n">
        <f aca="false">Alpha+Beta*Cost2</f>
        <v>-1</v>
      </c>
      <c r="E240" s="1" t="n">
        <f aca="false">EXP(C$10:C$1048576)</f>
        <v>1.02618796317013E-010</v>
      </c>
      <c r="F240" s="1" t="n">
        <f aca="false">EXP(D$10:D$1048576)</f>
        <v>0.367879441171442</v>
      </c>
      <c r="G240" s="1" t="n">
        <f aca="false">EXP(UTIL1)/(EXP(UTIL1)+EXP(UTIL2))</f>
        <v>2.78946809209065E-010</v>
      </c>
      <c r="H240" s="1" t="n">
        <f aca="false">EXP(UTIL2)/(EXP(UTIL1)+EXP(UTIL2))</f>
        <v>0.999999999721053</v>
      </c>
      <c r="I240" s="1" t="n">
        <f aca="false">Cost1</f>
        <v>23.0000000000001</v>
      </c>
      <c r="J240" s="1" t="n">
        <f aca="false">LN(EXP(UTIL1)+EXP(UTIL2))</f>
        <v>-0.999999999721053</v>
      </c>
      <c r="K240" s="1" t="n">
        <f aca="false">PROB1*UTIL1+PROB2*UTIL2</f>
        <v>-1.00000000613683</v>
      </c>
    </row>
    <row r="241" customFormat="false" ht="13" hidden="false" customHeight="false" outlineLevel="0" collapsed="false">
      <c r="A241" s="1" t="n">
        <f aca="false">A240+0.1</f>
        <v>23.1000000000001</v>
      </c>
      <c r="B241" s="1" t="n">
        <v>1</v>
      </c>
      <c r="C241" s="1" t="n">
        <f aca="false">Alpha+Beta*Cost1</f>
        <v>-23.1000000000001</v>
      </c>
      <c r="D241" s="1" t="n">
        <f aca="false">Alpha+Beta*Cost2</f>
        <v>-1</v>
      </c>
      <c r="E241" s="1" t="n">
        <f aca="false">EXP(C$10:C$1048576)</f>
        <v>9.2853326701444E-011</v>
      </c>
      <c r="F241" s="1" t="n">
        <f aca="false">EXP(D$10:D$1048576)</f>
        <v>0.367879441171442</v>
      </c>
      <c r="G241" s="1" t="n">
        <f aca="false">EXP(UTIL1)/(EXP(UTIL1)+EXP(UTIL2))</f>
        <v>2.524015106208E-010</v>
      </c>
      <c r="H241" s="1" t="n">
        <f aca="false">EXP(UTIL2)/(EXP(UTIL1)+EXP(UTIL2))</f>
        <v>0.999999999747599</v>
      </c>
      <c r="I241" s="1" t="n">
        <f aca="false">Cost1</f>
        <v>23.1000000000001</v>
      </c>
      <c r="J241" s="1" t="n">
        <f aca="false">LN(EXP(UTIL1)+EXP(UTIL2))</f>
        <v>-0.999999999747599</v>
      </c>
      <c r="K241" s="1" t="n">
        <f aca="false">PROB1*UTIL1+PROB2*UTIL2</f>
        <v>-1.00000000557807</v>
      </c>
    </row>
    <row r="242" customFormat="false" ht="13" hidden="false" customHeight="false" outlineLevel="0" collapsed="false">
      <c r="A242" s="1" t="n">
        <f aca="false">A241+0.1</f>
        <v>23.2000000000001</v>
      </c>
      <c r="B242" s="1" t="n">
        <v>1</v>
      </c>
      <c r="C242" s="1" t="n">
        <f aca="false">Alpha+Beta*Cost1</f>
        <v>-23.2000000000001</v>
      </c>
      <c r="D242" s="1" t="n">
        <f aca="false">Alpha+Beta*Cost2</f>
        <v>-1</v>
      </c>
      <c r="E242" s="1" t="n">
        <f aca="false">EXP(C$10:C$1048576)</f>
        <v>8.40171643885839E-011</v>
      </c>
      <c r="F242" s="1" t="n">
        <f aca="false">EXP(D$10:D$1048576)</f>
        <v>0.367879441171442</v>
      </c>
      <c r="G242" s="1" t="n">
        <f aca="false">EXP(UTIL1)/(EXP(UTIL1)+EXP(UTIL2))</f>
        <v>2.28382331183986E-010</v>
      </c>
      <c r="H242" s="1" t="n">
        <f aca="false">EXP(UTIL2)/(EXP(UTIL1)+EXP(UTIL2))</f>
        <v>0.999999999771618</v>
      </c>
      <c r="I242" s="1" t="n">
        <f aca="false">Cost1</f>
        <v>23.2000000000001</v>
      </c>
      <c r="J242" s="1" t="n">
        <f aca="false">LN(EXP(UTIL1)+EXP(UTIL2))</f>
        <v>-0.999999999771618</v>
      </c>
      <c r="K242" s="1" t="n">
        <f aca="false">PROB1*UTIL1+PROB2*UTIL2</f>
        <v>-1.00000000507009</v>
      </c>
    </row>
    <row r="243" customFormat="false" ht="13" hidden="false" customHeight="false" outlineLevel="0" collapsed="false">
      <c r="A243" s="1" t="n">
        <f aca="false">A242+0.1</f>
        <v>23.3000000000001</v>
      </c>
      <c r="B243" s="1" t="n">
        <v>1</v>
      </c>
      <c r="C243" s="1" t="n">
        <f aca="false">Alpha+Beta*Cost1</f>
        <v>-23.3000000000001</v>
      </c>
      <c r="D243" s="1" t="n">
        <f aca="false">Alpha+Beta*Cost2</f>
        <v>-1</v>
      </c>
      <c r="E243" s="1" t="n">
        <f aca="false">EXP(C$10:C$1048576)</f>
        <v>7.60218740960689E-011</v>
      </c>
      <c r="F243" s="1" t="n">
        <f aca="false">EXP(D$10:D$1048576)</f>
        <v>0.367879441171442</v>
      </c>
      <c r="G243" s="1" t="n">
        <f aca="false">EXP(UTIL1)/(EXP(UTIL1)+EXP(UTIL2))</f>
        <v>2.06648878878042E-010</v>
      </c>
      <c r="H243" s="1" t="n">
        <f aca="false">EXP(UTIL2)/(EXP(UTIL1)+EXP(UTIL2))</f>
        <v>0.999999999793351</v>
      </c>
      <c r="I243" s="1" t="n">
        <f aca="false">Cost1</f>
        <v>23.3000000000001</v>
      </c>
      <c r="J243" s="1" t="n">
        <f aca="false">LN(EXP(UTIL1)+EXP(UTIL2))</f>
        <v>-0.999999999793351</v>
      </c>
      <c r="K243" s="1" t="n">
        <f aca="false">PROB1*UTIL1+PROB2*UTIL2</f>
        <v>-1.00000000460827</v>
      </c>
    </row>
    <row r="244" customFormat="false" ht="13" hidden="false" customHeight="false" outlineLevel="0" collapsed="false">
      <c r="A244" s="1" t="n">
        <f aca="false">A243+0.1</f>
        <v>23.4000000000001</v>
      </c>
      <c r="B244" s="1" t="n">
        <v>1</v>
      </c>
      <c r="C244" s="1" t="n">
        <f aca="false">Alpha+Beta*Cost1</f>
        <v>-23.4000000000001</v>
      </c>
      <c r="D244" s="1" t="n">
        <f aca="false">Alpha+Beta*Cost2</f>
        <v>-1</v>
      </c>
      <c r="E244" s="1" t="n">
        <f aca="false">EXP(C$10:C$1048576)</f>
        <v>6.87874362713417E-011</v>
      </c>
      <c r="F244" s="1" t="n">
        <f aca="false">EXP(D$10:D$1048576)</f>
        <v>0.367879441171442</v>
      </c>
      <c r="G244" s="1" t="n">
        <f aca="false">EXP(UTIL1)/(EXP(UTIL1)+EXP(UTIL2))</f>
        <v>1.8698363800771E-010</v>
      </c>
      <c r="H244" s="1" t="n">
        <f aca="false">EXP(UTIL2)/(EXP(UTIL1)+EXP(UTIL2))</f>
        <v>0.999999999813017</v>
      </c>
      <c r="I244" s="1" t="n">
        <f aca="false">Cost1</f>
        <v>23.4000000000001</v>
      </c>
      <c r="J244" s="1" t="n">
        <f aca="false">LN(EXP(UTIL1)+EXP(UTIL2))</f>
        <v>-0.999999999813016</v>
      </c>
      <c r="K244" s="1" t="n">
        <f aca="false">PROB1*UTIL1+PROB2*UTIL2</f>
        <v>-1.00000000418843</v>
      </c>
    </row>
    <row r="245" customFormat="false" ht="13" hidden="false" customHeight="false" outlineLevel="0" collapsed="false">
      <c r="A245" s="1" t="n">
        <f aca="false">A244+0.1</f>
        <v>23.5000000000001</v>
      </c>
      <c r="B245" s="1" t="n">
        <v>1</v>
      </c>
      <c r="C245" s="1" t="n">
        <f aca="false">Alpha+Beta*Cost1</f>
        <v>-23.5000000000001</v>
      </c>
      <c r="D245" s="1" t="n">
        <f aca="false">Alpha+Beta*Cost2</f>
        <v>-1</v>
      </c>
      <c r="E245" s="1" t="n">
        <f aca="false">EXP(C$10:C$1048576)</f>
        <v>6.22414462290739E-011</v>
      </c>
      <c r="F245" s="1" t="n">
        <f aca="false">EXP(D$10:D$1048576)</f>
        <v>0.367879441171442</v>
      </c>
      <c r="G245" s="1" t="n">
        <f aca="false">EXP(UTIL1)/(EXP(UTIL1)+EXP(UTIL2))</f>
        <v>1.69189792232877E-010</v>
      </c>
      <c r="H245" s="1" t="n">
        <f aca="false">EXP(UTIL2)/(EXP(UTIL1)+EXP(UTIL2))</f>
        <v>0.99999999983081</v>
      </c>
      <c r="I245" s="1" t="n">
        <f aca="false">Cost1</f>
        <v>23.5000000000001</v>
      </c>
      <c r="J245" s="1" t="n">
        <f aca="false">LN(EXP(UTIL1)+EXP(UTIL2))</f>
        <v>-0.99999999983081</v>
      </c>
      <c r="K245" s="1" t="n">
        <f aca="false">PROB1*UTIL1+PROB2*UTIL2</f>
        <v>-1.00000000380677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2000-07-28T23:57:37Z</dcterms:created>
  <dc:creator>David Levinson</dc:creator>
  <dc:description/>
  <dc:language>en-AU</dc:language>
  <cp:lastModifiedBy>David Levinson</cp:lastModifiedBy>
  <cp:revision>0</cp:revision>
  <dc:subject/>
  <dc:title/>
</cp:coreProperties>
</file>