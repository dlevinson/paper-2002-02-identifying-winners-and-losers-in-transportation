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1" sheetId="1" state="visible" r:id="rId3"/>
    <sheet name="Propensity" sheetId="2" state="visible" r:id="rId4"/>
    <sheet name="Sheet2" sheetId="3" state="visible" r:id="rId5"/>
    <sheet name="Sheet3" sheetId="4" state="visible" r:id="rId6"/>
  </sheets>
  <definedNames>
    <definedName function="false" hidden="false" name="CumArea" vbProcedure="false">Propensity!$C$5:$C$30</definedName>
    <definedName function="false" hidden="false" name="Density" vbProcedure="false">Propensity!$C$1</definedName>
    <definedName function="false" hidden="false" name="HomeZoneJobs" vbProcedure="false">Propensity!$F$2</definedName>
    <definedName function="false" hidden="false" name="JobSupply" vbProcedure="false">Propensity!$E$5:$E$30</definedName>
    <definedName function="false" hidden="false" name="NetArea" vbProcedure="false">Propensity!$D$5:$D$30</definedName>
    <definedName function="false" hidden="false" name="NormalPJS" vbProcedure="false">Propensity!$G$5:$G$30</definedName>
    <definedName function="false" hidden="false" name="PJS" vbProcedure="false">Propensity!$F$5:$F$30</definedName>
    <definedName function="false" hidden="false" name="Propensity" vbProcedure="false">Propensity!$B$5:$B$30</definedName>
    <definedName function="false" hidden="false" name="Speed" vbProcedure="false">Propensity!$C$2</definedName>
    <definedName function="false" hidden="false" name="TimeDensity" vbProcedure="false">Propensity!$F$1</definedName>
    <definedName function="false" hidden="false" name="Travel_Time" vbProcedure="false">Propensity!$A$5:$A$30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<sst xmlns="http://schemas.openxmlformats.org/spreadsheetml/2006/main" count="17" uniqueCount="13">
  <si>
    <t xml:space="preserve">Density</t>
  </si>
  <si>
    <t xml:space="preserve">Jobs/Sq.Mile</t>
  </si>
  <si>
    <t xml:space="preserve">TimeDensity</t>
  </si>
  <si>
    <t xml:space="preserve">Speed</t>
  </si>
  <si>
    <t xml:space="preserve">Miles/Hour</t>
  </si>
  <si>
    <t xml:space="preserve">HomeZoneJobs</t>
  </si>
  <si>
    <t xml:space="preserve">Travel Time</t>
  </si>
  <si>
    <t xml:space="preserve">Propensity</t>
  </si>
  <si>
    <t xml:space="preserve">CumArea</t>
  </si>
  <si>
    <t xml:space="preserve">NetArea</t>
  </si>
  <si>
    <t xml:space="preserve">JobSupply</t>
  </si>
  <si>
    <t xml:space="preserve">PJS</t>
  </si>
  <si>
    <t xml:space="preserve">NormalPJS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</si>
</sst>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7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Accessibility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Propensity!$A$37</c:f>
              <c:strCache>
                <c:ptCount val="1"/>
                <c:pt idx="0">
                  <c:v>Propensity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Propensity!$B$36:$AA$36</c:f>
              <c:numCache>
                <c:formatCode>General</c:formatCode>
                <c:ptCount val="26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77.7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</c:numCache>
            </c:numRef>
          </c:xVal>
          <c:yVal>
            <c:numRef>
              <c:f>Propensity!$B$37:$AA$37</c:f>
              <c:numCache>
                <c:formatCode>General</c:formatCode>
                <c:ptCount val="26"/>
                <c:pt idx="0">
                  <c:v>0.313878283621866</c:v>
                </c:pt>
                <c:pt idx="1">
                  <c:v>0.215186539810425</c:v>
                </c:pt>
                <c:pt idx="2">
                  <c:v>0.147526125035679</c:v>
                </c:pt>
                <c:pt idx="3">
                  <c:v>0.101139957858035</c:v>
                </c:pt>
                <c:pt idx="4">
                  <c:v>0.0693388447168338</c:v>
                </c:pt>
                <c:pt idx="5">
                  <c:v>0.0475368537666759</c:v>
                </c:pt>
                <c:pt idx="6">
                  <c:v>0.0325899930300644</c:v>
                </c:pt>
                <c:pt idx="7">
                  <c:v>0.022342825861231</c:v>
                </c:pt>
                <c:pt idx="8">
                  <c:v>0.0153176426581245</c:v>
                </c:pt>
                <c:pt idx="9">
                  <c:v>0.0105013653178546</c:v>
                </c:pt>
                <c:pt idx="10">
                  <c:v>0.00719945464196781</c:v>
                </c:pt>
                <c:pt idx="11">
                  <c:v>0.00493575316855477</c:v>
                </c:pt>
                <c:pt idx="12">
                  <c:v>0.00338382010199592</c:v>
                </c:pt>
                <c:pt idx="13">
                  <c:v>0.00231985638091063</c:v>
                </c:pt>
                <c:pt idx="14">
                  <c:v>0.00159043136627665</c:v>
                </c:pt>
                <c:pt idx="15">
                  <c:v>0.00109035712367837</c:v>
                </c:pt>
                <c:pt idx="16">
                  <c:v>0.000747519624150419</c:v>
                </c:pt>
                <c:pt idx="17">
                  <c:v>0.00051247942197589</c:v>
                </c:pt>
                <c:pt idx="18">
                  <c:v>0.000351342158070079</c:v>
                </c:pt>
                <c:pt idx="19">
                  <c:v>0.000240870768159639</c:v>
                </c:pt>
                <c:pt idx="20">
                  <c:v>0.000165134543695272</c:v>
                </c:pt>
                <c:pt idx="21">
                  <c:v>0.000113211817813329</c:v>
                </c:pt>
                <c:pt idx="22">
                  <c:v>7.76149883954614E-005</c:v>
                </c:pt>
                <c:pt idx="23">
                  <c:v>5.32107560852043E-005</c:v>
                </c:pt>
                <c:pt idx="24">
                  <c:v>3.64798684080544E-005</c:v>
                </c:pt>
                <c:pt idx="25">
                  <c:v>2.50096201778836E-005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Propensity!$A$39</c:f>
              <c:strCache>
                <c:ptCount val="1"/>
                <c:pt idx="0">
                  <c:v>NormalPJS</c:v>
                </c:pt>
              </c:strCache>
            </c:strRef>
          </c:tx>
          <c:spPr>
            <a:solidFill>
              <a:srgbClr val="339966"/>
            </a:solidFill>
            <a:ln w="37800">
              <a:solidFill>
                <a:srgbClr val="339966"/>
              </a:solidFill>
              <a:round/>
            </a:ln>
          </c:spPr>
          <c:marker>
            <c:symbol val="triangle"/>
            <c:size val="9"/>
            <c:spPr>
              <a:solidFill>
                <a:srgbClr val="339966"/>
              </a:solidFill>
            </c:spPr>
          </c:marker>
          <c:dPt>
            <c:idx val="0"/>
            <c:marker>
              <c:symbol val="triangle"/>
              <c:size val="9"/>
              <c:spPr>
                <a:solidFill>
                  <a:srgbClr val="339966"/>
                </a:solidFill>
              </c:spPr>
            </c:marker>
          </c:dPt>
          <c:dPt>
            <c:idx val="13"/>
            <c:marker>
              <c:symbol val="triangle"/>
              <c:size val="9"/>
              <c:spPr>
                <a:solidFill>
                  <a:srgbClr val="339966"/>
                </a:solidFill>
              </c:spPr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Propensity!$B$36:$AA$36</c:f>
              <c:numCache>
                <c:formatCode>General</c:formatCode>
                <c:ptCount val="26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77.7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</c:numCache>
            </c:numRef>
          </c:xVal>
          <c:yVal>
            <c:numRef>
              <c:f>Propensity!$B$39:$AA$39</c:f>
              <c:numCache>
                <c:formatCode>General</c:formatCode>
                <c:ptCount val="26"/>
                <c:pt idx="0">
                  <c:v>5.58537159051259</c:v>
                </c:pt>
                <c:pt idx="1">
                  <c:v>34.4626297501111</c:v>
                </c:pt>
                <c:pt idx="2">
                  <c:v>65.6295983688826</c:v>
                </c:pt>
                <c:pt idx="3">
                  <c:v>88.1880319899945</c:v>
                </c:pt>
                <c:pt idx="4">
                  <c:v>99.9430095113609</c:v>
                </c:pt>
                <c:pt idx="5">
                  <c:v>102.354421355648</c:v>
                </c:pt>
                <c:pt idx="6">
                  <c:v>98.0080559530723</c:v>
                </c:pt>
                <c:pt idx="7">
                  <c:v>89.4564009330182</c:v>
                </c:pt>
                <c:pt idx="8">
                  <c:v>78.7735792616391</c:v>
                </c:pt>
                <c:pt idx="9">
                  <c:v>67.459601492771</c:v>
                </c:pt>
                <c:pt idx="10">
                  <c:v>56.4974689282349</c:v>
                </c:pt>
                <c:pt idx="11">
                  <c:v>46.4622147307284</c:v>
                </c:pt>
                <c:pt idx="12">
                  <c:v>37.6338011645113</c:v>
                </c:pt>
                <c:pt idx="13">
                  <c:v>30.0939662840169</c:v>
                </c:pt>
                <c:pt idx="14">
                  <c:v>23.8013576684835</c:v>
                </c:pt>
                <c:pt idx="15">
                  <c:v>18.6458830352682</c:v>
                </c:pt>
                <c:pt idx="16">
                  <c:v>14.4857598405027</c:v>
                </c:pt>
                <c:pt idx="17">
                  <c:v>11.1712899175964</c:v>
                </c:pt>
                <c:pt idx="18">
                  <c:v>8.55902934338972</c:v>
                </c:pt>
                <c:pt idx="19">
                  <c:v>6.51934725218395</c:v>
                </c:pt>
                <c:pt idx="20">
                  <c:v>4.93965305711552</c:v>
                </c:pt>
                <c:pt idx="21">
                  <c:v>3.72494168009591</c:v>
                </c:pt>
                <c:pt idx="22">
                  <c:v>2.79680010357475</c:v>
                </c:pt>
                <c:pt idx="23">
                  <c:v>2.09163523133266</c:v>
                </c:pt>
                <c:pt idx="24">
                  <c:v>1.55860557631556</c:v>
                </c:pt>
                <c:pt idx="25">
                  <c:v>1.15754597963999</c:v>
                </c:pt>
              </c:numCache>
            </c:numRef>
          </c:yVal>
          <c:smooth val="0"/>
        </c:ser>
        <c:axId val="53065717"/>
        <c:axId val="7622717"/>
      </c:scatterChart>
      <c:scatterChart>
        <c:scatterStyle val="lineMarker"/>
        <c:varyColors val="0"/>
        <c:ser>
          <c:idx val="2"/>
          <c:order val="2"/>
          <c:tx>
            <c:strRef>
              <c:f>Propensity!$A$38</c:f>
              <c:strCache>
                <c:ptCount val="1"/>
                <c:pt idx="0">
                  <c:v>JobSupply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Propensity!$B$36:$AA$36</c:f>
              <c:numCache>
                <c:formatCode>General</c:formatCode>
                <c:ptCount val="26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77.7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</c:numCache>
            </c:numRef>
          </c:xVal>
          <c:yVal>
            <c:numRef>
              <c:f>Propensity!$B$38:$AA$38</c:f>
              <c:numCache>
                <c:formatCode>General</c:formatCode>
                <c:ptCount val="26"/>
                <c:pt idx="0">
                  <c:v>109.0266875</c:v>
                </c:pt>
                <c:pt idx="1">
                  <c:v>981.2401875</c:v>
                </c:pt>
                <c:pt idx="2">
                  <c:v>2725.6671875</c:v>
                </c:pt>
                <c:pt idx="3">
                  <c:v>5342.3076875</c:v>
                </c:pt>
                <c:pt idx="4">
                  <c:v>8831.1616875</c:v>
                </c:pt>
                <c:pt idx="5">
                  <c:v>13192.2291875</c:v>
                </c:pt>
                <c:pt idx="6">
                  <c:v>18425.5101875</c:v>
                </c:pt>
                <c:pt idx="7">
                  <c:v>24531.0046875</c:v>
                </c:pt>
                <c:pt idx="8">
                  <c:v>31508.7126875</c:v>
                </c:pt>
                <c:pt idx="9">
                  <c:v>39358.6341875</c:v>
                </c:pt>
                <c:pt idx="10">
                  <c:v>48080.7691875</c:v>
                </c:pt>
                <c:pt idx="11">
                  <c:v>57675.1176875</c:v>
                </c:pt>
                <c:pt idx="12">
                  <c:v>68141.6796875</c:v>
                </c:pt>
                <c:pt idx="13">
                  <c:v>79480.4551875</c:v>
                </c:pt>
                <c:pt idx="14">
                  <c:v>91691.4441875</c:v>
                </c:pt>
                <c:pt idx="15">
                  <c:v>104774.6466875</c:v>
                </c:pt>
                <c:pt idx="16">
                  <c:v>118730.0626875</c:v>
                </c:pt>
                <c:pt idx="17">
                  <c:v>133557.6921875</c:v>
                </c:pt>
                <c:pt idx="18">
                  <c:v>149257.5351875</c:v>
                </c:pt>
                <c:pt idx="19">
                  <c:v>165829.5916875</c:v>
                </c:pt>
                <c:pt idx="20">
                  <c:v>183273.8616875</c:v>
                </c:pt>
                <c:pt idx="21">
                  <c:v>201590.3451875</c:v>
                </c:pt>
                <c:pt idx="22">
                  <c:v>220779.0421875</c:v>
                </c:pt>
                <c:pt idx="23">
                  <c:v>240839.9526875</c:v>
                </c:pt>
                <c:pt idx="24">
                  <c:v>261773.0766875</c:v>
                </c:pt>
                <c:pt idx="25">
                  <c:v>283578.4141875</c:v>
                </c:pt>
              </c:numCache>
            </c:numRef>
          </c:yVal>
          <c:smooth val="0"/>
        </c:ser>
        <c:axId val="28477003"/>
        <c:axId val="86293115"/>
      </c:scatterChart>
      <c:valAx>
        <c:axId val="530657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Travel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622717"/>
        <c:crossesAt val="1"/>
        <c:crossBetween val="midCat"/>
      </c:valAx>
      <c:valAx>
        <c:axId val="7622717"/>
        <c:scaling>
          <c:logBase val="10"/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Propensity, Normalized Trips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3065717"/>
        <c:crossesAt val="0"/>
        <c:crossBetween val="midCat"/>
      </c:valAx>
      <c:valAx>
        <c:axId val="28477003"/>
        <c:scaling>
          <c:orientation val="minMax"/>
        </c:scaling>
        <c:delete val="1"/>
        <c:axPos val="t"/>
        <c:numFmt formatCode="General" sourceLinked="1"/>
        <c:majorTickMark val="cross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6293115"/>
        <c:crossBetween val="midCat"/>
      </c:valAx>
      <c:valAx>
        <c:axId val="86293115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Job Supply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8477003"/>
        <c:crosses val="max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b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16015625" defaultRowHeight="13" customHeight="false" zeroHeight="false" outlineLevelRow="0" outlineLevelCol="0"/>
  <cols>
    <col collapsed="false" customWidth="true" hidden="false" outlineLevel="0" max="2" min="2" style="0" width="10.99"/>
    <col collapsed="false" customWidth="true" hidden="false" outlineLevel="0" max="3" min="3" style="0" width="13.66"/>
    <col collapsed="false" customWidth="true" hidden="false" outlineLevel="0" max="4" min="4" style="0" width="12.66"/>
    <col collapsed="false" customWidth="true" hidden="false" outlineLevel="0" max="5" min="5" style="0" width="14.66"/>
    <col collapsed="false" customWidth="true" hidden="false" outlineLevel="0" max="7" min="6" style="0" width="11.66"/>
  </cols>
  <sheetData>
    <row r="1" customFormat="false" ht="13" hidden="false" customHeight="false" outlineLevel="0" collapsed="false">
      <c r="B1" s="0" t="s">
        <v>0</v>
      </c>
      <c r="C1" s="0" t="n">
        <v>333.33</v>
      </c>
      <c r="D1" s="0" t="s">
        <v>1</v>
      </c>
      <c r="E1" s="0" t="s">
        <v>2</v>
      </c>
      <c r="F1" s="0" t="n">
        <f aca="false">Density/Speed</f>
        <v>5.5555</v>
      </c>
    </row>
    <row r="2" customFormat="false" ht="13" hidden="false" customHeight="false" outlineLevel="0" collapsed="false">
      <c r="B2" s="0" t="s">
        <v>3</v>
      </c>
      <c r="C2" s="0" t="n">
        <v>60</v>
      </c>
      <c r="D2" s="0" t="s">
        <v>4</v>
      </c>
      <c r="E2" s="0" t="s">
        <v>5</v>
      </c>
      <c r="F2" s="0" t="n">
        <v>1000</v>
      </c>
    </row>
    <row r="4" customFormat="false" ht="13" hidden="false" customHeight="false" outlineLevel="0" collapsed="false">
      <c r="A4" s="0" t="s">
        <v>6</v>
      </c>
      <c r="B4" s="0" t="s">
        <v>7</v>
      </c>
      <c r="C4" s="0" t="s">
        <v>8</v>
      </c>
      <c r="D4" s="0" t="s">
        <v>9</v>
      </c>
      <c r="E4" s="0" t="s">
        <v>10</v>
      </c>
      <c r="F4" s="0" t="s">
        <v>11</v>
      </c>
      <c r="G4" s="0" t="s">
        <v>12</v>
      </c>
      <c r="I4" s="0" t="str">
        <f aca="false">A4</f>
        <v>Travel Time</v>
      </c>
      <c r="J4" s="0" t="str">
        <f aca="false">B4</f>
        <v>Propensity</v>
      </c>
      <c r="K4" s="0" t="str">
        <f aca="false">E4</f>
        <v>JobSupply</v>
      </c>
      <c r="L4" s="0" t="str">
        <f aca="false">G4</f>
        <v>NormalPJS</v>
      </c>
    </row>
    <row r="5" customFormat="false" ht="13" hidden="false" customHeight="false" outlineLevel="0" collapsed="false">
      <c r="A5" s="0" t="n">
        <v>2.5</v>
      </c>
      <c r="B5" s="1" t="n">
        <f aca="false">EXP(-0.97-0.0755*A5)</f>
        <v>0.313878283621866</v>
      </c>
      <c r="C5" s="2" t="n">
        <f aca="false">3.14*A5^2</f>
        <v>19.625</v>
      </c>
      <c r="D5" s="2" t="n">
        <f aca="false">C5</f>
        <v>19.625</v>
      </c>
      <c r="E5" s="2" t="n">
        <f aca="false">TimeDensity*CumArea</f>
        <v>109.0266875</v>
      </c>
      <c r="F5" s="2" t="n">
        <f aca="false">Propensity*JobSupply</f>
        <v>34.2211095414775</v>
      </c>
      <c r="G5" s="2" t="n">
        <f aca="false">PJS*HomeZoneJobs/$F$32</f>
        <v>5.58537159051259</v>
      </c>
      <c r="I5" s="0" t="n">
        <f aca="false">A5</f>
        <v>2.5</v>
      </c>
      <c r="J5" s="0" t="n">
        <f aca="false">B5</f>
        <v>0.313878283621866</v>
      </c>
      <c r="K5" s="0" t="n">
        <f aca="false">E5</f>
        <v>109.0266875</v>
      </c>
      <c r="L5" s="0" t="n">
        <f aca="false">G5</f>
        <v>5.58537159051259</v>
      </c>
    </row>
    <row r="6" customFormat="false" ht="13" hidden="false" customHeight="false" outlineLevel="0" collapsed="false">
      <c r="A6" s="0" t="n">
        <f aca="false">A5+5</f>
        <v>7.5</v>
      </c>
      <c r="B6" s="1" t="n">
        <f aca="false">EXP(-0.97-0.0755*A6)</f>
        <v>0.215186539810425</v>
      </c>
      <c r="C6" s="2" t="n">
        <f aca="false">3.14*A6^2</f>
        <v>176.625</v>
      </c>
      <c r="D6" s="2" t="n">
        <f aca="false">C6-C5</f>
        <v>157</v>
      </c>
      <c r="E6" s="2" t="n">
        <f aca="false">TimeDensity*CumArea</f>
        <v>981.2401875</v>
      </c>
      <c r="F6" s="2" t="n">
        <f aca="false">Propensity*JobSupply</f>
        <v>211.149680671058</v>
      </c>
      <c r="G6" s="2" t="n">
        <f aca="false">PJS*HomeZoneJobs/$F$32</f>
        <v>34.4626297501111</v>
      </c>
      <c r="I6" s="0" t="n">
        <f aca="false">A6</f>
        <v>7.5</v>
      </c>
      <c r="J6" s="0" t="n">
        <f aca="false">B6</f>
        <v>0.215186539810425</v>
      </c>
      <c r="K6" s="0" t="n">
        <f aca="false">E6</f>
        <v>981.2401875</v>
      </c>
      <c r="L6" s="0" t="n">
        <f aca="false">G6</f>
        <v>34.4626297501111</v>
      </c>
    </row>
    <row r="7" customFormat="false" ht="13" hidden="false" customHeight="false" outlineLevel="0" collapsed="false">
      <c r="A7" s="0" t="n">
        <f aca="false">A6+5</f>
        <v>12.5</v>
      </c>
      <c r="B7" s="1" t="n">
        <f aca="false">EXP(-0.97-0.0755*A7)</f>
        <v>0.147526125035679</v>
      </c>
      <c r="C7" s="2" t="n">
        <f aca="false">3.14*A7^2</f>
        <v>490.625</v>
      </c>
      <c r="D7" s="2" t="n">
        <f aca="false">C7-C6</f>
        <v>314</v>
      </c>
      <c r="E7" s="2" t="n">
        <f aca="false">TimeDensity*CumArea</f>
        <v>2725.6671875</v>
      </c>
      <c r="F7" s="2" t="n">
        <f aca="false">Propensity*JobSupply</f>
        <v>402.107118308773</v>
      </c>
      <c r="G7" s="2" t="n">
        <f aca="false">PJS*HomeZoneJobs/$F$32</f>
        <v>65.6295983688826</v>
      </c>
      <c r="I7" s="0" t="n">
        <f aca="false">A7</f>
        <v>12.5</v>
      </c>
      <c r="J7" s="0" t="n">
        <f aca="false">B7</f>
        <v>0.147526125035679</v>
      </c>
      <c r="K7" s="0" t="n">
        <f aca="false">E7</f>
        <v>2725.6671875</v>
      </c>
      <c r="L7" s="0" t="n">
        <f aca="false">G7</f>
        <v>65.6295983688826</v>
      </c>
    </row>
    <row r="8" customFormat="false" ht="13" hidden="false" customHeight="false" outlineLevel="0" collapsed="false">
      <c r="A8" s="0" t="n">
        <f aca="false">A7+5</f>
        <v>17.5</v>
      </c>
      <c r="B8" s="1" t="n">
        <f aca="false">EXP(-0.97-0.0755*A8)</f>
        <v>0.101139957858035</v>
      </c>
      <c r="C8" s="2" t="n">
        <f aca="false">3.14*A8^2</f>
        <v>961.625</v>
      </c>
      <c r="D8" s="2" t="n">
        <f aca="false">C8-C7</f>
        <v>471</v>
      </c>
      <c r="E8" s="2" t="n">
        <f aca="false">TimeDensity*CumArea</f>
        <v>5342.3076875</v>
      </c>
      <c r="F8" s="2" t="n">
        <f aca="false">Propensity*JobSupply</f>
        <v>540.320774378408</v>
      </c>
      <c r="G8" s="2" t="n">
        <f aca="false">PJS*HomeZoneJobs/$F$32</f>
        <v>88.1880319899945</v>
      </c>
      <c r="I8" s="0" t="n">
        <f aca="false">A8</f>
        <v>17.5</v>
      </c>
      <c r="J8" s="0" t="n">
        <f aca="false">B8</f>
        <v>0.101139957858035</v>
      </c>
      <c r="K8" s="0" t="n">
        <f aca="false">E8</f>
        <v>5342.3076875</v>
      </c>
      <c r="L8" s="0" t="n">
        <f aca="false">G8</f>
        <v>88.1880319899945</v>
      </c>
    </row>
    <row r="9" customFormat="false" ht="13" hidden="false" customHeight="false" outlineLevel="0" collapsed="false">
      <c r="A9" s="0" t="n">
        <f aca="false">A8+5</f>
        <v>22.5</v>
      </c>
      <c r="B9" s="1" t="n">
        <f aca="false">EXP(-0.97-0.0755*A9)</f>
        <v>0.0693388447168338</v>
      </c>
      <c r="C9" s="2" t="n">
        <f aca="false">3.14*A9^2</f>
        <v>1589.625</v>
      </c>
      <c r="D9" s="2" t="n">
        <f aca="false">C9-C8</f>
        <v>628</v>
      </c>
      <c r="E9" s="2" t="n">
        <f aca="false">TimeDensity*CumArea</f>
        <v>8831.1616875</v>
      </c>
      <c r="F9" s="2" t="n">
        <f aca="false">Propensity*JobSupply</f>
        <v>612.342548918814</v>
      </c>
      <c r="G9" s="2" t="n">
        <f aca="false">PJS*HomeZoneJobs/$F$32</f>
        <v>99.9430095113609</v>
      </c>
      <c r="I9" s="0" t="n">
        <f aca="false">A9</f>
        <v>22.5</v>
      </c>
      <c r="J9" s="0" t="n">
        <f aca="false">B9</f>
        <v>0.0693388447168338</v>
      </c>
      <c r="K9" s="0" t="n">
        <f aca="false">E9</f>
        <v>8831.1616875</v>
      </c>
      <c r="L9" s="0" t="n">
        <f aca="false">G9</f>
        <v>99.9430095113609</v>
      </c>
    </row>
    <row r="10" customFormat="false" ht="13" hidden="false" customHeight="false" outlineLevel="0" collapsed="false">
      <c r="A10" s="0" t="n">
        <f aca="false">A9+5</f>
        <v>27.5</v>
      </c>
      <c r="B10" s="1" t="n">
        <f aca="false">EXP(-0.97-0.0755*A10)</f>
        <v>0.0475368537666759</v>
      </c>
      <c r="C10" s="2" t="n">
        <f aca="false">3.14*A10^2</f>
        <v>2374.625</v>
      </c>
      <c r="D10" s="2" t="n">
        <f aca="false">C10-C9</f>
        <v>785</v>
      </c>
      <c r="E10" s="2" t="n">
        <f aca="false">TimeDensity*CumArea</f>
        <v>13192.2291875</v>
      </c>
      <c r="F10" s="2" t="n">
        <f aca="false">Propensity*JobSupply</f>
        <v>627.117069742661</v>
      </c>
      <c r="G10" s="2" t="n">
        <f aca="false">PJS*HomeZoneJobs/$F$32</f>
        <v>102.354421355648</v>
      </c>
      <c r="I10" s="0" t="n">
        <f aca="false">A10</f>
        <v>27.5</v>
      </c>
      <c r="J10" s="0" t="n">
        <f aca="false">B10</f>
        <v>0.0475368537666759</v>
      </c>
      <c r="K10" s="0" t="n">
        <f aca="false">E10</f>
        <v>13192.2291875</v>
      </c>
      <c r="L10" s="0" t="n">
        <f aca="false">G10</f>
        <v>102.354421355648</v>
      </c>
    </row>
    <row r="11" customFormat="false" ht="13" hidden="false" customHeight="false" outlineLevel="0" collapsed="false">
      <c r="A11" s="0" t="n">
        <f aca="false">A10+5</f>
        <v>32.5</v>
      </c>
      <c r="B11" s="1" t="n">
        <f aca="false">EXP(-0.97-0.0755*A11)</f>
        <v>0.0325899930300644</v>
      </c>
      <c r="C11" s="2" t="n">
        <f aca="false">3.14*A11^2</f>
        <v>3316.625</v>
      </c>
      <c r="D11" s="2" t="n">
        <f aca="false">C11-C10</f>
        <v>942</v>
      </c>
      <c r="E11" s="2" t="n">
        <f aca="false">TimeDensity*CumArea</f>
        <v>18425.5101875</v>
      </c>
      <c r="F11" s="2" t="n">
        <f aca="false">Propensity*JobSupply</f>
        <v>600.487248586005</v>
      </c>
      <c r="G11" s="2" t="n">
        <f aca="false">PJS*HomeZoneJobs/$F$32</f>
        <v>98.0080559530722</v>
      </c>
      <c r="I11" s="0" t="n">
        <f aca="false">A11</f>
        <v>32.5</v>
      </c>
      <c r="J11" s="0" t="n">
        <f aca="false">B11</f>
        <v>0.0325899930300644</v>
      </c>
      <c r="K11" s="0" t="n">
        <f aca="false">E11</f>
        <v>18425.5101875</v>
      </c>
      <c r="L11" s="0" t="n">
        <f aca="false">G11</f>
        <v>98.0080559530722</v>
      </c>
    </row>
    <row r="12" customFormat="false" ht="13" hidden="false" customHeight="false" outlineLevel="0" collapsed="false">
      <c r="A12" s="0" t="n">
        <f aca="false">A11+5</f>
        <v>37.5</v>
      </c>
      <c r="B12" s="1" t="n">
        <f aca="false">EXP(-0.97-0.0755*A12)</f>
        <v>0.022342825861231</v>
      </c>
      <c r="C12" s="2" t="n">
        <f aca="false">3.14*A12^2</f>
        <v>4415.625</v>
      </c>
      <c r="D12" s="2" t="n">
        <f aca="false">C12-C11</f>
        <v>1099</v>
      </c>
      <c r="E12" s="2" t="n">
        <f aca="false">TimeDensity*CumArea</f>
        <v>24531.0046875</v>
      </c>
      <c r="F12" s="2" t="n">
        <f aca="false">Propensity*JobSupply</f>
        <v>548.091965933855</v>
      </c>
      <c r="G12" s="2" t="n">
        <f aca="false">PJS*HomeZoneJobs/$F$32</f>
        <v>89.4564009330182</v>
      </c>
      <c r="I12" s="0" t="n">
        <f aca="false">A12</f>
        <v>37.5</v>
      </c>
      <c r="J12" s="0" t="n">
        <f aca="false">B12</f>
        <v>0.022342825861231</v>
      </c>
      <c r="K12" s="0" t="n">
        <f aca="false">E12</f>
        <v>24531.0046875</v>
      </c>
      <c r="L12" s="0" t="n">
        <f aca="false">G12</f>
        <v>89.4564009330182</v>
      </c>
    </row>
    <row r="13" customFormat="false" ht="13" hidden="false" customHeight="false" outlineLevel="0" collapsed="false">
      <c r="A13" s="0" t="n">
        <f aca="false">A12+5</f>
        <v>42.5</v>
      </c>
      <c r="B13" s="1" t="n">
        <f aca="false">EXP(-0.97-0.0755*A13)</f>
        <v>0.0153176426581245</v>
      </c>
      <c r="C13" s="2" t="n">
        <f aca="false">3.14*A13^2</f>
        <v>5671.625</v>
      </c>
      <c r="D13" s="2" t="n">
        <f aca="false">C13-C12</f>
        <v>1256</v>
      </c>
      <c r="E13" s="2" t="n">
        <f aca="false">TimeDensity*CumArea</f>
        <v>31508.7126875</v>
      </c>
      <c r="F13" s="2" t="n">
        <f aca="false">Propensity*JobSupply</f>
        <v>482.639201564639</v>
      </c>
      <c r="G13" s="2" t="n">
        <f aca="false">PJS*HomeZoneJobs/$F$32</f>
        <v>78.773579261639</v>
      </c>
      <c r="I13" s="0" t="n">
        <f aca="false">A13</f>
        <v>42.5</v>
      </c>
      <c r="J13" s="0" t="n">
        <f aca="false">B13</f>
        <v>0.0153176426581245</v>
      </c>
      <c r="K13" s="0" t="n">
        <f aca="false">E13</f>
        <v>31508.7126875</v>
      </c>
      <c r="L13" s="0" t="n">
        <f aca="false">G13</f>
        <v>78.773579261639</v>
      </c>
    </row>
    <row r="14" customFormat="false" ht="13" hidden="false" customHeight="false" outlineLevel="0" collapsed="false">
      <c r="A14" s="0" t="n">
        <f aca="false">A13+5</f>
        <v>47.5</v>
      </c>
      <c r="B14" s="1" t="n">
        <f aca="false">EXP(-0.97-0.0755*A14)</f>
        <v>0.0105013653178546</v>
      </c>
      <c r="C14" s="2" t="n">
        <f aca="false">3.14*A14^2</f>
        <v>7084.625</v>
      </c>
      <c r="D14" s="2" t="n">
        <f aca="false">C14-C13</f>
        <v>1413</v>
      </c>
      <c r="E14" s="2" t="n">
        <f aca="false">TimeDensity*CumArea</f>
        <v>39358.6341875</v>
      </c>
      <c r="F14" s="2" t="n">
        <f aca="false">Propensity*JobSupply</f>
        <v>413.319396014737</v>
      </c>
      <c r="G14" s="2" t="n">
        <f aca="false">PJS*HomeZoneJobs/$F$32</f>
        <v>67.459601492771</v>
      </c>
      <c r="I14" s="0" t="n">
        <f aca="false">A14</f>
        <v>47.5</v>
      </c>
      <c r="J14" s="0" t="n">
        <f aca="false">B14</f>
        <v>0.0105013653178546</v>
      </c>
      <c r="K14" s="0" t="n">
        <f aca="false">E14</f>
        <v>39358.6341875</v>
      </c>
      <c r="L14" s="0" t="n">
        <f aca="false">G14</f>
        <v>67.459601492771</v>
      </c>
    </row>
    <row r="15" customFormat="false" ht="13" hidden="false" customHeight="false" outlineLevel="0" collapsed="false">
      <c r="A15" s="0" t="n">
        <f aca="false">A14+5</f>
        <v>52.5</v>
      </c>
      <c r="B15" s="1" t="n">
        <f aca="false">EXP(-0.97-0.0755*A15)</f>
        <v>0.00719945464196781</v>
      </c>
      <c r="C15" s="2" t="n">
        <f aca="false">3.14*A15^2</f>
        <v>8654.625</v>
      </c>
      <c r="D15" s="2" t="n">
        <f aca="false">C15-C14</f>
        <v>1570</v>
      </c>
      <c r="E15" s="2" t="n">
        <f aca="false">TimeDensity*CumArea</f>
        <v>48080.7691875</v>
      </c>
      <c r="F15" s="2" t="n">
        <f aca="false">Propensity*JobSupply</f>
        <v>346.15531691633</v>
      </c>
      <c r="G15" s="2" t="n">
        <f aca="false">PJS*HomeZoneJobs/$F$32</f>
        <v>56.4974689282349</v>
      </c>
      <c r="I15" s="0" t="n">
        <f aca="false">A15</f>
        <v>52.5</v>
      </c>
      <c r="J15" s="0" t="n">
        <f aca="false">B15</f>
        <v>0.00719945464196781</v>
      </c>
      <c r="K15" s="0" t="n">
        <f aca="false">E15</f>
        <v>48080.7691875</v>
      </c>
      <c r="L15" s="0" t="n">
        <f aca="false">G15</f>
        <v>56.4974689282349</v>
      </c>
    </row>
    <row r="16" customFormat="false" ht="13" hidden="false" customHeight="false" outlineLevel="0" collapsed="false">
      <c r="A16" s="0" t="n">
        <f aca="false">A15+5</f>
        <v>57.5</v>
      </c>
      <c r="B16" s="1" t="n">
        <f aca="false">EXP(-0.97-0.0755*A16)</f>
        <v>0.00493575316855477</v>
      </c>
      <c r="C16" s="2" t="n">
        <f aca="false">3.14*A16^2</f>
        <v>10381.625</v>
      </c>
      <c r="D16" s="2" t="n">
        <f aca="false">C16-C15</f>
        <v>1727</v>
      </c>
      <c r="E16" s="2" t="n">
        <f aca="false">TimeDensity*CumArea</f>
        <v>57675.1176875</v>
      </c>
      <c r="F16" s="2" t="n">
        <f aca="false">Propensity*JobSupply</f>
        <v>284.670144872848</v>
      </c>
      <c r="G16" s="2" t="n">
        <f aca="false">PJS*HomeZoneJobs/$F$32</f>
        <v>46.4622147307284</v>
      </c>
      <c r="I16" s="0" t="n">
        <f aca="false">A16</f>
        <v>57.5</v>
      </c>
      <c r="J16" s="0" t="n">
        <f aca="false">B16</f>
        <v>0.00493575316855477</v>
      </c>
      <c r="K16" s="0" t="n">
        <f aca="false">E16</f>
        <v>57675.1176875</v>
      </c>
      <c r="L16" s="0" t="n">
        <f aca="false">G16</f>
        <v>46.4622147307284</v>
      </c>
    </row>
    <row r="17" customFormat="false" ht="13" hidden="false" customHeight="false" outlineLevel="0" collapsed="false">
      <c r="A17" s="0" t="n">
        <f aca="false">A16+5</f>
        <v>62.5</v>
      </c>
      <c r="B17" s="1" t="n">
        <f aca="false">EXP(-0.97-0.0755*A17)</f>
        <v>0.00338382010199592</v>
      </c>
      <c r="C17" s="2" t="n">
        <f aca="false">3.14*A17^2</f>
        <v>12265.625</v>
      </c>
      <c r="D17" s="2" t="n">
        <f aca="false">C17-C16</f>
        <v>1884</v>
      </c>
      <c r="E17" s="2" t="n">
        <f aca="false">TimeDensity*CumArea</f>
        <v>68141.6796875</v>
      </c>
      <c r="F17" s="2" t="n">
        <f aca="false">Propensity*JobSupply</f>
        <v>230.579185510329</v>
      </c>
      <c r="G17" s="2" t="n">
        <f aca="false">PJS*HomeZoneJobs/$F$32</f>
        <v>37.6338011645113</v>
      </c>
      <c r="I17" s="0" t="n">
        <f aca="false">A17</f>
        <v>62.5</v>
      </c>
      <c r="J17" s="0" t="n">
        <f aca="false">B17</f>
        <v>0.00338382010199592</v>
      </c>
      <c r="K17" s="0" t="n">
        <f aca="false">E17</f>
        <v>68141.6796875</v>
      </c>
      <c r="L17" s="0" t="n">
        <f aca="false">G17</f>
        <v>37.6338011645113</v>
      </c>
    </row>
    <row r="18" customFormat="false" ht="13" hidden="false" customHeight="false" outlineLevel="0" collapsed="false">
      <c r="A18" s="0" t="n">
        <f aca="false">A17+5</f>
        <v>67.5</v>
      </c>
      <c r="B18" s="1" t="n">
        <f aca="false">EXP(-0.97-0.0755*A18)</f>
        <v>0.00231985638091063</v>
      </c>
      <c r="C18" s="2" t="n">
        <f aca="false">3.14*A18^2</f>
        <v>14306.625</v>
      </c>
      <c r="D18" s="2" t="n">
        <f aca="false">C18-C17</f>
        <v>2041</v>
      </c>
      <c r="E18" s="2" t="n">
        <f aca="false">TimeDensity*CumArea</f>
        <v>79480.4551875</v>
      </c>
      <c r="F18" s="2" t="n">
        <f aca="false">Propensity*JobSupply</f>
        <v>184.383241124403</v>
      </c>
      <c r="G18" s="2" t="n">
        <f aca="false">PJS*HomeZoneJobs/$F$32</f>
        <v>30.0939662840169</v>
      </c>
      <c r="I18" s="0" t="n">
        <f aca="false">A18</f>
        <v>67.5</v>
      </c>
      <c r="J18" s="0" t="n">
        <f aca="false">B18</f>
        <v>0.00231985638091063</v>
      </c>
      <c r="K18" s="0" t="n">
        <f aca="false">E18</f>
        <v>79480.4551875</v>
      </c>
      <c r="L18" s="0" t="n">
        <f aca="false">G18</f>
        <v>30.0939662840169</v>
      </c>
    </row>
    <row r="19" customFormat="false" ht="13" hidden="false" customHeight="false" outlineLevel="0" collapsed="false">
      <c r="A19" s="0" t="n">
        <f aca="false">A18+5</f>
        <v>72.5</v>
      </c>
      <c r="B19" s="1" t="n">
        <f aca="false">EXP(-0.97-0.0755*A19)</f>
        <v>0.00159043136627665</v>
      </c>
      <c r="C19" s="2" t="n">
        <f aca="false">3.14*A19^2</f>
        <v>16504.625</v>
      </c>
      <c r="D19" s="2" t="n">
        <f aca="false">C19-C18</f>
        <v>2198</v>
      </c>
      <c r="E19" s="2" t="n">
        <f aca="false">TimeDensity*CumArea</f>
        <v>91691.4441875</v>
      </c>
      <c r="F19" s="2" t="n">
        <f aca="false">Propensity*JobSupply</f>
        <v>145.828948855005</v>
      </c>
      <c r="G19" s="2" t="n">
        <f aca="false">PJS*HomeZoneJobs/$F$32</f>
        <v>23.8013576684835</v>
      </c>
      <c r="I19" s="0" t="n">
        <f aca="false">A19</f>
        <v>72.5</v>
      </c>
      <c r="J19" s="0" t="n">
        <f aca="false">B19</f>
        <v>0.00159043136627665</v>
      </c>
      <c r="K19" s="0" t="n">
        <f aca="false">E19</f>
        <v>91691.4441875</v>
      </c>
      <c r="L19" s="0" t="n">
        <f aca="false">G19</f>
        <v>23.8013576684835</v>
      </c>
    </row>
    <row r="20" customFormat="false" ht="13" hidden="false" customHeight="false" outlineLevel="0" collapsed="false">
      <c r="A20" s="0" t="n">
        <f aca="false">A19+5</f>
        <v>77.5</v>
      </c>
      <c r="B20" s="1" t="n">
        <f aca="false">EXP(-0.97-0.0755*A20)</f>
        <v>0.00109035712367837</v>
      </c>
      <c r="C20" s="2" t="n">
        <f aca="false">3.14*A20^2</f>
        <v>18859.625</v>
      </c>
      <c r="D20" s="2" t="n">
        <f aca="false">C20-C19</f>
        <v>2355</v>
      </c>
      <c r="E20" s="2" t="n">
        <f aca="false">TimeDensity*CumArea</f>
        <v>104774.6466875</v>
      </c>
      <c r="F20" s="2" t="n">
        <f aca="false">Propensity*JobSupply</f>
        <v>114.2417823966</v>
      </c>
      <c r="G20" s="2" t="n">
        <f aca="false">PJS*HomeZoneJobs/$F$32</f>
        <v>18.6458830352682</v>
      </c>
      <c r="I20" s="0" t="n">
        <f aca="false">A20</f>
        <v>77.5</v>
      </c>
      <c r="J20" s="0" t="n">
        <f aca="false">B20</f>
        <v>0.00109035712367837</v>
      </c>
      <c r="K20" s="0" t="n">
        <f aca="false">E20</f>
        <v>104774.6466875</v>
      </c>
      <c r="L20" s="0" t="n">
        <f aca="false">G20</f>
        <v>18.6458830352682</v>
      </c>
    </row>
    <row r="21" customFormat="false" ht="13" hidden="false" customHeight="false" outlineLevel="0" collapsed="false">
      <c r="A21" s="0" t="n">
        <f aca="false">A20+5</f>
        <v>82.5</v>
      </c>
      <c r="B21" s="1" t="n">
        <f aca="false">EXP(-0.97-0.0755*A21)</f>
        <v>0.000747519624150419</v>
      </c>
      <c r="C21" s="2" t="n">
        <f aca="false">3.14*A21^2</f>
        <v>21371.625</v>
      </c>
      <c r="D21" s="2" t="n">
        <f aca="false">C21-C20</f>
        <v>2512</v>
      </c>
      <c r="E21" s="2" t="n">
        <f aca="false">TimeDensity*CumArea</f>
        <v>118730.0626875</v>
      </c>
      <c r="F21" s="2" t="n">
        <f aca="false">Propensity*JobSupply</f>
        <v>88.7530518355156</v>
      </c>
      <c r="G21" s="2" t="n">
        <f aca="false">PJS*HomeZoneJobs/$F$32</f>
        <v>14.4857598405027</v>
      </c>
      <c r="I21" s="0" t="n">
        <f aca="false">A21</f>
        <v>82.5</v>
      </c>
      <c r="J21" s="0" t="n">
        <f aca="false">B21</f>
        <v>0.000747519624150419</v>
      </c>
      <c r="K21" s="0" t="n">
        <f aca="false">E21</f>
        <v>118730.0626875</v>
      </c>
      <c r="L21" s="0" t="n">
        <f aca="false">G21</f>
        <v>14.4857598405027</v>
      </c>
    </row>
    <row r="22" customFormat="false" ht="13" hidden="false" customHeight="false" outlineLevel="0" collapsed="false">
      <c r="A22" s="0" t="n">
        <f aca="false">A21+5</f>
        <v>87.5</v>
      </c>
      <c r="B22" s="1" t="n">
        <f aca="false">EXP(-0.97-0.0755*A22)</f>
        <v>0.00051247942197589</v>
      </c>
      <c r="C22" s="2" t="n">
        <f aca="false">3.14*A22^2</f>
        <v>24040.625</v>
      </c>
      <c r="D22" s="2" t="n">
        <f aca="false">C22-C21</f>
        <v>2669</v>
      </c>
      <c r="E22" s="2" t="n">
        <f aca="false">TimeDensity*CumArea</f>
        <v>133557.6921875</v>
      </c>
      <c r="F22" s="2" t="n">
        <f aca="false">Propensity*JobSupply</f>
        <v>68.4455688926838</v>
      </c>
      <c r="G22" s="2" t="n">
        <f aca="false">PJS*HomeZoneJobs/$F$32</f>
        <v>11.1712899175964</v>
      </c>
      <c r="I22" s="0" t="n">
        <f aca="false">A22</f>
        <v>87.5</v>
      </c>
      <c r="J22" s="0" t="n">
        <f aca="false">B22</f>
        <v>0.00051247942197589</v>
      </c>
      <c r="K22" s="0" t="n">
        <f aca="false">E22</f>
        <v>133557.6921875</v>
      </c>
      <c r="L22" s="0" t="n">
        <f aca="false">G22</f>
        <v>11.1712899175964</v>
      </c>
    </row>
    <row r="23" customFormat="false" ht="13" hidden="false" customHeight="false" outlineLevel="0" collapsed="false">
      <c r="A23" s="0" t="n">
        <f aca="false">A22+5</f>
        <v>92.5</v>
      </c>
      <c r="B23" s="1" t="n">
        <f aca="false">EXP(-0.97-0.0755*A23)</f>
        <v>0.000351342158070079</v>
      </c>
      <c r="C23" s="2" t="n">
        <f aca="false">3.14*A23^2</f>
        <v>26866.625</v>
      </c>
      <c r="D23" s="2" t="n">
        <f aca="false">C23-C22</f>
        <v>2826</v>
      </c>
      <c r="E23" s="2" t="n">
        <f aca="false">TimeDensity*CumArea</f>
        <v>149257.5351875</v>
      </c>
      <c r="F23" s="2" t="n">
        <f aca="false">Propensity*JobSupply</f>
        <v>52.440464520997</v>
      </c>
      <c r="G23" s="2" t="n">
        <f aca="false">PJS*HomeZoneJobs/$F$32</f>
        <v>8.55902934338972</v>
      </c>
      <c r="I23" s="0" t="n">
        <f aca="false">A23</f>
        <v>92.5</v>
      </c>
      <c r="J23" s="0" t="n">
        <f aca="false">B23</f>
        <v>0.000351342158070079</v>
      </c>
      <c r="K23" s="0" t="n">
        <f aca="false">E23</f>
        <v>149257.5351875</v>
      </c>
      <c r="L23" s="0" t="n">
        <f aca="false">G23</f>
        <v>8.55902934338972</v>
      </c>
    </row>
    <row r="24" customFormat="false" ht="13" hidden="false" customHeight="false" outlineLevel="0" collapsed="false">
      <c r="A24" s="0" t="n">
        <f aca="false">A23+5</f>
        <v>97.5</v>
      </c>
      <c r="B24" s="1" t="n">
        <f aca="false">EXP(-0.97-0.0755*A24)</f>
        <v>0.000240870768159639</v>
      </c>
      <c r="C24" s="2" t="n">
        <f aca="false">3.14*A24^2</f>
        <v>29849.625</v>
      </c>
      <c r="D24" s="2" t="n">
        <f aca="false">C24-C23</f>
        <v>2983</v>
      </c>
      <c r="E24" s="2" t="n">
        <f aca="false">TimeDensity*CumArea</f>
        <v>165829.5916875</v>
      </c>
      <c r="F24" s="2" t="n">
        <f aca="false">Propensity*JobSupply</f>
        <v>39.9435011333673</v>
      </c>
      <c r="G24" s="2" t="n">
        <f aca="false">PJS*HomeZoneJobs/$F$32</f>
        <v>6.51934725218395</v>
      </c>
      <c r="I24" s="0" t="n">
        <f aca="false">A24</f>
        <v>97.5</v>
      </c>
      <c r="J24" s="0" t="n">
        <f aca="false">B24</f>
        <v>0.000240870768159639</v>
      </c>
      <c r="K24" s="0" t="n">
        <f aca="false">E24</f>
        <v>165829.5916875</v>
      </c>
      <c r="L24" s="0" t="n">
        <f aca="false">G24</f>
        <v>6.51934725218395</v>
      </c>
    </row>
    <row r="25" customFormat="false" ht="13" hidden="false" customHeight="false" outlineLevel="0" collapsed="false">
      <c r="A25" s="0" t="n">
        <f aca="false">A24+5</f>
        <v>102.5</v>
      </c>
      <c r="B25" s="1" t="n">
        <f aca="false">EXP(-0.97-0.0755*A25)</f>
        <v>0.000165134543695272</v>
      </c>
      <c r="C25" s="2" t="n">
        <f aca="false">3.14*A25^2</f>
        <v>32989.625</v>
      </c>
      <c r="D25" s="2" t="n">
        <f aca="false">C25-C24</f>
        <v>3140</v>
      </c>
      <c r="E25" s="2" t="n">
        <f aca="false">TimeDensity*CumArea</f>
        <v>183273.8616875</v>
      </c>
      <c r="F25" s="2" t="n">
        <f aca="false">Propensity*JobSupply</f>
        <v>30.2648455210356</v>
      </c>
      <c r="G25" s="2" t="n">
        <f aca="false">PJS*HomeZoneJobs/$F$32</f>
        <v>4.93965305711552</v>
      </c>
      <c r="I25" s="0" t="n">
        <f aca="false">A25</f>
        <v>102.5</v>
      </c>
      <c r="J25" s="0" t="n">
        <f aca="false">B25</f>
        <v>0.000165134543695272</v>
      </c>
      <c r="K25" s="0" t="n">
        <f aca="false">E25</f>
        <v>183273.8616875</v>
      </c>
      <c r="L25" s="0" t="n">
        <f aca="false">G25</f>
        <v>4.93965305711552</v>
      </c>
    </row>
    <row r="26" customFormat="false" ht="13" hidden="false" customHeight="false" outlineLevel="0" collapsed="false">
      <c r="A26" s="0" t="n">
        <f aca="false">A25+5</f>
        <v>107.5</v>
      </c>
      <c r="B26" s="1" t="n">
        <f aca="false">EXP(-0.97-0.0755*A26)</f>
        <v>0.000113211817813329</v>
      </c>
      <c r="C26" s="2" t="n">
        <f aca="false">3.14*A26^2</f>
        <v>36286.625</v>
      </c>
      <c r="D26" s="2" t="n">
        <f aca="false">C26-C25</f>
        <v>3297</v>
      </c>
      <c r="E26" s="2" t="n">
        <f aca="false">TimeDensity*CumArea</f>
        <v>201590.3451875</v>
      </c>
      <c r="F26" s="2" t="n">
        <f aca="false">Propensity*JobSupply</f>
        <v>22.8224094322933</v>
      </c>
      <c r="G26" s="2" t="n">
        <f aca="false">PJS*HomeZoneJobs/$F$32</f>
        <v>3.72494168009591</v>
      </c>
      <c r="I26" s="0" t="n">
        <f aca="false">A26</f>
        <v>107.5</v>
      </c>
      <c r="J26" s="0" t="n">
        <f aca="false">B26</f>
        <v>0.000113211817813329</v>
      </c>
      <c r="K26" s="0" t="n">
        <f aca="false">E26</f>
        <v>201590.3451875</v>
      </c>
      <c r="L26" s="0" t="n">
        <f aca="false">G26</f>
        <v>3.72494168009591</v>
      </c>
    </row>
    <row r="27" customFormat="false" ht="13" hidden="false" customHeight="false" outlineLevel="0" collapsed="false">
      <c r="A27" s="0" t="n">
        <f aca="false">A26+5</f>
        <v>112.5</v>
      </c>
      <c r="B27" s="1" t="n">
        <f aca="false">EXP(-0.97-0.0755*A27)</f>
        <v>7.76149883954614E-005</v>
      </c>
      <c r="C27" s="2" t="n">
        <f aca="false">3.14*A27^2</f>
        <v>39740.625</v>
      </c>
      <c r="D27" s="2" t="n">
        <f aca="false">C27-C26</f>
        <v>3454</v>
      </c>
      <c r="E27" s="2" t="n">
        <f aca="false">TimeDensity*CumArea</f>
        <v>220779.0421875</v>
      </c>
      <c r="F27" s="2" t="n">
        <f aca="false">Propensity*JobSupply</f>
        <v>17.1357627973439</v>
      </c>
      <c r="G27" s="2" t="n">
        <f aca="false">PJS*HomeZoneJobs/$F$32</f>
        <v>2.79680010357475</v>
      </c>
      <c r="I27" s="0" t="n">
        <f aca="false">A27</f>
        <v>112.5</v>
      </c>
      <c r="J27" s="0" t="n">
        <f aca="false">B27</f>
        <v>7.76149883954614E-005</v>
      </c>
      <c r="K27" s="0" t="n">
        <f aca="false">E27</f>
        <v>220779.0421875</v>
      </c>
      <c r="L27" s="0" t="n">
        <f aca="false">G27</f>
        <v>2.79680010357475</v>
      </c>
    </row>
    <row r="28" customFormat="false" ht="13" hidden="false" customHeight="false" outlineLevel="0" collapsed="false">
      <c r="A28" s="0" t="n">
        <f aca="false">A27+5</f>
        <v>117.5</v>
      </c>
      <c r="B28" s="1" t="n">
        <f aca="false">EXP(-0.97-0.0755*A28)</f>
        <v>5.32107560852043E-005</v>
      </c>
      <c r="C28" s="2" t="n">
        <f aca="false">3.14*A28^2</f>
        <v>43351.625</v>
      </c>
      <c r="D28" s="2" t="n">
        <f aca="false">C28-C27</f>
        <v>3611</v>
      </c>
      <c r="E28" s="2" t="n">
        <f aca="false">TimeDensity*CumArea</f>
        <v>240839.9526875</v>
      </c>
      <c r="F28" s="2" t="n">
        <f aca="false">Propensity*JobSupply</f>
        <v>12.8152759780267</v>
      </c>
      <c r="G28" s="2" t="n">
        <f aca="false">PJS*HomeZoneJobs/$F$32</f>
        <v>2.09163523133266</v>
      </c>
      <c r="I28" s="0" t="n">
        <f aca="false">A28</f>
        <v>117.5</v>
      </c>
      <c r="J28" s="0" t="n">
        <f aca="false">B28</f>
        <v>5.32107560852043E-005</v>
      </c>
      <c r="K28" s="0" t="n">
        <f aca="false">E28</f>
        <v>240839.9526875</v>
      </c>
      <c r="L28" s="0" t="n">
        <f aca="false">G28</f>
        <v>2.09163523133266</v>
      </c>
    </row>
    <row r="29" customFormat="false" ht="13" hidden="false" customHeight="false" outlineLevel="0" collapsed="false">
      <c r="A29" s="0" t="n">
        <f aca="false">A28+5</f>
        <v>122.5</v>
      </c>
      <c r="B29" s="1" t="n">
        <f aca="false">EXP(-0.97-0.0755*A29)</f>
        <v>3.64798684080544E-005</v>
      </c>
      <c r="C29" s="2" t="n">
        <f aca="false">3.14*A29^2</f>
        <v>47119.625</v>
      </c>
      <c r="D29" s="2" t="n">
        <f aca="false">C29-C28</f>
        <v>3768</v>
      </c>
      <c r="E29" s="2" t="n">
        <f aca="false">TimeDensity*CumArea</f>
        <v>261773.0766875</v>
      </c>
      <c r="F29" s="2" t="n">
        <f aca="false">Propensity*JobSupply</f>
        <v>9.54944739033154</v>
      </c>
      <c r="G29" s="2" t="n">
        <f aca="false">PJS*HomeZoneJobs/$F$32</f>
        <v>1.55860557631556</v>
      </c>
      <c r="I29" s="0" t="n">
        <f aca="false">A29</f>
        <v>122.5</v>
      </c>
      <c r="J29" s="0" t="n">
        <f aca="false">B29</f>
        <v>3.64798684080544E-005</v>
      </c>
      <c r="K29" s="0" t="n">
        <f aca="false">E29</f>
        <v>261773.0766875</v>
      </c>
      <c r="L29" s="0" t="n">
        <f aca="false">G29</f>
        <v>1.55860557631556</v>
      </c>
    </row>
    <row r="30" customFormat="false" ht="13" hidden="false" customHeight="false" outlineLevel="0" collapsed="false">
      <c r="A30" s="0" t="n">
        <f aca="false">A29+5</f>
        <v>127.5</v>
      </c>
      <c r="B30" s="1" t="n">
        <f aca="false">EXP(-0.97-0.0755*A30)</f>
        <v>2.50096201778836E-005</v>
      </c>
      <c r="C30" s="2" t="n">
        <f aca="false">3.14*A30^2</f>
        <v>51044.625</v>
      </c>
      <c r="D30" s="2" t="n">
        <f aca="false">C30-C29</f>
        <v>3925</v>
      </c>
      <c r="E30" s="2" t="n">
        <f aca="false">TimeDensity*CumArea</f>
        <v>283578.4141875</v>
      </c>
      <c r="F30" s="2" t="n">
        <f aca="false">Propensity*JobSupply</f>
        <v>7.09218842947593</v>
      </c>
      <c r="G30" s="2" t="n">
        <f aca="false">PJS*HomeZoneJobs/$F$32</f>
        <v>1.15754597963999</v>
      </c>
      <c r="I30" s="0" t="n">
        <f aca="false">A30</f>
        <v>127.5</v>
      </c>
      <c r="J30" s="0" t="n">
        <f aca="false">B30</f>
        <v>2.50096201778836E-005</v>
      </c>
      <c r="K30" s="0" t="n">
        <f aca="false">E30</f>
        <v>283578.4141875</v>
      </c>
      <c r="L30" s="0" t="n">
        <f aca="false">G30</f>
        <v>1.15754597963999</v>
      </c>
    </row>
    <row r="32" customFormat="false" ht="13" hidden="false" customHeight="false" outlineLevel="0" collapsed="false">
      <c r="B32" s="1" t="n">
        <f aca="false">SUM(B5:B30)</f>
        <v>0.998200978027105</v>
      </c>
      <c r="D32" s="2" t="n">
        <f aca="false">SUM(D5:D30)</f>
        <v>51044.625</v>
      </c>
      <c r="E32" s="2" t="n">
        <f aca="false">SUM(E5:E30)</f>
        <v>2554059.181375</v>
      </c>
      <c r="F32" s="2" t="n">
        <f aca="false">SUM(F5:F30)</f>
        <v>6126.91724926701</v>
      </c>
      <c r="G32" s="2" t="n">
        <f aca="false">SUM(G5:G30)</f>
        <v>1000</v>
      </c>
    </row>
    <row r="36" customFormat="false" ht="13" hidden="false" customHeight="false" outlineLevel="0" collapsed="false">
      <c r="A36" s="0" t="s">
        <v>6</v>
      </c>
      <c r="B36" s="0" t="n">
        <v>2.5</v>
      </c>
      <c r="C36" s="0" t="n">
        <v>7.5</v>
      </c>
      <c r="D36" s="0" t="n">
        <v>12.5</v>
      </c>
      <c r="E36" s="0" t="n">
        <v>17.5</v>
      </c>
      <c r="F36" s="0" t="n">
        <v>22.5</v>
      </c>
      <c r="G36" s="0" t="n">
        <v>27.5</v>
      </c>
      <c r="H36" s="0" t="n">
        <v>32.5</v>
      </c>
      <c r="I36" s="0" t="n">
        <v>37.5</v>
      </c>
      <c r="J36" s="0" t="n">
        <v>42.5</v>
      </c>
      <c r="K36" s="0" t="n">
        <v>47.5</v>
      </c>
      <c r="L36" s="0" t="n">
        <v>52.5</v>
      </c>
      <c r="M36" s="0" t="n">
        <v>57.5</v>
      </c>
      <c r="N36" s="0" t="n">
        <v>62.5</v>
      </c>
      <c r="O36" s="0" t="n">
        <v>67.5</v>
      </c>
      <c r="P36" s="0" t="n">
        <v>72.5</v>
      </c>
      <c r="Q36" s="0" t="n">
        <v>77.7</v>
      </c>
      <c r="R36" s="0" t="n">
        <v>82.5</v>
      </c>
      <c r="S36" s="0" t="n">
        <v>87.5</v>
      </c>
      <c r="T36" s="0" t="n">
        <v>92.5</v>
      </c>
      <c r="U36" s="0" t="n">
        <v>97.5</v>
      </c>
      <c r="V36" s="0" t="n">
        <v>102.5</v>
      </c>
      <c r="W36" s="0" t="n">
        <v>107.5</v>
      </c>
      <c r="X36" s="0" t="n">
        <v>112.5</v>
      </c>
      <c r="Y36" s="0" t="n">
        <v>117.5</v>
      </c>
      <c r="Z36" s="0" t="n">
        <v>122.5</v>
      </c>
      <c r="AA36" s="0" t="n">
        <v>127.5</v>
      </c>
    </row>
    <row r="37" customFormat="false" ht="13" hidden="false" customHeight="false" outlineLevel="0" collapsed="false">
      <c r="A37" s="0" t="s">
        <v>7</v>
      </c>
      <c r="B37" s="0" t="n">
        <v>0.313878283621866</v>
      </c>
      <c r="C37" s="0" t="n">
        <v>0.215186539810425</v>
      </c>
      <c r="D37" s="0" t="n">
        <v>0.147526125035679</v>
      </c>
      <c r="E37" s="0" t="n">
        <v>0.101139957858035</v>
      </c>
      <c r="F37" s="0" t="n">
        <v>0.0693388447168338</v>
      </c>
      <c r="G37" s="0" t="n">
        <v>0.0475368537666759</v>
      </c>
      <c r="H37" s="0" t="n">
        <v>0.0325899930300644</v>
      </c>
      <c r="I37" s="0" t="n">
        <v>0.022342825861231</v>
      </c>
      <c r="J37" s="0" t="n">
        <v>0.0153176426581245</v>
      </c>
      <c r="K37" s="0" t="n">
        <v>0.0105013653178546</v>
      </c>
      <c r="L37" s="0" t="n">
        <v>0.00719945464196781</v>
      </c>
      <c r="M37" s="0" t="n">
        <v>0.00493575316855477</v>
      </c>
      <c r="N37" s="0" t="n">
        <v>0.00338382010199592</v>
      </c>
      <c r="O37" s="0" t="n">
        <v>0.00231985638091063</v>
      </c>
      <c r="P37" s="0" t="n">
        <v>0.00159043136627665</v>
      </c>
      <c r="Q37" s="0" t="n">
        <v>0.00109035712367837</v>
      </c>
      <c r="R37" s="0" t="n">
        <v>0.000747519624150419</v>
      </c>
      <c r="S37" s="0" t="n">
        <v>0.00051247942197589</v>
      </c>
      <c r="T37" s="0" t="n">
        <v>0.000351342158070079</v>
      </c>
      <c r="U37" s="0" t="n">
        <v>0.000240870768159639</v>
      </c>
      <c r="V37" s="0" t="n">
        <v>0.000165134543695272</v>
      </c>
      <c r="W37" s="0" t="n">
        <v>0.000113211817813329</v>
      </c>
      <c r="X37" s="0" t="n">
        <v>7.76149883954614E-005</v>
      </c>
      <c r="Y37" s="0" t="n">
        <v>5.32107560852043E-005</v>
      </c>
      <c r="Z37" s="0" t="n">
        <v>3.64798684080544E-005</v>
      </c>
      <c r="AA37" s="0" t="n">
        <v>2.50096201778836E-005</v>
      </c>
    </row>
    <row r="38" customFormat="false" ht="13" hidden="false" customHeight="false" outlineLevel="0" collapsed="false">
      <c r="A38" s="0" t="s">
        <v>10</v>
      </c>
      <c r="B38" s="0" t="n">
        <v>109.0266875</v>
      </c>
      <c r="C38" s="0" t="n">
        <v>981.2401875</v>
      </c>
      <c r="D38" s="0" t="n">
        <v>2725.6671875</v>
      </c>
      <c r="E38" s="0" t="n">
        <v>5342.3076875</v>
      </c>
      <c r="F38" s="0" t="n">
        <v>8831.1616875</v>
      </c>
      <c r="G38" s="0" t="n">
        <v>13192.2291875</v>
      </c>
      <c r="H38" s="0" t="n">
        <v>18425.5101875</v>
      </c>
      <c r="I38" s="0" t="n">
        <v>24531.0046875</v>
      </c>
      <c r="J38" s="0" t="n">
        <v>31508.7126875</v>
      </c>
      <c r="K38" s="0" t="n">
        <v>39358.6341875</v>
      </c>
      <c r="L38" s="0" t="n">
        <v>48080.7691875</v>
      </c>
      <c r="M38" s="0" t="n">
        <v>57675.1176875</v>
      </c>
      <c r="N38" s="0" t="n">
        <v>68141.6796875</v>
      </c>
      <c r="O38" s="0" t="n">
        <v>79480.4551875</v>
      </c>
      <c r="P38" s="0" t="n">
        <v>91691.4441875</v>
      </c>
      <c r="Q38" s="0" t="n">
        <v>104774.6466875</v>
      </c>
      <c r="R38" s="0" t="n">
        <v>118730.0626875</v>
      </c>
      <c r="S38" s="0" t="n">
        <v>133557.6921875</v>
      </c>
      <c r="T38" s="0" t="n">
        <v>149257.5351875</v>
      </c>
      <c r="U38" s="0" t="n">
        <v>165829.5916875</v>
      </c>
      <c r="V38" s="0" t="n">
        <v>183273.8616875</v>
      </c>
      <c r="W38" s="0" t="n">
        <v>201590.3451875</v>
      </c>
      <c r="X38" s="0" t="n">
        <v>220779.0421875</v>
      </c>
      <c r="Y38" s="0" t="n">
        <v>240839.9526875</v>
      </c>
      <c r="Z38" s="0" t="n">
        <v>261773.0766875</v>
      </c>
      <c r="AA38" s="0" t="n">
        <v>283578.4141875</v>
      </c>
    </row>
    <row r="39" customFormat="false" ht="13" hidden="false" customHeight="false" outlineLevel="0" collapsed="false">
      <c r="A39" s="0" t="s">
        <v>12</v>
      </c>
      <c r="B39" s="0" t="n">
        <v>5.58537159051259</v>
      </c>
      <c r="C39" s="0" t="n">
        <v>34.4626297501111</v>
      </c>
      <c r="D39" s="0" t="n">
        <v>65.6295983688826</v>
      </c>
      <c r="E39" s="0" t="n">
        <v>88.1880319899945</v>
      </c>
      <c r="F39" s="0" t="n">
        <v>99.9430095113609</v>
      </c>
      <c r="G39" s="0" t="n">
        <v>102.354421355648</v>
      </c>
      <c r="H39" s="0" t="n">
        <v>98.0080559530723</v>
      </c>
      <c r="I39" s="0" t="n">
        <v>89.4564009330182</v>
      </c>
      <c r="J39" s="0" t="n">
        <v>78.7735792616391</v>
      </c>
      <c r="K39" s="0" t="n">
        <v>67.459601492771</v>
      </c>
      <c r="L39" s="0" t="n">
        <v>56.4974689282349</v>
      </c>
      <c r="M39" s="0" t="n">
        <v>46.4622147307284</v>
      </c>
      <c r="N39" s="0" t="n">
        <v>37.6338011645113</v>
      </c>
      <c r="O39" s="0" t="n">
        <v>30.0939662840169</v>
      </c>
      <c r="P39" s="0" t="n">
        <v>23.8013576684835</v>
      </c>
      <c r="Q39" s="0" t="n">
        <v>18.6458830352682</v>
      </c>
      <c r="R39" s="0" t="n">
        <v>14.4857598405027</v>
      </c>
      <c r="S39" s="0" t="n">
        <v>11.1712899175964</v>
      </c>
      <c r="T39" s="0" t="n">
        <v>8.55902934338972</v>
      </c>
      <c r="U39" s="0" t="n">
        <v>6.51934725218395</v>
      </c>
      <c r="V39" s="0" t="n">
        <v>4.93965305711552</v>
      </c>
      <c r="W39" s="0" t="n">
        <v>3.72494168009591</v>
      </c>
      <c r="X39" s="0" t="n">
        <v>2.79680010357475</v>
      </c>
      <c r="Y39" s="0" t="n">
        <v>2.09163523133266</v>
      </c>
      <c r="Z39" s="0" t="n">
        <v>1.55860557631556</v>
      </c>
      <c r="AA39" s="0" t="n">
        <v>1.15754597963999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2000-08-23T03:53:20Z</dcterms:created>
  <dc:creator>David Levinson</dc:creator>
  <dc:description/>
  <dc:language>en-AU</dc:language>
  <cp:lastModifiedBy>David Levinson</cp:lastModifiedBy>
  <cp:revision>0</cp:revision>
  <dc:subject/>
  <dc:title/>
</cp:coreProperties>
</file>