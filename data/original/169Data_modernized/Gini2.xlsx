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2" sheetId="1" state="visible" r:id="rId3"/>
    <sheet name="Case2" sheetId="2" state="visible" r:id="rId4"/>
    <sheet name="Case2-data" sheetId="3" state="visible" r:id="rId5"/>
    <sheet name="Model" sheetId="4" state="visible" r:id="rId6"/>
    <sheet name="Delay" sheetId="5" state="visible" r:id="rId7"/>
    <sheet name="Chart1" sheetId="6" state="visible" r:id="rId8"/>
    <sheet name="Summary" sheetId="7" state="visible" r:id="rId9"/>
    <sheet name="Ranks and Percentiles" sheetId="8" state="visible" r:id="rId10"/>
    <sheet name="Sort" sheetId="9" state="visible" r:id="rId11"/>
    <sheet name="Sheet4" sheetId="10" state="visible" r:id="rId12"/>
  </sheets>
  <definedNames>
    <definedName function="false" hidden="false" name="Arterial" vbProcedure="false">Model!$H$17:$H$1017</definedName>
    <definedName function="false" hidden="false" name="Hmax" vbProcedure="false">Summary!$C$1</definedName>
    <definedName function="false" hidden="false" name="Informed" vbProcedure="false">Model!$B$15:$B$1017</definedName>
    <definedName function="false" hidden="false" name="Power" vbProcedure="false">Model!$G$3</definedName>
    <definedName function="false" hidden="false" name="RESET" vbProcedure="false">Model!$G$1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<sst xmlns="http://schemas.openxmlformats.org/spreadsheetml/2006/main" count="284" uniqueCount="111">
  <si>
    <t xml:space="preserve">Point</t>
  </si>
  <si>
    <t xml:space="preserve">Max</t>
  </si>
  <si>
    <t xml:space="preserve">Entropy</t>
  </si>
  <si>
    <t xml:space="preserve">Rank</t>
  </si>
  <si>
    <t xml:space="preserve">Percent</t>
  </si>
  <si>
    <t xml:space="preserve">Maximum Entropy (equality)</t>
  </si>
  <si>
    <t xml:space="preserve">Actual</t>
  </si>
  <si>
    <t xml:space="preserve">X axis</t>
  </si>
  <si>
    <t xml:space="preserve">Cumulative</t>
  </si>
  <si>
    <t xml:space="preserve">Equality</t>
  </si>
  <si>
    <t xml:space="preserve">Gini</t>
  </si>
  <si>
    <t xml:space="preserve">Gains to Class I</t>
  </si>
  <si>
    <t xml:space="preserve">H = SUM y log y</t>
  </si>
  <si>
    <t xml:space="preserve">H (equality)</t>
  </si>
  <si>
    <t xml:space="preserve">SUM(A2)</t>
  </si>
  <si>
    <t xml:space="preserve">SUM (A1)</t>
  </si>
  <si>
    <t xml:space="preserve">SUM</t>
  </si>
  <si>
    <t xml:space="preserve">A1/(A1+A2)</t>
  </si>
  <si>
    <t xml:space="preserve">FREEWAY</t>
  </si>
  <si>
    <t xml:space="preserve">ARTERIAL</t>
  </si>
  <si>
    <t xml:space="preserve">DELAY</t>
  </si>
  <si>
    <t xml:space="preserve">TIME</t>
  </si>
  <si>
    <t xml:space="preserve">secs.</t>
  </si>
  <si>
    <t xml:space="preserve">THE VALUE OF INFORMATION: QUEUEING MODEL</t>
  </si>
  <si>
    <t xml:space="preserve">RESET (1=Y,0=N)</t>
  </si>
  <si>
    <t xml:space="preserve">Poisson arrival rate (cust/sec) =</t>
  </si>
  <si>
    <t xml:space="preserve">ITERATION</t>
  </si>
  <si>
    <t xml:space="preserve">Freeway Service time mean (sec) =</t>
  </si>
  <si>
    <t xml:space="preserve">Power</t>
  </si>
  <si>
    <t xml:space="preserve">Arterial Service time mean (sec) =</t>
  </si>
  <si>
    <t xml:space="preserve">Freeway Service time range (sec) =</t>
  </si>
  <si>
    <t xml:space="preserve">Percent Probe</t>
  </si>
  <si>
    <t xml:space="preserve">Percent Informed</t>
  </si>
  <si>
    <t xml:space="preserve">Percent Arterial (RESULT)</t>
  </si>
  <si>
    <t xml:space="preserve">Percent Informed (RESULT)</t>
  </si>
  <si>
    <t xml:space="preserve">EXPECTED</t>
  </si>
  <si>
    <t xml:space="preserve">ART.</t>
  </si>
  <si>
    <t xml:space="preserve">CUMULATIVE</t>
  </si>
  <si>
    <t xml:space="preserve">AVERAGE</t>
  </si>
  <si>
    <t xml:space="preserve">AVERAGE </t>
  </si>
  <si>
    <t xml:space="preserve">INFORMED</t>
  </si>
  <si>
    <t xml:space="preserve">UNINFORMED</t>
  </si>
  <si>
    <t xml:space="preserve">(X-E(X))^2</t>
  </si>
  <si>
    <t xml:space="preserve">Vehicles</t>
  </si>
  <si>
    <t xml:space="preserve">Effective</t>
  </si>
  <si>
    <t xml:space="preserve">Freeway</t>
  </si>
  <si>
    <t xml:space="preserve">Arterial</t>
  </si>
  <si>
    <t xml:space="preserve">Most Recent</t>
  </si>
  <si>
    <t xml:space="preserve">CUSTOMER</t>
  </si>
  <si>
    <t xml:space="preserve">(1=Y,0=N)</t>
  </si>
  <si>
    <t xml:space="preserve">ARRIVAL</t>
  </si>
  <si>
    <t xml:space="preserve">Uninform</t>
  </si>
  <si>
    <t xml:space="preserve">F/A</t>
  </si>
  <si>
    <t xml:space="preserve">SERVICE</t>
  </si>
  <si>
    <t xml:space="preserve">DEPARTURE</t>
  </si>
  <si>
    <t xml:space="preserve">ACTUAL</t>
  </si>
  <si>
    <t xml:space="preserve">Probe</t>
  </si>
  <si>
    <t xml:space="preserve">Running</t>
  </si>
  <si>
    <t xml:space="preserve">Since Last</t>
  </si>
  <si>
    <t xml:space="preserve">Alpha</t>
  </si>
  <si>
    <t xml:space="preserve">FWY Probe</t>
  </si>
  <si>
    <t xml:space="preserve">ART Probe</t>
  </si>
  <si>
    <t xml:space="preserve">#</t>
  </si>
  <si>
    <t xml:space="preserve">HEADWAY</t>
  </si>
  <si>
    <t xml:space="preserve">SPLIT</t>
  </si>
  <si>
    <t xml:space="preserve">F=0,A=1</t>
  </si>
  <si>
    <t xml:space="preserve">FWY DELAY</t>
  </si>
  <si>
    <t xml:space="preserve">ART DELAY</t>
  </si>
  <si>
    <t xml:space="preserve">FWY USERS</t>
  </si>
  <si>
    <t xml:space="preserve">ART USERS</t>
  </si>
  <si>
    <t xml:space="preserve">USERS</t>
  </si>
  <si>
    <t xml:space="preserve">(1,0)</t>
  </si>
  <si>
    <t xml:space="preserve">SumFwyProbes</t>
  </si>
  <si>
    <t xml:space="preserve">SumArtProbes</t>
  </si>
  <si>
    <t xml:space="preserve">RatioAlpha</t>
  </si>
  <si>
    <t xml:space="preserve">Time</t>
  </si>
  <si>
    <t xml:space="preserve">Informed</t>
  </si>
  <si>
    <t xml:space="preserve">alpha</t>
  </si>
  <si>
    <t xml:space="preserve">beta</t>
  </si>
  <si>
    <t xml:space="preserve">SUMS</t>
  </si>
  <si>
    <t xml:space="preserve">AVERAGES</t>
  </si>
  <si>
    <t xml:space="preserve">CUMULATIVE SUMS</t>
  </si>
  <si>
    <t xml:space="preserve">CUMULATIVE AVGS</t>
  </si>
  <si>
    <t xml:space="preserve">RESULTS</t>
  </si>
  <si>
    <t xml:space="preserve">TOTAL</t>
  </si>
  <si>
    <t xml:space="preserve">TOT. DELAY =</t>
  </si>
  <si>
    <t xml:space="preserve">Std Dev</t>
  </si>
  <si>
    <t xml:space="preserve">N</t>
  </si>
  <si>
    <t xml:space="preserve">AVG.DELAY</t>
  </si>
  <si>
    <t xml:space="preserve">CUM TOT. DELAY</t>
  </si>
  <si>
    <t xml:space="preserve">CUM</t>
  </si>
  <si>
    <t xml:space="preserve">CUM N</t>
  </si>
  <si>
    <t xml:space="preserve">CUM. AVG. DELAY</t>
  </si>
  <si>
    <t xml:space="preserve">AVG. CUM Std Dev</t>
  </si>
  <si>
    <t xml:space="preserve">Total</t>
  </si>
  <si>
    <t xml:space="preserve">Delay</t>
  </si>
  <si>
    <t xml:space="preserve">Hmax</t>
  </si>
  <si>
    <t xml:space="preserve">Hmaxbase2</t>
  </si>
  <si>
    <t xml:space="preserve">H base 2</t>
  </si>
  <si>
    <t xml:space="preserve">Redundancy</t>
  </si>
  <si>
    <t xml:space="preserve">R base 2</t>
  </si>
  <si>
    <t xml:space="preserve">Case 1</t>
  </si>
  <si>
    <t xml:space="preserve">more equitable</t>
  </si>
  <si>
    <t xml:space="preserve">Case 2</t>
  </si>
  <si>
    <t xml:space="preserve">less equitable</t>
  </si>
  <si>
    <t xml:space="preserve">note signs different as measuring losses (time traveling) for each class</t>
  </si>
  <si>
    <t xml:space="preserve">y = proportion of delay</t>
  </si>
  <si>
    <t xml:space="preserve">http://www.ex.ac.uk/~SEGLea/lundy/shannon.html</t>
  </si>
  <si>
    <t xml:space="preserve">TOTAL DELAY</t>
  </si>
  <si>
    <t xml:space="preserve">FREEWAY DELAY</t>
  </si>
  <si>
    <t xml:space="preserve">ARTERIAL DELAY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</si>
</sst>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.00%"/>
    <numFmt numFmtId="167" formatCode="0.0000"/>
    <numFmt numFmtId="168" formatCode="0.00"/>
    <numFmt numFmtId="169" formatCode="0.00_)"/>
    <numFmt numFmtId="170" formatCode="0_)"/>
    <numFmt numFmtId="171" formatCode="_(* #,##0.00_);_(* \(#,##0.00\);_(* \-??_);_(@_)"/>
    <numFmt numFmtId="172" formatCode="0"/>
    <numFmt numFmtId="173" formatCode="0.000"/>
  </numFmts>
  <fonts count="10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i val="true"/>
      <sz val="9"/>
      <name val="Geneva"/>
      <family val="0"/>
    </font>
    <font>
      <b val="true"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Case 2 Lorenz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Case2!$S$1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Case2!$R$2:$R$21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Case2!$S$2:$S$21</c:f>
              <c:numCache>
                <c:formatCode>General</c:formatCode>
                <c:ptCount val="20"/>
                <c:pt idx="0">
                  <c:v>0.00925589900657942</c:v>
                </c:pt>
                <c:pt idx="1">
                  <c:v>0.0197214652214009</c:v>
                </c:pt>
                <c:pt idx="2">
                  <c:v>0.032154557140004</c:v>
                </c:pt>
                <c:pt idx="3">
                  <c:v>0.0477104091693503</c:v>
                </c:pt>
                <c:pt idx="4">
                  <c:v>0.0660195125189274</c:v>
                </c:pt>
                <c:pt idx="5">
                  <c:v>0.0865494713541914</c:v>
                </c:pt>
                <c:pt idx="6">
                  <c:v>0.109918487654433</c:v>
                </c:pt>
                <c:pt idx="7">
                  <c:v>0.136837866421677</c:v>
                </c:pt>
                <c:pt idx="8">
                  <c:v>0.166761774265853</c:v>
                </c:pt>
                <c:pt idx="9">
                  <c:v>0.200503235356175</c:v>
                </c:pt>
                <c:pt idx="10">
                  <c:v>0.238982902808051</c:v>
                </c:pt>
                <c:pt idx="11">
                  <c:v>0.28327013450166</c:v>
                </c:pt>
                <c:pt idx="12">
                  <c:v>0.3365791307509</c:v>
                </c:pt>
                <c:pt idx="13">
                  <c:v>0.403515727575455</c:v>
                </c:pt>
                <c:pt idx="14">
                  <c:v>0.481984861867587</c:v>
                </c:pt>
                <c:pt idx="15">
                  <c:v>0.569703851213313</c:v>
                </c:pt>
                <c:pt idx="16">
                  <c:v>0.663909450921675</c:v>
                </c:pt>
                <c:pt idx="17">
                  <c:v>0.764955626093392</c:v>
                </c:pt>
                <c:pt idx="18">
                  <c:v>0.874322194892163</c:v>
                </c:pt>
                <c:pt idx="19">
                  <c:v>0.999999999999999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Case2!$T$1</c:f>
              <c:strCache>
                <c:ptCount val="1"/>
                <c:pt idx="0">
                  <c:v>Equality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Case2!$R$2:$R$21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Case2!$T$2:$T$21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yVal>
          <c:smooth val="0"/>
        </c:ser>
        <c:axId val="71125987"/>
        <c:axId val="18910919"/>
      </c:scatterChart>
      <c:valAx>
        <c:axId val="71125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Percenage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8910919"/>
        <c:crossesAt val="0"/>
        <c:crossBetween val="midCat"/>
      </c:valAx>
      <c:valAx>
        <c:axId val="1891091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12598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Lorenz Curve and Gini Coefficient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'Ranks and Percentiles'!$P$1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'Ranks and Percentiles'!$O$2:$O$21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'Ranks and Percentiles'!$P$2:$P$21</c:f>
              <c:numCache>
                <c:formatCode>General</c:formatCode>
                <c:ptCount val="20"/>
                <c:pt idx="0">
                  <c:v>0.00749861274389555</c:v>
                </c:pt>
                <c:pt idx="1">
                  <c:v>0.0163184031968796</c:v>
                </c:pt>
                <c:pt idx="2">
                  <c:v>0.0285734744700312</c:v>
                </c:pt>
                <c:pt idx="3">
                  <c:v>0.0445153583462671</c:v>
                </c:pt>
                <c:pt idx="4">
                  <c:v>0.0644449175369973</c:v>
                </c:pt>
                <c:pt idx="5">
                  <c:v>0.0883790574327436</c:v>
                </c:pt>
                <c:pt idx="6">
                  <c:v>0.11666932068859</c:v>
                </c:pt>
                <c:pt idx="7">
                  <c:v>0.148537798123968</c:v>
                </c:pt>
                <c:pt idx="8">
                  <c:v>0.184965388232504</c:v>
                </c:pt>
                <c:pt idx="9">
                  <c:v>0.227478511905963</c:v>
                </c:pt>
                <c:pt idx="10">
                  <c:v>0.276442182034854</c:v>
                </c:pt>
                <c:pt idx="11">
                  <c:v>0.330463106574084</c:v>
                </c:pt>
                <c:pt idx="12">
                  <c:v>0.388735531201011</c:v>
                </c:pt>
                <c:pt idx="13">
                  <c:v>0.45174145448674</c:v>
                </c:pt>
                <c:pt idx="14">
                  <c:v>0.519381812890251</c:v>
                </c:pt>
                <c:pt idx="15">
                  <c:v>0.593014700677614</c:v>
                </c:pt>
                <c:pt idx="16">
                  <c:v>0.677210787104629</c:v>
                </c:pt>
                <c:pt idx="17">
                  <c:v>0.775738488776704</c:v>
                </c:pt>
                <c:pt idx="18">
                  <c:v>0.882663699725492</c:v>
                </c:pt>
                <c:pt idx="1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'Ranks and Percentiles'!$Q$1</c:f>
              <c:strCache>
                <c:ptCount val="1"/>
                <c:pt idx="0">
                  <c:v>Equality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'Ranks and Percentiles'!$O$2:$O$21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'Ranks and Percentiles'!$Q$2:$Q$21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yVal>
          <c:smooth val="0"/>
        </c:ser>
        <c:axId val="58868707"/>
        <c:axId val="41694827"/>
      </c:scatterChart>
      <c:valAx>
        <c:axId val="58868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 of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1694827"/>
        <c:crossesAt val="0"/>
        <c:crossBetween val="midCat"/>
      </c:valAx>
      <c:valAx>
        <c:axId val="4169482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Cumulative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886870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Lorenz Curve and Gini Coefficient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4334635993715"/>
          <c:y val="0.154093584997269"/>
          <c:w val="0.817211232424157"/>
          <c:h val="0.830915822054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'Ranks and Percentiles'!$P$1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'Ranks and Percentiles'!$O$2:$O$21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'Ranks and Percentiles'!$P$2:$P$21</c:f>
              <c:numCache>
                <c:formatCode>General</c:formatCode>
                <c:ptCount val="20"/>
                <c:pt idx="0">
                  <c:v>0.00749861274389555</c:v>
                </c:pt>
                <c:pt idx="1">
                  <c:v>0.0163184031968796</c:v>
                </c:pt>
                <c:pt idx="2">
                  <c:v>0.0285734744700312</c:v>
                </c:pt>
                <c:pt idx="3">
                  <c:v>0.0445153583462671</c:v>
                </c:pt>
                <c:pt idx="4">
                  <c:v>0.0644449175369973</c:v>
                </c:pt>
                <c:pt idx="5">
                  <c:v>0.0883790574327436</c:v>
                </c:pt>
                <c:pt idx="6">
                  <c:v>0.11666932068859</c:v>
                </c:pt>
                <c:pt idx="7">
                  <c:v>0.148537798123968</c:v>
                </c:pt>
                <c:pt idx="8">
                  <c:v>0.184965388232504</c:v>
                </c:pt>
                <c:pt idx="9">
                  <c:v>0.227478511905963</c:v>
                </c:pt>
                <c:pt idx="10">
                  <c:v>0.276442182034854</c:v>
                </c:pt>
                <c:pt idx="11">
                  <c:v>0.330463106574084</c:v>
                </c:pt>
                <c:pt idx="12">
                  <c:v>0.388735531201011</c:v>
                </c:pt>
                <c:pt idx="13">
                  <c:v>0.45174145448674</c:v>
                </c:pt>
                <c:pt idx="14">
                  <c:v>0.519381812890251</c:v>
                </c:pt>
                <c:pt idx="15">
                  <c:v>0.593014700677614</c:v>
                </c:pt>
                <c:pt idx="16">
                  <c:v>0.677210787104629</c:v>
                </c:pt>
                <c:pt idx="17">
                  <c:v>0.775738488776704</c:v>
                </c:pt>
                <c:pt idx="18">
                  <c:v>0.882663699725492</c:v>
                </c:pt>
                <c:pt idx="1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'Ranks and Percentiles'!$Q$1</c:f>
              <c:strCache>
                <c:ptCount val="1"/>
                <c:pt idx="0">
                  <c:v>Equality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'Ranks and Percentiles'!$O$2:$O$21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'Ranks and Percentiles'!$Q$2:$Q$21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yVal>
          <c:smooth val="0"/>
        </c:ser>
        <c:axId val="93071289"/>
        <c:axId val="89367132"/>
      </c:scatterChart>
      <c:valAx>
        <c:axId val="93071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 of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9367132"/>
        <c:crossesAt val="0"/>
        <c:crossBetween val="midCat"/>
      </c:valAx>
      <c:valAx>
        <c:axId val="8936713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Cumulative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307128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5235083195681"/>
          <c:y val="0.47842447047399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Case 2 Lorenz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Case2!$S$1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Case2!$R$2:$R$21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Case2!$S$2:$S$21</c:f>
              <c:numCache>
                <c:formatCode>General</c:formatCode>
                <c:ptCount val="20"/>
                <c:pt idx="0">
                  <c:v>0.00925589900657942</c:v>
                </c:pt>
                <c:pt idx="1">
                  <c:v>0.0197214652214009</c:v>
                </c:pt>
                <c:pt idx="2">
                  <c:v>0.032154557140004</c:v>
                </c:pt>
                <c:pt idx="3">
                  <c:v>0.0477104091693503</c:v>
                </c:pt>
                <c:pt idx="4">
                  <c:v>0.0660195125189274</c:v>
                </c:pt>
                <c:pt idx="5">
                  <c:v>0.0865494713541914</c:v>
                </c:pt>
                <c:pt idx="6">
                  <c:v>0.109918487654433</c:v>
                </c:pt>
                <c:pt idx="7">
                  <c:v>0.136837866421677</c:v>
                </c:pt>
                <c:pt idx="8">
                  <c:v>0.166761774265853</c:v>
                </c:pt>
                <c:pt idx="9">
                  <c:v>0.200503235356175</c:v>
                </c:pt>
                <c:pt idx="10">
                  <c:v>0.238982902808051</c:v>
                </c:pt>
                <c:pt idx="11">
                  <c:v>0.28327013450166</c:v>
                </c:pt>
                <c:pt idx="12">
                  <c:v>0.3365791307509</c:v>
                </c:pt>
                <c:pt idx="13">
                  <c:v>0.403515727575455</c:v>
                </c:pt>
                <c:pt idx="14">
                  <c:v>0.481984861867587</c:v>
                </c:pt>
                <c:pt idx="15">
                  <c:v>0.569703851213313</c:v>
                </c:pt>
                <c:pt idx="16">
                  <c:v>0.663909450921675</c:v>
                </c:pt>
                <c:pt idx="17">
                  <c:v>0.764955626093392</c:v>
                </c:pt>
                <c:pt idx="18">
                  <c:v>0.874322194892163</c:v>
                </c:pt>
                <c:pt idx="19">
                  <c:v>0.999999999999999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Case2!$T$1</c:f>
              <c:strCache>
                <c:ptCount val="1"/>
                <c:pt idx="0">
                  <c:v>Equality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Case2!$R$2:$R$21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Case2!$T$2:$T$21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yVal>
          <c:smooth val="0"/>
        </c:ser>
        <c:axId val="8379006"/>
        <c:axId val="24348084"/>
      </c:scatterChart>
      <c:valAx>
        <c:axId val="8379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Percenage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4348084"/>
        <c:crossesAt val="0"/>
        <c:crossBetween val="midCat"/>
      </c:valAx>
      <c:valAx>
        <c:axId val="2434808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Percentage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379006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732240</xdr:colOff>
      <xdr:row>2</xdr:row>
      <xdr:rowOff>63360</xdr:rowOff>
    </xdr:from>
    <xdr:to>
      <xdr:col>18</xdr:col>
      <xdr:colOff>314640</xdr:colOff>
      <xdr:row>38</xdr:row>
      <xdr:rowOff>51120</xdr:rowOff>
    </xdr:to>
    <xdr:graphicFrame>
      <xdr:nvGraphicFramePr>
        <xdr:cNvPr id="3" name="Chart 1"/>
        <xdr:cNvGraphicFramePr/>
      </xdr:nvGraphicFramePr>
      <xdr:xfrm>
        <a:off x="6684120" y="393480"/>
        <a:ext cx="8935200" cy="59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42</xdr:row>
      <xdr:rowOff>0</xdr:rowOff>
    </xdr:from>
    <xdr:to>
      <xdr:col>14</xdr:col>
      <xdr:colOff>432720</xdr:colOff>
      <xdr:row>77</xdr:row>
      <xdr:rowOff>152280</xdr:rowOff>
    </xdr:to>
    <xdr:graphicFrame>
      <xdr:nvGraphicFramePr>
        <xdr:cNvPr id="4" name="Chart 2"/>
        <xdr:cNvGraphicFramePr/>
      </xdr:nvGraphicFramePr>
      <xdr:xfrm>
        <a:off x="3400920" y="6934320"/>
        <a:ext cx="8935560" cy="593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5"/>
  <sheetViews>
    <sheetView showFormulas="false" showGridLines="true" showRowColHeaders="true" showZeros="true" rightToLeft="false" tabSelected="false" showOutlineSymbols="true" defaultGridColor="true" view="normal" topLeftCell="A968" colorId="64" zoomScale="100" zoomScaleNormal="100" zoomScalePageLayoutView="100" workbookViewId="0">
      <selection pane="topLeft" activeCell="K1002" activeCellId="0" sqref="K1002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2" t="s">
        <v>1</v>
      </c>
      <c r="C1" s="1"/>
      <c r="D1" s="1" t="s">
        <v>2</v>
      </c>
      <c r="E1" s="1"/>
      <c r="F1" s="1"/>
      <c r="G1" s="1" t="s">
        <v>3</v>
      </c>
      <c r="H1" s="1" t="s">
        <v>4</v>
      </c>
      <c r="L1" s="3" t="n">
        <v>0.05</v>
      </c>
      <c r="M1" s="2" t="n">
        <v>0.00925589900657942</v>
      </c>
      <c r="N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V1" s="2" t="s">
        <v>10</v>
      </c>
      <c r="X1" s="2" t="s">
        <v>11</v>
      </c>
      <c r="Y1" s="2" t="s">
        <v>9</v>
      </c>
      <c r="Z1" s="2" t="s">
        <v>12</v>
      </c>
      <c r="AA1" s="2" t="s">
        <v>13</v>
      </c>
    </row>
    <row r="2" customFormat="false" ht="13" hidden="false" customHeight="false" outlineLevel="0" collapsed="false">
      <c r="A2" s="4" t="n">
        <v>1000</v>
      </c>
      <c r="B2" s="2" t="n">
        <v>31.0409837692682</v>
      </c>
      <c r="C2" s="5" t="n">
        <f aca="false">B2</f>
        <v>31.0409837692682</v>
      </c>
      <c r="D2" s="5" t="n">
        <f aca="false">C2*LOG(C2)</f>
        <v>46.3111449177406</v>
      </c>
      <c r="E2" s="5"/>
      <c r="F2" s="5"/>
      <c r="G2" s="4" t="n">
        <v>1</v>
      </c>
      <c r="H2" s="6" t="n">
        <v>1</v>
      </c>
      <c r="J2" s="2" t="n">
        <f aca="false">B2/$B$1003</f>
        <v>0.00303378861296599</v>
      </c>
      <c r="K2" s="5" t="n">
        <f aca="false">J2*LOG(J2,2)</f>
        <v>-0.0253766215421961</v>
      </c>
      <c r="M2" s="2" t="n">
        <v>0.0104655662148215</v>
      </c>
      <c r="N2" s="2" t="n">
        <f aca="false">1/1000*LOG(1/1000,2)</f>
        <v>-0.00996578428466209</v>
      </c>
      <c r="Q2" s="2" t="n">
        <v>0.00925589900657942</v>
      </c>
      <c r="R2" s="2" t="n">
        <v>0.05</v>
      </c>
      <c r="S2" s="2" t="n">
        <f aca="false">Q2</f>
        <v>0.00925589900657942</v>
      </c>
      <c r="T2" s="2" t="n">
        <v>0.05</v>
      </c>
      <c r="V2" s="2" t="n">
        <f aca="false">T2-S2</f>
        <v>0.0407441009934206</v>
      </c>
      <c r="X2" s="2" t="n">
        <f aca="false">0.05-Q2</f>
        <v>0.0407441009934206</v>
      </c>
      <c r="Y2" s="2" t="n">
        <v>0</v>
      </c>
      <c r="Z2" s="2" t="n">
        <f aca="false">Q2*LOG(Q2)</f>
        <v>-0.0188226239927289</v>
      </c>
      <c r="AA2" s="2" t="n">
        <f aca="false">0.05*LOG(0.05)</f>
        <v>-0.0650514997831991</v>
      </c>
    </row>
    <row r="3" customFormat="false" ht="13" hidden="false" customHeight="false" outlineLevel="0" collapsed="false">
      <c r="A3" s="4" t="n">
        <v>999</v>
      </c>
      <c r="B3" s="2" t="n">
        <v>29.8813905750341</v>
      </c>
      <c r="C3" s="5" t="n">
        <f aca="false">B3</f>
        <v>29.8813905750341</v>
      </c>
      <c r="D3" s="5" t="n">
        <f aca="false">C3*LOG(C3)</f>
        <v>44.0870276836587</v>
      </c>
      <c r="E3" s="5"/>
      <c r="F3" s="5"/>
      <c r="G3" s="4" t="n">
        <v>2</v>
      </c>
      <c r="H3" s="6" t="n">
        <v>0.998</v>
      </c>
      <c r="J3" s="2" t="n">
        <f aca="false">B3/$B$1003</f>
        <v>0.00292045584444004</v>
      </c>
      <c r="K3" s="5" t="n">
        <f aca="false">J3*LOG(J3,2)</f>
        <v>-0.0245890429038539</v>
      </c>
      <c r="M3" s="2" t="n">
        <v>0.0124330919186031</v>
      </c>
      <c r="N3" s="2" t="n">
        <f aca="false">1/1000*LOG(1/1000,2)</f>
        <v>-0.00996578428466209</v>
      </c>
      <c r="Q3" s="2" t="n">
        <v>0.0104655662148215</v>
      </c>
      <c r="R3" s="2" t="n">
        <f aca="false">R2+0.05</f>
        <v>0.1</v>
      </c>
      <c r="S3" s="2" t="n">
        <f aca="false">S2+Q3</f>
        <v>0.0197214652214009</v>
      </c>
      <c r="T3" s="2" t="n">
        <f aca="false">T2+0.05</f>
        <v>0.1</v>
      </c>
      <c r="V3" s="2" t="n">
        <f aca="false">T3-S3</f>
        <v>0.0802785347785991</v>
      </c>
      <c r="X3" s="2" t="n">
        <f aca="false">0.05-Q3</f>
        <v>0.0395344337851785</v>
      </c>
      <c r="Y3" s="2" t="n">
        <v>0</v>
      </c>
      <c r="Z3" s="2" t="n">
        <f aca="false">Q3*LOG(Q3)</f>
        <v>-0.0207243042724313</v>
      </c>
      <c r="AA3" s="2" t="n">
        <f aca="false">0.05*LOG(0.05)</f>
        <v>-0.0650514997831991</v>
      </c>
    </row>
    <row r="4" customFormat="false" ht="13" hidden="false" customHeight="false" outlineLevel="0" collapsed="false">
      <c r="A4" s="4" t="n">
        <v>998</v>
      </c>
      <c r="B4" s="2" t="n">
        <v>29.1932123172863</v>
      </c>
      <c r="C4" s="5" t="n">
        <f aca="false">B4</f>
        <v>29.1932123172863</v>
      </c>
      <c r="D4" s="5" t="n">
        <f aca="false">C4*LOG(C4)</f>
        <v>42.7762851979447</v>
      </c>
      <c r="E4" s="5"/>
      <c r="F4" s="5"/>
      <c r="G4" s="4" t="n">
        <v>3</v>
      </c>
      <c r="H4" s="6" t="n">
        <v>0.997</v>
      </c>
      <c r="J4" s="2" t="n">
        <f aca="false">B4/$B$1003</f>
        <v>0.00285319678533403</v>
      </c>
      <c r="K4" s="5" t="n">
        <f aca="false">J4*LOG(J4,2)</f>
        <v>-0.02411865742152</v>
      </c>
      <c r="M4" s="2" t="n">
        <v>0.0155558520293463</v>
      </c>
      <c r="N4" s="2" t="n">
        <f aca="false">1/1000*LOG(1/1000,2)</f>
        <v>-0.00996578428466209</v>
      </c>
      <c r="Q4" s="2" t="n">
        <v>0.0124330919186031</v>
      </c>
      <c r="R4" s="2" t="n">
        <f aca="false">R3+0.05</f>
        <v>0.15</v>
      </c>
      <c r="S4" s="2" t="n">
        <f aca="false">S3+Q4</f>
        <v>0.032154557140004</v>
      </c>
      <c r="T4" s="2" t="n">
        <f aca="false">T3+0.05</f>
        <v>0.15</v>
      </c>
      <c r="V4" s="2" t="n">
        <f aca="false">T4-S4</f>
        <v>0.117845442859996</v>
      </c>
      <c r="X4" s="2" t="n">
        <f aca="false">0.05-Q4</f>
        <v>0.0375669080813969</v>
      </c>
      <c r="Y4" s="2" t="n">
        <v>0</v>
      </c>
      <c r="Z4" s="2" t="n">
        <f aca="false">Q4*LOG(Q4)</f>
        <v>-0.0236902726409677</v>
      </c>
      <c r="AA4" s="2" t="n">
        <f aca="false">0.05*LOG(0.05)</f>
        <v>-0.0650514997831991</v>
      </c>
    </row>
    <row r="5" customFormat="false" ht="13" hidden="false" customHeight="false" outlineLevel="0" collapsed="false">
      <c r="A5" s="4" t="n">
        <v>997</v>
      </c>
      <c r="B5" s="2" t="n">
        <v>29.1470289632548</v>
      </c>
      <c r="C5" s="5" t="n">
        <f aca="false">B5</f>
        <v>29.1470289632548</v>
      </c>
      <c r="D5" s="5" t="n">
        <f aca="false">C5*LOG(C5)</f>
        <v>42.6885722635364</v>
      </c>
      <c r="E5" s="5"/>
      <c r="F5" s="5"/>
      <c r="G5" s="4" t="n">
        <v>4</v>
      </c>
      <c r="H5" s="6" t="n">
        <v>0.996</v>
      </c>
      <c r="J5" s="2" t="n">
        <f aca="false">B5/$B$1003</f>
        <v>0.00284868305810776</v>
      </c>
      <c r="K5" s="5" t="n">
        <f aca="false">J5*LOG(J5,2)</f>
        <v>-0.0240870087380834</v>
      </c>
      <c r="M5" s="2" t="n">
        <v>0.0183091033495771</v>
      </c>
      <c r="N5" s="2" t="n">
        <f aca="false">1/1000*LOG(1/1000,2)</f>
        <v>-0.00996578428466209</v>
      </c>
      <c r="Q5" s="2" t="n">
        <v>0.0155558520293463</v>
      </c>
      <c r="R5" s="2" t="n">
        <f aca="false">R4+0.05</f>
        <v>0.2</v>
      </c>
      <c r="S5" s="2" t="n">
        <f aca="false">S4+Q5</f>
        <v>0.0477104091693503</v>
      </c>
      <c r="T5" s="2" t="n">
        <f aca="false">T4+0.05</f>
        <v>0.2</v>
      </c>
      <c r="V5" s="2" t="n">
        <f aca="false">T5-S5</f>
        <v>0.15228959083065</v>
      </c>
      <c r="X5" s="2" t="n">
        <f aca="false">0.05-Q5</f>
        <v>0.0344441479706537</v>
      </c>
      <c r="Y5" s="2" t="n">
        <v>0</v>
      </c>
      <c r="Z5" s="2" t="n">
        <f aca="false">Q5*LOG(Q5)</f>
        <v>-0.0281266324477885</v>
      </c>
      <c r="AA5" s="2" t="n">
        <f aca="false">0.05*LOG(0.05)</f>
        <v>-0.0650514997831991</v>
      </c>
    </row>
    <row r="6" customFormat="false" ht="13" hidden="false" customHeight="false" outlineLevel="0" collapsed="false">
      <c r="A6" s="4" t="n">
        <v>996</v>
      </c>
      <c r="B6" s="2" t="n">
        <v>28.956997052905</v>
      </c>
      <c r="C6" s="5" t="n">
        <f aca="false">B6</f>
        <v>28.956997052905</v>
      </c>
      <c r="D6" s="5" t="n">
        <f aca="false">C6*LOG(C6)</f>
        <v>42.3279924264611</v>
      </c>
      <c r="E6" s="5"/>
      <c r="F6" s="5"/>
      <c r="G6" s="4" t="n">
        <v>5</v>
      </c>
      <c r="H6" s="6" t="n">
        <v>0.995</v>
      </c>
      <c r="J6" s="2" t="n">
        <f aca="false">B6/$B$1003</f>
        <v>0.00283011030120016</v>
      </c>
      <c r="K6" s="5" t="n">
        <f aca="false">J6*LOG(J6,2)</f>
        <v>-0.0239566742790459</v>
      </c>
      <c r="M6" s="2" t="n">
        <v>0.020529958835264</v>
      </c>
      <c r="N6" s="2" t="n">
        <f aca="false">1/1000*LOG(1/1000,2)</f>
        <v>-0.00996578428466209</v>
      </c>
      <c r="Q6" s="2" t="n">
        <v>0.0183091033495771</v>
      </c>
      <c r="R6" s="2" t="n">
        <f aca="false">R5+0.05</f>
        <v>0.25</v>
      </c>
      <c r="S6" s="2" t="n">
        <f aca="false">S5+Q6</f>
        <v>0.0660195125189274</v>
      </c>
      <c r="T6" s="2" t="n">
        <f aca="false">T5+0.05</f>
        <v>0.25</v>
      </c>
      <c r="V6" s="2" t="n">
        <f aca="false">T6-S6</f>
        <v>0.183980487481073</v>
      </c>
      <c r="X6" s="2" t="n">
        <f aca="false">0.05-Q6</f>
        <v>0.0316908966504229</v>
      </c>
      <c r="Y6" s="2" t="n">
        <v>0</v>
      </c>
      <c r="Z6" s="2" t="n">
        <f aca="false">Q6*LOG(Q6)</f>
        <v>-0.031809008055401</v>
      </c>
      <c r="AA6" s="2" t="n">
        <f aca="false">0.05*LOG(0.05)</f>
        <v>-0.0650514997831991</v>
      </c>
    </row>
    <row r="7" customFormat="false" ht="13" hidden="false" customHeight="false" outlineLevel="0" collapsed="false">
      <c r="A7" s="4" t="n">
        <v>995</v>
      </c>
      <c r="B7" s="2" t="n">
        <v>28.0426053470551</v>
      </c>
      <c r="C7" s="5" t="n">
        <f aca="false">B7</f>
        <v>28.0426053470551</v>
      </c>
      <c r="D7" s="5" t="n">
        <f aca="false">C7*LOG(C7)</f>
        <v>40.6005988852083</v>
      </c>
      <c r="E7" s="5"/>
      <c r="F7" s="5"/>
      <c r="G7" s="4" t="n">
        <v>6</v>
      </c>
      <c r="H7" s="6" t="n">
        <v>0.994</v>
      </c>
      <c r="J7" s="2" t="n">
        <f aca="false">B7/$B$1003</f>
        <v>0.00274074228485061</v>
      </c>
      <c r="K7" s="5" t="n">
        <f aca="false">J7*LOG(J7,2)</f>
        <v>-0.0233270539948927</v>
      </c>
      <c r="M7" s="2" t="n">
        <v>0.023369016300242</v>
      </c>
      <c r="N7" s="2" t="n">
        <f aca="false">1/1000*LOG(1/1000,2)</f>
        <v>-0.00996578428466209</v>
      </c>
      <c r="Q7" s="2" t="n">
        <v>0.020529958835264</v>
      </c>
      <c r="R7" s="2" t="n">
        <f aca="false">R6+0.05</f>
        <v>0.3</v>
      </c>
      <c r="S7" s="2" t="n">
        <f aca="false">S6+Q7</f>
        <v>0.0865494713541914</v>
      </c>
      <c r="T7" s="2" t="n">
        <f aca="false">T6+0.05</f>
        <v>0.3</v>
      </c>
      <c r="V7" s="2" t="n">
        <f aca="false">T7-S7</f>
        <v>0.213450528645809</v>
      </c>
      <c r="X7" s="2" t="n">
        <f aca="false">0.05-Q7</f>
        <v>0.029470041164736</v>
      </c>
      <c r="Y7" s="2" t="n">
        <v>0</v>
      </c>
      <c r="Z7" s="2" t="n">
        <f aca="false">Q7*LOG(Q7)</f>
        <v>-0.0346466032769582</v>
      </c>
      <c r="AA7" s="2" t="n">
        <f aca="false">0.05*LOG(0.05)</f>
        <v>-0.0650514997831991</v>
      </c>
    </row>
    <row r="8" customFormat="false" ht="13" hidden="false" customHeight="false" outlineLevel="0" collapsed="false">
      <c r="A8" s="4" t="n">
        <v>994</v>
      </c>
      <c r="B8" s="2" t="n">
        <v>27.9942722172746</v>
      </c>
      <c r="C8" s="5" t="n">
        <f aca="false">B8</f>
        <v>27.9942722172746</v>
      </c>
      <c r="D8" s="5" t="n">
        <f aca="false">C8*LOG(C8)</f>
        <v>40.509648580826</v>
      </c>
      <c r="E8" s="5"/>
      <c r="F8" s="5"/>
      <c r="G8" s="4" t="n">
        <v>7</v>
      </c>
      <c r="H8" s="6" t="n">
        <v>0.993</v>
      </c>
      <c r="J8" s="2" t="n">
        <f aca="false">B8/$B$1003</f>
        <v>0.00273601844942558</v>
      </c>
      <c r="K8" s="5" t="n">
        <f aca="false">J8*LOG(J8,2)</f>
        <v>-0.0232936575811294</v>
      </c>
      <c r="M8" s="2" t="n">
        <v>0.0269193787672439</v>
      </c>
      <c r="N8" s="2" t="n">
        <f aca="false">1/1000*LOG(1/1000,2)</f>
        <v>-0.00996578428466209</v>
      </c>
      <c r="Q8" s="2" t="n">
        <v>0.023369016300242</v>
      </c>
      <c r="R8" s="2" t="n">
        <f aca="false">R7+0.05</f>
        <v>0.35</v>
      </c>
      <c r="S8" s="2" t="n">
        <f aca="false">S7+Q8</f>
        <v>0.109918487654433</v>
      </c>
      <c r="T8" s="2" t="n">
        <f aca="false">T7+0.05</f>
        <v>0.35</v>
      </c>
      <c r="V8" s="2" t="n">
        <f aca="false">T8-S8</f>
        <v>0.240081512345567</v>
      </c>
      <c r="X8" s="2" t="n">
        <f aca="false">0.05-Q8</f>
        <v>0.026630983699758</v>
      </c>
      <c r="Y8" s="2" t="n">
        <v>0</v>
      </c>
      <c r="Z8" s="2" t="n">
        <f aca="false">Q8*LOG(Q8)</f>
        <v>-0.0381232683477492</v>
      </c>
      <c r="AA8" s="2" t="n">
        <f aca="false">0.05*LOG(0.05)</f>
        <v>-0.0650514997831991</v>
      </c>
    </row>
    <row r="9" customFormat="false" ht="13" hidden="false" customHeight="false" outlineLevel="0" collapsed="false">
      <c r="A9" s="4" t="n">
        <v>993</v>
      </c>
      <c r="B9" s="2" t="n">
        <v>27.7687654377423</v>
      </c>
      <c r="C9" s="5" t="n">
        <f aca="false">B9</f>
        <v>27.7687654377423</v>
      </c>
      <c r="D9" s="5" t="n">
        <f aca="false">C9*LOG(C9)</f>
        <v>40.0857838447096</v>
      </c>
      <c r="E9" s="5"/>
      <c r="F9" s="5"/>
      <c r="G9" s="4" t="n">
        <v>8</v>
      </c>
      <c r="H9" s="6" t="n">
        <v>0.992</v>
      </c>
      <c r="J9" s="2" t="n">
        <f aca="false">B9/$B$1003</f>
        <v>0.00271397855839066</v>
      </c>
      <c r="K9" s="5" t="n">
        <f aca="false">J9*LOG(J9,2)</f>
        <v>-0.0231376848485053</v>
      </c>
      <c r="M9" s="2" t="n">
        <v>0.0299239078441758</v>
      </c>
      <c r="N9" s="2" t="n">
        <f aca="false">1/1000*LOG(1/1000,2)</f>
        <v>-0.00996578428466209</v>
      </c>
      <c r="Q9" s="2" t="n">
        <v>0.0269193787672439</v>
      </c>
      <c r="R9" s="2" t="n">
        <f aca="false">R8+0.05</f>
        <v>0.4</v>
      </c>
      <c r="S9" s="2" t="n">
        <f aca="false">S8+Q9</f>
        <v>0.136837866421677</v>
      </c>
      <c r="T9" s="2" t="n">
        <f aca="false">T8+0.05</f>
        <v>0.4</v>
      </c>
      <c r="V9" s="2" t="n">
        <f aca="false">T9-S9</f>
        <v>0.263162133578323</v>
      </c>
      <c r="X9" s="2" t="n">
        <f aca="false">0.05-Q9</f>
        <v>0.0230806212327561</v>
      </c>
      <c r="Y9" s="2" t="n">
        <v>0</v>
      </c>
      <c r="Z9" s="2" t="n">
        <f aca="false">Q9*LOG(Q9)</f>
        <v>-0.0422616740105866</v>
      </c>
      <c r="AA9" s="2" t="n">
        <f aca="false">0.05*LOG(0.05)</f>
        <v>-0.0650514997831991</v>
      </c>
    </row>
    <row r="10" customFormat="false" ht="13" hidden="false" customHeight="false" outlineLevel="0" collapsed="false">
      <c r="A10" s="4" t="n">
        <v>992</v>
      </c>
      <c r="B10" s="2" t="n">
        <v>27.753684218451</v>
      </c>
      <c r="C10" s="5" t="n">
        <f aca="false">B10</f>
        <v>27.753684218451</v>
      </c>
      <c r="D10" s="5" t="n">
        <f aca="false">C10*LOG(C10)</f>
        <v>40.0574653400596</v>
      </c>
      <c r="E10" s="5"/>
      <c r="F10" s="5"/>
      <c r="G10" s="4" t="n">
        <v>9</v>
      </c>
      <c r="H10" s="6" t="n">
        <v>0.991</v>
      </c>
      <c r="J10" s="2" t="n">
        <f aca="false">B10/$B$1003</f>
        <v>0.00271250459636369</v>
      </c>
      <c r="K10" s="5" t="n">
        <f aca="false">J10*LOG(J10,2)</f>
        <v>-0.023127244669703</v>
      </c>
      <c r="M10" s="2" t="n">
        <v>0.0337414610903215</v>
      </c>
      <c r="N10" s="2" t="n">
        <f aca="false">1/1000*LOG(1/1000,2)</f>
        <v>-0.00996578428466209</v>
      </c>
      <c r="Q10" s="2" t="n">
        <v>0.0299239078441758</v>
      </c>
      <c r="R10" s="2" t="n">
        <f aca="false">R9+0.05</f>
        <v>0.45</v>
      </c>
      <c r="S10" s="2" t="n">
        <f aca="false">S9+Q10</f>
        <v>0.166761774265853</v>
      </c>
      <c r="T10" s="2" t="n">
        <f aca="false">T9+0.05</f>
        <v>0.45</v>
      </c>
      <c r="V10" s="2" t="n">
        <f aca="false">T10-S10</f>
        <v>0.283238225734147</v>
      </c>
      <c r="X10" s="2" t="n">
        <f aca="false">0.05-Q10</f>
        <v>0.0200760921558242</v>
      </c>
      <c r="Y10" s="2" t="n">
        <v>0</v>
      </c>
      <c r="Z10" s="2" t="n">
        <f aca="false">Q10*LOG(Q10)</f>
        <v>-0.0456034876900006</v>
      </c>
      <c r="AA10" s="2" t="n">
        <f aca="false">0.05*LOG(0.05)</f>
        <v>-0.0650514997831991</v>
      </c>
    </row>
    <row r="11" customFormat="false" ht="13" hidden="false" customHeight="false" outlineLevel="0" collapsed="false">
      <c r="A11" s="4" t="n">
        <v>991</v>
      </c>
      <c r="B11" s="2" t="n">
        <v>27.6613480203328</v>
      </c>
      <c r="C11" s="5" t="n">
        <f aca="false">B11</f>
        <v>27.6613480203328</v>
      </c>
      <c r="D11" s="5" t="n">
        <f aca="false">C11*LOG(C11)</f>
        <v>39.8841602799966</v>
      </c>
      <c r="E11" s="5"/>
      <c r="F11" s="5"/>
      <c r="G11" s="4" t="n">
        <v>10</v>
      </c>
      <c r="H11" s="6" t="n">
        <v>0.99</v>
      </c>
      <c r="J11" s="2" t="n">
        <f aca="false">B11/$B$1003</f>
        <v>0.00270348012379871</v>
      </c>
      <c r="K11" s="5" t="n">
        <f aca="false">J11*LOG(J11,2)</f>
        <v>-0.0230632984641971</v>
      </c>
      <c r="M11" s="2" t="n">
        <v>0.0384796674518765</v>
      </c>
      <c r="N11" s="2" t="n">
        <f aca="false">1/1000*LOG(1/1000,2)</f>
        <v>-0.00996578428466209</v>
      </c>
      <c r="Q11" s="2" t="n">
        <v>0.0337414610903215</v>
      </c>
      <c r="R11" s="2" t="n">
        <f aca="false">R10+0.05</f>
        <v>0.5</v>
      </c>
      <c r="S11" s="2" t="n">
        <f aca="false">S10+Q11</f>
        <v>0.200503235356175</v>
      </c>
      <c r="T11" s="2" t="n">
        <f aca="false">T10+0.05</f>
        <v>0.5</v>
      </c>
      <c r="V11" s="2" t="n">
        <f aca="false">T11-S11</f>
        <v>0.299496764643825</v>
      </c>
      <c r="X11" s="2" t="n">
        <f aca="false">0.05-Q11</f>
        <v>0.0162585389096785</v>
      </c>
      <c r="Y11" s="2" t="n">
        <v>0</v>
      </c>
      <c r="Z11" s="2" t="n">
        <f aca="false">Q11*LOG(Q11)</f>
        <v>-0.0496619010155178</v>
      </c>
      <c r="AA11" s="2" t="n">
        <f aca="false">0.05*LOG(0.05)</f>
        <v>-0.0650514997831991</v>
      </c>
    </row>
    <row r="12" customFormat="false" ht="13" hidden="false" customHeight="false" outlineLevel="0" collapsed="false">
      <c r="A12" s="4" t="n">
        <v>990</v>
      </c>
      <c r="B12" s="2" t="n">
        <v>27.472092082792</v>
      </c>
      <c r="C12" s="5" t="n">
        <f aca="false">B12</f>
        <v>27.472092082792</v>
      </c>
      <c r="D12" s="5" t="n">
        <f aca="false">C12*LOG(C12)</f>
        <v>39.5293662003338</v>
      </c>
      <c r="E12" s="5"/>
      <c r="F12" s="5"/>
      <c r="G12" s="4" t="n">
        <v>11</v>
      </c>
      <c r="H12" s="6" t="n">
        <v>0.989</v>
      </c>
      <c r="J12" s="2" t="n">
        <f aca="false">B12/$B$1003</f>
        <v>0.00268498320654521</v>
      </c>
      <c r="K12" s="5" t="n">
        <f aca="false">J12*LOG(J12,2)</f>
        <v>-0.022932095794647</v>
      </c>
      <c r="M12" s="2" t="n">
        <v>0.0442872316936092</v>
      </c>
      <c r="N12" s="2" t="n">
        <f aca="false">1/1000*LOG(1/1000,2)</f>
        <v>-0.00996578428466209</v>
      </c>
      <c r="Q12" s="2" t="n">
        <v>0.0384796674518765</v>
      </c>
      <c r="R12" s="2" t="n">
        <f aca="false">R11+0.05</f>
        <v>0.55</v>
      </c>
      <c r="S12" s="2" t="n">
        <f aca="false">S11+Q12</f>
        <v>0.238982902808051</v>
      </c>
      <c r="T12" s="2" t="n">
        <f aca="false">T11+0.05</f>
        <v>0.55</v>
      </c>
      <c r="V12" s="2" t="n">
        <f aca="false">T12-S12</f>
        <v>0.311017097191949</v>
      </c>
      <c r="X12" s="2" t="n">
        <f aca="false">0.05-Q12</f>
        <v>0.0115203325481235</v>
      </c>
      <c r="Y12" s="2" t="n">
        <v>0</v>
      </c>
      <c r="Z12" s="2" t="n">
        <f aca="false">Q12*LOG(Q12)</f>
        <v>-0.054439828707451</v>
      </c>
      <c r="AA12" s="2" t="n">
        <f aca="false">0.05*LOG(0.05)</f>
        <v>-0.0650514997831991</v>
      </c>
    </row>
    <row r="13" customFormat="false" ht="13" hidden="false" customHeight="false" outlineLevel="0" collapsed="false">
      <c r="A13" s="4" t="n">
        <v>989</v>
      </c>
      <c r="B13" s="2" t="n">
        <v>27.0564576604224</v>
      </c>
      <c r="C13" s="5" t="n">
        <f aca="false">B13</f>
        <v>27.0564576604224</v>
      </c>
      <c r="D13" s="5" t="n">
        <f aca="false">C13*LOG(C13)</f>
        <v>38.75217794934</v>
      </c>
      <c r="E13" s="5"/>
      <c r="F13" s="5"/>
      <c r="G13" s="4" t="n">
        <v>12</v>
      </c>
      <c r="H13" s="6" t="n">
        <v>0.988</v>
      </c>
      <c r="J13" s="2" t="n">
        <f aca="false">B13/$B$1003</f>
        <v>0.00264436120219399</v>
      </c>
      <c r="K13" s="5" t="n">
        <f aca="false">J13*LOG(J13,2)</f>
        <v>-0.0226433080696804</v>
      </c>
      <c r="M13" s="2" t="n">
        <v>0.0533089962492392</v>
      </c>
      <c r="N13" s="2" t="n">
        <f aca="false">1/1000*LOG(1/1000,2)</f>
        <v>-0.00996578428466209</v>
      </c>
      <c r="Q13" s="2" t="n">
        <v>0.0442872316936092</v>
      </c>
      <c r="R13" s="2" t="n">
        <f aca="false">R12+0.05</f>
        <v>0.6</v>
      </c>
      <c r="S13" s="2" t="n">
        <f aca="false">S12+Q13</f>
        <v>0.28327013450166</v>
      </c>
      <c r="T13" s="2" t="n">
        <f aca="false">T12+0.05</f>
        <v>0.6</v>
      </c>
      <c r="V13" s="2" t="n">
        <f aca="false">T13-S13</f>
        <v>0.31672986549834</v>
      </c>
      <c r="X13" s="2" t="n">
        <f aca="false">0.05-Q13</f>
        <v>0.00571276830639083</v>
      </c>
      <c r="Y13" s="2" t="n">
        <v>0</v>
      </c>
      <c r="Z13" s="2" t="n">
        <f aca="false">Q13*LOG(Q13)</f>
        <v>-0.0599525762021674</v>
      </c>
      <c r="AA13" s="2" t="n">
        <f aca="false">0.05*LOG(0.05)</f>
        <v>-0.0650514997831991</v>
      </c>
    </row>
    <row r="14" customFormat="false" ht="13" hidden="false" customHeight="false" outlineLevel="0" collapsed="false">
      <c r="A14" s="4" t="n">
        <v>988</v>
      </c>
      <c r="B14" s="2" t="n">
        <v>26.9204425277635</v>
      </c>
      <c r="C14" s="5" t="n">
        <f aca="false">B14</f>
        <v>26.9204425277635</v>
      </c>
      <c r="D14" s="5" t="n">
        <f aca="false">C14*LOG(C14)</f>
        <v>38.4984455323196</v>
      </c>
      <c r="E14" s="5"/>
      <c r="F14" s="5"/>
      <c r="G14" s="4" t="n">
        <v>13</v>
      </c>
      <c r="H14" s="6" t="n">
        <v>0.987</v>
      </c>
      <c r="J14" s="2" t="n">
        <f aca="false">B14/$B$1003</f>
        <v>0.0026310677716855</v>
      </c>
      <c r="K14" s="5" t="n">
        <f aca="false">J14*LOG(J14,2)</f>
        <v>-0.0225486082980703</v>
      </c>
      <c r="M14" s="2" t="n">
        <v>0.0669365968245554</v>
      </c>
      <c r="N14" s="2" t="n">
        <f aca="false">1/1000*LOG(1/1000,2)</f>
        <v>-0.00996578428466209</v>
      </c>
      <c r="Q14" s="2" t="n">
        <v>0.0533089962492392</v>
      </c>
      <c r="R14" s="2" t="n">
        <f aca="false">R13+0.05</f>
        <v>0.65</v>
      </c>
      <c r="S14" s="2" t="n">
        <f aca="false">S13+Q14</f>
        <v>0.3365791307509</v>
      </c>
      <c r="T14" s="2" t="n">
        <f aca="false">T13+0.05</f>
        <v>0.65</v>
      </c>
      <c r="V14" s="2" t="n">
        <f aca="false">T14-S14</f>
        <v>0.313420869249101</v>
      </c>
      <c r="X14" s="2" t="n">
        <f aca="false">0.05-Q14</f>
        <v>-0.00330899624923924</v>
      </c>
      <c r="Y14" s="2" t="n">
        <v>0</v>
      </c>
      <c r="Z14" s="2" t="n">
        <f aca="false">Q14*LOG(Q14)</f>
        <v>-0.0678729870871533</v>
      </c>
      <c r="AA14" s="2" t="n">
        <f aca="false">0.05*LOG(0.05)</f>
        <v>-0.0650514997831991</v>
      </c>
    </row>
    <row r="15" customFormat="false" ht="13" hidden="false" customHeight="false" outlineLevel="0" collapsed="false">
      <c r="A15" s="4" t="n">
        <v>987</v>
      </c>
      <c r="B15" s="2" t="n">
        <v>26.7210597471873</v>
      </c>
      <c r="C15" s="5" t="n">
        <f aca="false">B15</f>
        <v>26.7210597471873</v>
      </c>
      <c r="D15" s="5" t="n">
        <f aca="false">C15*LOG(C15)</f>
        <v>38.1270423830308</v>
      </c>
      <c r="E15" s="5"/>
      <c r="F15" s="5"/>
      <c r="G15" s="4" t="n">
        <v>14</v>
      </c>
      <c r="H15" s="6" t="n">
        <v>0.986</v>
      </c>
      <c r="J15" s="2" t="n">
        <f aca="false">B15/$B$1003</f>
        <v>0.00261158110805944</v>
      </c>
      <c r="K15" s="5" t="n">
        <f aca="false">J15*LOG(J15,2)</f>
        <v>-0.0224096138892436</v>
      </c>
      <c r="M15" s="2" t="n">
        <v>0.0784691342921319</v>
      </c>
      <c r="N15" s="2" t="n">
        <f aca="false">1/1000*LOG(1/1000,2)</f>
        <v>-0.00996578428466209</v>
      </c>
      <c r="Q15" s="2" t="n">
        <v>0.0669365968245554</v>
      </c>
      <c r="R15" s="2" t="n">
        <f aca="false">R14+0.05</f>
        <v>0.7</v>
      </c>
      <c r="S15" s="2" t="n">
        <f aca="false">S14+Q15</f>
        <v>0.403515727575455</v>
      </c>
      <c r="T15" s="2" t="n">
        <f aca="false">T14+0.05</f>
        <v>0.7</v>
      </c>
      <c r="V15" s="2" t="n">
        <f aca="false">T15-S15</f>
        <v>0.296484272424545</v>
      </c>
      <c r="X15" s="2" t="n">
        <f aca="false">0.05-Q15</f>
        <v>-0.0169365968245554</v>
      </c>
      <c r="Y15" s="2" t="n">
        <v>0</v>
      </c>
      <c r="Z15" s="2" t="n">
        <f aca="false">Q15*LOG(Q15)</f>
        <v>-0.078606080250207</v>
      </c>
      <c r="AA15" s="2" t="n">
        <f aca="false">0.05*LOG(0.05)</f>
        <v>-0.0650514997831991</v>
      </c>
    </row>
    <row r="16" customFormat="false" ht="13" hidden="false" customHeight="false" outlineLevel="0" collapsed="false">
      <c r="A16" s="4" t="n">
        <v>986</v>
      </c>
      <c r="B16" s="2" t="n">
        <v>26.7208089237112</v>
      </c>
      <c r="C16" s="5" t="n">
        <f aca="false">B16</f>
        <v>26.7208089237112</v>
      </c>
      <c r="D16" s="5" t="n">
        <f aca="false">C16*LOG(C16)</f>
        <v>38.126575563891</v>
      </c>
      <c r="E16" s="5"/>
      <c r="F16" s="5"/>
      <c r="G16" s="4" t="n">
        <v>15</v>
      </c>
      <c r="H16" s="6" t="n">
        <v>0.985</v>
      </c>
      <c r="J16" s="2" t="n">
        <f aca="false">B16/$B$1003</f>
        <v>0.00261155659384265</v>
      </c>
      <c r="K16" s="5" t="n">
        <f aca="false">J16*LOG(J16,2)</f>
        <v>-0.0224094389025353</v>
      </c>
      <c r="M16" s="2" t="n">
        <v>0.087718989345726</v>
      </c>
      <c r="N16" s="2" t="n">
        <f aca="false">1/1000*LOG(1/1000,2)</f>
        <v>-0.00996578428466209</v>
      </c>
      <c r="Q16" s="2" t="n">
        <v>0.0784691342921319</v>
      </c>
      <c r="R16" s="2" t="n">
        <f aca="false">R15+0.05</f>
        <v>0.75</v>
      </c>
      <c r="S16" s="2" t="n">
        <f aca="false">S15+Q16</f>
        <v>0.481984861867587</v>
      </c>
      <c r="T16" s="2" t="n">
        <f aca="false">T15+0.05</f>
        <v>0.75</v>
      </c>
      <c r="V16" s="2" t="n">
        <f aca="false">T16-S16</f>
        <v>0.268015138132413</v>
      </c>
      <c r="X16" s="2" t="n">
        <f aca="false">0.05-Q16</f>
        <v>-0.0284691342921319</v>
      </c>
      <c r="Y16" s="2" t="n">
        <v>0</v>
      </c>
      <c r="Z16" s="2" t="n">
        <f aca="false">Q16*LOG(Q16)</f>
        <v>-0.0867320234860853</v>
      </c>
      <c r="AA16" s="2" t="n">
        <f aca="false">0.05*LOG(0.05)</f>
        <v>-0.0650514997831991</v>
      </c>
    </row>
    <row r="17" customFormat="false" ht="13" hidden="false" customHeight="false" outlineLevel="0" collapsed="false">
      <c r="A17" s="4" t="n">
        <v>985</v>
      </c>
      <c r="B17" s="2" t="n">
        <v>26.4622251327387</v>
      </c>
      <c r="C17" s="5" t="n">
        <f aca="false">B17</f>
        <v>26.4622251327387</v>
      </c>
      <c r="D17" s="5" t="n">
        <f aca="false">C17*LOG(C17)</f>
        <v>37.6458590171981</v>
      </c>
      <c r="E17" s="5"/>
      <c r="F17" s="5"/>
      <c r="G17" s="4" t="n">
        <v>16</v>
      </c>
      <c r="H17" s="6" t="n">
        <v>0.984</v>
      </c>
      <c r="J17" s="2" t="n">
        <f aca="false">B17/$B$1003</f>
        <v>0.0025862839231573</v>
      </c>
      <c r="K17" s="5" t="n">
        <f aca="false">J17*LOG(J17,2)</f>
        <v>-0.0222288610567295</v>
      </c>
      <c r="M17" s="2" t="n">
        <v>0.0942055997083627</v>
      </c>
      <c r="N17" s="2" t="n">
        <f aca="false">1/1000*LOG(1/1000,2)</f>
        <v>-0.00996578428466209</v>
      </c>
      <c r="Q17" s="2" t="n">
        <v>0.087718989345726</v>
      </c>
      <c r="R17" s="2" t="n">
        <f aca="false">R16+0.05</f>
        <v>0.8</v>
      </c>
      <c r="S17" s="2" t="n">
        <f aca="false">S16+Q17</f>
        <v>0.569703851213313</v>
      </c>
      <c r="T17" s="2" t="n">
        <f aca="false">T16+0.05</f>
        <v>0.8</v>
      </c>
      <c r="V17" s="2" t="n">
        <f aca="false">T17-S17</f>
        <v>0.230296148786687</v>
      </c>
      <c r="X17" s="2" t="n">
        <f aca="false">0.05-Q17</f>
        <v>-0.0377189893457259</v>
      </c>
      <c r="Y17" s="2" t="n">
        <v>0</v>
      </c>
      <c r="Z17" s="2" t="n">
        <f aca="false">Q17*LOG(Q17)</f>
        <v>-0.0927107595471107</v>
      </c>
      <c r="AA17" s="2" t="n">
        <f aca="false">0.05*LOG(0.05)</f>
        <v>-0.0650514997831991</v>
      </c>
    </row>
    <row r="18" customFormat="false" ht="13" hidden="false" customHeight="false" outlineLevel="0" collapsed="false">
      <c r="A18" s="4" t="n">
        <v>984</v>
      </c>
      <c r="B18" s="2" t="n">
        <v>26.0853032841139</v>
      </c>
      <c r="C18" s="5" t="n">
        <f aca="false">B18</f>
        <v>26.0853032841139</v>
      </c>
      <c r="D18" s="5" t="n">
        <f aca="false">C18*LOG(C18)</f>
        <v>36.9471163732323</v>
      </c>
      <c r="E18" s="5"/>
      <c r="F18" s="5"/>
      <c r="G18" s="4" t="n">
        <v>17</v>
      </c>
      <c r="H18" s="6" t="n">
        <v>0.983</v>
      </c>
      <c r="J18" s="2" t="n">
        <f aca="false">B18/$B$1003</f>
        <v>0.0025494454897869</v>
      </c>
      <c r="K18" s="5" t="n">
        <f aca="false">J18*LOG(J18,2)</f>
        <v>-0.0219650045833201</v>
      </c>
      <c r="M18" s="2" t="n">
        <v>0.101046175171716</v>
      </c>
      <c r="N18" s="2" t="n">
        <f aca="false">1/1000*LOG(1/1000,2)</f>
        <v>-0.00996578428466209</v>
      </c>
      <c r="Q18" s="2" t="n">
        <v>0.0942055997083627</v>
      </c>
      <c r="R18" s="2" t="n">
        <f aca="false">R17+0.05</f>
        <v>0.85</v>
      </c>
      <c r="S18" s="2" t="n">
        <f aca="false">S17+Q18</f>
        <v>0.663909450921675</v>
      </c>
      <c r="T18" s="2" t="n">
        <f aca="false">T17+0.05</f>
        <v>0.85</v>
      </c>
      <c r="V18" s="2" t="n">
        <f aca="false">T18-S18</f>
        <v>0.186090549078325</v>
      </c>
      <c r="X18" s="2" t="n">
        <f aca="false">0.05-Q18</f>
        <v>-0.0442055997083627</v>
      </c>
      <c r="Y18" s="2" t="n">
        <v>0</v>
      </c>
      <c r="Z18" s="2" t="n">
        <f aca="false">Q18*LOG(Q18)</f>
        <v>-0.0966477179779268</v>
      </c>
      <c r="AA18" s="2" t="n">
        <f aca="false">0.05*LOG(0.05)</f>
        <v>-0.0650514997831991</v>
      </c>
    </row>
    <row r="19" customFormat="false" ht="13" hidden="false" customHeight="false" outlineLevel="0" collapsed="false">
      <c r="A19" s="4" t="n">
        <v>983</v>
      </c>
      <c r="B19" s="2" t="n">
        <v>25.9994389141898</v>
      </c>
      <c r="C19" s="5" t="n">
        <f aca="false">B19</f>
        <v>25.9994389141898</v>
      </c>
      <c r="D19" s="5" t="n">
        <f aca="false">C19*LOG(C19)</f>
        <v>36.788269451932</v>
      </c>
      <c r="E19" s="5"/>
      <c r="F19" s="5"/>
      <c r="G19" s="4" t="n">
        <v>18</v>
      </c>
      <c r="H19" s="6" t="n">
        <v>0.982</v>
      </c>
      <c r="J19" s="2" t="n">
        <f aca="false">B19/$B$1003</f>
        <v>0.00254105354094689</v>
      </c>
      <c r="K19" s="5" t="n">
        <f aca="false">J19*LOG(J19,2)</f>
        <v>-0.021904789977116</v>
      </c>
      <c r="M19" s="2" t="n">
        <v>0.109366568798771</v>
      </c>
      <c r="N19" s="2" t="n">
        <f aca="false">1/1000*LOG(1/1000,2)</f>
        <v>-0.00996578428466209</v>
      </c>
      <c r="Q19" s="2" t="n">
        <v>0.101046175171716</v>
      </c>
      <c r="R19" s="2" t="n">
        <f aca="false">R18+0.05</f>
        <v>0.9</v>
      </c>
      <c r="S19" s="2" t="n">
        <f aca="false">S18+Q19</f>
        <v>0.764955626093392</v>
      </c>
      <c r="T19" s="2" t="n">
        <f aca="false">T18+0.05</f>
        <v>0.9</v>
      </c>
      <c r="V19" s="2" t="n">
        <f aca="false">T19-S19</f>
        <v>0.135044373906609</v>
      </c>
      <c r="X19" s="2" t="n">
        <f aca="false">0.05-Q19</f>
        <v>-0.0510461751717161</v>
      </c>
      <c r="Y19" s="2" t="n">
        <v>0</v>
      </c>
      <c r="Z19" s="2" t="n">
        <f aca="false">Q19*LOG(Q19)</f>
        <v>-0.100589458673857</v>
      </c>
      <c r="AA19" s="2" t="n">
        <f aca="false">0.05*LOG(0.05)</f>
        <v>-0.0650514997831991</v>
      </c>
    </row>
    <row r="20" customFormat="false" ht="13" hidden="false" customHeight="false" outlineLevel="0" collapsed="false">
      <c r="A20" s="4" t="n">
        <v>982</v>
      </c>
      <c r="B20" s="2" t="n">
        <v>25.8540195212821</v>
      </c>
      <c r="C20" s="5" t="n">
        <f aca="false">B20</f>
        <v>25.8540195212821</v>
      </c>
      <c r="D20" s="5" t="n">
        <f aca="false">C20*LOG(C20)</f>
        <v>36.5195283579203</v>
      </c>
      <c r="E20" s="5"/>
      <c r="F20" s="5"/>
      <c r="G20" s="4" t="n">
        <v>19</v>
      </c>
      <c r="H20" s="6" t="n">
        <v>0.981</v>
      </c>
      <c r="J20" s="2" t="n">
        <f aca="false">B20/$B$1003</f>
        <v>0.00252684098564945</v>
      </c>
      <c r="K20" s="5" t="n">
        <f aca="false">J20*LOG(J20,2)</f>
        <v>-0.0218027196028533</v>
      </c>
      <c r="M20" s="2" t="n">
        <v>0.125677805107836</v>
      </c>
      <c r="N20" s="2" t="n">
        <f aca="false">1/1000*LOG(1/1000,2)</f>
        <v>-0.00996578428466209</v>
      </c>
      <c r="Q20" s="2" t="n">
        <v>0.109366568798771</v>
      </c>
      <c r="R20" s="2" t="n">
        <f aca="false">R19+0.05</f>
        <v>0.95</v>
      </c>
      <c r="S20" s="2" t="n">
        <f aca="false">S19+Q20</f>
        <v>0.874322194892163</v>
      </c>
      <c r="T20" s="2" t="n">
        <f aca="false">T19+0.05</f>
        <v>0.95</v>
      </c>
      <c r="V20" s="2" t="n">
        <f aca="false">T20-S20</f>
        <v>0.0756778051078375</v>
      </c>
      <c r="X20" s="2" t="n">
        <f aca="false">0.05-Q20</f>
        <v>-0.0593665687987712</v>
      </c>
      <c r="Y20" s="2" t="n">
        <v>0</v>
      </c>
      <c r="Z20" s="2" t="n">
        <f aca="false">Q20*LOG(Q20)</f>
        <v>-0.105113894935783</v>
      </c>
      <c r="AA20" s="2" t="n">
        <f aca="false">0.05*LOG(0.05)</f>
        <v>-0.0650514997831991</v>
      </c>
    </row>
    <row r="21" customFormat="false" ht="13" hidden="false" customHeight="false" outlineLevel="0" collapsed="false">
      <c r="A21" s="4" t="n">
        <v>981</v>
      </c>
      <c r="B21" s="2" t="n">
        <v>25.8394970320019</v>
      </c>
      <c r="C21" s="5" t="n">
        <f aca="false">B21</f>
        <v>25.8394970320019</v>
      </c>
      <c r="D21" s="5" t="n">
        <f aca="false">C21*LOG(C21)</f>
        <v>36.4927096688711</v>
      </c>
      <c r="E21" s="5"/>
      <c r="F21" s="5"/>
      <c r="G21" s="4" t="n">
        <v>20</v>
      </c>
      <c r="H21" s="6" t="n">
        <v>0.98</v>
      </c>
      <c r="J21" s="2" t="n">
        <f aca="false">B21/$B$1003</f>
        <v>0.00252542163106527</v>
      </c>
      <c r="K21" s="5" t="n">
        <f aca="false">J21*LOG(J21,2)</f>
        <v>-0.0217925198942393</v>
      </c>
      <c r="N21" s="2" t="n">
        <f aca="false">1/1000*LOG(1/1000,2)</f>
        <v>-0.00996578428466209</v>
      </c>
      <c r="Q21" s="2" t="n">
        <v>0.125677805107836</v>
      </c>
      <c r="R21" s="2" t="n">
        <f aca="false">R20+0.05</f>
        <v>1</v>
      </c>
      <c r="S21" s="2" t="n">
        <f aca="false">S20+Q21</f>
        <v>0.999999999999999</v>
      </c>
      <c r="T21" s="2" t="n">
        <f aca="false">T20+0.05</f>
        <v>1</v>
      </c>
    </row>
    <row r="22" customFormat="false" ht="13" hidden="false" customHeight="false" outlineLevel="0" collapsed="false">
      <c r="A22" s="4" t="n">
        <v>980</v>
      </c>
      <c r="B22" s="2" t="n">
        <v>25.6391512919133</v>
      </c>
      <c r="C22" s="5" t="n">
        <f aca="false">B22</f>
        <v>25.6391512919133</v>
      </c>
      <c r="D22" s="5" t="n">
        <f aca="false">C22*LOG(C22)</f>
        <v>36.1230937112553</v>
      </c>
      <c r="E22" s="5"/>
      <c r="F22" s="5"/>
      <c r="G22" s="4" t="n">
        <v>21</v>
      </c>
      <c r="H22" s="6" t="n">
        <v>0.979</v>
      </c>
      <c r="J22" s="2" t="n">
        <f aca="false">B22/$B$1003</f>
        <v>0.00250584085265132</v>
      </c>
      <c r="K22" s="5" t="n">
        <f aca="false">J22*LOG(J22,2)</f>
        <v>-0.0216516915596133</v>
      </c>
      <c r="N22" s="2" t="n">
        <f aca="false">1/1000*LOG(1/1000,2)</f>
        <v>-0.00996578428466209</v>
      </c>
      <c r="Q22" s="2" t="n">
        <v>1</v>
      </c>
    </row>
    <row r="23" customFormat="false" ht="13" hidden="false" customHeight="false" outlineLevel="0" collapsed="false">
      <c r="A23" s="4" t="n">
        <v>979</v>
      </c>
      <c r="B23" s="2" t="n">
        <v>25.3248837101495</v>
      </c>
      <c r="C23" s="5" t="n">
        <f aca="false">B23</f>
        <v>25.3248837101495</v>
      </c>
      <c r="D23" s="5" t="n">
        <f aca="false">C23*LOG(C23)</f>
        <v>35.5446762008878</v>
      </c>
      <c r="E23" s="5"/>
      <c r="F23" s="5"/>
      <c r="G23" s="4" t="n">
        <v>22</v>
      </c>
      <c r="H23" s="6" t="n">
        <v>0.978</v>
      </c>
      <c r="J23" s="2" t="n">
        <f aca="false">B23/$B$1003</f>
        <v>0.00247512593014544</v>
      </c>
      <c r="K23" s="5" t="n">
        <f aca="false">J23*LOG(J23,2)</f>
        <v>-0.0214303391692697</v>
      </c>
      <c r="N23" s="2" t="n">
        <f aca="false">1/1000*LOG(1/1000,2)</f>
        <v>-0.00996578428466209</v>
      </c>
      <c r="Q23" s="7" t="n">
        <f aca="false">AVERAGE(Q2:Q21)</f>
        <v>0.0499999999999999</v>
      </c>
      <c r="S23" s="2" t="s">
        <v>14</v>
      </c>
      <c r="T23" s="2" t="n">
        <f aca="false">SUM(T2:T20)</f>
        <v>9.5</v>
      </c>
      <c r="U23" s="2" t="s">
        <v>15</v>
      </c>
      <c r="V23" s="2" t="n">
        <f aca="false">SUM(V2:V20)</f>
        <v>4.00734344126721</v>
      </c>
      <c r="W23" s="2" t="s">
        <v>16</v>
      </c>
      <c r="Z23" s="2" t="n">
        <f aca="false">-SUM(Z2:Z20)</f>
        <v>1.07613510261787</v>
      </c>
      <c r="AA23" s="2" t="n">
        <f aca="false">-SUM(AA2:AA20)</f>
        <v>1.23597849588078</v>
      </c>
    </row>
    <row r="24" customFormat="false" ht="13" hidden="false" customHeight="false" outlineLevel="0" collapsed="false">
      <c r="A24" s="4" t="n">
        <v>978</v>
      </c>
      <c r="B24" s="2" t="n">
        <v>25.1899814179001</v>
      </c>
      <c r="C24" s="5" t="n">
        <f aca="false">B24</f>
        <v>25.1899814179001</v>
      </c>
      <c r="D24" s="5" t="n">
        <f aca="false">C24*LOG(C24)</f>
        <v>35.2969034314151</v>
      </c>
      <c r="E24" s="5"/>
      <c r="F24" s="5"/>
      <c r="G24" s="4" t="n">
        <v>23</v>
      </c>
      <c r="H24" s="6" t="n">
        <v>0.977</v>
      </c>
      <c r="J24" s="2" t="n">
        <f aca="false">B24/$B$1003</f>
        <v>0.00246194126302498</v>
      </c>
      <c r="K24" s="5" t="n">
        <f aca="false">J24*LOG(J24,2)</f>
        <v>-0.0213351532998676</v>
      </c>
      <c r="N24" s="2" t="n">
        <f aca="false">1/1000*LOG(1/1000,2)</f>
        <v>-0.00996578428466209</v>
      </c>
    </row>
    <row r="25" customFormat="false" ht="13" hidden="false" customHeight="false" outlineLevel="0" collapsed="false">
      <c r="A25" s="4" t="n">
        <v>977</v>
      </c>
      <c r="B25" s="2" t="n">
        <v>25.1703289251758</v>
      </c>
      <c r="C25" s="5" t="n">
        <f aca="false">B25</f>
        <v>25.1703289251758</v>
      </c>
      <c r="D25" s="5" t="n">
        <f aca="false">C25*LOG(C25)</f>
        <v>35.2608341724324</v>
      </c>
      <c r="E25" s="5"/>
      <c r="F25" s="5"/>
      <c r="G25" s="4" t="n">
        <v>24</v>
      </c>
      <c r="H25" s="6" t="n">
        <v>0.976</v>
      </c>
      <c r="J25" s="2" t="n">
        <f aca="false">B25/$B$1003</f>
        <v>0.00246002052787411</v>
      </c>
      <c r="K25" s="5" t="n">
        <f aca="false">J25*LOG(J25,2)</f>
        <v>-0.0213212781860651</v>
      </c>
      <c r="N25" s="2" t="n">
        <f aca="false">1/1000*LOG(1/1000,2)</f>
        <v>-0.00996578428466209</v>
      </c>
      <c r="T25" s="2" t="s">
        <v>17</v>
      </c>
      <c r="U25" s="2" t="n">
        <f aca="false">V23/T23</f>
        <v>0.421825625396549</v>
      </c>
    </row>
    <row r="26" customFormat="false" ht="13" hidden="false" customHeight="false" outlineLevel="0" collapsed="false">
      <c r="A26" s="4" t="n">
        <v>976</v>
      </c>
      <c r="B26" s="2" t="n">
        <v>25.1617170903174</v>
      </c>
      <c r="C26" s="5" t="n">
        <f aca="false">B26</f>
        <v>25.1617170903174</v>
      </c>
      <c r="D26" s="5" t="n">
        <f aca="false">C26*LOG(C26)</f>
        <v>35.2450305161823</v>
      </c>
      <c r="E26" s="5"/>
      <c r="F26" s="5"/>
      <c r="G26" s="4" t="n">
        <v>25</v>
      </c>
      <c r="H26" s="6" t="n">
        <v>0.975</v>
      </c>
      <c r="J26" s="2" t="n">
        <f aca="false">B26/$B$1003</f>
        <v>0.00245917885073127</v>
      </c>
      <c r="K26" s="5" t="n">
        <f aca="false">J26*LOG(J26,2)</f>
        <v>-0.0213151973500629</v>
      </c>
      <c r="N26" s="2" t="n">
        <f aca="false">1/1000*LOG(1/1000,2)</f>
        <v>-0.00996578428466209</v>
      </c>
    </row>
    <row r="27" customFormat="false" ht="13" hidden="false" customHeight="false" outlineLevel="0" collapsed="false">
      <c r="A27" s="4" t="n">
        <v>975</v>
      </c>
      <c r="B27" s="2" t="n">
        <v>25.1234421470356</v>
      </c>
      <c r="C27" s="5" t="n">
        <f aca="false">B27</f>
        <v>25.1234421470356</v>
      </c>
      <c r="D27" s="5" t="n">
        <f aca="false">C27*LOG(C27)</f>
        <v>35.1748073141542</v>
      </c>
      <c r="E27" s="5"/>
      <c r="F27" s="5"/>
      <c r="G27" s="4" t="n">
        <v>26</v>
      </c>
      <c r="H27" s="6" t="n">
        <v>0.974</v>
      </c>
      <c r="J27" s="2" t="n">
        <f aca="false">B27/$B$1003</f>
        <v>0.00245543805153645</v>
      </c>
      <c r="K27" s="5" t="n">
        <f aca="false">J27*LOG(J27,2)</f>
        <v>-0.0212881662960976</v>
      </c>
      <c r="N27" s="2" t="n">
        <f aca="false">1/1000*LOG(1/1000,2)</f>
        <v>-0.00996578428466209</v>
      </c>
    </row>
    <row r="28" customFormat="false" ht="13" hidden="false" customHeight="false" outlineLevel="0" collapsed="false">
      <c r="A28" s="4" t="n">
        <v>974</v>
      </c>
      <c r="B28" s="2" t="n">
        <v>25.0663725264532</v>
      </c>
      <c r="C28" s="5" t="n">
        <f aca="false">B28</f>
        <v>25.0663725264532</v>
      </c>
      <c r="D28" s="5" t="n">
        <f aca="false">C28*LOG(C28)</f>
        <v>35.0701484792337</v>
      </c>
      <c r="E28" s="5"/>
      <c r="F28" s="5"/>
      <c r="G28" s="4" t="n">
        <v>27</v>
      </c>
      <c r="H28" s="6" t="n">
        <v>0.973</v>
      </c>
      <c r="J28" s="2" t="n">
        <f aca="false">B28/$B$1003</f>
        <v>0.0024498603557277</v>
      </c>
      <c r="K28" s="5" t="n">
        <f aca="false">J28*LOG(J28,2)</f>
        <v>-0.0212478465350437</v>
      </c>
      <c r="N28" s="2" t="n">
        <f aca="false">1/1000*LOG(1/1000,2)</f>
        <v>-0.00996578428466209</v>
      </c>
    </row>
    <row r="29" customFormat="false" ht="13" hidden="false" customHeight="false" outlineLevel="0" collapsed="false">
      <c r="A29" s="4" t="n">
        <v>973</v>
      </c>
      <c r="B29" s="2" t="n">
        <v>25.0353283385062</v>
      </c>
      <c r="C29" s="5" t="n">
        <f aca="false">B29</f>
        <v>25.0353283385062</v>
      </c>
      <c r="D29" s="5" t="n">
        <f aca="false">C29*LOG(C29)</f>
        <v>35.013240852789</v>
      </c>
      <c r="E29" s="5"/>
      <c r="F29" s="5"/>
      <c r="G29" s="4" t="n">
        <v>28</v>
      </c>
      <c r="H29" s="6" t="n">
        <v>0.972</v>
      </c>
      <c r="J29" s="2" t="n">
        <f aca="false">B29/$B$1003</f>
        <v>0.00244682625395463</v>
      </c>
      <c r="K29" s="5" t="n">
        <f aca="false">J29*LOG(J29,2)</f>
        <v>-0.021225906085045</v>
      </c>
      <c r="N29" s="2" t="n">
        <f aca="false">1/1000*LOG(1/1000,2)</f>
        <v>-0.00996578428466209</v>
      </c>
    </row>
    <row r="30" customFormat="false" ht="13" hidden="false" customHeight="false" outlineLevel="0" collapsed="false">
      <c r="A30" s="4" t="n">
        <v>972</v>
      </c>
      <c r="B30" s="2" t="n">
        <v>25.0075369565386</v>
      </c>
      <c r="C30" s="5" t="n">
        <f aca="false">B30</f>
        <v>25.0075369565386</v>
      </c>
      <c r="D30" s="5" t="n">
        <f aca="false">C30*LOG(C30)</f>
        <v>34.9623101818835</v>
      </c>
      <c r="E30" s="5"/>
      <c r="F30" s="5"/>
      <c r="G30" s="4" t="n">
        <v>29</v>
      </c>
      <c r="H30" s="6" t="n">
        <v>0.971</v>
      </c>
      <c r="J30" s="2" t="n">
        <f aca="false">B30/$B$1003</f>
        <v>0.0024441100649711</v>
      </c>
      <c r="K30" s="5" t="n">
        <f aca="false">J30*LOG(J30,2)</f>
        <v>-0.0212062599481522</v>
      </c>
      <c r="N30" s="2" t="n">
        <f aca="false">1/1000*LOG(1/1000,2)</f>
        <v>-0.00996578428466209</v>
      </c>
    </row>
    <row r="31" customFormat="false" ht="13" hidden="false" customHeight="false" outlineLevel="0" collapsed="false">
      <c r="A31" s="4" t="n">
        <v>971</v>
      </c>
      <c r="B31" s="2" t="n">
        <v>24.8440972535803</v>
      </c>
      <c r="C31" s="5" t="n">
        <f aca="false">B31</f>
        <v>24.8440972535803</v>
      </c>
      <c r="D31" s="5" t="n">
        <f aca="false">C31*LOG(C31)</f>
        <v>34.6630613841926</v>
      </c>
      <c r="E31" s="5"/>
      <c r="F31" s="5"/>
      <c r="G31" s="4" t="n">
        <v>30</v>
      </c>
      <c r="H31" s="6" t="n">
        <v>0.97</v>
      </c>
      <c r="J31" s="2" t="n">
        <f aca="false">B31/$B$1003</f>
        <v>0.00242813629579462</v>
      </c>
      <c r="K31" s="5" t="n">
        <f aca="false">J31*LOG(J31,2)</f>
        <v>-0.0210906337441785</v>
      </c>
      <c r="N31" s="2" t="n">
        <f aca="false">1/1000*LOG(1/1000,2)</f>
        <v>-0.00996578428466209</v>
      </c>
    </row>
    <row r="32" customFormat="false" ht="13" hidden="false" customHeight="false" outlineLevel="0" collapsed="false">
      <c r="A32" s="4" t="n">
        <v>970</v>
      </c>
      <c r="B32" s="2" t="n">
        <v>24.8135153523107</v>
      </c>
      <c r="C32" s="5" t="n">
        <f aca="false">B32</f>
        <v>24.8135153523107</v>
      </c>
      <c r="D32" s="5" t="n">
        <f aca="false">C32*LOG(C32)</f>
        <v>34.6071194322768</v>
      </c>
      <c r="E32" s="5"/>
      <c r="F32" s="5"/>
      <c r="G32" s="4" t="n">
        <v>31</v>
      </c>
      <c r="H32" s="6" t="n">
        <v>0.969</v>
      </c>
      <c r="J32" s="2" t="n">
        <f aca="false">B32/$B$1003</f>
        <v>0.00242514737558112</v>
      </c>
      <c r="K32" s="5" t="n">
        <f aca="false">J32*LOG(J32,2)</f>
        <v>-0.0210689816231284</v>
      </c>
      <c r="N32" s="2" t="n">
        <f aca="false">1/1000*LOG(1/1000,2)</f>
        <v>-0.00996578428466209</v>
      </c>
    </row>
    <row r="33" customFormat="false" ht="13" hidden="false" customHeight="false" outlineLevel="0" collapsed="false">
      <c r="A33" s="4" t="n">
        <v>969</v>
      </c>
      <c r="B33" s="2" t="n">
        <v>24.7316034021524</v>
      </c>
      <c r="C33" s="5" t="n">
        <f aca="false">B33</f>
        <v>24.7316034021524</v>
      </c>
      <c r="D33" s="5" t="n">
        <f aca="false">C33*LOG(C33)</f>
        <v>34.4573626674427</v>
      </c>
      <c r="E33" s="5"/>
      <c r="F33" s="5"/>
      <c r="G33" s="4" t="n">
        <v>32</v>
      </c>
      <c r="H33" s="6" t="n">
        <v>0.968</v>
      </c>
      <c r="J33" s="2" t="n">
        <f aca="false">B33/$B$1003</f>
        <v>0.00241714171624045</v>
      </c>
      <c r="K33" s="5" t="n">
        <f aca="false">J33*LOG(J33,2)</f>
        <v>-0.0210109614021144</v>
      </c>
      <c r="N33" s="2" t="n">
        <f aca="false">1/1000*LOG(1/1000,2)</f>
        <v>-0.00996578428466209</v>
      </c>
    </row>
    <row r="34" customFormat="false" ht="13" hidden="false" customHeight="false" outlineLevel="0" collapsed="false">
      <c r="A34" s="4" t="n">
        <v>968</v>
      </c>
      <c r="B34" s="2" t="n">
        <v>24.590687198807</v>
      </c>
      <c r="C34" s="5" t="n">
        <f aca="false">B34</f>
        <v>24.590687198807</v>
      </c>
      <c r="D34" s="5" t="n">
        <f aca="false">C34*LOG(C34)</f>
        <v>34.2000064001069</v>
      </c>
      <c r="E34" s="5"/>
      <c r="F34" s="5"/>
      <c r="G34" s="4" t="n">
        <v>33</v>
      </c>
      <c r="H34" s="6" t="n">
        <v>0.967</v>
      </c>
      <c r="J34" s="2" t="n">
        <f aca="false">B34/$B$1003</f>
        <v>0.00240336927989406</v>
      </c>
      <c r="K34" s="5" t="n">
        <f aca="false">J34*LOG(J34,2)</f>
        <v>-0.0209110574555908</v>
      </c>
      <c r="N34" s="2" t="n">
        <f aca="false">1/1000*LOG(1/1000,2)</f>
        <v>-0.00996578428466209</v>
      </c>
    </row>
    <row r="35" customFormat="false" ht="13" hidden="false" customHeight="false" outlineLevel="0" collapsed="false">
      <c r="A35" s="4" t="n">
        <v>967</v>
      </c>
      <c r="B35" s="2" t="n">
        <v>24.5801264345613</v>
      </c>
      <c r="C35" s="5" t="n">
        <f aca="false">B35</f>
        <v>24.5801264345613</v>
      </c>
      <c r="D35" s="5" t="n">
        <f aca="false">C35*LOG(C35)</f>
        <v>34.180733302353</v>
      </c>
      <c r="E35" s="5"/>
      <c r="F35" s="5"/>
      <c r="G35" s="4" t="n">
        <v>34</v>
      </c>
      <c r="H35" s="6" t="n">
        <v>0.966</v>
      </c>
      <c r="J35" s="2" t="n">
        <f aca="false">B35/$B$1003</f>
        <v>0.00240233712425908</v>
      </c>
      <c r="K35" s="5" t="n">
        <f aca="false">J35*LOG(J35,2)</f>
        <v>-0.0209035657182928</v>
      </c>
      <c r="N35" s="2" t="n">
        <f aca="false">1/1000*LOG(1/1000,2)</f>
        <v>-0.00996578428466209</v>
      </c>
    </row>
    <row r="36" customFormat="false" ht="13" hidden="false" customHeight="false" outlineLevel="0" collapsed="false">
      <c r="A36" s="4" t="n">
        <v>966</v>
      </c>
      <c r="B36" s="2" t="n">
        <v>24.3569333521875</v>
      </c>
      <c r="C36" s="5" t="n">
        <f aca="false">B36</f>
        <v>24.3569333521875</v>
      </c>
      <c r="D36" s="5" t="n">
        <f aca="false">C36*LOG(C36)</f>
        <v>33.7738744420382</v>
      </c>
      <c r="E36" s="5"/>
      <c r="F36" s="5"/>
      <c r="G36" s="4" t="n">
        <v>35</v>
      </c>
      <c r="H36" s="6" t="n">
        <v>0.965</v>
      </c>
      <c r="J36" s="2" t="n">
        <f aca="false">B36/$B$1003</f>
        <v>0.00238052336227165</v>
      </c>
      <c r="K36" s="5" t="n">
        <f aca="false">J36*LOG(J36,2)</f>
        <v>-0.020745083926732</v>
      </c>
      <c r="N36" s="2" t="n">
        <f aca="false">1/1000*LOG(1/1000,2)</f>
        <v>-0.00996578428466209</v>
      </c>
    </row>
    <row r="37" customFormat="false" ht="13" hidden="false" customHeight="false" outlineLevel="0" collapsed="false">
      <c r="A37" s="4" t="n">
        <v>965</v>
      </c>
      <c r="B37" s="2" t="n">
        <v>24.3258958446008</v>
      </c>
      <c r="C37" s="5" t="n">
        <f aca="false">B37</f>
        <v>24.3258958446008</v>
      </c>
      <c r="D37" s="5" t="n">
        <f aca="false">C37*LOG(C37)</f>
        <v>33.7173663059671</v>
      </c>
      <c r="E37" s="5"/>
      <c r="F37" s="5"/>
      <c r="G37" s="4" t="n">
        <v>36</v>
      </c>
      <c r="H37" s="6" t="n">
        <v>0.964</v>
      </c>
      <c r="J37" s="2" t="n">
        <f aca="false">B37/$B$1003</f>
        <v>0.00237748991340317</v>
      </c>
      <c r="K37" s="5" t="n">
        <f aca="false">J37*LOG(J37,2)</f>
        <v>-0.0207230224720082</v>
      </c>
      <c r="N37" s="2" t="n">
        <f aca="false">1/1000*LOG(1/1000,2)</f>
        <v>-0.00996578428466209</v>
      </c>
    </row>
    <row r="38" customFormat="false" ht="13" hidden="false" customHeight="false" outlineLevel="0" collapsed="false">
      <c r="A38" s="4" t="n">
        <v>964</v>
      </c>
      <c r="B38" s="2" t="n">
        <v>24.2797522597033</v>
      </c>
      <c r="C38" s="5" t="n">
        <f aca="false">B38</f>
        <v>24.2797522597033</v>
      </c>
      <c r="D38" s="5" t="n">
        <f aca="false">C38*LOG(C38)</f>
        <v>33.6333872351357</v>
      </c>
      <c r="E38" s="5"/>
      <c r="F38" s="5"/>
      <c r="G38" s="4" t="n">
        <v>37</v>
      </c>
      <c r="H38" s="6" t="n">
        <v>0.963</v>
      </c>
      <c r="J38" s="2" t="n">
        <f aca="false">B38/$B$1003</f>
        <v>0.00237298007301074</v>
      </c>
      <c r="K38" s="5" t="n">
        <f aca="false">J38*LOG(J38,2)</f>
        <v>-0.0206902132965311</v>
      </c>
      <c r="N38" s="2" t="n">
        <f aca="false">1/1000*LOG(1/1000,2)</f>
        <v>-0.00996578428466209</v>
      </c>
    </row>
    <row r="39" customFormat="false" ht="13" hidden="false" customHeight="false" outlineLevel="0" collapsed="false">
      <c r="A39" s="4" t="n">
        <v>963</v>
      </c>
      <c r="B39" s="2" t="n">
        <v>24.2380349377164</v>
      </c>
      <c r="C39" s="5" t="n">
        <f aca="false">B39</f>
        <v>24.2380349377164</v>
      </c>
      <c r="D39" s="5" t="n">
        <f aca="false">C39*LOG(C39)</f>
        <v>33.5574965256439</v>
      </c>
      <c r="E39" s="5"/>
      <c r="F39" s="5"/>
      <c r="G39" s="4" t="n">
        <v>38</v>
      </c>
      <c r="H39" s="6" t="n">
        <v>0.962</v>
      </c>
      <c r="J39" s="2" t="n">
        <f aca="false">B39/$B$1003</f>
        <v>0.00236890283314785</v>
      </c>
      <c r="K39" s="5" t="n">
        <f aca="false">J39*LOG(J39,2)</f>
        <v>-0.0206605406559013</v>
      </c>
      <c r="N39" s="2" t="n">
        <f aca="false">1/1000*LOG(1/1000,2)</f>
        <v>-0.00996578428466209</v>
      </c>
    </row>
    <row r="40" customFormat="false" ht="13" hidden="false" customHeight="false" outlineLevel="0" collapsed="false">
      <c r="A40" s="4" t="n">
        <v>962</v>
      </c>
      <c r="B40" s="2" t="n">
        <v>24.1972744183981</v>
      </c>
      <c r="C40" s="5" t="n">
        <f aca="false">B40</f>
        <v>24.1972744183981</v>
      </c>
      <c r="D40" s="5" t="n">
        <f aca="false">C40*LOG(C40)</f>
        <v>33.4833765166362</v>
      </c>
      <c r="E40" s="5"/>
      <c r="F40" s="5"/>
      <c r="G40" s="4" t="n">
        <v>39</v>
      </c>
      <c r="H40" s="6" t="n">
        <v>0.961</v>
      </c>
      <c r="J40" s="2" t="n">
        <f aca="false">B40/$B$1003</f>
        <v>0.00236491910633412</v>
      </c>
      <c r="K40" s="5" t="n">
        <f aca="false">J40*LOG(J40,2)</f>
        <v>-0.0206315387901708</v>
      </c>
      <c r="N40" s="2" t="n">
        <f aca="false">1/1000*LOG(1/1000,2)</f>
        <v>-0.00996578428466209</v>
      </c>
    </row>
    <row r="41" customFormat="false" ht="13" hidden="false" customHeight="false" outlineLevel="0" collapsed="false">
      <c r="A41" s="4" t="n">
        <v>961</v>
      </c>
      <c r="B41" s="2" t="n">
        <v>24.1899790896912</v>
      </c>
      <c r="C41" s="5" t="n">
        <f aca="false">B41</f>
        <v>24.1899790896912</v>
      </c>
      <c r="D41" s="5" t="n">
        <f aca="false">C41*LOG(C41)</f>
        <v>33.4701136421928</v>
      </c>
      <c r="E41" s="5"/>
      <c r="F41" s="5"/>
      <c r="G41" s="4" t="n">
        <v>40</v>
      </c>
      <c r="H41" s="6" t="n">
        <v>0.96</v>
      </c>
      <c r="J41" s="2" t="n">
        <f aca="false">B41/$B$1003</f>
        <v>0.00236420609783788</v>
      </c>
      <c r="K41" s="5" t="n">
        <f aca="false">J41*LOG(J41,2)</f>
        <v>-0.0206263470074605</v>
      </c>
      <c r="N41" s="2" t="n">
        <f aca="false">1/1000*LOG(1/1000,2)</f>
        <v>-0.00996578428466209</v>
      </c>
    </row>
    <row r="42" customFormat="false" ht="13" hidden="false" customHeight="false" outlineLevel="0" collapsed="false">
      <c r="A42" s="4" t="n">
        <v>960</v>
      </c>
      <c r="B42" s="2" t="n">
        <v>24.1476463054313</v>
      </c>
      <c r="C42" s="5" t="n">
        <f aca="false">B42</f>
        <v>24.1476463054313</v>
      </c>
      <c r="D42" s="5" t="n">
        <f aca="false">C42*LOG(C42)</f>
        <v>33.3931717010648</v>
      </c>
      <c r="E42" s="5"/>
      <c r="F42" s="5"/>
      <c r="G42" s="4" t="n">
        <v>41</v>
      </c>
      <c r="H42" s="6" t="n">
        <v>0.959</v>
      </c>
      <c r="J42" s="2" t="n">
        <f aca="false">B42/$B$1003</f>
        <v>0.00236006870580812</v>
      </c>
      <c r="K42" s="5" t="n">
        <f aca="false">J42*LOG(J42,2)</f>
        <v>-0.020596214395616</v>
      </c>
      <c r="N42" s="2" t="n">
        <f aca="false">1/1000*LOG(1/1000,2)</f>
        <v>-0.00996578428466209</v>
      </c>
    </row>
    <row r="43" customFormat="false" ht="13" hidden="false" customHeight="false" outlineLevel="0" collapsed="false">
      <c r="A43" s="4" t="n">
        <v>959</v>
      </c>
      <c r="B43" s="2" t="n">
        <v>24.140535283007</v>
      </c>
      <c r="C43" s="5" t="n">
        <f aca="false">B43</f>
        <v>24.140535283007</v>
      </c>
      <c r="D43" s="5" t="n">
        <f aca="false">C43*LOG(C43)</f>
        <v>33.3802502242736</v>
      </c>
      <c r="E43" s="5"/>
      <c r="F43" s="5"/>
      <c r="G43" s="4" t="n">
        <v>42</v>
      </c>
      <c r="H43" s="6" t="n">
        <v>0.958</v>
      </c>
      <c r="J43" s="2" t="n">
        <f aca="false">B43/$B$1003</f>
        <v>0.00235937371047493</v>
      </c>
      <c r="K43" s="5" t="n">
        <f aca="false">J43*LOG(J43,2)</f>
        <v>-0.0205911517209957</v>
      </c>
      <c r="N43" s="2" t="n">
        <f aca="false">1/1000*LOG(1/1000,2)</f>
        <v>-0.00996578428466209</v>
      </c>
    </row>
    <row r="44" customFormat="false" ht="13" hidden="false" customHeight="false" outlineLevel="0" collapsed="false">
      <c r="A44" s="4" t="n">
        <v>958</v>
      </c>
      <c r="B44" s="2" t="n">
        <v>23.8455561357545</v>
      </c>
      <c r="C44" s="5" t="n">
        <f aca="false">B44</f>
        <v>23.8455561357545</v>
      </c>
      <c r="D44" s="5" t="n">
        <f aca="false">C44*LOG(C44)</f>
        <v>32.8450468062353</v>
      </c>
      <c r="E44" s="5"/>
      <c r="F44" s="5"/>
      <c r="G44" s="4" t="n">
        <v>43</v>
      </c>
      <c r="H44" s="6" t="n">
        <v>0.957</v>
      </c>
      <c r="J44" s="2" t="n">
        <f aca="false">B44/$B$1003</f>
        <v>0.00233054394191318</v>
      </c>
      <c r="K44" s="5" t="n">
        <f aca="false">J44*LOG(J44,2)</f>
        <v>-0.0203808807736599</v>
      </c>
      <c r="N44" s="2" t="n">
        <f aca="false">1/1000*LOG(1/1000,2)</f>
        <v>-0.00996578428466209</v>
      </c>
    </row>
    <row r="45" customFormat="false" ht="13" hidden="false" customHeight="false" outlineLevel="0" collapsed="false">
      <c r="A45" s="4" t="n">
        <v>957</v>
      </c>
      <c r="B45" s="2" t="n">
        <v>23.8402881821836</v>
      </c>
      <c r="C45" s="5" t="n">
        <f aca="false">B45</f>
        <v>23.8402881821836</v>
      </c>
      <c r="D45" s="5" t="n">
        <f aca="false">C45*LOG(C45)</f>
        <v>32.8355030972773</v>
      </c>
      <c r="E45" s="5"/>
      <c r="F45" s="5"/>
      <c r="G45" s="4" t="n">
        <v>44</v>
      </c>
      <c r="H45" s="6" t="n">
        <v>0.956</v>
      </c>
      <c r="J45" s="2" t="n">
        <f aca="false">B45/$B$1003</f>
        <v>0.00233002907879944</v>
      </c>
      <c r="K45" s="5" t="n">
        <f aca="false">J45*LOG(J45,2)</f>
        <v>-0.0203771209436042</v>
      </c>
      <c r="N45" s="2" t="n">
        <f aca="false">1/1000*LOG(1/1000,2)</f>
        <v>-0.00996578428466209</v>
      </c>
    </row>
    <row r="46" customFormat="false" ht="13" hidden="false" customHeight="false" outlineLevel="0" collapsed="false">
      <c r="A46" s="4" t="n">
        <v>956</v>
      </c>
      <c r="B46" s="2" t="n">
        <v>23.8065472053315</v>
      </c>
      <c r="C46" s="5" t="n">
        <f aca="false">B46</f>
        <v>23.8065472053315</v>
      </c>
      <c r="D46" s="5" t="n">
        <f aca="false">C46*LOG(C46)</f>
        <v>32.7743881161503</v>
      </c>
      <c r="E46" s="5"/>
      <c r="F46" s="5"/>
      <c r="G46" s="4" t="n">
        <v>45</v>
      </c>
      <c r="H46" s="6" t="n">
        <v>0.955</v>
      </c>
      <c r="J46" s="2" t="n">
        <f aca="false">B46/$B$1003</f>
        <v>0.0023267314065309</v>
      </c>
      <c r="K46" s="5" t="n">
        <f aca="false">J46*LOG(J46,2)</f>
        <v>-0.0203530355279468</v>
      </c>
      <c r="N46" s="2" t="n">
        <f aca="false">1/1000*LOG(1/1000,2)</f>
        <v>-0.00996578428466209</v>
      </c>
    </row>
    <row r="47" customFormat="false" ht="13" hidden="false" customHeight="false" outlineLevel="0" collapsed="false">
      <c r="A47" s="4" t="n">
        <v>955</v>
      </c>
      <c r="B47" s="2" t="n">
        <v>23.6513598776291</v>
      </c>
      <c r="C47" s="5" t="n">
        <f aca="false">B47</f>
        <v>23.6513598776291</v>
      </c>
      <c r="D47" s="5" t="n">
        <f aca="false">C47*LOG(C47)</f>
        <v>32.493565427566</v>
      </c>
      <c r="E47" s="5"/>
      <c r="F47" s="5"/>
      <c r="G47" s="4" t="n">
        <v>46</v>
      </c>
      <c r="H47" s="6" t="n">
        <v>0.954</v>
      </c>
      <c r="J47" s="2" t="n">
        <f aca="false">B47/$B$1003</f>
        <v>0.00231156418273543</v>
      </c>
      <c r="K47" s="5" t="n">
        <f aca="false">J47*LOG(J47,2)</f>
        <v>-0.0202421707503282</v>
      </c>
      <c r="N47" s="2" t="n">
        <f aca="false">1/1000*LOG(1/1000,2)</f>
        <v>-0.00996578428466209</v>
      </c>
    </row>
    <row r="48" customFormat="false" ht="13" hidden="false" customHeight="false" outlineLevel="0" collapsed="false">
      <c r="A48" s="4" t="n">
        <v>954</v>
      </c>
      <c r="B48" s="2" t="n">
        <v>23.5615097163809</v>
      </c>
      <c r="C48" s="5" t="n">
        <f aca="false">B48</f>
        <v>23.5615097163809</v>
      </c>
      <c r="D48" s="5" t="n">
        <f aca="false">C48*LOG(C48)</f>
        <v>32.3311770188781</v>
      </c>
      <c r="E48" s="5"/>
      <c r="F48" s="5"/>
      <c r="G48" s="4" t="n">
        <v>47</v>
      </c>
      <c r="H48" s="6" t="n">
        <v>0.953</v>
      </c>
      <c r="J48" s="2" t="n">
        <f aca="false">B48/$B$1003</f>
        <v>0.00230278268282891</v>
      </c>
      <c r="K48" s="5" t="n">
        <f aca="false">J48*LOG(J48,2)</f>
        <v>-0.0201779168346535</v>
      </c>
      <c r="N48" s="2" t="n">
        <f aca="false">1/1000*LOG(1/1000,2)</f>
        <v>-0.00996578428466209</v>
      </c>
    </row>
    <row r="49" customFormat="false" ht="13" hidden="false" customHeight="false" outlineLevel="0" collapsed="false">
      <c r="A49" s="4" t="n">
        <v>953</v>
      </c>
      <c r="B49" s="2" t="n">
        <v>23.5466003005677</v>
      </c>
      <c r="C49" s="5" t="n">
        <f aca="false">B49</f>
        <v>23.5466003005677</v>
      </c>
      <c r="D49" s="5" t="n">
        <f aca="false">C49*LOG(C49)</f>
        <v>32.3042452441497</v>
      </c>
      <c r="E49" s="5"/>
      <c r="F49" s="5"/>
      <c r="G49" s="4" t="n">
        <v>48</v>
      </c>
      <c r="H49" s="6" t="n">
        <v>0.952</v>
      </c>
      <c r="J49" s="2" t="n">
        <f aca="false">B49/$B$1003</f>
        <v>0.00230132551200415</v>
      </c>
      <c r="K49" s="5" t="n">
        <f aca="false">J49*LOG(J49,2)</f>
        <v>-0.0201672501000948</v>
      </c>
      <c r="N49" s="2" t="n">
        <f aca="false">1/1000*LOG(1/1000,2)</f>
        <v>-0.00996578428466209</v>
      </c>
    </row>
    <row r="50" customFormat="false" ht="13" hidden="false" customHeight="false" outlineLevel="0" collapsed="false">
      <c r="A50" s="4" t="n">
        <v>952</v>
      </c>
      <c r="B50" s="2" t="n">
        <v>23.4859141936741</v>
      </c>
      <c r="C50" s="5" t="n">
        <f aca="false">B50</f>
        <v>23.4859141936741</v>
      </c>
      <c r="D50" s="5" t="n">
        <f aca="false">C50*LOG(C50)</f>
        <v>32.1946666127932</v>
      </c>
      <c r="E50" s="5"/>
      <c r="F50" s="5"/>
      <c r="G50" s="4" t="n">
        <v>49</v>
      </c>
      <c r="H50" s="6" t="n">
        <v>0.951</v>
      </c>
      <c r="J50" s="2" t="n">
        <f aca="false">B50/$B$1003</f>
        <v>0.00229539435913132</v>
      </c>
      <c r="K50" s="5" t="n">
        <f aca="false">J50*LOG(J50,2)</f>
        <v>-0.020123819322776</v>
      </c>
      <c r="N50" s="2" t="n">
        <f aca="false">1/1000*LOG(1/1000,2)</f>
        <v>-0.00996578428466209</v>
      </c>
    </row>
    <row r="51" customFormat="false" ht="13" hidden="false" customHeight="false" outlineLevel="0" collapsed="false">
      <c r="A51" s="4" t="n">
        <v>951</v>
      </c>
      <c r="B51" s="2" t="n">
        <v>23.4403600875304</v>
      </c>
      <c r="C51" s="5" t="n">
        <f aca="false">B51</f>
        <v>23.4403600875304</v>
      </c>
      <c r="D51" s="5" t="n">
        <f aca="false">C51*LOG(C51)</f>
        <v>32.1124560060717</v>
      </c>
      <c r="E51" s="5"/>
      <c r="F51" s="5"/>
      <c r="G51" s="4" t="n">
        <v>50</v>
      </c>
      <c r="H51" s="6" t="n">
        <v>0.95</v>
      </c>
      <c r="J51" s="2" t="n">
        <f aca="false">B51/$B$1003</f>
        <v>0.00229094213140812</v>
      </c>
      <c r="K51" s="5" t="n">
        <f aca="false">J51*LOG(J51,2)</f>
        <v>-0.0200912034277147</v>
      </c>
      <c r="L51" s="2" t="n">
        <f aca="false">SUM(J2:J51)</f>
        <v>0.125677805107836</v>
      </c>
      <c r="N51" s="2" t="n">
        <f aca="false">1/1000*LOG(1/1000,2)</f>
        <v>-0.00996578428466209</v>
      </c>
    </row>
    <row r="52" customFormat="false" ht="13" hidden="false" customHeight="false" outlineLevel="0" collapsed="false">
      <c r="A52" s="4" t="n">
        <v>950</v>
      </c>
      <c r="B52" s="2" t="n">
        <v>23.4050094504413</v>
      </c>
      <c r="C52" s="5" t="n">
        <f aca="false">B52</f>
        <v>23.4050094504413</v>
      </c>
      <c r="D52" s="5" t="n">
        <f aca="false">C52*LOG(C52)</f>
        <v>32.0486858919186</v>
      </c>
      <c r="E52" s="5"/>
      <c r="F52" s="5"/>
      <c r="G52" s="4" t="n">
        <v>51</v>
      </c>
      <c r="H52" s="6" t="n">
        <v>0.949</v>
      </c>
      <c r="J52" s="2" t="n">
        <f aca="false">B52/$B$1003</f>
        <v>0.00228748713909669</v>
      </c>
      <c r="K52" s="5" t="n">
        <f aca="false">J52*LOG(J52,2)</f>
        <v>-0.0200658844264488</v>
      </c>
      <c r="N52" s="2" t="n">
        <f aca="false">1/1000*LOG(1/1000,2)</f>
        <v>-0.00996578428466209</v>
      </c>
    </row>
    <row r="53" customFormat="false" ht="13" hidden="false" customHeight="false" outlineLevel="0" collapsed="false">
      <c r="A53" s="4" t="n">
        <v>949</v>
      </c>
      <c r="B53" s="2" t="n">
        <v>23.3453162588276</v>
      </c>
      <c r="C53" s="5" t="n">
        <f aca="false">B53</f>
        <v>23.3453162588276</v>
      </c>
      <c r="D53" s="5" t="n">
        <f aca="false">C53*LOG(C53)</f>
        <v>31.9410561419248</v>
      </c>
      <c r="E53" s="5"/>
      <c r="F53" s="5"/>
      <c r="G53" s="4" t="n">
        <v>52</v>
      </c>
      <c r="H53" s="6" t="n">
        <v>0.948</v>
      </c>
      <c r="J53" s="2" t="n">
        <f aca="false">B53/$B$1003</f>
        <v>0.00228165302873681</v>
      </c>
      <c r="K53" s="5" t="n">
        <f aca="false">J53*LOG(J53,2)</f>
        <v>-0.0200231135894838</v>
      </c>
      <c r="N53" s="2" t="n">
        <f aca="false">1/1000*LOG(1/1000,2)</f>
        <v>-0.00996578428466209</v>
      </c>
    </row>
    <row r="54" customFormat="false" ht="13" hidden="false" customHeight="false" outlineLevel="0" collapsed="false">
      <c r="A54" s="4" t="n">
        <v>948</v>
      </c>
      <c r="B54" s="2" t="n">
        <v>23.3241397445925</v>
      </c>
      <c r="C54" s="5" t="n">
        <f aca="false">B54</f>
        <v>23.3241397445925</v>
      </c>
      <c r="D54" s="5" t="n">
        <f aca="false">C54*LOG(C54)</f>
        <v>31.9028897694024</v>
      </c>
      <c r="E54" s="5"/>
      <c r="F54" s="5"/>
      <c r="G54" s="4" t="n">
        <v>53</v>
      </c>
      <c r="H54" s="6" t="n">
        <v>0.947</v>
      </c>
      <c r="J54" s="2" t="n">
        <f aca="false">B54/$B$1003</f>
        <v>0.00227958334343861</v>
      </c>
      <c r="K54" s="5" t="n">
        <f aca="false">J54*LOG(J54,2)</f>
        <v>-0.0200079352121804</v>
      </c>
      <c r="N54" s="2" t="n">
        <f aca="false">1/1000*LOG(1/1000,2)</f>
        <v>-0.00996578428466209</v>
      </c>
    </row>
    <row r="55" customFormat="false" ht="13" hidden="false" customHeight="false" outlineLevel="0" collapsed="false">
      <c r="A55" s="4" t="n">
        <v>947</v>
      </c>
      <c r="B55" s="2" t="n">
        <v>23.2808043377668</v>
      </c>
      <c r="C55" s="5" t="n">
        <f aca="false">B55</f>
        <v>23.2808043377668</v>
      </c>
      <c r="D55" s="5" t="n">
        <f aca="false">C55*LOG(C55)</f>
        <v>31.8248125222867</v>
      </c>
      <c r="E55" s="5"/>
      <c r="F55" s="5"/>
      <c r="G55" s="4" t="n">
        <v>54</v>
      </c>
      <c r="H55" s="6" t="n">
        <v>0.946</v>
      </c>
      <c r="J55" s="2" t="n">
        <f aca="false">B55/$B$1003</f>
        <v>0.00227534796015491</v>
      </c>
      <c r="K55" s="5" t="n">
        <f aca="false">J55*LOG(J55,2)</f>
        <v>-0.0199768658797813</v>
      </c>
      <c r="N55" s="2" t="n">
        <f aca="false">1/1000*LOG(1/1000,2)</f>
        <v>-0.00996578428466209</v>
      </c>
    </row>
    <row r="56" customFormat="false" ht="13" hidden="false" customHeight="false" outlineLevel="0" collapsed="false">
      <c r="A56" s="4" t="n">
        <v>946</v>
      </c>
      <c r="B56" s="2" t="n">
        <v>23.2305466833491</v>
      </c>
      <c r="C56" s="5" t="n">
        <f aca="false">B56</f>
        <v>23.2305466833491</v>
      </c>
      <c r="D56" s="5" t="n">
        <f aca="false">C56*LOG(C56)</f>
        <v>31.734307364372</v>
      </c>
      <c r="E56" s="5"/>
      <c r="F56" s="5"/>
      <c r="G56" s="4" t="n">
        <v>55</v>
      </c>
      <c r="H56" s="6" t="n">
        <v>0.945</v>
      </c>
      <c r="J56" s="2" t="n">
        <f aca="false">B56/$B$1003</f>
        <v>0.00227043603143448</v>
      </c>
      <c r="K56" s="5" t="n">
        <f aca="false">J56*LOG(J56,2)</f>
        <v>-0.0199408193942188</v>
      </c>
      <c r="N56" s="2" t="n">
        <f aca="false">1/1000*LOG(1/1000,2)</f>
        <v>-0.00996578428466209</v>
      </c>
    </row>
    <row r="57" customFormat="false" ht="13" hidden="false" customHeight="false" outlineLevel="0" collapsed="false">
      <c r="A57" s="4" t="n">
        <v>945</v>
      </c>
      <c r="B57" s="2" t="n">
        <v>23.1720565725184</v>
      </c>
      <c r="C57" s="5" t="n">
        <f aca="false">B57</f>
        <v>23.1720565725184</v>
      </c>
      <c r="D57" s="5" t="n">
        <f aca="false">C57*LOG(C57)</f>
        <v>31.6290364700181</v>
      </c>
      <c r="E57" s="5"/>
      <c r="F57" s="5"/>
      <c r="G57" s="4" t="n">
        <v>56</v>
      </c>
      <c r="H57" s="6" t="n">
        <v>0.944</v>
      </c>
      <c r="J57" s="2" t="n">
        <f aca="false">B57/$B$1003</f>
        <v>0.0022647195040999</v>
      </c>
      <c r="K57" s="5" t="n">
        <f aca="false">J57*LOG(J57,2)</f>
        <v>-0.0198988490072612</v>
      </c>
      <c r="N57" s="2" t="n">
        <f aca="false">1/1000*LOG(1/1000,2)</f>
        <v>-0.00996578428466209</v>
      </c>
    </row>
    <row r="58" customFormat="false" ht="13" hidden="false" customHeight="false" outlineLevel="0" collapsed="false">
      <c r="A58" s="4" t="n">
        <v>944</v>
      </c>
      <c r="B58" s="2" t="n">
        <v>23.1617198158299</v>
      </c>
      <c r="C58" s="5" t="n">
        <f aca="false">B58</f>
        <v>23.1617198158299</v>
      </c>
      <c r="D58" s="5" t="n">
        <f aca="false">C58*LOG(C58)</f>
        <v>31.6104389683097</v>
      </c>
      <c r="E58" s="5"/>
      <c r="F58" s="5"/>
      <c r="G58" s="4" t="n">
        <v>57</v>
      </c>
      <c r="H58" s="6" t="n">
        <v>0.943</v>
      </c>
      <c r="J58" s="2" t="n">
        <f aca="false">B58/$B$1003</f>
        <v>0.00226370924182955</v>
      </c>
      <c r="K58" s="5" t="n">
        <f aca="false">J58*LOG(J58,2)</f>
        <v>-0.0198914295616416</v>
      </c>
      <c r="N58" s="2" t="n">
        <f aca="false">1/1000*LOG(1/1000,2)</f>
        <v>-0.00996578428466209</v>
      </c>
    </row>
    <row r="59" customFormat="false" ht="13" hidden="false" customHeight="false" outlineLevel="0" collapsed="false">
      <c r="A59" s="4" t="n">
        <v>943</v>
      </c>
      <c r="B59" s="2" t="n">
        <v>23.1537367894781</v>
      </c>
      <c r="C59" s="5" t="n">
        <f aca="false">B59</f>
        <v>23.1537367894781</v>
      </c>
      <c r="D59" s="5" t="n">
        <f aca="false">C59*LOG(C59)</f>
        <v>31.5960775802682</v>
      </c>
      <c r="E59" s="5"/>
      <c r="F59" s="5"/>
      <c r="G59" s="4" t="n">
        <v>58</v>
      </c>
      <c r="H59" s="6" t="n">
        <v>0.942</v>
      </c>
      <c r="J59" s="2" t="n">
        <f aca="false">B59/$B$1003</f>
        <v>0.00226292902124688</v>
      </c>
      <c r="K59" s="5" t="n">
        <f aca="false">J59*LOG(J59,2)</f>
        <v>-0.0198856991151401</v>
      </c>
      <c r="N59" s="2" t="n">
        <f aca="false">1/1000*LOG(1/1000,2)</f>
        <v>-0.00996578428466209</v>
      </c>
    </row>
    <row r="60" customFormat="false" ht="13" hidden="false" customHeight="false" outlineLevel="0" collapsed="false">
      <c r="A60" s="4" t="n">
        <v>942</v>
      </c>
      <c r="B60" s="2" t="n">
        <v>23.1255647517295</v>
      </c>
      <c r="C60" s="5" t="n">
        <f aca="false">B60</f>
        <v>23.1255647517295</v>
      </c>
      <c r="D60" s="5" t="n">
        <f aca="false">C60*LOG(C60)</f>
        <v>31.5454059092083</v>
      </c>
      <c r="E60" s="5"/>
      <c r="F60" s="5"/>
      <c r="G60" s="4" t="n">
        <v>59</v>
      </c>
      <c r="H60" s="6" t="n">
        <v>0.941</v>
      </c>
      <c r="J60" s="2" t="n">
        <f aca="false">B60/$B$1003</f>
        <v>0.00226017562889434</v>
      </c>
      <c r="K60" s="5" t="n">
        <f aca="false">J60*LOG(J60,2)</f>
        <v>-0.0198654733117961</v>
      </c>
      <c r="N60" s="2" t="n">
        <f aca="false">1/1000*LOG(1/1000,2)</f>
        <v>-0.00996578428466209</v>
      </c>
    </row>
    <row r="61" customFormat="false" ht="13" hidden="false" customHeight="false" outlineLevel="0" collapsed="false">
      <c r="A61" s="4" t="n">
        <v>941</v>
      </c>
      <c r="B61" s="2" t="n">
        <v>23.1086240208476</v>
      </c>
      <c r="C61" s="5" t="n">
        <f aca="false">B61</f>
        <v>23.1086240208476</v>
      </c>
      <c r="D61" s="5" t="n">
        <f aca="false">C61*LOG(C61)</f>
        <v>31.5149426173666</v>
      </c>
      <c r="E61" s="5"/>
      <c r="F61" s="5"/>
      <c r="G61" s="4" t="n">
        <v>60</v>
      </c>
      <c r="H61" s="6" t="n">
        <v>0.94</v>
      </c>
      <c r="J61" s="2" t="n">
        <f aca="false">B61/$B$1003</f>
        <v>0.00225851992761803</v>
      </c>
      <c r="K61" s="5" t="n">
        <f aca="false">J61*LOG(J61,2)</f>
        <v>-0.0198533085716645</v>
      </c>
      <c r="N61" s="2" t="n">
        <f aca="false">1/1000*LOG(1/1000,2)</f>
        <v>-0.00996578428466209</v>
      </c>
    </row>
    <row r="62" customFormat="false" ht="13" hidden="false" customHeight="false" outlineLevel="0" collapsed="false">
      <c r="A62" s="4" t="n">
        <v>940</v>
      </c>
      <c r="B62" s="2" t="n">
        <v>23.1038254119924</v>
      </c>
      <c r="C62" s="5" t="n">
        <f aca="false">B62</f>
        <v>23.1038254119924</v>
      </c>
      <c r="D62" s="5" t="n">
        <f aca="false">C62*LOG(C62)</f>
        <v>31.5063146060031</v>
      </c>
      <c r="E62" s="5"/>
      <c r="F62" s="5"/>
      <c r="G62" s="4" t="n">
        <v>61</v>
      </c>
      <c r="H62" s="6" t="n">
        <v>0.939</v>
      </c>
      <c r="J62" s="2" t="n">
        <f aca="false">B62/$B$1003</f>
        <v>0.0022580509358808</v>
      </c>
      <c r="K62" s="5" t="n">
        <f aca="false">J62*LOG(J62,2)</f>
        <v>-0.0198498624853807</v>
      </c>
      <c r="N62" s="2" t="n">
        <f aca="false">1/1000*LOG(1/1000,2)</f>
        <v>-0.00996578428466209</v>
      </c>
    </row>
    <row r="63" customFormat="false" ht="13" hidden="false" customHeight="false" outlineLevel="0" collapsed="false">
      <c r="A63" s="4" t="n">
        <v>939</v>
      </c>
      <c r="B63" s="2" t="n">
        <v>23.0713953985637</v>
      </c>
      <c r="C63" s="5" t="n">
        <f aca="false">B63</f>
        <v>23.0713953985637</v>
      </c>
      <c r="D63" s="5" t="n">
        <f aca="false">C63*LOG(C63)</f>
        <v>31.4480160324807</v>
      </c>
      <c r="E63" s="5"/>
      <c r="F63" s="5"/>
      <c r="G63" s="4" t="n">
        <v>62</v>
      </c>
      <c r="H63" s="6" t="n">
        <v>0.938</v>
      </c>
      <c r="J63" s="2" t="n">
        <f aca="false">B63/$B$1003</f>
        <v>0.00225488139054069</v>
      </c>
      <c r="K63" s="5" t="n">
        <f aca="false">J63*LOG(J63,2)</f>
        <v>-0.0198265694199176</v>
      </c>
      <c r="N63" s="2" t="n">
        <f aca="false">1/1000*LOG(1/1000,2)</f>
        <v>-0.00996578428466209</v>
      </c>
    </row>
    <row r="64" customFormat="false" ht="13" hidden="false" customHeight="false" outlineLevel="0" collapsed="false">
      <c r="A64" s="4" t="n">
        <v>938</v>
      </c>
      <c r="B64" s="2" t="n">
        <v>23.0668387183393</v>
      </c>
      <c r="C64" s="5" t="n">
        <f aca="false">B64</f>
        <v>23.0668387183393</v>
      </c>
      <c r="D64" s="5" t="n">
        <f aca="false">C64*LOG(C64)</f>
        <v>31.4398261951279</v>
      </c>
      <c r="E64" s="5"/>
      <c r="F64" s="5"/>
      <c r="G64" s="4" t="n">
        <v>63</v>
      </c>
      <c r="H64" s="6" t="n">
        <v>0.937</v>
      </c>
      <c r="J64" s="2" t="n">
        <f aca="false">B64/$B$1003</f>
        <v>0.00225443604368312</v>
      </c>
      <c r="K64" s="5" t="n">
        <f aca="false">J64*LOG(J64,2)</f>
        <v>-0.0198232960402746</v>
      </c>
      <c r="N64" s="2" t="n">
        <f aca="false">1/1000*LOG(1/1000,2)</f>
        <v>-0.00996578428466209</v>
      </c>
    </row>
    <row r="65" customFormat="false" ht="13" hidden="false" customHeight="false" outlineLevel="0" collapsed="false">
      <c r="A65" s="4" t="n">
        <v>937</v>
      </c>
      <c r="B65" s="2" t="n">
        <v>23.059006551525</v>
      </c>
      <c r="C65" s="5" t="n">
        <f aca="false">B65</f>
        <v>23.059006551525</v>
      </c>
      <c r="D65" s="5" t="n">
        <f aca="false">C65*LOG(C65)</f>
        <v>31.4257501558341</v>
      </c>
      <c r="E65" s="5"/>
      <c r="F65" s="5"/>
      <c r="G65" s="4" t="n">
        <v>64</v>
      </c>
      <c r="H65" s="6" t="n">
        <v>0.936</v>
      </c>
      <c r="J65" s="2" t="n">
        <f aca="false">B65/$B$1003</f>
        <v>0.00225367056734794</v>
      </c>
      <c r="K65" s="5" t="n">
        <f aca="false">J65*LOG(J65,2)</f>
        <v>-0.0198176693547137</v>
      </c>
      <c r="N65" s="2" t="n">
        <f aca="false">1/1000*LOG(1/1000,2)</f>
        <v>-0.00996578428466209</v>
      </c>
    </row>
    <row r="66" customFormat="false" ht="13" hidden="false" customHeight="false" outlineLevel="0" collapsed="false">
      <c r="A66" s="4" t="n">
        <v>936</v>
      </c>
      <c r="B66" s="2" t="n">
        <v>22.8937944092208</v>
      </c>
      <c r="C66" s="5" t="n">
        <f aca="false">B66</f>
        <v>22.8937944092208</v>
      </c>
      <c r="D66" s="5" t="n">
        <f aca="false">C66*LOG(C66)</f>
        <v>31.1290992744153</v>
      </c>
      <c r="E66" s="5"/>
      <c r="F66" s="5"/>
      <c r="G66" s="4" t="n">
        <v>65</v>
      </c>
      <c r="H66" s="6" t="n">
        <v>0.935</v>
      </c>
      <c r="J66" s="2" t="n">
        <f aca="false">B66/$B$1003</f>
        <v>0.00223752356892251</v>
      </c>
      <c r="K66" s="5" t="n">
        <f aca="false">J66*LOG(J66,2)</f>
        <v>-0.0196988921430232</v>
      </c>
      <c r="N66" s="2" t="n">
        <f aca="false">1/1000*LOG(1/1000,2)</f>
        <v>-0.00996578428466209</v>
      </c>
    </row>
    <row r="67" customFormat="false" ht="13" hidden="false" customHeight="false" outlineLevel="0" collapsed="false">
      <c r="A67" s="4" t="n">
        <v>935</v>
      </c>
      <c r="B67" s="2" t="n">
        <v>22.8538639034281</v>
      </c>
      <c r="C67" s="5" t="n">
        <f aca="false">B67</f>
        <v>22.8538639034281</v>
      </c>
      <c r="D67" s="5" t="n">
        <f aca="false">C67*LOG(C67)</f>
        <v>31.0574785895469</v>
      </c>
      <c r="E67" s="5"/>
      <c r="F67" s="5"/>
      <c r="G67" s="4" t="n">
        <v>66</v>
      </c>
      <c r="H67" s="6" t="n">
        <v>0.934</v>
      </c>
      <c r="J67" s="2" t="n">
        <f aca="false">B67/$B$1003</f>
        <v>0.00223362096342893</v>
      </c>
      <c r="K67" s="5" t="n">
        <f aca="false">J67*LOG(J67,2)</f>
        <v>-0.0196701594237664</v>
      </c>
      <c r="N67" s="2" t="n">
        <f aca="false">1/1000*LOG(1/1000,2)</f>
        <v>-0.00996578428466209</v>
      </c>
    </row>
    <row r="68" customFormat="false" ht="13" hidden="false" customHeight="false" outlineLevel="0" collapsed="false">
      <c r="A68" s="4" t="n">
        <v>934</v>
      </c>
      <c r="B68" s="2" t="n">
        <v>22.7939248965992</v>
      </c>
      <c r="C68" s="5" t="n">
        <f aca="false">B68</f>
        <v>22.7939248965992</v>
      </c>
      <c r="D68" s="5" t="n">
        <f aca="false">C68*LOG(C68)</f>
        <v>30.9500268846516</v>
      </c>
      <c r="E68" s="5"/>
      <c r="F68" s="5"/>
      <c r="G68" s="4" t="n">
        <v>67</v>
      </c>
      <c r="H68" s="6" t="n">
        <v>0.933</v>
      </c>
      <c r="J68" s="2" t="n">
        <f aca="false">B68/$B$1003</f>
        <v>0.00222776282833432</v>
      </c>
      <c r="K68" s="5" t="n">
        <f aca="false">J68*LOG(J68,2)</f>
        <v>-0.019627010753306</v>
      </c>
      <c r="N68" s="2" t="n">
        <f aca="false">1/1000*LOG(1/1000,2)</f>
        <v>-0.00996578428466209</v>
      </c>
    </row>
    <row r="69" customFormat="false" ht="13" hidden="false" customHeight="false" outlineLevel="0" collapsed="false">
      <c r="A69" s="4" t="n">
        <v>933</v>
      </c>
      <c r="B69" s="2" t="n">
        <v>22.6606745894151</v>
      </c>
      <c r="C69" s="5" t="n">
        <f aca="false">B69</f>
        <v>22.6606745894151</v>
      </c>
      <c r="D69" s="5" t="n">
        <f aca="false">C69*LOG(C69)</f>
        <v>30.7113966780587</v>
      </c>
      <c r="E69" s="5"/>
      <c r="F69" s="5"/>
      <c r="G69" s="4" t="n">
        <v>68</v>
      </c>
      <c r="H69" s="6" t="n">
        <v>0.932</v>
      </c>
      <c r="J69" s="2" t="n">
        <f aca="false">B69/$B$1003</f>
        <v>0.0022147396178712</v>
      </c>
      <c r="K69" s="5" t="n">
        <f aca="false">J69*LOG(J69,2)</f>
        <v>-0.019531007308687</v>
      </c>
      <c r="N69" s="2" t="n">
        <f aca="false">1/1000*LOG(1/1000,2)</f>
        <v>-0.00996578428466209</v>
      </c>
    </row>
    <row r="70" customFormat="false" ht="13" hidden="false" customHeight="false" outlineLevel="0" collapsed="false">
      <c r="A70" s="4" t="n">
        <v>932</v>
      </c>
      <c r="B70" s="2" t="n">
        <v>22.650345518776</v>
      </c>
      <c r="C70" s="5" t="n">
        <f aca="false">B70</f>
        <v>22.650345518776</v>
      </c>
      <c r="D70" s="5" t="n">
        <f aca="false">C70*LOG(C70)</f>
        <v>30.6929131333519</v>
      </c>
      <c r="E70" s="5"/>
      <c r="F70" s="5"/>
      <c r="G70" s="4" t="n">
        <v>69</v>
      </c>
      <c r="H70" s="6" t="n">
        <v>0.931</v>
      </c>
      <c r="J70" s="2" t="n">
        <f aca="false">B70/$B$1003</f>
        <v>0.00221373010679642</v>
      </c>
      <c r="K70" s="5" t="n">
        <f aca="false">J70*LOG(J70,2)</f>
        <v>-0.0195235608713264</v>
      </c>
      <c r="N70" s="2" t="n">
        <f aca="false">1/1000*LOG(1/1000,2)</f>
        <v>-0.00996578428466209</v>
      </c>
    </row>
    <row r="71" customFormat="false" ht="13" hidden="false" customHeight="false" outlineLevel="0" collapsed="false">
      <c r="A71" s="4" t="n">
        <v>931</v>
      </c>
      <c r="B71" s="2" t="n">
        <v>22.5984197450799</v>
      </c>
      <c r="C71" s="5" t="n">
        <f aca="false">B71</f>
        <v>22.5984197450799</v>
      </c>
      <c r="D71" s="5" t="n">
        <f aca="false">C71*LOG(C71)</f>
        <v>30.6000246162106</v>
      </c>
      <c r="E71" s="5"/>
      <c r="F71" s="5"/>
      <c r="G71" s="4" t="n">
        <v>70</v>
      </c>
      <c r="H71" s="6" t="n">
        <v>0.93</v>
      </c>
      <c r="J71" s="2" t="n">
        <f aca="false">B71/$B$1003</f>
        <v>0.00220865514454233</v>
      </c>
      <c r="K71" s="5" t="n">
        <f aca="false">J71*LOG(J71,2)</f>
        <v>-0.0194861164557071</v>
      </c>
      <c r="N71" s="2" t="n">
        <f aca="false">1/1000*LOG(1/1000,2)</f>
        <v>-0.00996578428466209</v>
      </c>
    </row>
    <row r="72" customFormat="false" ht="13" hidden="false" customHeight="false" outlineLevel="0" collapsed="false">
      <c r="A72" s="4" t="n">
        <v>930</v>
      </c>
      <c r="B72" s="2" t="n">
        <v>22.5070078008949</v>
      </c>
      <c r="C72" s="5" t="n">
        <f aca="false">B72</f>
        <v>22.5070078008949</v>
      </c>
      <c r="D72" s="5" t="n">
        <f aca="false">C72*LOG(C72)</f>
        <v>30.436626406529</v>
      </c>
      <c r="E72" s="5"/>
      <c r="F72" s="5"/>
      <c r="G72" s="4" t="n">
        <v>71</v>
      </c>
      <c r="H72" s="6" t="n">
        <v>0.929</v>
      </c>
      <c r="J72" s="2" t="n">
        <f aca="false">B72/$B$1003</f>
        <v>0.00219972100387789</v>
      </c>
      <c r="K72" s="5" t="n">
        <f aca="false">J72*LOG(J72,2)</f>
        <v>-0.019420157098708</v>
      </c>
      <c r="N72" s="2" t="n">
        <f aca="false">1/1000*LOG(1/1000,2)</f>
        <v>-0.00996578428466209</v>
      </c>
    </row>
    <row r="73" customFormat="false" ht="13" hidden="false" customHeight="false" outlineLevel="0" collapsed="false">
      <c r="A73" s="4" t="n">
        <v>929</v>
      </c>
      <c r="B73" s="2" t="n">
        <v>22.4662726041627</v>
      </c>
      <c r="C73" s="5" t="n">
        <f aca="false">B73</f>
        <v>22.4662726041627</v>
      </c>
      <c r="D73" s="5" t="n">
        <f aca="false">C73*LOG(C73)</f>
        <v>30.3638644244202</v>
      </c>
      <c r="E73" s="5"/>
      <c r="F73" s="5"/>
      <c r="G73" s="4" t="n">
        <v>72</v>
      </c>
      <c r="H73" s="6" t="n">
        <v>0.928</v>
      </c>
      <c r="J73" s="2" t="n">
        <f aca="false">B73/$B$1003</f>
        <v>0.00219573975196551</v>
      </c>
      <c r="K73" s="5" t="n">
        <f aca="false">J73*LOG(J73,2)</f>
        <v>-0.0193907472920914</v>
      </c>
      <c r="N73" s="2" t="n">
        <f aca="false">1/1000*LOG(1/1000,2)</f>
        <v>-0.00996578428466209</v>
      </c>
    </row>
    <row r="74" customFormat="false" ht="13" hidden="false" customHeight="false" outlineLevel="0" collapsed="false">
      <c r="A74" s="4" t="n">
        <v>928</v>
      </c>
      <c r="B74" s="2" t="n">
        <v>22.4064391747852</v>
      </c>
      <c r="C74" s="5" t="n">
        <f aca="false">B74</f>
        <v>22.4064391747852</v>
      </c>
      <c r="D74" s="5" t="n">
        <f aca="false">C74*LOG(C74)</f>
        <v>30.2570469936625</v>
      </c>
      <c r="E74" s="5"/>
      <c r="F74" s="5"/>
      <c r="G74" s="4" t="n">
        <v>73</v>
      </c>
      <c r="H74" s="6" t="n">
        <v>0.927</v>
      </c>
      <c r="J74" s="2" t="n">
        <f aca="false">B74/$B$1003</f>
        <v>0.00218989193547653</v>
      </c>
      <c r="K74" s="5" t="n">
        <f aca="false">J74*LOG(J74,2)</f>
        <v>-0.0193475301445714</v>
      </c>
      <c r="N74" s="2" t="n">
        <f aca="false">1/1000*LOG(1/1000,2)</f>
        <v>-0.00996578428466209</v>
      </c>
    </row>
    <row r="75" customFormat="false" ht="13" hidden="false" customHeight="false" outlineLevel="0" collapsed="false">
      <c r="A75" s="4" t="n">
        <v>927</v>
      </c>
      <c r="B75" s="2" t="n">
        <v>22.3311415209536</v>
      </c>
      <c r="C75" s="5" t="n">
        <f aca="false">B75</f>
        <v>22.3311415209536</v>
      </c>
      <c r="D75" s="5" t="n">
        <f aca="false">C75*LOG(C75)</f>
        <v>30.1227207398492</v>
      </c>
      <c r="E75" s="5"/>
      <c r="F75" s="5"/>
      <c r="G75" s="4" t="n">
        <v>74</v>
      </c>
      <c r="H75" s="6" t="n">
        <v>0.926</v>
      </c>
      <c r="J75" s="2" t="n">
        <f aca="false">B75/$B$1003</f>
        <v>0.00218253272397488</v>
      </c>
      <c r="K75" s="5" t="n">
        <f aca="false">J75*LOG(J75,2)</f>
        <v>-0.0192931113041461</v>
      </c>
      <c r="N75" s="2" t="n">
        <f aca="false">1/1000*LOG(1/1000,2)</f>
        <v>-0.00996578428466209</v>
      </c>
    </row>
    <row r="76" customFormat="false" ht="13" hidden="false" customHeight="false" outlineLevel="0" collapsed="false">
      <c r="A76" s="4" t="n">
        <v>926</v>
      </c>
      <c r="B76" s="2" t="n">
        <v>22.2586738151425</v>
      </c>
      <c r="C76" s="5" t="n">
        <f aca="false">B76</f>
        <v>22.2586738151425</v>
      </c>
      <c r="D76" s="5" t="n">
        <f aca="false">C76*LOG(C76)</f>
        <v>29.9935470565001</v>
      </c>
      <c r="E76" s="5"/>
      <c r="F76" s="5"/>
      <c r="G76" s="4" t="n">
        <v>75</v>
      </c>
      <c r="H76" s="6" t="n">
        <v>0.925</v>
      </c>
      <c r="J76" s="2" t="n">
        <f aca="false">B76/$B$1003</f>
        <v>0.00217545009726654</v>
      </c>
      <c r="K76" s="5" t="n">
        <f aca="false">J76*LOG(J76,2)</f>
        <v>-0.0192407039080681</v>
      </c>
      <c r="N76" s="2" t="n">
        <f aca="false">1/1000*LOG(1/1000,2)</f>
        <v>-0.00996578428466209</v>
      </c>
    </row>
    <row r="77" customFormat="false" ht="13" hidden="false" customHeight="false" outlineLevel="0" collapsed="false">
      <c r="A77" s="4" t="n">
        <v>925</v>
      </c>
      <c r="B77" s="2" t="n">
        <v>22.2205344734111</v>
      </c>
      <c r="C77" s="5" t="n">
        <f aca="false">B77</f>
        <v>22.2205344734111</v>
      </c>
      <c r="D77" s="5" t="n">
        <f aca="false">C77*LOG(C77)</f>
        <v>29.9256048138533</v>
      </c>
      <c r="E77" s="5"/>
      <c r="F77" s="5"/>
      <c r="G77" s="4" t="n">
        <v>76</v>
      </c>
      <c r="H77" s="6" t="n">
        <v>0.924</v>
      </c>
      <c r="J77" s="2" t="n">
        <f aca="false">B77/$B$1003</f>
        <v>0.0021717225510808</v>
      </c>
      <c r="K77" s="5" t="n">
        <f aca="false">J77*LOG(J77,2)</f>
        <v>-0.0192131088388237</v>
      </c>
      <c r="N77" s="2" t="n">
        <f aca="false">1/1000*LOG(1/1000,2)</f>
        <v>-0.00996578428466209</v>
      </c>
    </row>
    <row r="78" customFormat="false" ht="13" hidden="false" customHeight="false" outlineLevel="0" collapsed="false">
      <c r="A78" s="4" t="n">
        <v>924</v>
      </c>
      <c r="B78" s="2" t="n">
        <v>22.1812760707392</v>
      </c>
      <c r="C78" s="5" t="n">
        <f aca="false">B78</f>
        <v>22.1812760707392</v>
      </c>
      <c r="D78" s="5" t="n">
        <f aca="false">C78*LOG(C78)</f>
        <v>29.8556987459772</v>
      </c>
      <c r="E78" s="5"/>
      <c r="F78" s="5"/>
      <c r="G78" s="4" t="n">
        <v>77</v>
      </c>
      <c r="H78" s="6" t="n">
        <v>0.923</v>
      </c>
      <c r="J78" s="2" t="n">
        <f aca="false">B78/$B$1003</f>
        <v>0.00216788563354382</v>
      </c>
      <c r="K78" s="5" t="n">
        <f aca="false">J78*LOG(J78,2)</f>
        <v>-0.0191846944514561</v>
      </c>
      <c r="N78" s="2" t="n">
        <f aca="false">1/1000*LOG(1/1000,2)</f>
        <v>-0.00996578428466209</v>
      </c>
    </row>
    <row r="79" customFormat="false" ht="13" hidden="false" customHeight="false" outlineLevel="0" collapsed="false">
      <c r="A79" s="4" t="n">
        <v>923</v>
      </c>
      <c r="B79" s="2" t="n">
        <v>22.1661819309188</v>
      </c>
      <c r="C79" s="5" t="n">
        <f aca="false">B79</f>
        <v>22.1661819309188</v>
      </c>
      <c r="D79" s="5" t="n">
        <f aca="false">C79*LOG(C79)</f>
        <v>29.8288291664224</v>
      </c>
      <c r="E79" s="5"/>
      <c r="F79" s="5"/>
      <c r="G79" s="4" t="n">
        <v>78</v>
      </c>
      <c r="H79" s="6" t="n">
        <v>0.922</v>
      </c>
      <c r="J79" s="2" t="n">
        <f aca="false">B79/$B$1003</f>
        <v>0.00216641040872976</v>
      </c>
      <c r="K79" s="5" t="n">
        <f aca="false">J79*LOG(J79,2)</f>
        <v>-0.019173767031119</v>
      </c>
      <c r="N79" s="2" t="n">
        <f aca="false">1/1000*LOG(1/1000,2)</f>
        <v>-0.00996578428466209</v>
      </c>
    </row>
    <row r="80" customFormat="false" ht="13" hidden="false" customHeight="false" outlineLevel="0" collapsed="false">
      <c r="A80" s="4" t="n">
        <v>922</v>
      </c>
      <c r="B80" s="2" t="n">
        <v>22.165085781679</v>
      </c>
      <c r="C80" s="5" t="n">
        <f aca="false">B80</f>
        <v>22.165085781679</v>
      </c>
      <c r="D80" s="5" t="n">
        <f aca="false">C80*LOG(C80)</f>
        <v>29.8268780485772</v>
      </c>
      <c r="E80" s="5"/>
      <c r="F80" s="5"/>
      <c r="G80" s="4" t="n">
        <v>79</v>
      </c>
      <c r="H80" s="6" t="n">
        <v>0.921</v>
      </c>
      <c r="J80" s="2" t="n">
        <f aca="false">B80/$B$1003</f>
        <v>0.00216630327665215</v>
      </c>
      <c r="K80" s="5" t="n">
        <f aca="false">J80*LOG(J80,2)</f>
        <v>-0.0191729734161497</v>
      </c>
      <c r="N80" s="2" t="n">
        <f aca="false">1/1000*LOG(1/1000,2)</f>
        <v>-0.00996578428466209</v>
      </c>
    </row>
    <row r="81" customFormat="false" ht="13" hidden="false" customHeight="false" outlineLevel="0" collapsed="false">
      <c r="A81" s="4" t="n">
        <v>921</v>
      </c>
      <c r="B81" s="2" t="n">
        <v>22.1573088063084</v>
      </c>
      <c r="C81" s="5" t="n">
        <f aca="false">B81</f>
        <v>22.1573088063084</v>
      </c>
      <c r="D81" s="5" t="n">
        <f aca="false">C81*LOG(C81)</f>
        <v>29.8130359057733</v>
      </c>
      <c r="E81" s="5"/>
      <c r="F81" s="5"/>
      <c r="G81" s="4" t="n">
        <v>80</v>
      </c>
      <c r="H81" s="6" t="n">
        <v>0.92</v>
      </c>
      <c r="J81" s="2" t="n">
        <f aca="false">B81/$B$1003</f>
        <v>0.00216554319444928</v>
      </c>
      <c r="K81" s="5" t="n">
        <f aca="false">J81*LOG(J81,2)</f>
        <v>-0.0191673426457562</v>
      </c>
      <c r="N81" s="2" t="n">
        <f aca="false">1/1000*LOG(1/1000,2)</f>
        <v>-0.00996578428466209</v>
      </c>
    </row>
    <row r="82" customFormat="false" ht="13" hidden="false" customHeight="false" outlineLevel="0" collapsed="false">
      <c r="A82" s="4" t="n">
        <v>920</v>
      </c>
      <c r="B82" s="2" t="n">
        <v>22.0539546233392</v>
      </c>
      <c r="C82" s="5" t="n">
        <f aca="false">B82</f>
        <v>22.0539546233392</v>
      </c>
      <c r="D82" s="5" t="n">
        <f aca="false">C82*LOG(C82)</f>
        <v>29.6291897934517</v>
      </c>
      <c r="E82" s="5"/>
      <c r="F82" s="5"/>
      <c r="G82" s="4" t="n">
        <v>81</v>
      </c>
      <c r="H82" s="6" t="n">
        <v>0.919</v>
      </c>
      <c r="J82" s="2" t="n">
        <f aca="false">B82/$B$1003</f>
        <v>0.00215544187982199</v>
      </c>
      <c r="K82" s="5" t="n">
        <f aca="false">J82*LOG(J82,2)</f>
        <v>-0.0190924744259591</v>
      </c>
      <c r="N82" s="2" t="n">
        <f aca="false">1/1000*LOG(1/1000,2)</f>
        <v>-0.00996578428466209</v>
      </c>
    </row>
    <row r="83" customFormat="false" ht="13" hidden="false" customHeight="false" outlineLevel="0" collapsed="false">
      <c r="A83" s="4" t="n">
        <v>919</v>
      </c>
      <c r="B83" s="2" t="n">
        <v>22.0477735152123</v>
      </c>
      <c r="C83" s="5" t="n">
        <f aca="false">B83</f>
        <v>22.0477735152123</v>
      </c>
      <c r="D83" s="5" t="n">
        <f aca="false">C83*LOG(C83)</f>
        <v>29.6182015133401</v>
      </c>
      <c r="E83" s="5"/>
      <c r="F83" s="5"/>
      <c r="G83" s="4" t="n">
        <v>82</v>
      </c>
      <c r="H83" s="6" t="n">
        <v>0.918</v>
      </c>
      <c r="J83" s="2" t="n">
        <f aca="false">B83/$B$1003</f>
        <v>0.00215483776960465</v>
      </c>
      <c r="K83" s="5" t="n">
        <f aca="false">J83*LOG(J83,2)</f>
        <v>-0.0190879947627678</v>
      </c>
      <c r="N83" s="2" t="n">
        <f aca="false">1/1000*LOG(1/1000,2)</f>
        <v>-0.00996578428466209</v>
      </c>
    </row>
    <row r="84" customFormat="false" ht="13" hidden="false" customHeight="false" outlineLevel="0" collapsed="false">
      <c r="A84" s="4" t="n">
        <v>918</v>
      </c>
      <c r="B84" s="2" t="n">
        <v>22.0138340045747</v>
      </c>
      <c r="C84" s="5" t="n">
        <f aca="false">B84</f>
        <v>22.0138340045747</v>
      </c>
      <c r="D84" s="5" t="n">
        <f aca="false">C84*LOG(C84)</f>
        <v>29.5578799800303</v>
      </c>
      <c r="E84" s="5"/>
      <c r="F84" s="5"/>
      <c r="G84" s="4" t="n">
        <v>83</v>
      </c>
      <c r="H84" s="6" t="n">
        <v>0.917</v>
      </c>
      <c r="J84" s="2" t="n">
        <f aca="false">B84/$B$1003</f>
        <v>0.00215152069364897</v>
      </c>
      <c r="K84" s="5" t="n">
        <f aca="false">J84*LOG(J84,2)</f>
        <v>-0.0190633932676713</v>
      </c>
      <c r="N84" s="2" t="n">
        <f aca="false">1/1000*LOG(1/1000,2)</f>
        <v>-0.00996578428466209</v>
      </c>
    </row>
    <row r="85" customFormat="false" ht="13" hidden="false" customHeight="false" outlineLevel="0" collapsed="false">
      <c r="A85" s="4" t="n">
        <v>917</v>
      </c>
      <c r="B85" s="2" t="n">
        <v>21.9996608046333</v>
      </c>
      <c r="C85" s="5" t="n">
        <f aca="false">B85</f>
        <v>21.9996608046333</v>
      </c>
      <c r="D85" s="5" t="n">
        <f aca="false">C85*LOG(C85)</f>
        <v>29.5326963249947</v>
      </c>
      <c r="E85" s="5"/>
      <c r="F85" s="5"/>
      <c r="G85" s="4" t="n">
        <v>84</v>
      </c>
      <c r="H85" s="6" t="n">
        <v>0.916</v>
      </c>
      <c r="J85" s="2" t="n">
        <f aca="false">B85/$B$1003</f>
        <v>0.00215013547683654</v>
      </c>
      <c r="K85" s="5" t="n">
        <f aca="false">J85*LOG(J85,2)</f>
        <v>-0.0190531174563951</v>
      </c>
      <c r="N85" s="2" t="n">
        <f aca="false">1/1000*LOG(1/1000,2)</f>
        <v>-0.00996578428466209</v>
      </c>
    </row>
    <row r="86" customFormat="false" ht="13" hidden="false" customHeight="false" outlineLevel="0" collapsed="false">
      <c r="A86" s="4" t="n">
        <v>916</v>
      </c>
      <c r="B86" s="2" t="n">
        <v>21.9478952063937</v>
      </c>
      <c r="C86" s="5" t="n">
        <f aca="false">B86</f>
        <v>21.9478952063937</v>
      </c>
      <c r="D86" s="5" t="n">
        <f aca="false">C86*LOG(C86)</f>
        <v>29.4407503152589</v>
      </c>
      <c r="E86" s="5"/>
      <c r="F86" s="5"/>
      <c r="G86" s="4" t="n">
        <v>85</v>
      </c>
      <c r="H86" s="6" t="n">
        <v>0.915</v>
      </c>
      <c r="J86" s="2" t="n">
        <f aca="false">B86/$B$1003</f>
        <v>0.00214507616932071</v>
      </c>
      <c r="K86" s="5" t="n">
        <f aca="false">J86*LOG(J86,2)</f>
        <v>-0.0190155755714778</v>
      </c>
      <c r="N86" s="2" t="n">
        <f aca="false">1/1000*LOG(1/1000,2)</f>
        <v>-0.00996578428466209</v>
      </c>
    </row>
    <row r="87" customFormat="false" ht="13" hidden="false" customHeight="false" outlineLevel="0" collapsed="false">
      <c r="A87" s="4" t="n">
        <v>915</v>
      </c>
      <c r="B87" s="2" t="n">
        <v>21.9312669123814</v>
      </c>
      <c r="C87" s="5" t="n">
        <f aca="false">B87</f>
        <v>21.9312669123814</v>
      </c>
      <c r="D87" s="5" t="n">
        <f aca="false">C87*LOG(C87)</f>
        <v>29.4112264000835</v>
      </c>
      <c r="E87" s="5"/>
      <c r="F87" s="5"/>
      <c r="G87" s="4" t="n">
        <v>86</v>
      </c>
      <c r="H87" s="6" t="n">
        <v>0.914</v>
      </c>
      <c r="J87" s="2" t="n">
        <f aca="false">B87/$B$1003</f>
        <v>0.00214345100404236</v>
      </c>
      <c r="K87" s="5" t="n">
        <f aca="false">J87*LOG(J87,2)</f>
        <v>-0.0190035126082802</v>
      </c>
      <c r="N87" s="2" t="n">
        <f aca="false">1/1000*LOG(1/1000,2)</f>
        <v>-0.00996578428466209</v>
      </c>
    </row>
    <row r="88" customFormat="false" ht="13" hidden="false" customHeight="false" outlineLevel="0" collapsed="false">
      <c r="A88" s="4" t="n">
        <v>914</v>
      </c>
      <c r="B88" s="2" t="n">
        <v>21.9105584668073</v>
      </c>
      <c r="C88" s="5" t="n">
        <f aca="false">B88</f>
        <v>21.9105584668073</v>
      </c>
      <c r="D88" s="5" t="n">
        <f aca="false">C88*LOG(C88)</f>
        <v>29.3744657387671</v>
      </c>
      <c r="E88" s="5"/>
      <c r="F88" s="5"/>
      <c r="G88" s="4" t="n">
        <v>87</v>
      </c>
      <c r="H88" s="6" t="n">
        <v>0.913</v>
      </c>
      <c r="J88" s="2" t="n">
        <f aca="false">B88/$B$1003</f>
        <v>0.00214142706540556</v>
      </c>
      <c r="K88" s="5" t="n">
        <f aca="false">J88*LOG(J88,2)</f>
        <v>-0.0189884872214953</v>
      </c>
      <c r="N88" s="2" t="n">
        <f aca="false">1/1000*LOG(1/1000,2)</f>
        <v>-0.00996578428466209</v>
      </c>
    </row>
    <row r="89" customFormat="false" ht="13" hidden="false" customHeight="false" outlineLevel="0" collapsed="false">
      <c r="A89" s="4" t="n">
        <v>913</v>
      </c>
      <c r="B89" s="2" t="n">
        <v>21.8494805373182</v>
      </c>
      <c r="C89" s="5" t="n">
        <f aca="false">B89</f>
        <v>21.8494805373182</v>
      </c>
      <c r="D89" s="5" t="n">
        <f aca="false">C89*LOG(C89)</f>
        <v>29.2660926004133</v>
      </c>
      <c r="E89" s="5"/>
      <c r="F89" s="5"/>
      <c r="G89" s="4" t="n">
        <v>88</v>
      </c>
      <c r="H89" s="6" t="n">
        <v>0.912</v>
      </c>
      <c r="J89" s="2" t="n">
        <f aca="false">B89/$B$1003</f>
        <v>0.00213545761777578</v>
      </c>
      <c r="K89" s="5" t="n">
        <f aca="false">J89*LOG(J89,2)</f>
        <v>-0.0189441549431497</v>
      </c>
      <c r="N89" s="2" t="n">
        <f aca="false">1/1000*LOG(1/1000,2)</f>
        <v>-0.00996578428466209</v>
      </c>
    </row>
    <row r="90" customFormat="false" ht="13" hidden="false" customHeight="false" outlineLevel="0" collapsed="false">
      <c r="A90" s="4" t="n">
        <v>912</v>
      </c>
      <c r="B90" s="2" t="n">
        <v>21.8494755732996</v>
      </c>
      <c r="C90" s="5" t="n">
        <f aca="false">B90</f>
        <v>21.8494755732996</v>
      </c>
      <c r="D90" s="5" t="n">
        <f aca="false">C90*LOG(C90)</f>
        <v>29.2660837955571</v>
      </c>
      <c r="E90" s="5"/>
      <c r="F90" s="5"/>
      <c r="G90" s="4" t="n">
        <v>89</v>
      </c>
      <c r="H90" s="6" t="n">
        <v>0.911</v>
      </c>
      <c r="J90" s="2" t="n">
        <f aca="false">B90/$B$1003</f>
        <v>0.00213545713261773</v>
      </c>
      <c r="K90" s="5" t="n">
        <f aca="false">J90*LOG(J90,2)</f>
        <v>-0.0189441513391317</v>
      </c>
      <c r="N90" s="2" t="n">
        <f aca="false">1/1000*LOG(1/1000,2)</f>
        <v>-0.00996578428466209</v>
      </c>
    </row>
    <row r="91" customFormat="false" ht="13" hidden="false" customHeight="false" outlineLevel="0" collapsed="false">
      <c r="A91" s="4" t="n">
        <v>911</v>
      </c>
      <c r="B91" s="2" t="n">
        <v>21.8237382159007</v>
      </c>
      <c r="C91" s="5" t="n">
        <f aca="false">B91</f>
        <v>21.8237382159007</v>
      </c>
      <c r="D91" s="5" t="n">
        <f aca="false">C91*LOG(C91)</f>
        <v>29.2204391169251</v>
      </c>
      <c r="E91" s="5"/>
      <c r="F91" s="5"/>
      <c r="G91" s="4" t="n">
        <v>90</v>
      </c>
      <c r="H91" s="6" t="n">
        <v>0.91</v>
      </c>
      <c r="J91" s="2" t="n">
        <f aca="false">B91/$B$1003</f>
        <v>0.00213294169359733</v>
      </c>
      <c r="K91" s="5" t="n">
        <f aca="false">J91*LOG(J91,2)</f>
        <v>-0.0189254631507015</v>
      </c>
      <c r="N91" s="2" t="n">
        <f aca="false">1/1000*LOG(1/1000,2)</f>
        <v>-0.00996578428466209</v>
      </c>
    </row>
    <row r="92" customFormat="false" ht="13" hidden="false" customHeight="false" outlineLevel="0" collapsed="false">
      <c r="A92" s="4" t="n">
        <v>910</v>
      </c>
      <c r="B92" s="2" t="n">
        <v>21.8080299136258</v>
      </c>
      <c r="C92" s="5" t="n">
        <f aca="false">B92</f>
        <v>21.8080299136258</v>
      </c>
      <c r="D92" s="5" t="n">
        <f aca="false">C92*LOG(C92)</f>
        <v>29.1925872399877</v>
      </c>
      <c r="E92" s="5"/>
      <c r="F92" s="5"/>
      <c r="G92" s="4" t="n">
        <v>91</v>
      </c>
      <c r="H92" s="6" t="n">
        <v>0.909</v>
      </c>
      <c r="J92" s="2" t="n">
        <f aca="false">B92/$B$1003</f>
        <v>0.00213140644365407</v>
      </c>
      <c r="K92" s="5" t="n">
        <f aca="false">J92*LOG(J92,2)</f>
        <v>-0.0189140550706125</v>
      </c>
      <c r="N92" s="2" t="n">
        <f aca="false">1/1000*LOG(1/1000,2)</f>
        <v>-0.00996578428466209</v>
      </c>
    </row>
    <row r="93" customFormat="false" ht="13" hidden="false" customHeight="false" outlineLevel="0" collapsed="false">
      <c r="A93" s="4" t="n">
        <v>909</v>
      </c>
      <c r="B93" s="2" t="n">
        <v>21.7389749271367</v>
      </c>
      <c r="C93" s="5" t="n">
        <f aca="false">B93</f>
        <v>21.7389749271367</v>
      </c>
      <c r="D93" s="5" t="n">
        <f aca="false">C93*LOG(C93)</f>
        <v>29.0702064327133</v>
      </c>
      <c r="E93" s="5"/>
      <c r="F93" s="5"/>
      <c r="G93" s="4" t="n">
        <v>92</v>
      </c>
      <c r="H93" s="6" t="n">
        <v>0.908</v>
      </c>
      <c r="J93" s="2" t="n">
        <f aca="false">B93/$B$1003</f>
        <v>0.00212465735885585</v>
      </c>
      <c r="K93" s="5" t="n">
        <f aca="false">J93*LOG(J93,2)</f>
        <v>-0.0188638852758564</v>
      </c>
      <c r="N93" s="2" t="n">
        <f aca="false">1/1000*LOG(1/1000,2)</f>
        <v>-0.00996578428466209</v>
      </c>
    </row>
    <row r="94" customFormat="false" ht="13" hidden="false" customHeight="false" outlineLevel="0" collapsed="false">
      <c r="A94" s="4" t="n">
        <v>908</v>
      </c>
      <c r="B94" s="2" t="n">
        <v>21.6812385967158</v>
      </c>
      <c r="C94" s="5" t="n">
        <f aca="false">B94</f>
        <v>21.6812385967158</v>
      </c>
      <c r="D94" s="5" t="n">
        <f aca="false">C94*LOG(C94)</f>
        <v>28.9679579138607</v>
      </c>
      <c r="E94" s="5"/>
      <c r="F94" s="5"/>
      <c r="G94" s="4" t="n">
        <v>93</v>
      </c>
      <c r="H94" s="6" t="n">
        <v>0.907</v>
      </c>
      <c r="J94" s="2" t="n">
        <f aca="false">B94/$B$1003</f>
        <v>0.00211901450220261</v>
      </c>
      <c r="K94" s="5" t="n">
        <f aca="false">J94*LOG(J94,2)</f>
        <v>-0.0188219149688885</v>
      </c>
      <c r="N94" s="2" t="n">
        <f aca="false">1/1000*LOG(1/1000,2)</f>
        <v>-0.00996578428466209</v>
      </c>
    </row>
    <row r="95" customFormat="false" ht="13" hidden="false" customHeight="false" outlineLevel="0" collapsed="false">
      <c r="A95" s="4" t="n">
        <v>907</v>
      </c>
      <c r="B95" s="2" t="n">
        <v>21.6535218563802</v>
      </c>
      <c r="C95" s="5" t="n">
        <f aca="false">B95</f>
        <v>21.6535218563802</v>
      </c>
      <c r="D95" s="5" t="n">
        <f aca="false">C95*LOG(C95)</f>
        <v>28.9188964880439</v>
      </c>
      <c r="E95" s="5"/>
      <c r="F95" s="5"/>
      <c r="G95" s="4" t="n">
        <v>94</v>
      </c>
      <c r="H95" s="6" t="n">
        <v>0.906</v>
      </c>
      <c r="J95" s="2" t="n">
        <f aca="false">B95/$B$1003</f>
        <v>0.00211630560831433</v>
      </c>
      <c r="K95" s="5" t="n">
        <f aca="false">J95*LOG(J95,2)</f>
        <v>-0.0188017591233751</v>
      </c>
      <c r="N95" s="2" t="n">
        <f aca="false">1/1000*LOG(1/1000,2)</f>
        <v>-0.00996578428466209</v>
      </c>
    </row>
    <row r="96" customFormat="false" ht="13" hidden="false" customHeight="false" outlineLevel="0" collapsed="false">
      <c r="A96" s="4" t="n">
        <v>906</v>
      </c>
      <c r="B96" s="2" t="n">
        <v>21.5035312596782</v>
      </c>
      <c r="C96" s="5" t="n">
        <f aca="false">B96</f>
        <v>21.5035312596782</v>
      </c>
      <c r="D96" s="5" t="n">
        <f aca="false">C96*LOG(C96)</f>
        <v>28.6536658069215</v>
      </c>
      <c r="E96" s="5"/>
      <c r="F96" s="5"/>
      <c r="G96" s="4" t="n">
        <v>95</v>
      </c>
      <c r="H96" s="6" t="n">
        <v>0.905</v>
      </c>
      <c r="J96" s="2" t="n">
        <f aca="false">B96/$B$1003</f>
        <v>0.00210164628669911</v>
      </c>
      <c r="K96" s="5" t="n">
        <f aca="false">J96*LOG(J96,2)</f>
        <v>-0.0186925977592346</v>
      </c>
      <c r="N96" s="2" t="n">
        <f aca="false">1/1000*LOG(1/1000,2)</f>
        <v>-0.00996578428466209</v>
      </c>
    </row>
    <row r="97" customFormat="false" ht="13" hidden="false" customHeight="false" outlineLevel="0" collapsed="false">
      <c r="A97" s="4" t="n">
        <v>905</v>
      </c>
      <c r="B97" s="2" t="n">
        <v>21.4817739042178</v>
      </c>
      <c r="C97" s="5" t="n">
        <f aca="false">B97</f>
        <v>21.4817739042178</v>
      </c>
      <c r="D97" s="5" t="n">
        <f aca="false">C97*LOG(C97)</f>
        <v>28.6152296003969</v>
      </c>
      <c r="E97" s="5"/>
      <c r="F97" s="5"/>
      <c r="G97" s="4" t="n">
        <v>96</v>
      </c>
      <c r="H97" s="6" t="n">
        <v>0.904</v>
      </c>
      <c r="J97" s="2" t="n">
        <f aca="false">B97/$B$1003</f>
        <v>0.00209951983291998</v>
      </c>
      <c r="K97" s="5" t="n">
        <f aca="false">J97*LOG(J97,2)</f>
        <v>-0.0186767507888583</v>
      </c>
      <c r="N97" s="2" t="n">
        <f aca="false">1/1000*LOG(1/1000,2)</f>
        <v>-0.00996578428466209</v>
      </c>
    </row>
    <row r="98" customFormat="false" ht="13" hidden="false" customHeight="false" outlineLevel="0" collapsed="false">
      <c r="A98" s="4" t="n">
        <v>904</v>
      </c>
      <c r="B98" s="2" t="n">
        <v>21.4815962763846</v>
      </c>
      <c r="C98" s="5" t="n">
        <f aca="false">B98</f>
        <v>21.4815962763846</v>
      </c>
      <c r="D98" s="5" t="n">
        <f aca="false">C98*LOG(C98)</f>
        <v>28.6149158451952</v>
      </c>
      <c r="E98" s="5"/>
      <c r="F98" s="5"/>
      <c r="G98" s="4" t="n">
        <v>97</v>
      </c>
      <c r="H98" s="6" t="n">
        <v>0.903</v>
      </c>
      <c r="J98" s="2" t="n">
        <f aca="false">B98/$B$1003</f>
        <v>0.00209950247247479</v>
      </c>
      <c r="K98" s="5" t="n">
        <f aca="false">J98*LOG(J98,2)</f>
        <v>-0.0186766214008389</v>
      </c>
      <c r="N98" s="2" t="n">
        <f aca="false">1/1000*LOG(1/1000,2)</f>
        <v>-0.00996578428466209</v>
      </c>
    </row>
    <row r="99" customFormat="false" ht="13" hidden="false" customHeight="false" outlineLevel="0" collapsed="false">
      <c r="A99" s="4" t="n">
        <v>903</v>
      </c>
      <c r="B99" s="2" t="n">
        <v>21.4454103691875</v>
      </c>
      <c r="C99" s="5" t="n">
        <f aca="false">B99</f>
        <v>21.4454103691875</v>
      </c>
      <c r="D99" s="5" t="n">
        <f aca="false">C99*LOG(C99)</f>
        <v>28.5510117125514</v>
      </c>
      <c r="E99" s="5"/>
      <c r="F99" s="5"/>
      <c r="G99" s="4" t="n">
        <v>98</v>
      </c>
      <c r="H99" s="6" t="n">
        <v>0.902</v>
      </c>
      <c r="J99" s="2" t="n">
        <f aca="false">B99/$B$1003</f>
        <v>0.00209596584509144</v>
      </c>
      <c r="K99" s="5" t="n">
        <f aca="false">J99*LOG(J99,2)</f>
        <v>-0.0186502584694485</v>
      </c>
      <c r="N99" s="2" t="n">
        <f aca="false">1/1000*LOG(1/1000,2)</f>
        <v>-0.00996578428466209</v>
      </c>
    </row>
    <row r="100" customFormat="false" ht="13" hidden="false" customHeight="false" outlineLevel="0" collapsed="false">
      <c r="A100" s="4" t="n">
        <v>902</v>
      </c>
      <c r="B100" s="2" t="n">
        <v>21.4447050160824</v>
      </c>
      <c r="C100" s="5" t="n">
        <f aca="false">B100</f>
        <v>21.4447050160824</v>
      </c>
      <c r="D100" s="5" t="n">
        <f aca="false">C100*LOG(C100)</f>
        <v>28.5497663258022</v>
      </c>
      <c r="E100" s="5"/>
      <c r="F100" s="5"/>
      <c r="G100" s="4" t="n">
        <v>99</v>
      </c>
      <c r="H100" s="6" t="n">
        <v>0.901</v>
      </c>
      <c r="J100" s="2" t="n">
        <f aca="false">B100/$B$1003</f>
        <v>0.00209589690744969</v>
      </c>
      <c r="K100" s="5" t="n">
        <f aca="false">J100*LOG(J100,2)</f>
        <v>-0.0186497445050147</v>
      </c>
      <c r="N100" s="2" t="n">
        <f aca="false">1/1000*LOG(1/1000,2)</f>
        <v>-0.00996578428466209</v>
      </c>
    </row>
    <row r="101" customFormat="false" ht="13" hidden="false" customHeight="false" outlineLevel="0" collapsed="false">
      <c r="A101" s="4" t="n">
        <v>901</v>
      </c>
      <c r="B101" s="2" t="n">
        <v>21.4260582560653</v>
      </c>
      <c r="C101" s="5" t="n">
        <f aca="false">B101</f>
        <v>21.4260582560653</v>
      </c>
      <c r="D101" s="5" t="n">
        <f aca="false">C101*LOG(C101)</f>
        <v>28.5168468566642</v>
      </c>
      <c r="E101" s="5"/>
      <c r="F101" s="5"/>
      <c r="G101" s="4" t="n">
        <v>100</v>
      </c>
      <c r="H101" s="6" t="n">
        <v>0.9</v>
      </c>
      <c r="J101" s="2" t="n">
        <f aca="false">B101/$B$1003</f>
        <v>0.00209407446752224</v>
      </c>
      <c r="K101" s="5" t="n">
        <f aca="false">J101*LOG(J101,2)</f>
        <v>-0.0186361561215516</v>
      </c>
      <c r="L101" s="2" t="n">
        <f aca="false">SUM(J52:J101)</f>
        <v>0.109366568798771</v>
      </c>
      <c r="N101" s="2" t="n">
        <f aca="false">1/1000*LOG(1/1000,2)</f>
        <v>-0.00996578428466209</v>
      </c>
    </row>
    <row r="102" customFormat="false" ht="13" hidden="false" customHeight="false" outlineLevel="0" collapsed="false">
      <c r="A102" s="4" t="n">
        <v>900</v>
      </c>
      <c r="B102" s="2" t="n">
        <v>21.4214813142028</v>
      </c>
      <c r="C102" s="5" t="n">
        <f aca="false">B102</f>
        <v>21.4214813142028</v>
      </c>
      <c r="D102" s="5" t="n">
        <f aca="false">C102*LOG(C102)</f>
        <v>28.5087676829464</v>
      </c>
      <c r="E102" s="5"/>
      <c r="F102" s="5"/>
      <c r="G102" s="4" t="n">
        <v>101</v>
      </c>
      <c r="H102" s="6" t="n">
        <v>0.899</v>
      </c>
      <c r="J102" s="2" t="n">
        <f aca="false">B102/$B$1003</f>
        <v>0.00209362714039473</v>
      </c>
      <c r="K102" s="5" t="n">
        <f aca="false">J102*LOG(J102,2)</f>
        <v>-0.0186328204342067</v>
      </c>
      <c r="N102" s="2" t="n">
        <f aca="false">1/1000*LOG(1/1000,2)</f>
        <v>-0.00996578428466209</v>
      </c>
    </row>
    <row r="103" customFormat="false" ht="13" hidden="false" customHeight="false" outlineLevel="0" collapsed="false">
      <c r="A103" s="4" t="n">
        <v>899</v>
      </c>
      <c r="B103" s="2" t="n">
        <v>21.3486842902501</v>
      </c>
      <c r="C103" s="5" t="n">
        <f aca="false">B103</f>
        <v>21.3486842902501</v>
      </c>
      <c r="D103" s="5" t="n">
        <f aca="false">C103*LOG(C103)</f>
        <v>28.3803242347296</v>
      </c>
      <c r="E103" s="5"/>
      <c r="F103" s="5"/>
      <c r="G103" s="4" t="n">
        <v>102</v>
      </c>
      <c r="H103" s="6" t="n">
        <v>0.898</v>
      </c>
      <c r="J103" s="2" t="n">
        <f aca="false">B103/$B$1003</f>
        <v>0.00208651232779835</v>
      </c>
      <c r="K103" s="5" t="n">
        <f aca="false">J103*LOG(J103,2)</f>
        <v>-0.0185797472131448</v>
      </c>
      <c r="N103" s="2" t="n">
        <f aca="false">1/1000*LOG(1/1000,2)</f>
        <v>-0.00996578428466209</v>
      </c>
    </row>
    <row r="104" customFormat="false" ht="13" hidden="false" customHeight="false" outlineLevel="0" collapsed="false">
      <c r="A104" s="4" t="n">
        <v>898</v>
      </c>
      <c r="B104" s="2" t="n">
        <v>21.3446835843108</v>
      </c>
      <c r="C104" s="5" t="n">
        <f aca="false">B104</f>
        <v>21.3446835843108</v>
      </c>
      <c r="D104" s="5" t="n">
        <f aca="false">C104*LOG(C104)</f>
        <v>28.373268490113</v>
      </c>
      <c r="E104" s="5"/>
      <c r="F104" s="5"/>
      <c r="G104" s="4" t="n">
        <v>103</v>
      </c>
      <c r="H104" s="6" t="n">
        <v>0.897</v>
      </c>
      <c r="J104" s="2" t="n">
        <f aca="false">B104/$B$1003</f>
        <v>0.00208612131905286</v>
      </c>
      <c r="K104" s="5" t="n">
        <f aca="false">J104*LOG(J104,2)</f>
        <v>-0.018576829454669</v>
      </c>
      <c r="N104" s="2" t="n">
        <f aca="false">1/1000*LOG(1/1000,2)</f>
        <v>-0.00996578428466209</v>
      </c>
    </row>
    <row r="105" customFormat="false" ht="13" hidden="false" customHeight="false" outlineLevel="0" collapsed="false">
      <c r="A105" s="4" t="n">
        <v>897</v>
      </c>
      <c r="B105" s="2" t="n">
        <v>21.3335155933529</v>
      </c>
      <c r="C105" s="5" t="n">
        <f aca="false">B105</f>
        <v>21.3335155933529</v>
      </c>
      <c r="D105" s="5" t="n">
        <f aca="false">C105*LOG(C105)</f>
        <v>28.3535740667639</v>
      </c>
      <c r="E105" s="5"/>
      <c r="F105" s="5"/>
      <c r="G105" s="4" t="n">
        <v>104</v>
      </c>
      <c r="H105" s="6" t="n">
        <v>0.896</v>
      </c>
      <c r="J105" s="2" t="n">
        <f aca="false">B105/$B$1003</f>
        <v>0.00208502981615303</v>
      </c>
      <c r="K105" s="5" t="n">
        <f aca="false">J105*LOG(J105,2)</f>
        <v>-0.0185686839574592</v>
      </c>
      <c r="N105" s="2" t="n">
        <f aca="false">1/1000*LOG(1/1000,2)</f>
        <v>-0.00996578428466209</v>
      </c>
    </row>
    <row r="106" customFormat="false" ht="13" hidden="false" customHeight="false" outlineLevel="0" collapsed="false">
      <c r="A106" s="4" t="n">
        <v>896</v>
      </c>
      <c r="B106" s="2" t="n">
        <v>21.330001472714</v>
      </c>
      <c r="C106" s="5" t="n">
        <f aca="false">B106</f>
        <v>21.330001472714</v>
      </c>
      <c r="D106" s="5" t="n">
        <f aca="false">C106*LOG(C106)</f>
        <v>28.3473775435513</v>
      </c>
      <c r="E106" s="5"/>
      <c r="F106" s="5"/>
      <c r="G106" s="4" t="n">
        <v>105</v>
      </c>
      <c r="H106" s="6" t="n">
        <v>0.895</v>
      </c>
      <c r="J106" s="2" t="n">
        <f aca="false">B106/$B$1003</f>
        <v>0.00208468636379153</v>
      </c>
      <c r="K106" s="5" t="n">
        <f aca="false">J106*LOG(J106,2)</f>
        <v>-0.018566120724382</v>
      </c>
      <c r="N106" s="2" t="n">
        <f aca="false">1/1000*LOG(1/1000,2)</f>
        <v>-0.00996578428466209</v>
      </c>
    </row>
    <row r="107" customFormat="false" ht="13" hidden="false" customHeight="false" outlineLevel="0" collapsed="false">
      <c r="A107" s="4" t="n">
        <v>895</v>
      </c>
      <c r="B107" s="2" t="n">
        <v>21.3155075543464</v>
      </c>
      <c r="C107" s="5" t="n">
        <f aca="false">B107</f>
        <v>21.3155075543464</v>
      </c>
      <c r="D107" s="5" t="n">
        <f aca="false">C107*LOG(C107)</f>
        <v>28.3218227684899</v>
      </c>
      <c r="E107" s="5"/>
      <c r="F107" s="5"/>
      <c r="G107" s="4" t="n">
        <v>106</v>
      </c>
      <c r="H107" s="6" t="n">
        <v>0.894</v>
      </c>
      <c r="J107" s="2" t="n">
        <f aca="false">B107/$B$1003</f>
        <v>0.00208326980158371</v>
      </c>
      <c r="K107" s="5" t="n">
        <f aca="false">J107*LOG(J107,2)</f>
        <v>-0.0185555478593837</v>
      </c>
      <c r="N107" s="2" t="n">
        <f aca="false">1/1000*LOG(1/1000,2)</f>
        <v>-0.00996578428466209</v>
      </c>
    </row>
    <row r="108" customFormat="false" ht="13" hidden="false" customHeight="false" outlineLevel="0" collapsed="false">
      <c r="A108" s="4" t="n">
        <v>894</v>
      </c>
      <c r="B108" s="2" t="n">
        <v>21.3089934605115</v>
      </c>
      <c r="C108" s="5" t="n">
        <f aca="false">B108</f>
        <v>21.3089934605115</v>
      </c>
      <c r="D108" s="5" t="n">
        <f aca="false">C108*LOG(C108)</f>
        <v>28.3103389174818</v>
      </c>
      <c r="E108" s="5"/>
      <c r="F108" s="5"/>
      <c r="G108" s="4" t="n">
        <v>107</v>
      </c>
      <c r="H108" s="6" t="n">
        <v>0.893</v>
      </c>
      <c r="J108" s="2" t="n">
        <f aca="false">B108/$B$1003</f>
        <v>0.00208263314702898</v>
      </c>
      <c r="K108" s="5" t="n">
        <f aca="false">J108*LOG(J108,2)</f>
        <v>-0.0185507955769137</v>
      </c>
      <c r="N108" s="2" t="n">
        <f aca="false">1/1000*LOG(1/1000,2)</f>
        <v>-0.00996578428466209</v>
      </c>
    </row>
    <row r="109" customFormat="false" ht="13" hidden="false" customHeight="false" outlineLevel="0" collapsed="false">
      <c r="A109" s="4" t="n">
        <v>893</v>
      </c>
      <c r="B109" s="2" t="n">
        <v>21.2390434260435</v>
      </c>
      <c r="C109" s="5" t="n">
        <f aca="false">B109</f>
        <v>21.2390434260435</v>
      </c>
      <c r="D109" s="5" t="n">
        <f aca="false">C109*LOG(C109)</f>
        <v>28.1870768966977</v>
      </c>
      <c r="E109" s="5"/>
      <c r="F109" s="5"/>
      <c r="G109" s="4" t="n">
        <v>108</v>
      </c>
      <c r="H109" s="6" t="n">
        <v>0.892</v>
      </c>
      <c r="J109" s="2" t="n">
        <f aca="false">B109/$B$1003</f>
        <v>0.00207579658477235</v>
      </c>
      <c r="K109" s="5" t="n">
        <f aca="false">J109*LOG(J109,2)</f>
        <v>-0.0184997466176069</v>
      </c>
      <c r="N109" s="2" t="n">
        <f aca="false">1/1000*LOG(1/1000,2)</f>
        <v>-0.00996578428466209</v>
      </c>
    </row>
    <row r="110" customFormat="false" ht="13" hidden="false" customHeight="false" outlineLevel="0" collapsed="false">
      <c r="A110" s="4" t="n">
        <v>892</v>
      </c>
      <c r="B110" s="2" t="n">
        <v>21.173296712049</v>
      </c>
      <c r="C110" s="5" t="n">
        <f aca="false">B110</f>
        <v>21.173296712049</v>
      </c>
      <c r="D110" s="5" t="n">
        <f aca="false">C110*LOG(C110)</f>
        <v>28.0713129395224</v>
      </c>
      <c r="E110" s="5"/>
      <c r="F110" s="5"/>
      <c r="G110" s="4" t="n">
        <v>109</v>
      </c>
      <c r="H110" s="6" t="n">
        <v>0.891</v>
      </c>
      <c r="J110" s="2" t="n">
        <f aca="false">B110/$B$1003</f>
        <v>0.00206937083378008</v>
      </c>
      <c r="K110" s="5" t="n">
        <f aca="false">J110*LOG(J110,2)</f>
        <v>-0.0184517355944829</v>
      </c>
      <c r="N110" s="2" t="n">
        <f aca="false">1/1000*LOG(1/1000,2)</f>
        <v>-0.00996578428466209</v>
      </c>
    </row>
    <row r="111" customFormat="false" ht="13" hidden="false" customHeight="false" outlineLevel="0" collapsed="false">
      <c r="A111" s="4" t="n">
        <v>891</v>
      </c>
      <c r="B111" s="2" t="n">
        <v>21.1671042695318</v>
      </c>
      <c r="C111" s="5" t="n">
        <f aca="false">B111</f>
        <v>21.1671042695318</v>
      </c>
      <c r="D111" s="5" t="n">
        <f aca="false">C111*LOG(C111)</f>
        <v>28.0604141202407</v>
      </c>
      <c r="E111" s="5"/>
      <c r="F111" s="5"/>
      <c r="G111" s="4" t="n">
        <v>110</v>
      </c>
      <c r="H111" s="6" t="n">
        <v>0.89</v>
      </c>
      <c r="J111" s="2" t="n">
        <f aca="false">B111/$B$1003</f>
        <v>0.00206876561579683</v>
      </c>
      <c r="K111" s="5" t="n">
        <f aca="false">J111*LOG(J111,2)</f>
        <v>-0.0184472121298931</v>
      </c>
      <c r="N111" s="2" t="n">
        <f aca="false">1/1000*LOG(1/1000,2)</f>
        <v>-0.00996578428466209</v>
      </c>
    </row>
    <row r="112" customFormat="false" ht="13" hidden="false" customHeight="false" outlineLevel="0" collapsed="false">
      <c r="A112" s="4" t="n">
        <v>890</v>
      </c>
      <c r="B112" s="2" t="n">
        <v>21.1365987703516</v>
      </c>
      <c r="C112" s="5" t="n">
        <f aca="false">B112</f>
        <v>21.1365987703516</v>
      </c>
      <c r="D112" s="5" t="n">
        <f aca="false">C112*LOG(C112)</f>
        <v>28.0067353372273</v>
      </c>
      <c r="E112" s="5"/>
      <c r="F112" s="5"/>
      <c r="G112" s="4" t="n">
        <v>111</v>
      </c>
      <c r="H112" s="6" t="n">
        <v>0.889</v>
      </c>
      <c r="J112" s="2" t="n">
        <f aca="false">B112/$B$1003</f>
        <v>0.00206578416273678</v>
      </c>
      <c r="K112" s="5" t="n">
        <f aca="false">J112*LOG(J112,2)</f>
        <v>-0.0184249246975414</v>
      </c>
      <c r="N112" s="2" t="n">
        <f aca="false">1/1000*LOG(1/1000,2)</f>
        <v>-0.00996578428466209</v>
      </c>
    </row>
    <row r="113" customFormat="false" ht="13" hidden="false" customHeight="false" outlineLevel="0" collapsed="false">
      <c r="A113" s="4" t="n">
        <v>889</v>
      </c>
      <c r="B113" s="2" t="n">
        <v>21.1339824155283</v>
      </c>
      <c r="C113" s="5" t="n">
        <f aca="false">B113</f>
        <v>21.1339824155283</v>
      </c>
      <c r="D113" s="5" t="n">
        <f aca="false">C113*LOG(C113)</f>
        <v>28.0021323771093</v>
      </c>
      <c r="E113" s="5"/>
      <c r="F113" s="5"/>
      <c r="G113" s="4" t="n">
        <v>112</v>
      </c>
      <c r="H113" s="6" t="n">
        <v>0.888</v>
      </c>
      <c r="J113" s="2" t="n">
        <f aca="false">B113/$B$1003</f>
        <v>0.00206552845346128</v>
      </c>
      <c r="K113" s="5" t="n">
        <f aca="false">J113*LOG(J113,2)</f>
        <v>-0.018423012889953</v>
      </c>
      <c r="N113" s="2" t="n">
        <f aca="false">1/1000*LOG(1/1000,2)</f>
        <v>-0.00996578428466209</v>
      </c>
    </row>
    <row r="114" customFormat="false" ht="13" hidden="false" customHeight="false" outlineLevel="0" collapsed="false">
      <c r="A114" s="4" t="n">
        <v>888</v>
      </c>
      <c r="B114" s="2" t="n">
        <v>21.1069329648446</v>
      </c>
      <c r="C114" s="5" t="n">
        <f aca="false">B114</f>
        <v>21.1069329648446</v>
      </c>
      <c r="D114" s="5" t="n">
        <f aca="false">C114*LOG(C114)</f>
        <v>27.9545524534728</v>
      </c>
      <c r="E114" s="5"/>
      <c r="F114" s="5"/>
      <c r="G114" s="4" t="n">
        <v>113</v>
      </c>
      <c r="H114" s="6" t="n">
        <v>0.887</v>
      </c>
      <c r="J114" s="2" t="n">
        <f aca="false">B114/$B$1003</f>
        <v>0.00206288477708552</v>
      </c>
      <c r="K114" s="5" t="n">
        <f aca="false">J114*LOG(J114,2)</f>
        <v>-0.0184032447946746</v>
      </c>
      <c r="N114" s="2" t="n">
        <f aca="false">1/1000*LOG(1/1000,2)</f>
        <v>-0.00996578428466209</v>
      </c>
    </row>
    <row r="115" customFormat="false" ht="13" hidden="false" customHeight="false" outlineLevel="0" collapsed="false">
      <c r="A115" s="4" t="n">
        <v>887</v>
      </c>
      <c r="B115" s="2" t="n">
        <v>21.0840839972997</v>
      </c>
      <c r="C115" s="5" t="n">
        <f aca="false">B115</f>
        <v>21.0840839972997</v>
      </c>
      <c r="D115" s="5" t="n">
        <f aca="false">C115*LOG(C115)</f>
        <v>27.9143728991489</v>
      </c>
      <c r="E115" s="5"/>
      <c r="F115" s="5"/>
      <c r="G115" s="4" t="n">
        <v>114</v>
      </c>
      <c r="H115" s="6" t="n">
        <v>0.886</v>
      </c>
      <c r="J115" s="2" t="n">
        <f aca="false">B115/$B$1003</f>
        <v>0.00206065163466738</v>
      </c>
      <c r="K115" s="5" t="n">
        <f aca="false">J115*LOG(J115,2)</f>
        <v>-0.0183865426598952</v>
      </c>
      <c r="N115" s="2" t="n">
        <f aca="false">1/1000*LOG(1/1000,2)</f>
        <v>-0.00996578428466209</v>
      </c>
    </row>
    <row r="116" customFormat="false" ht="13" hidden="false" customHeight="false" outlineLevel="0" collapsed="false">
      <c r="A116" s="4" t="n">
        <v>886</v>
      </c>
      <c r="B116" s="2" t="n">
        <v>21.060040385289</v>
      </c>
      <c r="C116" s="5" t="n">
        <f aca="false">B116</f>
        <v>21.060040385289</v>
      </c>
      <c r="D116" s="5" t="n">
        <f aca="false">C116*LOG(C116)</f>
        <v>27.8721041932233</v>
      </c>
      <c r="E116" s="5"/>
      <c r="F116" s="5"/>
      <c r="G116" s="4" t="n">
        <v>115</v>
      </c>
      <c r="H116" s="6" t="n">
        <v>0.885</v>
      </c>
      <c r="J116" s="2" t="n">
        <f aca="false">B116/$B$1003</f>
        <v>0.00205830173374688</v>
      </c>
      <c r="K116" s="5" t="n">
        <f aca="false">J116*LOG(J116,2)</f>
        <v>-0.0183689634939975</v>
      </c>
      <c r="N116" s="2" t="n">
        <f aca="false">1/1000*LOG(1/1000,2)</f>
        <v>-0.00996578428466209</v>
      </c>
    </row>
    <row r="117" customFormat="false" ht="13" hidden="false" customHeight="false" outlineLevel="0" collapsed="false">
      <c r="A117" s="4" t="n">
        <v>885</v>
      </c>
      <c r="B117" s="2" t="n">
        <v>20.9228616429907</v>
      </c>
      <c r="C117" s="5" t="n">
        <f aca="false">B117</f>
        <v>20.9228616429907</v>
      </c>
      <c r="D117" s="5" t="n">
        <f aca="false">C117*LOG(C117)</f>
        <v>27.6311722065174</v>
      </c>
      <c r="E117" s="5"/>
      <c r="F117" s="5"/>
      <c r="G117" s="4" t="n">
        <v>116</v>
      </c>
      <c r="H117" s="6" t="n">
        <v>0.884</v>
      </c>
      <c r="J117" s="2" t="n">
        <f aca="false">B117/$B$1003</f>
        <v>0.00204489457792286</v>
      </c>
      <c r="K117" s="5" t="n">
        <f aca="false">J117*LOG(J117,2)</f>
        <v>-0.0182685929183801</v>
      </c>
      <c r="N117" s="2" t="n">
        <f aca="false">1/1000*LOG(1/1000,2)</f>
        <v>-0.00996578428466209</v>
      </c>
    </row>
    <row r="118" customFormat="false" ht="13" hidden="false" customHeight="false" outlineLevel="0" collapsed="false">
      <c r="A118" s="4" t="n">
        <v>884</v>
      </c>
      <c r="B118" s="2" t="n">
        <v>20.8623969881797</v>
      </c>
      <c r="C118" s="5" t="n">
        <f aca="false">B118</f>
        <v>20.8623969881797</v>
      </c>
      <c r="D118" s="5" t="n">
        <f aca="false">C118*LOG(C118)</f>
        <v>27.5250998226674</v>
      </c>
      <c r="E118" s="5"/>
      <c r="F118" s="5"/>
      <c r="G118" s="4" t="n">
        <v>117</v>
      </c>
      <c r="H118" s="6" t="n">
        <v>0.883</v>
      </c>
      <c r="J118" s="2" t="n">
        <f aca="false">B118/$B$1003</f>
        <v>0.0020389850686555</v>
      </c>
      <c r="K118" s="5" t="n">
        <f aca="false">J118*LOG(J118,2)</f>
        <v>-0.0182243120825759</v>
      </c>
      <c r="N118" s="2" t="n">
        <f aca="false">1/1000*LOG(1/1000,2)</f>
        <v>-0.00996578428466209</v>
      </c>
    </row>
    <row r="119" customFormat="false" ht="13" hidden="false" customHeight="false" outlineLevel="0" collapsed="false">
      <c r="A119" s="4" t="n">
        <v>883</v>
      </c>
      <c r="B119" s="2" t="n">
        <v>20.7510776762679</v>
      </c>
      <c r="C119" s="5" t="n">
        <f aca="false">B119</f>
        <v>20.7510776762679</v>
      </c>
      <c r="D119" s="5" t="n">
        <f aca="false">C119*LOG(C119)</f>
        <v>27.3300129569102</v>
      </c>
      <c r="E119" s="5"/>
      <c r="F119" s="5"/>
      <c r="G119" s="4" t="n">
        <v>118</v>
      </c>
      <c r="H119" s="6" t="n">
        <v>0.882</v>
      </c>
      <c r="J119" s="2" t="n">
        <f aca="false">B119/$B$1003</f>
        <v>0.0020281052826477</v>
      </c>
      <c r="K119" s="5" t="n">
        <f aca="false">J119*LOG(J119,2)</f>
        <v>-0.0181427235454358</v>
      </c>
      <c r="N119" s="2" t="n">
        <f aca="false">1/1000*LOG(1/1000,2)</f>
        <v>-0.00996578428466209</v>
      </c>
    </row>
    <row r="120" customFormat="false" ht="13" hidden="false" customHeight="false" outlineLevel="0" collapsed="false">
      <c r="A120" s="4" t="n">
        <v>882</v>
      </c>
      <c r="B120" s="2" t="n">
        <v>20.7380177616603</v>
      </c>
      <c r="C120" s="5" t="n">
        <f aca="false">B120</f>
        <v>20.7380177616603</v>
      </c>
      <c r="D120" s="5" t="n">
        <f aca="false">C120*LOG(C120)</f>
        <v>27.3071424547533</v>
      </c>
      <c r="E120" s="5"/>
      <c r="F120" s="5"/>
      <c r="G120" s="4" t="n">
        <v>119</v>
      </c>
      <c r="H120" s="6" t="n">
        <v>0.881</v>
      </c>
      <c r="J120" s="2" t="n">
        <f aca="false">B120/$B$1003</f>
        <v>0.00202682887270795</v>
      </c>
      <c r="K120" s="5" t="n">
        <f aca="false">J120*LOG(J120,2)</f>
        <v>-0.0181331461173346</v>
      </c>
      <c r="N120" s="2" t="n">
        <f aca="false">1/1000*LOG(1/1000,2)</f>
        <v>-0.00996578428466209</v>
      </c>
    </row>
    <row r="121" customFormat="false" ht="13" hidden="false" customHeight="false" outlineLevel="0" collapsed="false">
      <c r="A121" s="4" t="n">
        <v>881</v>
      </c>
      <c r="B121" s="2" t="n">
        <v>20.7101473808565</v>
      </c>
      <c r="C121" s="5" t="n">
        <f aca="false">B121</f>
        <v>20.7101473808565</v>
      </c>
      <c r="D121" s="5" t="n">
        <f aca="false">C121*LOG(C121)</f>
        <v>27.2583478347541</v>
      </c>
      <c r="E121" s="5"/>
      <c r="F121" s="5"/>
      <c r="G121" s="4" t="n">
        <v>120</v>
      </c>
      <c r="H121" s="6" t="n">
        <v>0.88</v>
      </c>
      <c r="J121" s="2" t="n">
        <f aca="false">B121/$B$1003</f>
        <v>0.00202410496277809</v>
      </c>
      <c r="K121" s="5" t="n">
        <f aca="false">J121*LOG(J121,2)</f>
        <v>-0.0181127036232164</v>
      </c>
      <c r="N121" s="2" t="n">
        <f aca="false">1/1000*LOG(1/1000,2)</f>
        <v>-0.00996578428466209</v>
      </c>
    </row>
    <row r="122" customFormat="false" ht="13" hidden="false" customHeight="false" outlineLevel="0" collapsed="false">
      <c r="A122" s="4" t="n">
        <v>880</v>
      </c>
      <c r="B122" s="2" t="n">
        <v>20.7037366566111</v>
      </c>
      <c r="C122" s="5" t="n">
        <f aca="false">B122</f>
        <v>20.7037366566111</v>
      </c>
      <c r="D122" s="5" t="n">
        <f aca="false">C122*LOG(C122)</f>
        <v>27.2471264360583</v>
      </c>
      <c r="E122" s="5"/>
      <c r="F122" s="5"/>
      <c r="G122" s="4" t="n">
        <v>121</v>
      </c>
      <c r="H122" s="6" t="n">
        <v>0.879</v>
      </c>
      <c r="J122" s="2" t="n">
        <f aca="false">B122/$B$1003</f>
        <v>0.00202347841104374</v>
      </c>
      <c r="K122" s="5" t="n">
        <f aca="false">J122*LOG(J122,2)</f>
        <v>-0.018108000708072</v>
      </c>
      <c r="N122" s="2" t="n">
        <f aca="false">1/1000*LOG(1/1000,2)</f>
        <v>-0.00996578428466209</v>
      </c>
    </row>
    <row r="123" customFormat="false" ht="13" hidden="false" customHeight="false" outlineLevel="0" collapsed="false">
      <c r="A123" s="4" t="n">
        <v>879</v>
      </c>
      <c r="B123" s="2" t="n">
        <v>20.666813164155</v>
      </c>
      <c r="C123" s="5" t="n">
        <f aca="false">B123</f>
        <v>20.666813164155</v>
      </c>
      <c r="D123" s="5" t="n">
        <f aca="false">C123*LOG(C123)</f>
        <v>27.1825119591823</v>
      </c>
      <c r="E123" s="5"/>
      <c r="F123" s="5"/>
      <c r="G123" s="4" t="n">
        <v>122</v>
      </c>
      <c r="H123" s="6" t="n">
        <v>0.878</v>
      </c>
      <c r="J123" s="2" t="n">
        <f aca="false">B123/$B$1003</f>
        <v>0.0020198696958111</v>
      </c>
      <c r="K123" s="5" t="n">
        <f aca="false">J123*LOG(J123,2)</f>
        <v>-0.0180809081376532</v>
      </c>
      <c r="N123" s="2" t="n">
        <f aca="false">1/1000*LOG(1/1000,2)</f>
        <v>-0.00996578428466209</v>
      </c>
    </row>
    <row r="124" customFormat="false" ht="13" hidden="false" customHeight="false" outlineLevel="0" collapsed="false">
      <c r="A124" s="4" t="n">
        <v>878</v>
      </c>
      <c r="B124" s="2" t="n">
        <v>20.6634600788781</v>
      </c>
      <c r="C124" s="5" t="n">
        <f aca="false">B124</f>
        <v>20.6634600788781</v>
      </c>
      <c r="D124" s="5" t="n">
        <f aca="false">C124*LOG(C124)</f>
        <v>27.1766456266357</v>
      </c>
      <c r="E124" s="5"/>
      <c r="F124" s="5"/>
      <c r="G124" s="4" t="n">
        <v>123</v>
      </c>
      <c r="H124" s="6" t="n">
        <v>0.877</v>
      </c>
      <c r="J124" s="2" t="n">
        <f aca="false">B124/$B$1003</f>
        <v>0.00201954198223066</v>
      </c>
      <c r="K124" s="5" t="n">
        <f aca="false">J124*LOG(J124,2)</f>
        <v>-0.0180784473547103</v>
      </c>
      <c r="N124" s="2" t="n">
        <f aca="false">1/1000*LOG(1/1000,2)</f>
        <v>-0.00996578428466209</v>
      </c>
    </row>
    <row r="125" customFormat="false" ht="13" hidden="false" customHeight="false" outlineLevel="0" collapsed="false">
      <c r="A125" s="4" t="n">
        <v>877</v>
      </c>
      <c r="B125" s="2" t="n">
        <v>20.6479030216165</v>
      </c>
      <c r="C125" s="5" t="n">
        <f aca="false">B125</f>
        <v>20.6479030216165</v>
      </c>
      <c r="D125" s="5" t="n">
        <f aca="false">C125*LOG(C125)</f>
        <v>27.1494311374113</v>
      </c>
      <c r="E125" s="5"/>
      <c r="F125" s="5"/>
      <c r="G125" s="4" t="n">
        <v>124</v>
      </c>
      <c r="H125" s="6" t="n">
        <v>0.876</v>
      </c>
      <c r="J125" s="2" t="n">
        <f aca="false">B125/$B$1003</f>
        <v>0.00201802151420934</v>
      </c>
      <c r="K125" s="5" t="n">
        <f aca="false">J125*LOG(J125,2)</f>
        <v>-0.0180670292414745</v>
      </c>
      <c r="N125" s="2" t="n">
        <f aca="false">1/1000*LOG(1/1000,2)</f>
        <v>-0.00996578428466209</v>
      </c>
    </row>
    <row r="126" customFormat="false" ht="13" hidden="false" customHeight="false" outlineLevel="0" collapsed="false">
      <c r="A126" s="4" t="n">
        <v>876</v>
      </c>
      <c r="B126" s="2" t="n">
        <v>20.5823169297557</v>
      </c>
      <c r="C126" s="5" t="n">
        <f aca="false">B126</f>
        <v>20.5823169297557</v>
      </c>
      <c r="D126" s="5" t="n">
        <f aca="false">C126*LOG(C126)</f>
        <v>27.0347551704841</v>
      </c>
      <c r="E126" s="5"/>
      <c r="F126" s="5"/>
      <c r="G126" s="4" t="n">
        <v>125</v>
      </c>
      <c r="H126" s="6" t="n">
        <v>0.875</v>
      </c>
      <c r="J126" s="2" t="n">
        <f aca="false">B126/$B$1003</f>
        <v>0.0020116114616113</v>
      </c>
      <c r="K126" s="5" t="n">
        <f aca="false">J126*LOG(J126,2)</f>
        <v>-0.0180188740968967</v>
      </c>
      <c r="N126" s="2" t="n">
        <f aca="false">1/1000*LOG(1/1000,2)</f>
        <v>-0.00996578428466209</v>
      </c>
    </row>
    <row r="127" customFormat="false" ht="13" hidden="false" customHeight="false" outlineLevel="0" collapsed="false">
      <c r="A127" s="4" t="n">
        <v>875</v>
      </c>
      <c r="B127" s="2" t="n">
        <v>20.5621384394076</v>
      </c>
      <c r="C127" s="5" t="n">
        <f aca="false">B127</f>
        <v>20.5621384394076</v>
      </c>
      <c r="D127" s="5" t="n">
        <f aca="false">C127*LOG(C127)</f>
        <v>26.9994917293384</v>
      </c>
      <c r="E127" s="5"/>
      <c r="F127" s="5"/>
      <c r="G127" s="4" t="n">
        <v>126</v>
      </c>
      <c r="H127" s="6" t="n">
        <v>0.874</v>
      </c>
      <c r="J127" s="2" t="n">
        <f aca="false">B127/$B$1003</f>
        <v>0.00200963931811546</v>
      </c>
      <c r="K127" s="5" t="n">
        <f aca="false">J127*LOG(J127,2)</f>
        <v>-0.0180040525609394</v>
      </c>
      <c r="N127" s="2" t="n">
        <f aca="false">1/1000*LOG(1/1000,2)</f>
        <v>-0.00996578428466209</v>
      </c>
    </row>
    <row r="128" customFormat="false" ht="13" hidden="false" customHeight="false" outlineLevel="0" collapsed="false">
      <c r="A128" s="4" t="n">
        <v>874</v>
      </c>
      <c r="B128" s="2" t="n">
        <v>20.5615800716078</v>
      </c>
      <c r="C128" s="5" t="n">
        <f aca="false">B128</f>
        <v>20.5615800716078</v>
      </c>
      <c r="D128" s="5" t="n">
        <f aca="false">C128*LOG(C128)</f>
        <v>26.9985160615308</v>
      </c>
      <c r="E128" s="5"/>
      <c r="F128" s="5"/>
      <c r="G128" s="4" t="n">
        <v>127</v>
      </c>
      <c r="H128" s="6" t="n">
        <v>0.873</v>
      </c>
      <c r="J128" s="2" t="n">
        <f aca="false">B128/$B$1003</f>
        <v>0.00200958474607336</v>
      </c>
      <c r="K128" s="5" t="n">
        <f aca="false">J128*LOG(J128,2)</f>
        <v>-0.0180036423880717</v>
      </c>
      <c r="N128" s="2" t="n">
        <f aca="false">1/1000*LOG(1/1000,2)</f>
        <v>-0.00996578428466209</v>
      </c>
    </row>
    <row r="129" customFormat="false" ht="13" hidden="false" customHeight="false" outlineLevel="0" collapsed="false">
      <c r="A129" s="4" t="n">
        <v>873</v>
      </c>
      <c r="B129" s="2" t="n">
        <v>20.5573472967631</v>
      </c>
      <c r="C129" s="5" t="n">
        <f aca="false">B129</f>
        <v>20.5573472967631</v>
      </c>
      <c r="D129" s="5" t="n">
        <f aca="false">C129*LOG(C129)</f>
        <v>26.9911201075366</v>
      </c>
      <c r="E129" s="5"/>
      <c r="F129" s="5"/>
      <c r="G129" s="4" t="n">
        <v>128</v>
      </c>
      <c r="H129" s="6" t="n">
        <v>0.872</v>
      </c>
      <c r="J129" s="2" t="n">
        <f aca="false">B129/$B$1003</f>
        <v>0.00200917105608787</v>
      </c>
      <c r="K129" s="5" t="n">
        <f aca="false">J129*LOG(J129,2)</f>
        <v>-0.0180005329533492</v>
      </c>
      <c r="N129" s="2" t="n">
        <f aca="false">1/1000*LOG(1/1000,2)</f>
        <v>-0.00996578428466209</v>
      </c>
    </row>
    <row r="130" customFormat="false" ht="13" hidden="false" customHeight="false" outlineLevel="0" collapsed="false">
      <c r="A130" s="4" t="n">
        <v>872</v>
      </c>
      <c r="B130" s="2" t="n">
        <v>20.5572669801569</v>
      </c>
      <c r="C130" s="5" t="n">
        <f aca="false">B130</f>
        <v>20.5572669801569</v>
      </c>
      <c r="D130" s="5" t="n">
        <f aca="false">C130*LOG(C130)</f>
        <v>26.9909797734866</v>
      </c>
      <c r="E130" s="5"/>
      <c r="F130" s="5"/>
      <c r="G130" s="4" t="n">
        <v>129</v>
      </c>
      <c r="H130" s="6" t="n">
        <v>0.871</v>
      </c>
      <c r="J130" s="2" t="n">
        <f aca="false">B130/$B$1003</f>
        <v>0.00200916320634937</v>
      </c>
      <c r="K130" s="5" t="n">
        <f aca="false">J130*LOG(J130,2)</f>
        <v>-0.0180004739508553</v>
      </c>
      <c r="N130" s="2" t="n">
        <f aca="false">1/1000*LOG(1/1000,2)</f>
        <v>-0.00996578428466209</v>
      </c>
    </row>
    <row r="131" customFormat="false" ht="13" hidden="false" customHeight="false" outlineLevel="0" collapsed="false">
      <c r="A131" s="4" t="n">
        <v>871</v>
      </c>
      <c r="B131" s="2" t="n">
        <v>20.5566793841972</v>
      </c>
      <c r="C131" s="5" t="n">
        <f aca="false">B131</f>
        <v>20.5566793841972</v>
      </c>
      <c r="D131" s="5" t="n">
        <f aca="false">C131*LOG(C131)</f>
        <v>26.9899530943006</v>
      </c>
      <c r="E131" s="5"/>
      <c r="F131" s="5"/>
      <c r="G131" s="4" t="n">
        <v>130</v>
      </c>
      <c r="H131" s="6" t="n">
        <v>0.87</v>
      </c>
      <c r="J131" s="2" t="n">
        <f aca="false">B131/$B$1003</f>
        <v>0.0020091057776949</v>
      </c>
      <c r="K131" s="5" t="n">
        <f aca="false">J131*LOG(J131,2)</f>
        <v>-0.0180000422875066</v>
      </c>
      <c r="N131" s="2" t="n">
        <f aca="false">1/1000*LOG(1/1000,2)</f>
        <v>-0.00996578428466209</v>
      </c>
    </row>
    <row r="132" customFormat="false" ht="13" hidden="false" customHeight="false" outlineLevel="0" collapsed="false">
      <c r="A132" s="4" t="n">
        <v>870</v>
      </c>
      <c r="B132" s="2" t="n">
        <v>20.5165851662685</v>
      </c>
      <c r="C132" s="5" t="n">
        <f aca="false">B132</f>
        <v>20.5165851662685</v>
      </c>
      <c r="D132" s="5" t="n">
        <f aca="false">C132*LOG(C132)</f>
        <v>26.9199155666067</v>
      </c>
      <c r="E132" s="5"/>
      <c r="F132" s="5"/>
      <c r="G132" s="4" t="n">
        <v>131</v>
      </c>
      <c r="H132" s="6" t="n">
        <v>0.869</v>
      </c>
      <c r="J132" s="2" t="n">
        <f aca="false">B132/$B$1003</f>
        <v>0.00200518717180592</v>
      </c>
      <c r="K132" s="5" t="n">
        <f aca="false">J132*LOG(J132,2)</f>
        <v>-0.0179705824295627</v>
      </c>
      <c r="N132" s="2" t="n">
        <f aca="false">1/1000*LOG(1/1000,2)</f>
        <v>-0.00996578428466209</v>
      </c>
    </row>
    <row r="133" customFormat="false" ht="13" hidden="false" customHeight="false" outlineLevel="0" collapsed="false">
      <c r="A133" s="4" t="n">
        <v>869</v>
      </c>
      <c r="B133" s="2" t="n">
        <v>20.4952234448973</v>
      </c>
      <c r="C133" s="5" t="n">
        <f aca="false">B133</f>
        <v>20.4952234448973</v>
      </c>
      <c r="D133" s="5" t="n">
        <f aca="false">C133*LOG(C133)</f>
        <v>26.8826142972136</v>
      </c>
      <c r="E133" s="5"/>
      <c r="F133" s="5"/>
      <c r="G133" s="4" t="n">
        <v>132</v>
      </c>
      <c r="H133" s="6" t="n">
        <v>0.868</v>
      </c>
      <c r="J133" s="2" t="n">
        <f aca="false">B133/$B$1003</f>
        <v>0.00200309938529982</v>
      </c>
      <c r="K133" s="5" t="n">
        <f aca="false">J133*LOG(J133,2)</f>
        <v>-0.0179548820586235</v>
      </c>
      <c r="N133" s="2" t="n">
        <f aca="false">1/1000*LOG(1/1000,2)</f>
        <v>-0.00996578428466209</v>
      </c>
    </row>
    <row r="134" customFormat="false" ht="13" hidden="false" customHeight="false" outlineLevel="0" collapsed="false">
      <c r="A134" s="4" t="n">
        <v>868</v>
      </c>
      <c r="B134" s="2" t="n">
        <v>20.4667407446543</v>
      </c>
      <c r="C134" s="5" t="n">
        <f aca="false">B134</f>
        <v>20.4667407446543</v>
      </c>
      <c r="D134" s="5" t="n">
        <f aca="false">C134*LOG(C134)</f>
        <v>26.8328936075451</v>
      </c>
      <c r="E134" s="5"/>
      <c r="F134" s="5"/>
      <c r="G134" s="4" t="n">
        <v>133</v>
      </c>
      <c r="H134" s="6" t="n">
        <v>0.867</v>
      </c>
      <c r="J134" s="2" t="n">
        <f aca="false">B134/$B$1003</f>
        <v>0.00200031563036777</v>
      </c>
      <c r="K134" s="5" t="n">
        <f aca="false">J134*LOG(J134,2)</f>
        <v>-0.0179339430488196</v>
      </c>
      <c r="N134" s="2" t="n">
        <f aca="false">1/1000*LOG(1/1000,2)</f>
        <v>-0.00996578428466209</v>
      </c>
    </row>
    <row r="135" customFormat="false" ht="13" hidden="false" customHeight="false" outlineLevel="0" collapsed="false">
      <c r="A135" s="4" t="n">
        <v>867</v>
      </c>
      <c r="B135" s="2" t="n">
        <v>20.4492287609797</v>
      </c>
      <c r="C135" s="5" t="n">
        <f aca="false">B135</f>
        <v>20.4492287609797</v>
      </c>
      <c r="D135" s="5" t="n">
        <f aca="false">C135*LOG(C135)</f>
        <v>26.802332441061</v>
      </c>
      <c r="E135" s="5"/>
      <c r="F135" s="5"/>
      <c r="G135" s="4" t="n">
        <v>134</v>
      </c>
      <c r="H135" s="6" t="n">
        <v>0.866</v>
      </c>
      <c r="J135" s="2" t="n">
        <f aca="false">B135/$B$1003</f>
        <v>0.00199860409773538</v>
      </c>
      <c r="K135" s="5" t="n">
        <f aca="false">J135*LOG(J135,2)</f>
        <v>-0.0179210663690599</v>
      </c>
      <c r="N135" s="2" t="n">
        <f aca="false">1/1000*LOG(1/1000,2)</f>
        <v>-0.00996578428466209</v>
      </c>
    </row>
    <row r="136" customFormat="false" ht="13" hidden="false" customHeight="false" outlineLevel="0" collapsed="false">
      <c r="A136" s="4" t="n">
        <v>866</v>
      </c>
      <c r="B136" s="2" t="n">
        <v>20.4266526475906</v>
      </c>
      <c r="C136" s="5" t="n">
        <f aca="false">B136</f>
        <v>20.4266526475906</v>
      </c>
      <c r="D136" s="5" t="n">
        <f aca="false">C136*LOG(C136)</f>
        <v>26.7629431827467</v>
      </c>
      <c r="E136" s="5"/>
      <c r="F136" s="5"/>
      <c r="G136" s="4" t="n">
        <v>135</v>
      </c>
      <c r="H136" s="6" t="n">
        <v>0.865</v>
      </c>
      <c r="J136" s="2" t="n">
        <f aca="false">B136/$B$1003</f>
        <v>0.00199639762270115</v>
      </c>
      <c r="K136" s="5" t="n">
        <f aca="false">J136*LOG(J136,2)</f>
        <v>-0.017904462880095</v>
      </c>
      <c r="N136" s="2" t="n">
        <f aca="false">1/1000*LOG(1/1000,2)</f>
        <v>-0.00996578428466209</v>
      </c>
    </row>
    <row r="137" customFormat="false" ht="13" hidden="false" customHeight="false" outlineLevel="0" collapsed="false">
      <c r="A137" s="4" t="n">
        <v>865</v>
      </c>
      <c r="B137" s="2" t="n">
        <v>20.3998475539513</v>
      </c>
      <c r="C137" s="5" t="n">
        <f aca="false">B137</f>
        <v>20.3998475539513</v>
      </c>
      <c r="D137" s="5" t="n">
        <f aca="false">C137*LOG(C137)</f>
        <v>26.7161895613137</v>
      </c>
      <c r="E137" s="5"/>
      <c r="F137" s="5"/>
      <c r="G137" s="4" t="n">
        <v>136</v>
      </c>
      <c r="H137" s="6" t="n">
        <v>0.864</v>
      </c>
      <c r="J137" s="2" t="n">
        <f aca="false">B137/$B$1003</f>
        <v>0.00199377782854589</v>
      </c>
      <c r="K137" s="5" t="n">
        <f aca="false">J137*LOG(J137,2)</f>
        <v>-0.0178847446400463</v>
      </c>
      <c r="N137" s="2" t="n">
        <f aca="false">1/1000*LOG(1/1000,2)</f>
        <v>-0.00996578428466209</v>
      </c>
    </row>
    <row r="138" customFormat="false" ht="13" hidden="false" customHeight="false" outlineLevel="0" collapsed="false">
      <c r="A138" s="4" t="n">
        <v>864</v>
      </c>
      <c r="B138" s="2" t="n">
        <v>20.3674127863833</v>
      </c>
      <c r="C138" s="5" t="n">
        <f aca="false">B138</f>
        <v>20.3674127863833</v>
      </c>
      <c r="D138" s="5" t="n">
        <f aca="false">C138*LOG(C138)</f>
        <v>26.6596370800803</v>
      </c>
      <c r="E138" s="5"/>
      <c r="F138" s="5"/>
      <c r="G138" s="4" t="n">
        <v>137</v>
      </c>
      <c r="H138" s="6" t="n">
        <v>0.863</v>
      </c>
      <c r="J138" s="2" t="n">
        <f aca="false">B138/$B$1003</f>
        <v>0.00199060781856026</v>
      </c>
      <c r="K138" s="5" t="n">
        <f aca="false">J138*LOG(J138,2)</f>
        <v>-0.0178608784840978</v>
      </c>
      <c r="N138" s="2" t="n">
        <f aca="false">1/1000*LOG(1/1000,2)</f>
        <v>-0.00996578428466209</v>
      </c>
    </row>
    <row r="139" customFormat="false" ht="13" hidden="false" customHeight="false" outlineLevel="0" collapsed="false">
      <c r="A139" s="4" t="n">
        <v>863</v>
      </c>
      <c r="B139" s="2" t="n">
        <v>20.3281997990871</v>
      </c>
      <c r="C139" s="5" t="n">
        <f aca="false">B139</f>
        <v>20.3281997990871</v>
      </c>
      <c r="D139" s="5" t="n">
        <f aca="false">C139*LOG(C139)</f>
        <v>26.5912962149009</v>
      </c>
      <c r="E139" s="5"/>
      <c r="F139" s="5"/>
      <c r="G139" s="4" t="n">
        <v>138</v>
      </c>
      <c r="H139" s="6" t="n">
        <v>0.862</v>
      </c>
      <c r="J139" s="2" t="n">
        <f aca="false">B139/$B$1003</f>
        <v>0.0019867753396922</v>
      </c>
      <c r="K139" s="5" t="n">
        <f aca="false">J139*LOG(J139,2)</f>
        <v>-0.0178320150512903</v>
      </c>
      <c r="N139" s="2" t="n">
        <f aca="false">1/1000*LOG(1/1000,2)</f>
        <v>-0.00996578428466209</v>
      </c>
    </row>
    <row r="140" customFormat="false" ht="13" hidden="false" customHeight="false" outlineLevel="0" collapsed="false">
      <c r="A140" s="4" t="n">
        <v>862</v>
      </c>
      <c r="B140" s="2" t="n">
        <v>20.3132043889295</v>
      </c>
      <c r="C140" s="5" t="n">
        <f aca="false">B140</f>
        <v>20.3132043889295</v>
      </c>
      <c r="D140" s="5" t="n">
        <f aca="false">C140*LOG(C140)</f>
        <v>26.5651707137604</v>
      </c>
      <c r="E140" s="5"/>
      <c r="F140" s="5"/>
      <c r="G140" s="4" t="n">
        <v>139</v>
      </c>
      <c r="H140" s="6" t="n">
        <v>0.861</v>
      </c>
      <c r="J140" s="2" t="n">
        <f aca="false">B140/$B$1003</f>
        <v>0.00198530976421557</v>
      </c>
      <c r="K140" s="5" t="n">
        <f aca="false">J140*LOG(J140,2)</f>
        <v>-0.0178209745887457</v>
      </c>
      <c r="N140" s="2" t="n">
        <f aca="false">1/1000*LOG(1/1000,2)</f>
        <v>-0.00996578428466209</v>
      </c>
    </row>
    <row r="141" customFormat="false" ht="13" hidden="false" customHeight="false" outlineLevel="0" collapsed="false">
      <c r="A141" s="4" t="n">
        <v>861</v>
      </c>
      <c r="B141" s="2" t="n">
        <v>20.3130944420871</v>
      </c>
      <c r="C141" s="5" t="n">
        <f aca="false">B141</f>
        <v>20.3130944420871</v>
      </c>
      <c r="D141" s="5" t="n">
        <f aca="false">C141*LOG(C141)</f>
        <v>26.5649791784727</v>
      </c>
      <c r="E141" s="5"/>
      <c r="F141" s="5"/>
      <c r="G141" s="4" t="n">
        <v>140</v>
      </c>
      <c r="H141" s="6" t="n">
        <v>0.86</v>
      </c>
      <c r="J141" s="2" t="n">
        <f aca="false">B141/$B$1003</f>
        <v>0.00198529901856778</v>
      </c>
      <c r="K141" s="5" t="n">
        <f aca="false">J141*LOG(J141,2)</f>
        <v>-0.0178208936339471</v>
      </c>
      <c r="N141" s="2" t="n">
        <f aca="false">1/1000*LOG(1/1000,2)</f>
        <v>-0.00996578428466209</v>
      </c>
    </row>
    <row r="142" customFormat="false" ht="13" hidden="false" customHeight="false" outlineLevel="0" collapsed="false">
      <c r="A142" s="4" t="n">
        <v>860</v>
      </c>
      <c r="B142" s="2" t="n">
        <v>20.3057494562732</v>
      </c>
      <c r="C142" s="5" t="n">
        <f aca="false">B142</f>
        <v>20.3057494562732</v>
      </c>
      <c r="D142" s="5" t="n">
        <f aca="false">C142*LOG(C142)</f>
        <v>26.5521842716353</v>
      </c>
      <c r="E142" s="5"/>
      <c r="F142" s="5"/>
      <c r="G142" s="4" t="n">
        <v>141</v>
      </c>
      <c r="H142" s="6" t="n">
        <v>0.859</v>
      </c>
      <c r="J142" s="2" t="n">
        <f aca="false">B142/$B$1003</f>
        <v>0.0019845811568373</v>
      </c>
      <c r="K142" s="5" t="n">
        <f aca="false">J142*LOG(J142,2)</f>
        <v>-0.0178154852681282</v>
      </c>
      <c r="N142" s="2" t="n">
        <f aca="false">1/1000*LOG(1/1000,2)</f>
        <v>-0.00996578428466209</v>
      </c>
    </row>
    <row r="143" customFormat="false" ht="13" hidden="false" customHeight="false" outlineLevel="0" collapsed="false">
      <c r="A143" s="4" t="n">
        <v>859</v>
      </c>
      <c r="B143" s="2" t="n">
        <v>20.2829290947641</v>
      </c>
      <c r="C143" s="5" t="n">
        <f aca="false">B143</f>
        <v>20.2829290947641</v>
      </c>
      <c r="D143" s="5" t="n">
        <f aca="false">C143*LOG(C143)</f>
        <v>26.512438746856</v>
      </c>
      <c r="E143" s="5"/>
      <c r="F143" s="5"/>
      <c r="G143" s="4" t="n">
        <v>142</v>
      </c>
      <c r="H143" s="6" t="n">
        <v>0.858</v>
      </c>
      <c r="J143" s="2" t="n">
        <f aca="false">B143/$B$1003</f>
        <v>0.00198235081022829</v>
      </c>
      <c r="K143" s="5" t="n">
        <f aca="false">J143*LOG(J143,2)</f>
        <v>-0.0177986794599751</v>
      </c>
      <c r="N143" s="2" t="n">
        <f aca="false">1/1000*LOG(1/1000,2)</f>
        <v>-0.00996578428466209</v>
      </c>
    </row>
    <row r="144" customFormat="false" ht="13" hidden="false" customHeight="false" outlineLevel="0" collapsed="false">
      <c r="A144" s="4" t="n">
        <v>858</v>
      </c>
      <c r="B144" s="2" t="n">
        <v>20.2116733294695</v>
      </c>
      <c r="C144" s="5" t="n">
        <f aca="false">B144</f>
        <v>20.2116733294695</v>
      </c>
      <c r="D144" s="5" t="n">
        <f aca="false">C144*LOG(C144)</f>
        <v>26.3884065865703</v>
      </c>
      <c r="E144" s="5"/>
      <c r="F144" s="5"/>
      <c r="G144" s="4" t="n">
        <v>143</v>
      </c>
      <c r="H144" s="6" t="n">
        <v>0.857</v>
      </c>
      <c r="J144" s="2" t="n">
        <f aca="false">B144/$B$1003</f>
        <v>0.00197538663245074</v>
      </c>
      <c r="K144" s="5" t="n">
        <f aca="false">J144*LOG(J144,2)</f>
        <v>-0.0177461806041509</v>
      </c>
      <c r="N144" s="2" t="n">
        <f aca="false">1/1000*LOG(1/1000,2)</f>
        <v>-0.00996578428466209</v>
      </c>
    </row>
    <row r="145" customFormat="false" ht="13" hidden="false" customHeight="false" outlineLevel="0" collapsed="false">
      <c r="A145" s="4" t="n">
        <v>857</v>
      </c>
      <c r="B145" s="2" t="n">
        <v>20.2000364923397</v>
      </c>
      <c r="C145" s="5" t="n">
        <f aca="false">B145</f>
        <v>20.2000364923397</v>
      </c>
      <c r="D145" s="5" t="n">
        <f aca="false">C145*LOG(C145)</f>
        <v>26.3681611465834</v>
      </c>
      <c r="E145" s="5"/>
      <c r="F145" s="5"/>
      <c r="G145" s="4" t="n">
        <v>144</v>
      </c>
      <c r="H145" s="6" t="n">
        <v>0.856</v>
      </c>
      <c r="J145" s="2" t="n">
        <f aca="false">B145/$B$1003</f>
        <v>0.00197424930689954</v>
      </c>
      <c r="K145" s="5" t="n">
        <f aca="false">J145*LOG(J145,2)</f>
        <v>-0.0177376036118299</v>
      </c>
      <c r="N145" s="2" t="n">
        <f aca="false">1/1000*LOG(1/1000,2)</f>
        <v>-0.00996578428466209</v>
      </c>
    </row>
    <row r="146" customFormat="false" ht="13" hidden="false" customHeight="false" outlineLevel="0" collapsed="false">
      <c r="A146" s="4" t="n">
        <v>856</v>
      </c>
      <c r="B146" s="2" t="n">
        <v>20.1065476234399</v>
      </c>
      <c r="C146" s="5" t="n">
        <f aca="false">B146</f>
        <v>20.1065476234399</v>
      </c>
      <c r="D146" s="5" t="n">
        <f aca="false">C146*LOG(C146)</f>
        <v>26.2056176510377</v>
      </c>
      <c r="E146" s="5"/>
      <c r="F146" s="5"/>
      <c r="G146" s="4" t="n">
        <v>145</v>
      </c>
      <c r="H146" s="6" t="n">
        <v>0.855</v>
      </c>
      <c r="J146" s="2" t="n">
        <f aca="false">B146/$B$1003</f>
        <v>0.00196511217812761</v>
      </c>
      <c r="K146" s="5" t="n">
        <f aca="false">J146*LOG(J146,2)</f>
        <v>-0.01766866279903</v>
      </c>
      <c r="N146" s="2" t="n">
        <f aca="false">1/1000*LOG(1/1000,2)</f>
        <v>-0.00996578428466209</v>
      </c>
    </row>
    <row r="147" customFormat="false" ht="13" hidden="false" customHeight="false" outlineLevel="0" collapsed="false">
      <c r="A147" s="4" t="n">
        <v>855</v>
      </c>
      <c r="B147" s="2" t="n">
        <v>20.0868015941217</v>
      </c>
      <c r="C147" s="5" t="n">
        <f aca="false">B147</f>
        <v>20.0868015941217</v>
      </c>
      <c r="D147" s="5" t="n">
        <f aca="false">C147*LOG(C147)</f>
        <v>26.1713105311363</v>
      </c>
      <c r="E147" s="5"/>
      <c r="F147" s="5"/>
      <c r="G147" s="4" t="n">
        <v>146</v>
      </c>
      <c r="H147" s="6" t="n">
        <v>0.854</v>
      </c>
      <c r="J147" s="2" t="n">
        <f aca="false">B147/$B$1003</f>
        <v>0.00196318230118356</v>
      </c>
      <c r="K147" s="5" t="n">
        <f aca="false">J147*LOG(J147,2)</f>
        <v>-0.0176540937986007</v>
      </c>
      <c r="N147" s="2" t="n">
        <f aca="false">1/1000*LOG(1/1000,2)</f>
        <v>-0.00996578428466209</v>
      </c>
    </row>
    <row r="148" customFormat="false" ht="13" hidden="false" customHeight="false" outlineLevel="0" collapsed="false">
      <c r="A148" s="4" t="n">
        <v>854</v>
      </c>
      <c r="B148" s="2" t="n">
        <v>20.0640782637241</v>
      </c>
      <c r="C148" s="5" t="n">
        <f aca="false">B148</f>
        <v>20.0640782637241</v>
      </c>
      <c r="D148" s="5" t="n">
        <f aca="false">C148*LOG(C148)</f>
        <v>26.1318410258533</v>
      </c>
      <c r="E148" s="5"/>
      <c r="F148" s="5"/>
      <c r="G148" s="4" t="n">
        <v>147</v>
      </c>
      <c r="H148" s="6" t="n">
        <v>0.853</v>
      </c>
      <c r="J148" s="2" t="n">
        <f aca="false">B148/$B$1003</f>
        <v>0.00196096143790419</v>
      </c>
      <c r="K148" s="5" t="n">
        <f aca="false">J148*LOG(J148,2)</f>
        <v>-0.0176373247008456</v>
      </c>
      <c r="N148" s="2" t="n">
        <f aca="false">1/1000*LOG(1/1000,2)</f>
        <v>-0.00996578428466209</v>
      </c>
    </row>
    <row r="149" customFormat="false" ht="13" hidden="false" customHeight="false" outlineLevel="0" collapsed="false">
      <c r="A149" s="4" t="n">
        <v>853</v>
      </c>
      <c r="B149" s="2" t="n">
        <v>20.0256645044436</v>
      </c>
      <c r="C149" s="5" t="n">
        <f aca="false">B149</f>
        <v>20.0256645044436</v>
      </c>
      <c r="D149" s="5" t="n">
        <f aca="false">C149*LOG(C149)</f>
        <v>26.0651433043721</v>
      </c>
      <c r="E149" s="5"/>
      <c r="F149" s="5"/>
      <c r="G149" s="4" t="n">
        <v>148</v>
      </c>
      <c r="H149" s="6" t="n">
        <v>0.852</v>
      </c>
      <c r="J149" s="2" t="n">
        <f aca="false">B149/$B$1003</f>
        <v>0.0019572070715364</v>
      </c>
      <c r="K149" s="5" t="n">
        <f aca="false">J149*LOG(J149,2)</f>
        <v>-0.0176089683094901</v>
      </c>
      <c r="N149" s="2" t="n">
        <f aca="false">1/1000*LOG(1/1000,2)</f>
        <v>-0.00996578428466209</v>
      </c>
    </row>
    <row r="150" customFormat="false" ht="13" hidden="false" customHeight="false" outlineLevel="0" collapsed="false">
      <c r="A150" s="4" t="n">
        <v>852</v>
      </c>
      <c r="B150" s="2" t="n">
        <v>19.9988453366987</v>
      </c>
      <c r="C150" s="5" t="n">
        <f aca="false">B150</f>
        <v>19.9988453366987</v>
      </c>
      <c r="D150" s="5" t="n">
        <f aca="false">C150*LOG(C150)</f>
        <v>26.0185962122653</v>
      </c>
      <c r="E150" s="5"/>
      <c r="F150" s="5"/>
      <c r="G150" s="4" t="n">
        <v>149</v>
      </c>
      <c r="H150" s="6" t="n">
        <v>0.851</v>
      </c>
      <c r="J150" s="2" t="n">
        <f aca="false">B150/$B$1003</f>
        <v>0.00195458590184929</v>
      </c>
      <c r="K150" s="5" t="n">
        <f aca="false">J150*LOG(J150,2)</f>
        <v>-0.0175891646927503</v>
      </c>
      <c r="N150" s="2" t="n">
        <f aca="false">1/1000*LOG(1/1000,2)</f>
        <v>-0.00996578428466209</v>
      </c>
    </row>
    <row r="151" customFormat="false" ht="13" hidden="false" customHeight="false" outlineLevel="0" collapsed="false">
      <c r="A151" s="4" t="n">
        <v>851</v>
      </c>
      <c r="B151" s="2" t="n">
        <v>19.9735641988494</v>
      </c>
      <c r="C151" s="5" t="n">
        <f aca="false">B151</f>
        <v>19.9735641988494</v>
      </c>
      <c r="D151" s="5" t="n">
        <f aca="false">C151*LOG(C151)</f>
        <v>25.9747328114889</v>
      </c>
      <c r="E151" s="5"/>
      <c r="F151" s="5"/>
      <c r="G151" s="4" t="n">
        <v>150</v>
      </c>
      <c r="H151" s="6" t="n">
        <v>0.85</v>
      </c>
      <c r="J151" s="2" t="n">
        <f aca="false">B151/$B$1003</f>
        <v>0.00195211505141814</v>
      </c>
      <c r="K151" s="5" t="n">
        <f aca="false">J151*LOG(J151,2)</f>
        <v>-0.0175704921337938</v>
      </c>
      <c r="L151" s="2" t="n">
        <f aca="false">SUM(J102:J151)</f>
        <v>0.101046175171716</v>
      </c>
      <c r="N151" s="2" t="n">
        <f aca="false">1/1000*LOG(1/1000,2)</f>
        <v>-0.00996578428466209</v>
      </c>
    </row>
    <row r="152" customFormat="false" ht="13" hidden="false" customHeight="false" outlineLevel="0" collapsed="false">
      <c r="A152" s="4" t="n">
        <v>850</v>
      </c>
      <c r="B152" s="2" t="n">
        <v>19.963171586286</v>
      </c>
      <c r="C152" s="5" t="n">
        <f aca="false">B152</f>
        <v>19.963171586286</v>
      </c>
      <c r="D152" s="5" t="n">
        <f aca="false">C152*LOG(C152)</f>
        <v>25.9567054007273</v>
      </c>
      <c r="E152" s="5"/>
      <c r="F152" s="5"/>
      <c r="G152" s="4" t="n">
        <v>151</v>
      </c>
      <c r="H152" s="6" t="n">
        <v>0.849</v>
      </c>
      <c r="J152" s="2" t="n">
        <f aca="false">B152/$B$1003</f>
        <v>0.00195109933007733</v>
      </c>
      <c r="K152" s="5" t="n">
        <f aca="false">J152*LOG(J152,2)</f>
        <v>-0.017562814878638</v>
      </c>
      <c r="N152" s="2" t="n">
        <f aca="false">1/1000*LOG(1/1000,2)</f>
        <v>-0.00996578428466209</v>
      </c>
    </row>
    <row r="153" customFormat="false" ht="13" hidden="false" customHeight="false" outlineLevel="0" collapsed="false">
      <c r="A153" s="4" t="n">
        <v>849</v>
      </c>
      <c r="B153" s="2" t="n">
        <v>19.8543207423219</v>
      </c>
      <c r="C153" s="5" t="n">
        <f aca="false">B153</f>
        <v>19.8543207423219</v>
      </c>
      <c r="D153" s="5" t="n">
        <f aca="false">C153*LOG(C153)</f>
        <v>25.7680301128408</v>
      </c>
      <c r="E153" s="5"/>
      <c r="F153" s="5"/>
      <c r="G153" s="4" t="n">
        <v>152</v>
      </c>
      <c r="H153" s="6" t="n">
        <v>0.848</v>
      </c>
      <c r="J153" s="2" t="n">
        <f aca="false">B153/$B$1003</f>
        <v>0.00194046079963047</v>
      </c>
      <c r="K153" s="5" t="n">
        <f aca="false">J153*LOG(J153,2)</f>
        <v>-0.0174823584134398</v>
      </c>
      <c r="N153" s="2" t="n">
        <f aca="false">1/1000*LOG(1/1000,2)</f>
        <v>-0.00996578428466209</v>
      </c>
    </row>
    <row r="154" customFormat="false" ht="13" hidden="false" customHeight="false" outlineLevel="0" collapsed="false">
      <c r="A154" s="4" t="n">
        <v>848</v>
      </c>
      <c r="B154" s="2" t="n">
        <v>19.8275263944171</v>
      </c>
      <c r="C154" s="5" t="n">
        <f aca="false">B154</f>
        <v>19.8275263944171</v>
      </c>
      <c r="D154" s="5" t="n">
        <f aca="false">C154*LOG(C154)</f>
        <v>25.7216261517329</v>
      </c>
      <c r="E154" s="5"/>
      <c r="F154" s="5"/>
      <c r="G154" s="4" t="n">
        <v>153</v>
      </c>
      <c r="H154" s="6" t="n">
        <v>0.847</v>
      </c>
      <c r="J154" s="2" t="n">
        <f aca="false">B154/$B$1003</f>
        <v>0.0019378420557089</v>
      </c>
      <c r="K154" s="5" t="n">
        <f aca="false">J154*LOG(J154,2)</f>
        <v>-0.0174625406396378</v>
      </c>
      <c r="N154" s="2" t="n">
        <f aca="false">1/1000*LOG(1/1000,2)</f>
        <v>-0.00996578428466209</v>
      </c>
    </row>
    <row r="155" customFormat="false" ht="13" hidden="false" customHeight="false" outlineLevel="0" collapsed="false">
      <c r="A155" s="4" t="n">
        <v>847</v>
      </c>
      <c r="B155" s="2" t="n">
        <v>19.8224731758618</v>
      </c>
      <c r="C155" s="5" t="n">
        <f aca="false">B155</f>
        <v>19.8224731758618</v>
      </c>
      <c r="D155" s="5" t="n">
        <f aca="false">C155*LOG(C155)</f>
        <v>25.712876465036</v>
      </c>
      <c r="E155" s="5"/>
      <c r="F155" s="5"/>
      <c r="G155" s="4" t="n">
        <v>154</v>
      </c>
      <c r="H155" s="6" t="n">
        <v>0.846</v>
      </c>
      <c r="J155" s="2" t="n">
        <f aca="false">B155/$B$1003</f>
        <v>0.00193734817970851</v>
      </c>
      <c r="K155" s="5" t="n">
        <f aca="false">J155*LOG(J155,2)</f>
        <v>-0.0174588025800451</v>
      </c>
      <c r="N155" s="2" t="n">
        <f aca="false">1/1000*LOG(1/1000,2)</f>
        <v>-0.00996578428466209</v>
      </c>
    </row>
    <row r="156" customFormat="false" ht="13" hidden="false" customHeight="false" outlineLevel="0" collapsed="false">
      <c r="A156" s="4" t="n">
        <v>846</v>
      </c>
      <c r="B156" s="2" t="n">
        <v>19.8192981295406</v>
      </c>
      <c r="C156" s="5" t="n">
        <f aca="false">B156</f>
        <v>19.8192981295406</v>
      </c>
      <c r="D156" s="5" t="n">
        <f aca="false">C156*LOG(C156)</f>
        <v>25.7073791341531</v>
      </c>
      <c r="E156" s="5"/>
      <c r="F156" s="5"/>
      <c r="G156" s="4" t="n">
        <v>155</v>
      </c>
      <c r="H156" s="6" t="n">
        <v>0.845</v>
      </c>
      <c r="J156" s="2" t="n">
        <f aca="false">B156/$B$1003</f>
        <v>0.00193703786675431</v>
      </c>
      <c r="K156" s="5" t="n">
        <f aca="false">J156*LOG(J156,2)</f>
        <v>-0.0174564537835815</v>
      </c>
      <c r="N156" s="2" t="n">
        <f aca="false">1/1000*LOG(1/1000,2)</f>
        <v>-0.00996578428466209</v>
      </c>
    </row>
    <row r="157" customFormat="false" ht="13" hidden="false" customHeight="false" outlineLevel="0" collapsed="false">
      <c r="A157" s="4" t="n">
        <v>845</v>
      </c>
      <c r="B157" s="2" t="n">
        <v>19.7836825112763</v>
      </c>
      <c r="C157" s="5" t="n">
        <f aca="false">B157</f>
        <v>19.7836825112763</v>
      </c>
      <c r="D157" s="5" t="n">
        <f aca="false">C157*LOG(C157)</f>
        <v>25.6457287731359</v>
      </c>
      <c r="E157" s="5"/>
      <c r="F157" s="5"/>
      <c r="G157" s="4" t="n">
        <v>156</v>
      </c>
      <c r="H157" s="6" t="n">
        <v>0.844</v>
      </c>
      <c r="J157" s="2" t="n">
        <f aca="false">B157/$B$1003</f>
        <v>0.00193355697652425</v>
      </c>
      <c r="K157" s="5" t="n">
        <f aca="false">J157*LOG(J157,2)</f>
        <v>-0.0174301015852654</v>
      </c>
      <c r="N157" s="2" t="n">
        <f aca="false">1/1000*LOG(1/1000,2)</f>
        <v>-0.00996578428466209</v>
      </c>
    </row>
    <row r="158" customFormat="false" ht="13" hidden="false" customHeight="false" outlineLevel="0" collapsed="false">
      <c r="A158" s="4" t="n">
        <v>844</v>
      </c>
      <c r="B158" s="2" t="n">
        <v>19.7565279653932</v>
      </c>
      <c r="C158" s="5" t="n">
        <f aca="false">B158</f>
        <v>19.7565279653932</v>
      </c>
      <c r="D158" s="5" t="n">
        <f aca="false">C158*LOG(C158)</f>
        <v>25.5987431692847</v>
      </c>
      <c r="E158" s="5"/>
      <c r="F158" s="5"/>
      <c r="G158" s="4" t="n">
        <v>157</v>
      </c>
      <c r="H158" s="6" t="n">
        <v>0.843</v>
      </c>
      <c r="J158" s="2" t="n">
        <f aca="false">B158/$B$1003</f>
        <v>0.00193090302867572</v>
      </c>
      <c r="K158" s="5" t="n">
        <f aca="false">J158*LOG(J158,2)</f>
        <v>-0.0174100037092263</v>
      </c>
      <c r="N158" s="2" t="n">
        <f aca="false">1/1000*LOG(1/1000,2)</f>
        <v>-0.00996578428466209</v>
      </c>
    </row>
    <row r="159" customFormat="false" ht="13" hidden="false" customHeight="false" outlineLevel="0" collapsed="false">
      <c r="A159" s="4" t="n">
        <v>843</v>
      </c>
      <c r="B159" s="2" t="n">
        <v>19.7314710169039</v>
      </c>
      <c r="C159" s="5" t="n">
        <f aca="false">B159</f>
        <v>19.7314710169039</v>
      </c>
      <c r="D159" s="5" t="n">
        <f aca="false">C159*LOG(C159)</f>
        <v>25.5554014242</v>
      </c>
      <c r="E159" s="5"/>
      <c r="F159" s="5"/>
      <c r="G159" s="4" t="n">
        <v>158</v>
      </c>
      <c r="H159" s="6" t="n">
        <v>0.842</v>
      </c>
      <c r="J159" s="2" t="n">
        <f aca="false">B159/$B$1003</f>
        <v>0.00192845408937768</v>
      </c>
      <c r="K159" s="5" t="n">
        <f aca="false">J159*LOG(J159,2)</f>
        <v>-0.0173914536582116</v>
      </c>
      <c r="N159" s="2" t="n">
        <f aca="false">1/1000*LOG(1/1000,2)</f>
        <v>-0.00996578428466209</v>
      </c>
    </row>
    <row r="160" customFormat="false" ht="13" hidden="false" customHeight="false" outlineLevel="0" collapsed="false">
      <c r="A160" s="4" t="n">
        <v>842</v>
      </c>
      <c r="B160" s="2" t="n">
        <v>19.7275179241113</v>
      </c>
      <c r="C160" s="5" t="n">
        <f aca="false">B160</f>
        <v>19.7275179241113</v>
      </c>
      <c r="D160" s="5" t="n">
        <f aca="false">C160*LOG(C160)</f>
        <v>25.5485649042596</v>
      </c>
      <c r="E160" s="5"/>
      <c r="F160" s="5"/>
      <c r="G160" s="4" t="n">
        <v>159</v>
      </c>
      <c r="H160" s="6" t="n">
        <v>0.841</v>
      </c>
      <c r="J160" s="2" t="n">
        <f aca="false">B160/$B$1003</f>
        <v>0.00192806773410011</v>
      </c>
      <c r="K160" s="5" t="n">
        <f aca="false">J160*LOG(J160,2)</f>
        <v>-0.0173885267121609</v>
      </c>
      <c r="N160" s="2" t="n">
        <f aca="false">1/1000*LOG(1/1000,2)</f>
        <v>-0.00996578428466209</v>
      </c>
    </row>
    <row r="161" customFormat="false" ht="13" hidden="false" customHeight="false" outlineLevel="0" collapsed="false">
      <c r="A161" s="4" t="n">
        <v>841</v>
      </c>
      <c r="B161" s="2" t="n">
        <v>19.7043723667889</v>
      </c>
      <c r="C161" s="5" t="n">
        <f aca="false">B161</f>
        <v>19.7043723667889</v>
      </c>
      <c r="D161" s="5" t="n">
        <f aca="false">C161*LOG(C161)</f>
        <v>25.5085436420012</v>
      </c>
      <c r="E161" s="5"/>
      <c r="F161" s="5"/>
      <c r="G161" s="4" t="n">
        <v>160</v>
      </c>
      <c r="H161" s="6" t="n">
        <v>0.84</v>
      </c>
      <c r="J161" s="2" t="n">
        <f aca="false">B161/$B$1003</f>
        <v>0.00192580560449857</v>
      </c>
      <c r="K161" s="5" t="n">
        <f aca="false">J161*LOG(J161,2)</f>
        <v>-0.0173713870534543</v>
      </c>
      <c r="N161" s="2" t="n">
        <f aca="false">1/1000*LOG(1/1000,2)</f>
        <v>-0.00996578428466209</v>
      </c>
    </row>
    <row r="162" customFormat="false" ht="13" hidden="false" customHeight="false" outlineLevel="0" collapsed="false">
      <c r="A162" s="4" t="n">
        <v>840</v>
      </c>
      <c r="B162" s="2" t="n">
        <v>19.6819506575596</v>
      </c>
      <c r="C162" s="5" t="n">
        <f aca="false">B162</f>
        <v>19.6819506575596</v>
      </c>
      <c r="D162" s="5" t="n">
        <f aca="false">C162*LOG(C162)</f>
        <v>25.4697852534256</v>
      </c>
      <c r="E162" s="5"/>
      <c r="F162" s="5"/>
      <c r="G162" s="4" t="n">
        <v>161</v>
      </c>
      <c r="H162" s="6" t="n">
        <v>0.839</v>
      </c>
      <c r="J162" s="2" t="n">
        <f aca="false">B162/$B$1003</f>
        <v>0.00192361422014527</v>
      </c>
      <c r="K162" s="5" t="n">
        <f aca="false">J162*LOG(J162,2)</f>
        <v>-0.0173547797604295</v>
      </c>
      <c r="N162" s="2" t="n">
        <f aca="false">1/1000*LOG(1/1000,2)</f>
        <v>-0.00996578428466209</v>
      </c>
    </row>
    <row r="163" customFormat="false" ht="13" hidden="false" customHeight="false" outlineLevel="0" collapsed="false">
      <c r="A163" s="4" t="n">
        <v>839</v>
      </c>
      <c r="B163" s="2" t="n">
        <v>19.6667359092797</v>
      </c>
      <c r="C163" s="5" t="n">
        <f aca="false">B163</f>
        <v>19.6667359092797</v>
      </c>
      <c r="D163" s="5" t="n">
        <f aca="false">C163*LOG(C163)</f>
        <v>25.4434912058446</v>
      </c>
      <c r="E163" s="5"/>
      <c r="F163" s="5"/>
      <c r="G163" s="4" t="n">
        <v>162</v>
      </c>
      <c r="H163" s="6" t="n">
        <v>0.838</v>
      </c>
      <c r="J163" s="2" t="n">
        <f aca="false">B163/$B$1003</f>
        <v>0.00192212720767093</v>
      </c>
      <c r="K163" s="5" t="n">
        <f aca="false">J163*LOG(J163,2)</f>
        <v>-0.0173435084623616</v>
      </c>
      <c r="N163" s="2" t="n">
        <f aca="false">1/1000*LOG(1/1000,2)</f>
        <v>-0.00996578428466209</v>
      </c>
    </row>
    <row r="164" customFormat="false" ht="13" hidden="false" customHeight="false" outlineLevel="0" collapsed="false">
      <c r="A164" s="4" t="n">
        <v>838</v>
      </c>
      <c r="B164" s="2" t="n">
        <v>19.6639303253385</v>
      </c>
      <c r="C164" s="5" t="n">
        <f aca="false">B164</f>
        <v>19.6639303253385</v>
      </c>
      <c r="D164" s="5" t="n">
        <f aca="false">C164*LOG(C164)</f>
        <v>25.4386431686085</v>
      </c>
      <c r="E164" s="5"/>
      <c r="F164" s="5"/>
      <c r="G164" s="4" t="n">
        <v>163</v>
      </c>
      <c r="H164" s="6" t="n">
        <v>0.837</v>
      </c>
      <c r="J164" s="2" t="n">
        <f aca="false">B164/$B$1003</f>
        <v>0.00192185300409939</v>
      </c>
      <c r="K164" s="5" t="n">
        <f aca="false">J164*LOG(J164,2)</f>
        <v>-0.017341429865386</v>
      </c>
      <c r="N164" s="2" t="n">
        <f aca="false">1/1000*LOG(1/1000,2)</f>
        <v>-0.00996578428466209</v>
      </c>
    </row>
    <row r="165" customFormat="false" ht="13" hidden="false" customHeight="false" outlineLevel="0" collapsed="false">
      <c r="A165" s="4" t="n">
        <v>837</v>
      </c>
      <c r="B165" s="2" t="n">
        <v>19.5937002001181</v>
      </c>
      <c r="C165" s="5" t="n">
        <f aca="false">B165</f>
        <v>19.5937002001181</v>
      </c>
      <c r="D165" s="5" t="n">
        <f aca="false">C165*LOG(C165)</f>
        <v>25.3173425153577</v>
      </c>
      <c r="E165" s="5"/>
      <c r="F165" s="5"/>
      <c r="G165" s="4" t="n">
        <v>164</v>
      </c>
      <c r="H165" s="6" t="n">
        <v>0.836</v>
      </c>
      <c r="J165" s="2" t="n">
        <f aca="false">B165/$B$1003</f>
        <v>0.00191498906719054</v>
      </c>
      <c r="K165" s="5" t="n">
        <f aca="false">J165*LOG(J165,2)</f>
        <v>-0.0172893794606121</v>
      </c>
      <c r="N165" s="2" t="n">
        <f aca="false">1/1000*LOG(1/1000,2)</f>
        <v>-0.00996578428466209</v>
      </c>
    </row>
    <row r="166" customFormat="false" ht="13" hidden="false" customHeight="false" outlineLevel="0" collapsed="false">
      <c r="A166" s="4" t="n">
        <v>836</v>
      </c>
      <c r="B166" s="2" t="n">
        <v>19.5602985285343</v>
      </c>
      <c r="C166" s="5" t="n">
        <f aca="false">B166</f>
        <v>19.5602985285343</v>
      </c>
      <c r="D166" s="5" t="n">
        <f aca="false">C166*LOG(C166)</f>
        <v>25.2596898755676</v>
      </c>
      <c r="E166" s="5"/>
      <c r="F166" s="5"/>
      <c r="G166" s="4" t="n">
        <v>165</v>
      </c>
      <c r="H166" s="6" t="n">
        <v>0.835</v>
      </c>
      <c r="J166" s="2" t="n">
        <f aca="false">B166/$B$1003</f>
        <v>0.00191172455690124</v>
      </c>
      <c r="K166" s="5" t="n">
        <f aca="false">J166*LOG(J166,2)</f>
        <v>-0.0172646116749794</v>
      </c>
      <c r="N166" s="2" t="n">
        <f aca="false">1/1000*LOG(1/1000,2)</f>
        <v>-0.00996578428466209</v>
      </c>
    </row>
    <row r="167" customFormat="false" ht="13" hidden="false" customHeight="false" outlineLevel="0" collapsed="false">
      <c r="A167" s="4" t="n">
        <v>835</v>
      </c>
      <c r="B167" s="2" t="n">
        <v>19.4770765792059</v>
      </c>
      <c r="C167" s="5" t="n">
        <f aca="false">B167</f>
        <v>19.4770765792059</v>
      </c>
      <c r="D167" s="5" t="n">
        <f aca="false">C167*LOG(C167)</f>
        <v>25.1161532541238</v>
      </c>
      <c r="E167" s="5"/>
      <c r="F167" s="5"/>
      <c r="G167" s="4" t="n">
        <v>166</v>
      </c>
      <c r="H167" s="6" t="n">
        <v>0.834</v>
      </c>
      <c r="J167" s="2" t="n">
        <f aca="false">B167/$B$1003</f>
        <v>0.00190359086487337</v>
      </c>
      <c r="K167" s="5" t="n">
        <f aca="false">J167*LOG(J167,2)</f>
        <v>-0.0172028664762654</v>
      </c>
      <c r="N167" s="2" t="n">
        <f aca="false">1/1000*LOG(1/1000,2)</f>
        <v>-0.00996578428466209</v>
      </c>
    </row>
    <row r="168" customFormat="false" ht="13" hidden="false" customHeight="false" outlineLevel="0" collapsed="false">
      <c r="A168" s="4" t="n">
        <v>834</v>
      </c>
      <c r="B168" s="2" t="n">
        <v>19.4713942552033</v>
      </c>
      <c r="C168" s="5" t="n">
        <f aca="false">B168</f>
        <v>19.4713942552033</v>
      </c>
      <c r="D168" s="5" t="n">
        <f aca="false">C168*LOG(C168)</f>
        <v>25.1063583203032</v>
      </c>
      <c r="E168" s="5"/>
      <c r="F168" s="5"/>
      <c r="G168" s="4" t="n">
        <v>167</v>
      </c>
      <c r="H168" s="6" t="n">
        <v>0.833</v>
      </c>
      <c r="J168" s="2" t="n">
        <f aca="false">B168/$B$1003</f>
        <v>0.00190303550329132</v>
      </c>
      <c r="K168" s="5" t="n">
        <f aca="false">J168*LOG(J168,2)</f>
        <v>-0.0171986487403694</v>
      </c>
      <c r="N168" s="2" t="n">
        <f aca="false">1/1000*LOG(1/1000,2)</f>
        <v>-0.00996578428466209</v>
      </c>
    </row>
    <row r="169" customFormat="false" ht="13" hidden="false" customHeight="false" outlineLevel="0" collapsed="false">
      <c r="A169" s="4" t="n">
        <v>833</v>
      </c>
      <c r="B169" s="2" t="n">
        <v>19.4699499040933</v>
      </c>
      <c r="C169" s="5" t="n">
        <f aca="false">B169</f>
        <v>19.4699499040933</v>
      </c>
      <c r="D169" s="5" t="n">
        <f aca="false">C169*LOG(C169)</f>
        <v>25.1038687277907</v>
      </c>
      <c r="E169" s="5"/>
      <c r="F169" s="5"/>
      <c r="G169" s="4" t="n">
        <v>168</v>
      </c>
      <c r="H169" s="6" t="n">
        <v>0.832</v>
      </c>
      <c r="J169" s="2" t="n">
        <f aca="false">B169/$B$1003</f>
        <v>0.00190289433972566</v>
      </c>
      <c r="K169" s="5" t="n">
        <f aca="false">J169*LOG(J169,2)</f>
        <v>-0.0171975766256353</v>
      </c>
      <c r="N169" s="2" t="n">
        <f aca="false">1/1000*LOG(1/1000,2)</f>
        <v>-0.00996578428466209</v>
      </c>
    </row>
    <row r="170" customFormat="false" ht="13" hidden="false" customHeight="false" outlineLevel="0" collapsed="false">
      <c r="A170" s="4" t="n">
        <v>832</v>
      </c>
      <c r="B170" s="2" t="n">
        <v>19.4281551049046</v>
      </c>
      <c r="C170" s="5" t="n">
        <f aca="false">B170</f>
        <v>19.4281551049046</v>
      </c>
      <c r="D170" s="5" t="n">
        <f aca="false">C170*LOG(C170)</f>
        <v>25.0318482287836</v>
      </c>
      <c r="E170" s="5"/>
      <c r="F170" s="5"/>
      <c r="G170" s="4" t="n">
        <v>169</v>
      </c>
      <c r="H170" s="6" t="n">
        <v>0.831</v>
      </c>
      <c r="J170" s="2" t="n">
        <f aca="false">B170/$B$1003</f>
        <v>0.00189880952763329</v>
      </c>
      <c r="K170" s="5" t="n">
        <f aca="false">J170*LOG(J170,2)</f>
        <v>-0.0171665465819258</v>
      </c>
      <c r="N170" s="2" t="n">
        <f aca="false">1/1000*LOG(1/1000,2)</f>
        <v>-0.00996578428466209</v>
      </c>
    </row>
    <row r="171" customFormat="false" ht="13" hidden="false" customHeight="false" outlineLevel="0" collapsed="false">
      <c r="A171" s="4" t="n">
        <v>831</v>
      </c>
      <c r="B171" s="2" t="n">
        <v>19.4189454777654</v>
      </c>
      <c r="C171" s="5" t="n">
        <f aca="false">B171</f>
        <v>19.4189454777654</v>
      </c>
      <c r="D171" s="5" t="n">
        <f aca="false">C171*LOG(C171)</f>
        <v>25.0159835124028</v>
      </c>
      <c r="E171" s="5"/>
      <c r="F171" s="5"/>
      <c r="G171" s="4" t="n">
        <v>170</v>
      </c>
      <c r="H171" s="6" t="n">
        <v>0.83</v>
      </c>
      <c r="J171" s="2" t="n">
        <f aca="false">B171/$B$1003</f>
        <v>0.00189790942529915</v>
      </c>
      <c r="K171" s="5" t="n">
        <f aca="false">J171*LOG(J171,2)</f>
        <v>-0.0171597073019135</v>
      </c>
      <c r="N171" s="2" t="n">
        <f aca="false">1/1000*LOG(1/1000,2)</f>
        <v>-0.00996578428466209</v>
      </c>
    </row>
    <row r="172" customFormat="false" ht="13" hidden="false" customHeight="false" outlineLevel="0" collapsed="false">
      <c r="A172" s="4" t="n">
        <v>830</v>
      </c>
      <c r="B172" s="2" t="n">
        <v>19.4142108539824</v>
      </c>
      <c r="C172" s="5" t="n">
        <f aca="false">B172</f>
        <v>19.4142108539824</v>
      </c>
      <c r="D172" s="5" t="n">
        <f aca="false">C172*LOG(C172)</f>
        <v>25.0078282783443</v>
      </c>
      <c r="E172" s="5"/>
      <c r="F172" s="5"/>
      <c r="G172" s="4" t="n">
        <v>171</v>
      </c>
      <c r="H172" s="6" t="n">
        <v>0.829</v>
      </c>
      <c r="J172" s="2" t="n">
        <f aca="false">B172/$B$1003</f>
        <v>0.00189744668713897</v>
      </c>
      <c r="K172" s="5" t="n">
        <f aca="false">J172*LOG(J172,2)</f>
        <v>-0.0171561910221989</v>
      </c>
      <c r="N172" s="2" t="n">
        <f aca="false">1/1000*LOG(1/1000,2)</f>
        <v>-0.00996578428466209</v>
      </c>
    </row>
    <row r="173" customFormat="false" ht="13" hidden="false" customHeight="false" outlineLevel="0" collapsed="false">
      <c r="A173" s="4" t="n">
        <v>829</v>
      </c>
      <c r="B173" s="2" t="n">
        <v>19.3745997422952</v>
      </c>
      <c r="C173" s="5" t="n">
        <f aca="false">B173</f>
        <v>19.3745997422952</v>
      </c>
      <c r="D173" s="5" t="n">
        <f aca="false">C173*LOG(C173)</f>
        <v>24.9396190977507</v>
      </c>
      <c r="E173" s="5"/>
      <c r="F173" s="5"/>
      <c r="G173" s="4" t="n">
        <v>172</v>
      </c>
      <c r="H173" s="6" t="n">
        <v>0.828</v>
      </c>
      <c r="J173" s="2" t="n">
        <f aca="false">B173/$B$1003</f>
        <v>0.00189357529760839</v>
      </c>
      <c r="K173" s="5" t="n">
        <f aca="false">J173*LOG(J173,2)</f>
        <v>-0.017126766515729</v>
      </c>
      <c r="N173" s="2" t="n">
        <f aca="false">1/1000*LOG(1/1000,2)</f>
        <v>-0.00996578428466209</v>
      </c>
    </row>
    <row r="174" customFormat="false" ht="13" hidden="false" customHeight="false" outlineLevel="0" collapsed="false">
      <c r="A174" s="4" t="n">
        <v>828</v>
      </c>
      <c r="B174" s="2" t="n">
        <v>19.3201909033301</v>
      </c>
      <c r="C174" s="5" t="n">
        <f aca="false">B174</f>
        <v>19.3201909033301</v>
      </c>
      <c r="D174" s="5" t="n">
        <f aca="false">C174*LOG(C174)</f>
        <v>24.84598601029</v>
      </c>
      <c r="E174" s="5"/>
      <c r="F174" s="5"/>
      <c r="G174" s="4" t="n">
        <v>173</v>
      </c>
      <c r="H174" s="6" t="n">
        <v>0.827</v>
      </c>
      <c r="J174" s="2" t="n">
        <f aca="false">B174/$B$1003</f>
        <v>0.00188825765312507</v>
      </c>
      <c r="K174" s="5" t="n">
        <f aca="false">J174*LOG(J174,2)</f>
        <v>-0.0170863311253793</v>
      </c>
      <c r="N174" s="2" t="n">
        <f aca="false">1/1000*LOG(1/1000,2)</f>
        <v>-0.00996578428466209</v>
      </c>
    </row>
    <row r="175" customFormat="false" ht="13" hidden="false" customHeight="false" outlineLevel="0" collapsed="false">
      <c r="A175" s="4" t="n">
        <v>827</v>
      </c>
      <c r="B175" s="2" t="n">
        <v>19.276810618097</v>
      </c>
      <c r="C175" s="5" t="n">
        <f aca="false">B175</f>
        <v>19.276810618097</v>
      </c>
      <c r="D175" s="5" t="n">
        <f aca="false">C175*LOG(C175)</f>
        <v>24.7713798165569</v>
      </c>
      <c r="E175" s="5"/>
      <c r="F175" s="5"/>
      <c r="G175" s="4" t="n">
        <v>174</v>
      </c>
      <c r="H175" s="6" t="n">
        <v>0.826</v>
      </c>
      <c r="J175" s="2" t="n">
        <f aca="false">B175/$B$1003</f>
        <v>0.00188401788365302</v>
      </c>
      <c r="K175" s="5" t="n">
        <f aca="false">J175*LOG(J175,2)</f>
        <v>-0.0170540764241209</v>
      </c>
      <c r="N175" s="2" t="n">
        <f aca="false">1/1000*LOG(1/1000,2)</f>
        <v>-0.00996578428466209</v>
      </c>
    </row>
    <row r="176" customFormat="false" ht="13" hidden="false" customHeight="false" outlineLevel="0" collapsed="false">
      <c r="A176" s="4" t="n">
        <v>826</v>
      </c>
      <c r="B176" s="2" t="n">
        <v>19.2689472794512</v>
      </c>
      <c r="C176" s="5" t="n">
        <f aca="false">B176</f>
        <v>19.2689472794512</v>
      </c>
      <c r="D176" s="5" t="n">
        <f aca="false">C176*LOG(C176)</f>
        <v>24.7578608417898</v>
      </c>
      <c r="E176" s="5"/>
      <c r="F176" s="5"/>
      <c r="G176" s="4" t="n">
        <v>175</v>
      </c>
      <c r="H176" s="6" t="n">
        <v>0.825</v>
      </c>
      <c r="J176" s="2" t="n">
        <f aca="false">B176/$B$1003</f>
        <v>0.00188324936074084</v>
      </c>
      <c r="K176" s="5" t="n">
        <f aca="false">J176*LOG(J176,2)</f>
        <v>-0.0170482282945522</v>
      </c>
      <c r="N176" s="2" t="n">
        <f aca="false">1/1000*LOG(1/1000,2)</f>
        <v>-0.00996578428466209</v>
      </c>
    </row>
    <row r="177" customFormat="false" ht="13" hidden="false" customHeight="false" outlineLevel="0" collapsed="false">
      <c r="A177" s="4" t="n">
        <v>825</v>
      </c>
      <c r="B177" s="2" t="n">
        <v>19.2017189280036</v>
      </c>
      <c r="C177" s="5" t="n">
        <f aca="false">B177</f>
        <v>19.2017189280036</v>
      </c>
      <c r="D177" s="5" t="n">
        <f aca="false">C177*LOG(C177)</f>
        <v>24.6423360478901</v>
      </c>
      <c r="E177" s="5"/>
      <c r="F177" s="5"/>
      <c r="G177" s="4" t="n">
        <v>176</v>
      </c>
      <c r="H177" s="6" t="n">
        <v>0.824</v>
      </c>
      <c r="J177" s="2" t="n">
        <f aca="false">B177/$B$1003</f>
        <v>0.00187667880200449</v>
      </c>
      <c r="K177" s="5" t="n">
        <f aca="false">J177*LOG(J177,2)</f>
        <v>-0.0169982106725741</v>
      </c>
      <c r="N177" s="2" t="n">
        <f aca="false">1/1000*LOG(1/1000,2)</f>
        <v>-0.00996578428466209</v>
      </c>
    </row>
    <row r="178" customFormat="false" ht="13" hidden="false" customHeight="false" outlineLevel="0" collapsed="false">
      <c r="A178" s="4" t="n">
        <v>824</v>
      </c>
      <c r="B178" s="2" t="n">
        <v>19.1916120764181</v>
      </c>
      <c r="C178" s="5" t="n">
        <f aca="false">B178</f>
        <v>19.1916120764181</v>
      </c>
      <c r="D178" s="5" t="n">
        <f aca="false">C178*LOG(C178)</f>
        <v>24.6249773253821</v>
      </c>
      <c r="E178" s="5"/>
      <c r="F178" s="5"/>
      <c r="G178" s="4" t="n">
        <v>177</v>
      </c>
      <c r="H178" s="6" t="n">
        <v>0.823</v>
      </c>
      <c r="J178" s="2" t="n">
        <f aca="false">B178/$B$1003</f>
        <v>0.00187569100949504</v>
      </c>
      <c r="K178" s="5" t="n">
        <f aca="false">J178*LOG(J178,2)</f>
        <v>-0.0169906883488791</v>
      </c>
      <c r="N178" s="2" t="n">
        <f aca="false">1/1000*LOG(1/1000,2)</f>
        <v>-0.00996578428466209</v>
      </c>
    </row>
    <row r="179" customFormat="false" ht="13" hidden="false" customHeight="false" outlineLevel="0" collapsed="false">
      <c r="A179" s="4" t="n">
        <v>823</v>
      </c>
      <c r="B179" s="2" t="n">
        <v>19.1446699202096</v>
      </c>
      <c r="C179" s="5" t="n">
        <f aca="false">B179</f>
        <v>19.1446699202096</v>
      </c>
      <c r="D179" s="5" t="n">
        <f aca="false">C179*LOG(C179)</f>
        <v>24.5443835405757</v>
      </c>
      <c r="E179" s="5"/>
      <c r="F179" s="5"/>
      <c r="G179" s="4" t="n">
        <v>178</v>
      </c>
      <c r="H179" s="6" t="n">
        <v>0.822</v>
      </c>
      <c r="J179" s="2" t="n">
        <f aca="false">B179/$B$1003</f>
        <v>0.00187110312078533</v>
      </c>
      <c r="K179" s="5" t="n">
        <f aca="false">J179*LOG(J179,2)</f>
        <v>-0.0169557404145071</v>
      </c>
      <c r="N179" s="2" t="n">
        <f aca="false">1/1000*LOG(1/1000,2)</f>
        <v>-0.00996578428466209</v>
      </c>
    </row>
    <row r="180" customFormat="false" ht="13" hidden="false" customHeight="false" outlineLevel="0" collapsed="false">
      <c r="A180" s="4" t="n">
        <v>822</v>
      </c>
      <c r="B180" s="2" t="n">
        <v>19.1215611555731</v>
      </c>
      <c r="C180" s="5" t="n">
        <f aca="false">B180</f>
        <v>19.1215611555731</v>
      </c>
      <c r="D180" s="5" t="n">
        <f aca="false">C180*LOG(C180)</f>
        <v>24.504727048302</v>
      </c>
      <c r="E180" s="5"/>
      <c r="F180" s="5"/>
      <c r="G180" s="4" t="n">
        <v>179</v>
      </c>
      <c r="H180" s="6" t="n">
        <v>0.821</v>
      </c>
      <c r="J180" s="2" t="n">
        <f aca="false">B180/$B$1003</f>
        <v>0.00186884458711465</v>
      </c>
      <c r="K180" s="5" t="n">
        <f aca="false">J180*LOG(J180,2)</f>
        <v>-0.0169385302270543</v>
      </c>
      <c r="N180" s="2" t="n">
        <f aca="false">1/1000*LOG(1/1000,2)</f>
        <v>-0.00996578428466209</v>
      </c>
    </row>
    <row r="181" customFormat="false" ht="13" hidden="false" customHeight="false" outlineLevel="0" collapsed="false">
      <c r="A181" s="4" t="n">
        <v>821</v>
      </c>
      <c r="B181" s="2" t="n">
        <v>19.0833558079623</v>
      </c>
      <c r="C181" s="5" t="n">
        <f aca="false">B181</f>
        <v>19.0833558079623</v>
      </c>
      <c r="D181" s="5" t="n">
        <f aca="false">C181*LOG(C181)</f>
        <v>24.4391902187526</v>
      </c>
      <c r="E181" s="5"/>
      <c r="F181" s="5"/>
      <c r="G181" s="4" t="n">
        <v>180</v>
      </c>
      <c r="H181" s="6" t="n">
        <v>0.82</v>
      </c>
      <c r="J181" s="2" t="n">
        <f aca="false">B181/$B$1003</f>
        <v>0.0018651105898484</v>
      </c>
      <c r="K181" s="5" t="n">
        <f aca="false">J181*LOG(J181,2)</f>
        <v>-0.0169100682627691</v>
      </c>
      <c r="N181" s="2" t="n">
        <f aca="false">1/1000*LOG(1/1000,2)</f>
        <v>-0.00996578428466209</v>
      </c>
    </row>
    <row r="182" customFormat="false" ht="13" hidden="false" customHeight="false" outlineLevel="0" collapsed="false">
      <c r="A182" s="4" t="n">
        <v>820</v>
      </c>
      <c r="B182" s="2" t="n">
        <v>19.0740434066479</v>
      </c>
      <c r="C182" s="5" t="n">
        <f aca="false">B182</f>
        <v>19.0740434066479</v>
      </c>
      <c r="D182" s="5" t="n">
        <f aca="false">C182*LOG(C182)</f>
        <v>24.4232209102385</v>
      </c>
      <c r="E182" s="5"/>
      <c r="F182" s="5"/>
      <c r="G182" s="4" t="n">
        <v>181</v>
      </c>
      <c r="H182" s="6" t="n">
        <v>0.819</v>
      </c>
      <c r="J182" s="2" t="n">
        <f aca="false">B182/$B$1003</f>
        <v>0.00186420044288666</v>
      </c>
      <c r="K182" s="5" t="n">
        <f aca="false">J182*LOG(J182,2)</f>
        <v>-0.0169031291383861</v>
      </c>
      <c r="N182" s="2" t="n">
        <f aca="false">1/1000*LOG(1/1000,2)</f>
        <v>-0.00996578428466209</v>
      </c>
    </row>
    <row r="183" customFormat="false" ht="13" hidden="false" customHeight="false" outlineLevel="0" collapsed="false">
      <c r="A183" s="4" t="n">
        <v>819</v>
      </c>
      <c r="B183" s="2" t="n">
        <v>19.0451378785177</v>
      </c>
      <c r="C183" s="5" t="n">
        <f aca="false">B183</f>
        <v>19.0451378785177</v>
      </c>
      <c r="D183" s="5" t="n">
        <f aca="false">C183*LOG(C183)</f>
        <v>24.3736650413075</v>
      </c>
      <c r="E183" s="5"/>
      <c r="F183" s="5"/>
      <c r="G183" s="4" t="n">
        <v>182</v>
      </c>
      <c r="H183" s="6" t="n">
        <v>0.818</v>
      </c>
      <c r="J183" s="2" t="n">
        <f aca="false">B183/$B$1003</f>
        <v>0.00186137536289741</v>
      </c>
      <c r="K183" s="5" t="n">
        <f aca="false">J183*LOG(J183,2)</f>
        <v>-0.0168815861350706</v>
      </c>
      <c r="N183" s="2" t="n">
        <f aca="false">1/1000*LOG(1/1000,2)</f>
        <v>-0.00996578428466209</v>
      </c>
    </row>
    <row r="184" customFormat="false" ht="13" hidden="false" customHeight="false" outlineLevel="0" collapsed="false">
      <c r="A184" s="4" t="n">
        <v>818</v>
      </c>
      <c r="B184" s="2" t="n">
        <v>19.0055238092335</v>
      </c>
      <c r="C184" s="5" t="n">
        <f aca="false">B184</f>
        <v>19.0055238092335</v>
      </c>
      <c r="D184" s="5" t="n">
        <f aca="false">C184*LOG(C184)</f>
        <v>24.3057813176085</v>
      </c>
      <c r="E184" s="5"/>
      <c r="F184" s="5"/>
      <c r="G184" s="4" t="n">
        <v>183</v>
      </c>
      <c r="H184" s="6" t="n">
        <v>0.817</v>
      </c>
      <c r="J184" s="2" t="n">
        <f aca="false">B184/$B$1003</f>
        <v>0.00185750368430627</v>
      </c>
      <c r="K184" s="5" t="n">
        <f aca="false">J184*LOG(J184,2)</f>
        <v>-0.0168520521125118</v>
      </c>
      <c r="N184" s="2" t="n">
        <f aca="false">1/1000*LOG(1/1000,2)</f>
        <v>-0.00996578428466209</v>
      </c>
    </row>
    <row r="185" customFormat="false" ht="13" hidden="false" customHeight="false" outlineLevel="0" collapsed="false">
      <c r="A185" s="4" t="n">
        <v>817</v>
      </c>
      <c r="B185" s="2" t="n">
        <v>19.0018664132136</v>
      </c>
      <c r="C185" s="5" t="n">
        <f aca="false">B185</f>
        <v>19.0018664132136</v>
      </c>
      <c r="D185" s="5" t="n">
        <f aca="false">C185*LOG(C185)</f>
        <v>24.2995157134921</v>
      </c>
      <c r="E185" s="5"/>
      <c r="F185" s="5"/>
      <c r="G185" s="4" t="n">
        <v>184</v>
      </c>
      <c r="H185" s="6" t="n">
        <v>0.816</v>
      </c>
      <c r="J185" s="2" t="n">
        <f aca="false">B185/$B$1003</f>
        <v>0.00185714622893434</v>
      </c>
      <c r="K185" s="5" t="n">
        <f aca="false">J185*LOG(J185,2)</f>
        <v>-0.016849324776997</v>
      </c>
      <c r="N185" s="2" t="n">
        <f aca="false">1/1000*LOG(1/1000,2)</f>
        <v>-0.00996578428466209</v>
      </c>
    </row>
    <row r="186" customFormat="false" ht="13" hidden="false" customHeight="false" outlineLevel="0" collapsed="false">
      <c r="A186" s="4" t="n">
        <v>816</v>
      </c>
      <c r="B186" s="2" t="n">
        <v>18.9916686009975</v>
      </c>
      <c r="C186" s="5" t="n">
        <f aca="false">B186</f>
        <v>18.9916686009975</v>
      </c>
      <c r="D186" s="5" t="n">
        <f aca="false">C186*LOG(C186)</f>
        <v>24.2820471244294</v>
      </c>
      <c r="E186" s="5"/>
      <c r="F186" s="5"/>
      <c r="G186" s="4" t="n">
        <v>185</v>
      </c>
      <c r="H186" s="6" t="n">
        <v>0.815</v>
      </c>
      <c r="J186" s="2" t="n">
        <f aca="false">B186/$B$1003</f>
        <v>0.00185614954639333</v>
      </c>
      <c r="K186" s="5" t="n">
        <f aca="false">J186*LOG(J186,2)</f>
        <v>-0.0168417197014734</v>
      </c>
      <c r="N186" s="2" t="n">
        <f aca="false">1/1000*LOG(1/1000,2)</f>
        <v>-0.00996578428466209</v>
      </c>
    </row>
    <row r="187" customFormat="false" ht="13" hidden="false" customHeight="false" outlineLevel="0" collapsed="false">
      <c r="A187" s="4" t="n">
        <v>815</v>
      </c>
      <c r="B187" s="2" t="n">
        <v>18.9880633022144</v>
      </c>
      <c r="C187" s="5" t="n">
        <f aca="false">B187</f>
        <v>18.9880633022144</v>
      </c>
      <c r="D187" s="5" t="n">
        <f aca="false">C187*LOG(C187)</f>
        <v>24.2758719096177</v>
      </c>
      <c r="E187" s="5"/>
      <c r="F187" s="5"/>
      <c r="G187" s="4" t="n">
        <v>186</v>
      </c>
      <c r="H187" s="6" t="n">
        <v>0.814</v>
      </c>
      <c r="J187" s="2" t="n">
        <f aca="false">B187/$B$1003</f>
        <v>0.0018557971827416</v>
      </c>
      <c r="K187" s="5" t="n">
        <f aca="false">J187*LOG(J187,2)</f>
        <v>-0.0168390308450182</v>
      </c>
      <c r="N187" s="2" t="n">
        <f aca="false">1/1000*LOG(1/1000,2)</f>
        <v>-0.00996578428466209</v>
      </c>
    </row>
    <row r="188" customFormat="false" ht="13" hidden="false" customHeight="false" outlineLevel="0" collapsed="false">
      <c r="A188" s="4" t="n">
        <v>814</v>
      </c>
      <c r="B188" s="2" t="n">
        <v>18.9764466877874</v>
      </c>
      <c r="C188" s="5" t="n">
        <f aca="false">B188</f>
        <v>18.9764466877874</v>
      </c>
      <c r="D188" s="5" t="n">
        <f aca="false">C188*LOG(C188)</f>
        <v>24.2559768046199</v>
      </c>
      <c r="E188" s="5"/>
      <c r="F188" s="5"/>
      <c r="G188" s="4" t="n">
        <v>187</v>
      </c>
      <c r="H188" s="6" t="n">
        <v>0.813</v>
      </c>
      <c r="J188" s="2" t="n">
        <f aca="false">B188/$B$1003</f>
        <v>0.00185466183365499</v>
      </c>
      <c r="K188" s="5" t="n">
        <f aca="false">J188*LOG(J188,2)</f>
        <v>-0.0168303664380071</v>
      </c>
      <c r="N188" s="2" t="n">
        <f aca="false">1/1000*LOG(1/1000,2)</f>
        <v>-0.00996578428466209</v>
      </c>
    </row>
    <row r="189" customFormat="false" ht="13" hidden="false" customHeight="false" outlineLevel="0" collapsed="false">
      <c r="A189" s="4" t="n">
        <v>813</v>
      </c>
      <c r="B189" s="2" t="n">
        <v>18.9747503231597</v>
      </c>
      <c r="C189" s="5" t="n">
        <f aca="false">B189</f>
        <v>18.9747503231597</v>
      </c>
      <c r="D189" s="5" t="n">
        <f aca="false">C189*LOG(C189)</f>
        <v>24.2530717972187</v>
      </c>
      <c r="E189" s="5"/>
      <c r="F189" s="5"/>
      <c r="G189" s="4" t="n">
        <v>188</v>
      </c>
      <c r="H189" s="6" t="n">
        <v>0.812</v>
      </c>
      <c r="J189" s="2" t="n">
        <f aca="false">B189/$B$1003</f>
        <v>0.00185449603956388</v>
      </c>
      <c r="K189" s="5" t="n">
        <f aca="false">J189*LOG(J189,2)</f>
        <v>-0.0168291010979067</v>
      </c>
      <c r="N189" s="2" t="n">
        <f aca="false">1/1000*LOG(1/1000,2)</f>
        <v>-0.00996578428466209</v>
      </c>
    </row>
    <row r="190" customFormat="false" ht="13" hidden="false" customHeight="false" outlineLevel="0" collapsed="false">
      <c r="A190" s="4" t="n">
        <v>812</v>
      </c>
      <c r="B190" s="2" t="n">
        <v>18.9719898383637</v>
      </c>
      <c r="C190" s="5" t="n">
        <f aca="false">B190</f>
        <v>18.9719898383637</v>
      </c>
      <c r="D190" s="5" t="n">
        <f aca="false">C190*LOG(C190)</f>
        <v>24.2483446355074</v>
      </c>
      <c r="E190" s="5"/>
      <c r="F190" s="5"/>
      <c r="G190" s="4" t="n">
        <v>189</v>
      </c>
      <c r="H190" s="6" t="n">
        <v>0.811</v>
      </c>
      <c r="J190" s="2" t="n">
        <f aca="false">B190/$B$1003</f>
        <v>0.00185422624375449</v>
      </c>
      <c r="K190" s="5" t="n">
        <f aca="false">J190*LOG(J190,2)</f>
        <v>-0.0168270419712322</v>
      </c>
      <c r="N190" s="2" t="n">
        <f aca="false">1/1000*LOG(1/1000,2)</f>
        <v>-0.00996578428466209</v>
      </c>
    </row>
    <row r="191" customFormat="false" ht="13" hidden="false" customHeight="false" outlineLevel="0" collapsed="false">
      <c r="A191" s="4" t="n">
        <v>811</v>
      </c>
      <c r="B191" s="2" t="n">
        <v>18.942055368056</v>
      </c>
      <c r="C191" s="5" t="n">
        <f aca="false">B191</f>
        <v>18.942055368056</v>
      </c>
      <c r="D191" s="5" t="n">
        <f aca="false">C191*LOG(C191)</f>
        <v>24.1970948896307</v>
      </c>
      <c r="E191" s="5"/>
      <c r="F191" s="5"/>
      <c r="G191" s="4" t="n">
        <v>190</v>
      </c>
      <c r="H191" s="6" t="n">
        <v>0.81</v>
      </c>
      <c r="J191" s="2" t="n">
        <f aca="false">B191/$B$1003</f>
        <v>0.00185130060016569</v>
      </c>
      <c r="K191" s="5" t="n">
        <f aca="false">J191*LOG(J191,2)</f>
        <v>-0.0168047093321066</v>
      </c>
      <c r="N191" s="2" t="n">
        <f aca="false">1/1000*LOG(1/1000,2)</f>
        <v>-0.00996578428466209</v>
      </c>
    </row>
    <row r="192" customFormat="false" ht="13" hidden="false" customHeight="false" outlineLevel="0" collapsed="false">
      <c r="A192" s="4" t="n">
        <v>810</v>
      </c>
      <c r="B192" s="2" t="n">
        <v>18.9111856171965</v>
      </c>
      <c r="C192" s="5" t="n">
        <f aca="false">B192</f>
        <v>18.9111856171965</v>
      </c>
      <c r="D192" s="5" t="n">
        <f aca="false">C192*LOG(C192)</f>
        <v>24.1442654010384</v>
      </c>
      <c r="E192" s="5"/>
      <c r="F192" s="5"/>
      <c r="G192" s="4" t="n">
        <v>191</v>
      </c>
      <c r="H192" s="6" t="n">
        <v>0.809</v>
      </c>
      <c r="J192" s="2" t="n">
        <f aca="false">B192/$B$1003</f>
        <v>0.00184828354699048</v>
      </c>
      <c r="K192" s="5" t="n">
        <f aca="false">J192*LOG(J192,2)</f>
        <v>-0.0167816719398571</v>
      </c>
      <c r="N192" s="2" t="n">
        <f aca="false">1/1000*LOG(1/1000,2)</f>
        <v>-0.00996578428466209</v>
      </c>
    </row>
    <row r="193" customFormat="false" ht="13" hidden="false" customHeight="false" outlineLevel="0" collapsed="false">
      <c r="A193" s="4" t="n">
        <v>809</v>
      </c>
      <c r="B193" s="2" t="n">
        <v>18.9020689121347</v>
      </c>
      <c r="C193" s="5" t="n">
        <f aca="false">B193</f>
        <v>18.9020689121347</v>
      </c>
      <c r="D193" s="5" t="n">
        <f aca="false">C193*LOG(C193)</f>
        <v>24.128667552491</v>
      </c>
      <c r="E193" s="5"/>
      <c r="F193" s="5"/>
      <c r="G193" s="4" t="n">
        <v>192</v>
      </c>
      <c r="H193" s="6" t="n">
        <v>0.808</v>
      </c>
      <c r="J193" s="2" t="n">
        <f aca="false">B193/$B$1003</f>
        <v>0.00184739252638979</v>
      </c>
      <c r="K193" s="5" t="n">
        <f aca="false">J193*LOG(J193,2)</f>
        <v>-0.0167748669919299</v>
      </c>
      <c r="N193" s="2" t="n">
        <f aca="false">1/1000*LOG(1/1000,2)</f>
        <v>-0.00996578428466209</v>
      </c>
    </row>
    <row r="194" customFormat="false" ht="13" hidden="false" customHeight="false" outlineLevel="0" collapsed="false">
      <c r="A194" s="4" t="n">
        <v>808</v>
      </c>
      <c r="B194" s="2" t="n">
        <v>18.8849791758632</v>
      </c>
      <c r="C194" s="5" t="n">
        <f aca="false">B194</f>
        <v>18.8849791758632</v>
      </c>
      <c r="D194" s="5" t="n">
        <f aca="false">C194*LOG(C194)</f>
        <v>24.0994337225161</v>
      </c>
      <c r="E194" s="5"/>
      <c r="F194" s="5"/>
      <c r="G194" s="4" t="n">
        <v>193</v>
      </c>
      <c r="H194" s="6" t="n">
        <v>0.807</v>
      </c>
      <c r="J194" s="2" t="n">
        <f aca="false">B194/$B$1003</f>
        <v>0.00184572226208101</v>
      </c>
      <c r="K194" s="5" t="n">
        <f aca="false">J194*LOG(J194,2)</f>
        <v>-0.0167621090935888</v>
      </c>
      <c r="N194" s="2" t="n">
        <f aca="false">1/1000*LOG(1/1000,2)</f>
        <v>-0.00996578428466209</v>
      </c>
    </row>
    <row r="195" customFormat="false" ht="13" hidden="false" customHeight="false" outlineLevel="0" collapsed="false">
      <c r="A195" s="4" t="n">
        <v>807</v>
      </c>
      <c r="B195" s="2" t="n">
        <v>18.8549870236079</v>
      </c>
      <c r="C195" s="5" t="n">
        <f aca="false">B195</f>
        <v>18.8549870236079</v>
      </c>
      <c r="D195" s="5" t="n">
        <f aca="false">C195*LOG(C195)</f>
        <v>24.0481451642553</v>
      </c>
      <c r="E195" s="5"/>
      <c r="F195" s="5"/>
      <c r="G195" s="4" t="n">
        <v>194</v>
      </c>
      <c r="H195" s="6" t="n">
        <v>0.806</v>
      </c>
      <c r="J195" s="2" t="n">
        <f aca="false">B195/$B$1003</f>
        <v>0.00184279098095066</v>
      </c>
      <c r="K195" s="5" t="n">
        <f aca="false">J195*LOG(J195,2)</f>
        <v>-0.0167397139592469</v>
      </c>
      <c r="N195" s="2" t="n">
        <f aca="false">1/1000*LOG(1/1000,2)</f>
        <v>-0.00996578428466209</v>
      </c>
    </row>
    <row r="196" customFormat="false" ht="13" hidden="false" customHeight="false" outlineLevel="0" collapsed="false">
      <c r="A196" s="4" t="n">
        <v>806</v>
      </c>
      <c r="B196" s="2" t="n">
        <v>18.8517063209788</v>
      </c>
      <c r="C196" s="5" t="n">
        <f aca="false">B196</f>
        <v>18.8517063209788</v>
      </c>
      <c r="D196" s="5" t="n">
        <f aca="false">C196*LOG(C196)</f>
        <v>24.0425362029564</v>
      </c>
      <c r="E196" s="5"/>
      <c r="F196" s="5"/>
      <c r="G196" s="4" t="n">
        <v>195</v>
      </c>
      <c r="H196" s="6" t="n">
        <v>0.805</v>
      </c>
      <c r="J196" s="2" t="n">
        <f aca="false">B196/$B$1003</f>
        <v>0.00184247034168379</v>
      </c>
      <c r="K196" s="5" t="n">
        <f aca="false">J196*LOG(J196,2)</f>
        <v>-0.01673726385126</v>
      </c>
      <c r="N196" s="2" t="n">
        <f aca="false">1/1000*LOG(1/1000,2)</f>
        <v>-0.00996578428466209</v>
      </c>
    </row>
    <row r="197" customFormat="false" ht="13" hidden="false" customHeight="false" outlineLevel="0" collapsed="false">
      <c r="A197" s="4" t="n">
        <v>805</v>
      </c>
      <c r="B197" s="2" t="n">
        <v>18.8247829585777</v>
      </c>
      <c r="C197" s="5" t="n">
        <f aca="false">B197</f>
        <v>18.8247829585777</v>
      </c>
      <c r="D197" s="5" t="n">
        <f aca="false">C197*LOG(C197)</f>
        <v>23.9965151605864</v>
      </c>
      <c r="E197" s="5"/>
      <c r="F197" s="5"/>
      <c r="G197" s="4" t="n">
        <v>196</v>
      </c>
      <c r="H197" s="6" t="n">
        <v>0.804</v>
      </c>
      <c r="J197" s="2" t="n">
        <f aca="false">B197/$B$1003</f>
        <v>0.00183983898853846</v>
      </c>
      <c r="K197" s="5" t="n">
        <f aca="false">J197*LOG(J197,2)</f>
        <v>-0.0167171537913103</v>
      </c>
      <c r="N197" s="2" t="n">
        <f aca="false">1/1000*LOG(1/1000,2)</f>
        <v>-0.00996578428466209</v>
      </c>
    </row>
    <row r="198" customFormat="false" ht="13" hidden="false" customHeight="false" outlineLevel="0" collapsed="false">
      <c r="A198" s="4" t="n">
        <v>804</v>
      </c>
      <c r="B198" s="2" t="n">
        <v>18.816816644693</v>
      </c>
      <c r="C198" s="5" t="n">
        <f aca="false">B198</f>
        <v>18.816816644693</v>
      </c>
      <c r="D198" s="5" t="n">
        <f aca="false">C198*LOG(C198)</f>
        <v>23.9829012674553</v>
      </c>
      <c r="E198" s="5"/>
      <c r="F198" s="5"/>
      <c r="G198" s="4" t="n">
        <v>197</v>
      </c>
      <c r="H198" s="6" t="n">
        <v>0.803</v>
      </c>
      <c r="J198" s="2" t="n">
        <f aca="false">B198/$B$1003</f>
        <v>0.00183906040134772</v>
      </c>
      <c r="K198" s="5" t="n">
        <f aca="false">J198*LOG(J198,2)</f>
        <v>-0.0167112024148377</v>
      </c>
      <c r="N198" s="2" t="n">
        <f aca="false">1/1000*LOG(1/1000,2)</f>
        <v>-0.00996578428466209</v>
      </c>
    </row>
    <row r="199" customFormat="false" ht="13" hidden="false" customHeight="false" outlineLevel="0" collapsed="false">
      <c r="A199" s="4" t="n">
        <v>803</v>
      </c>
      <c r="B199" s="2" t="n">
        <v>18.7313846111683</v>
      </c>
      <c r="C199" s="5" t="n">
        <f aca="false">B199</f>
        <v>18.7313846111683</v>
      </c>
      <c r="D199" s="5" t="n">
        <f aca="false">C199*LOG(C199)</f>
        <v>23.8369958914728</v>
      </c>
      <c r="E199" s="5"/>
      <c r="F199" s="5"/>
      <c r="G199" s="4" t="n">
        <v>198</v>
      </c>
      <c r="H199" s="6" t="n">
        <v>0.802</v>
      </c>
      <c r="J199" s="2" t="n">
        <f aca="false">B199/$B$1003</f>
        <v>0.00183071070687875</v>
      </c>
      <c r="K199" s="5" t="n">
        <f aca="false">J199*LOG(J199,2)</f>
        <v>-0.0166473489579594</v>
      </c>
      <c r="N199" s="2" t="n">
        <f aca="false">1/1000*LOG(1/1000,2)</f>
        <v>-0.00996578428466209</v>
      </c>
    </row>
    <row r="200" customFormat="false" ht="13" hidden="false" customHeight="false" outlineLevel="0" collapsed="false">
      <c r="A200" s="4" t="n">
        <v>802</v>
      </c>
      <c r="B200" s="2" t="n">
        <v>18.6633442710152</v>
      </c>
      <c r="C200" s="5" t="n">
        <f aca="false">B200</f>
        <v>18.6633442710152</v>
      </c>
      <c r="D200" s="5" t="n">
        <f aca="false">C200*LOG(C200)</f>
        <v>23.7209139929486</v>
      </c>
      <c r="E200" s="5"/>
      <c r="F200" s="5"/>
      <c r="G200" s="4" t="n">
        <v>199</v>
      </c>
      <c r="H200" s="6" t="n">
        <v>0.801</v>
      </c>
      <c r="J200" s="2" t="n">
        <f aca="false">B200/$B$1003</f>
        <v>0.00182406078847689</v>
      </c>
      <c r="K200" s="5" t="n">
        <f aca="false">J200*LOG(J200,2)</f>
        <v>-0.0165964550787264</v>
      </c>
      <c r="N200" s="2" t="n">
        <f aca="false">1/1000*LOG(1/1000,2)</f>
        <v>-0.00996578428466209</v>
      </c>
    </row>
    <row r="201" customFormat="false" ht="13" hidden="false" customHeight="false" outlineLevel="0" collapsed="false">
      <c r="A201" s="4" t="n">
        <v>801</v>
      </c>
      <c r="B201" s="2" t="n">
        <v>18.6556994904634</v>
      </c>
      <c r="C201" s="5" t="n">
        <f aca="false">B201</f>
        <v>18.6556994904634</v>
      </c>
      <c r="D201" s="5" t="n">
        <f aca="false">C201*LOG(C201)</f>
        <v>23.7078781514494</v>
      </c>
      <c r="E201" s="5"/>
      <c r="F201" s="5"/>
      <c r="G201" s="4" t="n">
        <v>200</v>
      </c>
      <c r="H201" s="6" t="n">
        <v>0.8</v>
      </c>
      <c r="J201" s="2" t="n">
        <f aca="false">B201/$B$1003</f>
        <v>0.00182331362632639</v>
      </c>
      <c r="K201" s="5" t="n">
        <f aca="false">J201*LOG(J201,2)</f>
        <v>-0.0165907346327456</v>
      </c>
      <c r="L201" s="2" t="n">
        <f aca="false">SUM(J152:J201)</f>
        <v>0.0942055997083628</v>
      </c>
      <c r="N201" s="2" t="n">
        <f aca="false">1/1000*LOG(1/1000,2)</f>
        <v>-0.00996578428466209</v>
      </c>
    </row>
    <row r="202" customFormat="false" ht="13" hidden="false" customHeight="false" outlineLevel="0" collapsed="false">
      <c r="A202" s="4" t="n">
        <v>800</v>
      </c>
      <c r="B202" s="2" t="n">
        <v>18.6463716558393</v>
      </c>
      <c r="C202" s="5" t="n">
        <f aca="false">B202</f>
        <v>18.6463716558393</v>
      </c>
      <c r="D202" s="5" t="n">
        <f aca="false">C202*LOG(C202)</f>
        <v>23.6919742174085</v>
      </c>
      <c r="E202" s="5"/>
      <c r="F202" s="5"/>
      <c r="G202" s="4" t="n">
        <v>201</v>
      </c>
      <c r="H202" s="6" t="n">
        <v>0.799</v>
      </c>
      <c r="J202" s="2" t="n">
        <f aca="false">B202/$B$1003</f>
        <v>0.0018224019709911</v>
      </c>
      <c r="K202" s="5" t="n">
        <f aca="false">J202*LOG(J202,2)</f>
        <v>-0.0165837541906435</v>
      </c>
      <c r="N202" s="2" t="n">
        <f aca="false">1/1000*LOG(1/1000,2)</f>
        <v>-0.00996578428466209</v>
      </c>
    </row>
    <row r="203" customFormat="false" ht="13" hidden="false" customHeight="false" outlineLevel="0" collapsed="false">
      <c r="A203" s="4" t="n">
        <v>799</v>
      </c>
      <c r="B203" s="2" t="n">
        <v>18.6299353232606</v>
      </c>
      <c r="C203" s="5" t="n">
        <f aca="false">B203</f>
        <v>18.6299353232606</v>
      </c>
      <c r="D203" s="5" t="n">
        <f aca="false">C203*LOG(C203)</f>
        <v>23.6639552447889</v>
      </c>
      <c r="E203" s="5"/>
      <c r="F203" s="5"/>
      <c r="G203" s="4" t="n">
        <v>202</v>
      </c>
      <c r="H203" s="6" t="n">
        <v>0.798</v>
      </c>
      <c r="J203" s="2" t="n">
        <f aca="false">B203/$B$1003</f>
        <v>0.0018207955670515</v>
      </c>
      <c r="K203" s="5" t="n">
        <f aca="false">J203*LOG(J203,2)</f>
        <v>-0.0165714525355062</v>
      </c>
      <c r="N203" s="2" t="n">
        <f aca="false">1/1000*LOG(1/1000,2)</f>
        <v>-0.00996578428466209</v>
      </c>
    </row>
    <row r="204" customFormat="false" ht="13" hidden="false" customHeight="false" outlineLevel="0" collapsed="false">
      <c r="A204" s="4" t="n">
        <v>798</v>
      </c>
      <c r="B204" s="2" t="n">
        <v>18.5320134056167</v>
      </c>
      <c r="C204" s="5" t="n">
        <f aca="false">B204</f>
        <v>18.5320134056167</v>
      </c>
      <c r="D204" s="5" t="n">
        <f aca="false">C204*LOG(C204)</f>
        <v>23.4971587259223</v>
      </c>
      <c r="E204" s="5"/>
      <c r="F204" s="5"/>
      <c r="G204" s="4" t="n">
        <v>203</v>
      </c>
      <c r="H204" s="6" t="n">
        <v>0.797</v>
      </c>
      <c r="J204" s="2" t="n">
        <f aca="false">B204/$B$1003</f>
        <v>0.001811225174537</v>
      </c>
      <c r="K204" s="5" t="n">
        <f aca="false">J204*LOG(J204,2)</f>
        <v>-0.0164981211401606</v>
      </c>
      <c r="N204" s="2" t="n">
        <f aca="false">1/1000*LOG(1/1000,2)</f>
        <v>-0.00996578428466209</v>
      </c>
    </row>
    <row r="205" customFormat="false" ht="13" hidden="false" customHeight="false" outlineLevel="0" collapsed="false">
      <c r="A205" s="4" t="n">
        <v>797</v>
      </c>
      <c r="B205" s="2" t="n">
        <v>18.5305777521844</v>
      </c>
      <c r="C205" s="5" t="n">
        <f aca="false">B205</f>
        <v>18.5305777521844</v>
      </c>
      <c r="D205" s="5" t="n">
        <f aca="false">C205*LOG(C205)</f>
        <v>23.4947149562694</v>
      </c>
      <c r="E205" s="5"/>
      <c r="F205" s="5"/>
      <c r="G205" s="4" t="n">
        <v>204</v>
      </c>
      <c r="H205" s="6" t="n">
        <v>0.796</v>
      </c>
      <c r="J205" s="2" t="n">
        <f aca="false">B205/$B$1003</f>
        <v>0.00181108486103832</v>
      </c>
      <c r="K205" s="5" t="n">
        <f aca="false">J205*LOG(J205,2)</f>
        <v>-0.016497045471734</v>
      </c>
      <c r="N205" s="2" t="n">
        <f aca="false">1/1000*LOG(1/1000,2)</f>
        <v>-0.00996578428466209</v>
      </c>
    </row>
    <row r="206" customFormat="false" ht="13" hidden="false" customHeight="false" outlineLevel="0" collapsed="false">
      <c r="A206" s="4" t="n">
        <v>796</v>
      </c>
      <c r="B206" s="2" t="n">
        <v>18.4909008598492</v>
      </c>
      <c r="C206" s="5" t="n">
        <f aca="false">B206</f>
        <v>18.4909008598492</v>
      </c>
      <c r="D206" s="5" t="n">
        <f aca="false">C206*LOG(C206)</f>
        <v>23.42719606792</v>
      </c>
      <c r="E206" s="5"/>
      <c r="F206" s="5"/>
      <c r="G206" s="4" t="n">
        <v>205</v>
      </c>
      <c r="H206" s="6" t="n">
        <v>0.795</v>
      </c>
      <c r="J206" s="2" t="n">
        <f aca="false">B206/$B$1003</f>
        <v>0.00180720704244021</v>
      </c>
      <c r="K206" s="5" t="n">
        <f aca="false">J206*LOG(J206,2)</f>
        <v>-0.0164673112090565</v>
      </c>
      <c r="N206" s="2" t="n">
        <f aca="false">1/1000*LOG(1/1000,2)</f>
        <v>-0.00996578428466209</v>
      </c>
    </row>
    <row r="207" customFormat="false" ht="13" hidden="false" customHeight="false" outlineLevel="0" collapsed="false">
      <c r="A207" s="4" t="n">
        <v>795</v>
      </c>
      <c r="B207" s="2" t="n">
        <v>18.4136944276032</v>
      </c>
      <c r="C207" s="5" t="n">
        <f aca="false">B207</f>
        <v>18.4136944276032</v>
      </c>
      <c r="D207" s="5" t="n">
        <f aca="false">C207*LOG(C207)</f>
        <v>23.2959185264943</v>
      </c>
      <c r="E207" s="5"/>
      <c r="F207" s="5"/>
      <c r="G207" s="4" t="n">
        <v>206</v>
      </c>
      <c r="H207" s="6" t="n">
        <v>0.794</v>
      </c>
      <c r="J207" s="2" t="n">
        <f aca="false">B207/$B$1003</f>
        <v>0.00179966127659926</v>
      </c>
      <c r="K207" s="5" t="n">
        <f aca="false">J207*LOG(J207,2)</f>
        <v>-0.0164094175012332</v>
      </c>
      <c r="N207" s="2" t="n">
        <f aca="false">1/1000*LOG(1/1000,2)</f>
        <v>-0.00996578428466209</v>
      </c>
    </row>
    <row r="208" customFormat="false" ht="13" hidden="false" customHeight="false" outlineLevel="0" collapsed="false">
      <c r="A208" s="4" t="n">
        <v>794</v>
      </c>
      <c r="B208" s="2" t="n">
        <v>18.3830220100006</v>
      </c>
      <c r="C208" s="5" t="n">
        <f aca="false">B208</f>
        <v>18.3830220100006</v>
      </c>
      <c r="D208" s="5" t="n">
        <f aca="false">C208*LOG(C208)</f>
        <v>23.2438038345036</v>
      </c>
      <c r="E208" s="5"/>
      <c r="F208" s="5"/>
      <c r="G208" s="4" t="n">
        <v>207</v>
      </c>
      <c r="H208" s="6" t="n">
        <v>0.793</v>
      </c>
      <c r="J208" s="2" t="n">
        <f aca="false">B208/$B$1003</f>
        <v>0.0017966635097776</v>
      </c>
      <c r="K208" s="5" t="n">
        <f aca="false">J208*LOG(J208,2)</f>
        <v>-0.0163864049460941</v>
      </c>
      <c r="N208" s="2" t="n">
        <f aca="false">1/1000*LOG(1/1000,2)</f>
        <v>-0.00996578428466209</v>
      </c>
    </row>
    <row r="209" customFormat="false" ht="13" hidden="false" customHeight="false" outlineLevel="0" collapsed="false">
      <c r="A209" s="4" t="n">
        <v>793</v>
      </c>
      <c r="B209" s="2" t="n">
        <v>18.3810969271287</v>
      </c>
      <c r="C209" s="5" t="n">
        <f aca="false">B209</f>
        <v>18.3810969271287</v>
      </c>
      <c r="D209" s="5" t="n">
        <f aca="false">C209*LOG(C209)</f>
        <v>23.2405337180818</v>
      </c>
      <c r="E209" s="5"/>
      <c r="F209" s="5"/>
      <c r="G209" s="4" t="n">
        <v>208</v>
      </c>
      <c r="H209" s="6" t="n">
        <v>0.792</v>
      </c>
      <c r="J209" s="2" t="n">
        <f aca="false">B209/$B$1003</f>
        <v>0.00179647536192317</v>
      </c>
      <c r="K209" s="5" t="n">
        <f aca="false">J209*LOG(J209,2)</f>
        <v>-0.0163849603761156</v>
      </c>
      <c r="N209" s="2" t="n">
        <f aca="false">1/1000*LOG(1/1000,2)</f>
        <v>-0.00996578428466209</v>
      </c>
    </row>
    <row r="210" customFormat="false" ht="13" hidden="false" customHeight="false" outlineLevel="0" collapsed="false">
      <c r="A210" s="4" t="n">
        <v>792</v>
      </c>
      <c r="B210" s="2" t="n">
        <v>18.3755918425983</v>
      </c>
      <c r="C210" s="5" t="n">
        <f aca="false">B210</f>
        <v>18.3755918425983</v>
      </c>
      <c r="D210" s="5" t="n">
        <f aca="false">C210*LOG(C210)</f>
        <v>23.2311827767331</v>
      </c>
      <c r="E210" s="5"/>
      <c r="F210" s="5"/>
      <c r="G210" s="4" t="n">
        <v>209</v>
      </c>
      <c r="H210" s="6" t="n">
        <v>0.791</v>
      </c>
      <c r="J210" s="2" t="n">
        <f aca="false">B210/$B$1003</f>
        <v>0.00179593732282988</v>
      </c>
      <c r="K210" s="5" t="n">
        <f aca="false">J210*LOG(J210,2)</f>
        <v>-0.0163808292386993</v>
      </c>
      <c r="N210" s="2" t="n">
        <f aca="false">1/1000*LOG(1/1000,2)</f>
        <v>-0.00996578428466209</v>
      </c>
    </row>
    <row r="211" customFormat="false" ht="13" hidden="false" customHeight="false" outlineLevel="0" collapsed="false">
      <c r="A211" s="4" t="n">
        <v>791</v>
      </c>
      <c r="B211" s="2" t="n">
        <v>18.3430686781034</v>
      </c>
      <c r="C211" s="5" t="n">
        <f aca="false">B211</f>
        <v>18.3430686781034</v>
      </c>
      <c r="D211" s="5" t="n">
        <f aca="false">C211*LOG(C211)</f>
        <v>23.1759535239859</v>
      </c>
      <c r="E211" s="5"/>
      <c r="F211" s="5"/>
      <c r="G211" s="4" t="n">
        <v>210</v>
      </c>
      <c r="H211" s="6" t="n">
        <v>0.79</v>
      </c>
      <c r="J211" s="2" t="n">
        <f aca="false">B211/$B$1003</f>
        <v>0.00179275867337613</v>
      </c>
      <c r="K211" s="5" t="n">
        <f aca="false">J211*LOG(J211,2)</f>
        <v>-0.0163564183878945</v>
      </c>
      <c r="N211" s="2" t="n">
        <f aca="false">1/1000*LOG(1/1000,2)</f>
        <v>-0.00996578428466209</v>
      </c>
    </row>
    <row r="212" customFormat="false" ht="13" hidden="false" customHeight="false" outlineLevel="0" collapsed="false">
      <c r="A212" s="4" t="n">
        <v>790</v>
      </c>
      <c r="B212" s="2" t="n">
        <v>18.3271115984707</v>
      </c>
      <c r="C212" s="5" t="n">
        <f aca="false">B212</f>
        <v>18.3271115984707</v>
      </c>
      <c r="D212" s="5" t="n">
        <f aca="false">C212*LOG(C212)</f>
        <v>23.1488651443554</v>
      </c>
      <c r="E212" s="5"/>
      <c r="F212" s="5"/>
      <c r="G212" s="4" t="n">
        <v>211</v>
      </c>
      <c r="H212" s="6" t="n">
        <v>0.789</v>
      </c>
      <c r="J212" s="2" t="n">
        <f aca="false">B212/$B$1003</f>
        <v>0.00179119910919331</v>
      </c>
      <c r="K212" s="5" t="n">
        <f aca="false">J212*LOG(J212,2)</f>
        <v>-0.0163444385400318</v>
      </c>
      <c r="N212" s="2" t="n">
        <f aca="false">1/1000*LOG(1/1000,2)</f>
        <v>-0.00996578428466209</v>
      </c>
    </row>
    <row r="213" customFormat="false" ht="13" hidden="false" customHeight="false" outlineLevel="0" collapsed="false">
      <c r="A213" s="4" t="n">
        <v>789</v>
      </c>
      <c r="B213" s="2" t="n">
        <v>18.3230353151206</v>
      </c>
      <c r="C213" s="5" t="n">
        <f aca="false">B213</f>
        <v>18.3230353151206</v>
      </c>
      <c r="D213" s="5" t="n">
        <f aca="false">C213*LOG(C213)</f>
        <v>23.1419463047375</v>
      </c>
      <c r="E213" s="5"/>
      <c r="F213" s="5"/>
      <c r="G213" s="4" t="n">
        <v>212</v>
      </c>
      <c r="H213" s="6" t="n">
        <v>0.788</v>
      </c>
      <c r="J213" s="2" t="n">
        <f aca="false">B213/$B$1003</f>
        <v>0.00179080071389429</v>
      </c>
      <c r="K213" s="5" t="n">
        <f aca="false">J213*LOG(J213,2)</f>
        <v>-0.0163413779382723</v>
      </c>
      <c r="N213" s="2" t="n">
        <f aca="false">1/1000*LOG(1/1000,2)</f>
        <v>-0.00996578428466209</v>
      </c>
    </row>
    <row r="214" customFormat="false" ht="13" hidden="false" customHeight="false" outlineLevel="0" collapsed="false">
      <c r="A214" s="4" t="n">
        <v>788</v>
      </c>
      <c r="B214" s="2" t="n">
        <v>18.3200330384577</v>
      </c>
      <c r="C214" s="5" t="n">
        <f aca="false">B214</f>
        <v>18.3200330384577</v>
      </c>
      <c r="D214" s="5" t="n">
        <f aca="false">C214*LOG(C214)</f>
        <v>23.1368506717017</v>
      </c>
      <c r="E214" s="5"/>
      <c r="F214" s="5"/>
      <c r="G214" s="4" t="n">
        <v>213</v>
      </c>
      <c r="H214" s="6" t="n">
        <v>0.787</v>
      </c>
      <c r="J214" s="2" t="n">
        <f aca="false">B214/$B$1003</f>
        <v>0.00179050728657187</v>
      </c>
      <c r="K214" s="5" t="n">
        <f aca="false">J214*LOG(J214,2)</f>
        <v>-0.0163391236527486</v>
      </c>
      <c r="N214" s="2" t="n">
        <f aca="false">1/1000*LOG(1/1000,2)</f>
        <v>-0.00996578428466209</v>
      </c>
    </row>
    <row r="215" customFormat="false" ht="13" hidden="false" customHeight="false" outlineLevel="0" collapsed="false">
      <c r="A215" s="4" t="n">
        <v>787</v>
      </c>
      <c r="B215" s="2" t="n">
        <v>18.229951629286</v>
      </c>
      <c r="C215" s="5" t="n">
        <f aca="false">B215</f>
        <v>18.229951629286</v>
      </c>
      <c r="D215" s="5" t="n">
        <f aca="false">C215*LOG(C215)</f>
        <v>22.9840589773226</v>
      </c>
      <c r="E215" s="5"/>
      <c r="F215" s="5"/>
      <c r="G215" s="4" t="n">
        <v>214</v>
      </c>
      <c r="H215" s="6" t="n">
        <v>0.786</v>
      </c>
      <c r="J215" s="2" t="n">
        <f aca="false">B215/$B$1003</f>
        <v>0.00178170318566397</v>
      </c>
      <c r="K215" s="5" t="n">
        <f aca="false">J215*LOG(J215,2)</f>
        <v>-0.0162714529242034</v>
      </c>
      <c r="N215" s="2" t="n">
        <f aca="false">1/1000*LOG(1/1000,2)</f>
        <v>-0.00996578428466209</v>
      </c>
    </row>
    <row r="216" customFormat="false" ht="13" hidden="false" customHeight="false" outlineLevel="0" collapsed="false">
      <c r="A216" s="4" t="n">
        <v>786</v>
      </c>
      <c r="B216" s="2" t="n">
        <v>18.2192811853877</v>
      </c>
      <c r="C216" s="5" t="n">
        <f aca="false">B216</f>
        <v>18.2192811853877</v>
      </c>
      <c r="D216" s="5" t="n">
        <f aca="false">C216*LOG(C216)</f>
        <v>22.9659730777944</v>
      </c>
      <c r="E216" s="5"/>
      <c r="F216" s="5"/>
      <c r="G216" s="4" t="n">
        <v>215</v>
      </c>
      <c r="H216" s="6" t="n">
        <v>0.785</v>
      </c>
      <c r="J216" s="2" t="n">
        <f aca="false">B216/$B$1003</f>
        <v>0.00178066031049498</v>
      </c>
      <c r="K216" s="5" t="n">
        <f aca="false">J216*LOG(J216,2)</f>
        <v>-0.0162634329487099</v>
      </c>
      <c r="N216" s="2" t="n">
        <f aca="false">1/1000*LOG(1/1000,2)</f>
        <v>-0.00996578428466209</v>
      </c>
    </row>
    <row r="217" customFormat="false" ht="13" hidden="false" customHeight="false" outlineLevel="0" collapsed="false">
      <c r="A217" s="4" t="n">
        <v>785</v>
      </c>
      <c r="B217" s="2" t="n">
        <v>18.2073713393549</v>
      </c>
      <c r="C217" s="5" t="n">
        <f aca="false">B217</f>
        <v>18.2073713393549</v>
      </c>
      <c r="D217" s="5" t="n">
        <f aca="false">C217*LOG(C217)</f>
        <v>22.9457896553587</v>
      </c>
      <c r="E217" s="5"/>
      <c r="F217" s="5"/>
      <c r="G217" s="4" t="n">
        <v>216</v>
      </c>
      <c r="H217" s="6" t="n">
        <v>0.784</v>
      </c>
      <c r="J217" s="2" t="n">
        <f aca="false">B217/$B$1003</f>
        <v>0.00177949630243566</v>
      </c>
      <c r="K217" s="5" t="n">
        <f aca="false">J217*LOG(J217,2)</f>
        <v>-0.0162544803897983</v>
      </c>
      <c r="N217" s="2" t="n">
        <f aca="false">1/1000*LOG(1/1000,2)</f>
        <v>-0.00996578428466209</v>
      </c>
    </row>
    <row r="218" customFormat="false" ht="13" hidden="false" customHeight="false" outlineLevel="0" collapsed="false">
      <c r="A218" s="4" t="n">
        <v>784</v>
      </c>
      <c r="B218" s="2" t="n">
        <v>18.1657612562067</v>
      </c>
      <c r="C218" s="5" t="n">
        <f aca="false">B218</f>
        <v>18.1657612562067</v>
      </c>
      <c r="D218" s="5" t="n">
        <f aca="false">C218*LOG(C218)</f>
        <v>22.8753002980029</v>
      </c>
      <c r="E218" s="5"/>
      <c r="F218" s="5"/>
      <c r="G218" s="4" t="n">
        <v>217</v>
      </c>
      <c r="H218" s="6" t="n">
        <v>0.783</v>
      </c>
      <c r="J218" s="2" t="n">
        <f aca="false">B218/$B$1003</f>
        <v>0.00177542954355399</v>
      </c>
      <c r="K218" s="5" t="n">
        <f aca="false">J218*LOG(J218,2)</f>
        <v>-0.0162231937153217</v>
      </c>
      <c r="N218" s="2" t="n">
        <f aca="false">1/1000*LOG(1/1000,2)</f>
        <v>-0.00996578428466209</v>
      </c>
    </row>
    <row r="219" customFormat="false" ht="13" hidden="false" customHeight="false" outlineLevel="0" collapsed="false">
      <c r="A219" s="4" t="n">
        <v>783</v>
      </c>
      <c r="B219" s="2" t="n">
        <v>18.1267674568055</v>
      </c>
      <c r="C219" s="5" t="n">
        <f aca="false">B219</f>
        <v>18.1267674568055</v>
      </c>
      <c r="D219" s="5" t="n">
        <f aca="false">C219*LOG(C219)</f>
        <v>22.8092806124837</v>
      </c>
      <c r="E219" s="5"/>
      <c r="F219" s="5"/>
      <c r="G219" s="4" t="n">
        <v>218</v>
      </c>
      <c r="H219" s="6" t="n">
        <v>0.782</v>
      </c>
      <c r="J219" s="2" t="n">
        <f aca="false">B219/$B$1003</f>
        <v>0.00177161848700118</v>
      </c>
      <c r="K219" s="5" t="n">
        <f aca="false">J219*LOG(J219,2)</f>
        <v>-0.0161938620303969</v>
      </c>
      <c r="N219" s="2" t="n">
        <f aca="false">1/1000*LOG(1/1000,2)</f>
        <v>-0.00996578428466209</v>
      </c>
    </row>
    <row r="220" customFormat="false" ht="13" hidden="false" customHeight="false" outlineLevel="0" collapsed="false">
      <c r="A220" s="4" t="n">
        <v>782</v>
      </c>
      <c r="B220" s="2" t="n">
        <v>18.1205749223056</v>
      </c>
      <c r="C220" s="5" t="n">
        <f aca="false">B220</f>
        <v>18.1205749223056</v>
      </c>
      <c r="D220" s="5" t="n">
        <f aca="false">C220*LOG(C220)</f>
        <v>22.7987994960904</v>
      </c>
      <c r="E220" s="5"/>
      <c r="F220" s="5"/>
      <c r="G220" s="4" t="n">
        <v>219</v>
      </c>
      <c r="H220" s="6" t="n">
        <v>0.781</v>
      </c>
      <c r="J220" s="2" t="n">
        <f aca="false">B220/$B$1003</f>
        <v>0.001771013260028</v>
      </c>
      <c r="K220" s="5" t="n">
        <f aca="false">J220*LOG(J220,2)</f>
        <v>-0.0161892028311113</v>
      </c>
      <c r="N220" s="2" t="n">
        <f aca="false">1/1000*LOG(1/1000,2)</f>
        <v>-0.00996578428466209</v>
      </c>
    </row>
    <row r="221" customFormat="false" ht="13" hidden="false" customHeight="false" outlineLevel="0" collapsed="false">
      <c r="A221" s="4" t="n">
        <v>781</v>
      </c>
      <c r="B221" s="2" t="n">
        <v>18.0685369581726</v>
      </c>
      <c r="C221" s="5" t="n">
        <f aca="false">B221</f>
        <v>18.0685369581726</v>
      </c>
      <c r="D221" s="5" t="n">
        <f aca="false">C221*LOG(C221)</f>
        <v>22.7107594691541</v>
      </c>
      <c r="E221" s="5"/>
      <c r="F221" s="5"/>
      <c r="G221" s="4" t="n">
        <v>220</v>
      </c>
      <c r="H221" s="6" t="n">
        <v>0.78</v>
      </c>
      <c r="J221" s="2" t="n">
        <f aca="false">B221/$B$1003</f>
        <v>0.00176592733284856</v>
      </c>
      <c r="K221" s="5" t="n">
        <f aca="false">J221*LOG(J221,2)</f>
        <v>-0.0161500382025582</v>
      </c>
      <c r="N221" s="2" t="n">
        <f aca="false">1/1000*LOG(1/1000,2)</f>
        <v>-0.00996578428466209</v>
      </c>
    </row>
    <row r="222" customFormat="false" ht="13" hidden="false" customHeight="false" outlineLevel="0" collapsed="false">
      <c r="A222" s="4" t="n">
        <v>780</v>
      </c>
      <c r="B222" s="2" t="n">
        <v>18.0531243031639</v>
      </c>
      <c r="C222" s="5" t="n">
        <f aca="false">B222</f>
        <v>18.0531243031639</v>
      </c>
      <c r="D222" s="5" t="n">
        <f aca="false">C222*LOG(C222)</f>
        <v>22.6846961734214</v>
      </c>
      <c r="E222" s="5"/>
      <c r="F222" s="5"/>
      <c r="G222" s="4" t="n">
        <v>221</v>
      </c>
      <c r="H222" s="6" t="n">
        <v>0.779</v>
      </c>
      <c r="J222" s="2" t="n">
        <f aca="false">B222/$B$1003</f>
        <v>0.00176442097797243</v>
      </c>
      <c r="K222" s="5" t="n">
        <f aca="false">J222*LOG(J222,2)</f>
        <v>-0.0161384343310389</v>
      </c>
      <c r="N222" s="2" t="n">
        <f aca="false">1/1000*LOG(1/1000,2)</f>
        <v>-0.00996578428466209</v>
      </c>
    </row>
    <row r="223" customFormat="false" ht="13" hidden="false" customHeight="false" outlineLevel="0" collapsed="false">
      <c r="A223" s="4" t="n">
        <v>779</v>
      </c>
      <c r="B223" s="2" t="n">
        <v>18.0494159779778</v>
      </c>
      <c r="C223" s="5" t="n">
        <f aca="false">B223</f>
        <v>18.0494159779778</v>
      </c>
      <c r="D223" s="5" t="n">
        <f aca="false">C223*LOG(C223)</f>
        <v>22.6784261288652</v>
      </c>
      <c r="E223" s="5"/>
      <c r="F223" s="5"/>
      <c r="G223" s="4" t="n">
        <v>222</v>
      </c>
      <c r="H223" s="6" t="n">
        <v>0.778</v>
      </c>
      <c r="J223" s="2" t="n">
        <f aca="false">B223/$B$1003</f>
        <v>0.00176405854504161</v>
      </c>
      <c r="K223" s="5" t="n">
        <f aca="false">J223*LOG(J223,2)</f>
        <v>-0.016135642132297</v>
      </c>
      <c r="N223" s="2" t="n">
        <f aca="false">1/1000*LOG(1/1000,2)</f>
        <v>-0.00996578428466209</v>
      </c>
    </row>
    <row r="224" customFormat="false" ht="13" hidden="false" customHeight="false" outlineLevel="0" collapsed="false">
      <c r="A224" s="4" t="n">
        <v>778</v>
      </c>
      <c r="B224" s="2" t="n">
        <v>18.046084341426</v>
      </c>
      <c r="C224" s="5" t="n">
        <f aca="false">B224</f>
        <v>18.046084341426</v>
      </c>
      <c r="D224" s="5" t="n">
        <f aca="false">C224*LOG(C224)</f>
        <v>22.6727932724717</v>
      </c>
      <c r="E224" s="5"/>
      <c r="F224" s="5"/>
      <c r="G224" s="4" t="n">
        <v>223</v>
      </c>
      <c r="H224" s="6" t="n">
        <v>0.777</v>
      </c>
      <c r="J224" s="2" t="n">
        <f aca="false">B224/$B$1003</f>
        <v>0.00176373292775098</v>
      </c>
      <c r="K224" s="5" t="n">
        <f aca="false">J224*LOG(J224,2)</f>
        <v>-0.0161331334712031</v>
      </c>
      <c r="N224" s="2" t="n">
        <f aca="false">1/1000*LOG(1/1000,2)</f>
        <v>-0.00996578428466209</v>
      </c>
    </row>
    <row r="225" customFormat="false" ht="13" hidden="false" customHeight="false" outlineLevel="0" collapsed="false">
      <c r="A225" s="4" t="n">
        <v>777</v>
      </c>
      <c r="B225" s="2" t="n">
        <v>18.0262375459852</v>
      </c>
      <c r="C225" s="5" t="n">
        <f aca="false">B225</f>
        <v>18.0262375459852</v>
      </c>
      <c r="D225" s="5" t="n">
        <f aca="false">C225*LOG(C225)</f>
        <v>22.6392434841259</v>
      </c>
      <c r="E225" s="5"/>
      <c r="F225" s="5"/>
      <c r="G225" s="4" t="n">
        <v>224</v>
      </c>
      <c r="H225" s="6" t="n">
        <v>0.776</v>
      </c>
      <c r="J225" s="2" t="n">
        <f aca="false">B225/$B$1003</f>
        <v>0.00176179320243622</v>
      </c>
      <c r="K225" s="5" t="n">
        <f aca="false">J225*LOG(J225,2)</f>
        <v>-0.0161181874012802</v>
      </c>
      <c r="N225" s="2" t="n">
        <f aca="false">1/1000*LOG(1/1000,2)</f>
        <v>-0.00996578428466209</v>
      </c>
    </row>
    <row r="226" customFormat="false" ht="13" hidden="false" customHeight="false" outlineLevel="0" collapsed="false">
      <c r="A226" s="4" t="n">
        <v>776</v>
      </c>
      <c r="B226" s="2" t="n">
        <v>18.0217953160557</v>
      </c>
      <c r="C226" s="5" t="n">
        <f aca="false">B226</f>
        <v>18.0217953160557</v>
      </c>
      <c r="D226" s="5" t="n">
        <f aca="false">C226*LOG(C226)</f>
        <v>22.6317354667332</v>
      </c>
      <c r="E226" s="5"/>
      <c r="F226" s="5"/>
      <c r="G226" s="4" t="n">
        <v>225</v>
      </c>
      <c r="H226" s="6" t="n">
        <v>0.775</v>
      </c>
      <c r="J226" s="2" t="n">
        <f aca="false">B226/$B$1003</f>
        <v>0.00176135904137108</v>
      </c>
      <c r="K226" s="5" t="n">
        <f aca="false">J226*LOG(J226,2)</f>
        <v>-0.0161148416595422</v>
      </c>
      <c r="N226" s="2" t="n">
        <f aca="false">1/1000*LOG(1/1000,2)</f>
        <v>-0.00996578428466209</v>
      </c>
    </row>
    <row r="227" customFormat="false" ht="13" hidden="false" customHeight="false" outlineLevel="0" collapsed="false">
      <c r="A227" s="4" t="n">
        <v>775</v>
      </c>
      <c r="B227" s="2" t="n">
        <v>18.0165660180834</v>
      </c>
      <c r="C227" s="5" t="n">
        <f aca="false">B227</f>
        <v>18.0165660180834</v>
      </c>
      <c r="D227" s="5" t="n">
        <f aca="false">C227*LOG(C227)</f>
        <v>22.6228977987908</v>
      </c>
      <c r="E227" s="5"/>
      <c r="F227" s="5"/>
      <c r="G227" s="4" t="n">
        <v>226</v>
      </c>
      <c r="H227" s="6" t="n">
        <v>0.774</v>
      </c>
      <c r="J227" s="2" t="n">
        <f aca="false">B227/$B$1003</f>
        <v>0.00176084795625986</v>
      </c>
      <c r="K227" s="5" t="n">
        <f aca="false">J227*LOG(J227,2)</f>
        <v>-0.0161109029261427</v>
      </c>
      <c r="N227" s="2" t="n">
        <f aca="false">1/1000*LOG(1/1000,2)</f>
        <v>-0.00996578428466209</v>
      </c>
    </row>
    <row r="228" customFormat="false" ht="13" hidden="false" customHeight="false" outlineLevel="0" collapsed="false">
      <c r="A228" s="4" t="n">
        <v>774</v>
      </c>
      <c r="B228" s="2" t="n">
        <v>18.0142017137991</v>
      </c>
      <c r="C228" s="5" t="n">
        <f aca="false">B228</f>
        <v>18.0142017137991</v>
      </c>
      <c r="D228" s="5" t="n">
        <f aca="false">C228*LOG(C228)</f>
        <v>22.6189022711326</v>
      </c>
      <c r="E228" s="5"/>
      <c r="F228" s="5"/>
      <c r="G228" s="4" t="n">
        <v>227</v>
      </c>
      <c r="H228" s="6" t="n">
        <v>0.773</v>
      </c>
      <c r="J228" s="2" t="n">
        <f aca="false">B228/$B$1003</f>
        <v>0.00176061688112808</v>
      </c>
      <c r="K228" s="5" t="n">
        <f aca="false">J228*LOG(J228,2)</f>
        <v>-0.0161091220500744</v>
      </c>
      <c r="N228" s="2" t="n">
        <f aca="false">1/1000*LOG(1/1000,2)</f>
        <v>-0.00996578428466209</v>
      </c>
    </row>
    <row r="229" customFormat="false" ht="13" hidden="false" customHeight="false" outlineLevel="0" collapsed="false">
      <c r="A229" s="4" t="n">
        <v>773</v>
      </c>
      <c r="B229" s="2" t="n">
        <v>17.9599152211302</v>
      </c>
      <c r="C229" s="5" t="n">
        <f aca="false">B229</f>
        <v>17.9599152211302</v>
      </c>
      <c r="D229" s="5" t="n">
        <f aca="false">C229*LOG(C229)</f>
        <v>22.5271985710883</v>
      </c>
      <c r="E229" s="5"/>
      <c r="F229" s="5"/>
      <c r="G229" s="4" t="n">
        <v>228</v>
      </c>
      <c r="H229" s="6" t="n">
        <v>0.772</v>
      </c>
      <c r="J229" s="2" t="n">
        <f aca="false">B229/$B$1003</f>
        <v>0.0017553111941524</v>
      </c>
      <c r="K229" s="5" t="n">
        <f aca="false">J229*LOG(J229,2)</f>
        <v>-0.0160682195316937</v>
      </c>
      <c r="N229" s="2" t="n">
        <f aca="false">1/1000*LOG(1/1000,2)</f>
        <v>-0.00996578428466209</v>
      </c>
    </row>
    <row r="230" customFormat="false" ht="13" hidden="false" customHeight="false" outlineLevel="0" collapsed="false">
      <c r="A230" s="4" t="n">
        <v>772</v>
      </c>
      <c r="B230" s="2" t="n">
        <v>17.9297268779746</v>
      </c>
      <c r="C230" s="5" t="n">
        <f aca="false">B230</f>
        <v>17.9297268779746</v>
      </c>
      <c r="D230" s="5" t="n">
        <f aca="false">C230*LOG(C230)</f>
        <v>22.4762335969772</v>
      </c>
      <c r="E230" s="5"/>
      <c r="F230" s="5"/>
      <c r="G230" s="4" t="n">
        <v>229</v>
      </c>
      <c r="H230" s="6" t="n">
        <v>0.771</v>
      </c>
      <c r="J230" s="2" t="n">
        <f aca="false">B230/$B$1003</f>
        <v>0.00175236073831664</v>
      </c>
      <c r="K230" s="5" t="n">
        <f aca="false">J230*LOG(J230,2)</f>
        <v>-0.0160454639180265</v>
      </c>
      <c r="N230" s="2" t="n">
        <f aca="false">1/1000*LOG(1/1000,2)</f>
        <v>-0.00996578428466209</v>
      </c>
    </row>
    <row r="231" customFormat="false" ht="13" hidden="false" customHeight="false" outlineLevel="0" collapsed="false">
      <c r="A231" s="4" t="n">
        <v>771</v>
      </c>
      <c r="B231" s="2" t="n">
        <v>17.9228816715681</v>
      </c>
      <c r="C231" s="5" t="n">
        <f aca="false">B231</f>
        <v>17.9228816715681</v>
      </c>
      <c r="D231" s="5" t="n">
        <f aca="false">C231*LOG(C231)</f>
        <v>22.4646803586192</v>
      </c>
      <c r="E231" s="5"/>
      <c r="F231" s="5"/>
      <c r="G231" s="4" t="n">
        <v>230</v>
      </c>
      <c r="H231" s="6" t="n">
        <v>0.77</v>
      </c>
      <c r="J231" s="2" t="n">
        <f aca="false">B231/$B$1003</f>
        <v>0.00175169172249537</v>
      </c>
      <c r="K231" s="5" t="n">
        <f aca="false">J231*LOG(J231,2)</f>
        <v>-0.0160403030865767</v>
      </c>
      <c r="N231" s="2" t="n">
        <f aca="false">1/1000*LOG(1/1000,2)</f>
        <v>-0.00996578428466209</v>
      </c>
    </row>
    <row r="232" customFormat="false" ht="13" hidden="false" customHeight="false" outlineLevel="0" collapsed="false">
      <c r="A232" s="4" t="n">
        <v>770</v>
      </c>
      <c r="B232" s="2" t="n">
        <v>17.9182979821632</v>
      </c>
      <c r="C232" s="5" t="n">
        <f aca="false">B232</f>
        <v>17.9182979821632</v>
      </c>
      <c r="D232" s="5" t="n">
        <f aca="false">C232*LOG(C232)</f>
        <v>22.4569447099527</v>
      </c>
      <c r="E232" s="5"/>
      <c r="F232" s="5"/>
      <c r="G232" s="4" t="n">
        <v>231</v>
      </c>
      <c r="H232" s="6" t="n">
        <v>0.769</v>
      </c>
      <c r="J232" s="2" t="n">
        <f aca="false">B232/$B$1003</f>
        <v>0.00175124373589722</v>
      </c>
      <c r="K232" s="5" t="n">
        <f aca="false">J232*LOG(J232,2)</f>
        <v>-0.0160368470828368</v>
      </c>
      <c r="N232" s="2" t="n">
        <f aca="false">1/1000*LOG(1/1000,2)</f>
        <v>-0.00996578428466209</v>
      </c>
    </row>
    <row r="233" customFormat="false" ht="13" hidden="false" customHeight="false" outlineLevel="0" collapsed="false">
      <c r="A233" s="4" t="n">
        <v>769</v>
      </c>
      <c r="B233" s="2" t="n">
        <v>17.8694776548034</v>
      </c>
      <c r="C233" s="5" t="n">
        <f aca="false">B233</f>
        <v>17.8694776548034</v>
      </c>
      <c r="D233" s="5" t="n">
        <f aca="false">C233*LOG(C233)</f>
        <v>22.3745848637093</v>
      </c>
      <c r="E233" s="5"/>
      <c r="F233" s="5"/>
      <c r="G233" s="4" t="n">
        <v>232</v>
      </c>
      <c r="H233" s="6" t="n">
        <v>0.768</v>
      </c>
      <c r="J233" s="2" t="n">
        <f aca="false">B233/$B$1003</f>
        <v>0.00174647228424716</v>
      </c>
      <c r="K233" s="5" t="n">
        <f aca="false">J233*LOG(J233,2)</f>
        <v>-0.016000027333876</v>
      </c>
      <c r="N233" s="2" t="n">
        <f aca="false">1/1000*LOG(1/1000,2)</f>
        <v>-0.00996578428466209</v>
      </c>
    </row>
    <row r="234" customFormat="false" ht="13" hidden="false" customHeight="false" outlineLevel="0" collapsed="false">
      <c r="A234" s="4" t="n">
        <v>768</v>
      </c>
      <c r="B234" s="2" t="n">
        <v>17.8398780828176</v>
      </c>
      <c r="C234" s="5" t="n">
        <f aca="false">B234</f>
        <v>17.8398780828176</v>
      </c>
      <c r="D234" s="5" t="n">
        <f aca="false">C234*LOG(C234)</f>
        <v>22.3246786104026</v>
      </c>
      <c r="E234" s="5"/>
      <c r="F234" s="5"/>
      <c r="G234" s="4" t="n">
        <v>233</v>
      </c>
      <c r="H234" s="6" t="n">
        <v>0.767</v>
      </c>
      <c r="J234" s="2" t="n">
        <f aca="false">B234/$B$1003</f>
        <v>0.00174357937192496</v>
      </c>
      <c r="K234" s="5" t="n">
        <f aca="false">J234*LOG(J234,2)</f>
        <v>-0.0159776945106664</v>
      </c>
      <c r="N234" s="2" t="n">
        <f aca="false">1/1000*LOG(1/1000,2)</f>
        <v>-0.00996578428466209</v>
      </c>
    </row>
    <row r="235" customFormat="false" ht="13" hidden="false" customHeight="false" outlineLevel="0" collapsed="false">
      <c r="A235" s="4" t="n">
        <v>767</v>
      </c>
      <c r="B235" s="2" t="n">
        <v>17.8395738519288</v>
      </c>
      <c r="C235" s="5" t="n">
        <f aca="false">B235</f>
        <v>17.8395738519288</v>
      </c>
      <c r="D235" s="5" t="n">
        <f aca="false">C235*LOG(C235)</f>
        <v>22.3241657736685</v>
      </c>
      <c r="E235" s="5"/>
      <c r="F235" s="5"/>
      <c r="G235" s="4" t="n">
        <v>234</v>
      </c>
      <c r="H235" s="6" t="n">
        <v>0.766</v>
      </c>
      <c r="J235" s="2" t="n">
        <f aca="false">B235/$B$1003</f>
        <v>0.00174354963793802</v>
      </c>
      <c r="K235" s="5" t="n">
        <f aca="false">J235*LOG(J235,2)</f>
        <v>-0.0159774649330813</v>
      </c>
      <c r="N235" s="2" t="n">
        <f aca="false">1/1000*LOG(1/1000,2)</f>
        <v>-0.00996578428466209</v>
      </c>
    </row>
    <row r="236" customFormat="false" ht="13" hidden="false" customHeight="false" outlineLevel="0" collapsed="false">
      <c r="A236" s="4" t="n">
        <v>766</v>
      </c>
      <c r="B236" s="2" t="n">
        <v>17.8040517661315</v>
      </c>
      <c r="C236" s="5" t="n">
        <f aca="false">B236</f>
        <v>17.8040517661315</v>
      </c>
      <c r="D236" s="5" t="n">
        <f aca="false">C236*LOG(C236)</f>
        <v>22.2643023104448</v>
      </c>
      <c r="E236" s="5"/>
      <c r="F236" s="5"/>
      <c r="G236" s="4" t="n">
        <v>235</v>
      </c>
      <c r="H236" s="6" t="n">
        <v>0.765</v>
      </c>
      <c r="J236" s="2" t="n">
        <f aca="false">B236/$B$1003</f>
        <v>0.00174007788909779</v>
      </c>
      <c r="K236" s="5" t="n">
        <f aca="false">J236*LOG(J236,2)</f>
        <v>-0.0159506543557705</v>
      </c>
      <c r="N236" s="2" t="n">
        <f aca="false">1/1000*LOG(1/1000,2)</f>
        <v>-0.00996578428466209</v>
      </c>
    </row>
    <row r="237" customFormat="false" ht="13" hidden="false" customHeight="false" outlineLevel="0" collapsed="false">
      <c r="A237" s="4" t="n">
        <v>765</v>
      </c>
      <c r="B237" s="2" t="n">
        <v>17.7901886339862</v>
      </c>
      <c r="C237" s="5" t="n">
        <f aca="false">B237</f>
        <v>17.7901886339862</v>
      </c>
      <c r="D237" s="5" t="n">
        <f aca="false">C237*LOG(C237)</f>
        <v>22.2409478652192</v>
      </c>
      <c r="E237" s="5"/>
      <c r="F237" s="5"/>
      <c r="G237" s="4" t="n">
        <v>236</v>
      </c>
      <c r="H237" s="6" t="n">
        <v>0.764</v>
      </c>
      <c r="J237" s="2" t="n">
        <f aca="false">B237/$B$1003</f>
        <v>0.00173872297674207</v>
      </c>
      <c r="K237" s="5" t="n">
        <f aca="false">J237*LOG(J237,2)</f>
        <v>-0.0159401883363872</v>
      </c>
      <c r="N237" s="2" t="n">
        <f aca="false">1/1000*LOG(1/1000,2)</f>
        <v>-0.00996578428466209</v>
      </c>
    </row>
    <row r="238" customFormat="false" ht="13" hidden="false" customHeight="false" outlineLevel="0" collapsed="false">
      <c r="A238" s="4" t="n">
        <v>764</v>
      </c>
      <c r="B238" s="2" t="n">
        <v>17.7177933904453</v>
      </c>
      <c r="C238" s="5" t="n">
        <f aca="false">B238</f>
        <v>17.7177933904453</v>
      </c>
      <c r="D238" s="5" t="n">
        <f aca="false">C238*LOG(C238)</f>
        <v>22.1190639443536</v>
      </c>
      <c r="E238" s="5"/>
      <c r="F238" s="5"/>
      <c r="G238" s="4" t="n">
        <v>237</v>
      </c>
      <c r="H238" s="6" t="n">
        <v>0.763</v>
      </c>
      <c r="J238" s="2" t="n">
        <f aca="false">B238/$B$1003</f>
        <v>0.00173164743212919</v>
      </c>
      <c r="K238" s="5" t="n">
        <f aca="false">J238*LOG(J238,2)</f>
        <v>-0.0158855085234677</v>
      </c>
      <c r="N238" s="2" t="n">
        <f aca="false">1/1000*LOG(1/1000,2)</f>
        <v>-0.00996578428466209</v>
      </c>
    </row>
    <row r="239" customFormat="false" ht="13" hidden="false" customHeight="false" outlineLevel="0" collapsed="false">
      <c r="A239" s="4" t="n">
        <v>763</v>
      </c>
      <c r="B239" s="2" t="n">
        <v>17.7024063205255</v>
      </c>
      <c r="C239" s="5" t="n">
        <f aca="false">B239</f>
        <v>17.7024063205255</v>
      </c>
      <c r="D239" s="5" t="n">
        <f aca="false">C239*LOG(C239)</f>
        <v>22.0931749610503</v>
      </c>
      <c r="E239" s="5"/>
      <c r="F239" s="5"/>
      <c r="G239" s="4" t="n">
        <v>238</v>
      </c>
      <c r="H239" s="6" t="n">
        <v>0.762</v>
      </c>
      <c r="J239" s="2" t="n">
        <f aca="false">B239/$B$1003</f>
        <v>0.00173014357781012</v>
      </c>
      <c r="K239" s="5" t="n">
        <f aca="false">J239*LOG(J239,2)</f>
        <v>-0.0158738813675404</v>
      </c>
      <c r="N239" s="2" t="n">
        <f aca="false">1/1000*LOG(1/1000,2)</f>
        <v>-0.00996578428466209</v>
      </c>
    </row>
    <row r="240" customFormat="false" ht="13" hidden="false" customHeight="false" outlineLevel="0" collapsed="false">
      <c r="A240" s="4" t="n">
        <v>762</v>
      </c>
      <c r="B240" s="2" t="n">
        <v>17.6184728052606</v>
      </c>
      <c r="C240" s="5" t="n">
        <f aca="false">B240</f>
        <v>17.6184728052606</v>
      </c>
      <c r="D240" s="5" t="n">
        <f aca="false">C240*LOG(C240)</f>
        <v>21.9520579126537</v>
      </c>
      <c r="E240" s="5"/>
      <c r="F240" s="5"/>
      <c r="G240" s="4" t="n">
        <v>239</v>
      </c>
      <c r="H240" s="6" t="n">
        <v>0.761</v>
      </c>
      <c r="J240" s="2" t="n">
        <f aca="false">B240/$B$1003</f>
        <v>0.00172194034092982</v>
      </c>
      <c r="K240" s="5" t="n">
        <f aca="false">J240*LOG(J240,2)</f>
        <v>-0.0158104242191191</v>
      </c>
      <c r="N240" s="2" t="n">
        <f aca="false">1/1000*LOG(1/1000,2)</f>
        <v>-0.00996578428466209</v>
      </c>
    </row>
    <row r="241" customFormat="false" ht="13" hidden="false" customHeight="false" outlineLevel="0" collapsed="false">
      <c r="A241" s="4" t="n">
        <v>761</v>
      </c>
      <c r="B241" s="2" t="n">
        <v>17.4940224835282</v>
      </c>
      <c r="C241" s="5" t="n">
        <f aca="false">B241</f>
        <v>17.4940224835282</v>
      </c>
      <c r="D241" s="5" t="n">
        <f aca="false">C241*LOG(C241)</f>
        <v>21.7431400125917</v>
      </c>
      <c r="E241" s="5"/>
      <c r="F241" s="5"/>
      <c r="G241" s="4" t="n">
        <v>240</v>
      </c>
      <c r="H241" s="6" t="n">
        <v>0.76</v>
      </c>
      <c r="J241" s="2" t="n">
        <f aca="false">B241/$B$1003</f>
        <v>0.00170977719649605</v>
      </c>
      <c r="K241" s="5" t="n">
        <f aca="false">J241*LOG(J241,2)</f>
        <v>-0.0157162308648357</v>
      </c>
      <c r="N241" s="2" t="n">
        <f aca="false">1/1000*LOG(1/1000,2)</f>
        <v>-0.00996578428466209</v>
      </c>
    </row>
    <row r="242" customFormat="false" ht="13" hidden="false" customHeight="false" outlineLevel="0" collapsed="false">
      <c r="A242" s="4" t="n">
        <v>760</v>
      </c>
      <c r="B242" s="2" t="n">
        <v>17.3812130284758</v>
      </c>
      <c r="C242" s="5" t="n">
        <f aca="false">B242</f>
        <v>17.3812130284758</v>
      </c>
      <c r="D242" s="5" t="n">
        <f aca="false">C242*LOG(C242)</f>
        <v>21.5540960849601</v>
      </c>
      <c r="E242" s="5"/>
      <c r="F242" s="5"/>
      <c r="G242" s="4" t="n">
        <v>241</v>
      </c>
      <c r="H242" s="6" t="n">
        <v>0.759</v>
      </c>
      <c r="J242" s="2" t="n">
        <f aca="false">B242/$B$1003</f>
        <v>0.00169875177144134</v>
      </c>
      <c r="K242" s="5" t="n">
        <f aca="false">J242*LOG(J242,2)</f>
        <v>-0.0156307403527521</v>
      </c>
      <c r="N242" s="2" t="n">
        <f aca="false">1/1000*LOG(1/1000,2)</f>
        <v>-0.00996578428466209</v>
      </c>
    </row>
    <row r="243" customFormat="false" ht="13" hidden="false" customHeight="false" outlineLevel="0" collapsed="false">
      <c r="A243" s="4" t="n">
        <v>759</v>
      </c>
      <c r="B243" s="2" t="n">
        <v>17.3780792695168</v>
      </c>
      <c r="C243" s="5" t="n">
        <f aca="false">B243</f>
        <v>17.3780792695168</v>
      </c>
      <c r="D243" s="5" t="n">
        <f aca="false">C243*LOG(C243)</f>
        <v>21.5488491213647</v>
      </c>
      <c r="E243" s="5"/>
      <c r="F243" s="5"/>
      <c r="G243" s="4" t="n">
        <v>242</v>
      </c>
      <c r="H243" s="6" t="n">
        <v>0.758</v>
      </c>
      <c r="J243" s="2" t="n">
        <f aca="false">B243/$B$1003</f>
        <v>0.00169844549370489</v>
      </c>
      <c r="K243" s="5" t="n">
        <f aca="false">J243*LOG(J243,2)</f>
        <v>-0.015628364022125</v>
      </c>
      <c r="N243" s="2" t="n">
        <f aca="false">1/1000*LOG(1/1000,2)</f>
        <v>-0.00996578428466209</v>
      </c>
    </row>
    <row r="244" customFormat="false" ht="13" hidden="false" customHeight="false" outlineLevel="0" collapsed="false">
      <c r="A244" s="4" t="n">
        <v>758</v>
      </c>
      <c r="B244" s="2" t="n">
        <v>17.3682130639476</v>
      </c>
      <c r="C244" s="5" t="n">
        <f aca="false">B244</f>
        <v>17.3682130639476</v>
      </c>
      <c r="D244" s="5" t="n">
        <f aca="false">C244*LOG(C244)</f>
        <v>21.5323313868853</v>
      </c>
      <c r="E244" s="5"/>
      <c r="F244" s="5"/>
      <c r="G244" s="4" t="n">
        <v>243</v>
      </c>
      <c r="H244" s="6" t="n">
        <v>0.757</v>
      </c>
      <c r="J244" s="2" t="n">
        <f aca="false">B244/$B$1003</f>
        <v>0.00169748122071885</v>
      </c>
      <c r="K244" s="5" t="n">
        <f aca="false">J244*LOG(J244,2)</f>
        <v>-0.0156208819542326</v>
      </c>
      <c r="N244" s="2" t="n">
        <f aca="false">1/1000*LOG(1/1000,2)</f>
        <v>-0.00996578428466209</v>
      </c>
    </row>
    <row r="245" customFormat="false" ht="13" hidden="false" customHeight="false" outlineLevel="0" collapsed="false">
      <c r="A245" s="4" t="n">
        <v>757</v>
      </c>
      <c r="B245" s="2" t="n">
        <v>17.3536252029842</v>
      </c>
      <c r="C245" s="5" t="n">
        <f aca="false">B245</f>
        <v>17.3536252029842</v>
      </c>
      <c r="D245" s="5" t="n">
        <f aca="false">C245*LOG(C245)</f>
        <v>21.5079132451444</v>
      </c>
      <c r="E245" s="5"/>
      <c r="F245" s="5"/>
      <c r="G245" s="4" t="n">
        <v>244</v>
      </c>
      <c r="H245" s="6" t="n">
        <v>0.756</v>
      </c>
      <c r="J245" s="2" t="n">
        <f aca="false">B245/$B$1003</f>
        <v>0.00169605547703729</v>
      </c>
      <c r="K245" s="5" t="n">
        <f aca="false">J245*LOG(J245,2)</f>
        <v>-0.0156098177560087</v>
      </c>
      <c r="N245" s="2" t="n">
        <f aca="false">1/1000*LOG(1/1000,2)</f>
        <v>-0.00996578428466209</v>
      </c>
    </row>
    <row r="246" customFormat="false" ht="13" hidden="false" customHeight="false" outlineLevel="0" collapsed="false">
      <c r="A246" s="4" t="n">
        <v>756</v>
      </c>
      <c r="B246" s="2" t="n">
        <v>17.3291982655113</v>
      </c>
      <c r="C246" s="5" t="n">
        <f aca="false">B246</f>
        <v>17.3291982655113</v>
      </c>
      <c r="D246" s="5" t="n">
        <f aca="false">C246*LOG(C246)</f>
        <v>21.4670377234896</v>
      </c>
      <c r="E246" s="5"/>
      <c r="F246" s="5"/>
      <c r="G246" s="4" t="n">
        <v>245</v>
      </c>
      <c r="H246" s="6" t="n">
        <v>0.755</v>
      </c>
      <c r="J246" s="2" t="n">
        <f aca="false">B246/$B$1003</f>
        <v>0.00169366811182665</v>
      </c>
      <c r="K246" s="5" t="n">
        <f aca="false">J246*LOG(J246,2)</f>
        <v>-0.015591287214108</v>
      </c>
      <c r="N246" s="2" t="n">
        <f aca="false">1/1000*LOG(1/1000,2)</f>
        <v>-0.00996578428466209</v>
      </c>
    </row>
    <row r="247" customFormat="false" ht="13" hidden="false" customHeight="false" outlineLevel="0" collapsed="false">
      <c r="A247" s="4" t="n">
        <v>755</v>
      </c>
      <c r="B247" s="2" t="n">
        <v>17.3281201007069</v>
      </c>
      <c r="C247" s="5" t="n">
        <f aca="false">B247</f>
        <v>17.3281201007069</v>
      </c>
      <c r="D247" s="5" t="n">
        <f aca="false">C247*LOG(C247)</f>
        <v>21.4652338896837</v>
      </c>
      <c r="E247" s="5"/>
      <c r="F247" s="5"/>
      <c r="G247" s="4" t="n">
        <v>246</v>
      </c>
      <c r="H247" s="6" t="n">
        <v>0.754</v>
      </c>
      <c r="J247" s="2" t="n">
        <f aca="false">B247/$B$1003</f>
        <v>0.00169356273745673</v>
      </c>
      <c r="K247" s="5" t="n">
        <f aca="false">J247*LOG(J247,2)</f>
        <v>-0.015590469194673</v>
      </c>
      <c r="N247" s="2" t="n">
        <f aca="false">1/1000*LOG(1/1000,2)</f>
        <v>-0.00996578428466209</v>
      </c>
    </row>
    <row r="248" customFormat="false" ht="13" hidden="false" customHeight="false" outlineLevel="0" collapsed="false">
      <c r="A248" s="4" t="n">
        <v>754</v>
      </c>
      <c r="B248" s="2" t="n">
        <v>17.3119569710085</v>
      </c>
      <c r="C248" s="5" t="n">
        <f aca="false">B248</f>
        <v>17.3119569710085</v>
      </c>
      <c r="D248" s="5" t="n">
        <f aca="false">C248*LOG(C248)</f>
        <v>21.4381955061358</v>
      </c>
      <c r="E248" s="5"/>
      <c r="F248" s="5"/>
      <c r="G248" s="4" t="n">
        <v>247</v>
      </c>
      <c r="H248" s="6" t="n">
        <v>0.753</v>
      </c>
      <c r="J248" s="2" t="n">
        <f aca="false">B248/$B$1003</f>
        <v>0.00169198303498359</v>
      </c>
      <c r="K248" s="5" t="n">
        <f aca="false">J248*LOG(J248,2)</f>
        <v>-0.0155782048572056</v>
      </c>
      <c r="N248" s="2" t="n">
        <f aca="false">1/1000*LOG(1/1000,2)</f>
        <v>-0.00996578428466209</v>
      </c>
    </row>
    <row r="249" customFormat="false" ht="13" hidden="false" customHeight="false" outlineLevel="0" collapsed="false">
      <c r="A249" s="4" t="n">
        <v>753</v>
      </c>
      <c r="B249" s="2" t="n">
        <v>17.2863815709176</v>
      </c>
      <c r="C249" s="5" t="n">
        <f aca="false">B249</f>
        <v>17.2863815709176</v>
      </c>
      <c r="D249" s="5" t="n">
        <f aca="false">C249*LOG(C249)</f>
        <v>21.3954252609692</v>
      </c>
      <c r="E249" s="5"/>
      <c r="F249" s="5"/>
      <c r="G249" s="4" t="n">
        <v>248</v>
      </c>
      <c r="H249" s="6" t="n">
        <v>0.752</v>
      </c>
      <c r="J249" s="2" t="n">
        <f aca="false">B249/$B$1003</f>
        <v>0.0016894834248506</v>
      </c>
      <c r="K249" s="5" t="n">
        <f aca="false">J249*LOG(J249,2)</f>
        <v>-0.0155587942838666</v>
      </c>
      <c r="N249" s="2" t="n">
        <f aca="false">1/1000*LOG(1/1000,2)</f>
        <v>-0.00996578428466209</v>
      </c>
    </row>
    <row r="250" customFormat="false" ht="13" hidden="false" customHeight="false" outlineLevel="0" collapsed="false">
      <c r="A250" s="4" t="n">
        <v>752</v>
      </c>
      <c r="B250" s="2" t="n">
        <v>17.1595619535999</v>
      </c>
      <c r="C250" s="5" t="n">
        <f aca="false">B250</f>
        <v>17.1595619535999</v>
      </c>
      <c r="D250" s="5" t="n">
        <f aca="false">C250*LOG(C250)</f>
        <v>21.1835855705196</v>
      </c>
      <c r="E250" s="5"/>
      <c r="F250" s="5"/>
      <c r="G250" s="4" t="n">
        <v>249</v>
      </c>
      <c r="H250" s="6" t="n">
        <v>0.751</v>
      </c>
      <c r="J250" s="2" t="n">
        <f aca="false">B250/$B$1003</f>
        <v>0.00167708871746055</v>
      </c>
      <c r="K250" s="5" t="n">
        <f aca="false">J250*LOG(J250,2)</f>
        <v>-0.0154624649467195</v>
      </c>
      <c r="N250" s="2" t="n">
        <f aca="false">1/1000*LOG(1/1000,2)</f>
        <v>-0.00996578428466209</v>
      </c>
    </row>
    <row r="251" customFormat="false" ht="13" hidden="false" customHeight="false" outlineLevel="0" collapsed="false">
      <c r="A251" s="4" t="n">
        <v>751</v>
      </c>
      <c r="B251" s="2" t="n">
        <v>17.154105526094</v>
      </c>
      <c r="C251" s="5" t="n">
        <f aca="false">B251</f>
        <v>17.154105526094</v>
      </c>
      <c r="D251" s="5" t="n">
        <f aca="false">C251*LOG(C251)</f>
        <v>21.1744802573931</v>
      </c>
      <c r="E251" s="5"/>
      <c r="F251" s="5"/>
      <c r="G251" s="4" t="n">
        <v>250</v>
      </c>
      <c r="H251" s="6" t="n">
        <v>0.75</v>
      </c>
      <c r="J251" s="2" t="n">
        <f aca="false">B251/$B$1003</f>
        <v>0.00167655543385853</v>
      </c>
      <c r="K251" s="5" t="n">
        <f aca="false">J251*LOG(J251,2)</f>
        <v>-0.0154583174083594</v>
      </c>
      <c r="L251" s="2" t="n">
        <f aca="false">SUM(J202:J251)</f>
        <v>0.087718989345726</v>
      </c>
      <c r="N251" s="2" t="n">
        <f aca="false">1/1000*LOG(1/1000,2)</f>
        <v>-0.00996578428466209</v>
      </c>
    </row>
    <row r="252" customFormat="false" ht="13" hidden="false" customHeight="false" outlineLevel="0" collapsed="false">
      <c r="A252" s="4" t="n">
        <v>750</v>
      </c>
      <c r="B252" s="2" t="n">
        <v>17.1275166930857</v>
      </c>
      <c r="C252" s="5" t="n">
        <f aca="false">B252</f>
        <v>17.1275166930857</v>
      </c>
      <c r="D252" s="5" t="n">
        <f aca="false">C252*LOG(C252)</f>
        <v>21.1301214210963</v>
      </c>
      <c r="E252" s="5"/>
      <c r="F252" s="5"/>
      <c r="G252" s="4" t="n">
        <v>251</v>
      </c>
      <c r="H252" s="6" t="n">
        <v>0.749</v>
      </c>
      <c r="J252" s="2" t="n">
        <f aca="false">B252/$B$1003</f>
        <v>0.00167395677592255</v>
      </c>
      <c r="K252" s="5" t="n">
        <f aca="false">J252*LOG(J252,2)</f>
        <v>-0.0154381032078011</v>
      </c>
      <c r="N252" s="2" t="n">
        <f aca="false">1/1000*LOG(1/1000,2)</f>
        <v>-0.00996578428466209</v>
      </c>
    </row>
    <row r="253" customFormat="false" ht="13" hidden="false" customHeight="false" outlineLevel="0" collapsed="false">
      <c r="A253" s="4" t="n">
        <v>749</v>
      </c>
      <c r="B253" s="2" t="n">
        <v>17.0601364320532</v>
      </c>
      <c r="C253" s="5" t="n">
        <f aca="false">B253</f>
        <v>17.0601364320532</v>
      </c>
      <c r="D253" s="5" t="n">
        <f aca="false">C253*LOG(C253)</f>
        <v>21.0177895310984</v>
      </c>
      <c r="E253" s="5"/>
      <c r="F253" s="5"/>
      <c r="G253" s="4" t="n">
        <v>252</v>
      </c>
      <c r="H253" s="6" t="n">
        <v>0.748</v>
      </c>
      <c r="J253" s="2" t="n">
        <f aca="false">B253/$B$1003</f>
        <v>0.00166737137031239</v>
      </c>
      <c r="K253" s="5" t="n">
        <f aca="false">J253*LOG(J253,2)</f>
        <v>-0.0153868511789762</v>
      </c>
      <c r="N253" s="2" t="n">
        <f aca="false">1/1000*LOG(1/1000,2)</f>
        <v>-0.00996578428466209</v>
      </c>
    </row>
    <row r="254" customFormat="false" ht="13" hidden="false" customHeight="false" outlineLevel="0" collapsed="false">
      <c r="A254" s="4" t="n">
        <v>748</v>
      </c>
      <c r="B254" s="2" t="n">
        <v>16.9355812722842</v>
      </c>
      <c r="C254" s="5" t="n">
        <f aca="false">B254</f>
        <v>16.9355812722842</v>
      </c>
      <c r="D254" s="5" t="n">
        <f aca="false">C254*LOG(C254)</f>
        <v>20.8104440850657</v>
      </c>
      <c r="E254" s="5"/>
      <c r="F254" s="5"/>
      <c r="G254" s="4" t="n">
        <v>253</v>
      </c>
      <c r="H254" s="6" t="n">
        <v>0.747</v>
      </c>
      <c r="J254" s="2" t="n">
        <f aca="false">B254/$B$1003</f>
        <v>0.00165519797953965</v>
      </c>
      <c r="K254" s="5" t="n">
        <f aca="false">J254*LOG(J254,2)</f>
        <v>-0.0152920108094189</v>
      </c>
      <c r="N254" s="2" t="n">
        <f aca="false">1/1000*LOG(1/1000,2)</f>
        <v>-0.00996578428466209</v>
      </c>
    </row>
    <row r="255" customFormat="false" ht="13" hidden="false" customHeight="false" outlineLevel="0" collapsed="false">
      <c r="A255" s="4" t="n">
        <v>747</v>
      </c>
      <c r="B255" s="2" t="n">
        <v>16.8842632758174</v>
      </c>
      <c r="C255" s="5" t="n">
        <f aca="false">B255</f>
        <v>16.8842632758174</v>
      </c>
      <c r="D255" s="5" t="n">
        <f aca="false">C255*LOG(C255)</f>
        <v>20.7251312040569</v>
      </c>
      <c r="E255" s="5"/>
      <c r="F255" s="5"/>
      <c r="G255" s="4" t="n">
        <v>254</v>
      </c>
      <c r="H255" s="6" t="n">
        <v>0.746</v>
      </c>
      <c r="J255" s="2" t="n">
        <f aca="false">B255/$B$1003</f>
        <v>0.00165018241835517</v>
      </c>
      <c r="K255" s="5" t="n">
        <f aca="false">J255*LOG(J255,2)</f>
        <v>-0.0152528980916248</v>
      </c>
      <c r="N255" s="2" t="n">
        <f aca="false">1/1000*LOG(1/1000,2)</f>
        <v>-0.00996578428466209</v>
      </c>
    </row>
    <row r="256" customFormat="false" ht="13" hidden="false" customHeight="false" outlineLevel="0" collapsed="false">
      <c r="A256" s="4" t="n">
        <v>746</v>
      </c>
      <c r="B256" s="2" t="n">
        <v>16.8351257670313</v>
      </c>
      <c r="C256" s="5" t="n">
        <f aca="false">B256</f>
        <v>16.8351257670313</v>
      </c>
      <c r="D256" s="5" t="n">
        <f aca="false">C256*LOG(C256)</f>
        <v>20.6435067247061</v>
      </c>
      <c r="E256" s="5"/>
      <c r="F256" s="5"/>
      <c r="G256" s="4" t="n">
        <v>255</v>
      </c>
      <c r="H256" s="6" t="n">
        <v>0.745</v>
      </c>
      <c r="J256" s="2" t="n">
        <f aca="false">B256/$B$1003</f>
        <v>0.0016453799669982</v>
      </c>
      <c r="K256" s="5" t="n">
        <f aca="false">J256*LOG(J256,2)</f>
        <v>-0.0152154266524008</v>
      </c>
      <c r="N256" s="2" t="n">
        <f aca="false">1/1000*LOG(1/1000,2)</f>
        <v>-0.00996578428466209</v>
      </c>
    </row>
    <row r="257" customFormat="false" ht="13" hidden="false" customHeight="false" outlineLevel="0" collapsed="false">
      <c r="A257" s="4" t="n">
        <v>745</v>
      </c>
      <c r="B257" s="2" t="n">
        <v>16.8161617742418</v>
      </c>
      <c r="C257" s="5" t="n">
        <f aca="false">B257</f>
        <v>16.8161617742418</v>
      </c>
      <c r="D257" s="5" t="n">
        <f aca="false">C257*LOG(C257)</f>
        <v>20.6120214494317</v>
      </c>
      <c r="E257" s="5"/>
      <c r="F257" s="5"/>
      <c r="G257" s="4" t="n">
        <v>256</v>
      </c>
      <c r="H257" s="6" t="n">
        <v>0.744</v>
      </c>
      <c r="J257" s="2" t="n">
        <f aca="false">B257/$B$1003</f>
        <v>0.00164352652234551</v>
      </c>
      <c r="K257" s="5" t="n">
        <f aca="false">J257*LOG(J257,2)</f>
        <v>-0.0152009596247676</v>
      </c>
      <c r="N257" s="2" t="n">
        <f aca="false">1/1000*LOG(1/1000,2)</f>
        <v>-0.00996578428466209</v>
      </c>
    </row>
    <row r="258" customFormat="false" ht="13" hidden="false" customHeight="false" outlineLevel="0" collapsed="false">
      <c r="A258" s="4" t="n">
        <v>744</v>
      </c>
      <c r="B258" s="2" t="n">
        <v>16.807926246084</v>
      </c>
      <c r="C258" s="5" t="n">
        <f aca="false">B258</f>
        <v>16.807926246084</v>
      </c>
      <c r="D258" s="5" t="n">
        <f aca="false">C258*LOG(C258)</f>
        <v>20.5983511727443</v>
      </c>
      <c r="E258" s="5"/>
      <c r="F258" s="5"/>
      <c r="G258" s="4" t="n">
        <v>257</v>
      </c>
      <c r="H258" s="6" t="n">
        <v>0.743</v>
      </c>
      <c r="J258" s="2" t="n">
        <f aca="false">B258/$B$1003</f>
        <v>0.00164272162351457</v>
      </c>
      <c r="K258" s="5" t="n">
        <f aca="false">J258*LOG(J258,2)</f>
        <v>-0.0151946760630514</v>
      </c>
      <c r="N258" s="2" t="n">
        <f aca="false">1/1000*LOG(1/1000,2)</f>
        <v>-0.00996578428466209</v>
      </c>
    </row>
    <row r="259" customFormat="false" ht="13" hidden="false" customHeight="false" outlineLevel="0" collapsed="false">
      <c r="A259" s="4" t="n">
        <v>743</v>
      </c>
      <c r="B259" s="2" t="n">
        <v>16.7653345038291</v>
      </c>
      <c r="C259" s="5" t="n">
        <f aca="false">B259</f>
        <v>16.7653345038291</v>
      </c>
      <c r="D259" s="5" t="n">
        <f aca="false">C259*LOG(C259)</f>
        <v>20.5276804882224</v>
      </c>
      <c r="E259" s="5"/>
      <c r="F259" s="5"/>
      <c r="G259" s="4" t="n">
        <v>258</v>
      </c>
      <c r="H259" s="6" t="n">
        <v>0.742</v>
      </c>
      <c r="J259" s="2" t="n">
        <f aca="false">B259/$B$1003</f>
        <v>0.00163855892224132</v>
      </c>
      <c r="K259" s="5" t="n">
        <f aca="false">J259*LOG(J259,2)</f>
        <v>-0.0151621702336253</v>
      </c>
      <c r="N259" s="2" t="n">
        <f aca="false">1/1000*LOG(1/1000,2)</f>
        <v>-0.00996578428466209</v>
      </c>
    </row>
    <row r="260" customFormat="false" ht="13" hidden="false" customHeight="false" outlineLevel="0" collapsed="false">
      <c r="A260" s="4" t="n">
        <v>742</v>
      </c>
      <c r="B260" s="2" t="n">
        <v>16.6723305837858</v>
      </c>
      <c r="C260" s="5" t="n">
        <f aca="false">B260</f>
        <v>16.6723305837858</v>
      </c>
      <c r="D260" s="5" t="n">
        <f aca="false">C260*LOG(C260)</f>
        <v>20.3735265028571</v>
      </c>
      <c r="E260" s="5"/>
      <c r="F260" s="5"/>
      <c r="G260" s="4" t="n">
        <v>259</v>
      </c>
      <c r="H260" s="6" t="n">
        <v>0.741</v>
      </c>
      <c r="J260" s="2" t="n">
        <f aca="false">B260/$B$1003</f>
        <v>0.00162946918991564</v>
      </c>
      <c r="K260" s="5" t="n">
        <f aca="false">J260*LOG(J260,2)</f>
        <v>-0.0150911369686572</v>
      </c>
      <c r="N260" s="2" t="n">
        <f aca="false">1/1000*LOG(1/1000,2)</f>
        <v>-0.00996578428466209</v>
      </c>
    </row>
    <row r="261" customFormat="false" ht="13" hidden="false" customHeight="false" outlineLevel="0" collapsed="false">
      <c r="A261" s="4" t="n">
        <v>741</v>
      </c>
      <c r="B261" s="2" t="n">
        <v>16.6440800971244</v>
      </c>
      <c r="C261" s="5" t="n">
        <f aca="false">B261</f>
        <v>16.6440800971244</v>
      </c>
      <c r="D261" s="5" t="n">
        <f aca="false">C261*LOG(C261)</f>
        <v>20.3267458823738</v>
      </c>
      <c r="E261" s="5"/>
      <c r="F261" s="5"/>
      <c r="G261" s="4" t="n">
        <v>260</v>
      </c>
      <c r="H261" s="6" t="n">
        <v>0.74</v>
      </c>
      <c r="J261" s="2" t="n">
        <f aca="false">B261/$B$1003</f>
        <v>0.0016267081303635</v>
      </c>
      <c r="K261" s="5" t="n">
        <f aca="false">J261*LOG(J261,2)</f>
        <v>-0.0150695457310387</v>
      </c>
      <c r="N261" s="2" t="n">
        <f aca="false">1/1000*LOG(1/1000,2)</f>
        <v>-0.00996578428466209</v>
      </c>
    </row>
    <row r="262" customFormat="false" ht="13" hidden="false" customHeight="false" outlineLevel="0" collapsed="false">
      <c r="A262" s="4" t="n">
        <v>740</v>
      </c>
      <c r="B262" s="2" t="n">
        <v>16.6120750404874</v>
      </c>
      <c r="C262" s="5" t="n">
        <f aca="false">B262</f>
        <v>16.6120750404874</v>
      </c>
      <c r="D262" s="5" t="n">
        <f aca="false">C262*LOG(C262)</f>
        <v>20.2737731463365</v>
      </c>
      <c r="E262" s="5"/>
      <c r="F262" s="5"/>
      <c r="G262" s="4" t="n">
        <v>261</v>
      </c>
      <c r="H262" s="6" t="n">
        <v>0.739</v>
      </c>
      <c r="J262" s="2" t="n">
        <f aca="false">B262/$B$1003</f>
        <v>0.00162358011814892</v>
      </c>
      <c r="K262" s="5" t="n">
        <f aca="false">J262*LOG(J262,2)</f>
        <v>-0.0150450767873036</v>
      </c>
      <c r="N262" s="2" t="n">
        <f aca="false">1/1000*LOG(1/1000,2)</f>
        <v>-0.00996578428466209</v>
      </c>
    </row>
    <row r="263" customFormat="false" ht="13" hidden="false" customHeight="false" outlineLevel="0" collapsed="false">
      <c r="A263" s="4" t="n">
        <v>739</v>
      </c>
      <c r="B263" s="2" t="n">
        <v>16.6061930232651</v>
      </c>
      <c r="C263" s="5" t="n">
        <f aca="false">B263</f>
        <v>16.6061930232651</v>
      </c>
      <c r="D263" s="5" t="n">
        <f aca="false">C263*LOG(C263)</f>
        <v>20.2640405167167</v>
      </c>
      <c r="E263" s="5"/>
      <c r="F263" s="5"/>
      <c r="G263" s="4" t="n">
        <v>262</v>
      </c>
      <c r="H263" s="6" t="n">
        <v>0.738</v>
      </c>
      <c r="J263" s="2" t="n">
        <f aca="false">B263/$B$1003</f>
        <v>0.0016230052395625</v>
      </c>
      <c r="K263" s="5" t="n">
        <f aca="false">J263*LOG(J263,2)</f>
        <v>-0.0150405788417499</v>
      </c>
      <c r="N263" s="2" t="n">
        <f aca="false">1/1000*LOG(1/1000,2)</f>
        <v>-0.00996578428466209</v>
      </c>
    </row>
    <row r="264" customFormat="false" ht="13" hidden="false" customHeight="false" outlineLevel="0" collapsed="false">
      <c r="A264" s="4" t="n">
        <v>738</v>
      </c>
      <c r="B264" s="2" t="n">
        <v>16.5604128463019</v>
      </c>
      <c r="C264" s="5" t="n">
        <f aca="false">B264</f>
        <v>16.5604128463019</v>
      </c>
      <c r="D264" s="5" t="n">
        <f aca="false">C264*LOG(C264)</f>
        <v>20.1883216890089</v>
      </c>
      <c r="E264" s="5"/>
      <c r="F264" s="5"/>
      <c r="G264" s="4" t="n">
        <v>263</v>
      </c>
      <c r="H264" s="6" t="n">
        <v>0.737</v>
      </c>
      <c r="J264" s="2" t="n">
        <f aca="false">B264/$B$1003</f>
        <v>0.00161853091682187</v>
      </c>
      <c r="K264" s="5" t="n">
        <f aca="false">J264*LOG(J264,2)</f>
        <v>-0.0150055609483955</v>
      </c>
      <c r="N264" s="2" t="n">
        <f aca="false">1/1000*LOG(1/1000,2)</f>
        <v>-0.00996578428466209</v>
      </c>
    </row>
    <row r="265" customFormat="false" ht="13" hidden="false" customHeight="false" outlineLevel="0" collapsed="false">
      <c r="A265" s="4" t="n">
        <v>737</v>
      </c>
      <c r="B265" s="2" t="n">
        <v>16.5602426120061</v>
      </c>
      <c r="C265" s="5" t="n">
        <f aca="false">B265</f>
        <v>16.5602426120061</v>
      </c>
      <c r="D265" s="5" t="n">
        <f aca="false">C265*LOG(C265)</f>
        <v>20.1880402298532</v>
      </c>
      <c r="E265" s="5"/>
      <c r="F265" s="5"/>
      <c r="G265" s="4" t="n">
        <v>264</v>
      </c>
      <c r="H265" s="6" t="n">
        <v>0.736</v>
      </c>
      <c r="J265" s="2" t="n">
        <f aca="false">B265/$B$1003</f>
        <v>0.00161851427898358</v>
      </c>
      <c r="K265" s="5" t="n">
        <f aca="false">J265*LOG(J265,2)</f>
        <v>-0.015005430700547</v>
      </c>
      <c r="N265" s="2" t="n">
        <f aca="false">1/1000*LOG(1/1000,2)</f>
        <v>-0.00996578428466209</v>
      </c>
    </row>
    <row r="266" customFormat="false" ht="13" hidden="false" customHeight="false" outlineLevel="0" collapsed="false">
      <c r="A266" s="4" t="n">
        <v>736</v>
      </c>
      <c r="B266" s="2" t="n">
        <v>16.4943429239193</v>
      </c>
      <c r="C266" s="5" t="n">
        <f aca="false">B266</f>
        <v>16.4943429239193</v>
      </c>
      <c r="D266" s="5" t="n">
        <f aca="false">C266*LOG(C266)</f>
        <v>20.0791412645196</v>
      </c>
      <c r="E266" s="5"/>
      <c r="F266" s="5"/>
      <c r="G266" s="4" t="n">
        <v>265</v>
      </c>
      <c r="H266" s="6" t="n">
        <v>0.735</v>
      </c>
      <c r="J266" s="2" t="n">
        <f aca="false">B266/$B$1003</f>
        <v>0.00161207357707794</v>
      </c>
      <c r="K266" s="5" t="n">
        <f aca="false">J266*LOG(J266,2)</f>
        <v>-0.0149549916736442</v>
      </c>
      <c r="N266" s="2" t="n">
        <f aca="false">1/1000*LOG(1/1000,2)</f>
        <v>-0.00996578428466209</v>
      </c>
    </row>
    <row r="267" customFormat="false" ht="13" hidden="false" customHeight="false" outlineLevel="0" collapsed="false">
      <c r="A267" s="4" t="n">
        <v>735</v>
      </c>
      <c r="B267" s="2" t="n">
        <v>16.4797382659233</v>
      </c>
      <c r="C267" s="5" t="n">
        <f aca="false">B267</f>
        <v>16.4797382659233</v>
      </c>
      <c r="D267" s="5" t="n">
        <f aca="false">C267*LOG(C267)</f>
        <v>20.0550225893772</v>
      </c>
      <c r="E267" s="5"/>
      <c r="F267" s="5"/>
      <c r="G267" s="4" t="n">
        <v>266</v>
      </c>
      <c r="H267" s="6" t="n">
        <v>0.734</v>
      </c>
      <c r="J267" s="2" t="n">
        <f aca="false">B267/$B$1003</f>
        <v>0.00161064619173945</v>
      </c>
      <c r="K267" s="5" t="n">
        <f aca="false">J267*LOG(J267,2)</f>
        <v>-0.0149438083799403</v>
      </c>
      <c r="N267" s="2" t="n">
        <f aca="false">1/1000*LOG(1/1000,2)</f>
        <v>-0.00996578428466209</v>
      </c>
    </row>
    <row r="268" customFormat="false" ht="13" hidden="false" customHeight="false" outlineLevel="0" collapsed="false">
      <c r="A268" s="4" t="n">
        <v>734</v>
      </c>
      <c r="B268" s="2" t="n">
        <v>16.4002196708109</v>
      </c>
      <c r="C268" s="5" t="n">
        <f aca="false">B268</f>
        <v>16.4002196708109</v>
      </c>
      <c r="D268" s="5" t="n">
        <f aca="false">C268*LOG(C268)</f>
        <v>19.9238013761754</v>
      </c>
      <c r="E268" s="5"/>
      <c r="F268" s="5"/>
      <c r="G268" s="4" t="n">
        <v>267</v>
      </c>
      <c r="H268" s="6" t="n">
        <v>0.733</v>
      </c>
      <c r="J268" s="2" t="n">
        <f aca="false">B268/$B$1003</f>
        <v>0.00160287444680494</v>
      </c>
      <c r="K268" s="5" t="n">
        <f aca="false">J268*LOG(J268,2)</f>
        <v>-0.0148828861694731</v>
      </c>
      <c r="N268" s="2" t="n">
        <f aca="false">1/1000*LOG(1/1000,2)</f>
        <v>-0.00996578428466209</v>
      </c>
    </row>
    <row r="269" customFormat="false" ht="13" hidden="false" customHeight="false" outlineLevel="0" collapsed="false">
      <c r="A269" s="4" t="n">
        <v>733</v>
      </c>
      <c r="B269" s="2" t="n">
        <v>16.3201116832275</v>
      </c>
      <c r="C269" s="5" t="n">
        <f aca="false">B269</f>
        <v>16.3201116832275</v>
      </c>
      <c r="D269" s="5" t="n">
        <f aca="false">C269*LOG(C269)</f>
        <v>19.7917768641755</v>
      </c>
      <c r="E269" s="5"/>
      <c r="F269" s="5"/>
      <c r="G269" s="4" t="n">
        <v>268</v>
      </c>
      <c r="H269" s="6" t="n">
        <v>0.732</v>
      </c>
      <c r="J269" s="2" t="n">
        <f aca="false">B269/$B$1003</f>
        <v>0.00159504509763403</v>
      </c>
      <c r="K269" s="5" t="n">
        <f aca="false">J269*LOG(J269,2)</f>
        <v>-0.0148214574322104</v>
      </c>
      <c r="N269" s="2" t="n">
        <f aca="false">1/1000*LOG(1/1000,2)</f>
        <v>-0.00996578428466209</v>
      </c>
    </row>
    <row r="270" customFormat="false" ht="13" hidden="false" customHeight="false" outlineLevel="0" collapsed="false">
      <c r="A270" s="4" t="n">
        <v>732</v>
      </c>
      <c r="B270" s="2" t="n">
        <v>16.3136280193126</v>
      </c>
      <c r="C270" s="5" t="n">
        <f aca="false">B270</f>
        <v>16.3136280193126</v>
      </c>
      <c r="D270" s="5" t="n">
        <f aca="false">C270*LOG(C270)</f>
        <v>19.7810987149504</v>
      </c>
      <c r="E270" s="5"/>
      <c r="F270" s="5"/>
      <c r="G270" s="4" t="n">
        <v>269</v>
      </c>
      <c r="H270" s="6" t="n">
        <v>0.731</v>
      </c>
      <c r="J270" s="2" t="n">
        <f aca="false">B270/$B$1003</f>
        <v>0.00159441141714563</v>
      </c>
      <c r="K270" s="5" t="n">
        <f aca="false">J270*LOG(J270,2)</f>
        <v>-0.0148164831806452</v>
      </c>
      <c r="N270" s="2" t="n">
        <f aca="false">1/1000*LOG(1/1000,2)</f>
        <v>-0.00996578428466209</v>
      </c>
    </row>
    <row r="271" customFormat="false" ht="13" hidden="false" customHeight="false" outlineLevel="0" collapsed="false">
      <c r="A271" s="4" t="n">
        <v>731</v>
      </c>
      <c r="B271" s="2" t="n">
        <v>16.2829985421885</v>
      </c>
      <c r="C271" s="5" t="n">
        <f aca="false">B271</f>
        <v>16.2829985421885</v>
      </c>
      <c r="D271" s="5" t="n">
        <f aca="false">C271*LOG(C271)</f>
        <v>19.7306692080905</v>
      </c>
      <c r="E271" s="5"/>
      <c r="F271" s="5"/>
      <c r="G271" s="4" t="n">
        <v>270</v>
      </c>
      <c r="H271" s="6" t="n">
        <v>0.73</v>
      </c>
      <c r="J271" s="2" t="n">
        <f aca="false">B271/$B$1003</f>
        <v>0.00159141784710897</v>
      </c>
      <c r="K271" s="5" t="n">
        <f aca="false">J271*LOG(J271,2)</f>
        <v>-0.0147929794034779</v>
      </c>
      <c r="N271" s="2" t="n">
        <f aca="false">1/1000*LOG(1/1000,2)</f>
        <v>-0.00996578428466209</v>
      </c>
    </row>
    <row r="272" customFormat="false" ht="13" hidden="false" customHeight="false" outlineLevel="0" collapsed="false">
      <c r="A272" s="4" t="n">
        <v>730</v>
      </c>
      <c r="B272" s="2" t="n">
        <v>16.2692192825747</v>
      </c>
      <c r="C272" s="5" t="n">
        <f aca="false">B272</f>
        <v>16.2692192825747</v>
      </c>
      <c r="D272" s="5" t="n">
        <f aca="false">C272*LOG(C272)</f>
        <v>19.7079906817766</v>
      </c>
      <c r="E272" s="5"/>
      <c r="F272" s="5"/>
      <c r="G272" s="4" t="n">
        <v>271</v>
      </c>
      <c r="H272" s="6" t="n">
        <v>0.729</v>
      </c>
      <c r="J272" s="2" t="n">
        <f aca="false">B272/$B$1003</f>
        <v>0.00159007113202989</v>
      </c>
      <c r="K272" s="5" t="n">
        <f aca="false">J272*LOG(J272,2)</f>
        <v>-0.0147824031285639</v>
      </c>
      <c r="N272" s="2" t="n">
        <f aca="false">1/1000*LOG(1/1000,2)</f>
        <v>-0.00996578428466209</v>
      </c>
    </row>
    <row r="273" customFormat="false" ht="13" hidden="false" customHeight="false" outlineLevel="0" collapsed="false">
      <c r="A273" s="4" t="n">
        <v>729</v>
      </c>
      <c r="B273" s="2" t="n">
        <v>16.232943546586</v>
      </c>
      <c r="C273" s="5" t="n">
        <f aca="false">B273</f>
        <v>16.232943546586</v>
      </c>
      <c r="D273" s="5" t="n">
        <f aca="false">C273*LOG(C273)</f>
        <v>19.6483106876844</v>
      </c>
      <c r="E273" s="5"/>
      <c r="F273" s="5"/>
      <c r="G273" s="4" t="n">
        <v>272</v>
      </c>
      <c r="H273" s="6" t="n">
        <v>0.728</v>
      </c>
      <c r="J273" s="2" t="n">
        <f aca="false">B273/$B$1003</f>
        <v>0.0015865257252352</v>
      </c>
      <c r="K273" s="5" t="n">
        <f aca="false">J273*LOG(J273,2)</f>
        <v>-0.0147545518042349</v>
      </c>
      <c r="N273" s="2" t="n">
        <f aca="false">1/1000*LOG(1/1000,2)</f>
        <v>-0.00996578428466209</v>
      </c>
    </row>
    <row r="274" customFormat="false" ht="13" hidden="false" customHeight="false" outlineLevel="0" collapsed="false">
      <c r="A274" s="4" t="n">
        <v>728</v>
      </c>
      <c r="B274" s="2" t="n">
        <v>16.1042991719833</v>
      </c>
      <c r="C274" s="5" t="n">
        <f aca="false">B274</f>
        <v>16.1042991719833</v>
      </c>
      <c r="D274" s="5" t="n">
        <f aca="false">C274*LOG(C274)</f>
        <v>19.4369523120407</v>
      </c>
      <c r="E274" s="5"/>
      <c r="F274" s="5"/>
      <c r="G274" s="4" t="n">
        <v>273</v>
      </c>
      <c r="H274" s="6" t="n">
        <v>0.727</v>
      </c>
      <c r="J274" s="2" t="n">
        <f aca="false">B274/$B$1003</f>
        <v>0.0015739526753057</v>
      </c>
      <c r="K274" s="5" t="n">
        <f aca="false">J274*LOG(J274,2)</f>
        <v>-0.01465569054011</v>
      </c>
      <c r="N274" s="2" t="n">
        <f aca="false">1/1000*LOG(1/1000,2)</f>
        <v>-0.00996578428466209</v>
      </c>
    </row>
    <row r="275" customFormat="false" ht="13" hidden="false" customHeight="false" outlineLevel="0" collapsed="false">
      <c r="A275" s="4" t="n">
        <v>727</v>
      </c>
      <c r="B275" s="2" t="n">
        <v>16.0644354082436</v>
      </c>
      <c r="C275" s="5" t="n">
        <f aca="false">B275</f>
        <v>16.0644354082436</v>
      </c>
      <c r="D275" s="5" t="n">
        <f aca="false">C275*LOG(C275)</f>
        <v>19.3715479005484</v>
      </c>
      <c r="E275" s="5"/>
      <c r="F275" s="5"/>
      <c r="G275" s="4" t="n">
        <v>274</v>
      </c>
      <c r="H275" s="6" t="n">
        <v>0.726</v>
      </c>
      <c r="J275" s="2" t="n">
        <f aca="false">B275/$B$1003</f>
        <v>0.00157005659284252</v>
      </c>
      <c r="K275" s="5" t="n">
        <f aca="false">J275*LOG(J275,2)</f>
        <v>-0.0146250264848656</v>
      </c>
      <c r="N275" s="2" t="n">
        <f aca="false">1/1000*LOG(1/1000,2)</f>
        <v>-0.00996578428466209</v>
      </c>
    </row>
    <row r="276" customFormat="false" ht="13" hidden="false" customHeight="false" outlineLevel="0" collapsed="false">
      <c r="A276" s="4" t="n">
        <v>726</v>
      </c>
      <c r="B276" s="2" t="n">
        <v>16.0586296729861</v>
      </c>
      <c r="C276" s="5" t="n">
        <f aca="false">B276</f>
        <v>16.0586296729861</v>
      </c>
      <c r="D276" s="5" t="n">
        <f aca="false">C276*LOG(C276)</f>
        <v>19.3620260217823</v>
      </c>
      <c r="E276" s="5"/>
      <c r="F276" s="5"/>
      <c r="G276" s="4" t="n">
        <v>275</v>
      </c>
      <c r="H276" s="6" t="n">
        <v>0.725</v>
      </c>
      <c r="J276" s="2" t="n">
        <f aca="false">B276/$B$1003</f>
        <v>0.00156948916966917</v>
      </c>
      <c r="K276" s="5" t="n">
        <f aca="false">J276*LOG(J276,2)</f>
        <v>-0.0146205594269756</v>
      </c>
      <c r="N276" s="2" t="n">
        <f aca="false">1/1000*LOG(1/1000,2)</f>
        <v>-0.00996578428466209</v>
      </c>
    </row>
    <row r="277" customFormat="false" ht="13" hidden="false" customHeight="false" outlineLevel="0" collapsed="false">
      <c r="A277" s="4" t="n">
        <v>725</v>
      </c>
      <c r="B277" s="2" t="n">
        <v>16.0355420086795</v>
      </c>
      <c r="C277" s="5" t="n">
        <f aca="false">B277</f>
        <v>16.0355420086795</v>
      </c>
      <c r="D277" s="5" t="n">
        <f aca="false">C277*LOG(C277)</f>
        <v>19.3241693951755</v>
      </c>
      <c r="E277" s="5"/>
      <c r="F277" s="5"/>
      <c r="G277" s="4" t="n">
        <v>276</v>
      </c>
      <c r="H277" s="6" t="n">
        <v>0.724</v>
      </c>
      <c r="J277" s="2" t="n">
        <f aca="false">B277/$B$1003</f>
        <v>0.00156723269823792</v>
      </c>
      <c r="K277" s="5" t="n">
        <f aca="false">J277*LOG(J277,2)</f>
        <v>-0.0146027923505623</v>
      </c>
      <c r="N277" s="2" t="n">
        <f aca="false">1/1000*LOG(1/1000,2)</f>
        <v>-0.00996578428466209</v>
      </c>
    </row>
    <row r="278" customFormat="false" ht="13" hidden="false" customHeight="false" outlineLevel="0" collapsed="false">
      <c r="A278" s="4" t="n">
        <v>724</v>
      </c>
      <c r="B278" s="2" t="n">
        <v>15.9766636634326</v>
      </c>
      <c r="C278" s="5" t="n">
        <f aca="false">B278</f>
        <v>15.9766636634326</v>
      </c>
      <c r="D278" s="5" t="n">
        <f aca="false">C278*LOG(C278)</f>
        <v>19.2276925256492</v>
      </c>
      <c r="E278" s="5"/>
      <c r="F278" s="5"/>
      <c r="G278" s="4" t="n">
        <v>277</v>
      </c>
      <c r="H278" s="6" t="n">
        <v>0.723</v>
      </c>
      <c r="J278" s="2" t="n">
        <f aca="false">B278/$B$1003</f>
        <v>0.00156147822683689</v>
      </c>
      <c r="K278" s="5" t="n">
        <f aca="false">J278*LOG(J278,2)</f>
        <v>-0.0145574613772909</v>
      </c>
      <c r="N278" s="2" t="n">
        <f aca="false">1/1000*LOG(1/1000,2)</f>
        <v>-0.00996578428466209</v>
      </c>
    </row>
    <row r="279" customFormat="false" ht="13" hidden="false" customHeight="false" outlineLevel="0" collapsed="false">
      <c r="A279" s="4" t="n">
        <v>723</v>
      </c>
      <c r="B279" s="2" t="n">
        <v>15.9310042570427</v>
      </c>
      <c r="C279" s="5" t="n">
        <f aca="false">B279</f>
        <v>15.9310042570427</v>
      </c>
      <c r="D279" s="5" t="n">
        <f aca="false">C279*LOG(C279)</f>
        <v>19.1529407992111</v>
      </c>
      <c r="E279" s="5"/>
      <c r="F279" s="5"/>
      <c r="G279" s="4" t="n">
        <v>278</v>
      </c>
      <c r="H279" s="6" t="n">
        <v>0.722</v>
      </c>
      <c r="J279" s="2" t="n">
        <f aca="false">B279/$B$1003</f>
        <v>0.00155701570760069</v>
      </c>
      <c r="K279" s="5" t="n">
        <f aca="false">J279*LOG(J279,2)</f>
        <v>-0.0145222867284024</v>
      </c>
      <c r="N279" s="2" t="n">
        <f aca="false">1/1000*LOG(1/1000,2)</f>
        <v>-0.00996578428466209</v>
      </c>
    </row>
    <row r="280" customFormat="false" ht="13" hidden="false" customHeight="false" outlineLevel="0" collapsed="false">
      <c r="A280" s="4" t="n">
        <v>722</v>
      </c>
      <c r="B280" s="2" t="n">
        <v>15.9266043196405</v>
      </c>
      <c r="C280" s="5" t="n">
        <f aca="false">B280</f>
        <v>15.9266043196405</v>
      </c>
      <c r="D280" s="5" t="n">
        <f aca="false">C280*LOG(C280)</f>
        <v>19.1457403999611</v>
      </c>
      <c r="E280" s="5"/>
      <c r="F280" s="5"/>
      <c r="G280" s="4" t="n">
        <v>279</v>
      </c>
      <c r="H280" s="6" t="n">
        <v>0.721</v>
      </c>
      <c r="J280" s="2" t="n">
        <f aca="false">B280/$B$1003</f>
        <v>0.00155658567999307</v>
      </c>
      <c r="K280" s="5" t="n">
        <f aca="false">J280*LOG(J280,2)</f>
        <v>-0.0145188961735842</v>
      </c>
      <c r="N280" s="2" t="n">
        <f aca="false">1/1000*LOG(1/1000,2)</f>
        <v>-0.00996578428466209</v>
      </c>
    </row>
    <row r="281" customFormat="false" ht="13" hidden="false" customHeight="false" outlineLevel="0" collapsed="false">
      <c r="A281" s="4" t="n">
        <v>721</v>
      </c>
      <c r="B281" s="2" t="n">
        <v>15.8745989948068</v>
      </c>
      <c r="C281" s="5" t="n">
        <f aca="false">B281</f>
        <v>15.8745989948068</v>
      </c>
      <c r="D281" s="5" t="n">
        <f aca="false">C281*LOG(C281)</f>
        <v>19.0606748820928</v>
      </c>
      <c r="E281" s="5"/>
      <c r="F281" s="5"/>
      <c r="G281" s="4" t="n">
        <v>280</v>
      </c>
      <c r="H281" s="6" t="n">
        <v>0.72</v>
      </c>
      <c r="J281" s="2" t="n">
        <f aca="false">B281/$B$1003</f>
        <v>0.00155150294281352</v>
      </c>
      <c r="K281" s="5" t="n">
        <f aca="false">J281*LOG(J281,2)</f>
        <v>-0.0144788083090687</v>
      </c>
      <c r="N281" s="2" t="n">
        <f aca="false">1/1000*LOG(1/1000,2)</f>
        <v>-0.00996578428466209</v>
      </c>
    </row>
    <row r="282" customFormat="false" ht="13" hidden="false" customHeight="false" outlineLevel="0" collapsed="false">
      <c r="A282" s="4" t="n">
        <v>720</v>
      </c>
      <c r="B282" s="2" t="n">
        <v>15.779091487835</v>
      </c>
      <c r="C282" s="5" t="n">
        <f aca="false">B282</f>
        <v>15.779091487835</v>
      </c>
      <c r="D282" s="5" t="n">
        <f aca="false">C282*LOG(C282)</f>
        <v>18.9046453969772</v>
      </c>
      <c r="E282" s="5"/>
      <c r="F282" s="5"/>
      <c r="G282" s="4" t="n">
        <v>281</v>
      </c>
      <c r="H282" s="6" t="n">
        <v>0.719</v>
      </c>
      <c r="J282" s="2" t="n">
        <f aca="false">B282/$B$1003</f>
        <v>0.0015421685225755</v>
      </c>
      <c r="K282" s="5" t="n">
        <f aca="false">J282*LOG(J282,2)</f>
        <v>-0.0144051245292233</v>
      </c>
      <c r="N282" s="2" t="n">
        <f aca="false">1/1000*LOG(1/1000,2)</f>
        <v>-0.00996578428466209</v>
      </c>
    </row>
    <row r="283" customFormat="false" ht="13" hidden="false" customHeight="false" outlineLevel="0" collapsed="false">
      <c r="A283" s="4" t="n">
        <v>719</v>
      </c>
      <c r="B283" s="2" t="n">
        <v>15.7511369707123</v>
      </c>
      <c r="C283" s="5" t="n">
        <f aca="false">B283</f>
        <v>15.7511369707123</v>
      </c>
      <c r="D283" s="5" t="n">
        <f aca="false">C283*LOG(C283)</f>
        <v>18.8590238613362</v>
      </c>
      <c r="E283" s="5"/>
      <c r="F283" s="5"/>
      <c r="G283" s="4" t="n">
        <v>282</v>
      </c>
      <c r="H283" s="6" t="n">
        <v>0.718</v>
      </c>
      <c r="J283" s="2" t="n">
        <f aca="false">B283/$B$1003</f>
        <v>0.00153943638958777</v>
      </c>
      <c r="K283" s="5" t="n">
        <f aca="false">J283*LOG(J283,2)</f>
        <v>-0.0143835422973413</v>
      </c>
      <c r="N283" s="2" t="n">
        <f aca="false">1/1000*LOG(1/1000,2)</f>
        <v>-0.00996578428466209</v>
      </c>
    </row>
    <row r="284" customFormat="false" ht="13" hidden="false" customHeight="false" outlineLevel="0" collapsed="false">
      <c r="A284" s="4" t="n">
        <v>718</v>
      </c>
      <c r="B284" s="2" t="n">
        <v>15.7488467162926</v>
      </c>
      <c r="C284" s="5" t="n">
        <f aca="false">B284</f>
        <v>15.7488467162926</v>
      </c>
      <c r="D284" s="5" t="n">
        <f aca="false">C284*LOG(C284)</f>
        <v>18.8552871399057</v>
      </c>
      <c r="E284" s="5"/>
      <c r="F284" s="5"/>
      <c r="G284" s="4" t="n">
        <v>283</v>
      </c>
      <c r="H284" s="6" t="n">
        <v>0.717</v>
      </c>
      <c r="J284" s="2" t="n">
        <f aca="false">B284/$B$1003</f>
        <v>0.00153921255171488</v>
      </c>
      <c r="K284" s="5" t="n">
        <f aca="false">J284*LOG(J284,2)</f>
        <v>-0.014381773800893</v>
      </c>
      <c r="N284" s="2" t="n">
        <f aca="false">1/1000*LOG(1/1000,2)</f>
        <v>-0.00996578428466209</v>
      </c>
    </row>
    <row r="285" customFormat="false" ht="13" hidden="false" customHeight="false" outlineLevel="0" collapsed="false">
      <c r="A285" s="4" t="n">
        <v>717</v>
      </c>
      <c r="B285" s="2" t="n">
        <v>15.7348825284485</v>
      </c>
      <c r="C285" s="5" t="n">
        <f aca="false">B285</f>
        <v>15.7348825284485</v>
      </c>
      <c r="D285" s="5" t="n">
        <f aca="false">C285*LOG(C285)</f>
        <v>18.8325066531168</v>
      </c>
      <c r="E285" s="5"/>
      <c r="F285" s="5"/>
      <c r="G285" s="4" t="n">
        <v>284</v>
      </c>
      <c r="H285" s="6" t="n">
        <v>0.716</v>
      </c>
      <c r="J285" s="2" t="n">
        <f aca="false">B285/$B$1003</f>
        <v>0.00153784776268674</v>
      </c>
      <c r="K285" s="5" t="n">
        <f aca="false">J285*LOG(J285,2)</f>
        <v>-0.014370989870479</v>
      </c>
      <c r="N285" s="2" t="n">
        <f aca="false">1/1000*LOG(1/1000,2)</f>
        <v>-0.00996578428466209</v>
      </c>
    </row>
    <row r="286" customFormat="false" ht="13" hidden="false" customHeight="false" outlineLevel="0" collapsed="false">
      <c r="A286" s="4" t="n">
        <v>716</v>
      </c>
      <c r="B286" s="2" t="n">
        <v>15.7133706187121</v>
      </c>
      <c r="C286" s="5" t="n">
        <f aca="false">B286</f>
        <v>15.7133706187121</v>
      </c>
      <c r="D286" s="5" t="n">
        <f aca="false">C286*LOG(C286)</f>
        <v>18.7974237189417</v>
      </c>
      <c r="E286" s="5"/>
      <c r="F286" s="5"/>
      <c r="G286" s="4" t="n">
        <v>285</v>
      </c>
      <c r="H286" s="6" t="n">
        <v>0.715</v>
      </c>
      <c r="J286" s="2" t="n">
        <f aca="false">B286/$B$1003</f>
        <v>0.00153574529753015</v>
      </c>
      <c r="K286" s="5" t="n">
        <f aca="false">J286*LOG(J286,2)</f>
        <v>-0.014354373745246</v>
      </c>
      <c r="N286" s="2" t="n">
        <f aca="false">1/1000*LOG(1/1000,2)</f>
        <v>-0.00996578428466209</v>
      </c>
    </row>
    <row r="287" customFormat="false" ht="13" hidden="false" customHeight="false" outlineLevel="0" collapsed="false">
      <c r="A287" s="4" t="n">
        <v>715</v>
      </c>
      <c r="B287" s="2" t="n">
        <v>15.6082471799602</v>
      </c>
      <c r="C287" s="5" t="n">
        <f aca="false">B287</f>
        <v>15.6082471799602</v>
      </c>
      <c r="D287" s="5" t="n">
        <f aca="false">C287*LOG(C287)</f>
        <v>18.6261662989501</v>
      </c>
      <c r="E287" s="5"/>
      <c r="F287" s="5"/>
      <c r="G287" s="4" t="n">
        <v>286</v>
      </c>
      <c r="H287" s="6" t="n">
        <v>0.714</v>
      </c>
      <c r="J287" s="2" t="n">
        <f aca="false">B287/$B$1003</f>
        <v>0.00152547106479925</v>
      </c>
      <c r="K287" s="5" t="n">
        <f aca="false">J287*LOG(J287,2)</f>
        <v>-0.0142731149727973</v>
      </c>
      <c r="N287" s="2" t="n">
        <f aca="false">1/1000*LOG(1/1000,2)</f>
        <v>-0.00996578428466209</v>
      </c>
    </row>
    <row r="288" customFormat="false" ht="13" hidden="false" customHeight="false" outlineLevel="0" collapsed="false">
      <c r="A288" s="4" t="n">
        <v>714</v>
      </c>
      <c r="B288" s="2" t="n">
        <v>15.5915606270326</v>
      </c>
      <c r="C288" s="5" t="n">
        <f aca="false">B288</f>
        <v>15.5915606270326</v>
      </c>
      <c r="D288" s="5" t="n">
        <f aca="false">C288*LOG(C288)</f>
        <v>18.5990103293185</v>
      </c>
      <c r="E288" s="5"/>
      <c r="F288" s="5"/>
      <c r="G288" s="4" t="n">
        <v>287</v>
      </c>
      <c r="H288" s="6" t="n">
        <v>0.713</v>
      </c>
      <c r="J288" s="2" t="n">
        <f aca="false">B288/$B$1003</f>
        <v>0.00152384020558945</v>
      </c>
      <c r="K288" s="5" t="n">
        <f aca="false">J288*LOG(J288,2)</f>
        <v>-0.0142602073648962</v>
      </c>
      <c r="N288" s="2" t="n">
        <f aca="false">1/1000*LOG(1/1000,2)</f>
        <v>-0.00996578428466209</v>
      </c>
    </row>
    <row r="289" customFormat="false" ht="13" hidden="false" customHeight="false" outlineLevel="0" collapsed="false">
      <c r="A289" s="4" t="n">
        <v>713</v>
      </c>
      <c r="B289" s="2" t="n">
        <v>15.5477111820907</v>
      </c>
      <c r="C289" s="5" t="n">
        <f aca="false">B289</f>
        <v>15.5477111820907</v>
      </c>
      <c r="D289" s="5" t="n">
        <f aca="false">C289*LOG(C289)</f>
        <v>18.5276860150959</v>
      </c>
      <c r="E289" s="5"/>
      <c r="F289" s="5"/>
      <c r="G289" s="4" t="n">
        <v>288</v>
      </c>
      <c r="H289" s="6" t="n">
        <v>0.712</v>
      </c>
      <c r="J289" s="2" t="n">
        <f aca="false">B289/$B$1003</f>
        <v>0.00151955458282251</v>
      </c>
      <c r="K289" s="5" t="n">
        <f aca="false">J289*LOG(J289,2)</f>
        <v>-0.0142262763399369</v>
      </c>
      <c r="N289" s="2" t="n">
        <f aca="false">1/1000*LOG(1/1000,2)</f>
        <v>-0.00996578428466209</v>
      </c>
    </row>
    <row r="290" customFormat="false" ht="13" hidden="false" customHeight="false" outlineLevel="0" collapsed="false">
      <c r="A290" s="4" t="n">
        <v>712</v>
      </c>
      <c r="B290" s="2" t="n">
        <v>15.5393061697366</v>
      </c>
      <c r="C290" s="5" t="n">
        <f aca="false">B290</f>
        <v>15.5393061697366</v>
      </c>
      <c r="D290" s="5" t="n">
        <f aca="false">C290*LOG(C290)</f>
        <v>18.5140207800855</v>
      </c>
      <c r="E290" s="5"/>
      <c r="F290" s="5"/>
      <c r="G290" s="4" t="n">
        <v>289</v>
      </c>
      <c r="H290" s="6" t="n">
        <v>0.711</v>
      </c>
      <c r="J290" s="2" t="n">
        <f aca="false">B290/$B$1003</f>
        <v>0.00151873311946423</v>
      </c>
      <c r="K290" s="5" t="n">
        <f aca="false">J290*LOG(J290,2)</f>
        <v>-0.0142197704891531</v>
      </c>
      <c r="N290" s="2" t="n">
        <f aca="false">1/1000*LOG(1/1000,2)</f>
        <v>-0.00996578428466209</v>
      </c>
    </row>
    <row r="291" customFormat="false" ht="13" hidden="false" customHeight="false" outlineLevel="0" collapsed="false">
      <c r="A291" s="4" t="n">
        <v>711</v>
      </c>
      <c r="B291" s="2" t="n">
        <v>15.4890581594556</v>
      </c>
      <c r="C291" s="5" t="n">
        <f aca="false">B291</f>
        <v>15.4890581594556</v>
      </c>
      <c r="D291" s="5" t="n">
        <f aca="false">C291*LOG(C291)</f>
        <v>18.4323665986993</v>
      </c>
      <c r="E291" s="5"/>
      <c r="F291" s="5"/>
      <c r="G291" s="4" t="n">
        <v>290</v>
      </c>
      <c r="H291" s="6" t="n">
        <v>0.71</v>
      </c>
      <c r="J291" s="2" t="n">
        <f aca="false">B291/$B$1003</f>
        <v>0.00151382213331289</v>
      </c>
      <c r="K291" s="5" t="n">
        <f aca="false">J291*LOG(J291,2)</f>
        <v>-0.0141808629266336</v>
      </c>
      <c r="N291" s="2" t="n">
        <f aca="false">1/1000*LOG(1/1000,2)</f>
        <v>-0.00996578428466209</v>
      </c>
    </row>
    <row r="292" customFormat="false" ht="13" hidden="false" customHeight="false" outlineLevel="0" collapsed="false">
      <c r="A292" s="4" t="n">
        <v>710</v>
      </c>
      <c r="B292" s="2" t="n">
        <v>15.471425732286</v>
      </c>
      <c r="C292" s="5" t="n">
        <f aca="false">B292</f>
        <v>15.471425732286</v>
      </c>
      <c r="D292" s="5" t="n">
        <f aca="false">C292*LOG(C292)</f>
        <v>18.4037302638695</v>
      </c>
      <c r="E292" s="5"/>
      <c r="F292" s="5"/>
      <c r="G292" s="4" t="n">
        <v>291</v>
      </c>
      <c r="H292" s="6" t="n">
        <v>0.709</v>
      </c>
      <c r="J292" s="2" t="n">
        <f aca="false">B292/$B$1003</f>
        <v>0.00151209882914304</v>
      </c>
      <c r="K292" s="5" t="n">
        <f aca="false">J292*LOG(J292,2)</f>
        <v>-0.0141672045088954</v>
      </c>
      <c r="N292" s="2" t="n">
        <f aca="false">1/1000*LOG(1/1000,2)</f>
        <v>-0.00996578428466209</v>
      </c>
    </row>
    <row r="293" customFormat="false" ht="13" hidden="false" customHeight="false" outlineLevel="0" collapsed="false">
      <c r="A293" s="4" t="n">
        <v>709</v>
      </c>
      <c r="B293" s="2" t="n">
        <v>15.4363023590984</v>
      </c>
      <c r="C293" s="5" t="n">
        <f aca="false">B293</f>
        <v>15.4363023590984</v>
      </c>
      <c r="D293" s="5" t="n">
        <f aca="false">C293*LOG(C293)</f>
        <v>18.3467133866419</v>
      </c>
      <c r="E293" s="5"/>
      <c r="F293" s="5"/>
      <c r="G293" s="4" t="n">
        <v>292</v>
      </c>
      <c r="H293" s="6" t="n">
        <v>0.708</v>
      </c>
      <c r="J293" s="2" t="n">
        <f aca="false">B293/$B$1003</f>
        <v>0.00150866604845484</v>
      </c>
      <c r="K293" s="5" t="n">
        <f aca="false">J293*LOG(J293,2)</f>
        <v>-0.014139988820602</v>
      </c>
      <c r="N293" s="2" t="n">
        <f aca="false">1/1000*LOG(1/1000,2)</f>
        <v>-0.00996578428466209</v>
      </c>
    </row>
    <row r="294" customFormat="false" ht="13" hidden="false" customHeight="false" outlineLevel="0" collapsed="false">
      <c r="A294" s="4" t="n">
        <v>708</v>
      </c>
      <c r="B294" s="2" t="n">
        <v>15.4321721550646</v>
      </c>
      <c r="C294" s="5" t="n">
        <f aca="false">B294</f>
        <v>15.4321721550646</v>
      </c>
      <c r="D294" s="5" t="n">
        <f aca="false">C294*LOG(C294)</f>
        <v>18.3400109755748</v>
      </c>
      <c r="E294" s="5"/>
      <c r="F294" s="5"/>
      <c r="G294" s="4" t="n">
        <v>293</v>
      </c>
      <c r="H294" s="6" t="n">
        <v>0.707</v>
      </c>
      <c r="J294" s="2" t="n">
        <f aca="false">B294/$B$1003</f>
        <v>0.00150826238322116</v>
      </c>
      <c r="K294" s="5" t="n">
        <f aca="false">J294*LOG(J294,2)</f>
        <v>-0.0141367877517567</v>
      </c>
      <c r="N294" s="2" t="n">
        <f aca="false">1/1000*LOG(1/1000,2)</f>
        <v>-0.00996578428466209</v>
      </c>
    </row>
    <row r="295" customFormat="false" ht="13" hidden="false" customHeight="false" outlineLevel="0" collapsed="false">
      <c r="A295" s="4" t="n">
        <v>707</v>
      </c>
      <c r="B295" s="2" t="n">
        <v>15.3843453131274</v>
      </c>
      <c r="C295" s="5" t="n">
        <f aca="false">B295</f>
        <v>15.3843453131274</v>
      </c>
      <c r="D295" s="5" t="n">
        <f aca="false">C295*LOG(C295)</f>
        <v>18.2624335484802</v>
      </c>
      <c r="E295" s="5"/>
      <c r="F295" s="5"/>
      <c r="G295" s="4" t="n">
        <v>294</v>
      </c>
      <c r="H295" s="6" t="n">
        <v>0.706</v>
      </c>
      <c r="J295" s="2" t="n">
        <f aca="false">B295/$B$1003</f>
        <v>0.00150358802980692</v>
      </c>
      <c r="K295" s="5" t="n">
        <f aca="false">J295*LOG(J295,2)</f>
        <v>-0.014099708725142</v>
      </c>
      <c r="N295" s="2" t="n">
        <f aca="false">1/1000*LOG(1/1000,2)</f>
        <v>-0.00996578428466209</v>
      </c>
    </row>
    <row r="296" customFormat="false" ht="13" hidden="false" customHeight="false" outlineLevel="0" collapsed="false">
      <c r="A296" s="4" t="n">
        <v>706</v>
      </c>
      <c r="B296" s="2" t="n">
        <v>15.3359224457044</v>
      </c>
      <c r="C296" s="5" t="n">
        <f aca="false">B296</f>
        <v>15.3359224457044</v>
      </c>
      <c r="D296" s="5" t="n">
        <f aca="false">C296*LOG(C296)</f>
        <v>18.1839551252223</v>
      </c>
      <c r="E296" s="5"/>
      <c r="F296" s="5"/>
      <c r="G296" s="4" t="n">
        <v>295</v>
      </c>
      <c r="H296" s="6" t="n">
        <v>0.705</v>
      </c>
      <c r="J296" s="2" t="n">
        <f aca="false">B296/$B$1003</f>
        <v>0.001498855423879</v>
      </c>
      <c r="K296" s="5" t="n">
        <f aca="false">J296*LOG(J296,2)</f>
        <v>-0.0140621462554325</v>
      </c>
      <c r="N296" s="2" t="n">
        <f aca="false">1/1000*LOG(1/1000,2)</f>
        <v>-0.00996578428466209</v>
      </c>
    </row>
    <row r="297" customFormat="false" ht="13" hidden="false" customHeight="false" outlineLevel="0" collapsed="false">
      <c r="A297" s="4" t="n">
        <v>705</v>
      </c>
      <c r="B297" s="2" t="n">
        <v>15.293008911163</v>
      </c>
      <c r="C297" s="5" t="n">
        <f aca="false">B297</f>
        <v>15.293008911163</v>
      </c>
      <c r="D297" s="5" t="n">
        <f aca="false">C297*LOG(C297)</f>
        <v>18.1144611109427</v>
      </c>
      <c r="E297" s="5"/>
      <c r="F297" s="5"/>
      <c r="G297" s="4" t="n">
        <v>296</v>
      </c>
      <c r="H297" s="6" t="n">
        <v>0.704</v>
      </c>
      <c r="J297" s="2" t="n">
        <f aca="false">B297/$B$1003</f>
        <v>0.0014946612722567</v>
      </c>
      <c r="K297" s="5" t="n">
        <f aca="false">J297*LOG(J297,2)</f>
        <v>-0.0140288394555768</v>
      </c>
      <c r="N297" s="2" t="n">
        <f aca="false">1/1000*LOG(1/1000,2)</f>
        <v>-0.00996578428466209</v>
      </c>
    </row>
    <row r="298" customFormat="false" ht="13" hidden="false" customHeight="false" outlineLevel="0" collapsed="false">
      <c r="A298" s="4" t="n">
        <v>704</v>
      </c>
      <c r="B298" s="2" t="n">
        <v>15.2271753512885</v>
      </c>
      <c r="C298" s="5" t="n">
        <f aca="false">B298</f>
        <v>15.2271753512885</v>
      </c>
      <c r="D298" s="5" t="n">
        <f aca="false">C298*LOG(C298)</f>
        <v>18.0079522004665</v>
      </c>
      <c r="E298" s="5"/>
      <c r="F298" s="5"/>
      <c r="G298" s="4" t="n">
        <v>297</v>
      </c>
      <c r="H298" s="6" t="n">
        <v>0.703</v>
      </c>
      <c r="J298" s="2" t="n">
        <f aca="false">B298/$B$1003</f>
        <v>0.00148822703338775</v>
      </c>
      <c r="K298" s="5" t="n">
        <f aca="false">J298*LOG(J298,2)</f>
        <v>-0.0139777105459034</v>
      </c>
      <c r="N298" s="2" t="n">
        <f aca="false">1/1000*LOG(1/1000,2)</f>
        <v>-0.00996578428466209</v>
      </c>
    </row>
    <row r="299" customFormat="false" ht="13" hidden="false" customHeight="false" outlineLevel="0" collapsed="false">
      <c r="A299" s="4" t="n">
        <v>703</v>
      </c>
      <c r="B299" s="2" t="n">
        <v>15.0919906574003</v>
      </c>
      <c r="C299" s="5" t="n">
        <f aca="false">B299</f>
        <v>15.0919906574003</v>
      </c>
      <c r="D299" s="5" t="n">
        <f aca="false">C299*LOG(C299)</f>
        <v>17.7896315832173</v>
      </c>
      <c r="E299" s="5"/>
      <c r="F299" s="5"/>
      <c r="G299" s="4" t="n">
        <v>298</v>
      </c>
      <c r="H299" s="6" t="n">
        <v>0.702</v>
      </c>
      <c r="J299" s="2" t="n">
        <f aca="false">B299/$B$1003</f>
        <v>0.00147501476576074</v>
      </c>
      <c r="K299" s="5" t="n">
        <f aca="false">J299*LOG(J299,2)</f>
        <v>-0.0138725948324338</v>
      </c>
      <c r="N299" s="2" t="n">
        <f aca="false">1/1000*LOG(1/1000,2)</f>
        <v>-0.00996578428466209</v>
      </c>
    </row>
    <row r="300" customFormat="false" ht="13" hidden="false" customHeight="false" outlineLevel="0" collapsed="false">
      <c r="A300" s="4" t="n">
        <v>702</v>
      </c>
      <c r="B300" s="2" t="n">
        <v>15.0413221731146</v>
      </c>
      <c r="C300" s="5" t="n">
        <f aca="false">B300</f>
        <v>15.0413221731146</v>
      </c>
      <c r="D300" s="5" t="n">
        <f aca="false">C300*LOG(C300)</f>
        <v>17.7079382204495</v>
      </c>
      <c r="E300" s="5"/>
      <c r="F300" s="5"/>
      <c r="G300" s="4" t="n">
        <v>299</v>
      </c>
      <c r="H300" s="6" t="n">
        <v>0.701</v>
      </c>
      <c r="J300" s="2" t="n">
        <f aca="false">B300/$B$1003</f>
        <v>0.00147006268460878</v>
      </c>
      <c r="K300" s="5" t="n">
        <f aca="false">J300*LOG(J300,2)</f>
        <v>-0.0138331525739811</v>
      </c>
      <c r="N300" s="2" t="n">
        <f aca="false">1/1000*LOG(1/1000,2)</f>
        <v>-0.00996578428466209</v>
      </c>
    </row>
    <row r="301" customFormat="false" ht="13" hidden="false" customHeight="false" outlineLevel="0" collapsed="false">
      <c r="A301" s="4" t="n">
        <v>701</v>
      </c>
      <c r="B301" s="2" t="n">
        <v>15.0077714873599</v>
      </c>
      <c r="C301" s="5" t="n">
        <f aca="false">B301</f>
        <v>15.0077714873599</v>
      </c>
      <c r="D301" s="5" t="n">
        <f aca="false">C301*LOG(C301)</f>
        <v>17.6538848524366</v>
      </c>
      <c r="E301" s="5"/>
      <c r="F301" s="5"/>
      <c r="G301" s="4" t="n">
        <v>300</v>
      </c>
      <c r="H301" s="6" t="n">
        <v>0.7</v>
      </c>
      <c r="J301" s="2" t="n">
        <f aca="false">B301/$B$1003</f>
        <v>0.00146678361042878</v>
      </c>
      <c r="K301" s="5" t="n">
        <f aca="false">J301*LOG(J301,2)</f>
        <v>-0.0138070222162312</v>
      </c>
      <c r="L301" s="2" t="n">
        <f aca="false">SUM(J252:J301)</f>
        <v>0.078469134292132</v>
      </c>
      <c r="N301" s="2" t="n">
        <f aca="false">1/1000*LOG(1/1000,2)</f>
        <v>-0.00996578428466209</v>
      </c>
    </row>
    <row r="302" customFormat="false" ht="13" hidden="false" customHeight="false" outlineLevel="0" collapsed="false">
      <c r="A302" s="4" t="n">
        <v>700</v>
      </c>
      <c r="B302" s="2" t="n">
        <v>14.9841188870286</v>
      </c>
      <c r="C302" s="5" t="n">
        <f aca="false">B302</f>
        <v>14.9841188870286</v>
      </c>
      <c r="D302" s="5" t="n">
        <f aca="false">C302*LOG(C302)</f>
        <v>17.6157978203547</v>
      </c>
      <c r="E302" s="5"/>
      <c r="F302" s="5"/>
      <c r="G302" s="4" t="n">
        <v>301</v>
      </c>
      <c r="H302" s="6" t="n">
        <v>0.699</v>
      </c>
      <c r="J302" s="2" t="n">
        <f aca="false">B302/$B$1003</f>
        <v>0.00146447192501037</v>
      </c>
      <c r="K302" s="5" t="n">
        <f aca="false">J302*LOG(J302,2)</f>
        <v>-0.0137885944525949</v>
      </c>
      <c r="N302" s="2" t="n">
        <f aca="false">1/1000*LOG(1/1000,2)</f>
        <v>-0.00996578428466209</v>
      </c>
    </row>
    <row r="303" customFormat="false" ht="13" hidden="false" customHeight="false" outlineLevel="0" collapsed="false">
      <c r="A303" s="4" t="n">
        <v>699</v>
      </c>
      <c r="B303" s="2" t="n">
        <v>14.9546391459919</v>
      </c>
      <c r="C303" s="5" t="n">
        <f aca="false">B303</f>
        <v>14.9546391459919</v>
      </c>
      <c r="D303" s="5" t="n">
        <f aca="false">C303*LOG(C303)</f>
        <v>17.5683502303274</v>
      </c>
      <c r="E303" s="5"/>
      <c r="F303" s="5"/>
      <c r="G303" s="4" t="n">
        <v>302</v>
      </c>
      <c r="H303" s="6" t="n">
        <v>0.698</v>
      </c>
      <c r="J303" s="2" t="n">
        <f aca="false">B303/$B$1003</f>
        <v>0.00146159072435852</v>
      </c>
      <c r="K303" s="5" t="n">
        <f aca="false">J303*LOG(J303,2)</f>
        <v>-0.013765619387447</v>
      </c>
      <c r="N303" s="2" t="n">
        <f aca="false">1/1000*LOG(1/1000,2)</f>
        <v>-0.00996578428466209</v>
      </c>
    </row>
    <row r="304" customFormat="false" ht="13" hidden="false" customHeight="false" outlineLevel="0" collapsed="false">
      <c r="A304" s="4" t="n">
        <v>698</v>
      </c>
      <c r="B304" s="2" t="n">
        <v>14.9384883267395</v>
      </c>
      <c r="C304" s="5" t="n">
        <f aca="false">B304</f>
        <v>14.9384883267395</v>
      </c>
      <c r="D304" s="5" t="n">
        <f aca="false">C304*LOG(C304)</f>
        <v>17.5423662138048</v>
      </c>
      <c r="E304" s="5"/>
      <c r="F304" s="5"/>
      <c r="G304" s="4" t="n">
        <v>303</v>
      </c>
      <c r="H304" s="6" t="n">
        <v>0.697</v>
      </c>
      <c r="J304" s="2" t="n">
        <f aca="false">B304/$B$1003</f>
        <v>0.00146001222504605</v>
      </c>
      <c r="K304" s="5" t="n">
        <f aca="false">J304*LOG(J304,2)</f>
        <v>-0.0137530287573091</v>
      </c>
      <c r="N304" s="2" t="n">
        <f aca="false">1/1000*LOG(1/1000,2)</f>
        <v>-0.00996578428466209</v>
      </c>
    </row>
    <row r="305" customFormat="false" ht="13" hidden="false" customHeight="false" outlineLevel="0" collapsed="false">
      <c r="A305" s="4" t="n">
        <v>697</v>
      </c>
      <c r="B305" s="2" t="n">
        <v>14.8795322932721</v>
      </c>
      <c r="C305" s="5" t="n">
        <f aca="false">B305</f>
        <v>14.8795322932721</v>
      </c>
      <c r="D305" s="5" t="n">
        <f aca="false">C305*LOG(C305)</f>
        <v>17.4475800628638</v>
      </c>
      <c r="E305" s="5"/>
      <c r="F305" s="5"/>
      <c r="G305" s="4" t="n">
        <v>304</v>
      </c>
      <c r="H305" s="6" t="n">
        <v>0.696</v>
      </c>
      <c r="J305" s="2" t="n">
        <f aca="false">B305/$B$1003</f>
        <v>0.00145425016079163</v>
      </c>
      <c r="K305" s="5" t="n">
        <f aca="false">J305*LOG(J305,2)</f>
        <v>-0.0137070477184563</v>
      </c>
      <c r="N305" s="2" t="n">
        <f aca="false">1/1000*LOG(1/1000,2)</f>
        <v>-0.00996578428466209</v>
      </c>
    </row>
    <row r="306" customFormat="false" ht="13" hidden="false" customHeight="false" outlineLevel="0" collapsed="false">
      <c r="A306" s="4" t="n">
        <v>696</v>
      </c>
      <c r="B306" s="2" t="n">
        <v>14.8184916850138</v>
      </c>
      <c r="C306" s="5" t="n">
        <f aca="false">B306</f>
        <v>14.8184916850138</v>
      </c>
      <c r="D306" s="5" t="n">
        <f aca="false">C306*LOG(C306)</f>
        <v>17.3495493505616</v>
      </c>
      <c r="E306" s="5"/>
      <c r="F306" s="5"/>
      <c r="G306" s="4" t="n">
        <v>305</v>
      </c>
      <c r="H306" s="6" t="n">
        <v>0.695</v>
      </c>
      <c r="J306" s="2" t="n">
        <f aca="false">B306/$B$1003</f>
        <v>0.00144828436075001</v>
      </c>
      <c r="K306" s="5" t="n">
        <f aca="false">J306*LOG(J306,2)</f>
        <v>-0.0136594061694971</v>
      </c>
      <c r="N306" s="2" t="n">
        <f aca="false">1/1000*LOG(1/1000,2)</f>
        <v>-0.00996578428466209</v>
      </c>
    </row>
    <row r="307" customFormat="false" ht="13" hidden="false" customHeight="false" outlineLevel="0" collapsed="false">
      <c r="A307" s="4" t="n">
        <v>695</v>
      </c>
      <c r="B307" s="2" t="n">
        <v>14.7743670034805</v>
      </c>
      <c r="C307" s="5" t="n">
        <f aca="false">B307</f>
        <v>14.7743670034805</v>
      </c>
      <c r="D307" s="5" t="n">
        <f aca="false">C307*LOG(C307)</f>
        <v>17.278753450313</v>
      </c>
      <c r="E307" s="5"/>
      <c r="F307" s="5"/>
      <c r="G307" s="4" t="n">
        <v>306</v>
      </c>
      <c r="H307" s="6" t="n">
        <v>0.694</v>
      </c>
      <c r="J307" s="2" t="n">
        <f aca="false">B307/$B$1003</f>
        <v>0.00144397183775198</v>
      </c>
      <c r="K307" s="5" t="n">
        <f aca="false">J307*LOG(J307,2)</f>
        <v>-0.0136249452535134</v>
      </c>
      <c r="N307" s="2" t="n">
        <f aca="false">1/1000*LOG(1/1000,2)</f>
        <v>-0.00996578428466209</v>
      </c>
    </row>
    <row r="308" customFormat="false" ht="13" hidden="false" customHeight="false" outlineLevel="0" collapsed="false">
      <c r="A308" s="4" t="n">
        <v>694</v>
      </c>
      <c r="B308" s="2" t="n">
        <v>14.7437842684593</v>
      </c>
      <c r="C308" s="5" t="n">
        <f aca="false">B308</f>
        <v>14.7437842684593</v>
      </c>
      <c r="D308" s="5" t="n">
        <f aca="false">C308*LOG(C308)</f>
        <v>17.229718513163</v>
      </c>
      <c r="E308" s="5"/>
      <c r="F308" s="5"/>
      <c r="G308" s="4" t="n">
        <v>307</v>
      </c>
      <c r="H308" s="6" t="n">
        <v>0.693</v>
      </c>
      <c r="J308" s="2" t="n">
        <f aca="false">B308/$B$1003</f>
        <v>0.00144098283605183</v>
      </c>
      <c r="K308" s="5" t="n">
        <f aca="false">J308*LOG(J308,2)</f>
        <v>-0.0136010495573228</v>
      </c>
      <c r="N308" s="2" t="n">
        <f aca="false">1/1000*LOG(1/1000,2)</f>
        <v>-0.00996578428466209</v>
      </c>
    </row>
    <row r="309" customFormat="false" ht="13" hidden="false" customHeight="false" outlineLevel="0" collapsed="false">
      <c r="A309" s="4" t="n">
        <v>693</v>
      </c>
      <c r="B309" s="2" t="n">
        <v>14.6484982482658</v>
      </c>
      <c r="C309" s="5" t="n">
        <f aca="false">B309</f>
        <v>14.6484982482658</v>
      </c>
      <c r="D309" s="5" t="n">
        <f aca="false">C309*LOG(C309)</f>
        <v>17.0771182339737</v>
      </c>
      <c r="E309" s="5"/>
      <c r="F309" s="5"/>
      <c r="G309" s="4" t="n">
        <v>308</v>
      </c>
      <c r="H309" s="6" t="n">
        <v>0.692</v>
      </c>
      <c r="J309" s="2" t="n">
        <f aca="false">B309/$B$1003</f>
        <v>0.00143167006281028</v>
      </c>
      <c r="K309" s="5" t="n">
        <f aca="false">J309*LOG(J309,2)</f>
        <v>-0.0135265407771318</v>
      </c>
      <c r="N309" s="2" t="n">
        <f aca="false">1/1000*LOG(1/1000,2)</f>
        <v>-0.00996578428466209</v>
      </c>
    </row>
    <row r="310" customFormat="false" ht="13" hidden="false" customHeight="false" outlineLevel="0" collapsed="false">
      <c r="A310" s="4" t="n">
        <v>692</v>
      </c>
      <c r="B310" s="2" t="n">
        <v>14.6212895216721</v>
      </c>
      <c r="C310" s="5" t="n">
        <f aca="false">B310</f>
        <v>14.6212895216721</v>
      </c>
      <c r="D310" s="5" t="n">
        <f aca="false">C310*LOG(C310)</f>
        <v>17.0335928694591</v>
      </c>
      <c r="E310" s="5"/>
      <c r="F310" s="5"/>
      <c r="G310" s="4" t="n">
        <v>309</v>
      </c>
      <c r="H310" s="6" t="n">
        <v>0.691</v>
      </c>
      <c r="J310" s="2" t="n">
        <f aca="false">B310/$B$1003</f>
        <v>0.00142901081961339</v>
      </c>
      <c r="K310" s="5" t="n">
        <f aca="false">J310*LOG(J310,2)</f>
        <v>-0.0135052489325048</v>
      </c>
      <c r="N310" s="2" t="n">
        <f aca="false">1/1000*LOG(1/1000,2)</f>
        <v>-0.00996578428466209</v>
      </c>
    </row>
    <row r="311" customFormat="false" ht="13" hidden="false" customHeight="false" outlineLevel="0" collapsed="false">
      <c r="A311" s="4" t="n">
        <v>691</v>
      </c>
      <c r="B311" s="2" t="n">
        <v>14.4937521535433</v>
      </c>
      <c r="C311" s="5" t="n">
        <f aca="false">B311</f>
        <v>14.4937521535433</v>
      </c>
      <c r="D311" s="5" t="n">
        <f aca="false">C311*LOG(C311)</f>
        <v>16.8298671628775</v>
      </c>
      <c r="E311" s="5"/>
      <c r="F311" s="5"/>
      <c r="G311" s="4" t="n">
        <v>310</v>
      </c>
      <c r="H311" s="6" t="n">
        <v>0.69</v>
      </c>
      <c r="J311" s="2" t="n">
        <f aca="false">B311/$B$1003</f>
        <v>0.00141654596289258</v>
      </c>
      <c r="K311" s="5" t="n">
        <f aca="false">J311*LOG(J311,2)</f>
        <v>-0.0134053507980851</v>
      </c>
      <c r="N311" s="2" t="n">
        <f aca="false">1/1000*LOG(1/1000,2)</f>
        <v>-0.00996578428466209</v>
      </c>
    </row>
    <row r="312" customFormat="false" ht="13" hidden="false" customHeight="false" outlineLevel="0" collapsed="false">
      <c r="A312" s="4" t="n">
        <v>690</v>
      </c>
      <c r="B312" s="2" t="n">
        <v>14.4875275542421</v>
      </c>
      <c r="C312" s="5" t="n">
        <f aca="false">B312</f>
        <v>14.4875275542421</v>
      </c>
      <c r="D312" s="5" t="n">
        <f aca="false">C312*LOG(C312)</f>
        <v>16.819936548938</v>
      </c>
      <c r="E312" s="5"/>
      <c r="F312" s="5"/>
      <c r="G312" s="4" t="n">
        <v>311</v>
      </c>
      <c r="H312" s="6" t="n">
        <v>0.689</v>
      </c>
      <c r="J312" s="2" t="n">
        <f aca="false">B312/$B$1003</f>
        <v>0.00141593760206804</v>
      </c>
      <c r="K312" s="5" t="n">
        <f aca="false">J312*LOG(J312,2)</f>
        <v>-0.0134004711227285</v>
      </c>
      <c r="N312" s="2" t="n">
        <f aca="false">1/1000*LOG(1/1000,2)</f>
        <v>-0.00996578428466209</v>
      </c>
    </row>
    <row r="313" customFormat="false" ht="13" hidden="false" customHeight="false" outlineLevel="0" collapsed="false">
      <c r="A313" s="4" t="n">
        <v>689</v>
      </c>
      <c r="B313" s="2" t="n">
        <v>14.4460384464725</v>
      </c>
      <c r="C313" s="5" t="n">
        <f aca="false">B313</f>
        <v>14.4460384464725</v>
      </c>
      <c r="D313" s="5" t="n">
        <f aca="false">C313*LOG(C313)</f>
        <v>16.7537752669513</v>
      </c>
      <c r="E313" s="5"/>
      <c r="F313" s="5"/>
      <c r="G313" s="4" t="n">
        <v>312</v>
      </c>
      <c r="H313" s="6" t="n">
        <v>0.688</v>
      </c>
      <c r="J313" s="2" t="n">
        <f aca="false">B313/$B$1003</f>
        <v>0.00141188266670745</v>
      </c>
      <c r="K313" s="5" t="n">
        <f aca="false">J313*LOG(J313,2)</f>
        <v>-0.0133679367571532</v>
      </c>
      <c r="N313" s="2" t="n">
        <f aca="false">1/1000*LOG(1/1000,2)</f>
        <v>-0.00996578428466209</v>
      </c>
    </row>
    <row r="314" customFormat="false" ht="13" hidden="false" customHeight="false" outlineLevel="0" collapsed="false">
      <c r="A314" s="4" t="n">
        <v>688</v>
      </c>
      <c r="B314" s="2" t="n">
        <v>14.4457688346502</v>
      </c>
      <c r="C314" s="5" t="n">
        <f aca="false">B314</f>
        <v>14.4457688346502</v>
      </c>
      <c r="D314" s="5" t="n">
        <f aca="false">C314*LOG(C314)</f>
        <v>16.7533454951389</v>
      </c>
      <c r="E314" s="5"/>
      <c r="F314" s="5"/>
      <c r="G314" s="4" t="n">
        <v>313</v>
      </c>
      <c r="H314" s="6" t="n">
        <v>0.687</v>
      </c>
      <c r="J314" s="2" t="n">
        <f aca="false">B314/$B$1003</f>
        <v>0.00141185631621281</v>
      </c>
      <c r="K314" s="5" t="n">
        <f aca="false">J314*LOG(J314,2)</f>
        <v>-0.0133677252817194</v>
      </c>
      <c r="N314" s="2" t="n">
        <f aca="false">1/1000*LOG(1/1000,2)</f>
        <v>-0.00996578428466209</v>
      </c>
    </row>
    <row r="315" customFormat="false" ht="13" hidden="false" customHeight="false" outlineLevel="0" collapsed="false">
      <c r="A315" s="4" t="n">
        <v>687</v>
      </c>
      <c r="B315" s="2" t="n">
        <v>14.3997234438638</v>
      </c>
      <c r="C315" s="5" t="n">
        <f aca="false">B315</f>
        <v>14.3997234438638</v>
      </c>
      <c r="D315" s="5" t="n">
        <f aca="false">C315*LOG(C315)</f>
        <v>16.679979428266</v>
      </c>
      <c r="E315" s="5"/>
      <c r="F315" s="5"/>
      <c r="G315" s="4" t="n">
        <v>314</v>
      </c>
      <c r="H315" s="6" t="n">
        <v>0.686</v>
      </c>
      <c r="J315" s="2" t="n">
        <f aca="false">B315/$B$1003</f>
        <v>0.00140735607281571</v>
      </c>
      <c r="K315" s="5" t="n">
        <f aca="false">J315*LOG(J315,2)</f>
        <v>-0.0133315982381846</v>
      </c>
      <c r="N315" s="2" t="n">
        <f aca="false">1/1000*LOG(1/1000,2)</f>
        <v>-0.00996578428466209</v>
      </c>
    </row>
    <row r="316" customFormat="false" ht="13" hidden="false" customHeight="false" outlineLevel="0" collapsed="false">
      <c r="A316" s="4" t="n">
        <v>686</v>
      </c>
      <c r="B316" s="2" t="n">
        <v>14.2626711425305</v>
      </c>
      <c r="C316" s="5" t="n">
        <f aca="false">B316</f>
        <v>14.2626711425305</v>
      </c>
      <c r="D316" s="5" t="n">
        <f aca="false">C316*LOG(C316)</f>
        <v>16.4619874227103</v>
      </c>
      <c r="E316" s="5"/>
      <c r="F316" s="5"/>
      <c r="G316" s="4" t="n">
        <v>315</v>
      </c>
      <c r="H316" s="6" t="n">
        <v>0.685</v>
      </c>
      <c r="J316" s="2" t="n">
        <f aca="false">B316/$B$1003</f>
        <v>0.00139396127469151</v>
      </c>
      <c r="K316" s="5" t="n">
        <f aca="false">J316*LOG(J316,2)</f>
        <v>-0.0132239443888124</v>
      </c>
      <c r="N316" s="2" t="n">
        <f aca="false">1/1000*LOG(1/1000,2)</f>
        <v>-0.00996578428466209</v>
      </c>
    </row>
    <row r="317" customFormat="false" ht="13" hidden="false" customHeight="false" outlineLevel="0" collapsed="false">
      <c r="A317" s="4" t="n">
        <v>685</v>
      </c>
      <c r="B317" s="2" t="n">
        <v>14.2586446047333</v>
      </c>
      <c r="C317" s="5" t="n">
        <f aca="false">B317</f>
        <v>14.2586446047333</v>
      </c>
      <c r="D317" s="5" t="n">
        <f aca="false">C317*LOG(C317)</f>
        <v>16.4555915330045</v>
      </c>
      <c r="E317" s="5"/>
      <c r="F317" s="5"/>
      <c r="G317" s="4" t="n">
        <v>316</v>
      </c>
      <c r="H317" s="6" t="n">
        <v>0.684</v>
      </c>
      <c r="J317" s="2" t="n">
        <f aca="false">B317/$B$1003</f>
        <v>0.001393567741271</v>
      </c>
      <c r="K317" s="5" t="n">
        <f aca="false">J317*LOG(J317,2)</f>
        <v>-0.0132207787656697</v>
      </c>
      <c r="N317" s="2" t="n">
        <f aca="false">1/1000*LOG(1/1000,2)</f>
        <v>-0.00996578428466209</v>
      </c>
    </row>
    <row r="318" customFormat="false" ht="13" hidden="false" customHeight="false" outlineLevel="0" collapsed="false">
      <c r="A318" s="4" t="n">
        <v>684</v>
      </c>
      <c r="B318" s="2" t="n">
        <v>14.2311469877779</v>
      </c>
      <c r="C318" s="5" t="n">
        <f aca="false">B318</f>
        <v>14.2311469877779</v>
      </c>
      <c r="D318" s="5" t="n">
        <f aca="false">C318*LOG(C318)</f>
        <v>16.411926590663</v>
      </c>
      <c r="E318" s="5"/>
      <c r="F318" s="5"/>
      <c r="G318" s="4" t="n">
        <v>317</v>
      </c>
      <c r="H318" s="6" t="n">
        <v>0.683</v>
      </c>
      <c r="J318" s="2" t="n">
        <f aca="false">B318/$B$1003</f>
        <v>0.00139088026339263</v>
      </c>
      <c r="K318" s="5" t="n">
        <f aca="false">J318*LOG(J318,2)</f>
        <v>-0.0131991561299695</v>
      </c>
      <c r="N318" s="2" t="n">
        <f aca="false">1/1000*LOG(1/1000,2)</f>
        <v>-0.00996578428466209</v>
      </c>
    </row>
    <row r="319" customFormat="false" ht="13" hidden="false" customHeight="false" outlineLevel="0" collapsed="false">
      <c r="A319" s="4" t="n">
        <v>683</v>
      </c>
      <c r="B319" s="2" t="n">
        <v>14.1723876439216</v>
      </c>
      <c r="C319" s="5" t="n">
        <f aca="false">B319</f>
        <v>14.1723876439216</v>
      </c>
      <c r="D319" s="5" t="n">
        <f aca="false">C319*LOG(C319)</f>
        <v>16.3186968671682</v>
      </c>
      <c r="E319" s="5"/>
      <c r="F319" s="5"/>
      <c r="G319" s="4" t="n">
        <v>318</v>
      </c>
      <c r="H319" s="6" t="n">
        <v>0.682</v>
      </c>
      <c r="J319" s="2" t="n">
        <f aca="false">B319/$B$1003</f>
        <v>0.00138513742258508</v>
      </c>
      <c r="K319" s="5" t="n">
        <f aca="false">J319*LOG(J319,2)</f>
        <v>-0.0131529258392925</v>
      </c>
      <c r="N319" s="2" t="n">
        <f aca="false">1/1000*LOG(1/1000,2)</f>
        <v>-0.00996578428466209</v>
      </c>
    </row>
    <row r="320" customFormat="false" ht="13" hidden="false" customHeight="false" outlineLevel="0" collapsed="false">
      <c r="A320" s="4" t="n">
        <v>682</v>
      </c>
      <c r="B320" s="2" t="n">
        <v>14.159756655574</v>
      </c>
      <c r="C320" s="5" t="n">
        <f aca="false">B320</f>
        <v>14.159756655574</v>
      </c>
      <c r="D320" s="5" t="n">
        <f aca="false">C320*LOG(C320)</f>
        <v>16.2986698804291</v>
      </c>
      <c r="E320" s="5"/>
      <c r="F320" s="5"/>
      <c r="G320" s="4" t="n">
        <v>319</v>
      </c>
      <c r="H320" s="6" t="n">
        <v>0.681</v>
      </c>
      <c r="J320" s="2" t="n">
        <f aca="false">B320/$B$1003</f>
        <v>0.00138390293372659</v>
      </c>
      <c r="K320" s="5" t="n">
        <f aca="false">J320*LOG(J320,2)</f>
        <v>-0.0131429836324081</v>
      </c>
      <c r="N320" s="2" t="n">
        <f aca="false">1/1000*LOG(1/1000,2)</f>
        <v>-0.00996578428466209</v>
      </c>
    </row>
    <row r="321" customFormat="false" ht="13" hidden="false" customHeight="false" outlineLevel="0" collapsed="false">
      <c r="A321" s="4" t="n">
        <v>681</v>
      </c>
      <c r="B321" s="2" t="n">
        <v>14.1402355528884</v>
      </c>
      <c r="C321" s="5" t="n">
        <f aca="false">B321</f>
        <v>14.1402355528884</v>
      </c>
      <c r="D321" s="5" t="n">
        <f aca="false">C321*LOG(C321)</f>
        <v>16.2677279416299</v>
      </c>
      <c r="E321" s="5"/>
      <c r="F321" s="5"/>
      <c r="G321" s="4" t="n">
        <v>320</v>
      </c>
      <c r="H321" s="6" t="n">
        <v>0.68</v>
      </c>
      <c r="J321" s="2" t="n">
        <f aca="false">B321/$B$1003</f>
        <v>0.00138199503997296</v>
      </c>
      <c r="K321" s="5" t="n">
        <f aca="false">J321*LOG(J321,2)</f>
        <v>-0.0131276148968338</v>
      </c>
      <c r="N321" s="2" t="n">
        <f aca="false">1/1000*LOG(1/1000,2)</f>
        <v>-0.00996578428466209</v>
      </c>
    </row>
    <row r="322" customFormat="false" ht="13" hidden="false" customHeight="false" outlineLevel="0" collapsed="false">
      <c r="A322" s="4" t="n">
        <v>680</v>
      </c>
      <c r="B322" s="2" t="n">
        <v>14.0889276131278</v>
      </c>
      <c r="C322" s="5" t="n">
        <f aca="false">B322</f>
        <v>14.0889276131278</v>
      </c>
      <c r="D322" s="5" t="n">
        <f aca="false">C322*LOG(C322)</f>
        <v>16.1864581018672</v>
      </c>
      <c r="E322" s="5"/>
      <c r="F322" s="5"/>
      <c r="G322" s="4" t="n">
        <v>321</v>
      </c>
      <c r="H322" s="6" t="n">
        <v>0.679</v>
      </c>
      <c r="J322" s="2" t="n">
        <f aca="false">B322/$B$1003</f>
        <v>0.00137698046168003</v>
      </c>
      <c r="K322" s="5" t="n">
        <f aca="false">J322*LOG(J322,2)</f>
        <v>-0.0130872026240335</v>
      </c>
      <c r="N322" s="2" t="n">
        <f aca="false">1/1000*LOG(1/1000,2)</f>
        <v>-0.00996578428466209</v>
      </c>
    </row>
    <row r="323" customFormat="false" ht="13" hidden="false" customHeight="false" outlineLevel="0" collapsed="false">
      <c r="A323" s="4" t="n">
        <v>679</v>
      </c>
      <c r="B323" s="2" t="n">
        <v>13.9962810641517</v>
      </c>
      <c r="C323" s="5" t="n">
        <f aca="false">B323</f>
        <v>13.9962810641517</v>
      </c>
      <c r="D323" s="5" t="n">
        <f aca="false">C323*LOG(C323)</f>
        <v>16.0399152240762</v>
      </c>
      <c r="E323" s="5"/>
      <c r="F323" s="5"/>
      <c r="G323" s="4" t="n">
        <v>322</v>
      </c>
      <c r="H323" s="6" t="n">
        <v>0.678</v>
      </c>
      <c r="J323" s="2" t="n">
        <f aca="false">B323/$B$1003</f>
        <v>0.00136792565699332</v>
      </c>
      <c r="K323" s="5" t="n">
        <f aca="false">J323*LOG(J323,2)</f>
        <v>-0.013014163535588</v>
      </c>
      <c r="N323" s="2" t="n">
        <f aca="false">1/1000*LOG(1/1000,2)</f>
        <v>-0.00996578428466209</v>
      </c>
    </row>
    <row r="324" customFormat="false" ht="13" hidden="false" customHeight="false" outlineLevel="0" collapsed="false">
      <c r="A324" s="4" t="n">
        <v>678</v>
      </c>
      <c r="B324" s="2" t="n">
        <v>13.9911198173193</v>
      </c>
      <c r="C324" s="5" t="n">
        <f aca="false">B324</f>
        <v>13.9911198173193</v>
      </c>
      <c r="D324" s="5" t="n">
        <f aca="false">C324*LOG(C324)</f>
        <v>16.0317592822081</v>
      </c>
      <c r="E324" s="5"/>
      <c r="F324" s="5"/>
      <c r="G324" s="4" t="n">
        <v>323</v>
      </c>
      <c r="H324" s="6" t="n">
        <v>0.677</v>
      </c>
      <c r="J324" s="2" t="n">
        <f aca="false">B324/$B$1003</f>
        <v>0.00136742122285601</v>
      </c>
      <c r="K324" s="5" t="n">
        <f aca="false">J324*LOG(J324,2)</f>
        <v>-0.0130100920633185</v>
      </c>
      <c r="N324" s="2" t="n">
        <f aca="false">1/1000*LOG(1/1000,2)</f>
        <v>-0.00996578428466209</v>
      </c>
    </row>
    <row r="325" customFormat="false" ht="13" hidden="false" customHeight="false" outlineLevel="0" collapsed="false">
      <c r="A325" s="4" t="n">
        <v>677</v>
      </c>
      <c r="B325" s="2" t="n">
        <v>13.9280845152222</v>
      </c>
      <c r="C325" s="5" t="n">
        <f aca="false">B325</f>
        <v>13.9280845152222</v>
      </c>
      <c r="D325" s="5" t="n">
        <f aca="false">C325*LOG(C325)</f>
        <v>15.9322160035645</v>
      </c>
      <c r="E325" s="5"/>
      <c r="F325" s="5"/>
      <c r="G325" s="4" t="n">
        <v>324</v>
      </c>
      <c r="H325" s="6" t="n">
        <v>0.676</v>
      </c>
      <c r="J325" s="2" t="n">
        <f aca="false">B325/$B$1003</f>
        <v>0.00136126047153644</v>
      </c>
      <c r="K325" s="5" t="n">
        <f aca="false">J325*LOG(J325,2)</f>
        <v>-0.0129603446965331</v>
      </c>
      <c r="N325" s="2" t="n">
        <f aca="false">1/1000*LOG(1/1000,2)</f>
        <v>-0.00996578428466209</v>
      </c>
    </row>
    <row r="326" customFormat="false" ht="13" hidden="false" customHeight="false" outlineLevel="0" collapsed="false">
      <c r="A326" s="4" t="n">
        <v>676</v>
      </c>
      <c r="B326" s="2" t="n">
        <v>13.6937051421883</v>
      </c>
      <c r="C326" s="5" t="n">
        <f aca="false">B326</f>
        <v>13.6937051421883</v>
      </c>
      <c r="D326" s="5" t="n">
        <f aca="false">C326*LOG(C326)</f>
        <v>15.5631830818515</v>
      </c>
      <c r="E326" s="5"/>
      <c r="F326" s="5"/>
      <c r="G326" s="4" t="n">
        <v>325</v>
      </c>
      <c r="H326" s="6" t="n">
        <v>0.675</v>
      </c>
      <c r="J326" s="2" t="n">
        <f aca="false">B326/$B$1003</f>
        <v>0.00133835341812893</v>
      </c>
      <c r="K326" s="5" t="n">
        <f aca="false">J326*LOG(J326,2)</f>
        <v>-0.0127750185373959</v>
      </c>
      <c r="N326" s="2" t="n">
        <f aca="false">1/1000*LOG(1/1000,2)</f>
        <v>-0.00996578428466209</v>
      </c>
    </row>
    <row r="327" customFormat="false" ht="13" hidden="false" customHeight="false" outlineLevel="0" collapsed="false">
      <c r="A327" s="4" t="n">
        <v>675</v>
      </c>
      <c r="B327" s="2" t="n">
        <v>13.6569924277605</v>
      </c>
      <c r="C327" s="5" t="n">
        <f aca="false">B327</f>
        <v>13.6569924277605</v>
      </c>
      <c r="D327" s="5" t="n">
        <f aca="false">C327*LOG(C327)</f>
        <v>15.5055355748324</v>
      </c>
      <c r="E327" s="5"/>
      <c r="F327" s="5"/>
      <c r="G327" s="4" t="n">
        <v>326</v>
      </c>
      <c r="H327" s="6" t="n">
        <v>0.674</v>
      </c>
      <c r="J327" s="2" t="n">
        <f aca="false">B327/$B$1003</f>
        <v>0.00133476530327374</v>
      </c>
      <c r="K327" s="5" t="n">
        <f aca="false">J327*LOG(J327,2)</f>
        <v>-0.0127459384245851</v>
      </c>
      <c r="N327" s="2" t="n">
        <f aca="false">1/1000*LOG(1/1000,2)</f>
        <v>-0.00996578428466209</v>
      </c>
    </row>
    <row r="328" customFormat="false" ht="13" hidden="false" customHeight="false" outlineLevel="0" collapsed="false">
      <c r="A328" s="4" t="n">
        <v>674</v>
      </c>
      <c r="B328" s="2" t="n">
        <v>13.5941075600437</v>
      </c>
      <c r="C328" s="5" t="n">
        <f aca="false">B328</f>
        <v>13.5941075600437</v>
      </c>
      <c r="D328" s="5" t="n">
        <f aca="false">C328*LOG(C328)</f>
        <v>15.406891344179</v>
      </c>
      <c r="E328" s="5"/>
      <c r="F328" s="5"/>
      <c r="G328" s="4" t="n">
        <v>327</v>
      </c>
      <c r="H328" s="6" t="n">
        <v>0.673</v>
      </c>
      <c r="J328" s="2" t="n">
        <f aca="false">B328/$B$1003</f>
        <v>0.00132861925464895</v>
      </c>
      <c r="K328" s="5" t="n">
        <f aca="false">J328*LOG(J328,2)</f>
        <v>-0.0126960950164536</v>
      </c>
      <c r="N328" s="2" t="n">
        <f aca="false">1/1000*LOG(1/1000,2)</f>
        <v>-0.00996578428466209</v>
      </c>
    </row>
    <row r="329" customFormat="false" ht="13" hidden="false" customHeight="false" outlineLevel="0" collapsed="false">
      <c r="A329" s="4" t="n">
        <v>673</v>
      </c>
      <c r="B329" s="2" t="n">
        <v>13.5613493895645</v>
      </c>
      <c r="C329" s="5" t="n">
        <f aca="false">B329</f>
        <v>13.5613493895645</v>
      </c>
      <c r="D329" s="5" t="n">
        <f aca="false">C329*LOG(C329)</f>
        <v>15.3555553110499</v>
      </c>
      <c r="E329" s="5"/>
      <c r="F329" s="5"/>
      <c r="G329" s="4" t="n">
        <v>328</v>
      </c>
      <c r="H329" s="6" t="n">
        <v>0.672</v>
      </c>
      <c r="J329" s="2" t="n">
        <f aca="false">B329/$B$1003</f>
        <v>0.00132541763689998</v>
      </c>
      <c r="K329" s="5" t="n">
        <f aca="false">J329*LOG(J329,2)</f>
        <v>-0.0126701142048394</v>
      </c>
      <c r="N329" s="2" t="n">
        <f aca="false">1/1000*LOG(1/1000,2)</f>
        <v>-0.00996578428466209</v>
      </c>
    </row>
    <row r="330" customFormat="false" ht="13" hidden="false" customHeight="false" outlineLevel="0" collapsed="false">
      <c r="A330" s="4" t="n">
        <v>672</v>
      </c>
      <c r="B330" s="2" t="n">
        <v>13.5357259231945</v>
      </c>
      <c r="C330" s="5" t="n">
        <f aca="false">B330</f>
        <v>13.5357259231945</v>
      </c>
      <c r="D330" s="5" t="n">
        <f aca="false">C330*LOG(C330)</f>
        <v>15.3154241752282</v>
      </c>
      <c r="E330" s="5"/>
      <c r="F330" s="5"/>
      <c r="G330" s="4" t="n">
        <v>329</v>
      </c>
      <c r="H330" s="6" t="n">
        <v>0.671</v>
      </c>
      <c r="J330" s="2" t="n">
        <f aca="false">B330/$B$1003</f>
        <v>0.00132291332901219</v>
      </c>
      <c r="K330" s="5" t="n">
        <f aca="false">J330*LOG(J330,2)</f>
        <v>-0.0126497842183064</v>
      </c>
      <c r="N330" s="2" t="n">
        <f aca="false">1/1000*LOG(1/1000,2)</f>
        <v>-0.00996578428466209</v>
      </c>
    </row>
    <row r="331" customFormat="false" ht="13" hidden="false" customHeight="false" outlineLevel="0" collapsed="false">
      <c r="A331" s="4" t="n">
        <v>671</v>
      </c>
      <c r="B331" s="2" t="n">
        <v>13.5299113675892</v>
      </c>
      <c r="C331" s="5" t="n">
        <f aca="false">B331</f>
        <v>13.5299113675892</v>
      </c>
      <c r="D331" s="5" t="n">
        <f aca="false">C331*LOG(C331)</f>
        <v>15.3063204258739</v>
      </c>
      <c r="E331" s="5"/>
      <c r="F331" s="5"/>
      <c r="G331" s="4" t="n">
        <v>330</v>
      </c>
      <c r="H331" s="6" t="n">
        <v>0.67</v>
      </c>
      <c r="J331" s="2" t="n">
        <f aca="false">B331/$B$1003</f>
        <v>0.00132234504378271</v>
      </c>
      <c r="K331" s="5" t="n">
        <f aca="false">J331*LOG(J331,2)</f>
        <v>-0.0126451699237465</v>
      </c>
      <c r="N331" s="2" t="n">
        <f aca="false">1/1000*LOG(1/1000,2)</f>
        <v>-0.00996578428466209</v>
      </c>
    </row>
    <row r="332" customFormat="false" ht="13" hidden="false" customHeight="false" outlineLevel="0" collapsed="false">
      <c r="A332" s="4" t="n">
        <v>670</v>
      </c>
      <c r="B332" s="2" t="n">
        <v>13.4285766583994</v>
      </c>
      <c r="C332" s="5" t="n">
        <f aca="false">B332</f>
        <v>13.4285766583994</v>
      </c>
      <c r="D332" s="5" t="n">
        <f aca="false">C332*LOG(C332)</f>
        <v>15.1478370959779</v>
      </c>
      <c r="E332" s="5"/>
      <c r="F332" s="5"/>
      <c r="G332" s="4" t="n">
        <v>331</v>
      </c>
      <c r="H332" s="6" t="n">
        <v>0.669</v>
      </c>
      <c r="J332" s="2" t="n">
        <f aca="false">B332/$B$1003</f>
        <v>0.0013124411022993</v>
      </c>
      <c r="K332" s="5" t="n">
        <f aca="false">J332*LOG(J332,2)</f>
        <v>-0.0125646963705501</v>
      </c>
      <c r="N332" s="2" t="n">
        <f aca="false">1/1000*LOG(1/1000,2)</f>
        <v>-0.00996578428466209</v>
      </c>
    </row>
    <row r="333" customFormat="false" ht="13" hidden="false" customHeight="false" outlineLevel="0" collapsed="false">
      <c r="A333" s="4" t="n">
        <v>669</v>
      </c>
      <c r="B333" s="2" t="n">
        <v>13.3902048631678</v>
      </c>
      <c r="C333" s="5" t="n">
        <f aca="false">B333</f>
        <v>13.3902048631678</v>
      </c>
      <c r="D333" s="5" t="n">
        <f aca="false">C333*LOG(C333)</f>
        <v>15.0879117336532</v>
      </c>
      <c r="E333" s="5"/>
      <c r="F333" s="5"/>
      <c r="G333" s="4" t="n">
        <v>332</v>
      </c>
      <c r="H333" s="6" t="n">
        <v>0.668</v>
      </c>
      <c r="J333" s="2" t="n">
        <f aca="false">B333/$B$1003</f>
        <v>0.00130869083728521</v>
      </c>
      <c r="K333" s="5" t="n">
        <f aca="false">J333*LOG(J333,2)</f>
        <v>-0.0125341958411181</v>
      </c>
      <c r="N333" s="2" t="n">
        <f aca="false">1/1000*LOG(1/1000,2)</f>
        <v>-0.00996578428466209</v>
      </c>
    </row>
    <row r="334" customFormat="false" ht="13" hidden="false" customHeight="false" outlineLevel="0" collapsed="false">
      <c r="A334" s="4" t="n">
        <v>668</v>
      </c>
      <c r="B334" s="2" t="n">
        <v>13.2901356713678</v>
      </c>
      <c r="C334" s="5" t="n">
        <f aca="false">B334</f>
        <v>13.2901356713678</v>
      </c>
      <c r="D334" s="5" t="n">
        <f aca="false">C334*LOG(C334)</f>
        <v>14.931858348527</v>
      </c>
      <c r="E334" s="5"/>
      <c r="F334" s="5"/>
      <c r="G334" s="4" t="n">
        <v>333</v>
      </c>
      <c r="H334" s="6" t="n">
        <v>0.667</v>
      </c>
      <c r="J334" s="2" t="n">
        <f aca="false">B334/$B$1003</f>
        <v>0.00129891058106498</v>
      </c>
      <c r="K334" s="5" t="n">
        <f aca="false">J334*LOG(J334,2)</f>
        <v>-0.0124545809440158</v>
      </c>
      <c r="N334" s="2" t="n">
        <f aca="false">1/1000*LOG(1/1000,2)</f>
        <v>-0.00996578428466209</v>
      </c>
    </row>
    <row r="335" customFormat="false" ht="13" hidden="false" customHeight="false" outlineLevel="0" collapsed="false">
      <c r="A335" s="4" t="n">
        <v>667</v>
      </c>
      <c r="B335" s="2" t="n">
        <v>13.2273723835726</v>
      </c>
      <c r="C335" s="5" t="n">
        <f aca="false">B335</f>
        <v>13.2273723835726</v>
      </c>
      <c r="D335" s="5" t="n">
        <f aca="false">C335*LOG(C335)</f>
        <v>14.8341486635454</v>
      </c>
      <c r="E335" s="5"/>
      <c r="F335" s="5"/>
      <c r="G335" s="4" t="n">
        <v>334</v>
      </c>
      <c r="H335" s="6" t="n">
        <v>0.666</v>
      </c>
      <c r="J335" s="2" t="n">
        <f aca="false">B335/$B$1003</f>
        <v>0.00129277641504625</v>
      </c>
      <c r="K335" s="5" t="n">
        <f aca="false">J335*LOG(J335,2)</f>
        <v>-0.0124045924038194</v>
      </c>
      <c r="N335" s="2" t="n">
        <f aca="false">1/1000*LOG(1/1000,2)</f>
        <v>-0.00996578428466209</v>
      </c>
    </row>
    <row r="336" customFormat="false" ht="13" hidden="false" customHeight="false" outlineLevel="0" collapsed="false">
      <c r="A336" s="4" t="n">
        <v>666</v>
      </c>
      <c r="B336" s="2" t="n">
        <v>13.1938125185927</v>
      </c>
      <c r="C336" s="5" t="n">
        <f aca="false">B336</f>
        <v>13.1938125185927</v>
      </c>
      <c r="D336" s="5" t="n">
        <f aca="false">C336*LOG(C336)</f>
        <v>14.7819558024268</v>
      </c>
      <c r="E336" s="5"/>
      <c r="F336" s="5"/>
      <c r="G336" s="4" t="n">
        <v>335</v>
      </c>
      <c r="H336" s="6" t="n">
        <v>0.665</v>
      </c>
      <c r="J336" s="2" t="n">
        <f aca="false">B336/$B$1003</f>
        <v>0.00128949644373524</v>
      </c>
      <c r="K336" s="5" t="n">
        <f aca="false">J336*LOG(J336,2)</f>
        <v>-0.0123778460477351</v>
      </c>
      <c r="N336" s="2" t="n">
        <f aca="false">1/1000*LOG(1/1000,2)</f>
        <v>-0.00996578428466209</v>
      </c>
    </row>
    <row r="337" customFormat="false" ht="13" hidden="false" customHeight="false" outlineLevel="0" collapsed="false">
      <c r="A337" s="4" t="n">
        <v>665</v>
      </c>
      <c r="B337" s="2" t="n">
        <v>13.1875488568448</v>
      </c>
      <c r="C337" s="5" t="n">
        <f aca="false">B337</f>
        <v>13.1875488568448</v>
      </c>
      <c r="D337" s="5" t="n">
        <f aca="false">C337*LOG(C337)</f>
        <v>14.7722185538649</v>
      </c>
      <c r="E337" s="5"/>
      <c r="F337" s="5"/>
      <c r="G337" s="4" t="n">
        <v>336</v>
      </c>
      <c r="H337" s="6" t="n">
        <v>0.664</v>
      </c>
      <c r="J337" s="2" t="n">
        <f aca="false">B337/$B$1003</f>
        <v>0.00128888426514492</v>
      </c>
      <c r="K337" s="5" t="n">
        <f aca="false">J337*LOG(J337,2)</f>
        <v>-0.0123728527371788</v>
      </c>
      <c r="N337" s="2" t="n">
        <f aca="false">1/1000*LOG(1/1000,2)</f>
        <v>-0.00996578428466209</v>
      </c>
    </row>
    <row r="338" customFormat="false" ht="13" hidden="false" customHeight="false" outlineLevel="0" collapsed="false">
      <c r="A338" s="4" t="n">
        <v>664</v>
      </c>
      <c r="B338" s="2" t="n">
        <v>13.1462001710554</v>
      </c>
      <c r="C338" s="5" t="n">
        <f aca="false">B338</f>
        <v>13.1462001710554</v>
      </c>
      <c r="D338" s="5" t="n">
        <f aca="false">C338*LOG(C338)</f>
        <v>14.7079719169043</v>
      </c>
      <c r="E338" s="5"/>
      <c r="F338" s="5"/>
      <c r="G338" s="4" t="n">
        <v>337</v>
      </c>
      <c r="H338" s="6" t="n">
        <v>0.663</v>
      </c>
      <c r="J338" s="2" t="n">
        <f aca="false">B338/$B$1003</f>
        <v>0.0012848430539178</v>
      </c>
      <c r="K338" s="5" t="n">
        <f aca="false">J338*LOG(J338,2)</f>
        <v>-0.0123398795627708</v>
      </c>
      <c r="N338" s="2" t="n">
        <f aca="false">1/1000*LOG(1/1000,2)</f>
        <v>-0.00996578428466209</v>
      </c>
    </row>
    <row r="339" customFormat="false" ht="13" hidden="false" customHeight="false" outlineLevel="0" collapsed="false">
      <c r="A339" s="4" t="n">
        <v>663</v>
      </c>
      <c r="B339" s="2" t="n">
        <v>13.1407505458808</v>
      </c>
      <c r="C339" s="5" t="n">
        <f aca="false">B339</f>
        <v>13.1407505458808</v>
      </c>
      <c r="D339" s="5" t="n">
        <f aca="false">C339*LOG(C339)</f>
        <v>14.6995086234274</v>
      </c>
      <c r="E339" s="5"/>
      <c r="F339" s="5"/>
      <c r="G339" s="4" t="n">
        <v>338</v>
      </c>
      <c r="H339" s="6" t="n">
        <v>0.662</v>
      </c>
      <c r="J339" s="2" t="n">
        <f aca="false">B339/$B$1003</f>
        <v>0.0012843104351412</v>
      </c>
      <c r="K339" s="5" t="n">
        <f aca="false">J339*LOG(J339,2)</f>
        <v>-0.0123355324368797</v>
      </c>
      <c r="N339" s="2" t="n">
        <f aca="false">1/1000*LOG(1/1000,2)</f>
        <v>-0.00996578428466209</v>
      </c>
    </row>
    <row r="340" customFormat="false" ht="13" hidden="false" customHeight="false" outlineLevel="0" collapsed="false">
      <c r="A340" s="4" t="n">
        <v>662</v>
      </c>
      <c r="B340" s="2" t="n">
        <v>13.1296553137636</v>
      </c>
      <c r="C340" s="5" t="n">
        <f aca="false">B340</f>
        <v>13.1296553137636</v>
      </c>
      <c r="D340" s="5" t="n">
        <f aca="false">C340*LOG(C340)</f>
        <v>14.6822807097295</v>
      </c>
      <c r="E340" s="5"/>
      <c r="F340" s="5"/>
      <c r="G340" s="4" t="n">
        <v>339</v>
      </c>
      <c r="H340" s="6" t="n">
        <v>0.661</v>
      </c>
      <c r="J340" s="2" t="n">
        <f aca="false">B340/$B$1003</f>
        <v>0.00128322604332213</v>
      </c>
      <c r="K340" s="5" t="n">
        <f aca="false">J340*LOG(J340,2)</f>
        <v>-0.0123266808668845</v>
      </c>
      <c r="N340" s="2" t="n">
        <f aca="false">1/1000*LOG(1/1000,2)</f>
        <v>-0.00996578428466209</v>
      </c>
    </row>
    <row r="341" customFormat="false" ht="13" hidden="false" customHeight="false" outlineLevel="0" collapsed="false">
      <c r="A341" s="4" t="n">
        <v>661</v>
      </c>
      <c r="B341" s="2" t="n">
        <v>13.0567112752884</v>
      </c>
      <c r="C341" s="5" t="n">
        <f aca="false">B341</f>
        <v>13.0567112752884</v>
      </c>
      <c r="D341" s="5" t="n">
        <f aca="false">C341*LOG(C341)</f>
        <v>14.5691197657733</v>
      </c>
      <c r="E341" s="5"/>
      <c r="F341" s="5"/>
      <c r="G341" s="4" t="n">
        <v>340</v>
      </c>
      <c r="H341" s="6" t="n">
        <v>0.66</v>
      </c>
      <c r="J341" s="2" t="n">
        <f aca="false">B341/$B$1003</f>
        <v>0.00127609686227056</v>
      </c>
      <c r="K341" s="5" t="n">
        <f aca="false">J341*LOG(J341,2)</f>
        <v>-0.0122684545002478</v>
      </c>
      <c r="N341" s="2" t="n">
        <f aca="false">1/1000*LOG(1/1000,2)</f>
        <v>-0.00996578428466209</v>
      </c>
    </row>
    <row r="342" customFormat="false" ht="13" hidden="false" customHeight="false" outlineLevel="0" collapsed="false">
      <c r="A342" s="4" t="n">
        <v>660</v>
      </c>
      <c r="B342" s="2" t="n">
        <v>13.0085465521878</v>
      </c>
      <c r="C342" s="5" t="n">
        <f aca="false">B342</f>
        <v>13.0085465521878</v>
      </c>
      <c r="D342" s="5" t="n">
        <f aca="false">C342*LOG(C342)</f>
        <v>14.4944968952636</v>
      </c>
      <c r="E342" s="5"/>
      <c r="F342" s="5"/>
      <c r="G342" s="4" t="n">
        <v>341</v>
      </c>
      <c r="H342" s="6" t="n">
        <v>0.659</v>
      </c>
      <c r="J342" s="2" t="n">
        <f aca="false">B342/$B$1003</f>
        <v>0.00127138948606189</v>
      </c>
      <c r="K342" s="5" t="n">
        <f aca="false">J342*LOG(J342,2)</f>
        <v>-0.0122299763334495</v>
      </c>
      <c r="N342" s="2" t="n">
        <f aca="false">1/1000*LOG(1/1000,2)</f>
        <v>-0.00996578428466209</v>
      </c>
    </row>
    <row r="343" customFormat="false" ht="13" hidden="false" customHeight="false" outlineLevel="0" collapsed="false">
      <c r="A343" s="4" t="n">
        <v>659</v>
      </c>
      <c r="B343" s="2" t="n">
        <v>12.8497609541656</v>
      </c>
      <c r="C343" s="5" t="n">
        <f aca="false">B343</f>
        <v>12.8497609541656</v>
      </c>
      <c r="D343" s="5" t="n">
        <f aca="false">C343*LOG(C343)</f>
        <v>14.2490362965304</v>
      </c>
      <c r="E343" s="5"/>
      <c r="F343" s="5"/>
      <c r="G343" s="4" t="n">
        <v>342</v>
      </c>
      <c r="H343" s="6" t="n">
        <v>0.658</v>
      </c>
      <c r="J343" s="2" t="n">
        <f aca="false">B343/$B$1003</f>
        <v>0.0012558705855411</v>
      </c>
      <c r="K343" s="5" t="n">
        <f aca="false">J343*LOG(J343,2)</f>
        <v>-0.0121029459980546</v>
      </c>
      <c r="N343" s="2" t="n">
        <f aca="false">1/1000*LOG(1/1000,2)</f>
        <v>-0.00996578428466209</v>
      </c>
    </row>
    <row r="344" customFormat="false" ht="13" hidden="false" customHeight="false" outlineLevel="0" collapsed="false">
      <c r="A344" s="4" t="n">
        <v>658</v>
      </c>
      <c r="B344" s="2" t="n">
        <v>12.7314000302771</v>
      </c>
      <c r="C344" s="5" t="n">
        <f aca="false">B344</f>
        <v>12.7314000302771</v>
      </c>
      <c r="D344" s="5" t="n">
        <f aca="false">C344*LOG(C344)</f>
        <v>14.0666204305847</v>
      </c>
      <c r="E344" s="5"/>
      <c r="F344" s="5"/>
      <c r="G344" s="4" t="n">
        <v>343</v>
      </c>
      <c r="H344" s="6" t="n">
        <v>0.657</v>
      </c>
      <c r="J344" s="2" t="n">
        <f aca="false">B344/$B$1003</f>
        <v>0.00124430258802587</v>
      </c>
      <c r="K344" s="5" t="n">
        <f aca="false">J344*LOG(J344,2)</f>
        <v>-0.0120080760827191</v>
      </c>
      <c r="N344" s="2" t="n">
        <f aca="false">1/1000*LOG(1/1000,2)</f>
        <v>-0.00996578428466209</v>
      </c>
    </row>
    <row r="345" customFormat="false" ht="13" hidden="false" customHeight="false" outlineLevel="0" collapsed="false">
      <c r="A345" s="4" t="n">
        <v>657</v>
      </c>
      <c r="B345" s="2" t="n">
        <v>12.5169449806916</v>
      </c>
      <c r="C345" s="5" t="n">
        <f aca="false">B345</f>
        <v>12.5169449806916</v>
      </c>
      <c r="D345" s="5" t="n">
        <f aca="false">C345*LOG(C345)</f>
        <v>13.7373263789497</v>
      </c>
      <c r="E345" s="5"/>
      <c r="F345" s="5"/>
      <c r="G345" s="4" t="n">
        <v>344</v>
      </c>
      <c r="H345" s="6" t="n">
        <v>0.656</v>
      </c>
      <c r="J345" s="2" t="n">
        <f aca="false">B345/$B$1003</f>
        <v>0.00122334283712811</v>
      </c>
      <c r="K345" s="5" t="n">
        <f aca="false">J345*LOG(J345,2)</f>
        <v>-0.0118357875280657</v>
      </c>
      <c r="N345" s="2" t="n">
        <f aca="false">1/1000*LOG(1/1000,2)</f>
        <v>-0.00996578428466209</v>
      </c>
    </row>
    <row r="346" customFormat="false" ht="13" hidden="false" customHeight="false" outlineLevel="0" collapsed="false">
      <c r="A346" s="4" t="n">
        <v>656</v>
      </c>
      <c r="B346" s="2" t="n">
        <v>12.2117205215619</v>
      </c>
      <c r="C346" s="5" t="n">
        <f aca="false">B346</f>
        <v>12.2117205215619</v>
      </c>
      <c r="D346" s="5" t="n">
        <f aca="false">C346*LOG(C346)</f>
        <v>13.2714152401616</v>
      </c>
      <c r="E346" s="5"/>
      <c r="F346" s="5"/>
      <c r="G346" s="4" t="n">
        <v>345</v>
      </c>
      <c r="H346" s="6" t="n">
        <v>0.655</v>
      </c>
      <c r="J346" s="2" t="n">
        <f aca="false">B346/$B$1003</f>
        <v>0.00119351174364894</v>
      </c>
      <c r="K346" s="5" t="n">
        <f aca="false">J346*LOG(J346,2)</f>
        <v>-0.0115896811498445</v>
      </c>
      <c r="N346" s="2" t="n">
        <f aca="false">1/1000*LOG(1/1000,2)</f>
        <v>-0.00996578428466209</v>
      </c>
    </row>
    <row r="347" customFormat="false" ht="13" hidden="false" customHeight="false" outlineLevel="0" collapsed="false">
      <c r="A347" s="4" t="n">
        <v>655</v>
      </c>
      <c r="B347" s="2" t="n">
        <v>12.2098172899558</v>
      </c>
      <c r="C347" s="5" t="n">
        <f aca="false">B347</f>
        <v>12.2098172899558</v>
      </c>
      <c r="D347" s="5" t="n">
        <f aca="false">C347*LOG(C347)</f>
        <v>13.2685203535298</v>
      </c>
      <c r="E347" s="5"/>
      <c r="F347" s="5"/>
      <c r="G347" s="4" t="n">
        <v>346</v>
      </c>
      <c r="H347" s="6" t="n">
        <v>0.654</v>
      </c>
      <c r="J347" s="2" t="n">
        <f aca="false">B347/$B$1003</f>
        <v>0.0011933257314266</v>
      </c>
      <c r="K347" s="5" t="n">
        <f aca="false">J347*LOG(J347,2)</f>
        <v>-0.0115881432028528</v>
      </c>
      <c r="N347" s="2" t="n">
        <f aca="false">1/1000*LOG(1/1000,2)</f>
        <v>-0.00996578428466209</v>
      </c>
    </row>
    <row r="348" customFormat="false" ht="13" hidden="false" customHeight="false" outlineLevel="0" collapsed="false">
      <c r="A348" s="4" t="n">
        <v>654</v>
      </c>
      <c r="B348" s="2" t="n">
        <v>12.1919853146637</v>
      </c>
      <c r="C348" s="5" t="n">
        <f aca="false">B348</f>
        <v>12.1919853146637</v>
      </c>
      <c r="D348" s="5" t="n">
        <f aca="false">C348*LOG(C348)</f>
        <v>13.2414035119809</v>
      </c>
      <c r="E348" s="5"/>
      <c r="F348" s="5"/>
      <c r="G348" s="4" t="n">
        <v>347</v>
      </c>
      <c r="H348" s="6" t="n">
        <v>0.653</v>
      </c>
      <c r="J348" s="2" t="n">
        <f aca="false">B348/$B$1003</f>
        <v>0.00119158292443344</v>
      </c>
      <c r="K348" s="5" t="n">
        <f aca="false">J348*LOG(J348,2)</f>
        <v>-0.0115737316610614</v>
      </c>
      <c r="N348" s="2" t="n">
        <f aca="false">1/1000*LOG(1/1000,2)</f>
        <v>-0.00996578428466209</v>
      </c>
    </row>
    <row r="349" customFormat="false" ht="13" hidden="false" customHeight="false" outlineLevel="0" collapsed="false">
      <c r="A349" s="4" t="n">
        <v>653</v>
      </c>
      <c r="B349" s="2" t="n">
        <v>12.1881249888202</v>
      </c>
      <c r="C349" s="5" t="n">
        <f aca="false">B349</f>
        <v>12.1881249888202</v>
      </c>
      <c r="D349" s="5" t="n">
        <f aca="false">C349*LOG(C349)</f>
        <v>13.2355346580195</v>
      </c>
      <c r="E349" s="5"/>
      <c r="F349" s="5"/>
      <c r="G349" s="4" t="n">
        <v>348</v>
      </c>
      <c r="H349" s="6" t="n">
        <v>0.652</v>
      </c>
      <c r="J349" s="2" t="n">
        <f aca="false">B349/$B$1003</f>
        <v>0.00119120563572785</v>
      </c>
      <c r="K349" s="5" t="n">
        <f aca="false">J349*LOG(J349,2)</f>
        <v>-0.011570611318096</v>
      </c>
      <c r="N349" s="2" t="n">
        <f aca="false">1/1000*LOG(1/1000,2)</f>
        <v>-0.00996578428466209</v>
      </c>
    </row>
    <row r="350" customFormat="false" ht="13" hidden="false" customHeight="false" outlineLevel="0" collapsed="false">
      <c r="A350" s="4" t="n">
        <v>652</v>
      </c>
      <c r="B350" s="2" t="n">
        <v>12.175414283241</v>
      </c>
      <c r="C350" s="5" t="n">
        <f aca="false">B350</f>
        <v>12.175414283241</v>
      </c>
      <c r="D350" s="5" t="n">
        <f aca="false">C350*LOG(C350)</f>
        <v>13.2162143239597</v>
      </c>
      <c r="E350" s="5"/>
      <c r="F350" s="5"/>
      <c r="G350" s="4" t="n">
        <v>349</v>
      </c>
      <c r="H350" s="6" t="n">
        <v>0.651</v>
      </c>
      <c r="J350" s="2" t="n">
        <f aca="false">B350/$B$1003</f>
        <v>0.00118996335571071</v>
      </c>
      <c r="K350" s="5" t="n">
        <f aca="false">J350*LOG(J350,2)</f>
        <v>-0.01156033589919</v>
      </c>
      <c r="N350" s="2" t="n">
        <f aca="false">1/1000*LOG(1/1000,2)</f>
        <v>-0.00996578428466209</v>
      </c>
    </row>
    <row r="351" customFormat="false" ht="13" hidden="false" customHeight="false" outlineLevel="0" collapsed="false">
      <c r="A351" s="4" t="n">
        <v>651</v>
      </c>
      <c r="B351" s="2" t="n">
        <v>12.1671520850999</v>
      </c>
      <c r="C351" s="5" t="n">
        <f aca="false">B351</f>
        <v>12.1671520850999</v>
      </c>
      <c r="D351" s="5" t="n">
        <f aca="false">C351*LOG(C351)</f>
        <v>13.2036588328528</v>
      </c>
      <c r="E351" s="5"/>
      <c r="F351" s="5"/>
      <c r="G351" s="4" t="n">
        <v>350</v>
      </c>
      <c r="H351" s="6" t="n">
        <v>0.65</v>
      </c>
      <c r="J351" s="2" t="n">
        <f aca="false">B351/$B$1003</f>
        <v>0.00118915585029062</v>
      </c>
      <c r="K351" s="5" t="n">
        <f aca="false">J351*LOG(J351,2)</f>
        <v>-0.0115536556800193</v>
      </c>
      <c r="L351" s="2" t="n">
        <f aca="false">SUM(J302:J351)</f>
        <v>0.0669365968245554</v>
      </c>
      <c r="N351" s="2" t="n">
        <f aca="false">1/1000*LOG(1/1000,2)</f>
        <v>-0.00996578428466209</v>
      </c>
    </row>
    <row r="352" customFormat="false" ht="13" hidden="false" customHeight="false" outlineLevel="0" collapsed="false">
      <c r="A352" s="4" t="n">
        <v>650</v>
      </c>
      <c r="B352" s="2" t="n">
        <v>12.0984483216421</v>
      </c>
      <c r="C352" s="5" t="n">
        <f aca="false">B352</f>
        <v>12.0984483216421</v>
      </c>
      <c r="D352" s="5" t="n">
        <f aca="false">C352*LOG(C352)</f>
        <v>13.0993490040658</v>
      </c>
      <c r="E352" s="5"/>
      <c r="F352" s="5"/>
      <c r="G352" s="4" t="n">
        <v>351</v>
      </c>
      <c r="H352" s="6" t="n">
        <v>0.649</v>
      </c>
      <c r="J352" s="2" t="n">
        <f aca="false">B352/$B$1003</f>
        <v>0.00118244109225346</v>
      </c>
      <c r="K352" s="5" t="n">
        <f aca="false">J352*LOG(J352,2)</f>
        <v>-0.0114980760677101</v>
      </c>
      <c r="N352" s="2" t="n">
        <f aca="false">1/1000*LOG(1/1000,2)</f>
        <v>-0.00996578428466209</v>
      </c>
    </row>
    <row r="353" customFormat="false" ht="13" hidden="false" customHeight="false" outlineLevel="0" collapsed="false">
      <c r="A353" s="4" t="n">
        <v>649</v>
      </c>
      <c r="B353" s="2" t="n">
        <v>12.0970603716015</v>
      </c>
      <c r="C353" s="5" t="n">
        <f aca="false">B353</f>
        <v>12.0970603716015</v>
      </c>
      <c r="D353" s="5" t="n">
        <f aca="false">C353*LOG(C353)</f>
        <v>13.0972434849045</v>
      </c>
      <c r="E353" s="5"/>
      <c r="F353" s="5"/>
      <c r="G353" s="4" t="n">
        <v>352</v>
      </c>
      <c r="H353" s="6" t="n">
        <v>0.648</v>
      </c>
      <c r="J353" s="2" t="n">
        <f aca="false">B353/$B$1003</f>
        <v>0.00118230544104279</v>
      </c>
      <c r="K353" s="5" t="n">
        <f aca="false">J353*LOG(J353,2)</f>
        <v>-0.0114969526852737</v>
      </c>
      <c r="N353" s="2" t="n">
        <f aca="false">1/1000*LOG(1/1000,2)</f>
        <v>-0.00996578428466209</v>
      </c>
    </row>
    <row r="354" customFormat="false" ht="13" hidden="false" customHeight="false" outlineLevel="0" collapsed="false">
      <c r="A354" s="4" t="n">
        <v>648</v>
      </c>
      <c r="B354" s="2" t="n">
        <v>12.0369133666556</v>
      </c>
      <c r="C354" s="5" t="n">
        <f aca="false">B354</f>
        <v>12.0369133666556</v>
      </c>
      <c r="D354" s="5" t="n">
        <f aca="false">C354*LOG(C354)</f>
        <v>13.0060670688062</v>
      </c>
      <c r="E354" s="5"/>
      <c r="F354" s="5"/>
      <c r="G354" s="4" t="n">
        <v>353</v>
      </c>
      <c r="H354" s="6" t="n">
        <v>0.647</v>
      </c>
      <c r="J354" s="2" t="n">
        <f aca="false">B354/$B$1003</f>
        <v>0.00117642697726518</v>
      </c>
      <c r="K354" s="5" t="n">
        <f aca="false">J354*LOG(J354,2)</f>
        <v>-0.0114482491486361</v>
      </c>
      <c r="N354" s="2" t="n">
        <f aca="false">1/1000*LOG(1/1000,2)</f>
        <v>-0.00996578428466209</v>
      </c>
    </row>
    <row r="355" customFormat="false" ht="13" hidden="false" customHeight="false" outlineLevel="0" collapsed="false">
      <c r="A355" s="4" t="n">
        <v>647</v>
      </c>
      <c r="B355" s="2" t="n">
        <v>11.985406697556</v>
      </c>
      <c r="C355" s="5" t="n">
        <f aca="false">B355</f>
        <v>11.985406697556</v>
      </c>
      <c r="D355" s="5" t="n">
        <f aca="false">C355*LOG(C355)</f>
        <v>12.9280921988156</v>
      </c>
      <c r="E355" s="5"/>
      <c r="F355" s="5"/>
      <c r="G355" s="4" t="n">
        <v>354</v>
      </c>
      <c r="H355" s="6" t="n">
        <v>0.646</v>
      </c>
      <c r="J355" s="2" t="n">
        <f aca="false">B355/$B$1003</f>
        <v>0.0011713929761727</v>
      </c>
      <c r="K355" s="5" t="n">
        <f aca="false">J355*LOG(J355,2)</f>
        <v>-0.011406508376586</v>
      </c>
      <c r="N355" s="2" t="n">
        <f aca="false">1/1000*LOG(1/1000,2)</f>
        <v>-0.00996578428466209</v>
      </c>
    </row>
    <row r="356" customFormat="false" ht="13" hidden="false" customHeight="false" outlineLevel="0" collapsed="false">
      <c r="A356" s="4" t="n">
        <v>646</v>
      </c>
      <c r="B356" s="2" t="n">
        <v>11.8605101388393</v>
      </c>
      <c r="C356" s="5" t="n">
        <f aca="false">B356</f>
        <v>11.8605101388393</v>
      </c>
      <c r="D356" s="5" t="n">
        <f aca="false">C356*LOG(C356)</f>
        <v>12.7394138994391</v>
      </c>
      <c r="E356" s="5"/>
      <c r="F356" s="5"/>
      <c r="G356" s="4" t="n">
        <v>355</v>
      </c>
      <c r="H356" s="6" t="n">
        <v>0.645</v>
      </c>
      <c r="J356" s="2" t="n">
        <f aca="false">B356/$B$1003</f>
        <v>0.00115918621879511</v>
      </c>
      <c r="K356" s="5" t="n">
        <f aca="false">J356*LOG(J356,2)</f>
        <v>-0.0113051629049955</v>
      </c>
      <c r="N356" s="2" t="n">
        <f aca="false">1/1000*LOG(1/1000,2)</f>
        <v>-0.00996578428466209</v>
      </c>
    </row>
    <row r="357" customFormat="false" ht="13" hidden="false" customHeight="false" outlineLevel="0" collapsed="false">
      <c r="A357" s="4" t="n">
        <v>645</v>
      </c>
      <c r="B357" s="2" t="n">
        <v>11.8131595013268</v>
      </c>
      <c r="C357" s="5" t="n">
        <f aca="false">B357</f>
        <v>11.8131595013268</v>
      </c>
      <c r="D357" s="5" t="n">
        <f aca="false">C357*LOG(C357)</f>
        <v>12.6680314033098</v>
      </c>
      <c r="E357" s="5"/>
      <c r="F357" s="5"/>
      <c r="G357" s="4" t="n">
        <v>356</v>
      </c>
      <c r="H357" s="6" t="n">
        <v>0.644</v>
      </c>
      <c r="J357" s="2" t="n">
        <f aca="false">B357/$B$1003</f>
        <v>0.00115455840719063</v>
      </c>
      <c r="K357" s="5" t="n">
        <f aca="false">J357*LOG(J357,2)</f>
        <v>-0.0112666925523996</v>
      </c>
      <c r="N357" s="2" t="n">
        <f aca="false">1/1000*LOG(1/1000,2)</f>
        <v>-0.00996578428466209</v>
      </c>
    </row>
    <row r="358" customFormat="false" ht="13" hidden="false" customHeight="false" outlineLevel="0" collapsed="false">
      <c r="A358" s="4" t="n">
        <v>644</v>
      </c>
      <c r="B358" s="2" t="n">
        <v>11.7991733084424</v>
      </c>
      <c r="C358" s="5" t="n">
        <f aca="false">B358</f>
        <v>11.7991733084424</v>
      </c>
      <c r="D358" s="5" t="n">
        <f aca="false">C358*LOG(C358)</f>
        <v>12.6469625554012</v>
      </c>
      <c r="E358" s="5"/>
      <c r="F358" s="5"/>
      <c r="G358" s="4" t="n">
        <v>357</v>
      </c>
      <c r="H358" s="6" t="n">
        <v>0.643</v>
      </c>
      <c r="J358" s="2" t="n">
        <f aca="false">B358/$B$1003</f>
        <v>0.00115319146750125</v>
      </c>
      <c r="K358" s="5" t="n">
        <f aca="false">J358*LOG(J358,2)</f>
        <v>-0.0112553242584134</v>
      </c>
      <c r="N358" s="2" t="n">
        <f aca="false">1/1000*LOG(1/1000,2)</f>
        <v>-0.00996578428466209</v>
      </c>
    </row>
    <row r="359" customFormat="false" ht="13" hidden="false" customHeight="false" outlineLevel="0" collapsed="false">
      <c r="A359" s="4" t="n">
        <v>643</v>
      </c>
      <c r="B359" s="2" t="n">
        <v>11.7585602976277</v>
      </c>
      <c r="C359" s="5" t="n">
        <f aca="false">B359</f>
        <v>11.7585602976277</v>
      </c>
      <c r="D359" s="5" t="n">
        <f aca="false">C359*LOG(C359)</f>
        <v>12.585823819182</v>
      </c>
      <c r="E359" s="5"/>
      <c r="F359" s="5"/>
      <c r="G359" s="4" t="n">
        <v>358</v>
      </c>
      <c r="H359" s="6" t="n">
        <v>0.642</v>
      </c>
      <c r="J359" s="2" t="n">
        <f aca="false">B359/$B$1003</f>
        <v>0.00114922215742191</v>
      </c>
      <c r="K359" s="5" t="n">
        <f aca="false">J359*LOG(J359,2)</f>
        <v>-0.0112222998251064</v>
      </c>
      <c r="N359" s="2" t="n">
        <f aca="false">1/1000*LOG(1/1000,2)</f>
        <v>-0.00996578428466209</v>
      </c>
    </row>
    <row r="360" customFormat="false" ht="13" hidden="false" customHeight="false" outlineLevel="0" collapsed="false">
      <c r="A360" s="4" t="n">
        <v>642</v>
      </c>
      <c r="B360" s="2" t="n">
        <v>11.7545055570943</v>
      </c>
      <c r="C360" s="5" t="n">
        <f aca="false">B360</f>
        <v>11.7545055570943</v>
      </c>
      <c r="D360" s="5" t="n">
        <f aca="false">C360*LOG(C360)</f>
        <v>12.5797231630355</v>
      </c>
      <c r="E360" s="5"/>
      <c r="F360" s="5"/>
      <c r="G360" s="4" t="n">
        <v>359</v>
      </c>
      <c r="H360" s="6" t="n">
        <v>0.641</v>
      </c>
      <c r="J360" s="2" t="n">
        <f aca="false">B360/$B$1003</f>
        <v>0.00114882586760873</v>
      </c>
      <c r="K360" s="5" t="n">
        <f aca="false">J360*LOG(J360,2)</f>
        <v>-0.011219001631684</v>
      </c>
      <c r="N360" s="2" t="n">
        <f aca="false">1/1000*LOG(1/1000,2)</f>
        <v>-0.00996578428466209</v>
      </c>
    </row>
    <row r="361" customFormat="false" ht="13" hidden="false" customHeight="false" outlineLevel="0" collapsed="false">
      <c r="A361" s="4" t="n">
        <v>641</v>
      </c>
      <c r="B361" s="2" t="n">
        <v>11.7155682775515</v>
      </c>
      <c r="C361" s="5" t="n">
        <f aca="false">B361</f>
        <v>11.7155682775515</v>
      </c>
      <c r="D361" s="5" t="n">
        <f aca="false">C361*LOG(C361)</f>
        <v>12.521170109754</v>
      </c>
      <c r="E361" s="5"/>
      <c r="F361" s="5"/>
      <c r="G361" s="4" t="n">
        <v>360</v>
      </c>
      <c r="H361" s="6" t="n">
        <v>0.64</v>
      </c>
      <c r="J361" s="2" t="n">
        <f aca="false">B361/$B$1003</f>
        <v>0.00114502033502076</v>
      </c>
      <c r="K361" s="5" t="n">
        <f aca="false">J361*LOG(J361,2)</f>
        <v>-0.0111873193503979</v>
      </c>
      <c r="N361" s="2" t="n">
        <f aca="false">1/1000*LOG(1/1000,2)</f>
        <v>-0.00996578428466209</v>
      </c>
    </row>
    <row r="362" customFormat="false" ht="13" hidden="false" customHeight="false" outlineLevel="0" collapsed="false">
      <c r="A362" s="4" t="n">
        <v>640</v>
      </c>
      <c r="B362" s="2" t="n">
        <v>11.5562405695987</v>
      </c>
      <c r="C362" s="5" t="n">
        <f aca="false">B362</f>
        <v>11.5562405695987</v>
      </c>
      <c r="D362" s="5" t="n">
        <f aca="false">C362*LOG(C362)</f>
        <v>12.2821640116559</v>
      </c>
      <c r="E362" s="5"/>
      <c r="F362" s="5"/>
      <c r="G362" s="4" t="n">
        <v>361</v>
      </c>
      <c r="H362" s="6" t="n">
        <v>0.639</v>
      </c>
      <c r="J362" s="2" t="n">
        <f aca="false">B362/$B$1003</f>
        <v>0.0011294484514197</v>
      </c>
      <c r="K362" s="5" t="n">
        <f aca="false">J362*LOG(J362,2)</f>
        <v>-0.0110574876671626</v>
      </c>
      <c r="N362" s="2" t="n">
        <f aca="false">1/1000*LOG(1/1000,2)</f>
        <v>-0.00996578428466209</v>
      </c>
    </row>
    <row r="363" customFormat="false" ht="13" hidden="false" customHeight="false" outlineLevel="0" collapsed="false">
      <c r="A363" s="4" t="n">
        <v>639</v>
      </c>
      <c r="B363" s="2" t="n">
        <v>11.5079657577446</v>
      </c>
      <c r="C363" s="5" t="n">
        <f aca="false">B363</f>
        <v>11.5079657577446</v>
      </c>
      <c r="D363" s="5" t="n">
        <f aca="false">C363*LOG(C363)</f>
        <v>12.2099351086077</v>
      </c>
      <c r="E363" s="5"/>
      <c r="F363" s="5"/>
      <c r="G363" s="4" t="n">
        <v>362</v>
      </c>
      <c r="H363" s="6" t="n">
        <v>0.638</v>
      </c>
      <c r="J363" s="2" t="n">
        <f aca="false">B363/$B$1003</f>
        <v>0.00112473031569358</v>
      </c>
      <c r="K363" s="5" t="n">
        <f aca="false">J363*LOG(J363,2)</f>
        <v>-0.0110180889296793</v>
      </c>
      <c r="N363" s="2" t="n">
        <f aca="false">1/1000*LOG(1/1000,2)</f>
        <v>-0.00996578428466209</v>
      </c>
    </row>
    <row r="364" customFormat="false" ht="13" hidden="false" customHeight="false" outlineLevel="0" collapsed="false">
      <c r="A364" s="4" t="n">
        <v>638</v>
      </c>
      <c r="B364" s="2" t="n">
        <v>11.4529651790807</v>
      </c>
      <c r="C364" s="5" t="n">
        <f aca="false">B364</f>
        <v>11.4529651790807</v>
      </c>
      <c r="D364" s="5" t="n">
        <f aca="false">C364*LOG(C364)</f>
        <v>12.1277502979612</v>
      </c>
      <c r="E364" s="5"/>
      <c r="F364" s="5"/>
      <c r="G364" s="4" t="n">
        <v>363</v>
      </c>
      <c r="H364" s="6" t="n">
        <v>0.637</v>
      </c>
      <c r="J364" s="2" t="n">
        <f aca="false">B364/$B$1003</f>
        <v>0.00111935483756771</v>
      </c>
      <c r="K364" s="5" t="n">
        <f aca="false">J364*LOG(J364,2)</f>
        <v>-0.0109731662567857</v>
      </c>
      <c r="N364" s="2" t="n">
        <f aca="false">1/1000*LOG(1/1000,2)</f>
        <v>-0.00996578428466209</v>
      </c>
    </row>
    <row r="365" customFormat="false" ht="13" hidden="false" customHeight="false" outlineLevel="0" collapsed="false">
      <c r="A365" s="4" t="n">
        <v>637</v>
      </c>
      <c r="B365" s="2" t="n">
        <v>11.4049989156324</v>
      </c>
      <c r="C365" s="5" t="n">
        <f aca="false">B365</f>
        <v>11.4049989156324</v>
      </c>
      <c r="D365" s="5" t="n">
        <f aca="false">C365*LOG(C365)</f>
        <v>12.0561701608178</v>
      </c>
      <c r="E365" s="5"/>
      <c r="F365" s="5"/>
      <c r="G365" s="4" t="n">
        <v>364</v>
      </c>
      <c r="H365" s="6" t="n">
        <v>0.636</v>
      </c>
      <c r="J365" s="2" t="n">
        <f aca="false">B365/$B$1003</f>
        <v>0.00111466685780078</v>
      </c>
      <c r="K365" s="5" t="n">
        <f aca="false">J365*LOG(J365,2)</f>
        <v>-0.0109339585859701</v>
      </c>
      <c r="N365" s="2" t="n">
        <f aca="false">1/1000*LOG(1/1000,2)</f>
        <v>-0.00996578428466209</v>
      </c>
    </row>
    <row r="366" customFormat="false" ht="13" hidden="false" customHeight="false" outlineLevel="0" collapsed="false">
      <c r="A366" s="4" t="n">
        <v>636</v>
      </c>
      <c r="B366" s="2" t="n">
        <v>11.35181670145</v>
      </c>
      <c r="C366" s="5" t="n">
        <f aca="false">B366</f>
        <v>11.35181670145</v>
      </c>
      <c r="D366" s="5" t="n">
        <f aca="false">C366*LOG(C366)</f>
        <v>11.9769086874218</v>
      </c>
      <c r="E366" s="5"/>
      <c r="F366" s="5"/>
      <c r="G366" s="4" t="n">
        <v>365</v>
      </c>
      <c r="H366" s="6" t="n">
        <v>0.635</v>
      </c>
      <c r="J366" s="2" t="n">
        <f aca="false">B366/$B$1003</f>
        <v>0.00110946909741411</v>
      </c>
      <c r="K366" s="5" t="n">
        <f aca="false">J366*LOG(J366,2)</f>
        <v>-0.0108904541341807</v>
      </c>
      <c r="N366" s="2" t="n">
        <f aca="false">1/1000*LOG(1/1000,2)</f>
        <v>-0.00996578428466209</v>
      </c>
    </row>
    <row r="367" customFormat="false" ht="13" hidden="false" customHeight="false" outlineLevel="0" collapsed="false">
      <c r="A367" s="4" t="n">
        <v>635</v>
      </c>
      <c r="B367" s="2" t="n">
        <v>11.349922680114</v>
      </c>
      <c r="C367" s="5" t="n">
        <f aca="false">B367</f>
        <v>11.349922680114</v>
      </c>
      <c r="D367" s="5" t="n">
        <f aca="false">C367*LOG(C367)</f>
        <v>11.9740878767105</v>
      </c>
      <c r="E367" s="5"/>
      <c r="F367" s="5"/>
      <c r="G367" s="4" t="n">
        <v>366</v>
      </c>
      <c r="H367" s="6" t="n">
        <v>0.634</v>
      </c>
      <c r="J367" s="2" t="n">
        <f aca="false">B367/$B$1003</f>
        <v>0.00110928398535695</v>
      </c>
      <c r="K367" s="5" t="n">
        <f aca="false">J367*LOG(J367,2)</f>
        <v>-0.0108889041279655</v>
      </c>
      <c r="N367" s="2" t="n">
        <f aca="false">1/1000*LOG(1/1000,2)</f>
        <v>-0.00996578428466209</v>
      </c>
    </row>
    <row r="368" customFormat="false" ht="13" hidden="false" customHeight="false" outlineLevel="0" collapsed="false">
      <c r="A368" s="4" t="n">
        <v>634</v>
      </c>
      <c r="B368" s="2" t="n">
        <v>11.345008387901</v>
      </c>
      <c r="C368" s="5" t="n">
        <f aca="false">B368</f>
        <v>11.345008387901</v>
      </c>
      <c r="D368" s="5" t="n">
        <f aca="false">C368*LOG(C368)</f>
        <v>11.9667695454229</v>
      </c>
      <c r="E368" s="5"/>
      <c r="F368" s="5"/>
      <c r="G368" s="4" t="n">
        <v>367</v>
      </c>
      <c r="H368" s="6" t="n">
        <v>0.633</v>
      </c>
      <c r="J368" s="2" t="n">
        <f aca="false">B368/$B$1003</f>
        <v>0.00110880368731397</v>
      </c>
      <c r="K368" s="5" t="n">
        <f aca="false">J368*LOG(J368,2)</f>
        <v>-0.0108848822212465</v>
      </c>
      <c r="N368" s="2" t="n">
        <f aca="false">1/1000*LOG(1/1000,2)</f>
        <v>-0.00996578428466209</v>
      </c>
    </row>
    <row r="369" customFormat="false" ht="13" hidden="false" customHeight="false" outlineLevel="0" collapsed="false">
      <c r="A369" s="4" t="n">
        <v>633</v>
      </c>
      <c r="B369" s="2" t="n">
        <v>11.2827536065852</v>
      </c>
      <c r="C369" s="5" t="n">
        <f aca="false">B369</f>
        <v>11.2827536065852</v>
      </c>
      <c r="D369" s="5" t="n">
        <f aca="false">C369*LOG(C369)</f>
        <v>11.8741403113868</v>
      </c>
      <c r="E369" s="5"/>
      <c r="F369" s="5"/>
      <c r="G369" s="4" t="n">
        <v>368</v>
      </c>
      <c r="H369" s="6" t="n">
        <v>0.632</v>
      </c>
      <c r="J369" s="2" t="n">
        <f aca="false">B369/$B$1003</f>
        <v>0.0011027192201443</v>
      </c>
      <c r="K369" s="5" t="n">
        <f aca="false">J369*LOG(J369,2)</f>
        <v>-0.0108339062457349</v>
      </c>
      <c r="N369" s="2" t="n">
        <f aca="false">1/1000*LOG(1/1000,2)</f>
        <v>-0.00996578428466209</v>
      </c>
    </row>
    <row r="370" customFormat="false" ht="13" hidden="false" customHeight="false" outlineLevel="0" collapsed="false">
      <c r="A370" s="4" t="n">
        <v>632</v>
      </c>
      <c r="B370" s="2" t="n">
        <v>11.2144403347621</v>
      </c>
      <c r="C370" s="5" t="n">
        <f aca="false">B370</f>
        <v>11.2144403347621</v>
      </c>
      <c r="D370" s="5" t="n">
        <f aca="false">C370*LOG(C370)</f>
        <v>11.7726683122391</v>
      </c>
      <c r="E370" s="5"/>
      <c r="F370" s="5"/>
      <c r="G370" s="4" t="n">
        <v>369</v>
      </c>
      <c r="H370" s="6" t="n">
        <v>0.631</v>
      </c>
      <c r="J370" s="2" t="n">
        <f aca="false">B370/$B$1003</f>
        <v>0.0010960426267827</v>
      </c>
      <c r="K370" s="5" t="n">
        <f aca="false">J370*LOG(J370,2)</f>
        <v>-0.0107779136624336</v>
      </c>
      <c r="N370" s="2" t="n">
        <f aca="false">1/1000*LOG(1/1000,2)</f>
        <v>-0.00996578428466209</v>
      </c>
    </row>
    <row r="371" customFormat="false" ht="13" hidden="false" customHeight="false" outlineLevel="0" collapsed="false">
      <c r="A371" s="4" t="n">
        <v>631</v>
      </c>
      <c r="B371" s="2" t="n">
        <v>11.2109623350862</v>
      </c>
      <c r="C371" s="5" t="n">
        <f aca="false">B371</f>
        <v>11.2109623350862</v>
      </c>
      <c r="D371" s="5" t="n">
        <f aca="false">C371*LOG(C371)</f>
        <v>11.7675069442535</v>
      </c>
      <c r="E371" s="5"/>
      <c r="F371" s="5"/>
      <c r="G371" s="4" t="n">
        <v>370</v>
      </c>
      <c r="H371" s="6" t="n">
        <v>0.63</v>
      </c>
      <c r="J371" s="2" t="n">
        <f aca="false">B371/$B$1003</f>
        <v>0.00109570270470126</v>
      </c>
      <c r="K371" s="5" t="n">
        <f aca="false">J371*LOG(J371,2)</f>
        <v>-0.0107750613731636</v>
      </c>
      <c r="N371" s="2" t="n">
        <f aca="false">1/1000*LOG(1/1000,2)</f>
        <v>-0.00996578428466209</v>
      </c>
    </row>
    <row r="372" customFormat="false" ht="13" hidden="false" customHeight="false" outlineLevel="0" collapsed="false">
      <c r="A372" s="4" t="n">
        <v>630</v>
      </c>
      <c r="B372" s="2" t="n">
        <v>11.1113997920806</v>
      </c>
      <c r="C372" s="5" t="n">
        <f aca="false">B372</f>
        <v>11.1113997920806</v>
      </c>
      <c r="D372" s="5" t="n">
        <f aca="false">C372*LOG(C372)</f>
        <v>11.6199549373633</v>
      </c>
      <c r="E372" s="5"/>
      <c r="F372" s="5"/>
      <c r="G372" s="4" t="n">
        <v>371</v>
      </c>
      <c r="H372" s="6" t="n">
        <v>0.629</v>
      </c>
      <c r="J372" s="2" t="n">
        <f aca="false">B372/$B$1003</f>
        <v>0.00108597196576935</v>
      </c>
      <c r="K372" s="5" t="n">
        <f aca="false">J372*LOG(J372,2)</f>
        <v>-0.010693345955108</v>
      </c>
      <c r="N372" s="2" t="n">
        <f aca="false">1/1000*LOG(1/1000,2)</f>
        <v>-0.00996578428466209</v>
      </c>
    </row>
    <row r="373" customFormat="false" ht="13" hidden="false" customHeight="false" outlineLevel="0" collapsed="false">
      <c r="A373" s="4" t="n">
        <v>629</v>
      </c>
      <c r="B373" s="2" t="n">
        <v>11.052093324219</v>
      </c>
      <c r="C373" s="5" t="n">
        <f aca="false">B373</f>
        <v>11.052093324219</v>
      </c>
      <c r="D373" s="5" t="n">
        <f aca="false">C373*LOG(C373)</f>
        <v>11.5322464729233</v>
      </c>
      <c r="E373" s="5"/>
      <c r="F373" s="5"/>
      <c r="G373" s="4" t="n">
        <v>372</v>
      </c>
      <c r="H373" s="6" t="n">
        <v>0.628</v>
      </c>
      <c r="J373" s="2" t="n">
        <f aca="false">B373/$B$1003</f>
        <v>0.00108017565183127</v>
      </c>
      <c r="K373" s="5" t="n">
        <f aca="false">J373*LOG(J373,2)</f>
        <v>-0.0106446107828292</v>
      </c>
      <c r="N373" s="2" t="n">
        <f aca="false">1/1000*LOG(1/1000,2)</f>
        <v>-0.00996578428466209</v>
      </c>
    </row>
    <row r="374" customFormat="false" ht="13" hidden="false" customHeight="false" outlineLevel="0" collapsed="false">
      <c r="A374" s="4" t="n">
        <v>628</v>
      </c>
      <c r="B374" s="2" t="n">
        <v>10.7656557479797</v>
      </c>
      <c r="C374" s="5" t="n">
        <f aca="false">B374</f>
        <v>10.7656557479797</v>
      </c>
      <c r="D374" s="5" t="n">
        <f aca="false">C374*LOG(C374)</f>
        <v>11.1105926152478</v>
      </c>
      <c r="E374" s="5"/>
      <c r="F374" s="5"/>
      <c r="G374" s="4" t="n">
        <v>373</v>
      </c>
      <c r="H374" s="6" t="n">
        <v>0.627</v>
      </c>
      <c r="J374" s="2" t="n">
        <f aca="false">B374/$B$1003</f>
        <v>0.00105218069317984</v>
      </c>
      <c r="K374" s="5" t="n">
        <f aca="false">J374*LOG(J374,2)</f>
        <v>-0.0104085941849621</v>
      </c>
      <c r="N374" s="2" t="n">
        <f aca="false">1/1000*LOG(1/1000,2)</f>
        <v>-0.00996578428466209</v>
      </c>
    </row>
    <row r="375" customFormat="false" ht="13" hidden="false" customHeight="false" outlineLevel="0" collapsed="false">
      <c r="A375" s="4" t="n">
        <v>627</v>
      </c>
      <c r="B375" s="2" t="n">
        <v>10.7499824399547</v>
      </c>
      <c r="C375" s="5" t="n">
        <f aca="false">B375</f>
        <v>10.7499824399547</v>
      </c>
      <c r="D375" s="5" t="n">
        <f aca="false">C375*LOG(C375)</f>
        <v>11.087615252901</v>
      </c>
      <c r="E375" s="5"/>
      <c r="F375" s="5"/>
      <c r="G375" s="4" t="n">
        <v>374</v>
      </c>
      <c r="H375" s="6" t="n">
        <v>0.626</v>
      </c>
      <c r="J375" s="2" t="n">
        <f aca="false">B375/$B$1003</f>
        <v>0.0010506488633974</v>
      </c>
      <c r="K375" s="5" t="n">
        <f aca="false">J375*LOG(J375,2)</f>
        <v>-0.0103956490630111</v>
      </c>
      <c r="N375" s="2" t="n">
        <f aca="false">1/1000*LOG(1/1000,2)</f>
        <v>-0.00996578428466209</v>
      </c>
    </row>
    <row r="376" customFormat="false" ht="13" hidden="false" customHeight="false" outlineLevel="0" collapsed="false">
      <c r="A376" s="4" t="n">
        <v>626</v>
      </c>
      <c r="B376" s="2" t="n">
        <v>10.7336692104805</v>
      </c>
      <c r="C376" s="5" t="n">
        <f aca="false">B376</f>
        <v>10.7336692104805</v>
      </c>
      <c r="D376" s="5" t="n">
        <f aca="false">C376*LOG(C376)</f>
        <v>11.0637102942874</v>
      </c>
      <c r="E376" s="5"/>
      <c r="F376" s="5"/>
      <c r="G376" s="4" t="n">
        <v>375</v>
      </c>
      <c r="H376" s="6" t="n">
        <v>0.625</v>
      </c>
      <c r="J376" s="2" t="n">
        <f aca="false">B376/$B$1003</f>
        <v>0.00104905449093204</v>
      </c>
      <c r="K376" s="5" t="n">
        <f aca="false">J376*LOG(J376,2)</f>
        <v>-0.0103821719858383</v>
      </c>
      <c r="N376" s="2" t="n">
        <f aca="false">1/1000*LOG(1/1000,2)</f>
        <v>-0.00996578428466209</v>
      </c>
    </row>
    <row r="377" customFormat="false" ht="13" hidden="false" customHeight="false" outlineLevel="0" collapsed="false">
      <c r="A377" s="4" t="n">
        <v>625</v>
      </c>
      <c r="B377" s="2" t="n">
        <v>10.707744919259</v>
      </c>
      <c r="C377" s="5" t="n">
        <f aca="false">B377</f>
        <v>10.707744919259</v>
      </c>
      <c r="D377" s="5" t="n">
        <f aca="false">C377*LOG(C377)</f>
        <v>11.0257437081986</v>
      </c>
      <c r="E377" s="5"/>
      <c r="F377" s="5"/>
      <c r="G377" s="4" t="n">
        <v>376</v>
      </c>
      <c r="H377" s="6" t="n">
        <v>0.624</v>
      </c>
      <c r="J377" s="2" t="n">
        <f aca="false">B377/$B$1003</f>
        <v>0.00104652078194615</v>
      </c>
      <c r="K377" s="5" t="n">
        <f aca="false">J377*LOG(J377,2)</f>
        <v>-0.0103607475931799</v>
      </c>
      <c r="N377" s="2" t="n">
        <f aca="false">1/1000*LOG(1/1000,2)</f>
        <v>-0.00996578428466209</v>
      </c>
    </row>
    <row r="378" customFormat="false" ht="13" hidden="false" customHeight="false" outlineLevel="0" collapsed="false">
      <c r="A378" s="4" t="n">
        <v>624</v>
      </c>
      <c r="B378" s="2" t="n">
        <v>10.6931647327316</v>
      </c>
      <c r="C378" s="5" t="n">
        <f aca="false">B378</f>
        <v>10.6931647327316</v>
      </c>
      <c r="D378" s="5" t="n">
        <f aca="false">C378*LOG(C378)</f>
        <v>11.0044027374943</v>
      </c>
      <c r="E378" s="5"/>
      <c r="F378" s="5"/>
      <c r="G378" s="4" t="n">
        <v>377</v>
      </c>
      <c r="H378" s="6" t="n">
        <v>0.623</v>
      </c>
      <c r="J378" s="2" t="n">
        <f aca="false">B378/$B$1003</f>
        <v>0.00104509578832512</v>
      </c>
      <c r="K378" s="5" t="n">
        <f aca="false">J378*LOG(J378,2)</f>
        <v>-0.0103486943260315</v>
      </c>
      <c r="N378" s="2" t="n">
        <f aca="false">1/1000*LOG(1/1000,2)</f>
        <v>-0.00996578428466209</v>
      </c>
    </row>
    <row r="379" customFormat="false" ht="13" hidden="false" customHeight="false" outlineLevel="0" collapsed="false">
      <c r="A379" s="4" t="n">
        <v>623</v>
      </c>
      <c r="B379" s="2" t="n">
        <v>10.6883412424809</v>
      </c>
      <c r="C379" s="5" t="n">
        <f aca="false">B379</f>
        <v>10.6883412424809</v>
      </c>
      <c r="D379" s="5" t="n">
        <f aca="false">C379*LOG(C379)</f>
        <v>10.997344510833</v>
      </c>
      <c r="E379" s="5"/>
      <c r="F379" s="5"/>
      <c r="G379" s="4" t="n">
        <v>378</v>
      </c>
      <c r="H379" s="6" t="n">
        <v>0.622</v>
      </c>
      <c r="J379" s="2" t="n">
        <f aca="false">B379/$B$1003</f>
        <v>0.00104462436480627</v>
      </c>
      <c r="K379" s="5" t="n">
        <f aca="false">J379*LOG(J379,2)</f>
        <v>-0.0103447061870106</v>
      </c>
      <c r="N379" s="2" t="n">
        <f aca="false">1/1000*LOG(1/1000,2)</f>
        <v>-0.00996578428466209</v>
      </c>
    </row>
    <row r="380" customFormat="false" ht="13" hidden="false" customHeight="false" outlineLevel="0" collapsed="false">
      <c r="A380" s="4" t="n">
        <v>622</v>
      </c>
      <c r="B380" s="2" t="n">
        <v>10.6189292536884</v>
      </c>
      <c r="C380" s="5" t="n">
        <f aca="false">B380</f>
        <v>10.6189292536884</v>
      </c>
      <c r="D380" s="5" t="n">
        <f aca="false">C380*LOG(C380)</f>
        <v>10.8958786530237</v>
      </c>
      <c r="E380" s="5"/>
      <c r="F380" s="5"/>
      <c r="G380" s="4" t="n">
        <v>379</v>
      </c>
      <c r="H380" s="6" t="n">
        <v>0.621</v>
      </c>
      <c r="J380" s="2" t="n">
        <f aca="false">B380/$B$1003</f>
        <v>0.00103784038841018</v>
      </c>
      <c r="K380" s="5" t="n">
        <f aca="false">J380*LOG(J380,2)</f>
        <v>-0.0102872811855255</v>
      </c>
      <c r="N380" s="2" t="n">
        <f aca="false">1/1000*LOG(1/1000,2)</f>
        <v>-0.00996578428466209</v>
      </c>
    </row>
    <row r="381" customFormat="false" ht="13" hidden="false" customHeight="false" outlineLevel="0" collapsed="false">
      <c r="A381" s="4" t="n">
        <v>621</v>
      </c>
      <c r="B381" s="2" t="n">
        <v>10.5942896846307</v>
      </c>
      <c r="C381" s="5" t="n">
        <f aca="false">B381</f>
        <v>10.5942896846307</v>
      </c>
      <c r="D381" s="5" t="n">
        <f aca="false">C381*LOG(C381)</f>
        <v>10.859908061619</v>
      </c>
      <c r="E381" s="5"/>
      <c r="F381" s="5"/>
      <c r="G381" s="4" t="n">
        <v>380</v>
      </c>
      <c r="H381" s="6" t="n">
        <v>0.62</v>
      </c>
      <c r="J381" s="2" t="n">
        <f aca="false">B381/$B$1003</f>
        <v>0.00103543224166485</v>
      </c>
      <c r="K381" s="5" t="n">
        <f aca="false">J381*LOG(J381,2)</f>
        <v>-0.0102668813416332</v>
      </c>
      <c r="N381" s="2" t="n">
        <f aca="false">1/1000*LOG(1/1000,2)</f>
        <v>-0.00996578428466209</v>
      </c>
    </row>
    <row r="382" customFormat="false" ht="13" hidden="false" customHeight="false" outlineLevel="0" collapsed="false">
      <c r="A382" s="4" t="n">
        <v>620</v>
      </c>
      <c r="B382" s="2" t="n">
        <v>10.576109945862</v>
      </c>
      <c r="C382" s="5" t="n">
        <f aca="false">B382</f>
        <v>10.576109945862</v>
      </c>
      <c r="D382" s="5" t="n">
        <f aca="false">C382*LOG(C382)</f>
        <v>10.8333839411224</v>
      </c>
      <c r="E382" s="5"/>
      <c r="F382" s="5"/>
      <c r="G382" s="4" t="n">
        <v>381</v>
      </c>
      <c r="H382" s="6" t="n">
        <v>0.619</v>
      </c>
      <c r="J382" s="2" t="n">
        <f aca="false">B382/$B$1003</f>
        <v>0.00103365544602998</v>
      </c>
      <c r="K382" s="5" t="n">
        <f aca="false">J382*LOG(J382,2)</f>
        <v>-0.0102518246072792</v>
      </c>
      <c r="N382" s="2" t="n">
        <f aca="false">1/1000*LOG(1/1000,2)</f>
        <v>-0.00996578428466209</v>
      </c>
    </row>
    <row r="383" customFormat="false" ht="13" hidden="false" customHeight="false" outlineLevel="0" collapsed="false">
      <c r="A383" s="4" t="n">
        <v>619</v>
      </c>
      <c r="B383" s="2" t="n">
        <v>10.5743301726689</v>
      </c>
      <c r="C383" s="5" t="n">
        <f aca="false">B383</f>
        <v>10.5743301726689</v>
      </c>
      <c r="D383" s="5" t="n">
        <f aca="false">C383*LOG(C383)</f>
        <v>10.8307879926067</v>
      </c>
      <c r="E383" s="5"/>
      <c r="F383" s="5"/>
      <c r="G383" s="4" t="n">
        <v>382</v>
      </c>
      <c r="H383" s="6" t="n">
        <v>0.618</v>
      </c>
      <c r="J383" s="2" t="n">
        <f aca="false">B383/$B$1003</f>
        <v>0.00103348150000795</v>
      </c>
      <c r="K383" s="5" t="n">
        <f aca="false">J383*LOG(J383,2)</f>
        <v>-0.010250350335549</v>
      </c>
      <c r="N383" s="2" t="n">
        <f aca="false">1/1000*LOG(1/1000,2)</f>
        <v>-0.00996578428466209</v>
      </c>
    </row>
    <row r="384" customFormat="false" ht="13" hidden="false" customHeight="false" outlineLevel="0" collapsed="false">
      <c r="A384" s="4" t="n">
        <v>618</v>
      </c>
      <c r="B384" s="2" t="n">
        <v>10.5560593507493</v>
      </c>
      <c r="C384" s="5" t="n">
        <f aca="false">B384</f>
        <v>10.5560593507493</v>
      </c>
      <c r="D384" s="5" t="n">
        <f aca="false">C384*LOG(C384)</f>
        <v>10.8041459928513</v>
      </c>
      <c r="E384" s="5"/>
      <c r="F384" s="5"/>
      <c r="G384" s="4" t="n">
        <v>383</v>
      </c>
      <c r="H384" s="6" t="n">
        <v>0.617</v>
      </c>
      <c r="J384" s="2" t="n">
        <f aca="false">B384/$B$1003</f>
        <v>0.001031695802367</v>
      </c>
      <c r="K384" s="5" t="n">
        <f aca="false">J384*LOG(J384,2)</f>
        <v>-0.0102352132913288</v>
      </c>
      <c r="N384" s="2" t="n">
        <f aca="false">1/1000*LOG(1/1000,2)</f>
        <v>-0.00996578428466209</v>
      </c>
    </row>
    <row r="385" customFormat="false" ht="13" hidden="false" customHeight="false" outlineLevel="0" collapsed="false">
      <c r="A385" s="4" t="n">
        <v>617</v>
      </c>
      <c r="B385" s="2" t="n">
        <v>10.531806172802</v>
      </c>
      <c r="C385" s="5" t="n">
        <f aca="false">B385</f>
        <v>10.531806172802</v>
      </c>
      <c r="D385" s="5" t="n">
        <f aca="false">C385*LOG(C385)</f>
        <v>10.7688019090502</v>
      </c>
      <c r="E385" s="5"/>
      <c r="F385" s="5"/>
      <c r="G385" s="4" t="n">
        <v>384</v>
      </c>
      <c r="H385" s="6" t="n">
        <v>0.616</v>
      </c>
      <c r="J385" s="2" t="n">
        <f aca="false">B385/$B$1003</f>
        <v>0.00102932541953276</v>
      </c>
      <c r="K385" s="5" t="n">
        <f aca="false">J385*LOG(J385,2)</f>
        <v>-0.0102151130844196</v>
      </c>
      <c r="N385" s="2" t="n">
        <f aca="false">1/1000*LOG(1/1000,2)</f>
        <v>-0.00996578428466209</v>
      </c>
    </row>
    <row r="386" customFormat="false" ht="13" hidden="false" customHeight="false" outlineLevel="0" collapsed="false">
      <c r="A386" s="4" t="n">
        <v>616</v>
      </c>
      <c r="B386" s="2" t="n">
        <v>10.5264636623614</v>
      </c>
      <c r="C386" s="5" t="n">
        <f aca="false">B386</f>
        <v>10.5264636623614</v>
      </c>
      <c r="D386" s="5" t="n">
        <f aca="false">C386*LOG(C386)</f>
        <v>10.761019542647</v>
      </c>
      <c r="E386" s="5"/>
      <c r="F386" s="5"/>
      <c r="G386" s="4" t="n">
        <v>385</v>
      </c>
      <c r="H386" s="6" t="n">
        <v>0.615</v>
      </c>
      <c r="J386" s="2" t="n">
        <f aca="false">B386/$B$1003</f>
        <v>0.00102880326960801</v>
      </c>
      <c r="K386" s="5" t="n">
        <f aca="false">J386*LOG(J386,2)</f>
        <v>-0.0102106843361277</v>
      </c>
      <c r="N386" s="2" t="n">
        <f aca="false">1/1000*LOG(1/1000,2)</f>
        <v>-0.00996578428466209</v>
      </c>
    </row>
    <row r="387" customFormat="false" ht="13" hidden="false" customHeight="false" outlineLevel="0" collapsed="false">
      <c r="A387" s="4" t="n">
        <v>615</v>
      </c>
      <c r="B387" s="2" t="n">
        <v>10.4832264600561</v>
      </c>
      <c r="C387" s="5" t="n">
        <f aca="false">B387</f>
        <v>10.4832264600561</v>
      </c>
      <c r="D387" s="5" t="n">
        <f aca="false">C387*LOG(C387)</f>
        <v>10.6980798465433</v>
      </c>
      <c r="E387" s="5"/>
      <c r="F387" s="5"/>
      <c r="G387" s="4" t="n">
        <v>386</v>
      </c>
      <c r="H387" s="6" t="n">
        <v>0.614</v>
      </c>
      <c r="J387" s="2" t="n">
        <f aca="false">B387/$B$1003</f>
        <v>0.00102457748433699</v>
      </c>
      <c r="K387" s="5" t="n">
        <f aca="false">J387*LOG(J387,2)</f>
        <v>-0.0101748281716107</v>
      </c>
      <c r="N387" s="2" t="n">
        <f aca="false">1/1000*LOG(1/1000,2)</f>
        <v>-0.00996578428466209</v>
      </c>
    </row>
    <row r="388" customFormat="false" ht="13" hidden="false" customHeight="false" outlineLevel="0" collapsed="false">
      <c r="A388" s="4" t="n">
        <v>614</v>
      </c>
      <c r="B388" s="2" t="n">
        <v>10.3810030724527</v>
      </c>
      <c r="C388" s="5" t="n">
        <f aca="false">B388</f>
        <v>10.3810030724527</v>
      </c>
      <c r="D388" s="5" t="n">
        <f aca="false">C388*LOG(C388)</f>
        <v>10.5495834989099</v>
      </c>
      <c r="E388" s="5"/>
      <c r="F388" s="5"/>
      <c r="G388" s="4" t="n">
        <v>387</v>
      </c>
      <c r="H388" s="6" t="n">
        <v>0.613</v>
      </c>
      <c r="J388" s="2" t="n">
        <f aca="false">B388/$B$1003</f>
        <v>0.00101458668792424</v>
      </c>
      <c r="K388" s="5" t="n">
        <f aca="false">J388*LOG(J388,2)</f>
        <v>-0.010089955186313</v>
      </c>
      <c r="N388" s="2" t="n">
        <f aca="false">1/1000*LOG(1/1000,2)</f>
        <v>-0.00996578428466209</v>
      </c>
    </row>
    <row r="389" customFormat="false" ht="13" hidden="false" customHeight="false" outlineLevel="0" collapsed="false">
      <c r="A389" s="4" t="n">
        <v>613</v>
      </c>
      <c r="B389" s="2" t="n">
        <v>10.3666061228483</v>
      </c>
      <c r="C389" s="5" t="n">
        <f aca="false">B389</f>
        <v>10.3666061228483</v>
      </c>
      <c r="D389" s="5" t="n">
        <f aca="false">C389*LOG(C389)</f>
        <v>10.5287045745437</v>
      </c>
      <c r="E389" s="5"/>
      <c r="F389" s="5"/>
      <c r="G389" s="4" t="n">
        <v>388</v>
      </c>
      <c r="H389" s="6" t="n">
        <v>0.612</v>
      </c>
      <c r="J389" s="2" t="n">
        <f aca="false">B389/$B$1003</f>
        <v>0.00101317960295246</v>
      </c>
      <c r="K389" s="5" t="n">
        <f aca="false">J389*LOG(J389,2)</f>
        <v>-0.0100779904642307</v>
      </c>
      <c r="N389" s="2" t="n">
        <f aca="false">1/1000*LOG(1/1000,2)</f>
        <v>-0.00996578428466209</v>
      </c>
    </row>
    <row r="390" customFormat="false" ht="13" hidden="false" customHeight="false" outlineLevel="0" collapsed="false">
      <c r="A390" s="4" t="n">
        <v>612</v>
      </c>
      <c r="B390" s="2" t="n">
        <v>10.3584151814116</v>
      </c>
      <c r="C390" s="5" t="n">
        <f aca="false">B390</f>
        <v>10.3584151814116</v>
      </c>
      <c r="D390" s="5" t="n">
        <f aca="false">C390*LOG(C390)</f>
        <v>10.5168296797047</v>
      </c>
      <c r="E390" s="5"/>
      <c r="F390" s="5"/>
      <c r="G390" s="4" t="n">
        <v>389</v>
      </c>
      <c r="H390" s="6" t="n">
        <v>0.611</v>
      </c>
      <c r="J390" s="2" t="n">
        <f aca="false">B390/$B$1003</f>
        <v>0.00101237906180193</v>
      </c>
      <c r="K390" s="5" t="n">
        <f aca="false">J390*LOG(J390,2)</f>
        <v>-0.0100711820463406</v>
      </c>
      <c r="N390" s="2" t="n">
        <f aca="false">1/1000*LOG(1/1000,2)</f>
        <v>-0.00996578428466209</v>
      </c>
    </row>
    <row r="391" customFormat="false" ht="13" hidden="false" customHeight="false" outlineLevel="0" collapsed="false">
      <c r="A391" s="4" t="n">
        <v>611</v>
      </c>
      <c r="B391" s="2" t="n">
        <v>10.3208628286919</v>
      </c>
      <c r="C391" s="5" t="n">
        <f aca="false">B391</f>
        <v>10.3208628286919</v>
      </c>
      <c r="D391" s="5" t="n">
        <f aca="false">C391*LOG(C391)</f>
        <v>10.4624238453763</v>
      </c>
      <c r="E391" s="5"/>
      <c r="F391" s="5"/>
      <c r="G391" s="4" t="n">
        <v>390</v>
      </c>
      <c r="H391" s="6" t="n">
        <v>0.61</v>
      </c>
      <c r="J391" s="2" t="n">
        <f aca="false">B391/$B$1003</f>
        <v>0.00100870888495064</v>
      </c>
      <c r="K391" s="5" t="n">
        <f aca="false">J391*LOG(J391,2)</f>
        <v>-0.0100399563360745</v>
      </c>
      <c r="N391" s="2" t="n">
        <f aca="false">1/1000*LOG(1/1000,2)</f>
        <v>-0.00996578428466209</v>
      </c>
    </row>
    <row r="392" customFormat="false" ht="13" hidden="false" customHeight="false" outlineLevel="0" collapsed="false">
      <c r="A392" s="4" t="n">
        <v>610</v>
      </c>
      <c r="B392" s="2" t="n">
        <v>10.2647871566826</v>
      </c>
      <c r="C392" s="5" t="n">
        <f aca="false">B392</f>
        <v>10.2647871566826</v>
      </c>
      <c r="D392" s="5" t="n">
        <f aca="false">C392*LOG(C392)</f>
        <v>10.3812919630836</v>
      </c>
      <c r="E392" s="5"/>
      <c r="F392" s="5"/>
      <c r="G392" s="4" t="n">
        <v>391</v>
      </c>
      <c r="H392" s="6" t="n">
        <v>0.609</v>
      </c>
      <c r="J392" s="2" t="n">
        <f aca="false">B392/$B$1003</f>
        <v>0.0010032283326437</v>
      </c>
      <c r="K392" s="5" t="n">
        <f aca="false">J392*LOG(J392,2)</f>
        <v>-0.00999329214199127</v>
      </c>
      <c r="N392" s="2" t="n">
        <f aca="false">1/1000*LOG(1/1000,2)</f>
        <v>-0.00996578428466209</v>
      </c>
    </row>
    <row r="393" customFormat="false" ht="13" hidden="false" customHeight="false" outlineLevel="0" collapsed="false">
      <c r="A393" s="4" t="n">
        <v>609</v>
      </c>
      <c r="B393" s="2" t="n">
        <v>10.2134730410764</v>
      </c>
      <c r="C393" s="5" t="n">
        <f aca="false">B393</f>
        <v>10.2134730410764</v>
      </c>
      <c r="D393" s="5" t="n">
        <f aca="false">C393*LOG(C393)</f>
        <v>10.3071657936386</v>
      </c>
      <c r="E393" s="5"/>
      <c r="F393" s="5"/>
      <c r="G393" s="4" t="n">
        <v>392</v>
      </c>
      <c r="H393" s="6" t="n">
        <v>0.608</v>
      </c>
      <c r="J393" s="2" t="n">
        <f aca="false">B393/$B$1003</f>
        <v>0.000998213150754889</v>
      </c>
      <c r="K393" s="5" t="n">
        <f aca="false">J393*LOG(J393,2)</f>
        <v>-0.00995055250456766</v>
      </c>
      <c r="N393" s="2" t="n">
        <f aca="false">1/1000*LOG(1/1000,2)</f>
        <v>-0.00996578428466209</v>
      </c>
    </row>
    <row r="394" customFormat="false" ht="13" hidden="false" customHeight="false" outlineLevel="0" collapsed="false">
      <c r="A394" s="4" t="n">
        <v>608</v>
      </c>
      <c r="B394" s="2" t="n">
        <v>10.1987799360759</v>
      </c>
      <c r="C394" s="5" t="n">
        <f aca="false">B394</f>
        <v>10.1987799360759</v>
      </c>
      <c r="D394" s="5" t="n">
        <f aca="false">C394*LOG(C394)</f>
        <v>10.2859613599494</v>
      </c>
      <c r="E394" s="5"/>
      <c r="F394" s="5"/>
      <c r="G394" s="4" t="n">
        <v>393</v>
      </c>
      <c r="H394" s="6" t="n">
        <v>0.607</v>
      </c>
      <c r="J394" s="2" t="n">
        <f aca="false">B394/$B$1003</f>
        <v>0.000996777121053935</v>
      </c>
      <c r="K394" s="5" t="n">
        <f aca="false">J394*LOG(J394,2)</f>
        <v>-0.00993830789912096</v>
      </c>
      <c r="N394" s="2" t="n">
        <f aca="false">1/1000*LOG(1/1000,2)</f>
        <v>-0.00996578428466209</v>
      </c>
    </row>
    <row r="395" customFormat="false" ht="13" hidden="false" customHeight="false" outlineLevel="0" collapsed="false">
      <c r="A395" s="4" t="n">
        <v>607</v>
      </c>
      <c r="B395" s="2" t="n">
        <v>10.1350499120361</v>
      </c>
      <c r="C395" s="5" t="n">
        <f aca="false">B395</f>
        <v>10.1350499120361</v>
      </c>
      <c r="D395" s="5" t="n">
        <f aca="false">C395*LOG(C395)</f>
        <v>10.1940956162359</v>
      </c>
      <c r="E395" s="5"/>
      <c r="F395" s="5"/>
      <c r="G395" s="4" t="n">
        <v>394</v>
      </c>
      <c r="H395" s="6" t="n">
        <v>0.606</v>
      </c>
      <c r="J395" s="2" t="n">
        <f aca="false">B395/$B$1003</f>
        <v>0.000990548471128622</v>
      </c>
      <c r="K395" s="5" t="n">
        <f aca="false">J395*LOG(J395,2)</f>
        <v>-0.00988516341763827</v>
      </c>
      <c r="N395" s="2" t="n">
        <f aca="false">1/1000*LOG(1/1000,2)</f>
        <v>-0.00996578428466209</v>
      </c>
    </row>
    <row r="396" customFormat="false" ht="13" hidden="false" customHeight="false" outlineLevel="0" collapsed="false">
      <c r="A396" s="4" t="n">
        <v>606</v>
      </c>
      <c r="B396" s="2" t="n">
        <v>10.0854584762949</v>
      </c>
      <c r="C396" s="5" t="n">
        <f aca="false">B396</f>
        <v>10.0854584762949</v>
      </c>
      <c r="D396" s="5" t="n">
        <f aca="false">C396*LOG(C396)</f>
        <v>10.1227307570644</v>
      </c>
      <c r="E396" s="5"/>
      <c r="F396" s="5"/>
      <c r="G396" s="4" t="n">
        <v>395</v>
      </c>
      <c r="H396" s="6" t="n">
        <v>0.605</v>
      </c>
      <c r="J396" s="2" t="n">
        <f aca="false">B396/$B$1003</f>
        <v>0.000985701655248993</v>
      </c>
      <c r="K396" s="5" t="n">
        <f aca="false">J396*LOG(J396,2)</f>
        <v>-0.00984377003415571</v>
      </c>
      <c r="N396" s="2" t="n">
        <f aca="false">1/1000*LOG(1/1000,2)</f>
        <v>-0.00996578428466209</v>
      </c>
    </row>
    <row r="397" customFormat="false" ht="13" hidden="false" customHeight="false" outlineLevel="0" collapsed="false">
      <c r="A397" s="4" t="n">
        <v>605</v>
      </c>
      <c r="B397" s="2" t="n">
        <v>9.96896247035889</v>
      </c>
      <c r="C397" s="5" t="n">
        <f aca="false">B397</f>
        <v>9.96896247035889</v>
      </c>
      <c r="D397" s="5" t="n">
        <f aca="false">C397*LOG(C397)</f>
        <v>9.95550398258643</v>
      </c>
      <c r="E397" s="5"/>
      <c r="F397" s="5"/>
      <c r="G397" s="4" t="n">
        <v>396</v>
      </c>
      <c r="H397" s="6" t="n">
        <v>0.604</v>
      </c>
      <c r="J397" s="2" t="n">
        <f aca="false">B397/$B$1003</f>
        <v>0.000974315925373557</v>
      </c>
      <c r="K397" s="5" t="n">
        <f aca="false">J397*LOG(J397,2)</f>
        <v>-0.00974639664485765</v>
      </c>
      <c r="N397" s="2" t="n">
        <f aca="false">1/1000*LOG(1/1000,2)</f>
        <v>-0.00996578428466209</v>
      </c>
    </row>
    <row r="398" customFormat="false" ht="13" hidden="false" customHeight="false" outlineLevel="0" collapsed="false">
      <c r="A398" s="4" t="n">
        <v>604</v>
      </c>
      <c r="B398" s="2" t="n">
        <v>9.9616687367311</v>
      </c>
      <c r="C398" s="5" t="n">
        <f aca="false">B398</f>
        <v>9.9616687367311</v>
      </c>
      <c r="D398" s="5" t="n">
        <f aca="false">C398*LOG(C398)</f>
        <v>9.94505362658736</v>
      </c>
      <c r="E398" s="5"/>
      <c r="F398" s="5"/>
      <c r="G398" s="4" t="n">
        <v>397</v>
      </c>
      <c r="H398" s="6" t="n">
        <v>0.603</v>
      </c>
      <c r="J398" s="2" t="n">
        <f aca="false">B398/$B$1003</f>
        <v>0.000973603072772284</v>
      </c>
      <c r="K398" s="5" t="n">
        <f aca="false">J398*LOG(J398,2)</f>
        <v>-0.00974029380282539</v>
      </c>
      <c r="N398" s="2" t="n">
        <f aca="false">1/1000*LOG(1/1000,2)</f>
        <v>-0.00996578428466209</v>
      </c>
    </row>
    <row r="399" customFormat="false" ht="13" hidden="false" customHeight="false" outlineLevel="0" collapsed="false">
      <c r="A399" s="4" t="n">
        <v>603</v>
      </c>
      <c r="B399" s="2" t="n">
        <v>9.92257804149921</v>
      </c>
      <c r="C399" s="5" t="n">
        <f aca="false">B399</f>
        <v>9.92257804149921</v>
      </c>
      <c r="D399" s="5" t="n">
        <f aca="false">C399*LOG(C399)</f>
        <v>9.88908461088575</v>
      </c>
      <c r="E399" s="5"/>
      <c r="F399" s="5"/>
      <c r="G399" s="4" t="n">
        <v>398</v>
      </c>
      <c r="H399" s="6" t="n">
        <v>0.602</v>
      </c>
      <c r="J399" s="2" t="n">
        <f aca="false">B399/$B$1003</f>
        <v>0.000969782546111501</v>
      </c>
      <c r="K399" s="5" t="n">
        <f aca="false">J399*LOG(J399,2)</f>
        <v>-0.00970757283356496</v>
      </c>
      <c r="N399" s="2" t="n">
        <f aca="false">1/1000*LOG(1/1000,2)</f>
        <v>-0.00996578428466209</v>
      </c>
    </row>
    <row r="400" customFormat="false" ht="13" hidden="false" customHeight="false" outlineLevel="0" collapsed="false">
      <c r="A400" s="4" t="n">
        <v>602</v>
      </c>
      <c r="B400" s="2" t="n">
        <v>9.88367758737437</v>
      </c>
      <c r="C400" s="5" t="n">
        <f aca="false">B400</f>
        <v>9.88367758737437</v>
      </c>
      <c r="D400" s="5" t="n">
        <f aca="false">C400*LOG(C400)</f>
        <v>9.83345437122331</v>
      </c>
      <c r="E400" s="5"/>
      <c r="F400" s="5"/>
      <c r="G400" s="4" t="n">
        <v>399</v>
      </c>
      <c r="H400" s="6" t="n">
        <v>0.601</v>
      </c>
      <c r="J400" s="2" t="n">
        <f aca="false">B400/$B$1003</f>
        <v>0.000965980612653452</v>
      </c>
      <c r="K400" s="5" t="n">
        <f aca="false">J400*LOG(J400,2)</f>
        <v>-0.00967498955012259</v>
      </c>
      <c r="N400" s="2" t="n">
        <f aca="false">1/1000*LOG(1/1000,2)</f>
        <v>-0.00996578428466209</v>
      </c>
    </row>
    <row r="401" customFormat="false" ht="13" hidden="false" customHeight="false" outlineLevel="0" collapsed="false">
      <c r="A401" s="4" t="n">
        <v>601</v>
      </c>
      <c r="B401" s="2" t="n">
        <v>9.82365437010171</v>
      </c>
      <c r="C401" s="5" t="n">
        <f aca="false">B401</f>
        <v>9.82365437010171</v>
      </c>
      <c r="D401" s="5" t="n">
        <f aca="false">C401*LOG(C401)</f>
        <v>9.74774772066277</v>
      </c>
      <c r="E401" s="5"/>
      <c r="F401" s="5"/>
      <c r="G401" s="4" t="n">
        <v>400</v>
      </c>
      <c r="H401" s="6" t="n">
        <v>0.6</v>
      </c>
      <c r="J401" s="2" t="n">
        <f aca="false">B401/$B$1003</f>
        <v>0.000960114247256371</v>
      </c>
      <c r="K401" s="5" t="n">
        <f aca="false">J401*LOG(J401,2)</f>
        <v>-0.00962467131296407</v>
      </c>
      <c r="L401" s="2" t="n">
        <f aca="false">SUM(J352:J401)</f>
        <v>0.0533089962492393</v>
      </c>
      <c r="N401" s="2" t="n">
        <f aca="false">1/1000*LOG(1/1000,2)</f>
        <v>-0.00996578428466209</v>
      </c>
    </row>
    <row r="402" customFormat="false" ht="13" hidden="false" customHeight="false" outlineLevel="0" collapsed="false">
      <c r="A402" s="4" t="n">
        <v>600</v>
      </c>
      <c r="B402" s="2" t="n">
        <v>9.81921337925382</v>
      </c>
      <c r="C402" s="5" t="n">
        <f aca="false">B402</f>
        <v>9.81921337925382</v>
      </c>
      <c r="D402" s="5" t="n">
        <f aca="false">C402*LOG(C402)</f>
        <v>9.74141278322274</v>
      </c>
      <c r="E402" s="5"/>
      <c r="F402" s="5"/>
      <c r="G402" s="4" t="n">
        <v>401</v>
      </c>
      <c r="H402" s="6" t="n">
        <v>0.599</v>
      </c>
      <c r="J402" s="2" t="n">
        <f aca="false">B402/$B$1003</f>
        <v>0.000959680207292794</v>
      </c>
      <c r="K402" s="5" t="n">
        <f aca="false">J402*LOG(J402,2)</f>
        <v>-0.00962094632235913</v>
      </c>
      <c r="N402" s="2" t="n">
        <f aca="false">1/1000*LOG(1/1000,2)</f>
        <v>-0.00996578428466209</v>
      </c>
    </row>
    <row r="403" customFormat="false" ht="13" hidden="false" customHeight="false" outlineLevel="0" collapsed="false">
      <c r="A403" s="4" t="n">
        <v>599</v>
      </c>
      <c r="B403" s="2" t="n">
        <v>9.79178525436464</v>
      </c>
      <c r="C403" s="5" t="n">
        <f aca="false">B403</f>
        <v>9.79178525436464</v>
      </c>
      <c r="D403" s="5" t="n">
        <f aca="false">C403*LOG(C403)</f>
        <v>9.70230674868498</v>
      </c>
      <c r="E403" s="5"/>
      <c r="F403" s="5"/>
      <c r="G403" s="4" t="n">
        <v>402</v>
      </c>
      <c r="H403" s="6" t="n">
        <v>0.598</v>
      </c>
      <c r="J403" s="2" t="n">
        <f aca="false">B403/$B$1003</f>
        <v>0.000956999521217175</v>
      </c>
      <c r="K403" s="5" t="n">
        <f aca="false">J403*LOG(J403,2)</f>
        <v>-0.00959793402521197</v>
      </c>
      <c r="N403" s="2" t="n">
        <f aca="false">1/1000*LOG(1/1000,2)</f>
        <v>-0.00996578428466209</v>
      </c>
    </row>
    <row r="404" customFormat="false" ht="13" hidden="false" customHeight="false" outlineLevel="0" collapsed="false">
      <c r="A404" s="4" t="n">
        <v>598</v>
      </c>
      <c r="B404" s="2" t="n">
        <v>9.71580683200131</v>
      </c>
      <c r="C404" s="5" t="n">
        <f aca="false">B404</f>
        <v>9.71580683200131</v>
      </c>
      <c r="D404" s="5" t="n">
        <f aca="false">C404*LOG(C404)</f>
        <v>9.59415396764187</v>
      </c>
      <c r="E404" s="5"/>
      <c r="F404" s="5"/>
      <c r="G404" s="4" t="n">
        <v>403</v>
      </c>
      <c r="H404" s="6" t="n">
        <v>0.597</v>
      </c>
      <c r="J404" s="2" t="n">
        <f aca="false">B404/$B$1003</f>
        <v>0.000949573774845527</v>
      </c>
      <c r="K404" s="5" t="n">
        <f aca="false">J404*LOG(J404,2)</f>
        <v>-0.00953413118889835</v>
      </c>
      <c r="N404" s="2" t="n">
        <f aca="false">1/1000*LOG(1/1000,2)</f>
        <v>-0.00996578428466209</v>
      </c>
    </row>
    <row r="405" customFormat="false" ht="13" hidden="false" customHeight="false" outlineLevel="0" collapsed="false">
      <c r="A405" s="4" t="n">
        <v>597</v>
      </c>
      <c r="B405" s="2" t="n">
        <v>9.6313571271279</v>
      </c>
      <c r="C405" s="5" t="n">
        <f aca="false">B405</f>
        <v>9.6313571271279</v>
      </c>
      <c r="D405" s="5" t="n">
        <f aca="false">C405*LOG(C405)</f>
        <v>9.47424548527886</v>
      </c>
      <c r="E405" s="5"/>
      <c r="F405" s="5"/>
      <c r="G405" s="4" t="n">
        <v>404</v>
      </c>
      <c r="H405" s="6" t="n">
        <v>0.596</v>
      </c>
      <c r="J405" s="2" t="n">
        <f aca="false">B405/$B$1003</f>
        <v>0.000941320088206029</v>
      </c>
      <c r="K405" s="5" t="n">
        <f aca="false">J405*LOG(J405,2)</f>
        <v>-0.00946311625908829</v>
      </c>
      <c r="N405" s="2" t="n">
        <f aca="false">1/1000*LOG(1/1000,2)</f>
        <v>-0.00996578428466209</v>
      </c>
    </row>
    <row r="406" customFormat="false" ht="13" hidden="false" customHeight="false" outlineLevel="0" collapsed="false">
      <c r="A406" s="4" t="n">
        <v>596</v>
      </c>
      <c r="B406" s="2" t="n">
        <v>9.62246585416176</v>
      </c>
      <c r="C406" s="5" t="n">
        <f aca="false">B406</f>
        <v>9.62246585416176</v>
      </c>
      <c r="D406" s="5" t="n">
        <f aca="false">C406*LOG(C406)</f>
        <v>9.46163960344132</v>
      </c>
      <c r="E406" s="5"/>
      <c r="F406" s="5"/>
      <c r="G406" s="4" t="n">
        <v>405</v>
      </c>
      <c r="H406" s="6" t="n">
        <v>0.595</v>
      </c>
      <c r="J406" s="2" t="n">
        <f aca="false">B406/$B$1003</f>
        <v>0.000940451100197146</v>
      </c>
      <c r="K406" s="5" t="n">
        <f aca="false">J406*LOG(J406,2)</f>
        <v>-0.00945563340501311</v>
      </c>
      <c r="N406" s="2" t="n">
        <f aca="false">1/1000*LOG(1/1000,2)</f>
        <v>-0.00996578428466209</v>
      </c>
    </row>
    <row r="407" customFormat="false" ht="13" hidden="false" customHeight="false" outlineLevel="0" collapsed="false">
      <c r="A407" s="4" t="n">
        <v>595</v>
      </c>
      <c r="B407" s="2" t="n">
        <v>9.57206806665715</v>
      </c>
      <c r="C407" s="5" t="n">
        <f aca="false">B407</f>
        <v>9.57206806665715</v>
      </c>
      <c r="D407" s="5" t="n">
        <f aca="false">C407*LOG(C407)</f>
        <v>9.39025408277155</v>
      </c>
      <c r="E407" s="5"/>
      <c r="F407" s="5"/>
      <c r="G407" s="4" t="n">
        <v>406</v>
      </c>
      <c r="H407" s="6" t="n">
        <v>0.594</v>
      </c>
      <c r="J407" s="2" t="n">
        <f aca="false">B407/$B$1003</f>
        <v>0.000935525475578202</v>
      </c>
      <c r="K407" s="5" t="n">
        <f aca="false">J407*LOG(J407,2)</f>
        <v>-0.00941319693688424</v>
      </c>
      <c r="N407" s="2" t="n">
        <f aca="false">1/1000*LOG(1/1000,2)</f>
        <v>-0.00996578428466209</v>
      </c>
    </row>
    <row r="408" customFormat="false" ht="13" hidden="false" customHeight="false" outlineLevel="0" collapsed="false">
      <c r="A408" s="4" t="n">
        <v>594</v>
      </c>
      <c r="B408" s="2" t="n">
        <v>9.55469691288155</v>
      </c>
      <c r="C408" s="5" t="n">
        <f aca="false">B408</f>
        <v>9.55469691288155</v>
      </c>
      <c r="D408" s="5" t="n">
        <f aca="false">C408*LOG(C408)</f>
        <v>9.36567553397024</v>
      </c>
      <c r="E408" s="5"/>
      <c r="F408" s="5"/>
      <c r="G408" s="4" t="n">
        <v>407</v>
      </c>
      <c r="H408" s="6" t="n">
        <v>0.593</v>
      </c>
      <c r="J408" s="2" t="n">
        <f aca="false">B408/$B$1003</f>
        <v>0.000933827706947213</v>
      </c>
      <c r="K408" s="5" t="n">
        <f aca="false">J408*LOG(J408,2)</f>
        <v>-0.00939856123704624</v>
      </c>
      <c r="N408" s="2" t="n">
        <f aca="false">1/1000*LOG(1/1000,2)</f>
        <v>-0.00996578428466209</v>
      </c>
    </row>
    <row r="409" customFormat="false" ht="13" hidden="false" customHeight="false" outlineLevel="0" collapsed="false">
      <c r="A409" s="4" t="n">
        <v>593</v>
      </c>
      <c r="B409" s="2" t="n">
        <v>9.54465274329201</v>
      </c>
      <c r="C409" s="5" t="n">
        <f aca="false">B409</f>
        <v>9.54465274329201</v>
      </c>
      <c r="D409" s="5" t="n">
        <f aca="false">C409*LOG(C409)</f>
        <v>9.35147023521116</v>
      </c>
      <c r="E409" s="5"/>
      <c r="F409" s="5"/>
      <c r="G409" s="4" t="n">
        <v>408</v>
      </c>
      <c r="H409" s="6" t="n">
        <v>0.592</v>
      </c>
      <c r="J409" s="2" t="n">
        <f aca="false">B409/$B$1003</f>
        <v>0.000932846040658735</v>
      </c>
      <c r="K409" s="5" t="n">
        <f aca="false">J409*LOG(J409,2)</f>
        <v>-0.00939009670215376</v>
      </c>
      <c r="N409" s="2" t="n">
        <f aca="false">1/1000*LOG(1/1000,2)</f>
        <v>-0.00996578428466209</v>
      </c>
    </row>
    <row r="410" customFormat="false" ht="13" hidden="false" customHeight="false" outlineLevel="0" collapsed="false">
      <c r="A410" s="4" t="n">
        <v>592</v>
      </c>
      <c r="B410" s="2" t="n">
        <v>9.53342506062796</v>
      </c>
      <c r="C410" s="5" t="n">
        <f aca="false">B410</f>
        <v>9.53342506062796</v>
      </c>
      <c r="D410" s="5" t="n">
        <f aca="false">C410*LOG(C410)</f>
        <v>9.33559654782661</v>
      </c>
      <c r="E410" s="5"/>
      <c r="F410" s="5"/>
      <c r="G410" s="4" t="n">
        <v>409</v>
      </c>
      <c r="H410" s="6" t="n">
        <v>0.591</v>
      </c>
      <c r="J410" s="2" t="n">
        <f aca="false">B410/$B$1003</f>
        <v>0.000931748703793726</v>
      </c>
      <c r="K410" s="5" t="n">
        <f aca="false">J410*LOG(J410,2)</f>
        <v>-0.00938063301969156</v>
      </c>
      <c r="N410" s="2" t="n">
        <f aca="false">1/1000*LOG(1/1000,2)</f>
        <v>-0.00996578428466209</v>
      </c>
    </row>
    <row r="411" customFormat="false" ht="13" hidden="false" customHeight="false" outlineLevel="0" collapsed="false">
      <c r="A411" s="4" t="n">
        <v>591</v>
      </c>
      <c r="B411" s="2" t="n">
        <v>9.50802537279952</v>
      </c>
      <c r="C411" s="5" t="n">
        <f aca="false">B411</f>
        <v>9.50802537279952</v>
      </c>
      <c r="D411" s="5" t="n">
        <f aca="false">C411*LOG(C411)</f>
        <v>9.29970769355983</v>
      </c>
      <c r="E411" s="5"/>
      <c r="F411" s="5"/>
      <c r="G411" s="4" t="n">
        <v>410</v>
      </c>
      <c r="H411" s="6" t="n">
        <v>0.59</v>
      </c>
      <c r="J411" s="2" t="n">
        <f aca="false">B411/$B$1003</f>
        <v>0.000929266266887744</v>
      </c>
      <c r="K411" s="5" t="n">
        <f aca="false">J411*LOG(J411,2)</f>
        <v>-0.00935921703647733</v>
      </c>
      <c r="N411" s="2" t="n">
        <f aca="false">1/1000*LOG(1/1000,2)</f>
        <v>-0.00996578428466209</v>
      </c>
    </row>
    <row r="412" customFormat="false" ht="13" hidden="false" customHeight="false" outlineLevel="0" collapsed="false">
      <c r="A412" s="4" t="n">
        <v>590</v>
      </c>
      <c r="B412" s="2" t="n">
        <v>9.49754297461215</v>
      </c>
      <c r="C412" s="5" t="n">
        <f aca="false">B412</f>
        <v>9.49754297461215</v>
      </c>
      <c r="D412" s="5" t="n">
        <f aca="false">C412*LOG(C412)</f>
        <v>9.28490502395837</v>
      </c>
      <c r="E412" s="5"/>
      <c r="F412" s="5"/>
      <c r="G412" s="4" t="n">
        <v>411</v>
      </c>
      <c r="H412" s="6" t="n">
        <v>0.589</v>
      </c>
      <c r="J412" s="2" t="n">
        <f aca="false">B412/$B$1003</f>
        <v>0.000928241770354586</v>
      </c>
      <c r="K412" s="5" t="n">
        <f aca="false">J412*LOG(J412,2)</f>
        <v>-0.00935037591737029</v>
      </c>
      <c r="N412" s="2" t="n">
        <f aca="false">1/1000*LOG(1/1000,2)</f>
        <v>-0.00996578428466209</v>
      </c>
    </row>
    <row r="413" customFormat="false" ht="13" hidden="false" customHeight="false" outlineLevel="0" collapsed="false">
      <c r="A413" s="4" t="n">
        <v>589</v>
      </c>
      <c r="B413" s="2" t="n">
        <v>9.47466997267827</v>
      </c>
      <c r="C413" s="5" t="n">
        <f aca="false">B413</f>
        <v>9.47466997267827</v>
      </c>
      <c r="D413" s="5" t="n">
        <f aca="false">C413*LOG(C413)</f>
        <v>9.25262247224256</v>
      </c>
      <c r="E413" s="5"/>
      <c r="F413" s="5"/>
      <c r="G413" s="4" t="n">
        <v>412</v>
      </c>
      <c r="H413" s="6" t="n">
        <v>0.588</v>
      </c>
      <c r="J413" s="2" t="n">
        <f aca="false">B413/$B$1003</f>
        <v>0.000926006278936945</v>
      </c>
      <c r="K413" s="5" t="n">
        <f aca="false">J413*LOG(J413,2)</f>
        <v>-0.00933107858463838</v>
      </c>
      <c r="N413" s="2" t="n">
        <f aca="false">1/1000*LOG(1/1000,2)</f>
        <v>-0.00996578428466209</v>
      </c>
    </row>
    <row r="414" customFormat="false" ht="13" hidden="false" customHeight="false" outlineLevel="0" collapsed="false">
      <c r="A414" s="4" t="n">
        <v>588</v>
      </c>
      <c r="B414" s="2" t="n">
        <v>9.42768076026391</v>
      </c>
      <c r="C414" s="5" t="n">
        <f aca="false">B414</f>
        <v>9.42768076026391</v>
      </c>
      <c r="D414" s="5" t="n">
        <f aca="false">C414*LOG(C414)</f>
        <v>9.1863780271233</v>
      </c>
      <c r="E414" s="5"/>
      <c r="F414" s="5"/>
      <c r="G414" s="4" t="n">
        <v>413</v>
      </c>
      <c r="H414" s="6" t="n">
        <v>0.587</v>
      </c>
      <c r="J414" s="2" t="n">
        <f aca="false">B414/$B$1003</f>
        <v>0.000921413791191886</v>
      </c>
      <c r="K414" s="5" t="n">
        <f aca="false">J414*LOG(J414,2)</f>
        <v>-0.00929141060992993</v>
      </c>
      <c r="N414" s="2" t="n">
        <f aca="false">1/1000*LOG(1/1000,2)</f>
        <v>-0.00996578428466209</v>
      </c>
    </row>
    <row r="415" customFormat="false" ht="13" hidden="false" customHeight="false" outlineLevel="0" collapsed="false">
      <c r="A415" s="4" t="n">
        <v>587</v>
      </c>
      <c r="B415" s="2" t="n">
        <v>9.42737388871656</v>
      </c>
      <c r="C415" s="5" t="n">
        <f aca="false">B415</f>
        <v>9.42737388871656</v>
      </c>
      <c r="D415" s="5" t="n">
        <f aca="false">C415*LOG(C415)</f>
        <v>9.18594573954306</v>
      </c>
      <c r="E415" s="5"/>
      <c r="F415" s="5"/>
      <c r="G415" s="4" t="n">
        <v>414</v>
      </c>
      <c r="H415" s="6" t="n">
        <v>0.586</v>
      </c>
      <c r="J415" s="2" t="n">
        <f aca="false">B415/$B$1003</f>
        <v>0.000921383799120342</v>
      </c>
      <c r="K415" s="5" t="n">
        <f aca="false">J415*LOG(J415,2)</f>
        <v>-0.00929115144269242</v>
      </c>
      <c r="N415" s="2" t="n">
        <f aca="false">1/1000*LOG(1/1000,2)</f>
        <v>-0.00996578428466209</v>
      </c>
    </row>
    <row r="416" customFormat="false" ht="13" hidden="false" customHeight="false" outlineLevel="0" collapsed="false">
      <c r="A416" s="4" t="n">
        <v>586</v>
      </c>
      <c r="B416" s="2" t="n">
        <v>9.25899675847433</v>
      </c>
      <c r="C416" s="5" t="n">
        <f aca="false">B416</f>
        <v>9.25899675847433</v>
      </c>
      <c r="D416" s="5" t="n">
        <f aca="false">C416*LOG(C416)</f>
        <v>8.94941231373823</v>
      </c>
      <c r="E416" s="5"/>
      <c r="F416" s="5"/>
      <c r="G416" s="4" t="n">
        <v>415</v>
      </c>
      <c r="H416" s="6" t="n">
        <v>0.585</v>
      </c>
      <c r="J416" s="2" t="n">
        <f aca="false">B416/$B$1003</f>
        <v>0.000904927470796157</v>
      </c>
      <c r="K416" s="5" t="n">
        <f aca="false">J416*LOG(J416,2)</f>
        <v>-0.0091487354795322</v>
      </c>
      <c r="N416" s="2" t="n">
        <f aca="false">1/1000*LOG(1/1000,2)</f>
        <v>-0.00996578428466209</v>
      </c>
    </row>
    <row r="417" customFormat="false" ht="13" hidden="false" customHeight="false" outlineLevel="0" collapsed="false">
      <c r="A417" s="4" t="n">
        <v>585</v>
      </c>
      <c r="B417" s="2" t="n">
        <v>9.25716536707307</v>
      </c>
      <c r="C417" s="5" t="n">
        <f aca="false">B417</f>
        <v>9.25716536707307</v>
      </c>
      <c r="D417" s="5" t="n">
        <f aca="false">C417*LOG(C417)</f>
        <v>8.94684687234951</v>
      </c>
      <c r="E417" s="5"/>
      <c r="F417" s="5"/>
      <c r="G417" s="4" t="n">
        <v>416</v>
      </c>
      <c r="H417" s="6" t="n">
        <v>0.584</v>
      </c>
      <c r="J417" s="2" t="n">
        <f aca="false">B417/$B$1003</f>
        <v>0.000904748479871762</v>
      </c>
      <c r="K417" s="5" t="n">
        <f aca="false">J417*LOG(J417,2)</f>
        <v>-0.00914718410113648</v>
      </c>
      <c r="N417" s="2" t="n">
        <f aca="false">1/1000*LOG(1/1000,2)</f>
        <v>-0.00996578428466209</v>
      </c>
    </row>
    <row r="418" customFormat="false" ht="13" hidden="false" customHeight="false" outlineLevel="0" collapsed="false">
      <c r="A418" s="4" t="n">
        <v>584</v>
      </c>
      <c r="B418" s="2" t="n">
        <v>9.2515880150151</v>
      </c>
      <c r="C418" s="5" t="n">
        <f aca="false">B418</f>
        <v>9.2515880150151</v>
      </c>
      <c r="D418" s="5" t="n">
        <f aca="false">C418*LOG(C418)</f>
        <v>8.93903500076922</v>
      </c>
      <c r="E418" s="5"/>
      <c r="F418" s="5"/>
      <c r="G418" s="4" t="n">
        <v>417</v>
      </c>
      <c r="H418" s="6" t="n">
        <v>0.583</v>
      </c>
      <c r="J418" s="2" t="n">
        <f aca="false">B418/$B$1003</f>
        <v>0.000904203377716181</v>
      </c>
      <c r="K418" s="5" t="n">
        <f aca="false">J418*LOG(J418,2)</f>
        <v>-0.00914245919094607</v>
      </c>
      <c r="N418" s="2" t="n">
        <f aca="false">1/1000*LOG(1/1000,2)</f>
        <v>-0.00996578428466209</v>
      </c>
    </row>
    <row r="419" customFormat="false" ht="13" hidden="false" customHeight="false" outlineLevel="0" collapsed="false">
      <c r="A419" s="4" t="n">
        <v>583</v>
      </c>
      <c r="B419" s="2" t="n">
        <v>9.2484528709644</v>
      </c>
      <c r="C419" s="5" t="n">
        <f aca="false">B419</f>
        <v>9.2484528709644</v>
      </c>
      <c r="D419" s="5" t="n">
        <f aca="false">C419*LOG(C419)</f>
        <v>8.93464442849986</v>
      </c>
      <c r="E419" s="5"/>
      <c r="F419" s="5"/>
      <c r="G419" s="4" t="n">
        <v>418</v>
      </c>
      <c r="H419" s="6" t="n">
        <v>0.582</v>
      </c>
      <c r="J419" s="2" t="n">
        <f aca="false">B419/$B$1003</f>
        <v>0.000903896964607894</v>
      </c>
      <c r="K419" s="5" t="n">
        <f aca="false">J419*LOG(J419,2)</f>
        <v>-0.00913980301383047</v>
      </c>
      <c r="N419" s="2" t="n">
        <f aca="false">1/1000*LOG(1/1000,2)</f>
        <v>-0.00996578428466209</v>
      </c>
    </row>
    <row r="420" customFormat="false" ht="13" hidden="false" customHeight="false" outlineLevel="0" collapsed="false">
      <c r="A420" s="4" t="n">
        <v>582</v>
      </c>
      <c r="B420" s="2" t="n">
        <v>9.18044271158578</v>
      </c>
      <c r="C420" s="5" t="n">
        <f aca="false">B420</f>
        <v>9.18044271158578</v>
      </c>
      <c r="D420" s="5" t="n">
        <f aca="false">C420*LOG(C420)</f>
        <v>8.83951434687247</v>
      </c>
      <c r="E420" s="5"/>
      <c r="F420" s="5"/>
      <c r="G420" s="4" t="n">
        <v>419</v>
      </c>
      <c r="H420" s="6" t="n">
        <v>0.581</v>
      </c>
      <c r="J420" s="2" t="n">
        <f aca="false">B420/$B$1003</f>
        <v>0.000897249995922155</v>
      </c>
      <c r="K420" s="5" t="n">
        <f aca="false">J420*LOG(J420,2)</f>
        <v>-0.00908214603346946</v>
      </c>
      <c r="N420" s="2" t="n">
        <f aca="false">1/1000*LOG(1/1000,2)</f>
        <v>-0.00996578428466209</v>
      </c>
    </row>
    <row r="421" customFormat="false" ht="13" hidden="false" customHeight="false" outlineLevel="0" collapsed="false">
      <c r="A421" s="4" t="n">
        <v>581</v>
      </c>
      <c r="B421" s="2" t="n">
        <v>9.17892024806116</v>
      </c>
      <c r="C421" s="5" t="n">
        <f aca="false">B421</f>
        <v>9.17892024806116</v>
      </c>
      <c r="D421" s="5" t="n">
        <f aca="false">C421*LOG(C421)</f>
        <v>8.8373872794456</v>
      </c>
      <c r="E421" s="5"/>
      <c r="F421" s="5"/>
      <c r="G421" s="4" t="n">
        <v>420</v>
      </c>
      <c r="H421" s="6" t="n">
        <v>0.58</v>
      </c>
      <c r="J421" s="2" t="n">
        <f aca="false">B421/$B$1003</f>
        <v>0.000897101198044518</v>
      </c>
      <c r="K421" s="5" t="n">
        <f aca="false">J421*LOG(J421,2)</f>
        <v>-0.00908085452339906</v>
      </c>
      <c r="N421" s="2" t="n">
        <f aca="false">1/1000*LOG(1/1000,2)</f>
        <v>-0.00996578428466209</v>
      </c>
    </row>
    <row r="422" customFormat="false" ht="13" hidden="false" customHeight="false" outlineLevel="0" collapsed="false">
      <c r="A422" s="4" t="n">
        <v>580</v>
      </c>
      <c r="B422" s="2" t="n">
        <v>9.16875387593188</v>
      </c>
      <c r="C422" s="5" t="n">
        <f aca="false">B422</f>
        <v>9.16875387593188</v>
      </c>
      <c r="D422" s="5" t="n">
        <f aca="false">C422*LOG(C422)</f>
        <v>8.82318642846879</v>
      </c>
      <c r="E422" s="5"/>
      <c r="F422" s="5"/>
      <c r="G422" s="4" t="n">
        <v>421</v>
      </c>
      <c r="H422" s="6" t="n">
        <v>0.579</v>
      </c>
      <c r="J422" s="2" t="n">
        <f aca="false">B422/$B$1003</f>
        <v>0.00089610758829844</v>
      </c>
      <c r="K422" s="5" t="n">
        <f aca="false">J422*LOG(J422,2)</f>
        <v>-0.00907222944844702</v>
      </c>
      <c r="N422" s="2" t="n">
        <f aca="false">1/1000*LOG(1/1000,2)</f>
        <v>-0.00996578428466209</v>
      </c>
    </row>
    <row r="423" customFormat="false" ht="13" hidden="false" customHeight="false" outlineLevel="0" collapsed="false">
      <c r="A423" s="4" t="n">
        <v>579</v>
      </c>
      <c r="B423" s="2" t="n">
        <v>9.16761344984252</v>
      </c>
      <c r="C423" s="5" t="n">
        <f aca="false">B423</f>
        <v>9.16761344984252</v>
      </c>
      <c r="D423" s="5" t="n">
        <f aca="false">C423*LOG(C423)</f>
        <v>8.82159373472536</v>
      </c>
      <c r="E423" s="5"/>
      <c r="F423" s="5"/>
      <c r="G423" s="4" t="n">
        <v>422</v>
      </c>
      <c r="H423" s="6" t="n">
        <v>0.578</v>
      </c>
      <c r="J423" s="2" t="n">
        <f aca="false">B423/$B$1003</f>
        <v>0.000895996128825714</v>
      </c>
      <c r="K423" s="5" t="n">
        <f aca="false">J423*LOG(J423,2)</f>
        <v>-0.00907126182026719</v>
      </c>
      <c r="N423" s="2" t="n">
        <f aca="false">1/1000*LOG(1/1000,2)</f>
        <v>-0.00996578428466209</v>
      </c>
    </row>
    <row r="424" customFormat="false" ht="13" hidden="false" customHeight="false" outlineLevel="0" collapsed="false">
      <c r="A424" s="4" t="n">
        <v>578</v>
      </c>
      <c r="B424" s="2" t="n">
        <v>9.16642785183194</v>
      </c>
      <c r="C424" s="5" t="n">
        <f aca="false">B424</f>
        <v>9.16642785183194</v>
      </c>
      <c r="D424" s="5" t="n">
        <f aca="false">C424*LOG(C424)</f>
        <v>8.81993802020082</v>
      </c>
      <c r="E424" s="5"/>
      <c r="F424" s="5"/>
      <c r="G424" s="4" t="n">
        <v>423</v>
      </c>
      <c r="H424" s="6" t="n">
        <v>0.577</v>
      </c>
      <c r="J424" s="2" t="n">
        <f aca="false">B424/$B$1003</f>
        <v>0.000895880254478084</v>
      </c>
      <c r="K424" s="5" t="n">
        <f aca="false">J424*LOG(J424,2)</f>
        <v>-0.00907025584342982</v>
      </c>
      <c r="N424" s="2" t="n">
        <f aca="false">1/1000*LOG(1/1000,2)</f>
        <v>-0.00996578428466209</v>
      </c>
    </row>
    <row r="425" customFormat="false" ht="13" hidden="false" customHeight="false" outlineLevel="0" collapsed="false">
      <c r="A425" s="4" t="n">
        <v>577</v>
      </c>
      <c r="B425" s="2" t="n">
        <v>9.15553962896132</v>
      </c>
      <c r="C425" s="5" t="n">
        <f aca="false">B425</f>
        <v>9.15553962896132</v>
      </c>
      <c r="D425" s="5" t="n">
        <f aca="false">C425*LOG(C425)</f>
        <v>8.8047354852611</v>
      </c>
      <c r="E425" s="5"/>
      <c r="F425" s="5"/>
      <c r="G425" s="4" t="n">
        <v>424</v>
      </c>
      <c r="H425" s="6" t="n">
        <v>0.576</v>
      </c>
      <c r="J425" s="2" t="n">
        <f aca="false">B425/$B$1003</f>
        <v>0.000894816094694816</v>
      </c>
      <c r="K425" s="5" t="n">
        <f aca="false">J425*LOG(J425,2)</f>
        <v>-0.00906101620309917</v>
      </c>
      <c r="N425" s="2" t="n">
        <f aca="false">1/1000*LOG(1/1000,2)</f>
        <v>-0.00996578428466209</v>
      </c>
    </row>
    <row r="426" customFormat="false" ht="13" hidden="false" customHeight="false" outlineLevel="0" collapsed="false">
      <c r="A426" s="4" t="n">
        <v>576</v>
      </c>
      <c r="B426" s="2" t="n">
        <v>9.14676853729361</v>
      </c>
      <c r="C426" s="5" t="n">
        <f aca="false">B426</f>
        <v>9.14676853729361</v>
      </c>
      <c r="D426" s="5" t="n">
        <f aca="false">C426*LOG(C426)</f>
        <v>8.79249305572195</v>
      </c>
      <c r="E426" s="5"/>
      <c r="F426" s="5"/>
      <c r="G426" s="4" t="n">
        <v>425</v>
      </c>
      <c r="H426" s="6" t="n">
        <v>0.575</v>
      </c>
      <c r="J426" s="2" t="n">
        <f aca="false">B426/$B$1003</f>
        <v>0.00089395885259764</v>
      </c>
      <c r="K426" s="5" t="n">
        <f aca="false">J426*LOG(J426,2)</f>
        <v>-0.00905357181207743</v>
      </c>
      <c r="N426" s="2" t="n">
        <f aca="false">1/1000*LOG(1/1000,2)</f>
        <v>-0.00996578428466209</v>
      </c>
    </row>
    <row r="427" customFormat="false" ht="13" hidden="false" customHeight="false" outlineLevel="0" collapsed="false">
      <c r="A427" s="4" t="n">
        <v>575</v>
      </c>
      <c r="B427" s="2" t="n">
        <v>9.1344988116972</v>
      </c>
      <c r="C427" s="5" t="n">
        <f aca="false">B427</f>
        <v>9.1344988116972</v>
      </c>
      <c r="D427" s="5" t="n">
        <f aca="false">C427*LOG(C427)</f>
        <v>8.77537346644327</v>
      </c>
      <c r="E427" s="5"/>
      <c r="F427" s="5"/>
      <c r="G427" s="4" t="n">
        <v>426</v>
      </c>
      <c r="H427" s="6" t="n">
        <v>0.574</v>
      </c>
      <c r="J427" s="2" t="n">
        <f aca="false">B427/$B$1003</f>
        <v>0.000892759671731618</v>
      </c>
      <c r="K427" s="5" t="n">
        <f aca="false">J427*LOG(J427,2)</f>
        <v>-0.00904315599451794</v>
      </c>
      <c r="N427" s="2" t="n">
        <f aca="false">1/1000*LOG(1/1000,2)</f>
        <v>-0.00996578428466209</v>
      </c>
    </row>
    <row r="428" customFormat="false" ht="13" hidden="false" customHeight="false" outlineLevel="0" collapsed="false">
      <c r="A428" s="4" t="n">
        <v>574</v>
      </c>
      <c r="B428" s="2" t="n">
        <v>9.0754226581862</v>
      </c>
      <c r="C428" s="5" t="n">
        <f aca="false">B428</f>
        <v>9.0754226581862</v>
      </c>
      <c r="D428" s="5" t="n">
        <f aca="false">C428*LOG(C428)</f>
        <v>8.69304660501476</v>
      </c>
      <c r="E428" s="5"/>
      <c r="F428" s="5"/>
      <c r="G428" s="4" t="n">
        <v>427</v>
      </c>
      <c r="H428" s="6" t="n">
        <v>0.573</v>
      </c>
      <c r="J428" s="2" t="n">
        <f aca="false">B428/$B$1003</f>
        <v>0.000886985867552224</v>
      </c>
      <c r="K428" s="5" t="n">
        <f aca="false">J428*LOG(J428,2)</f>
        <v>-0.00899297343284091</v>
      </c>
      <c r="N428" s="2" t="n">
        <f aca="false">1/1000*LOG(1/1000,2)</f>
        <v>-0.00996578428466209</v>
      </c>
    </row>
    <row r="429" customFormat="false" ht="13" hidden="false" customHeight="false" outlineLevel="0" collapsed="false">
      <c r="A429" s="4" t="n">
        <v>573</v>
      </c>
      <c r="B429" s="2" t="n">
        <v>9.04709392322582</v>
      </c>
      <c r="C429" s="5" t="n">
        <f aca="false">B429</f>
        <v>9.04709392322582</v>
      </c>
      <c r="D429" s="5" t="n">
        <f aca="false">C429*LOG(C429)</f>
        <v>8.65362765714222</v>
      </c>
      <c r="E429" s="5"/>
      <c r="F429" s="5"/>
      <c r="G429" s="4" t="n">
        <v>428</v>
      </c>
      <c r="H429" s="6" t="n">
        <v>0.572</v>
      </c>
      <c r="J429" s="2" t="n">
        <f aca="false">B429/$B$1003</f>
        <v>0.000884217160407458</v>
      </c>
      <c r="K429" s="5" t="n">
        <f aca="false">J429*LOG(J429,2)</f>
        <v>-0.00896889022070297</v>
      </c>
      <c r="N429" s="2" t="n">
        <f aca="false">1/1000*LOG(1/1000,2)</f>
        <v>-0.00996578428466209</v>
      </c>
    </row>
    <row r="430" customFormat="false" ht="13" hidden="false" customHeight="false" outlineLevel="0" collapsed="false">
      <c r="A430" s="4" t="n">
        <v>572</v>
      </c>
      <c r="B430" s="2" t="n">
        <v>8.9576431261363</v>
      </c>
      <c r="C430" s="5" t="n">
        <f aca="false">B430</f>
        <v>8.9576431261363</v>
      </c>
      <c r="D430" s="5" t="n">
        <f aca="false">C430*LOG(C430)</f>
        <v>8.52941185403565</v>
      </c>
      <c r="E430" s="5"/>
      <c r="F430" s="5"/>
      <c r="G430" s="4" t="n">
        <v>429</v>
      </c>
      <c r="H430" s="6" t="n">
        <v>0.571</v>
      </c>
      <c r="J430" s="2" t="n">
        <f aca="false">B430/$B$1003</f>
        <v>0.000875474692332088</v>
      </c>
      <c r="K430" s="5" t="n">
        <f aca="false">J430*LOG(J430,2)</f>
        <v>-0.00889276279879981</v>
      </c>
      <c r="N430" s="2" t="n">
        <f aca="false">1/1000*LOG(1/1000,2)</f>
        <v>-0.00996578428466209</v>
      </c>
    </row>
    <row r="431" customFormat="false" ht="13" hidden="false" customHeight="false" outlineLevel="0" collapsed="false">
      <c r="A431" s="4" t="n">
        <v>571</v>
      </c>
      <c r="B431" s="2" t="n">
        <v>8.91166510776742</v>
      </c>
      <c r="C431" s="5" t="n">
        <f aca="false">B431</f>
        <v>8.91166510776742</v>
      </c>
      <c r="D431" s="5" t="n">
        <f aca="false">C431*LOG(C431)</f>
        <v>8.46571520639375</v>
      </c>
      <c r="E431" s="5"/>
      <c r="F431" s="5"/>
      <c r="G431" s="4" t="n">
        <v>430</v>
      </c>
      <c r="H431" s="6" t="n">
        <v>0.57</v>
      </c>
      <c r="J431" s="2" t="n">
        <f aca="false">B431/$B$1003</f>
        <v>0.000870981033574006</v>
      </c>
      <c r="K431" s="5" t="n">
        <f aca="false">J431*LOG(J431,2)</f>
        <v>-0.00885358411249009</v>
      </c>
      <c r="N431" s="2" t="n">
        <f aca="false">1/1000*LOG(1/1000,2)</f>
        <v>-0.00996578428466209</v>
      </c>
    </row>
    <row r="432" customFormat="false" ht="13" hidden="false" customHeight="false" outlineLevel="0" collapsed="false">
      <c r="A432" s="4" t="n">
        <v>570</v>
      </c>
      <c r="B432" s="2" t="n">
        <v>8.85074920771297</v>
      </c>
      <c r="C432" s="5" t="n">
        <f aca="false">B432</f>
        <v>8.85074920771297</v>
      </c>
      <c r="D432" s="5" t="n">
        <f aca="false">C432*LOG(C432)</f>
        <v>8.38148279342564</v>
      </c>
      <c r="E432" s="5"/>
      <c r="F432" s="5"/>
      <c r="G432" s="4" t="n">
        <v>431</v>
      </c>
      <c r="H432" s="6" t="n">
        <v>0.569</v>
      </c>
      <c r="J432" s="2" t="n">
        <f aca="false">B432/$B$1003</f>
        <v>0.000865027421880914</v>
      </c>
      <c r="K432" s="5" t="n">
        <f aca="false">J432*LOG(J432,2)</f>
        <v>-0.00880162504941753</v>
      </c>
      <c r="N432" s="2" t="n">
        <f aca="false">1/1000*LOG(1/1000,2)</f>
        <v>-0.00996578428466209</v>
      </c>
    </row>
    <row r="433" customFormat="false" ht="13" hidden="false" customHeight="false" outlineLevel="0" collapsed="false">
      <c r="A433" s="4" t="n">
        <v>569</v>
      </c>
      <c r="B433" s="2" t="n">
        <v>8.81438007554505</v>
      </c>
      <c r="C433" s="5" t="n">
        <f aca="false">B433</f>
        <v>8.81438007554505</v>
      </c>
      <c r="D433" s="5" t="n">
        <f aca="false">C433*LOG(C433)</f>
        <v>8.33127953440825</v>
      </c>
      <c r="E433" s="5"/>
      <c r="F433" s="5"/>
      <c r="G433" s="4" t="n">
        <v>432</v>
      </c>
      <c r="H433" s="6" t="n">
        <v>0.568</v>
      </c>
      <c r="J433" s="2" t="n">
        <f aca="false">B433/$B$1003</f>
        <v>0.000861472887016471</v>
      </c>
      <c r="K433" s="5" t="n">
        <f aca="false">J433*LOG(J433,2)</f>
        <v>-0.00877057533545892</v>
      </c>
      <c r="N433" s="2" t="n">
        <f aca="false">1/1000*LOG(1/1000,2)</f>
        <v>-0.00996578428466209</v>
      </c>
    </row>
    <row r="434" customFormat="false" ht="13" hidden="false" customHeight="false" outlineLevel="0" collapsed="false">
      <c r="A434" s="4" t="n">
        <v>568</v>
      </c>
      <c r="B434" s="2" t="n">
        <v>8.7426835362148</v>
      </c>
      <c r="C434" s="5" t="n">
        <f aca="false">B434</f>
        <v>8.7426835362148</v>
      </c>
      <c r="D434" s="5" t="n">
        <f aca="false">C434*LOG(C434)</f>
        <v>8.23250212512212</v>
      </c>
      <c r="E434" s="5"/>
      <c r="F434" s="5"/>
      <c r="G434" s="4" t="n">
        <v>433</v>
      </c>
      <c r="H434" s="6" t="n">
        <v>0.567</v>
      </c>
      <c r="J434" s="2" t="n">
        <f aca="false">B434/$B$1003</f>
        <v>0.000854465630216043</v>
      </c>
      <c r="K434" s="5" t="n">
        <f aca="false">J434*LOG(J434,2)</f>
        <v>-0.00870930321355896</v>
      </c>
      <c r="N434" s="2" t="n">
        <f aca="false">1/1000*LOG(1/1000,2)</f>
        <v>-0.00996578428466209</v>
      </c>
    </row>
    <row r="435" customFormat="false" ht="13" hidden="false" customHeight="false" outlineLevel="0" collapsed="false">
      <c r="A435" s="4" t="n">
        <v>567</v>
      </c>
      <c r="B435" s="2" t="n">
        <v>8.70905857850562</v>
      </c>
      <c r="C435" s="5" t="n">
        <f aca="false">B435</f>
        <v>8.70905857850562</v>
      </c>
      <c r="D435" s="5" t="n">
        <f aca="false">C435*LOG(C435)</f>
        <v>8.18626434475668</v>
      </c>
      <c r="E435" s="5"/>
      <c r="F435" s="5"/>
      <c r="G435" s="4" t="n">
        <v>434</v>
      </c>
      <c r="H435" s="6" t="n">
        <v>0.566</v>
      </c>
      <c r="J435" s="2" t="n">
        <f aca="false">B435/$B$1003</f>
        <v>0.000851179297071197</v>
      </c>
      <c r="K435" s="5" t="n">
        <f aca="false">J435*LOG(J435,2)</f>
        <v>-0.00868053868622464</v>
      </c>
      <c r="N435" s="2" t="n">
        <f aca="false">1/1000*LOG(1/1000,2)</f>
        <v>-0.00996578428466209</v>
      </c>
    </row>
    <row r="436" customFormat="false" ht="13" hidden="false" customHeight="false" outlineLevel="0" collapsed="false">
      <c r="A436" s="4" t="n">
        <v>566</v>
      </c>
      <c r="B436" s="2" t="n">
        <v>8.70089521650425</v>
      </c>
      <c r="C436" s="5" t="n">
        <f aca="false">B436</f>
        <v>8.70089521650425</v>
      </c>
      <c r="D436" s="5" t="n">
        <f aca="false">C436*LOG(C436)</f>
        <v>8.17504737851303</v>
      </c>
      <c r="E436" s="5"/>
      <c r="F436" s="5"/>
      <c r="G436" s="4" t="n">
        <v>435</v>
      </c>
      <c r="H436" s="6" t="n">
        <v>0.565</v>
      </c>
      <c r="J436" s="2" t="n">
        <f aca="false">B436/$B$1003</f>
        <v>0.000850381451395062</v>
      </c>
      <c r="K436" s="5" t="n">
        <f aca="false">J436*LOG(J436,2)</f>
        <v>-0.00867355256547098</v>
      </c>
      <c r="N436" s="2" t="n">
        <f aca="false">1/1000*LOG(1/1000,2)</f>
        <v>-0.00996578428466209</v>
      </c>
    </row>
    <row r="437" customFormat="false" ht="13" hidden="false" customHeight="false" outlineLevel="0" collapsed="false">
      <c r="A437" s="4" t="n">
        <v>565</v>
      </c>
      <c r="B437" s="2" t="n">
        <v>8.69848000719435</v>
      </c>
      <c r="C437" s="5" t="n">
        <f aca="false">B437</f>
        <v>8.69848000719435</v>
      </c>
      <c r="D437" s="5" t="n">
        <f aca="false">C437*LOG(C437)</f>
        <v>8.17172936845834</v>
      </c>
      <c r="E437" s="5"/>
      <c r="F437" s="5"/>
      <c r="G437" s="4" t="n">
        <v>436</v>
      </c>
      <c r="H437" s="6" t="n">
        <v>0.564</v>
      </c>
      <c r="J437" s="2" t="n">
        <f aca="false">B437/$B$1003</f>
        <v>0.000850145401063772</v>
      </c>
      <c r="K437" s="5" t="n">
        <f aca="false">J437*LOG(J437,2)</f>
        <v>-0.00867148544735365</v>
      </c>
      <c r="N437" s="2" t="n">
        <f aca="false">1/1000*LOG(1/1000,2)</f>
        <v>-0.00996578428466209</v>
      </c>
    </row>
    <row r="438" customFormat="false" ht="13" hidden="false" customHeight="false" outlineLevel="0" collapsed="false">
      <c r="A438" s="4" t="n">
        <v>564</v>
      </c>
      <c r="B438" s="2" t="n">
        <v>8.6958712094854</v>
      </c>
      <c r="C438" s="5" t="n">
        <f aca="false">B438</f>
        <v>8.6958712094854</v>
      </c>
      <c r="D438" s="5" t="n">
        <f aca="false">C438*LOG(C438)</f>
        <v>8.16814573421496</v>
      </c>
      <c r="E438" s="5"/>
      <c r="F438" s="5"/>
      <c r="G438" s="4" t="n">
        <v>437</v>
      </c>
      <c r="H438" s="6" t="n">
        <v>0.563</v>
      </c>
      <c r="J438" s="2" t="n">
        <f aca="false">B438/$B$1003</f>
        <v>0.000849890430382374</v>
      </c>
      <c r="K438" s="5" t="n">
        <f aca="false">J438*LOG(J438,2)</f>
        <v>-0.00866925253546778</v>
      </c>
      <c r="N438" s="2" t="n">
        <f aca="false">1/1000*LOG(1/1000,2)</f>
        <v>-0.00996578428466209</v>
      </c>
    </row>
    <row r="439" customFormat="false" ht="13" hidden="false" customHeight="false" outlineLevel="0" collapsed="false">
      <c r="A439" s="4" t="n">
        <v>563</v>
      </c>
      <c r="B439" s="2" t="n">
        <v>8.68903544566445</v>
      </c>
      <c r="C439" s="5" t="n">
        <f aca="false">B439</f>
        <v>8.68903544566445</v>
      </c>
      <c r="D439" s="5" t="n">
        <f aca="false">C439*LOG(C439)</f>
        <v>8.15875724436592</v>
      </c>
      <c r="E439" s="5"/>
      <c r="F439" s="5"/>
      <c r="G439" s="4" t="n">
        <v>438</v>
      </c>
      <c r="H439" s="6" t="n">
        <v>0.562</v>
      </c>
      <c r="J439" s="2" t="n">
        <f aca="false">B439/$B$1003</f>
        <v>0.000849222337431612</v>
      </c>
      <c r="K439" s="5" t="n">
        <f aca="false">J439*LOG(J439,2)</f>
        <v>-0.00866340117184916</v>
      </c>
      <c r="N439" s="2" t="n">
        <f aca="false">1/1000*LOG(1/1000,2)</f>
        <v>-0.00996578428466209</v>
      </c>
    </row>
    <row r="440" customFormat="false" ht="13" hidden="false" customHeight="false" outlineLevel="0" collapsed="false">
      <c r="A440" s="4" t="n">
        <v>562</v>
      </c>
      <c r="B440" s="2" t="n">
        <v>8.64922430371593</v>
      </c>
      <c r="C440" s="5" t="n">
        <f aca="false">B440</f>
        <v>8.64922430371593</v>
      </c>
      <c r="D440" s="5" t="n">
        <f aca="false">C440*LOG(C440)</f>
        <v>8.10412562414764</v>
      </c>
      <c r="E440" s="5"/>
      <c r="F440" s="5"/>
      <c r="G440" s="4" t="n">
        <v>439</v>
      </c>
      <c r="H440" s="6" t="n">
        <v>0.561</v>
      </c>
      <c r="J440" s="2" t="n">
        <f aca="false">B440/$B$1003</f>
        <v>0.000845331397955906</v>
      </c>
      <c r="K440" s="5" t="n">
        <f aca="false">J440*LOG(J440,2)</f>
        <v>-0.00862930803985225</v>
      </c>
      <c r="N440" s="2" t="n">
        <f aca="false">1/1000*LOG(1/1000,2)</f>
        <v>-0.00996578428466209</v>
      </c>
    </row>
    <row r="441" customFormat="false" ht="13" hidden="false" customHeight="false" outlineLevel="0" collapsed="false">
      <c r="A441" s="4" t="n">
        <v>561</v>
      </c>
      <c r="B441" s="2" t="n">
        <v>8.63474889909691</v>
      </c>
      <c r="C441" s="5" t="n">
        <f aca="false">B441</f>
        <v>8.63474889909691</v>
      </c>
      <c r="D441" s="5" t="n">
        <f aca="false">C441*LOG(C441)</f>
        <v>8.08428117586593</v>
      </c>
      <c r="E441" s="5"/>
      <c r="F441" s="5"/>
      <c r="G441" s="4" t="n">
        <v>440</v>
      </c>
      <c r="H441" s="6" t="n">
        <v>0.56</v>
      </c>
      <c r="J441" s="2" t="n">
        <f aca="false">B441/$B$1003</f>
        <v>0.000843916645188156</v>
      </c>
      <c r="K441" s="5" t="n">
        <f aca="false">J441*LOG(J441,2)</f>
        <v>-0.00861690531512185</v>
      </c>
      <c r="N441" s="2" t="n">
        <f aca="false">1/1000*LOG(1/1000,2)</f>
        <v>-0.00996578428466209</v>
      </c>
    </row>
    <row r="442" customFormat="false" ht="13" hidden="false" customHeight="false" outlineLevel="0" collapsed="false">
      <c r="A442" s="4" t="n">
        <v>560</v>
      </c>
      <c r="B442" s="2" t="n">
        <v>8.62838161649557</v>
      </c>
      <c r="C442" s="5" t="n">
        <f aca="false">B442</f>
        <v>8.62838161649557</v>
      </c>
      <c r="D442" s="5" t="n">
        <f aca="false">C442*LOG(C442)</f>
        <v>8.07555555347224</v>
      </c>
      <c r="E442" s="5"/>
      <c r="F442" s="5"/>
      <c r="G442" s="4" t="n">
        <v>441</v>
      </c>
      <c r="H442" s="6" t="n">
        <v>0.559</v>
      </c>
      <c r="J442" s="2" t="n">
        <f aca="false">B442/$B$1003</f>
        <v>0.00084329433922018</v>
      </c>
      <c r="K442" s="5" t="n">
        <f aca="false">J442*LOG(J442,2)</f>
        <v>-0.00861144865705163</v>
      </c>
      <c r="N442" s="2" t="n">
        <f aca="false">1/1000*LOG(1/1000,2)</f>
        <v>-0.00996578428466209</v>
      </c>
    </row>
    <row r="443" customFormat="false" ht="13" hidden="false" customHeight="false" outlineLevel="0" collapsed="false">
      <c r="A443" s="4" t="n">
        <v>559</v>
      </c>
      <c r="B443" s="2" t="n">
        <v>8.62835038711725</v>
      </c>
      <c r="C443" s="5" t="n">
        <f aca="false">B443</f>
        <v>8.62835038711725</v>
      </c>
      <c r="D443" s="5" t="n">
        <f aca="false">C443*LOG(C443)</f>
        <v>8.07551276225851</v>
      </c>
      <c r="E443" s="5"/>
      <c r="F443" s="5"/>
      <c r="G443" s="4" t="n">
        <v>442</v>
      </c>
      <c r="H443" s="6" t="n">
        <v>0.558</v>
      </c>
      <c r="J443" s="2" t="n">
        <f aca="false">B443/$B$1003</f>
        <v>0.000843291287018837</v>
      </c>
      <c r="K443" s="5" t="n">
        <f aca="false">J443*LOG(J443,2)</f>
        <v>-0.00861142189234787</v>
      </c>
      <c r="N443" s="2" t="n">
        <f aca="false">1/1000*LOG(1/1000,2)</f>
        <v>-0.00996578428466209</v>
      </c>
    </row>
    <row r="444" customFormat="false" ht="13" hidden="false" customHeight="false" outlineLevel="0" collapsed="false">
      <c r="A444" s="4" t="n">
        <v>558</v>
      </c>
      <c r="B444" s="2" t="n">
        <v>8.6183156422463</v>
      </c>
      <c r="C444" s="5" t="n">
        <f aca="false">B444</f>
        <v>8.6183156422463</v>
      </c>
      <c r="D444" s="5" t="n">
        <f aca="false">C444*LOG(C444)</f>
        <v>8.06176546668754</v>
      </c>
      <c r="E444" s="5"/>
      <c r="F444" s="5"/>
      <c r="G444" s="4" t="n">
        <v>443</v>
      </c>
      <c r="H444" s="6" t="n">
        <v>0.557</v>
      </c>
      <c r="J444" s="2" t="n">
        <f aca="false">B444/$B$1003</f>
        <v>0.000842310541854644</v>
      </c>
      <c r="K444" s="5" t="n">
        <f aca="false">J444*LOG(J444,2)</f>
        <v>-0.00860282092835813</v>
      </c>
      <c r="N444" s="2" t="n">
        <f aca="false">1/1000*LOG(1/1000,2)</f>
        <v>-0.00996578428466209</v>
      </c>
    </row>
    <row r="445" customFormat="false" ht="13" hidden="false" customHeight="false" outlineLevel="0" collapsed="false">
      <c r="A445" s="4" t="n">
        <v>557</v>
      </c>
      <c r="B445" s="2" t="n">
        <v>8.6091535576781</v>
      </c>
      <c r="C445" s="5" t="n">
        <f aca="false">B445</f>
        <v>8.6091535576781</v>
      </c>
      <c r="D445" s="5" t="n">
        <f aca="false">C445*LOG(C445)</f>
        <v>8.0492181206179</v>
      </c>
      <c r="E445" s="5"/>
      <c r="F445" s="5"/>
      <c r="G445" s="4" t="n">
        <v>444</v>
      </c>
      <c r="H445" s="6" t="n">
        <v>0.556</v>
      </c>
      <c r="J445" s="2" t="n">
        <f aca="false">B445/$B$1003</f>
        <v>0.000841415086090721</v>
      </c>
      <c r="K445" s="5" t="n">
        <f aca="false">J445*LOG(J445,2)</f>
        <v>-0.00859496649879284</v>
      </c>
      <c r="N445" s="2" t="n">
        <f aca="false">1/1000*LOG(1/1000,2)</f>
        <v>-0.00996578428466209</v>
      </c>
    </row>
    <row r="446" customFormat="false" ht="13" hidden="false" customHeight="false" outlineLevel="0" collapsed="false">
      <c r="A446" s="4" t="n">
        <v>556</v>
      </c>
      <c r="B446" s="2" t="n">
        <v>8.60191670256964</v>
      </c>
      <c r="C446" s="5" t="n">
        <f aca="false">B446</f>
        <v>8.60191670256964</v>
      </c>
      <c r="D446" s="5" t="n">
        <f aca="false">C446*LOG(C446)</f>
        <v>8.03931034238104</v>
      </c>
      <c r="E446" s="5"/>
      <c r="F446" s="5"/>
      <c r="G446" s="4" t="n">
        <v>445</v>
      </c>
      <c r="H446" s="6" t="n">
        <v>0.555</v>
      </c>
      <c r="J446" s="2" t="n">
        <f aca="false">B446/$B$1003</f>
        <v>0.000840707792507988</v>
      </c>
      <c r="K446" s="5" t="n">
        <f aca="false">J446*LOG(J446,2)</f>
        <v>-0.00858876154927324</v>
      </c>
      <c r="N446" s="2" t="n">
        <f aca="false">1/1000*LOG(1/1000,2)</f>
        <v>-0.00996578428466209</v>
      </c>
    </row>
    <row r="447" customFormat="false" ht="13" hidden="false" customHeight="false" outlineLevel="0" collapsed="false">
      <c r="A447" s="4" t="n">
        <v>555</v>
      </c>
      <c r="B447" s="2" t="n">
        <v>8.59993379043158</v>
      </c>
      <c r="C447" s="5" t="n">
        <f aca="false">B447</f>
        <v>8.59993379043158</v>
      </c>
      <c r="D447" s="5" t="n">
        <f aca="false">C447*LOG(C447)</f>
        <v>8.03659605361601</v>
      </c>
      <c r="E447" s="5"/>
      <c r="F447" s="5"/>
      <c r="G447" s="4" t="n">
        <v>446</v>
      </c>
      <c r="H447" s="6" t="n">
        <v>0.554</v>
      </c>
      <c r="J447" s="2" t="n">
        <f aca="false">B447/$B$1003</f>
        <v>0.000840513992713829</v>
      </c>
      <c r="K447" s="5" t="n">
        <f aca="false">J447*LOG(J447,2)</f>
        <v>-0.00858706123143202</v>
      </c>
      <c r="N447" s="2" t="n">
        <f aca="false">1/1000*LOG(1/1000,2)</f>
        <v>-0.00996578428466209</v>
      </c>
    </row>
    <row r="448" customFormat="false" ht="13" hidden="false" customHeight="false" outlineLevel="0" collapsed="false">
      <c r="A448" s="4" t="n">
        <v>554</v>
      </c>
      <c r="B448" s="2" t="n">
        <v>8.48686437634399</v>
      </c>
      <c r="C448" s="5" t="n">
        <f aca="false">B448</f>
        <v>8.48686437634399</v>
      </c>
      <c r="D448" s="5" t="n">
        <f aca="false">C448*LOG(C448)</f>
        <v>7.88215205269802</v>
      </c>
      <c r="E448" s="5"/>
      <c r="F448" s="5"/>
      <c r="G448" s="4" t="n">
        <v>447</v>
      </c>
      <c r="H448" s="6" t="n">
        <v>0.553</v>
      </c>
      <c r="J448" s="2" t="n">
        <f aca="false">B448/$B$1003</f>
        <v>0.000829463160579015</v>
      </c>
      <c r="K448" s="5" t="n">
        <f aca="false">J448*LOG(J448,2)</f>
        <v>-0.00848999877351328</v>
      </c>
      <c r="N448" s="2" t="n">
        <f aca="false">1/1000*LOG(1/1000,2)</f>
        <v>-0.00996578428466209</v>
      </c>
    </row>
    <row r="449" customFormat="false" ht="13" hidden="false" customHeight="false" outlineLevel="0" collapsed="false">
      <c r="A449" s="4" t="n">
        <v>553</v>
      </c>
      <c r="B449" s="2" t="n">
        <v>8.47269858730226</v>
      </c>
      <c r="C449" s="5" t="n">
        <f aca="false">B449</f>
        <v>8.47269858730226</v>
      </c>
      <c r="D449" s="5" t="n">
        <f aca="false">C449*LOG(C449)</f>
        <v>7.86284862814447</v>
      </c>
      <c r="E449" s="5"/>
      <c r="F449" s="5"/>
      <c r="G449" s="4" t="n">
        <v>448</v>
      </c>
      <c r="H449" s="6" t="n">
        <v>0.552</v>
      </c>
      <c r="J449" s="2" t="n">
        <f aca="false">B449/$B$1003</f>
        <v>0.000828078668070404</v>
      </c>
      <c r="K449" s="5" t="n">
        <f aca="false">J449*LOG(J449,2)</f>
        <v>-0.00847782348528962</v>
      </c>
      <c r="N449" s="2" t="n">
        <f aca="false">1/1000*LOG(1/1000,2)</f>
        <v>-0.00996578428466209</v>
      </c>
    </row>
    <row r="450" customFormat="false" ht="13" hidden="false" customHeight="false" outlineLevel="0" collapsed="false">
      <c r="A450" s="4" t="n">
        <v>552</v>
      </c>
      <c r="B450" s="2" t="n">
        <v>8.45593412264464</v>
      </c>
      <c r="C450" s="5" t="n">
        <f aca="false">B450</f>
        <v>8.45593412264464</v>
      </c>
      <c r="D450" s="5" t="n">
        <f aca="false">C450*LOG(C450)</f>
        <v>7.84001733343851</v>
      </c>
      <c r="E450" s="5"/>
      <c r="F450" s="5"/>
      <c r="G450" s="4" t="n">
        <v>449</v>
      </c>
      <c r="H450" s="6" t="n">
        <v>0.551</v>
      </c>
      <c r="J450" s="2" t="n">
        <f aca="false">B450/$B$1003</f>
        <v>0.000826440194162527</v>
      </c>
      <c r="K450" s="5" t="n">
        <f aca="false">J450*LOG(J450,2)</f>
        <v>-0.00846341035833583</v>
      </c>
      <c r="N450" s="2" t="n">
        <f aca="false">1/1000*LOG(1/1000,2)</f>
        <v>-0.00996578428466209</v>
      </c>
    </row>
    <row r="451" customFormat="false" ht="13" hidden="false" customHeight="false" outlineLevel="0" collapsed="false">
      <c r="A451" s="4" t="n">
        <v>551</v>
      </c>
      <c r="B451" s="2" t="n">
        <v>8.42170051967173</v>
      </c>
      <c r="C451" s="5" t="n">
        <f aca="false">B451</f>
        <v>8.42170051967173</v>
      </c>
      <c r="D451" s="5" t="n">
        <f aca="false">C451*LOG(C451)</f>
        <v>7.79343992272302</v>
      </c>
      <c r="E451" s="5"/>
      <c r="F451" s="5"/>
      <c r="G451" s="4" t="n">
        <v>450</v>
      </c>
      <c r="H451" s="6" t="n">
        <v>0.55</v>
      </c>
      <c r="J451" s="2" t="n">
        <f aca="false">B451/$B$1003</f>
        <v>0.000823094375110786</v>
      </c>
      <c r="K451" s="5" t="n">
        <f aca="false">J451*LOG(J451,2)</f>
        <v>-0.00843396370040411</v>
      </c>
      <c r="L451" s="2" t="n">
        <f aca="false">SUM(J402:J451)</f>
        <v>0.0442872316936092</v>
      </c>
      <c r="N451" s="2" t="n">
        <f aca="false">1/1000*LOG(1/1000,2)</f>
        <v>-0.00996578428466209</v>
      </c>
    </row>
    <row r="452" customFormat="false" ht="13" hidden="false" customHeight="false" outlineLevel="0" collapsed="false">
      <c r="A452" s="4" t="n">
        <v>550</v>
      </c>
      <c r="B452" s="2" t="n">
        <v>8.41825022643616</v>
      </c>
      <c r="C452" s="5" t="n">
        <f aca="false">B452</f>
        <v>8.41825022643616</v>
      </c>
      <c r="D452" s="5" t="n">
        <f aca="false">C452*LOG(C452)</f>
        <v>7.78874888575293</v>
      </c>
      <c r="E452" s="5"/>
      <c r="F452" s="5"/>
      <c r="G452" s="4" t="n">
        <v>451</v>
      </c>
      <c r="H452" s="6" t="n">
        <v>0.549</v>
      </c>
      <c r="J452" s="2" t="n">
        <f aca="false">B452/$B$1003</f>
        <v>0.000822757160916569</v>
      </c>
      <c r="K452" s="5" t="n">
        <f aca="false">J452*LOG(J452,2)</f>
        <v>-0.00843099478063157</v>
      </c>
      <c r="N452" s="2" t="n">
        <f aca="false">1/1000*LOG(1/1000,2)</f>
        <v>-0.00996578428466209</v>
      </c>
    </row>
    <row r="453" customFormat="false" ht="13" hidden="false" customHeight="false" outlineLevel="0" collapsed="false">
      <c r="A453" s="4" t="n">
        <v>549</v>
      </c>
      <c r="B453" s="2" t="n">
        <v>8.4008906469976</v>
      </c>
      <c r="C453" s="5" t="n">
        <f aca="false">B453</f>
        <v>8.4008906469976</v>
      </c>
      <c r="D453" s="5" t="n">
        <f aca="false">C453*LOG(C453)</f>
        <v>7.76515603307278</v>
      </c>
      <c r="E453" s="5"/>
      <c r="F453" s="5"/>
      <c r="G453" s="4" t="n">
        <v>452</v>
      </c>
      <c r="H453" s="6" t="n">
        <v>0.548</v>
      </c>
      <c r="J453" s="2" t="n">
        <f aca="false">B453/$B$1003</f>
        <v>0.000821060523502689</v>
      </c>
      <c r="K453" s="5" t="n">
        <f aca="false">J453*LOG(J453,2)</f>
        <v>-0.00841605412505484</v>
      </c>
      <c r="N453" s="2" t="n">
        <f aca="false">1/1000*LOG(1/1000,2)</f>
        <v>-0.00996578428466209</v>
      </c>
    </row>
    <row r="454" customFormat="false" ht="13" hidden="false" customHeight="false" outlineLevel="0" collapsed="false">
      <c r="A454" s="4" t="n">
        <v>548</v>
      </c>
      <c r="B454" s="2" t="n">
        <v>8.38955256571649</v>
      </c>
      <c r="C454" s="5" t="n">
        <f aca="false">B454</f>
        <v>8.38955256571649</v>
      </c>
      <c r="D454" s="5" t="n">
        <f aca="false">C454*LOG(C454)</f>
        <v>7.74975521552291</v>
      </c>
      <c r="E454" s="5"/>
      <c r="F454" s="5"/>
      <c r="G454" s="4" t="n">
        <v>453</v>
      </c>
      <c r="H454" s="6" t="n">
        <v>0.547</v>
      </c>
      <c r="J454" s="2" t="n">
        <f aca="false">B454/$B$1003</f>
        <v>0.000819952396835725</v>
      </c>
      <c r="K454" s="5" t="n">
        <f aca="false">J454*LOG(J454,2)</f>
        <v>-0.00840629318825532</v>
      </c>
      <c r="N454" s="2" t="n">
        <f aca="false">1/1000*LOG(1/1000,2)</f>
        <v>-0.00996578428466209</v>
      </c>
    </row>
    <row r="455" customFormat="false" ht="13" hidden="false" customHeight="false" outlineLevel="0" collapsed="false">
      <c r="A455" s="4" t="n">
        <v>547</v>
      </c>
      <c r="B455" s="2" t="n">
        <v>8.37745663458566</v>
      </c>
      <c r="C455" s="5" t="n">
        <f aca="false">B455</f>
        <v>8.37745663458566</v>
      </c>
      <c r="D455" s="5" t="n">
        <f aca="false">C455*LOG(C455)</f>
        <v>7.73333232728855</v>
      </c>
      <c r="E455" s="5"/>
      <c r="F455" s="5"/>
      <c r="G455" s="4" t="n">
        <v>454</v>
      </c>
      <c r="H455" s="6" t="n">
        <v>0.546</v>
      </c>
      <c r="J455" s="2" t="n">
        <f aca="false">B455/$B$1003</f>
        <v>0.000818770201760959</v>
      </c>
      <c r="K455" s="5" t="n">
        <f aca="false">J455*LOG(J455,2)</f>
        <v>-0.00839587743761023</v>
      </c>
      <c r="N455" s="2" t="n">
        <f aca="false">1/1000*LOG(1/1000,2)</f>
        <v>-0.00996578428466209</v>
      </c>
    </row>
    <row r="456" customFormat="false" ht="13" hidden="false" customHeight="false" outlineLevel="0" collapsed="false">
      <c r="A456" s="4" t="n">
        <v>546</v>
      </c>
      <c r="B456" s="2" t="n">
        <v>8.36295729815799</v>
      </c>
      <c r="C456" s="5" t="n">
        <f aca="false">B456</f>
        <v>8.36295729815799</v>
      </c>
      <c r="D456" s="5" t="n">
        <f aca="false">C456*LOG(C456)</f>
        <v>7.71365628372367</v>
      </c>
      <c r="E456" s="5"/>
      <c r="F456" s="5"/>
      <c r="G456" s="4" t="n">
        <v>455</v>
      </c>
      <c r="H456" s="6" t="n">
        <v>0.545</v>
      </c>
      <c r="J456" s="2" t="n">
        <f aca="false">B456/$B$1003</f>
        <v>0.000817353110019383</v>
      </c>
      <c r="K456" s="5" t="n">
        <f aca="false">J456*LOG(J456,2)</f>
        <v>-0.00838338888026071</v>
      </c>
      <c r="N456" s="2" t="n">
        <f aca="false">1/1000*LOG(1/1000,2)</f>
        <v>-0.00996578428466209</v>
      </c>
    </row>
    <row r="457" customFormat="false" ht="13" hidden="false" customHeight="false" outlineLevel="0" collapsed="false">
      <c r="A457" s="4" t="n">
        <v>545</v>
      </c>
      <c r="B457" s="2" t="n">
        <v>8.28358208772761</v>
      </c>
      <c r="C457" s="5" t="n">
        <f aca="false">B457</f>
        <v>8.28358208772761</v>
      </c>
      <c r="D457" s="5" t="n">
        <f aca="false">C457*LOG(C457)</f>
        <v>7.60613567117585</v>
      </c>
      <c r="E457" s="5"/>
      <c r="F457" s="5"/>
      <c r="G457" s="4" t="n">
        <v>456</v>
      </c>
      <c r="H457" s="6" t="n">
        <v>0.544</v>
      </c>
      <c r="J457" s="2" t="n">
        <f aca="false">B457/$B$1003</f>
        <v>0.000809595378777827</v>
      </c>
      <c r="K457" s="5" t="n">
        <f aca="false">J457*LOG(J457,2)</f>
        <v>-0.00831495850599183</v>
      </c>
      <c r="N457" s="2" t="n">
        <f aca="false">1/1000*LOG(1/1000,2)</f>
        <v>-0.00996578428466209</v>
      </c>
    </row>
    <row r="458" customFormat="false" ht="13" hidden="false" customHeight="false" outlineLevel="0" collapsed="false">
      <c r="A458" s="4" t="n">
        <v>544</v>
      </c>
      <c r="B458" s="2" t="n">
        <v>8.2443189996726</v>
      </c>
      <c r="C458" s="5" t="n">
        <f aca="false">B458</f>
        <v>8.2443189996726</v>
      </c>
      <c r="D458" s="5" t="n">
        <f aca="false">C458*LOG(C458)</f>
        <v>7.55307232293011</v>
      </c>
      <c r="E458" s="5"/>
      <c r="F458" s="5"/>
      <c r="G458" s="4" t="n">
        <v>457</v>
      </c>
      <c r="H458" s="6" t="n">
        <v>0.543</v>
      </c>
      <c r="J458" s="2" t="n">
        <f aca="false">B458/$B$1003</f>
        <v>0.000805758003315227</v>
      </c>
      <c r="K458" s="5" t="n">
        <f aca="false">J458*LOG(J458,2)</f>
        <v>-0.00828106971927731</v>
      </c>
      <c r="N458" s="2" t="n">
        <f aca="false">1/1000*LOG(1/1000,2)</f>
        <v>-0.00996578428466209</v>
      </c>
    </row>
    <row r="459" customFormat="false" ht="13" hidden="false" customHeight="false" outlineLevel="0" collapsed="false">
      <c r="A459" s="4" t="n">
        <v>543</v>
      </c>
      <c r="B459" s="2" t="n">
        <v>8.22899234646809</v>
      </c>
      <c r="C459" s="5" t="n">
        <f aca="false">B459</f>
        <v>8.22899234646809</v>
      </c>
      <c r="D459" s="5" t="n">
        <f aca="false">C459*LOG(C459)</f>
        <v>7.53238064634269</v>
      </c>
      <c r="E459" s="5"/>
      <c r="F459" s="5"/>
      <c r="G459" s="4" t="n">
        <v>458</v>
      </c>
      <c r="H459" s="6" t="n">
        <v>0.542</v>
      </c>
      <c r="J459" s="2" t="n">
        <f aca="false">B459/$B$1003</f>
        <v>0.000804260053820058</v>
      </c>
      <c r="K459" s="5" t="n">
        <f aca="false">J459*LOG(J459,2)</f>
        <v>-0.00826783381868937</v>
      </c>
      <c r="N459" s="2" t="n">
        <f aca="false">1/1000*LOG(1/1000,2)</f>
        <v>-0.00996578428466209</v>
      </c>
    </row>
    <row r="460" customFormat="false" ht="13" hidden="false" customHeight="false" outlineLevel="0" collapsed="false">
      <c r="A460" s="4" t="n">
        <v>542</v>
      </c>
      <c r="B460" s="2" t="n">
        <v>8.21600237649221</v>
      </c>
      <c r="C460" s="5" t="n">
        <f aca="false">B460</f>
        <v>8.21600237649221</v>
      </c>
      <c r="D460" s="5" t="n">
        <f aca="false">C460*LOG(C460)</f>
        <v>7.51485330350204</v>
      </c>
      <c r="E460" s="5"/>
      <c r="F460" s="5"/>
      <c r="G460" s="4" t="n">
        <v>459</v>
      </c>
      <c r="H460" s="6" t="n">
        <v>0.541</v>
      </c>
      <c r="J460" s="2" t="n">
        <f aca="false">B460/$B$1003</f>
        <v>0.000802990479914523</v>
      </c>
      <c r="K460" s="5" t="n">
        <f aca="false">J460*LOG(J460,2)</f>
        <v>-0.00825661269662673</v>
      </c>
      <c r="N460" s="2" t="n">
        <f aca="false">1/1000*LOG(1/1000,2)</f>
        <v>-0.00996578428466209</v>
      </c>
    </row>
    <row r="461" customFormat="false" ht="13" hidden="false" customHeight="false" outlineLevel="0" collapsed="false">
      <c r="A461" s="4" t="n">
        <v>541</v>
      </c>
      <c r="B461" s="2" t="n">
        <v>8.2157389715447</v>
      </c>
      <c r="C461" s="5" t="n">
        <f aca="false">B461</f>
        <v>8.2157389715447</v>
      </c>
      <c r="D461" s="5" t="n">
        <f aca="false">C461*LOG(C461)</f>
        <v>7.5144979839048</v>
      </c>
      <c r="E461" s="5"/>
      <c r="F461" s="5"/>
      <c r="G461" s="4" t="n">
        <v>460</v>
      </c>
      <c r="H461" s="6" t="n">
        <v>0.54</v>
      </c>
      <c r="J461" s="2" t="n">
        <f aca="false">B461/$B$1003</f>
        <v>0.000802964736048404</v>
      </c>
      <c r="K461" s="5" t="n">
        <f aca="false">J461*LOG(J461,2)</f>
        <v>-0.0082563851296654</v>
      </c>
      <c r="N461" s="2" t="n">
        <f aca="false">1/1000*LOG(1/1000,2)</f>
        <v>-0.00996578428466209</v>
      </c>
    </row>
    <row r="462" customFormat="false" ht="13" hidden="false" customHeight="false" outlineLevel="0" collapsed="false">
      <c r="A462" s="4" t="n">
        <v>540</v>
      </c>
      <c r="B462" s="2" t="n">
        <v>8.17089653406435</v>
      </c>
      <c r="C462" s="5" t="n">
        <f aca="false">B462</f>
        <v>8.17089653406435</v>
      </c>
      <c r="D462" s="5" t="n">
        <f aca="false">C462*LOG(C462)</f>
        <v>7.45406142117716</v>
      </c>
      <c r="E462" s="5"/>
      <c r="F462" s="5"/>
      <c r="G462" s="4" t="n">
        <v>461</v>
      </c>
      <c r="H462" s="6" t="n">
        <v>0.539</v>
      </c>
      <c r="J462" s="2" t="n">
        <f aca="false">B462/$B$1003</f>
        <v>0.000798582063217648</v>
      </c>
      <c r="K462" s="5" t="n">
        <f aca="false">J462*LOG(J462,2)</f>
        <v>-0.00821762641426571</v>
      </c>
      <c r="N462" s="2" t="n">
        <f aca="false">1/1000*LOG(1/1000,2)</f>
        <v>-0.00996578428466209</v>
      </c>
    </row>
    <row r="463" customFormat="false" ht="13" hidden="false" customHeight="false" outlineLevel="0" collapsed="false">
      <c r="A463" s="4" t="n">
        <v>539</v>
      </c>
      <c r="B463" s="2" t="n">
        <v>8.16599743282592</v>
      </c>
      <c r="C463" s="5" t="n">
        <f aca="false">B463</f>
        <v>8.16599743282592</v>
      </c>
      <c r="D463" s="5" t="n">
        <f aca="false">C463*LOG(C463)</f>
        <v>7.44746510484707</v>
      </c>
      <c r="E463" s="5"/>
      <c r="F463" s="5"/>
      <c r="G463" s="4" t="n">
        <v>462</v>
      </c>
      <c r="H463" s="6" t="n">
        <v>0.538</v>
      </c>
      <c r="J463" s="2" t="n">
        <f aca="false">B463/$B$1003</f>
        <v>0.000798103249863619</v>
      </c>
      <c r="K463" s="5" t="n">
        <f aca="false">J463*LOG(J463,2)</f>
        <v>-0.00821338986927451</v>
      </c>
      <c r="N463" s="2" t="n">
        <f aca="false">1/1000*LOG(1/1000,2)</f>
        <v>-0.00996578428466209</v>
      </c>
    </row>
    <row r="464" customFormat="false" ht="13" hidden="false" customHeight="false" outlineLevel="0" collapsed="false">
      <c r="A464" s="4" t="n">
        <v>538</v>
      </c>
      <c r="B464" s="2" t="n">
        <v>8.16569512438707</v>
      </c>
      <c r="C464" s="5" t="n">
        <f aca="false">B464</f>
        <v>8.16569512438707</v>
      </c>
      <c r="D464" s="5" t="n">
        <f aca="false">C464*LOG(C464)</f>
        <v>7.44705810830122</v>
      </c>
      <c r="E464" s="5"/>
      <c r="F464" s="5"/>
      <c r="G464" s="4" t="n">
        <v>463</v>
      </c>
      <c r="H464" s="6" t="n">
        <v>0.537</v>
      </c>
      <c r="J464" s="2" t="n">
        <f aca="false">B464/$B$1003</f>
        <v>0.0007980737037672</v>
      </c>
      <c r="K464" s="5" t="n">
        <f aca="false">J464*LOG(J464,2)</f>
        <v>-0.00821312843156676</v>
      </c>
      <c r="N464" s="2" t="n">
        <f aca="false">1/1000*LOG(1/1000,2)</f>
        <v>-0.00996578428466209</v>
      </c>
    </row>
    <row r="465" customFormat="false" ht="13" hidden="false" customHeight="false" outlineLevel="0" collapsed="false">
      <c r="A465" s="4" t="n">
        <v>537</v>
      </c>
      <c r="B465" s="2" t="n">
        <v>8.11062972123693</v>
      </c>
      <c r="C465" s="5" t="n">
        <f aca="false">B465</f>
        <v>8.11062972123693</v>
      </c>
      <c r="D465" s="5" t="n">
        <f aca="false">C465*LOG(C465)</f>
        <v>7.37300505246494</v>
      </c>
      <c r="E465" s="5"/>
      <c r="F465" s="5"/>
      <c r="G465" s="4" t="n">
        <v>464</v>
      </c>
      <c r="H465" s="6" t="n">
        <v>0.536</v>
      </c>
      <c r="J465" s="2" t="n">
        <f aca="false">B465/$B$1003</f>
        <v>0.000792691890024214</v>
      </c>
      <c r="K465" s="5" t="n">
        <f aca="false">J465*LOG(J465,2)</f>
        <v>-0.00816548123928981</v>
      </c>
      <c r="N465" s="2" t="n">
        <f aca="false">1/1000*LOG(1/1000,2)</f>
        <v>-0.00996578428466209</v>
      </c>
    </row>
    <row r="466" customFormat="false" ht="13" hidden="false" customHeight="false" outlineLevel="0" collapsed="false">
      <c r="A466" s="4" t="n">
        <v>536</v>
      </c>
      <c r="B466" s="2" t="n">
        <v>8.11053468150635</v>
      </c>
      <c r="C466" s="5" t="n">
        <f aca="false">B466</f>
        <v>8.11053468150635</v>
      </c>
      <c r="D466" s="5" t="n">
        <f aca="false">C466*LOG(C466)</f>
        <v>7.37287738117435</v>
      </c>
      <c r="E466" s="5"/>
      <c r="F466" s="5"/>
      <c r="G466" s="4" t="n">
        <v>465</v>
      </c>
      <c r="H466" s="6" t="n">
        <v>0.535</v>
      </c>
      <c r="J466" s="2" t="n">
        <f aca="false">B466/$B$1003</f>
        <v>0.000792682601322072</v>
      </c>
      <c r="K466" s="5" t="n">
        <f aca="false">J466*LOG(J466,2)</f>
        <v>-0.00816539895749939</v>
      </c>
      <c r="N466" s="2" t="n">
        <f aca="false">1/1000*LOG(1/1000,2)</f>
        <v>-0.00996578428466209</v>
      </c>
    </row>
    <row r="467" customFormat="false" ht="13" hidden="false" customHeight="false" outlineLevel="0" collapsed="false">
      <c r="A467" s="4" t="n">
        <v>535</v>
      </c>
      <c r="B467" s="2" t="n">
        <v>8.08289784775229</v>
      </c>
      <c r="C467" s="5" t="n">
        <f aca="false">B467</f>
        <v>8.08289784775229</v>
      </c>
      <c r="D467" s="5" t="n">
        <f aca="false">C467*LOG(C467)</f>
        <v>7.33577207997265</v>
      </c>
      <c r="E467" s="5"/>
      <c r="F467" s="5"/>
      <c r="G467" s="4" t="n">
        <v>466</v>
      </c>
      <c r="H467" s="6" t="n">
        <v>0.534</v>
      </c>
      <c r="J467" s="2" t="n">
        <f aca="false">B467/$B$1003</f>
        <v>0.000789981517098559</v>
      </c>
      <c r="K467" s="5" t="n">
        <f aca="false">J467*LOG(J467,2)</f>
        <v>-0.0081414653664339</v>
      </c>
      <c r="N467" s="2" t="n">
        <f aca="false">1/1000*LOG(1/1000,2)</f>
        <v>-0.00996578428466209</v>
      </c>
    </row>
    <row r="468" customFormat="false" ht="13" hidden="false" customHeight="false" outlineLevel="0" collapsed="false">
      <c r="A468" s="4" t="n">
        <v>534</v>
      </c>
      <c r="B468" s="2" t="n">
        <v>8.04084645477786</v>
      </c>
      <c r="C468" s="5" t="n">
        <f aca="false">B468</f>
        <v>8.04084645477786</v>
      </c>
      <c r="D468" s="5" t="n">
        <f aca="false">C468*LOG(C468)</f>
        <v>7.27939252023483</v>
      </c>
      <c r="E468" s="5"/>
      <c r="F468" s="5"/>
      <c r="G468" s="4" t="n">
        <v>467</v>
      </c>
      <c r="H468" s="6" t="n">
        <v>0.533</v>
      </c>
      <c r="J468" s="2" t="n">
        <f aca="false">B468/$B$1003</f>
        <v>0.000785871626828538</v>
      </c>
      <c r="K468" s="5" t="n">
        <f aca="false">J468*LOG(J468,2)</f>
        <v>-0.00810502314290824</v>
      </c>
      <c r="N468" s="2" t="n">
        <f aca="false">1/1000*LOG(1/1000,2)</f>
        <v>-0.00996578428466209</v>
      </c>
    </row>
    <row r="469" customFormat="false" ht="13" hidden="false" customHeight="false" outlineLevel="0" collapsed="false">
      <c r="A469" s="4" t="n">
        <v>533</v>
      </c>
      <c r="B469" s="2" t="n">
        <v>8.03003944303907</v>
      </c>
      <c r="C469" s="5" t="n">
        <f aca="false">B469</f>
        <v>8.03003944303907</v>
      </c>
      <c r="D469" s="5" t="n">
        <f aca="false">C469*LOG(C469)</f>
        <v>7.2649186432547</v>
      </c>
      <c r="E469" s="5"/>
      <c r="F469" s="5"/>
      <c r="G469" s="4" t="n">
        <v>468</v>
      </c>
      <c r="H469" s="6" t="n">
        <v>0.532</v>
      </c>
      <c r="J469" s="2" t="n">
        <f aca="false">B469/$B$1003</f>
        <v>0.000784815404210175</v>
      </c>
      <c r="K469" s="5" t="n">
        <f aca="false">J469*LOG(J469,2)</f>
        <v>-0.00809565265945522</v>
      </c>
      <c r="N469" s="2" t="n">
        <f aca="false">1/1000*LOG(1/1000,2)</f>
        <v>-0.00996578428466209</v>
      </c>
    </row>
    <row r="470" customFormat="false" ht="13" hidden="false" customHeight="false" outlineLevel="0" collapsed="false">
      <c r="A470" s="4" t="n">
        <v>532</v>
      </c>
      <c r="B470" s="2" t="n">
        <v>7.94697633884118</v>
      </c>
      <c r="C470" s="5" t="n">
        <f aca="false">B470</f>
        <v>7.94697633884118</v>
      </c>
      <c r="D470" s="5" t="n">
        <f aca="false">C470*LOG(C470)</f>
        <v>7.15388335809865</v>
      </c>
      <c r="E470" s="5"/>
      <c r="F470" s="5"/>
      <c r="G470" s="4" t="n">
        <v>469</v>
      </c>
      <c r="H470" s="6" t="n">
        <v>0.531</v>
      </c>
      <c r="J470" s="2" t="n">
        <f aca="false">B470/$B$1003</f>
        <v>0.00077669723690123</v>
      </c>
      <c r="K470" s="5" t="n">
        <f aca="false">J470*LOG(J470,2)</f>
        <v>-0.00802356210389641</v>
      </c>
      <c r="N470" s="2" t="n">
        <f aca="false">1/1000*LOG(1/1000,2)</f>
        <v>-0.00996578428466209</v>
      </c>
    </row>
    <row r="471" customFormat="false" ht="13" hidden="false" customHeight="false" outlineLevel="0" collapsed="false">
      <c r="A471" s="4" t="n">
        <v>531</v>
      </c>
      <c r="B471" s="2" t="n">
        <v>7.94499650750629</v>
      </c>
      <c r="C471" s="5" t="n">
        <f aca="false">B471</f>
        <v>7.94499650750629</v>
      </c>
      <c r="D471" s="5" t="n">
        <f aca="false">C471*LOG(C471)</f>
        <v>7.1512413874196</v>
      </c>
      <c r="E471" s="5"/>
      <c r="F471" s="5"/>
      <c r="G471" s="4" t="n">
        <v>470</v>
      </c>
      <c r="H471" s="6" t="n">
        <v>0.53</v>
      </c>
      <c r="J471" s="2" t="n">
        <f aca="false">B471/$B$1003</f>
        <v>0.000776503738209177</v>
      </c>
      <c r="K471" s="5" t="n">
        <f aca="false">J471*LOG(J471,2)</f>
        <v>-0.0080218423175661</v>
      </c>
      <c r="N471" s="2" t="n">
        <f aca="false">1/1000*LOG(1/1000,2)</f>
        <v>-0.00996578428466209</v>
      </c>
    </row>
    <row r="472" customFormat="false" ht="13" hidden="false" customHeight="false" outlineLevel="0" collapsed="false">
      <c r="A472" s="4" t="n">
        <v>530</v>
      </c>
      <c r="B472" s="2" t="n">
        <v>7.9197630191594</v>
      </c>
      <c r="C472" s="5" t="n">
        <f aca="false">B472</f>
        <v>7.9197630191594</v>
      </c>
      <c r="D472" s="5" t="n">
        <f aca="false">C472*LOG(C472)</f>
        <v>7.11758753960819</v>
      </c>
      <c r="E472" s="5"/>
      <c r="F472" s="5"/>
      <c r="G472" s="4" t="n">
        <v>471</v>
      </c>
      <c r="H472" s="6" t="n">
        <v>0.529</v>
      </c>
      <c r="J472" s="2" t="n">
        <f aca="false">B472/$B$1003</f>
        <v>0.000774037544799161</v>
      </c>
      <c r="K472" s="5" t="n">
        <f aca="false">J472*LOG(J472,2)</f>
        <v>-0.00799991707411367</v>
      </c>
      <c r="N472" s="2" t="n">
        <f aca="false">1/1000*LOG(1/1000,2)</f>
        <v>-0.00996578428466209</v>
      </c>
    </row>
    <row r="473" customFormat="false" ht="13" hidden="false" customHeight="false" outlineLevel="0" collapsed="false">
      <c r="A473" s="4" t="n">
        <v>529</v>
      </c>
      <c r="B473" s="2" t="n">
        <v>7.88211158554037</v>
      </c>
      <c r="C473" s="5" t="n">
        <f aca="false">B473</f>
        <v>7.88211158554037</v>
      </c>
      <c r="D473" s="5" t="n">
        <f aca="false">C473*LOG(C473)</f>
        <v>7.06743685842227</v>
      </c>
      <c r="E473" s="5"/>
      <c r="F473" s="5"/>
      <c r="G473" s="4" t="n">
        <v>472</v>
      </c>
      <c r="H473" s="6" t="n">
        <v>0.528</v>
      </c>
      <c r="J473" s="2" t="n">
        <f aca="false">B473/$B$1003</f>
        <v>0.000770357684282358</v>
      </c>
      <c r="K473" s="5" t="n">
        <f aca="false">J473*LOG(J473,2)</f>
        <v>-0.00796718085609201</v>
      </c>
      <c r="N473" s="2" t="n">
        <f aca="false">1/1000*LOG(1/1000,2)</f>
        <v>-0.00996578428466209</v>
      </c>
    </row>
    <row r="474" customFormat="false" ht="13" hidden="false" customHeight="false" outlineLevel="0" collapsed="false">
      <c r="A474" s="4" t="n">
        <v>528</v>
      </c>
      <c r="B474" s="2" t="n">
        <v>7.87460080786065</v>
      </c>
      <c r="C474" s="5" t="n">
        <f aca="false">B474</f>
        <v>7.87460080786065</v>
      </c>
      <c r="D474" s="5" t="n">
        <f aca="false">C474*LOG(C474)</f>
        <v>7.05744204065678</v>
      </c>
      <c r="E474" s="5"/>
      <c r="F474" s="5"/>
      <c r="G474" s="4" t="n">
        <v>473</v>
      </c>
      <c r="H474" s="6" t="n">
        <v>0.527</v>
      </c>
      <c r="J474" s="2" t="n">
        <f aca="false">B474/$B$1003</f>
        <v>0.000769623618894204</v>
      </c>
      <c r="K474" s="5" t="n">
        <f aca="false">J474*LOG(J474,2)</f>
        <v>-0.00796064754460201</v>
      </c>
      <c r="N474" s="2" t="n">
        <f aca="false">1/1000*LOG(1/1000,2)</f>
        <v>-0.00996578428466209</v>
      </c>
    </row>
    <row r="475" customFormat="false" ht="13" hidden="false" customHeight="false" outlineLevel="0" collapsed="false">
      <c r="A475" s="4" t="n">
        <v>527</v>
      </c>
      <c r="B475" s="2" t="n">
        <v>7.85897130009084</v>
      </c>
      <c r="C475" s="5" t="n">
        <f aca="false">B475</f>
        <v>7.85897130009084</v>
      </c>
      <c r="D475" s="5" t="n">
        <f aca="false">C475*LOG(C475)</f>
        <v>7.03665336132058</v>
      </c>
      <c r="E475" s="5"/>
      <c r="F475" s="5"/>
      <c r="G475" s="4" t="n">
        <v>474</v>
      </c>
      <c r="H475" s="6" t="n">
        <v>0.526</v>
      </c>
      <c r="J475" s="2" t="n">
        <f aca="false">B475/$B$1003</f>
        <v>0.000768096069926982</v>
      </c>
      <c r="K475" s="5" t="n">
        <f aca="false">J475*LOG(J475,2)</f>
        <v>-0.00794704885010098</v>
      </c>
      <c r="N475" s="2" t="n">
        <f aca="false">1/1000*LOG(1/1000,2)</f>
        <v>-0.00996578428466209</v>
      </c>
    </row>
    <row r="476" customFormat="false" ht="13" hidden="false" customHeight="false" outlineLevel="0" collapsed="false">
      <c r="A476" s="4" t="n">
        <v>526</v>
      </c>
      <c r="B476" s="2" t="n">
        <v>7.85224349781805</v>
      </c>
      <c r="C476" s="5" t="n">
        <f aca="false">B476</f>
        <v>7.85224349781805</v>
      </c>
      <c r="D476" s="5" t="n">
        <f aca="false">C476*LOG(C476)</f>
        <v>7.02770892151287</v>
      </c>
      <c r="E476" s="5"/>
      <c r="F476" s="5"/>
      <c r="G476" s="4" t="n">
        <v>475</v>
      </c>
      <c r="H476" s="6" t="n">
        <v>0.525</v>
      </c>
      <c r="J476" s="2" t="n">
        <f aca="false">B476/$B$1003</f>
        <v>0.000767438528591398</v>
      </c>
      <c r="K476" s="5" t="n">
        <f aca="false">J476*LOG(J476,2)</f>
        <v>-0.007941193873048</v>
      </c>
      <c r="N476" s="2" t="n">
        <f aca="false">1/1000*LOG(1/1000,2)</f>
        <v>-0.00996578428466209</v>
      </c>
    </row>
    <row r="477" customFormat="false" ht="13" hidden="false" customHeight="false" outlineLevel="0" collapsed="false">
      <c r="A477" s="4" t="n">
        <v>525</v>
      </c>
      <c r="B477" s="2" t="n">
        <v>7.82943663108702</v>
      </c>
      <c r="C477" s="5" t="n">
        <f aca="false">B477</f>
        <v>7.82943663108702</v>
      </c>
      <c r="D477" s="5" t="n">
        <f aca="false">C477*LOG(C477)</f>
        <v>6.99740642011331</v>
      </c>
      <c r="E477" s="5"/>
      <c r="F477" s="5"/>
      <c r="G477" s="4" t="n">
        <v>476</v>
      </c>
      <c r="H477" s="6" t="n">
        <v>0.524</v>
      </c>
      <c r="J477" s="2" t="n">
        <f aca="false">B477/$B$1003</f>
        <v>0.000765209500893683</v>
      </c>
      <c r="K477" s="5" t="n">
        <f aca="false">J477*LOG(J477,2)</f>
        <v>-0.00792133978217953</v>
      </c>
      <c r="N477" s="2" t="n">
        <f aca="false">1/1000*LOG(1/1000,2)</f>
        <v>-0.00996578428466209</v>
      </c>
    </row>
    <row r="478" customFormat="false" ht="13" hidden="false" customHeight="false" outlineLevel="0" collapsed="false">
      <c r="A478" s="4" t="n">
        <v>524</v>
      </c>
      <c r="B478" s="2" t="n">
        <v>7.81328380281218</v>
      </c>
      <c r="C478" s="5" t="n">
        <f aca="false">B478</f>
        <v>7.81328380281218</v>
      </c>
      <c r="D478" s="5" t="n">
        <f aca="false">C478*LOG(C478)</f>
        <v>6.97596230177384</v>
      </c>
      <c r="E478" s="5"/>
      <c r="F478" s="5"/>
      <c r="G478" s="4" t="n">
        <v>477</v>
      </c>
      <c r="H478" s="6" t="n">
        <v>0.523</v>
      </c>
      <c r="J478" s="2" t="n">
        <f aca="false">B478/$B$1003</f>
        <v>0.000763630805229535</v>
      </c>
      <c r="K478" s="5" t="n">
        <f aca="false">J478*LOG(J478,2)</f>
        <v>-0.00790727257484778</v>
      </c>
      <c r="N478" s="2" t="n">
        <f aca="false">1/1000*LOG(1/1000,2)</f>
        <v>-0.00996578428466209</v>
      </c>
    </row>
    <row r="479" customFormat="false" ht="13" hidden="false" customHeight="false" outlineLevel="0" collapsed="false">
      <c r="A479" s="4" t="n">
        <v>523</v>
      </c>
      <c r="B479" s="2" t="n">
        <v>7.79111415978366</v>
      </c>
      <c r="C479" s="5" t="n">
        <f aca="false">B479</f>
        <v>7.79111415978366</v>
      </c>
      <c r="D479" s="5" t="n">
        <f aca="false">C479*LOG(C479)</f>
        <v>6.94655401849744</v>
      </c>
      <c r="E479" s="5"/>
      <c r="F479" s="5"/>
      <c r="G479" s="4" t="n">
        <v>478</v>
      </c>
      <c r="H479" s="6" t="n">
        <v>0.522</v>
      </c>
      <c r="J479" s="2" t="n">
        <f aca="false">B479/$B$1003</f>
        <v>0.000761464056550647</v>
      </c>
      <c r="K479" s="5" t="n">
        <f aca="false">J479*LOG(J479,2)</f>
        <v>-0.00788795776382296</v>
      </c>
      <c r="N479" s="2" t="n">
        <f aca="false">1/1000*LOG(1/1000,2)</f>
        <v>-0.00996578428466209</v>
      </c>
    </row>
    <row r="480" customFormat="false" ht="13" hidden="false" customHeight="false" outlineLevel="0" collapsed="false">
      <c r="A480" s="4" t="n">
        <v>522</v>
      </c>
      <c r="B480" s="2" t="n">
        <v>7.74775378666101</v>
      </c>
      <c r="C480" s="5" t="n">
        <f aca="false">B480</f>
        <v>7.74775378666101</v>
      </c>
      <c r="D480" s="5" t="n">
        <f aca="false">C480*LOG(C480)</f>
        <v>6.88911525640184</v>
      </c>
      <c r="E480" s="5"/>
      <c r="F480" s="5"/>
      <c r="G480" s="4" t="n">
        <v>479</v>
      </c>
      <c r="H480" s="6" t="n">
        <v>0.521</v>
      </c>
      <c r="J480" s="2" t="n">
        <f aca="false">B480/$B$1003</f>
        <v>0.000757226233187469</v>
      </c>
      <c r="K480" s="5" t="n">
        <f aca="false">J480*LOG(J480,2)</f>
        <v>-0.0078501552630596</v>
      </c>
      <c r="N480" s="2" t="n">
        <f aca="false">1/1000*LOG(1/1000,2)</f>
        <v>-0.00996578428466209</v>
      </c>
    </row>
    <row r="481" customFormat="false" ht="13" hidden="false" customHeight="false" outlineLevel="0" collapsed="false">
      <c r="A481" s="4" t="n">
        <v>521</v>
      </c>
      <c r="B481" s="2" t="n">
        <v>7.74160616421909</v>
      </c>
      <c r="C481" s="5" t="n">
        <f aca="false">B481</f>
        <v>7.74160616421909</v>
      </c>
      <c r="D481" s="5" t="n">
        <f aca="false">C481*LOG(C481)</f>
        <v>6.88098012024484</v>
      </c>
      <c r="E481" s="5"/>
      <c r="F481" s="5"/>
      <c r="G481" s="4" t="n">
        <v>480</v>
      </c>
      <c r="H481" s="6" t="n">
        <v>0.52</v>
      </c>
      <c r="J481" s="2" t="n">
        <f aca="false">B481/$B$1003</f>
        <v>0.000756625395691475</v>
      </c>
      <c r="K481" s="5" t="n">
        <f aca="false">J481*LOG(J481,2)</f>
        <v>-0.00784479286924061</v>
      </c>
      <c r="N481" s="2" t="n">
        <f aca="false">1/1000*LOG(1/1000,2)</f>
        <v>-0.00996578428466209</v>
      </c>
    </row>
    <row r="482" customFormat="false" ht="13" hidden="false" customHeight="false" outlineLevel="0" collapsed="false">
      <c r="A482" s="4" t="n">
        <v>520</v>
      </c>
      <c r="B482" s="2" t="n">
        <v>7.70771667963038</v>
      </c>
      <c r="C482" s="5" t="n">
        <f aca="false">B482</f>
        <v>7.70771667963038</v>
      </c>
      <c r="D482" s="5" t="n">
        <f aca="false">C482*LOG(C482)</f>
        <v>6.83617233885644</v>
      </c>
      <c r="E482" s="5"/>
      <c r="F482" s="5"/>
      <c r="G482" s="4" t="n">
        <v>481</v>
      </c>
      <c r="H482" s="6" t="n">
        <v>0.519</v>
      </c>
      <c r="J482" s="2" t="n">
        <f aca="false">B482/$B$1003</f>
        <v>0.000753313209028554</v>
      </c>
      <c r="K482" s="5" t="n">
        <f aca="false">J482*LOG(J482,2)</f>
        <v>-0.00781521967770906</v>
      </c>
      <c r="N482" s="2" t="n">
        <f aca="false">1/1000*LOG(1/1000,2)</f>
        <v>-0.00996578428466209</v>
      </c>
    </row>
    <row r="483" customFormat="false" ht="13" hidden="false" customHeight="false" outlineLevel="0" collapsed="false">
      <c r="A483" s="4" t="n">
        <v>519</v>
      </c>
      <c r="B483" s="2" t="n">
        <v>7.69118891851008</v>
      </c>
      <c r="C483" s="5" t="n">
        <f aca="false">B483</f>
        <v>7.69118891851008</v>
      </c>
      <c r="D483" s="5" t="n">
        <f aca="false">C483*LOG(C483)</f>
        <v>6.8143432279579</v>
      </c>
      <c r="E483" s="5"/>
      <c r="F483" s="5"/>
      <c r="G483" s="4" t="n">
        <v>482</v>
      </c>
      <c r="H483" s="6" t="n">
        <v>0.518</v>
      </c>
      <c r="J483" s="2" t="n">
        <f aca="false">B483/$B$1003</f>
        <v>0.000751697869326137</v>
      </c>
      <c r="K483" s="5" t="n">
        <f aca="false">J483*LOG(J483,2)</f>
        <v>-0.00780078933864646</v>
      </c>
      <c r="N483" s="2" t="n">
        <f aca="false">1/1000*LOG(1/1000,2)</f>
        <v>-0.00996578428466209</v>
      </c>
    </row>
    <row r="484" customFormat="false" ht="13" hidden="false" customHeight="false" outlineLevel="0" collapsed="false">
      <c r="A484" s="4" t="n">
        <v>518</v>
      </c>
      <c r="B484" s="2" t="n">
        <v>7.6824495107964</v>
      </c>
      <c r="C484" s="5" t="n">
        <f aca="false">B484</f>
        <v>7.6824495107964</v>
      </c>
      <c r="D484" s="5" t="n">
        <f aca="false">C484*LOG(C484)</f>
        <v>6.8028068503626</v>
      </c>
      <c r="E484" s="5"/>
      <c r="F484" s="5"/>
      <c r="G484" s="4" t="n">
        <v>483</v>
      </c>
      <c r="H484" s="6" t="n">
        <v>0.517</v>
      </c>
      <c r="J484" s="2" t="n">
        <f aca="false">B484/$B$1003</f>
        <v>0.000750843723858232</v>
      </c>
      <c r="K484" s="5" t="n">
        <f aca="false">J484*LOG(J484,2)</f>
        <v>-0.00779315696431915</v>
      </c>
      <c r="N484" s="2" t="n">
        <f aca="false">1/1000*LOG(1/1000,2)</f>
        <v>-0.00996578428466209</v>
      </c>
    </row>
    <row r="485" customFormat="false" ht="13" hidden="false" customHeight="false" outlineLevel="0" collapsed="false">
      <c r="A485" s="4" t="n">
        <v>517</v>
      </c>
      <c r="B485" s="2" t="n">
        <v>7.68205265985193</v>
      </c>
      <c r="C485" s="5" t="n">
        <f aca="false">B485</f>
        <v>7.68205265985193</v>
      </c>
      <c r="D485" s="5" t="n">
        <f aca="false">C485*LOG(C485)</f>
        <v>6.80228309324076</v>
      </c>
      <c r="E485" s="5"/>
      <c r="F485" s="5"/>
      <c r="G485" s="4" t="n">
        <v>484</v>
      </c>
      <c r="H485" s="6" t="n">
        <v>0.516</v>
      </c>
      <c r="J485" s="2" t="n">
        <f aca="false">B485/$B$1003</f>
        <v>0.000750804937655922</v>
      </c>
      <c r="K485" s="5" t="n">
        <f aca="false">J485*LOG(J485,2)</f>
        <v>-0.00779281034979564</v>
      </c>
      <c r="N485" s="2" t="n">
        <f aca="false">1/1000*LOG(1/1000,2)</f>
        <v>-0.00996578428466209</v>
      </c>
    </row>
    <row r="486" customFormat="false" ht="13" hidden="false" customHeight="false" outlineLevel="0" collapsed="false">
      <c r="A486" s="4" t="n">
        <v>516</v>
      </c>
      <c r="B486" s="2" t="n">
        <v>7.68154291607141</v>
      </c>
      <c r="C486" s="5" t="n">
        <f aca="false">B486</f>
        <v>7.68154291607141</v>
      </c>
      <c r="D486" s="5" t="n">
        <f aca="false">C486*LOG(C486)</f>
        <v>6.80161035513845</v>
      </c>
      <c r="E486" s="5"/>
      <c r="F486" s="5"/>
      <c r="G486" s="4" t="n">
        <v>485</v>
      </c>
      <c r="H486" s="6" t="n">
        <v>0.515</v>
      </c>
      <c r="J486" s="2" t="n">
        <f aca="false">B486/$B$1003</f>
        <v>0.00075075511787932</v>
      </c>
      <c r="K486" s="5" t="n">
        <f aca="false">J486*LOG(J486,2)</f>
        <v>-0.0077923651290316</v>
      </c>
      <c r="N486" s="2" t="n">
        <f aca="false">1/1000*LOG(1/1000,2)</f>
        <v>-0.00996578428466209</v>
      </c>
    </row>
    <row r="487" customFormat="false" ht="13" hidden="false" customHeight="false" outlineLevel="0" collapsed="false">
      <c r="A487" s="4" t="n">
        <v>515</v>
      </c>
      <c r="B487" s="2" t="n">
        <v>7.67371851182725</v>
      </c>
      <c r="C487" s="5" t="n">
        <f aca="false">B487</f>
        <v>7.67371851182725</v>
      </c>
      <c r="D487" s="5" t="n">
        <f aca="false">C487*LOG(C487)</f>
        <v>6.79128588408736</v>
      </c>
      <c r="E487" s="5"/>
      <c r="F487" s="5"/>
      <c r="G487" s="4" t="n">
        <v>486</v>
      </c>
      <c r="H487" s="6" t="n">
        <v>0.514</v>
      </c>
      <c r="J487" s="2" t="n">
        <f aca="false">B487/$B$1003</f>
        <v>0.000749990400218449</v>
      </c>
      <c r="K487" s="5" t="n">
        <f aca="false">J487*LOG(J487,2)</f>
        <v>-0.00778553053380286</v>
      </c>
      <c r="N487" s="2" t="n">
        <f aca="false">1/1000*LOG(1/1000,2)</f>
        <v>-0.00996578428466209</v>
      </c>
    </row>
    <row r="488" customFormat="false" ht="13" hidden="false" customHeight="false" outlineLevel="0" collapsed="false">
      <c r="A488" s="4" t="n">
        <v>514</v>
      </c>
      <c r="B488" s="2" t="n">
        <v>7.67350346452713</v>
      </c>
      <c r="C488" s="5" t="n">
        <f aca="false">B488</f>
        <v>7.67350346452713</v>
      </c>
      <c r="D488" s="5" t="n">
        <f aca="false">C488*LOG(C488)</f>
        <v>6.7910021734185</v>
      </c>
      <c r="E488" s="5"/>
      <c r="F488" s="5"/>
      <c r="G488" s="4" t="n">
        <v>487</v>
      </c>
      <c r="H488" s="6" t="n">
        <v>0.513</v>
      </c>
      <c r="J488" s="2" t="n">
        <f aca="false">B488/$B$1003</f>
        <v>0.000749969382583983</v>
      </c>
      <c r="K488" s="5" t="n">
        <f aca="false">J488*LOG(J488,2)</f>
        <v>-0.00778534267470916</v>
      </c>
      <c r="N488" s="2" t="n">
        <f aca="false">1/1000*LOG(1/1000,2)</f>
        <v>-0.00996578428466209</v>
      </c>
    </row>
    <row r="489" customFormat="false" ht="13" hidden="false" customHeight="false" outlineLevel="0" collapsed="false">
      <c r="A489" s="4" t="n">
        <v>513</v>
      </c>
      <c r="B489" s="2" t="n">
        <v>7.6726224516683</v>
      </c>
      <c r="C489" s="5" t="n">
        <f aca="false">B489</f>
        <v>7.6726224516683</v>
      </c>
      <c r="D489" s="5" t="n">
        <f aca="false">C489*LOG(C489)</f>
        <v>6.78983988553697</v>
      </c>
      <c r="E489" s="5"/>
      <c r="F489" s="5"/>
      <c r="G489" s="4" t="n">
        <v>488</v>
      </c>
      <c r="H489" s="6" t="n">
        <v>0.512</v>
      </c>
      <c r="J489" s="2" t="n">
        <f aca="false">B489/$B$1003</f>
        <v>0.000749883276847165</v>
      </c>
      <c r="K489" s="5" t="n">
        <f aca="false">J489*LOG(J489,2)</f>
        <v>-0.00778457303851733</v>
      </c>
      <c r="N489" s="2" t="n">
        <f aca="false">1/1000*LOG(1/1000,2)</f>
        <v>-0.00996578428466209</v>
      </c>
    </row>
    <row r="490" customFormat="false" ht="13" hidden="false" customHeight="false" outlineLevel="0" collapsed="false">
      <c r="A490" s="4" t="n">
        <v>512</v>
      </c>
      <c r="B490" s="2" t="n">
        <v>7.65873150724929</v>
      </c>
      <c r="C490" s="5" t="n">
        <f aca="false">B490</f>
        <v>7.65873150724929</v>
      </c>
      <c r="D490" s="5" t="n">
        <f aca="false">C490*LOG(C490)</f>
        <v>6.7715198838164</v>
      </c>
      <c r="E490" s="5"/>
      <c r="F490" s="5"/>
      <c r="G490" s="4" t="n">
        <v>489</v>
      </c>
      <c r="H490" s="6" t="n">
        <v>0.511</v>
      </c>
      <c r="J490" s="2" t="n">
        <f aca="false">B490/$B$1003</f>
        <v>0.000748525646260615</v>
      </c>
      <c r="K490" s="5" t="n">
        <f aca="false">J490*LOG(J490,2)</f>
        <v>-0.00777243628532199</v>
      </c>
      <c r="N490" s="2" t="n">
        <f aca="false">1/1000*LOG(1/1000,2)</f>
        <v>-0.00996578428466209</v>
      </c>
    </row>
    <row r="491" customFormat="false" ht="13" hidden="false" customHeight="false" outlineLevel="0" collapsed="false">
      <c r="A491" s="4" t="n">
        <v>511</v>
      </c>
      <c r="B491" s="2" t="n">
        <v>7.65318342373337</v>
      </c>
      <c r="C491" s="5" t="n">
        <f aca="false">B491</f>
        <v>7.65318342373337</v>
      </c>
      <c r="D491" s="5" t="n">
        <f aca="false">C491*LOG(C491)</f>
        <v>6.76420587869271</v>
      </c>
      <c r="E491" s="5"/>
      <c r="F491" s="5"/>
      <c r="G491" s="4" t="n">
        <v>490</v>
      </c>
      <c r="H491" s="6" t="n">
        <v>0.51</v>
      </c>
      <c r="J491" s="2" t="n">
        <f aca="false">B491/$B$1003</f>
        <v>0.000747983404664168</v>
      </c>
      <c r="K491" s="5" t="n">
        <f aca="false">J491*LOG(J491,2)</f>
        <v>-0.00776758783844729</v>
      </c>
      <c r="N491" s="2" t="n">
        <f aca="false">1/1000*LOG(1/1000,2)</f>
        <v>-0.00996578428466209</v>
      </c>
    </row>
    <row r="492" customFormat="false" ht="13" hidden="false" customHeight="false" outlineLevel="0" collapsed="false">
      <c r="A492" s="4" t="n">
        <v>510</v>
      </c>
      <c r="B492" s="2" t="n">
        <v>7.62607104160179</v>
      </c>
      <c r="C492" s="5" t="n">
        <f aca="false">B492</f>
        <v>7.62607104160179</v>
      </c>
      <c r="D492" s="5" t="n">
        <f aca="false">C492*LOG(C492)</f>
        <v>6.72848893684788</v>
      </c>
      <c r="E492" s="5"/>
      <c r="F492" s="5"/>
      <c r="G492" s="4" t="n">
        <v>491</v>
      </c>
      <c r="H492" s="6" t="n">
        <v>0.509</v>
      </c>
      <c r="J492" s="2" t="n">
        <f aca="false">B492/$B$1003</f>
        <v>0.000745333577687272</v>
      </c>
      <c r="K492" s="5" t="n">
        <f aca="false">J492*LOG(J492,2)</f>
        <v>-0.00774388627671477</v>
      </c>
      <c r="N492" s="2" t="n">
        <f aca="false">1/1000*LOG(1/1000,2)</f>
        <v>-0.00996578428466209</v>
      </c>
    </row>
    <row r="493" customFormat="false" ht="13" hidden="false" customHeight="false" outlineLevel="0" collapsed="false">
      <c r="A493" s="4" t="n">
        <v>509</v>
      </c>
      <c r="B493" s="2" t="n">
        <v>7.59335101887655</v>
      </c>
      <c r="C493" s="5" t="n">
        <f aca="false">B493</f>
        <v>7.59335101887655</v>
      </c>
      <c r="D493" s="5" t="n">
        <f aca="false">C493*LOG(C493)</f>
        <v>6.68544043608034</v>
      </c>
      <c r="E493" s="5"/>
      <c r="F493" s="5"/>
      <c r="G493" s="4" t="n">
        <v>492</v>
      </c>
      <c r="H493" s="6" t="n">
        <v>0.508</v>
      </c>
      <c r="J493" s="2" t="n">
        <f aca="false">B493/$B$1003</f>
        <v>0.000742135688306649</v>
      </c>
      <c r="K493" s="5" t="n">
        <f aca="false">J493*LOG(J493,2)</f>
        <v>-0.00771526442965977</v>
      </c>
      <c r="N493" s="2" t="n">
        <f aca="false">1/1000*LOG(1/1000,2)</f>
        <v>-0.00996578428466209</v>
      </c>
    </row>
    <row r="494" customFormat="false" ht="13" hidden="false" customHeight="false" outlineLevel="0" collapsed="false">
      <c r="A494" s="4" t="n">
        <v>508</v>
      </c>
      <c r="B494" s="2" t="n">
        <v>7.5830689016091</v>
      </c>
      <c r="C494" s="5" t="n">
        <f aca="false">B494</f>
        <v>7.5830689016091</v>
      </c>
      <c r="D494" s="5" t="n">
        <f aca="false">C494*LOG(C494)</f>
        <v>6.67192527373518</v>
      </c>
      <c r="E494" s="5"/>
      <c r="F494" s="5"/>
      <c r="G494" s="4" t="n">
        <v>493</v>
      </c>
      <c r="H494" s="6" t="n">
        <v>0.507</v>
      </c>
      <c r="J494" s="2" t="n">
        <f aca="false">B494/$B$1003</f>
        <v>0.00074113076621671</v>
      </c>
      <c r="K494" s="5" t="n">
        <f aca="false">J494*LOG(J494,2)</f>
        <v>-0.00770626604416608</v>
      </c>
      <c r="N494" s="2" t="n">
        <f aca="false">1/1000*LOG(1/1000,2)</f>
        <v>-0.00996578428466209</v>
      </c>
    </row>
    <row r="495" customFormat="false" ht="13" hidden="false" customHeight="false" outlineLevel="0" collapsed="false">
      <c r="A495" s="4" t="n">
        <v>507</v>
      </c>
      <c r="B495" s="2" t="n">
        <v>7.52376635211908</v>
      </c>
      <c r="C495" s="5" t="n">
        <f aca="false">B495</f>
        <v>7.52376635211908</v>
      </c>
      <c r="D495" s="5" t="n">
        <f aca="false">C495*LOG(C495)</f>
        <v>6.59409442166102</v>
      </c>
      <c r="E495" s="5"/>
      <c r="F495" s="5"/>
      <c r="G495" s="4" t="n">
        <v>494</v>
      </c>
      <c r="H495" s="6" t="n">
        <v>0.506</v>
      </c>
      <c r="J495" s="2" t="n">
        <f aca="false">B495/$B$1003</f>
        <v>0.000735334835240426</v>
      </c>
      <c r="K495" s="5" t="n">
        <f aca="false">J495*LOG(J495,2)</f>
        <v>-0.00765432902428152</v>
      </c>
      <c r="N495" s="2" t="n">
        <f aca="false">1/1000*LOG(1/1000,2)</f>
        <v>-0.00996578428466209</v>
      </c>
    </row>
    <row r="496" customFormat="false" ht="13" hidden="false" customHeight="false" outlineLevel="0" collapsed="false">
      <c r="A496" s="4" t="n">
        <v>506</v>
      </c>
      <c r="B496" s="2" t="n">
        <v>7.42739652527092</v>
      </c>
      <c r="C496" s="5" t="n">
        <f aca="false">B496</f>
        <v>7.42739652527092</v>
      </c>
      <c r="D496" s="5" t="n">
        <f aca="false">C496*LOG(C496)</f>
        <v>6.46804881228408</v>
      </c>
      <c r="E496" s="5"/>
      <c r="F496" s="5"/>
      <c r="G496" s="4" t="n">
        <v>495</v>
      </c>
      <c r="H496" s="6" t="n">
        <v>0.505</v>
      </c>
      <c r="J496" s="2" t="n">
        <f aca="false">B496/$B$1003</f>
        <v>0.000725916136223067</v>
      </c>
      <c r="K496" s="5" t="n">
        <f aca="false">J496*LOG(J496,2)</f>
        <v>-0.00756978776851247</v>
      </c>
      <c r="N496" s="2" t="n">
        <f aca="false">1/1000*LOG(1/1000,2)</f>
        <v>-0.00996578428466209</v>
      </c>
    </row>
    <row r="497" customFormat="false" ht="13" hidden="false" customHeight="false" outlineLevel="0" collapsed="false">
      <c r="A497" s="4" t="n">
        <v>505</v>
      </c>
      <c r="B497" s="2" t="n">
        <v>7.41686975167681</v>
      </c>
      <c r="C497" s="5" t="n">
        <f aca="false">B497</f>
        <v>7.41686975167681</v>
      </c>
      <c r="D497" s="5" t="n">
        <f aca="false">C497*LOG(C497)</f>
        <v>6.45431323402499</v>
      </c>
      <c r="E497" s="5"/>
      <c r="F497" s="5"/>
      <c r="G497" s="4" t="n">
        <v>496</v>
      </c>
      <c r="H497" s="6" t="n">
        <v>0.504</v>
      </c>
      <c r="J497" s="2" t="n">
        <f aca="false">B497/$B$1003</f>
        <v>0.000724887302662299</v>
      </c>
      <c r="K497" s="5" t="n">
        <f aca="false">J497*LOG(J497,2)</f>
        <v>-0.00756054242599876</v>
      </c>
      <c r="N497" s="2" t="n">
        <f aca="false">1/1000*LOG(1/1000,2)</f>
        <v>-0.00996578428466209</v>
      </c>
    </row>
    <row r="498" customFormat="false" ht="13" hidden="false" customHeight="false" outlineLevel="0" collapsed="false">
      <c r="A498" s="4" t="n">
        <v>504</v>
      </c>
      <c r="B498" s="2" t="n">
        <v>7.40517048882794</v>
      </c>
      <c r="C498" s="5" t="n">
        <f aca="false">B498</f>
        <v>7.40517048882794</v>
      </c>
      <c r="D498" s="5" t="n">
        <f aca="false">C498*LOG(C498)</f>
        <v>6.43905537797614</v>
      </c>
      <c r="E498" s="5"/>
      <c r="F498" s="5"/>
      <c r="G498" s="4" t="n">
        <v>497</v>
      </c>
      <c r="H498" s="6" t="n">
        <v>0.503</v>
      </c>
      <c r="J498" s="2" t="n">
        <f aca="false">B498/$B$1003</f>
        <v>0.000723743875937333</v>
      </c>
      <c r="K498" s="5" t="n">
        <f aca="false">J498*LOG(J498,2)</f>
        <v>-0.00755026485029662</v>
      </c>
      <c r="N498" s="2" t="n">
        <f aca="false">1/1000*LOG(1/1000,2)</f>
        <v>-0.00996578428466209</v>
      </c>
    </row>
    <row r="499" customFormat="false" ht="13" hidden="false" customHeight="false" outlineLevel="0" collapsed="false">
      <c r="A499" s="4" t="n">
        <v>503</v>
      </c>
      <c r="B499" s="2" t="n">
        <v>7.40081091489702</v>
      </c>
      <c r="C499" s="5" t="n">
        <f aca="false">B499</f>
        <v>7.40081091489702</v>
      </c>
      <c r="D499" s="5" t="n">
        <f aca="false">C499*LOG(C499)</f>
        <v>6.43337179412034</v>
      </c>
      <c r="E499" s="5"/>
      <c r="F499" s="5"/>
      <c r="G499" s="4" t="n">
        <v>498</v>
      </c>
      <c r="H499" s="6" t="n">
        <v>0.502</v>
      </c>
      <c r="J499" s="2" t="n">
        <f aca="false">B499/$B$1003</f>
        <v>0.000723317793251059</v>
      </c>
      <c r="K499" s="5" t="n">
        <f aca="false">J499*LOG(J499,2)</f>
        <v>-0.00754643438277243</v>
      </c>
      <c r="N499" s="2" t="n">
        <f aca="false">1/1000*LOG(1/1000,2)</f>
        <v>-0.00996578428466209</v>
      </c>
    </row>
    <row r="500" customFormat="false" ht="13" hidden="false" customHeight="false" outlineLevel="0" collapsed="false">
      <c r="A500" s="4" t="n">
        <v>502</v>
      </c>
      <c r="B500" s="2" t="n">
        <v>7.4005435598973</v>
      </c>
      <c r="C500" s="5" t="n">
        <f aca="false">B500</f>
        <v>7.4005435598973</v>
      </c>
      <c r="D500" s="5" t="n">
        <f aca="false">C500*LOG(C500)</f>
        <v>6.43302327924727</v>
      </c>
      <c r="E500" s="5"/>
      <c r="F500" s="5"/>
      <c r="G500" s="4" t="n">
        <v>499</v>
      </c>
      <c r="H500" s="6" t="n">
        <v>0.501</v>
      </c>
      <c r="J500" s="2" t="n">
        <f aca="false">B500/$B$1003</f>
        <v>0.000723291663326833</v>
      </c>
      <c r="K500" s="5" t="n">
        <f aca="false">J500*LOG(J500,2)</f>
        <v>-0.00754619946394223</v>
      </c>
      <c r="N500" s="2" t="n">
        <f aca="false">1/1000*LOG(1/1000,2)</f>
        <v>-0.00996578428466209</v>
      </c>
    </row>
    <row r="501" customFormat="false" ht="13" hidden="false" customHeight="false" outlineLevel="0" collapsed="false">
      <c r="A501" s="4" t="n">
        <v>501</v>
      </c>
      <c r="B501" s="2" t="n">
        <v>7.34265911077569</v>
      </c>
      <c r="C501" s="5" t="n">
        <f aca="false">B501</f>
        <v>7.34265911077569</v>
      </c>
      <c r="D501" s="5" t="n">
        <f aca="false">C501*LOG(C501)</f>
        <v>6.35766610780202</v>
      </c>
      <c r="E501" s="5"/>
      <c r="F501" s="5"/>
      <c r="G501" s="4" t="n">
        <v>500</v>
      </c>
      <c r="H501" s="6" t="n">
        <v>0.5</v>
      </c>
      <c r="J501" s="2" t="n">
        <f aca="false">B501/$B$1003</f>
        <v>0.000717634330301621</v>
      </c>
      <c r="K501" s="5" t="n">
        <f aca="false">J501*LOG(J501,2)</f>
        <v>-0.00749530554892618</v>
      </c>
      <c r="L501" s="2" t="n">
        <f aca="false">SUM(J452:J501)</f>
        <v>0.0384796674518765</v>
      </c>
      <c r="N501" s="2" t="n">
        <f aca="false">1/1000*LOG(1/1000,2)</f>
        <v>-0.00996578428466209</v>
      </c>
    </row>
    <row r="502" customFormat="false" ht="13" hidden="false" customHeight="false" outlineLevel="0" collapsed="false">
      <c r="A502" s="4" t="n">
        <v>500</v>
      </c>
      <c r="B502" s="2" t="n">
        <v>7.31125359606335</v>
      </c>
      <c r="C502" s="5" t="n">
        <f aca="false">B502</f>
        <v>7.31125359606335</v>
      </c>
      <c r="D502" s="5" t="n">
        <f aca="false">C502*LOG(C502)</f>
        <v>6.31686350551725</v>
      </c>
      <c r="E502" s="5"/>
      <c r="F502" s="5"/>
      <c r="G502" s="4" t="n">
        <v>501</v>
      </c>
      <c r="H502" s="6" t="n">
        <v>0.499</v>
      </c>
      <c r="J502" s="2" t="n">
        <f aca="false">B502/$B$1003</f>
        <v>0.000714564914279667</v>
      </c>
      <c r="K502" s="5" t="n">
        <f aca="false">J502*LOG(J502,2)</f>
        <v>-0.00746766589308542</v>
      </c>
      <c r="N502" s="2" t="n">
        <f aca="false">1/1000*LOG(1/1000,2)</f>
        <v>-0.00996578428466209</v>
      </c>
    </row>
    <row r="503" customFormat="false" ht="13" hidden="false" customHeight="false" outlineLevel="0" collapsed="false">
      <c r="A503" s="4" t="n">
        <v>499</v>
      </c>
      <c r="B503" s="2" t="n">
        <v>7.30236501349674</v>
      </c>
      <c r="C503" s="5" t="n">
        <f aca="false">B503</f>
        <v>7.30236501349674</v>
      </c>
      <c r="D503" s="5" t="n">
        <f aca="false">C503*LOG(C503)</f>
        <v>6.30532592776793</v>
      </c>
      <c r="E503" s="5"/>
      <c r="F503" s="5"/>
      <c r="G503" s="4" t="n">
        <v>502</v>
      </c>
      <c r="H503" s="6" t="n">
        <v>0.498</v>
      </c>
      <c r="J503" s="2" t="n">
        <f aca="false">B503/$B$1003</f>
        <v>0.000713696189216813</v>
      </c>
      <c r="K503" s="5" t="n">
        <f aca="false">J503*LOG(J503,2)</f>
        <v>-0.00745983969703616</v>
      </c>
      <c r="N503" s="2" t="n">
        <f aca="false">1/1000*LOG(1/1000,2)</f>
        <v>-0.00996578428466209</v>
      </c>
    </row>
    <row r="504" customFormat="false" ht="13" hidden="false" customHeight="false" outlineLevel="0" collapsed="false">
      <c r="A504" s="4" t="n">
        <v>498</v>
      </c>
      <c r="B504" s="2" t="n">
        <v>7.25449198477574</v>
      </c>
      <c r="C504" s="5" t="n">
        <f aca="false">B504</f>
        <v>7.25449198477574</v>
      </c>
      <c r="D504" s="5" t="n">
        <f aca="false">C504*LOG(C504)</f>
        <v>6.24326662129936</v>
      </c>
      <c r="E504" s="5"/>
      <c r="F504" s="5"/>
      <c r="G504" s="4" t="n">
        <v>503</v>
      </c>
      <c r="H504" s="6" t="n">
        <v>0.497</v>
      </c>
      <c r="J504" s="2" t="n">
        <f aca="false">B504/$B$1003</f>
        <v>0.00070901732174014</v>
      </c>
      <c r="K504" s="5" t="n">
        <f aca="false">J504*LOG(J504,2)</f>
        <v>-0.00741766229571072</v>
      </c>
      <c r="N504" s="2" t="n">
        <f aca="false">1/1000*LOG(1/1000,2)</f>
        <v>-0.00996578428466209</v>
      </c>
    </row>
    <row r="505" customFormat="false" ht="13" hidden="false" customHeight="false" outlineLevel="0" collapsed="false">
      <c r="A505" s="4" t="n">
        <v>497</v>
      </c>
      <c r="B505" s="2" t="n">
        <v>7.25402009734421</v>
      </c>
      <c r="C505" s="5" t="n">
        <f aca="false">B505</f>
        <v>7.25402009734421</v>
      </c>
      <c r="D505" s="5" t="n">
        <f aca="false">C505*LOG(C505)</f>
        <v>6.24265558022804</v>
      </c>
      <c r="E505" s="5"/>
      <c r="F505" s="5"/>
      <c r="G505" s="4" t="n">
        <v>504</v>
      </c>
      <c r="H505" s="6" t="n">
        <v>0.496</v>
      </c>
      <c r="J505" s="2" t="n">
        <f aca="false">B505/$B$1003</f>
        <v>0.000708971201851446</v>
      </c>
      <c r="K505" s="5" t="n">
        <f aca="false">J505*LOG(J505,2)</f>
        <v>-0.00741724632920958</v>
      </c>
      <c r="N505" s="2" t="n">
        <f aca="false">1/1000*LOG(1/1000,2)</f>
        <v>-0.00996578428466209</v>
      </c>
    </row>
    <row r="506" customFormat="false" ht="13" hidden="false" customHeight="false" outlineLevel="0" collapsed="false">
      <c r="A506" s="4" t="n">
        <v>496</v>
      </c>
      <c r="B506" s="2" t="n">
        <v>7.24862979894397</v>
      </c>
      <c r="C506" s="5" t="n">
        <f aca="false">B506</f>
        <v>7.24862979894397</v>
      </c>
      <c r="D506" s="5" t="n">
        <f aca="false">C506*LOG(C506)</f>
        <v>6.23567669707254</v>
      </c>
      <c r="E506" s="5"/>
      <c r="F506" s="5"/>
      <c r="G506" s="4" t="n">
        <v>505</v>
      </c>
      <c r="H506" s="6" t="n">
        <v>0.495</v>
      </c>
      <c r="J506" s="2" t="n">
        <f aca="false">B506/$B$1003</f>
        <v>0.000708444381373439</v>
      </c>
      <c r="K506" s="5" t="n">
        <f aca="false">J506*LOG(J506,2)</f>
        <v>-0.00741249449992153</v>
      </c>
      <c r="N506" s="2" t="n">
        <f aca="false">1/1000*LOG(1/1000,2)</f>
        <v>-0.00996578428466209</v>
      </c>
    </row>
    <row r="507" customFormat="false" ht="13" hidden="false" customHeight="false" outlineLevel="0" collapsed="false">
      <c r="A507" s="4" t="n">
        <v>495</v>
      </c>
      <c r="B507" s="2" t="n">
        <v>7.23365633994592</v>
      </c>
      <c r="C507" s="5" t="n">
        <f aca="false">B507</f>
        <v>7.23365633994592</v>
      </c>
      <c r="D507" s="5" t="n">
        <f aca="false">C507*LOG(C507)</f>
        <v>6.21629952083156</v>
      </c>
      <c r="E507" s="5"/>
      <c r="F507" s="5"/>
      <c r="G507" s="4" t="n">
        <v>506</v>
      </c>
      <c r="H507" s="6" t="n">
        <v>0.494</v>
      </c>
      <c r="J507" s="2" t="n">
        <f aca="false">B507/$B$1003</f>
        <v>0.000706980951292014</v>
      </c>
      <c r="K507" s="5" t="n">
        <f aca="false">J507*LOG(J507,2)</f>
        <v>-0.00739929164759926</v>
      </c>
      <c r="N507" s="2" t="n">
        <f aca="false">1/1000*LOG(1/1000,2)</f>
        <v>-0.00996578428466209</v>
      </c>
    </row>
    <row r="508" customFormat="false" ht="13" hidden="false" customHeight="false" outlineLevel="0" collapsed="false">
      <c r="A508" s="4" t="n">
        <v>494</v>
      </c>
      <c r="B508" s="2" t="n">
        <v>7.2332510144081</v>
      </c>
      <c r="C508" s="5" t="n">
        <f aca="false">B508</f>
        <v>7.2332510144081</v>
      </c>
      <c r="D508" s="5" t="n">
        <f aca="false">C508*LOG(C508)</f>
        <v>6.21577517542723</v>
      </c>
      <c r="E508" s="5"/>
      <c r="F508" s="5"/>
      <c r="G508" s="4" t="n">
        <v>507</v>
      </c>
      <c r="H508" s="6" t="n">
        <v>0.493</v>
      </c>
      <c r="J508" s="2" t="n">
        <f aca="false">B508/$B$1003</f>
        <v>0.000706941336825851</v>
      </c>
      <c r="K508" s="5" t="n">
        <f aca="false">J508*LOG(J508,2)</f>
        <v>-0.00739893419096345</v>
      </c>
      <c r="N508" s="2" t="n">
        <f aca="false">1/1000*LOG(1/1000,2)</f>
        <v>-0.00996578428466209</v>
      </c>
    </row>
    <row r="509" customFormat="false" ht="13" hidden="false" customHeight="false" outlineLevel="0" collapsed="false">
      <c r="A509" s="4" t="n">
        <v>493</v>
      </c>
      <c r="B509" s="2" t="n">
        <v>7.16554039457446</v>
      </c>
      <c r="C509" s="5" t="n">
        <f aca="false">B509</f>
        <v>7.16554039457446</v>
      </c>
      <c r="D509" s="5" t="n">
        <f aca="false">C509*LOG(C509)</f>
        <v>6.12832088868804</v>
      </c>
      <c r="E509" s="5"/>
      <c r="F509" s="5"/>
      <c r="G509" s="4" t="n">
        <v>508</v>
      </c>
      <c r="H509" s="6" t="n">
        <v>0.492</v>
      </c>
      <c r="J509" s="2" t="n">
        <f aca="false">B509/$B$1003</f>
        <v>0.000700323643618862</v>
      </c>
      <c r="K509" s="5" t="n">
        <f aca="false">J509*LOG(J509,2)</f>
        <v>-0.00733917509409193</v>
      </c>
      <c r="N509" s="2" t="n">
        <f aca="false">1/1000*LOG(1/1000,2)</f>
        <v>-0.00996578428466209</v>
      </c>
    </row>
    <row r="510" customFormat="false" ht="13" hidden="false" customHeight="false" outlineLevel="0" collapsed="false">
      <c r="A510" s="4" t="n">
        <v>492</v>
      </c>
      <c r="B510" s="2" t="n">
        <v>7.15140212712822</v>
      </c>
      <c r="C510" s="5" t="n">
        <f aca="false">B510</f>
        <v>7.15140212712822</v>
      </c>
      <c r="D510" s="5" t="n">
        <f aca="false">C510*LOG(C510)</f>
        <v>6.11009504033225</v>
      </c>
      <c r="E510" s="5"/>
      <c r="F510" s="5"/>
      <c r="G510" s="4" t="n">
        <v>509</v>
      </c>
      <c r="H510" s="6" t="n">
        <v>0.491</v>
      </c>
      <c r="J510" s="2" t="n">
        <f aca="false">B510/$B$1003</f>
        <v>0.000698941840931669</v>
      </c>
      <c r="K510" s="5" t="n">
        <f aca="false">J510*LOG(J510,2)</f>
        <v>-0.00732668578137229</v>
      </c>
      <c r="N510" s="2" t="n">
        <f aca="false">1/1000*LOG(1/1000,2)</f>
        <v>-0.00996578428466209</v>
      </c>
    </row>
    <row r="511" customFormat="false" ht="13" hidden="false" customHeight="false" outlineLevel="0" collapsed="false">
      <c r="A511" s="4" t="n">
        <v>491</v>
      </c>
      <c r="B511" s="2" t="n">
        <v>7.12587952272679</v>
      </c>
      <c r="C511" s="5" t="n">
        <f aca="false">B511</f>
        <v>7.12587952272679</v>
      </c>
      <c r="D511" s="5" t="n">
        <f aca="false">C511*LOG(C511)</f>
        <v>6.0772242284636</v>
      </c>
      <c r="E511" s="5"/>
      <c r="F511" s="5"/>
      <c r="G511" s="4" t="n">
        <v>510</v>
      </c>
      <c r="H511" s="6" t="n">
        <v>0.49</v>
      </c>
      <c r="J511" s="2" t="n">
        <f aca="false">B511/$B$1003</f>
        <v>0.000696447390782091</v>
      </c>
      <c r="K511" s="5" t="n">
        <f aca="false">J511*LOG(J511,2)</f>
        <v>-0.00730412990944731</v>
      </c>
      <c r="N511" s="2" t="n">
        <f aca="false">1/1000*LOG(1/1000,2)</f>
        <v>-0.00996578428466209</v>
      </c>
    </row>
    <row r="512" customFormat="false" ht="13" hidden="false" customHeight="false" outlineLevel="0" collapsed="false">
      <c r="A512" s="4" t="n">
        <v>490</v>
      </c>
      <c r="B512" s="2" t="n">
        <v>7.07540899870088</v>
      </c>
      <c r="C512" s="5" t="n">
        <f aca="false">B512</f>
        <v>7.07540899870088</v>
      </c>
      <c r="D512" s="5" t="n">
        <f aca="false">C512*LOG(C512)</f>
        <v>6.01233976071378</v>
      </c>
      <c r="E512" s="5"/>
      <c r="F512" s="5"/>
      <c r="G512" s="4" t="n">
        <v>511</v>
      </c>
      <c r="H512" s="6" t="n">
        <v>0.489</v>
      </c>
      <c r="J512" s="2" t="n">
        <f aca="false">B512/$B$1003</f>
        <v>0.000691514657263773</v>
      </c>
      <c r="K512" s="5" t="n">
        <f aca="false">J512*LOG(J512,2)</f>
        <v>-0.00725948805865403</v>
      </c>
      <c r="N512" s="2" t="n">
        <f aca="false">1/1000*LOG(1/1000,2)</f>
        <v>-0.00996578428466209</v>
      </c>
    </row>
    <row r="513" customFormat="false" ht="13" hidden="false" customHeight="false" outlineLevel="0" collapsed="false">
      <c r="A513" s="4" t="n">
        <v>489</v>
      </c>
      <c r="B513" s="2" t="n">
        <v>7.00931252767464</v>
      </c>
      <c r="C513" s="5" t="n">
        <f aca="false">B513</f>
        <v>7.00931252767464</v>
      </c>
      <c r="D513" s="5" t="n">
        <f aca="false">C513*LOG(C513)</f>
        <v>5.92760334741717</v>
      </c>
      <c r="E513" s="5"/>
      <c r="F513" s="5"/>
      <c r="G513" s="4" t="n">
        <v>512</v>
      </c>
      <c r="H513" s="6" t="n">
        <v>0.488</v>
      </c>
      <c r="J513" s="2" t="n">
        <f aca="false">B513/$B$1003</f>
        <v>0.000685054722789816</v>
      </c>
      <c r="K513" s="5" t="n">
        <f aca="false">J513*LOG(J513,2)</f>
        <v>-0.007200948021247</v>
      </c>
      <c r="N513" s="2" t="n">
        <f aca="false">1/1000*LOG(1/1000,2)</f>
        <v>-0.00996578428466209</v>
      </c>
    </row>
    <row r="514" customFormat="false" ht="13" hidden="false" customHeight="false" outlineLevel="0" collapsed="false">
      <c r="A514" s="4" t="n">
        <v>488</v>
      </c>
      <c r="B514" s="2" t="n">
        <v>7.00156925690499</v>
      </c>
      <c r="C514" s="5" t="n">
        <f aca="false">B514</f>
        <v>7.00156925690499</v>
      </c>
      <c r="D514" s="5" t="n">
        <f aca="false">C514*LOG(C514)</f>
        <v>5.91769405203468</v>
      </c>
      <c r="E514" s="5"/>
      <c r="F514" s="5"/>
      <c r="G514" s="4" t="n">
        <v>513</v>
      </c>
      <c r="H514" s="6" t="n">
        <v>0.487</v>
      </c>
      <c r="J514" s="2" t="n">
        <f aca="false">B514/$B$1003</f>
        <v>0.000684297934704016</v>
      </c>
      <c r="K514" s="5" t="n">
        <f aca="false">J514*LOG(J514,2)</f>
        <v>-0.00719408425959836</v>
      </c>
      <c r="N514" s="2" t="n">
        <f aca="false">1/1000*LOG(1/1000,2)</f>
        <v>-0.00996578428466209</v>
      </c>
    </row>
    <row r="515" customFormat="false" ht="13" hidden="false" customHeight="false" outlineLevel="0" collapsed="false">
      <c r="A515" s="4" t="n">
        <v>487</v>
      </c>
      <c r="B515" s="2" t="n">
        <v>6.99343380806318</v>
      </c>
      <c r="C515" s="5" t="n">
        <f aca="false">B515</f>
        <v>6.99343380806318</v>
      </c>
      <c r="D515" s="5" t="n">
        <f aca="false">C515*LOG(C515)</f>
        <v>5.90728688112482</v>
      </c>
      <c r="E515" s="5"/>
      <c r="F515" s="5"/>
      <c r="G515" s="4" t="n">
        <v>514</v>
      </c>
      <c r="H515" s="6" t="n">
        <v>0.486</v>
      </c>
      <c r="J515" s="2" t="n">
        <f aca="false">B515/$B$1003</f>
        <v>0.000683502817118791</v>
      </c>
      <c r="K515" s="5" t="n">
        <f aca="false">J515*LOG(J515,2)</f>
        <v>-0.00718687156412173</v>
      </c>
      <c r="N515" s="2" t="n">
        <f aca="false">1/1000*LOG(1/1000,2)</f>
        <v>-0.00996578428466209</v>
      </c>
    </row>
    <row r="516" customFormat="false" ht="13" hidden="false" customHeight="false" outlineLevel="0" collapsed="false">
      <c r="A516" s="4" t="n">
        <v>486</v>
      </c>
      <c r="B516" s="2" t="n">
        <v>6.98041585666863</v>
      </c>
      <c r="C516" s="5" t="n">
        <f aca="false">B516</f>
        <v>6.98041585666863</v>
      </c>
      <c r="D516" s="5" t="n">
        <f aca="false">C516*LOG(C516)</f>
        <v>5.89064238245091</v>
      </c>
      <c r="E516" s="5"/>
      <c r="F516" s="5"/>
      <c r="G516" s="4" t="n">
        <v>515</v>
      </c>
      <c r="H516" s="6" t="n">
        <v>0.485</v>
      </c>
      <c r="J516" s="2" t="n">
        <f aca="false">B516/$B$1003</f>
        <v>0.000682230508451047</v>
      </c>
      <c r="K516" s="5" t="n">
        <f aca="false">J516*LOG(J516,2)</f>
        <v>-0.00717532738129724</v>
      </c>
      <c r="N516" s="2" t="n">
        <f aca="false">1/1000*LOG(1/1000,2)</f>
        <v>-0.00996578428466209</v>
      </c>
    </row>
    <row r="517" customFormat="false" ht="13" hidden="false" customHeight="false" outlineLevel="0" collapsed="false">
      <c r="A517" s="4" t="n">
        <v>485</v>
      </c>
      <c r="B517" s="2" t="n">
        <v>6.96863195408798</v>
      </c>
      <c r="C517" s="5" t="n">
        <f aca="false">B517</f>
        <v>6.96863195408798</v>
      </c>
      <c r="D517" s="5" t="n">
        <f aca="false">C517*LOG(C517)</f>
        <v>5.8755848057087</v>
      </c>
      <c r="E517" s="5"/>
      <c r="F517" s="5"/>
      <c r="G517" s="4" t="n">
        <v>516</v>
      </c>
      <c r="H517" s="6" t="n">
        <v>0.484</v>
      </c>
      <c r="J517" s="2" t="n">
        <f aca="false">B517/$B$1003</f>
        <v>0.000681078809467174</v>
      </c>
      <c r="K517" s="5" t="n">
        <f aca="false">J517*LOG(J517,2)</f>
        <v>-0.00716487458840004</v>
      </c>
      <c r="N517" s="2" t="n">
        <f aca="false">1/1000*LOG(1/1000,2)</f>
        <v>-0.00996578428466209</v>
      </c>
    </row>
    <row r="518" customFormat="false" ht="13" hidden="false" customHeight="false" outlineLevel="0" collapsed="false">
      <c r="A518" s="4" t="n">
        <v>484</v>
      </c>
      <c r="B518" s="2" t="n">
        <v>6.96502625541962</v>
      </c>
      <c r="C518" s="5" t="n">
        <f aca="false">B518</f>
        <v>6.96502625541962</v>
      </c>
      <c r="D518" s="5" t="n">
        <f aca="false">C518*LOG(C518)</f>
        <v>5.87097913994636</v>
      </c>
      <c r="E518" s="5"/>
      <c r="F518" s="5"/>
      <c r="G518" s="4" t="n">
        <v>517</v>
      </c>
      <c r="H518" s="6" t="n">
        <v>0.483</v>
      </c>
      <c r="J518" s="2" t="n">
        <f aca="false">B518/$B$1003</f>
        <v>0.000680726406732674</v>
      </c>
      <c r="K518" s="5" t="n">
        <f aca="false">J518*LOG(J518,2)</f>
        <v>-0.00716167562829864</v>
      </c>
      <c r="N518" s="2" t="n">
        <f aca="false">1/1000*LOG(1/1000,2)</f>
        <v>-0.00996578428466209</v>
      </c>
    </row>
    <row r="519" customFormat="false" ht="13" hidden="false" customHeight="false" outlineLevel="0" collapsed="false">
      <c r="A519" s="4" t="n">
        <v>483</v>
      </c>
      <c r="B519" s="2" t="n">
        <v>6.96332393618684</v>
      </c>
      <c r="C519" s="5" t="n">
        <f aca="false">B519</f>
        <v>6.96332393618684</v>
      </c>
      <c r="D519" s="5" t="n">
        <f aca="false">C519*LOG(C519)</f>
        <v>5.86880499882896</v>
      </c>
      <c r="E519" s="5"/>
      <c r="F519" s="5"/>
      <c r="G519" s="4" t="n">
        <v>518</v>
      </c>
      <c r="H519" s="6" t="n">
        <v>0.482</v>
      </c>
      <c r="J519" s="2" t="n">
        <f aca="false">B519/$B$1003</f>
        <v>0.000680560030668616</v>
      </c>
      <c r="K519" s="5" t="n">
        <f aca="false">J519*LOG(J519,2)</f>
        <v>-0.00716016524666</v>
      </c>
      <c r="N519" s="2" t="n">
        <f aca="false">1/1000*LOG(1/1000,2)</f>
        <v>-0.00996578428466209</v>
      </c>
    </row>
    <row r="520" customFormat="false" ht="13" hidden="false" customHeight="false" outlineLevel="0" collapsed="false">
      <c r="A520" s="4" t="n">
        <v>482</v>
      </c>
      <c r="B520" s="2" t="n">
        <v>6.96145761138632</v>
      </c>
      <c r="C520" s="5" t="n">
        <f aca="false">B520</f>
        <v>6.96145761138632</v>
      </c>
      <c r="D520" s="5" t="n">
        <f aca="false">C520*LOG(C520)</f>
        <v>5.86642160337563</v>
      </c>
      <c r="E520" s="5"/>
      <c r="F520" s="5"/>
      <c r="G520" s="4" t="n">
        <v>519</v>
      </c>
      <c r="H520" s="6" t="n">
        <v>0.481</v>
      </c>
      <c r="J520" s="2" t="n">
        <f aca="false">B520/$B$1003</f>
        <v>0.000680377625530622</v>
      </c>
      <c r="K520" s="5" t="n">
        <f aca="false">J520*LOG(J520,2)</f>
        <v>-0.00715850928375456</v>
      </c>
      <c r="N520" s="2" t="n">
        <f aca="false">1/1000*LOG(1/1000,2)</f>
        <v>-0.00996578428466209</v>
      </c>
    </row>
    <row r="521" customFormat="false" ht="13" hidden="false" customHeight="false" outlineLevel="0" collapsed="false">
      <c r="A521" s="4" t="n">
        <v>481</v>
      </c>
      <c r="B521" s="2" t="n">
        <v>6.95679694963542</v>
      </c>
      <c r="C521" s="5" t="n">
        <f aca="false">B521</f>
        <v>6.95679694963542</v>
      </c>
      <c r="D521" s="5" t="n">
        <f aca="false">C521*LOG(C521)</f>
        <v>5.86047064089827</v>
      </c>
      <c r="E521" s="5"/>
      <c r="F521" s="5"/>
      <c r="G521" s="4" t="n">
        <v>520</v>
      </c>
      <c r="H521" s="6" t="n">
        <v>0.48</v>
      </c>
      <c r="J521" s="2" t="n">
        <f aca="false">B521/$B$1003</f>
        <v>0.000679922116045037</v>
      </c>
      <c r="K521" s="5" t="n">
        <f aca="false">J521*LOG(J521,2)</f>
        <v>-0.0071543736381185</v>
      </c>
      <c r="N521" s="2" t="n">
        <f aca="false">1/1000*LOG(1/1000,2)</f>
        <v>-0.00996578428466209</v>
      </c>
    </row>
    <row r="522" customFormat="false" ht="13" hidden="false" customHeight="false" outlineLevel="0" collapsed="false">
      <c r="A522" s="4" t="n">
        <v>480</v>
      </c>
      <c r="B522" s="2" t="n">
        <v>6.95590062054487</v>
      </c>
      <c r="C522" s="5" t="n">
        <f aca="false">B522</f>
        <v>6.95590062054487</v>
      </c>
      <c r="D522" s="5" t="n">
        <f aca="false">C522*LOG(C522)</f>
        <v>5.85932631921208</v>
      </c>
      <c r="E522" s="5"/>
      <c r="F522" s="5"/>
      <c r="G522" s="4" t="n">
        <v>521</v>
      </c>
      <c r="H522" s="6" t="n">
        <v>0.479</v>
      </c>
      <c r="J522" s="2" t="n">
        <f aca="false">B522/$B$1003</f>
        <v>0.000679834513377267</v>
      </c>
      <c r="K522" s="5" t="n">
        <f aca="false">J522*LOG(J522,2)</f>
        <v>-0.00715357822860306</v>
      </c>
      <c r="N522" s="2" t="n">
        <f aca="false">1/1000*LOG(1/1000,2)</f>
        <v>-0.00996578428466209</v>
      </c>
    </row>
    <row r="523" customFormat="false" ht="13" hidden="false" customHeight="false" outlineLevel="0" collapsed="false">
      <c r="A523" s="4" t="n">
        <v>479</v>
      </c>
      <c r="B523" s="2" t="n">
        <v>6.9534342083723</v>
      </c>
      <c r="C523" s="5" t="n">
        <f aca="false">B523</f>
        <v>6.9534342083723</v>
      </c>
      <c r="D523" s="5" t="n">
        <f aca="false">C523*LOG(C523)</f>
        <v>5.85617776933921</v>
      </c>
      <c r="E523" s="5"/>
      <c r="F523" s="5"/>
      <c r="G523" s="4" t="n">
        <v>522</v>
      </c>
      <c r="H523" s="6" t="n">
        <v>0.478</v>
      </c>
      <c r="J523" s="2" t="n">
        <f aca="false">B523/$B$1003</f>
        <v>0.000679593458737387</v>
      </c>
      <c r="K523" s="5" t="n">
        <f aca="false">J523*LOG(J523,2)</f>
        <v>-0.00715138943088949</v>
      </c>
      <c r="N523" s="2" t="n">
        <f aca="false">1/1000*LOG(1/1000,2)</f>
        <v>-0.00996578428466209</v>
      </c>
    </row>
    <row r="524" customFormat="false" ht="13" hidden="false" customHeight="false" outlineLevel="0" collapsed="false">
      <c r="A524" s="4" t="n">
        <v>478</v>
      </c>
      <c r="B524" s="2" t="n">
        <v>6.95133377476304</v>
      </c>
      <c r="C524" s="5" t="n">
        <f aca="false">B524</f>
        <v>6.95133377476304</v>
      </c>
      <c r="D524" s="5" t="n">
        <f aca="false">C524*LOG(C524)</f>
        <v>5.8534967165827</v>
      </c>
      <c r="E524" s="5"/>
      <c r="F524" s="5"/>
      <c r="G524" s="4" t="n">
        <v>523</v>
      </c>
      <c r="H524" s="6" t="n">
        <v>0.477</v>
      </c>
      <c r="J524" s="2" t="n">
        <f aca="false">B524/$B$1003</f>
        <v>0.00067938817298957</v>
      </c>
      <c r="K524" s="5" t="n">
        <f aca="false">J524*LOG(J524,2)</f>
        <v>-0.00714952532066333</v>
      </c>
      <c r="N524" s="2" t="n">
        <f aca="false">1/1000*LOG(1/1000,2)</f>
        <v>-0.00996578428466209</v>
      </c>
    </row>
    <row r="525" customFormat="false" ht="13" hidden="false" customHeight="false" outlineLevel="0" collapsed="false">
      <c r="A525" s="4" t="n">
        <v>477</v>
      </c>
      <c r="B525" s="2" t="n">
        <v>6.92109014630421</v>
      </c>
      <c r="C525" s="5" t="n">
        <f aca="false">B525</f>
        <v>6.92109014630421</v>
      </c>
      <c r="D525" s="5" t="n">
        <f aca="false">C525*LOG(C525)</f>
        <v>5.81492349400939</v>
      </c>
      <c r="E525" s="5"/>
      <c r="F525" s="5"/>
      <c r="G525" s="4" t="n">
        <v>524</v>
      </c>
      <c r="H525" s="6" t="n">
        <v>0.476</v>
      </c>
      <c r="J525" s="2" t="n">
        <f aca="false">B525/$B$1003</f>
        <v>0.000676432313848146</v>
      </c>
      <c r="K525" s="5" t="n">
        <f aca="false">J525*LOG(J525,2)</f>
        <v>-0.0071226745202442</v>
      </c>
      <c r="N525" s="2" t="n">
        <f aca="false">1/1000*LOG(1/1000,2)</f>
        <v>-0.00996578428466209</v>
      </c>
    </row>
    <row r="526" customFormat="false" ht="13" hidden="false" customHeight="false" outlineLevel="0" collapsed="false">
      <c r="A526" s="4" t="n">
        <v>476</v>
      </c>
      <c r="B526" s="2" t="n">
        <v>6.90701445357121</v>
      </c>
      <c r="C526" s="5" t="n">
        <f aca="false">B526</f>
        <v>6.90701445357121</v>
      </c>
      <c r="D526" s="5" t="n">
        <f aca="false">C526*LOG(C526)</f>
        <v>5.79699068047716</v>
      </c>
      <c r="E526" s="5"/>
      <c r="F526" s="5"/>
      <c r="G526" s="4" t="n">
        <v>525</v>
      </c>
      <c r="H526" s="6" t="n">
        <v>0.475</v>
      </c>
      <c r="J526" s="2" t="n">
        <f aca="false">B526/$B$1003</f>
        <v>0.00067505662689665</v>
      </c>
      <c r="K526" s="5" t="n">
        <f aca="false">J526*LOG(J526,2)</f>
        <v>-0.00711017153465164</v>
      </c>
      <c r="N526" s="2" t="n">
        <f aca="false">1/1000*LOG(1/1000,2)</f>
        <v>-0.00996578428466209</v>
      </c>
    </row>
    <row r="527" customFormat="false" ht="13" hidden="false" customHeight="false" outlineLevel="0" collapsed="false">
      <c r="A527" s="4" t="n">
        <v>475</v>
      </c>
      <c r="B527" s="2" t="n">
        <v>6.88795461896116</v>
      </c>
      <c r="C527" s="5" t="n">
        <f aca="false">B527</f>
        <v>6.88795461896116</v>
      </c>
      <c r="D527" s="5" t="n">
        <f aca="false">C527*LOG(C527)</f>
        <v>5.77272779540619</v>
      </c>
      <c r="E527" s="5"/>
      <c r="F527" s="5"/>
      <c r="G527" s="4" t="n">
        <v>526</v>
      </c>
      <c r="H527" s="6" t="n">
        <v>0.474</v>
      </c>
      <c r="J527" s="2" t="n">
        <f aca="false">B527/$B$1003</f>
        <v>0.000673193815149613</v>
      </c>
      <c r="K527" s="5" t="n">
        <f aca="false">J527*LOG(J527,2)</f>
        <v>-0.0070932348480198</v>
      </c>
      <c r="N527" s="2" t="n">
        <f aca="false">1/1000*LOG(1/1000,2)</f>
        <v>-0.00996578428466209</v>
      </c>
    </row>
    <row r="528" customFormat="false" ht="13" hidden="false" customHeight="false" outlineLevel="0" collapsed="false">
      <c r="A528" s="4" t="n">
        <v>474</v>
      </c>
      <c r="B528" s="2" t="n">
        <v>6.87978348125773</v>
      </c>
      <c r="C528" s="5" t="n">
        <f aca="false">B528</f>
        <v>6.87978348125773</v>
      </c>
      <c r="D528" s="5" t="n">
        <f aca="false">C528*LOG(C528)</f>
        <v>5.7623330700498</v>
      </c>
      <c r="E528" s="5"/>
      <c r="F528" s="5"/>
      <c r="G528" s="4" t="n">
        <v>527</v>
      </c>
      <c r="H528" s="6" t="n">
        <v>0.473</v>
      </c>
      <c r="J528" s="2" t="n">
        <f aca="false">B528/$B$1003</f>
        <v>0.000672395209515723</v>
      </c>
      <c r="K528" s="5" t="n">
        <f aca="false">J528*LOG(J528,2)</f>
        <v>-0.00708597164838441</v>
      </c>
      <c r="N528" s="2" t="n">
        <f aca="false">1/1000*LOG(1/1000,2)</f>
        <v>-0.00996578428466209</v>
      </c>
    </row>
    <row r="529" customFormat="false" ht="13" hidden="false" customHeight="false" outlineLevel="0" collapsed="false">
      <c r="A529" s="4" t="n">
        <v>473</v>
      </c>
      <c r="B529" s="2" t="n">
        <v>6.86270505205619</v>
      </c>
      <c r="C529" s="5" t="n">
        <f aca="false">B529</f>
        <v>6.86270505205619</v>
      </c>
      <c r="D529" s="5" t="n">
        <f aca="false">C529*LOG(C529)</f>
        <v>5.74062075479085</v>
      </c>
      <c r="E529" s="5"/>
      <c r="F529" s="5"/>
      <c r="G529" s="4" t="n">
        <v>528</v>
      </c>
      <c r="H529" s="6" t="n">
        <v>0.472</v>
      </c>
      <c r="J529" s="2" t="n">
        <f aca="false">B529/$B$1003</f>
        <v>0.000670726050302725</v>
      </c>
      <c r="K529" s="5" t="n">
        <f aca="false">J529*LOG(J529,2)</f>
        <v>-0.00707078647235246</v>
      </c>
      <c r="N529" s="2" t="n">
        <f aca="false">1/1000*LOG(1/1000,2)</f>
        <v>-0.00996578428466209</v>
      </c>
    </row>
    <row r="530" customFormat="false" ht="13" hidden="false" customHeight="false" outlineLevel="0" collapsed="false">
      <c r="A530" s="4" t="n">
        <v>472</v>
      </c>
      <c r="B530" s="2" t="n">
        <v>6.83793653854252</v>
      </c>
      <c r="C530" s="5" t="n">
        <f aca="false">B530</f>
        <v>6.83793653854252</v>
      </c>
      <c r="D530" s="5" t="n">
        <f aca="false">C530*LOG(C530)</f>
        <v>5.70916461494716</v>
      </c>
      <c r="E530" s="5"/>
      <c r="F530" s="5"/>
      <c r="G530" s="4" t="n">
        <v>529</v>
      </c>
      <c r="H530" s="6" t="n">
        <v>0.471</v>
      </c>
      <c r="J530" s="2" t="n">
        <f aca="false">B530/$B$1003</f>
        <v>0.000668305301179037</v>
      </c>
      <c r="K530" s="5" t="n">
        <f aca="false">J530*LOG(J530,2)</f>
        <v>-0.00704875305520168</v>
      </c>
      <c r="N530" s="2" t="n">
        <f aca="false">1/1000*LOG(1/1000,2)</f>
        <v>-0.00996578428466209</v>
      </c>
    </row>
    <row r="531" customFormat="false" ht="13" hidden="false" customHeight="false" outlineLevel="0" collapsed="false">
      <c r="A531" s="4" t="n">
        <v>471</v>
      </c>
      <c r="B531" s="2" t="n">
        <v>6.83735915894152</v>
      </c>
      <c r="C531" s="5" t="n">
        <f aca="false">B531</f>
        <v>6.83735915894152</v>
      </c>
      <c r="D531" s="5" t="n">
        <f aca="false">C531*LOG(C531)</f>
        <v>5.70843180405787</v>
      </c>
      <c r="E531" s="5"/>
      <c r="F531" s="5"/>
      <c r="G531" s="4" t="n">
        <v>530</v>
      </c>
      <c r="H531" s="6" t="n">
        <v>0.47</v>
      </c>
      <c r="J531" s="2" t="n">
        <f aca="false">B531/$B$1003</f>
        <v>0.000668248871019739</v>
      </c>
      <c r="K531" s="5" t="n">
        <f aca="false">J531*LOG(J531,2)</f>
        <v>-0.00704823928281369</v>
      </c>
      <c r="N531" s="2" t="n">
        <f aca="false">1/1000*LOG(1/1000,2)</f>
        <v>-0.00996578428466209</v>
      </c>
    </row>
    <row r="532" customFormat="false" ht="13" hidden="false" customHeight="false" outlineLevel="0" collapsed="false">
      <c r="A532" s="4" t="n">
        <v>470</v>
      </c>
      <c r="B532" s="2" t="n">
        <v>6.83166135896806</v>
      </c>
      <c r="C532" s="5" t="n">
        <f aca="false">B532</f>
        <v>6.83166135896806</v>
      </c>
      <c r="D532" s="5" t="n">
        <f aca="false">C532*LOG(C532)</f>
        <v>5.70120128524196</v>
      </c>
      <c r="E532" s="5"/>
      <c r="F532" s="5"/>
      <c r="G532" s="4" t="n">
        <v>531</v>
      </c>
      <c r="H532" s="6" t="n">
        <v>0.469</v>
      </c>
      <c r="J532" s="2" t="n">
        <f aca="false">B532/$B$1003</f>
        <v>0.000667691996894649</v>
      </c>
      <c r="K532" s="5" t="n">
        <f aca="false">J532*LOG(J532,2)</f>
        <v>-0.00704316881407866</v>
      </c>
      <c r="N532" s="2" t="n">
        <f aca="false">1/1000*LOG(1/1000,2)</f>
        <v>-0.00996578428466209</v>
      </c>
    </row>
    <row r="533" customFormat="false" ht="13" hidden="false" customHeight="false" outlineLevel="0" collapsed="false">
      <c r="A533" s="4" t="n">
        <v>469</v>
      </c>
      <c r="B533" s="2" t="n">
        <v>6.82998433335115</v>
      </c>
      <c r="C533" s="5" t="n">
        <f aca="false">B533</f>
        <v>6.82998433335115</v>
      </c>
      <c r="D533" s="5" t="n">
        <f aca="false">C533*LOG(C533)</f>
        <v>5.69907352963737</v>
      </c>
      <c r="E533" s="5"/>
      <c r="F533" s="5"/>
      <c r="G533" s="4" t="n">
        <v>532</v>
      </c>
      <c r="H533" s="6" t="n">
        <v>0.468</v>
      </c>
      <c r="J533" s="2" t="n">
        <f aca="false">B533/$B$1003</f>
        <v>0.00066752809290056</v>
      </c>
      <c r="K533" s="5" t="n">
        <f aca="false">J533*LOG(J533,2)</f>
        <v>-0.007041676302394</v>
      </c>
      <c r="N533" s="2" t="n">
        <f aca="false">1/1000*LOG(1/1000,2)</f>
        <v>-0.00996578428466209</v>
      </c>
    </row>
    <row r="534" customFormat="false" ht="13" hidden="false" customHeight="false" outlineLevel="0" collapsed="false">
      <c r="A534" s="4" t="n">
        <v>468</v>
      </c>
      <c r="B534" s="2" t="n">
        <v>6.82299741623854</v>
      </c>
      <c r="C534" s="5" t="n">
        <f aca="false">B534</f>
        <v>6.82299741623854</v>
      </c>
      <c r="D534" s="5" t="n">
        <f aca="false">C534*LOG(C534)</f>
        <v>5.69021068133624</v>
      </c>
      <c r="E534" s="5"/>
      <c r="F534" s="5"/>
      <c r="G534" s="4" t="n">
        <v>533</v>
      </c>
      <c r="H534" s="6" t="n">
        <v>0.467</v>
      </c>
      <c r="J534" s="2" t="n">
        <f aca="false">B534/$B$1003</f>
        <v>0.000666845226992265</v>
      </c>
      <c r="K534" s="5" t="n">
        <f aca="false">J534*LOG(J534,2)</f>
        <v>-0.0070354574924447</v>
      </c>
      <c r="N534" s="2" t="n">
        <f aca="false">1/1000*LOG(1/1000,2)</f>
        <v>-0.00996578428466209</v>
      </c>
    </row>
    <row r="535" customFormat="false" ht="13" hidden="false" customHeight="false" outlineLevel="0" collapsed="false">
      <c r="A535" s="4" t="n">
        <v>467</v>
      </c>
      <c r="B535" s="2" t="n">
        <v>6.80712807264428</v>
      </c>
      <c r="C535" s="5" t="n">
        <f aca="false">B535</f>
        <v>6.80712807264428</v>
      </c>
      <c r="D535" s="5" t="n">
        <f aca="false">C535*LOG(C535)</f>
        <v>5.67009209497699</v>
      </c>
      <c r="E535" s="5"/>
      <c r="F535" s="5"/>
      <c r="G535" s="4" t="n">
        <v>534</v>
      </c>
      <c r="H535" s="6" t="n">
        <v>0.466</v>
      </c>
      <c r="J535" s="2" t="n">
        <f aca="false">B535/$B$1003</f>
        <v>0.000665294237685696</v>
      </c>
      <c r="K535" s="5" t="n">
        <f aca="false">J535*LOG(J535,2)</f>
        <v>-0.00702132899662777</v>
      </c>
      <c r="N535" s="2" t="n">
        <f aca="false">1/1000*LOG(1/1000,2)</f>
        <v>-0.00996578428466209</v>
      </c>
    </row>
    <row r="536" customFormat="false" ht="13" hidden="false" customHeight="false" outlineLevel="0" collapsed="false">
      <c r="A536" s="4" t="n">
        <v>466</v>
      </c>
      <c r="B536" s="2" t="n">
        <v>6.79224854853931</v>
      </c>
      <c r="C536" s="5" t="n">
        <f aca="false">B536</f>
        <v>6.79224854853931</v>
      </c>
      <c r="D536" s="5" t="n">
        <f aca="false">C536*LOG(C536)</f>
        <v>5.65124296082773</v>
      </c>
      <c r="E536" s="5"/>
      <c r="F536" s="5"/>
      <c r="G536" s="4" t="n">
        <v>535</v>
      </c>
      <c r="H536" s="6" t="n">
        <v>0.465</v>
      </c>
      <c r="J536" s="2" t="n">
        <f aca="false">B536/$B$1003</f>
        <v>0.000663839988325187</v>
      </c>
      <c r="K536" s="5" t="n">
        <f aca="false">J536*LOG(J536,2)</f>
        <v>-0.00700807699994177</v>
      </c>
      <c r="N536" s="2" t="n">
        <f aca="false">1/1000*LOG(1/1000,2)</f>
        <v>-0.00996578428466209</v>
      </c>
    </row>
    <row r="537" customFormat="false" ht="13" hidden="false" customHeight="false" outlineLevel="0" collapsed="false">
      <c r="A537" s="4" t="n">
        <v>465</v>
      </c>
      <c r="B537" s="2" t="n">
        <v>6.76990824469249</v>
      </c>
      <c r="C537" s="5" t="n">
        <f aca="false">B537</f>
        <v>6.76990824469249</v>
      </c>
      <c r="D537" s="5" t="n">
        <f aca="false">C537*LOG(C537)</f>
        <v>5.62296922752602</v>
      </c>
      <c r="E537" s="5"/>
      <c r="F537" s="5"/>
      <c r="G537" s="4" t="n">
        <v>536</v>
      </c>
      <c r="H537" s="6" t="n">
        <v>0.464</v>
      </c>
      <c r="J537" s="2" t="n">
        <f aca="false">B537/$B$1003</f>
        <v>0.000661656560121866</v>
      </c>
      <c r="K537" s="5" t="n">
        <f aca="false">J537*LOG(J537,2)</f>
        <v>-0.00698817165230846</v>
      </c>
      <c r="N537" s="2" t="n">
        <f aca="false">1/1000*LOG(1/1000,2)</f>
        <v>-0.00996578428466209</v>
      </c>
    </row>
    <row r="538" customFormat="false" ht="13" hidden="false" customHeight="false" outlineLevel="0" collapsed="false">
      <c r="A538" s="4" t="n">
        <v>464</v>
      </c>
      <c r="B538" s="2" t="n">
        <v>6.76842327030715</v>
      </c>
      <c r="C538" s="5" t="n">
        <f aca="false">B538</f>
        <v>6.76842327030715</v>
      </c>
      <c r="D538" s="5" t="n">
        <f aca="false">C538*LOG(C538)</f>
        <v>5.62109098792382</v>
      </c>
      <c r="E538" s="5"/>
      <c r="F538" s="5"/>
      <c r="G538" s="4" t="n">
        <v>537</v>
      </c>
      <c r="H538" s="6" t="n">
        <v>0.463</v>
      </c>
      <c r="J538" s="2" t="n">
        <f aca="false">B538/$B$1003</f>
        <v>0.000661511426242918</v>
      </c>
      <c r="K538" s="5" t="n">
        <f aca="false">J538*LOG(J538,2)</f>
        <v>-0.00698684816296712</v>
      </c>
      <c r="N538" s="2" t="n">
        <f aca="false">1/1000*LOG(1/1000,2)</f>
        <v>-0.00996578428466209</v>
      </c>
    </row>
    <row r="539" customFormat="false" ht="13" hidden="false" customHeight="false" outlineLevel="0" collapsed="false">
      <c r="A539" s="4" t="n">
        <v>463</v>
      </c>
      <c r="B539" s="2" t="n">
        <v>6.72918214959412</v>
      </c>
      <c r="C539" s="5" t="n">
        <f aca="false">B539</f>
        <v>6.72918214959412</v>
      </c>
      <c r="D539" s="5" t="n">
        <f aca="false">C539*LOG(C539)</f>
        <v>5.57150902343536</v>
      </c>
      <c r="E539" s="5"/>
      <c r="F539" s="5"/>
      <c r="G539" s="4" t="n">
        <v>538</v>
      </c>
      <c r="H539" s="6" t="n">
        <v>0.462</v>
      </c>
      <c r="J539" s="2" t="n">
        <f aca="false">B539/$B$1003</f>
        <v>0.000657676197757116</v>
      </c>
      <c r="K539" s="5" t="n">
        <f aca="false">J539*LOG(J539,2)</f>
        <v>-0.00695185768021155</v>
      </c>
      <c r="N539" s="2" t="n">
        <f aca="false">1/1000*LOG(1/1000,2)</f>
        <v>-0.00996578428466209</v>
      </c>
    </row>
    <row r="540" customFormat="false" ht="13" hidden="false" customHeight="false" outlineLevel="0" collapsed="false">
      <c r="A540" s="4" t="n">
        <v>462</v>
      </c>
      <c r="B540" s="2" t="n">
        <v>6.7165304842684</v>
      </c>
      <c r="C540" s="5" t="n">
        <f aca="false">B540</f>
        <v>6.7165304842684</v>
      </c>
      <c r="D540" s="5" t="n">
        <f aca="false">C540*LOG(C540)</f>
        <v>5.55554454171882</v>
      </c>
      <c r="E540" s="5"/>
      <c r="F540" s="5"/>
      <c r="G540" s="4" t="n">
        <v>539</v>
      </c>
      <c r="H540" s="6" t="n">
        <v>0.461</v>
      </c>
      <c r="J540" s="2" t="n">
        <f aca="false">B540/$B$1003</f>
        <v>0.000656439688035468</v>
      </c>
      <c r="K540" s="5" t="n">
        <f aca="false">J540*LOG(J540,2)</f>
        <v>-0.00694056958673299</v>
      </c>
      <c r="N540" s="2" t="n">
        <f aca="false">1/1000*LOG(1/1000,2)</f>
        <v>-0.00996578428466209</v>
      </c>
    </row>
    <row r="541" customFormat="false" ht="13" hidden="false" customHeight="false" outlineLevel="0" collapsed="false">
      <c r="A541" s="4" t="n">
        <v>461</v>
      </c>
      <c r="B541" s="2" t="n">
        <v>6.69292628687907</v>
      </c>
      <c r="C541" s="5" t="n">
        <f aca="false">B541</f>
        <v>6.69292628687907</v>
      </c>
      <c r="D541" s="5" t="n">
        <f aca="false">C541*LOG(C541)</f>
        <v>5.52578730963534</v>
      </c>
      <c r="E541" s="5"/>
      <c r="F541" s="5"/>
      <c r="G541" s="4" t="n">
        <v>540</v>
      </c>
      <c r="H541" s="6" t="n">
        <v>0.46</v>
      </c>
      <c r="J541" s="2" t="n">
        <f aca="false">B541/$B$1003</f>
        <v>0.000654132733275585</v>
      </c>
      <c r="K541" s="5" t="n">
        <f aca="false">J541*LOG(J541,2)</f>
        <v>-0.00691950041596131</v>
      </c>
      <c r="N541" s="2" t="n">
        <f aca="false">1/1000*LOG(1/1000,2)</f>
        <v>-0.00996578428466209</v>
      </c>
    </row>
    <row r="542" customFormat="false" ht="13" hidden="false" customHeight="false" outlineLevel="0" collapsed="false">
      <c r="A542" s="4" t="n">
        <v>460</v>
      </c>
      <c r="B542" s="2" t="n">
        <v>6.69218818769423</v>
      </c>
      <c r="C542" s="5" t="n">
        <f aca="false">B542</f>
        <v>6.69218818769423</v>
      </c>
      <c r="D542" s="5" t="n">
        <f aca="false">C542*LOG(C542)</f>
        <v>5.52485738838074</v>
      </c>
      <c r="E542" s="5"/>
      <c r="F542" s="5"/>
      <c r="G542" s="4" t="n">
        <v>541</v>
      </c>
      <c r="H542" s="6" t="n">
        <v>0.459</v>
      </c>
      <c r="J542" s="2" t="n">
        <f aca="false">B542/$B$1003</f>
        <v>0.000654060595197783</v>
      </c>
      <c r="K542" s="5" t="n">
        <f aca="false">J542*LOG(J542,2)</f>
        <v>-0.00691884139757895</v>
      </c>
      <c r="N542" s="2" t="n">
        <f aca="false">1/1000*LOG(1/1000,2)</f>
        <v>-0.00996578428466209</v>
      </c>
    </row>
    <row r="543" customFormat="false" ht="13" hidden="false" customHeight="false" outlineLevel="0" collapsed="false">
      <c r="A543" s="4" t="n">
        <v>459</v>
      </c>
      <c r="B543" s="2" t="n">
        <v>6.69128526735466</v>
      </c>
      <c r="C543" s="5" t="n">
        <f aca="false">B543</f>
        <v>6.69128526735466</v>
      </c>
      <c r="D543" s="5" t="n">
        <f aca="false">C543*LOG(C543)</f>
        <v>5.52371985924461</v>
      </c>
      <c r="E543" s="5"/>
      <c r="F543" s="5"/>
      <c r="G543" s="4" t="n">
        <v>542</v>
      </c>
      <c r="H543" s="6" t="n">
        <v>0.458</v>
      </c>
      <c r="J543" s="2" t="n">
        <f aca="false">B543/$B$1003</f>
        <v>0.000653972348334701</v>
      </c>
      <c r="K543" s="5" t="n">
        <f aca="false">J543*LOG(J543,2)</f>
        <v>-0.00691803520156185</v>
      </c>
      <c r="N543" s="2" t="n">
        <f aca="false">1/1000*LOG(1/1000,2)</f>
        <v>-0.00996578428466209</v>
      </c>
    </row>
    <row r="544" customFormat="false" ht="13" hidden="false" customHeight="false" outlineLevel="0" collapsed="false">
      <c r="A544" s="4" t="n">
        <v>458</v>
      </c>
      <c r="B544" s="2" t="n">
        <v>6.67293531823248</v>
      </c>
      <c r="C544" s="5" t="n">
        <f aca="false">B544</f>
        <v>6.67293531823248</v>
      </c>
      <c r="D544" s="5" t="n">
        <f aca="false">C544*LOG(C544)</f>
        <v>5.50061345678326</v>
      </c>
      <c r="E544" s="5"/>
      <c r="F544" s="5"/>
      <c r="G544" s="4" t="n">
        <v>543</v>
      </c>
      <c r="H544" s="6" t="n">
        <v>0.457</v>
      </c>
      <c r="J544" s="2" t="n">
        <f aca="false">B544/$B$1003</f>
        <v>0.000652178917201552</v>
      </c>
      <c r="K544" s="5" t="n">
        <f aca="false">J544*LOG(J544,2)</f>
        <v>-0.00690164724445994</v>
      </c>
      <c r="N544" s="2" t="n">
        <f aca="false">1/1000*LOG(1/1000,2)</f>
        <v>-0.00996578428466209</v>
      </c>
    </row>
    <row r="545" customFormat="false" ht="13" hidden="false" customHeight="false" outlineLevel="0" collapsed="false">
      <c r="A545" s="4" t="n">
        <v>457</v>
      </c>
      <c r="B545" s="2" t="n">
        <v>6.67250204392173</v>
      </c>
      <c r="C545" s="5" t="n">
        <f aca="false">B545</f>
        <v>6.67250204392173</v>
      </c>
      <c r="D545" s="5" t="n">
        <f aca="false">C545*LOG(C545)</f>
        <v>5.50006813890672</v>
      </c>
      <c r="E545" s="5"/>
      <c r="F545" s="5"/>
      <c r="G545" s="4" t="n">
        <v>544</v>
      </c>
      <c r="H545" s="6" t="n">
        <v>0.456</v>
      </c>
      <c r="J545" s="2" t="n">
        <f aca="false">B545/$B$1003</f>
        <v>0.00065213657116381</v>
      </c>
      <c r="K545" s="5" t="n">
        <f aca="false">J545*LOG(J545,2)</f>
        <v>-0.00690126021029779</v>
      </c>
      <c r="N545" s="2" t="n">
        <f aca="false">1/1000*LOG(1/1000,2)</f>
        <v>-0.00996578428466209</v>
      </c>
    </row>
    <row r="546" customFormat="false" ht="13" hidden="false" customHeight="false" outlineLevel="0" collapsed="false">
      <c r="A546" s="4" t="n">
        <v>456</v>
      </c>
      <c r="B546" s="2" t="n">
        <v>6.66465218279626</v>
      </c>
      <c r="C546" s="5" t="n">
        <f aca="false">B546</f>
        <v>6.66465218279626</v>
      </c>
      <c r="D546" s="5" t="n">
        <f aca="false">C546*LOG(C546)</f>
        <v>5.49019044172624</v>
      </c>
      <c r="E546" s="5"/>
      <c r="F546" s="5"/>
      <c r="G546" s="4" t="n">
        <v>545</v>
      </c>
      <c r="H546" s="6" t="n">
        <v>0.455</v>
      </c>
      <c r="J546" s="2" t="n">
        <f aca="false">B546/$B$1003</f>
        <v>0.000651369365476232</v>
      </c>
      <c r="K546" s="5" t="n">
        <f aca="false">J546*LOG(J546,2)</f>
        <v>-0.00689424741927379</v>
      </c>
      <c r="N546" s="2" t="n">
        <f aca="false">1/1000*LOG(1/1000,2)</f>
        <v>-0.00996578428466209</v>
      </c>
    </row>
    <row r="547" customFormat="false" ht="13" hidden="false" customHeight="false" outlineLevel="0" collapsed="false">
      <c r="A547" s="4" t="n">
        <v>455</v>
      </c>
      <c r="B547" s="2" t="n">
        <v>6.64073713172229</v>
      </c>
      <c r="C547" s="5" t="n">
        <f aca="false">B547</f>
        <v>6.64073713172229</v>
      </c>
      <c r="D547" s="5" t="n">
        <f aca="false">C547*LOG(C547)</f>
        <v>5.46012224318431</v>
      </c>
      <c r="E547" s="5"/>
      <c r="F547" s="5"/>
      <c r="G547" s="4" t="n">
        <v>546</v>
      </c>
      <c r="H547" s="6" t="n">
        <v>0.454</v>
      </c>
      <c r="J547" s="2" t="n">
        <f aca="false">B547/$B$1003</f>
        <v>0.000649032029450866</v>
      </c>
      <c r="K547" s="5" t="n">
        <f aca="false">J547*LOG(J547,2)</f>
        <v>-0.0068728745077644</v>
      </c>
      <c r="N547" s="2" t="n">
        <f aca="false">1/1000*LOG(1/1000,2)</f>
        <v>-0.00996578428466209</v>
      </c>
    </row>
    <row r="548" customFormat="false" ht="13" hidden="false" customHeight="false" outlineLevel="0" collapsed="false">
      <c r="A548" s="4" t="n">
        <v>454</v>
      </c>
      <c r="B548" s="2" t="n">
        <v>6.59799702062071</v>
      </c>
      <c r="C548" s="5" t="n">
        <f aca="false">B548</f>
        <v>6.59799702062071</v>
      </c>
      <c r="D548" s="5" t="n">
        <f aca="false">C548*LOG(C548)</f>
        <v>5.40647869409136</v>
      </c>
      <c r="E548" s="5"/>
      <c r="F548" s="5"/>
      <c r="G548" s="4" t="n">
        <v>547</v>
      </c>
      <c r="H548" s="6" t="n">
        <v>0.453</v>
      </c>
      <c r="J548" s="2" t="n">
        <f aca="false">B548/$B$1003</f>
        <v>0.000644854827357637</v>
      </c>
      <c r="K548" s="5" t="n">
        <f aca="false">J548*LOG(J548,2)</f>
        <v>-0.00683464734289161</v>
      </c>
      <c r="N548" s="2" t="n">
        <f aca="false">1/1000*LOG(1/1000,2)</f>
        <v>-0.00996578428466209</v>
      </c>
    </row>
    <row r="549" customFormat="false" ht="13" hidden="false" customHeight="false" outlineLevel="0" collapsed="false">
      <c r="A549" s="4" t="n">
        <v>453</v>
      </c>
      <c r="B549" s="2" t="n">
        <v>6.58580972067784</v>
      </c>
      <c r="C549" s="5" t="n">
        <f aca="false">B549</f>
        <v>6.58580972067784</v>
      </c>
      <c r="D549" s="5" t="n">
        <f aca="false">C549*LOG(C549)</f>
        <v>5.39120428705854</v>
      </c>
      <c r="E549" s="5"/>
      <c r="F549" s="5"/>
      <c r="G549" s="4" t="n">
        <v>548</v>
      </c>
      <c r="H549" s="6" t="n">
        <v>0.452</v>
      </c>
      <c r="J549" s="2" t="n">
        <f aca="false">B549/$B$1003</f>
        <v>0.000643663702357724</v>
      </c>
      <c r="K549" s="5" t="n">
        <f aca="false">J549*LOG(J549,2)</f>
        <v>-0.00682373976320783</v>
      </c>
      <c r="N549" s="2" t="n">
        <f aca="false">1/1000*LOG(1/1000,2)</f>
        <v>-0.00996578428466209</v>
      </c>
    </row>
    <row r="550" customFormat="false" ht="13" hidden="false" customHeight="false" outlineLevel="0" collapsed="false">
      <c r="A550" s="4" t="n">
        <v>452</v>
      </c>
      <c r="B550" s="2" t="n">
        <v>6.56557214480018</v>
      </c>
      <c r="C550" s="5" t="n">
        <f aca="false">B550</f>
        <v>6.56557214480018</v>
      </c>
      <c r="D550" s="5" t="n">
        <f aca="false">C550*LOG(C550)</f>
        <v>5.36586207200177</v>
      </c>
      <c r="E550" s="5"/>
      <c r="F550" s="5"/>
      <c r="G550" s="4" t="n">
        <v>549</v>
      </c>
      <c r="H550" s="6" t="n">
        <v>0.451</v>
      </c>
      <c r="J550" s="2" t="n">
        <f aca="false">B550/$B$1003</f>
        <v>0.00064168578414134</v>
      </c>
      <c r="K550" s="5" t="n">
        <f aca="false">J550*LOG(J550,2)</f>
        <v>-0.00680562019459937</v>
      </c>
      <c r="N550" s="2" t="n">
        <f aca="false">1/1000*LOG(1/1000,2)</f>
        <v>-0.00996578428466209</v>
      </c>
    </row>
    <row r="551" customFormat="false" ht="13" hidden="false" customHeight="false" outlineLevel="0" collapsed="false">
      <c r="A551" s="4" t="n">
        <v>451</v>
      </c>
      <c r="B551" s="2" t="n">
        <v>6.53933673201891</v>
      </c>
      <c r="C551" s="5" t="n">
        <f aca="false">B551</f>
        <v>6.53933673201891</v>
      </c>
      <c r="D551" s="5" t="n">
        <f aca="false">C551*LOG(C551)</f>
        <v>5.33304948841722</v>
      </c>
      <c r="E551" s="5"/>
      <c r="F551" s="5"/>
      <c r="G551" s="4" t="n">
        <v>550</v>
      </c>
      <c r="H551" s="6" t="n">
        <v>0.45</v>
      </c>
      <c r="J551" s="2" t="n">
        <f aca="false">B551/$B$1003</f>
        <v>0.00063912166770921</v>
      </c>
      <c r="K551" s="5" t="n">
        <f aca="false">J551*LOG(J551,2)</f>
        <v>-0.00678211740953392</v>
      </c>
      <c r="L551" s="2" t="n">
        <f aca="false">SUM(J502:J551)</f>
        <v>0.0337414610903216</v>
      </c>
      <c r="N551" s="2" t="n">
        <f aca="false">1/1000*LOG(1/1000,2)</f>
        <v>-0.00996578428466209</v>
      </c>
    </row>
    <row r="552" customFormat="false" ht="13" hidden="false" customHeight="false" outlineLevel="0" collapsed="false">
      <c r="A552" s="4" t="n">
        <v>450</v>
      </c>
      <c r="B552" s="2" t="n">
        <v>6.53664399380256</v>
      </c>
      <c r="C552" s="5" t="n">
        <f aca="false">B552</f>
        <v>6.53664399380256</v>
      </c>
      <c r="D552" s="5" t="n">
        <f aca="false">C552*LOG(C552)</f>
        <v>5.32968426911139</v>
      </c>
      <c r="E552" s="5"/>
      <c r="F552" s="5"/>
      <c r="G552" s="4" t="n">
        <v>551</v>
      </c>
      <c r="H552" s="6" t="n">
        <v>0.449</v>
      </c>
      <c r="J552" s="2" t="n">
        <f aca="false">B552/$B$1003</f>
        <v>0.000638858493107555</v>
      </c>
      <c r="K552" s="5" t="n">
        <f aca="false">J552*LOG(J552,2)</f>
        <v>-0.00677970430270926</v>
      </c>
      <c r="N552" s="2" t="n">
        <f aca="false">1/1000*LOG(1/1000,2)</f>
        <v>-0.00996578428466209</v>
      </c>
    </row>
    <row r="553" customFormat="false" ht="13" hidden="false" customHeight="false" outlineLevel="0" collapsed="false">
      <c r="A553" s="4" t="n">
        <v>449</v>
      </c>
      <c r="B553" s="2" t="n">
        <v>6.53120290522556</v>
      </c>
      <c r="C553" s="5" t="n">
        <f aca="false">B553</f>
        <v>6.53120290522556</v>
      </c>
      <c r="D553" s="5" t="n">
        <f aca="false">C553*LOG(C553)</f>
        <v>5.32288580026672</v>
      </c>
      <c r="E553" s="5"/>
      <c r="F553" s="5"/>
      <c r="G553" s="4" t="n">
        <v>552</v>
      </c>
      <c r="H553" s="6" t="n">
        <v>0.448</v>
      </c>
      <c r="J553" s="2" t="n">
        <f aca="false">B553/$B$1003</f>
        <v>0.000638326708654789</v>
      </c>
      <c r="K553" s="5" t="n">
        <f aca="false">J553*LOG(J553,2)</f>
        <v>-0.00677482777464258</v>
      </c>
      <c r="N553" s="2" t="n">
        <f aca="false">1/1000*LOG(1/1000,2)</f>
        <v>-0.00996578428466209</v>
      </c>
    </row>
    <row r="554" customFormat="false" ht="13" hidden="false" customHeight="false" outlineLevel="0" collapsed="false">
      <c r="A554" s="4" t="n">
        <v>448</v>
      </c>
      <c r="B554" s="2" t="n">
        <v>6.52383677624687</v>
      </c>
      <c r="C554" s="5" t="n">
        <f aca="false">B554</f>
        <v>6.52383677624687</v>
      </c>
      <c r="D554" s="5" t="n">
        <f aca="false">C554*LOG(C554)</f>
        <v>5.31368519093757</v>
      </c>
      <c r="E554" s="5"/>
      <c r="F554" s="5"/>
      <c r="G554" s="4" t="n">
        <v>553</v>
      </c>
      <c r="H554" s="6" t="n">
        <v>0.447</v>
      </c>
      <c r="J554" s="2" t="n">
        <f aca="false">B554/$B$1003</f>
        <v>0.000637606780498411</v>
      </c>
      <c r="K554" s="5" t="n">
        <f aca="false">J554*LOG(J554,2)</f>
        <v>-0.00676822492750005</v>
      </c>
      <c r="N554" s="2" t="n">
        <f aca="false">1/1000*LOG(1/1000,2)</f>
        <v>-0.00996578428466209</v>
      </c>
    </row>
    <row r="555" customFormat="false" ht="13" hidden="false" customHeight="false" outlineLevel="0" collapsed="false">
      <c r="A555" s="4" t="n">
        <v>447</v>
      </c>
      <c r="B555" s="2" t="n">
        <v>6.50102051607223</v>
      </c>
      <c r="C555" s="5" t="n">
        <f aca="false">B555</f>
        <v>6.50102051607223</v>
      </c>
      <c r="D555" s="5" t="n">
        <f aca="false">C555*LOG(C555)</f>
        <v>5.28520964861349</v>
      </c>
      <c r="E555" s="5"/>
      <c r="F555" s="5"/>
      <c r="G555" s="4" t="n">
        <v>554</v>
      </c>
      <c r="H555" s="6" t="n">
        <v>0.446</v>
      </c>
      <c r="J555" s="2" t="n">
        <f aca="false">B555/$B$1003</f>
        <v>0.00063537683473307</v>
      </c>
      <c r="K555" s="5" t="n">
        <f aca="false">J555*LOG(J555,2)</f>
        <v>-0.00674776545132328</v>
      </c>
      <c r="N555" s="2" t="n">
        <f aca="false">1/1000*LOG(1/1000,2)</f>
        <v>-0.00996578428466209</v>
      </c>
    </row>
    <row r="556" customFormat="false" ht="13" hidden="false" customHeight="false" outlineLevel="0" collapsed="false">
      <c r="A556" s="4" t="n">
        <v>446</v>
      </c>
      <c r="B556" s="2" t="n">
        <v>6.49480285996015</v>
      </c>
      <c r="C556" s="5" t="n">
        <f aca="false">B556</f>
        <v>6.49480285996015</v>
      </c>
      <c r="D556" s="5" t="n">
        <f aca="false">C556*LOG(C556)</f>
        <v>5.27745580696256</v>
      </c>
      <c r="E556" s="5"/>
      <c r="F556" s="5"/>
      <c r="G556" s="4" t="n">
        <v>555</v>
      </c>
      <c r="H556" s="6" t="n">
        <v>0.445</v>
      </c>
      <c r="J556" s="2" t="n">
        <f aca="false">B556/$B$1003</f>
        <v>0.00063476915250069</v>
      </c>
      <c r="K556" s="5" t="n">
        <f aca="false">J556*LOG(J556,2)</f>
        <v>-0.00674218808608127</v>
      </c>
      <c r="N556" s="2" t="n">
        <f aca="false">1/1000*LOG(1/1000,2)</f>
        <v>-0.00996578428466209</v>
      </c>
    </row>
    <row r="557" customFormat="false" ht="13" hidden="false" customHeight="false" outlineLevel="0" collapsed="false">
      <c r="A557" s="4" t="n">
        <v>445</v>
      </c>
      <c r="B557" s="2" t="n">
        <v>6.49439556789844</v>
      </c>
      <c r="C557" s="5" t="n">
        <f aca="false">B557</f>
        <v>6.49439556789844</v>
      </c>
      <c r="D557" s="5" t="n">
        <f aca="false">C557*LOG(C557)</f>
        <v>5.2769479761435</v>
      </c>
      <c r="E557" s="5"/>
      <c r="F557" s="5"/>
      <c r="G557" s="4" t="n">
        <v>556</v>
      </c>
      <c r="H557" s="6" t="n">
        <v>0.444</v>
      </c>
      <c r="J557" s="2" t="n">
        <f aca="false">B557/$B$1003</f>
        <v>0.000634729345836438</v>
      </c>
      <c r="K557" s="5" t="n">
        <f aca="false">J557*LOG(J557,2)</f>
        <v>-0.00674182270745511</v>
      </c>
      <c r="N557" s="2" t="n">
        <f aca="false">1/1000*LOG(1/1000,2)</f>
        <v>-0.00996578428466209</v>
      </c>
    </row>
    <row r="558" customFormat="false" ht="13" hidden="false" customHeight="false" outlineLevel="0" collapsed="false">
      <c r="A558" s="4" t="n">
        <v>444</v>
      </c>
      <c r="B558" s="2" t="n">
        <v>6.39911991601633</v>
      </c>
      <c r="C558" s="5" t="n">
        <f aca="false">B558</f>
        <v>6.39911991601633</v>
      </c>
      <c r="D558" s="5" t="n">
        <f aca="false">C558*LOG(C558)</f>
        <v>5.15846013807714</v>
      </c>
      <c r="E558" s="5"/>
      <c r="F558" s="5"/>
      <c r="G558" s="4" t="n">
        <v>557</v>
      </c>
      <c r="H558" s="6" t="n">
        <v>0.443</v>
      </c>
      <c r="J558" s="2" t="n">
        <f aca="false">B558/$B$1003</f>
        <v>0.000625417585941153</v>
      </c>
      <c r="K558" s="5" t="n">
        <f aca="false">J558*LOG(J558,2)</f>
        <v>-0.00665625219293263</v>
      </c>
      <c r="N558" s="2" t="n">
        <f aca="false">1/1000*LOG(1/1000,2)</f>
        <v>-0.00996578428466209</v>
      </c>
    </row>
    <row r="559" customFormat="false" ht="13" hidden="false" customHeight="false" outlineLevel="0" collapsed="false">
      <c r="A559" s="4" t="n">
        <v>443</v>
      </c>
      <c r="B559" s="2" t="n">
        <v>6.39092974960317</v>
      </c>
      <c r="C559" s="5" t="n">
        <f aca="false">B559</f>
        <v>6.39092974960317</v>
      </c>
      <c r="D559" s="5" t="n">
        <f aca="false">C559*LOG(C559)</f>
        <v>5.1483032122317</v>
      </c>
      <c r="E559" s="5"/>
      <c r="F559" s="5"/>
      <c r="G559" s="4" t="n">
        <v>558</v>
      </c>
      <c r="H559" s="6" t="n">
        <v>0.442</v>
      </c>
      <c r="J559" s="2" t="n">
        <f aca="false">B559/$B$1003</f>
        <v>0.000624617120537504</v>
      </c>
      <c r="K559" s="5" t="n">
        <f aca="false">J559*LOG(J559,2)</f>
        <v>-0.00664888701374417</v>
      </c>
      <c r="N559" s="2" t="n">
        <f aca="false">1/1000*LOG(1/1000,2)</f>
        <v>-0.00996578428466209</v>
      </c>
    </row>
    <row r="560" customFormat="false" ht="13" hidden="false" customHeight="false" outlineLevel="0" collapsed="false">
      <c r="A560" s="4" t="n">
        <v>442</v>
      </c>
      <c r="B560" s="2" t="n">
        <v>6.39062964001226</v>
      </c>
      <c r="C560" s="5" t="n">
        <f aca="false">B560</f>
        <v>6.39062964001226</v>
      </c>
      <c r="D560" s="5" t="n">
        <f aca="false">C560*LOG(C560)</f>
        <v>5.14793112185704</v>
      </c>
      <c r="E560" s="5"/>
      <c r="F560" s="5"/>
      <c r="G560" s="4" t="n">
        <v>559</v>
      </c>
      <c r="H560" s="6" t="n">
        <v>0.441</v>
      </c>
      <c r="J560" s="2" t="n">
        <f aca="false">B560/$B$1003</f>
        <v>0.000624587789345352</v>
      </c>
      <c r="K560" s="5" t="n">
        <f aca="false">J560*LOG(J560,2)</f>
        <v>-0.00664861710579392</v>
      </c>
      <c r="N560" s="2" t="n">
        <f aca="false">1/1000*LOG(1/1000,2)</f>
        <v>-0.00996578428466209</v>
      </c>
    </row>
    <row r="561" customFormat="false" ht="13" hidden="false" customHeight="false" outlineLevel="0" collapsed="false">
      <c r="A561" s="4" t="n">
        <v>441</v>
      </c>
      <c r="B561" s="2" t="n">
        <v>6.36177462934552</v>
      </c>
      <c r="C561" s="5" t="n">
        <f aca="false">B561</f>
        <v>6.36177462934552</v>
      </c>
      <c r="D561" s="5" t="n">
        <f aca="false">C561*LOG(C561)</f>
        <v>5.11218391334715</v>
      </c>
      <c r="E561" s="5"/>
      <c r="F561" s="5"/>
      <c r="G561" s="4" t="n">
        <v>560</v>
      </c>
      <c r="H561" s="6" t="n">
        <v>0.44</v>
      </c>
      <c r="J561" s="2" t="n">
        <f aca="false">B561/$B$1003</f>
        <v>0.000621767646677243</v>
      </c>
      <c r="K561" s="5" t="n">
        <f aca="false">J561*LOG(J561,2)</f>
        <v>-0.00662265663520724</v>
      </c>
      <c r="N561" s="2" t="n">
        <f aca="false">1/1000*LOG(1/1000,2)</f>
        <v>-0.00996578428466209</v>
      </c>
    </row>
    <row r="562" customFormat="false" ht="13" hidden="false" customHeight="false" outlineLevel="0" collapsed="false">
      <c r="A562" s="4" t="n">
        <v>440</v>
      </c>
      <c r="B562" s="2" t="n">
        <v>6.35962273007073</v>
      </c>
      <c r="C562" s="5" t="n">
        <f aca="false">B562</f>
        <v>6.35962273007073</v>
      </c>
      <c r="D562" s="5" t="n">
        <f aca="false">C562*LOG(C562)</f>
        <v>5.10952029392595</v>
      </c>
      <c r="E562" s="5"/>
      <c r="F562" s="5"/>
      <c r="G562" s="4" t="n">
        <v>561</v>
      </c>
      <c r="H562" s="6" t="n">
        <v>0.439</v>
      </c>
      <c r="J562" s="2" t="n">
        <f aca="false">B562/$B$1003</f>
        <v>0.000621557330935814</v>
      </c>
      <c r="K562" s="5" t="n">
        <f aca="false">J562*LOG(J562,2)</f>
        <v>-0.00662071986155902</v>
      </c>
      <c r="N562" s="2" t="n">
        <f aca="false">1/1000*LOG(1/1000,2)</f>
        <v>-0.00996578428466209</v>
      </c>
    </row>
    <row r="563" customFormat="false" ht="13" hidden="false" customHeight="false" outlineLevel="0" collapsed="false">
      <c r="A563" s="4" t="n">
        <v>439</v>
      </c>
      <c r="B563" s="2" t="n">
        <v>6.28223541903617</v>
      </c>
      <c r="C563" s="5" t="n">
        <f aca="false">B563</f>
        <v>6.28223541903617</v>
      </c>
      <c r="D563" s="5" t="n">
        <f aca="false">C563*LOG(C563)</f>
        <v>5.01394133976654</v>
      </c>
      <c r="E563" s="5"/>
      <c r="F563" s="5"/>
      <c r="G563" s="4" t="n">
        <v>562</v>
      </c>
      <c r="H563" s="6" t="n">
        <v>0.438</v>
      </c>
      <c r="J563" s="2" t="n">
        <f aca="false">B563/$B$1003</f>
        <v>0.000613993886917743</v>
      </c>
      <c r="K563" s="5" t="n">
        <f aca="false">J563*LOG(J563,2)</f>
        <v>-0.0065510004624068</v>
      </c>
      <c r="N563" s="2" t="n">
        <f aca="false">1/1000*LOG(1/1000,2)</f>
        <v>-0.00996578428466209</v>
      </c>
    </row>
    <row r="564" customFormat="false" ht="13" hidden="false" customHeight="false" outlineLevel="0" collapsed="false">
      <c r="A564" s="4" t="n">
        <v>438</v>
      </c>
      <c r="B564" s="2" t="n">
        <v>6.27733641510048</v>
      </c>
      <c r="C564" s="5" t="n">
        <f aca="false">B564</f>
        <v>6.27733641510048</v>
      </c>
      <c r="D564" s="5" t="n">
        <f aca="false">C564*LOG(C564)</f>
        <v>5.00790459453992</v>
      </c>
      <c r="E564" s="5"/>
      <c r="F564" s="5"/>
      <c r="G564" s="4" t="n">
        <v>563</v>
      </c>
      <c r="H564" s="6" t="n">
        <v>0.437</v>
      </c>
      <c r="J564" s="2" t="n">
        <f aca="false">B564/$B$1003</f>
        <v>0.000613515083073592</v>
      </c>
      <c r="K564" s="5" t="n">
        <f aca="false">J564*LOG(J564,2)</f>
        <v>-0.0065465823690199</v>
      </c>
      <c r="N564" s="2" t="n">
        <f aca="false">1/1000*LOG(1/1000,2)</f>
        <v>-0.00996578428466209</v>
      </c>
    </row>
    <row r="565" customFormat="false" ht="13" hidden="false" customHeight="false" outlineLevel="0" collapsed="false">
      <c r="A565" s="4" t="n">
        <v>437</v>
      </c>
      <c r="B565" s="2" t="n">
        <v>6.27521230290384</v>
      </c>
      <c r="C565" s="5" t="n">
        <f aca="false">B565</f>
        <v>6.27521230290384</v>
      </c>
      <c r="D565" s="5" t="n">
        <f aca="false">C565*LOG(C565)</f>
        <v>5.00528769596096</v>
      </c>
      <c r="E565" s="5"/>
      <c r="F565" s="5"/>
      <c r="G565" s="4" t="n">
        <v>564</v>
      </c>
      <c r="H565" s="6" t="n">
        <v>0.436</v>
      </c>
      <c r="J565" s="2" t="n">
        <f aca="false">B565/$B$1003</f>
        <v>0.000613307483100513</v>
      </c>
      <c r="K565" s="5" t="n">
        <f aca="false">J565*LOG(J565,2)</f>
        <v>-0.00654466660270391</v>
      </c>
      <c r="N565" s="2" t="n">
        <f aca="false">1/1000*LOG(1/1000,2)</f>
        <v>-0.00996578428466209</v>
      </c>
    </row>
    <row r="566" customFormat="false" ht="13" hidden="false" customHeight="false" outlineLevel="0" collapsed="false">
      <c r="A566" s="4" t="n">
        <v>436</v>
      </c>
      <c r="B566" s="2" t="n">
        <v>6.26010567450089</v>
      </c>
      <c r="C566" s="5" t="n">
        <f aca="false">B566</f>
        <v>6.26010567450089</v>
      </c>
      <c r="D566" s="5" t="n">
        <f aca="false">C566*LOG(C566)</f>
        <v>4.98668539773235</v>
      </c>
      <c r="E566" s="5"/>
      <c r="F566" s="5"/>
      <c r="G566" s="4" t="n">
        <v>565</v>
      </c>
      <c r="H566" s="6" t="n">
        <v>0.435</v>
      </c>
      <c r="J566" s="2" t="n">
        <f aca="false">B566/$B$1003</f>
        <v>0.000611831037715604</v>
      </c>
      <c r="K566" s="5" t="n">
        <f aca="false">J566*LOG(J566,2)</f>
        <v>-0.00653103879813653</v>
      </c>
      <c r="N566" s="2" t="n">
        <f aca="false">1/1000*LOG(1/1000,2)</f>
        <v>-0.00996578428466209</v>
      </c>
    </row>
    <row r="567" customFormat="false" ht="13" hidden="false" customHeight="false" outlineLevel="0" collapsed="false">
      <c r="A567" s="4" t="n">
        <v>435</v>
      </c>
      <c r="B567" s="2" t="n">
        <v>6.25071046741346</v>
      </c>
      <c r="C567" s="5" t="n">
        <f aca="false">B567</f>
        <v>6.25071046741346</v>
      </c>
      <c r="D567" s="5" t="n">
        <f aca="false">C567*LOG(C567)</f>
        <v>4.97512412483168</v>
      </c>
      <c r="E567" s="5"/>
      <c r="F567" s="5"/>
      <c r="G567" s="4" t="n">
        <v>566</v>
      </c>
      <c r="H567" s="6" t="n">
        <v>0.434</v>
      </c>
      <c r="J567" s="2" t="n">
        <f aca="false">B567/$B$1003</f>
        <v>0.000610912797736801</v>
      </c>
      <c r="K567" s="5" t="n">
        <f aca="false">J567*LOG(J567,2)</f>
        <v>-0.00652256071854141</v>
      </c>
      <c r="N567" s="2" t="n">
        <f aca="false">1/1000*LOG(1/1000,2)</f>
        <v>-0.00996578428466209</v>
      </c>
    </row>
    <row r="568" customFormat="false" ht="13" hidden="false" customHeight="false" outlineLevel="0" collapsed="false">
      <c r="A568" s="4" t="n">
        <v>434</v>
      </c>
      <c r="B568" s="2" t="n">
        <v>6.24168542917505</v>
      </c>
      <c r="C568" s="5" t="n">
        <f aca="false">B568</f>
        <v>6.24168542917505</v>
      </c>
      <c r="D568" s="5" t="n">
        <f aca="false">C568*LOG(C568)</f>
        <v>4.96402413835999</v>
      </c>
      <c r="E568" s="5"/>
      <c r="F568" s="5"/>
      <c r="G568" s="4" t="n">
        <v>567</v>
      </c>
      <c r="H568" s="6" t="n">
        <v>0.433</v>
      </c>
      <c r="J568" s="2" t="n">
        <f aca="false">B568/$B$1003</f>
        <v>0.000610030736187374</v>
      </c>
      <c r="K568" s="5" t="n">
        <f aca="false">J568*LOG(J568,2)</f>
        <v>-0.00651441479819862</v>
      </c>
      <c r="N568" s="2" t="n">
        <f aca="false">1/1000*LOG(1/1000,2)</f>
        <v>-0.00996578428466209</v>
      </c>
    </row>
    <row r="569" customFormat="false" ht="13" hidden="false" customHeight="false" outlineLevel="0" collapsed="false">
      <c r="A569" s="4" t="n">
        <v>433</v>
      </c>
      <c r="B569" s="2" t="n">
        <v>6.20177556234364</v>
      </c>
      <c r="C569" s="5" t="n">
        <f aca="false">B569</f>
        <v>6.20177556234364</v>
      </c>
      <c r="D569" s="5" t="n">
        <f aca="false">C569*LOG(C569)</f>
        <v>4.91500664306867</v>
      </c>
      <c r="E569" s="5"/>
      <c r="F569" s="5"/>
      <c r="G569" s="4" t="n">
        <v>568</v>
      </c>
      <c r="H569" s="6" t="n">
        <v>0.432</v>
      </c>
      <c r="J569" s="2" t="n">
        <f aca="false">B569/$B$1003</f>
        <v>0.000606130147841396</v>
      </c>
      <c r="K569" s="5" t="n">
        <f aca="false">J569*LOG(J569,2)</f>
        <v>-0.00647837040670269</v>
      </c>
      <c r="N569" s="2" t="n">
        <f aca="false">1/1000*LOG(1/1000,2)</f>
        <v>-0.00996578428466209</v>
      </c>
    </row>
    <row r="570" customFormat="false" ht="13" hidden="false" customHeight="false" outlineLevel="0" collapsed="false">
      <c r="A570" s="4" t="n">
        <v>432</v>
      </c>
      <c r="B570" s="2" t="n">
        <v>6.17132957041827</v>
      </c>
      <c r="C570" s="5" t="n">
        <f aca="false">B570</f>
        <v>6.17132957041827</v>
      </c>
      <c r="D570" s="5" t="n">
        <f aca="false">C570*LOG(C570)</f>
        <v>4.87768768916721</v>
      </c>
      <c r="E570" s="5"/>
      <c r="F570" s="5"/>
      <c r="G570" s="4" t="n">
        <v>569</v>
      </c>
      <c r="H570" s="6" t="n">
        <v>0.431</v>
      </c>
      <c r="J570" s="2" t="n">
        <f aca="false">B570/$B$1003</f>
        <v>0.000603154510719189</v>
      </c>
      <c r="K570" s="5" t="n">
        <f aca="false">J570*LOG(J570,2)</f>
        <v>-0.00645084892698071</v>
      </c>
      <c r="N570" s="2" t="n">
        <f aca="false">1/1000*LOG(1/1000,2)</f>
        <v>-0.00996578428466209</v>
      </c>
    </row>
    <row r="571" customFormat="false" ht="13" hidden="false" customHeight="false" outlineLevel="0" collapsed="false">
      <c r="A571" s="4" t="n">
        <v>431</v>
      </c>
      <c r="B571" s="2" t="n">
        <v>6.16154418473201</v>
      </c>
      <c r="C571" s="5" t="n">
        <f aca="false">B571</f>
        <v>6.16154418473201</v>
      </c>
      <c r="D571" s="5" t="n">
        <f aca="false">C571*LOG(C571)</f>
        <v>4.86570716037106</v>
      </c>
      <c r="E571" s="5"/>
      <c r="F571" s="5"/>
      <c r="G571" s="4" t="n">
        <v>570</v>
      </c>
      <c r="H571" s="6" t="n">
        <v>0.43</v>
      </c>
      <c r="J571" s="2" t="n">
        <f aca="false">B571/$B$1003</f>
        <v>0.000602198136659362</v>
      </c>
      <c r="K571" s="5" t="n">
        <f aca="false">J571*LOG(J571,2)</f>
        <v>-0.00644199899136756</v>
      </c>
      <c r="N571" s="2" t="n">
        <f aca="false">1/1000*LOG(1/1000,2)</f>
        <v>-0.00996578428466209</v>
      </c>
    </row>
    <row r="572" customFormat="false" ht="13" hidden="false" customHeight="false" outlineLevel="0" collapsed="false">
      <c r="A572" s="4" t="n">
        <v>430</v>
      </c>
      <c r="B572" s="2" t="n">
        <v>6.14354311937018</v>
      </c>
      <c r="C572" s="5" t="n">
        <f aca="false">B572</f>
        <v>6.14354311937018</v>
      </c>
      <c r="D572" s="5" t="n">
        <f aca="false">C572*LOG(C572)</f>
        <v>4.84368557450932</v>
      </c>
      <c r="E572" s="5"/>
      <c r="F572" s="5"/>
      <c r="G572" s="4" t="n">
        <v>571</v>
      </c>
      <c r="H572" s="6" t="n">
        <v>0.429</v>
      </c>
      <c r="J572" s="2" t="n">
        <f aca="false">B572/$B$1003</f>
        <v>0.000600438803658774</v>
      </c>
      <c r="K572" s="5" t="n">
        <f aca="false">J572*LOG(J572,2)</f>
        <v>-0.0064257130418059</v>
      </c>
      <c r="N572" s="2" t="n">
        <f aca="false">1/1000*LOG(1/1000,2)</f>
        <v>-0.00996578428466209</v>
      </c>
    </row>
    <row r="573" customFormat="false" ht="13" hidden="false" customHeight="false" outlineLevel="0" collapsed="false">
      <c r="A573" s="4" t="n">
        <v>429</v>
      </c>
      <c r="B573" s="2" t="n">
        <v>6.12910863716661</v>
      </c>
      <c r="C573" s="5" t="n">
        <f aca="false">B573</f>
        <v>6.12910863716661</v>
      </c>
      <c r="D573" s="5" t="n">
        <f aca="false">C573*LOG(C573)</f>
        <v>4.82604370998469</v>
      </c>
      <c r="E573" s="5"/>
      <c r="F573" s="5"/>
      <c r="G573" s="4" t="n">
        <v>572</v>
      </c>
      <c r="H573" s="6" t="n">
        <v>0.428</v>
      </c>
      <c r="J573" s="2" t="n">
        <f aca="false">B573/$B$1003</f>
        <v>0.000599028050440746</v>
      </c>
      <c r="K573" s="5" t="n">
        <f aca="false">J573*LOG(J573,2)</f>
        <v>-0.00641264848472003</v>
      </c>
      <c r="N573" s="2" t="n">
        <f aca="false">1/1000*LOG(1/1000,2)</f>
        <v>-0.00996578428466209</v>
      </c>
    </row>
    <row r="574" customFormat="false" ht="13" hidden="false" customHeight="false" outlineLevel="0" collapsed="false">
      <c r="A574" s="4" t="n">
        <v>428</v>
      </c>
      <c r="B574" s="2" t="n">
        <v>6.12784678229468</v>
      </c>
      <c r="C574" s="5" t="n">
        <f aca="false">B574</f>
        <v>6.12784678229468</v>
      </c>
      <c r="D574" s="5" t="n">
        <f aca="false">C574*LOG(C574)</f>
        <v>4.82450216864991</v>
      </c>
      <c r="E574" s="5"/>
      <c r="F574" s="5"/>
      <c r="G574" s="4" t="n">
        <v>573</v>
      </c>
      <c r="H574" s="6" t="n">
        <v>0.427</v>
      </c>
      <c r="J574" s="2" t="n">
        <f aca="false">B574/$B$1003</f>
        <v>0.000598904723133528</v>
      </c>
      <c r="K574" s="5" t="n">
        <f aca="false">J574*LOG(J574,2)</f>
        <v>-0.00641150616032041</v>
      </c>
      <c r="N574" s="2" t="n">
        <f aca="false">1/1000*LOG(1/1000,2)</f>
        <v>-0.00996578428466209</v>
      </c>
    </row>
    <row r="575" customFormat="false" ht="13" hidden="false" customHeight="false" outlineLevel="0" collapsed="false">
      <c r="A575" s="4" t="n">
        <v>427</v>
      </c>
      <c r="B575" s="2" t="n">
        <v>6.12316752871607</v>
      </c>
      <c r="C575" s="5" t="n">
        <f aca="false">B575</f>
        <v>6.12316752871607</v>
      </c>
      <c r="D575" s="5" t="n">
        <f aca="false">C575*LOG(C575)</f>
        <v>4.81878675742924</v>
      </c>
      <c r="E575" s="5"/>
      <c r="F575" s="5"/>
      <c r="G575" s="4" t="n">
        <v>574</v>
      </c>
      <c r="H575" s="6" t="n">
        <v>0.426</v>
      </c>
      <c r="J575" s="2" t="n">
        <f aca="false">B575/$B$1003</f>
        <v>0.000598447396576821</v>
      </c>
      <c r="K575" s="5" t="n">
        <f aca="false">J575*LOG(J575,2)</f>
        <v>-0.00640726983384704</v>
      </c>
      <c r="N575" s="2" t="n">
        <f aca="false">1/1000*LOG(1/1000,2)</f>
        <v>-0.00996578428466209</v>
      </c>
    </row>
    <row r="576" customFormat="false" ht="13" hidden="false" customHeight="false" outlineLevel="0" collapsed="false">
      <c r="A576" s="4" t="n">
        <v>426</v>
      </c>
      <c r="B576" s="2" t="n">
        <v>6.11797609958222</v>
      </c>
      <c r="C576" s="5" t="n">
        <f aca="false">B576</f>
        <v>6.11797609958222</v>
      </c>
      <c r="D576" s="5" t="n">
        <f aca="false">C576*LOG(C576)</f>
        <v>4.8124475735702</v>
      </c>
      <c r="E576" s="5"/>
      <c r="F576" s="5"/>
      <c r="G576" s="4" t="n">
        <v>575</v>
      </c>
      <c r="H576" s="6" t="n">
        <v>0.425</v>
      </c>
      <c r="J576" s="2" t="n">
        <f aca="false">B576/$B$1003</f>
        <v>0.000597940012574164</v>
      </c>
      <c r="K576" s="5" t="n">
        <f aca="false">J576*LOG(J576,2)</f>
        <v>-0.00640256922313127</v>
      </c>
      <c r="N576" s="2" t="n">
        <f aca="false">1/1000*LOG(1/1000,2)</f>
        <v>-0.00996578428466209</v>
      </c>
    </row>
    <row r="577" customFormat="false" ht="13" hidden="false" customHeight="false" outlineLevel="0" collapsed="false">
      <c r="A577" s="4" t="n">
        <v>425</v>
      </c>
      <c r="B577" s="2" t="n">
        <v>6.08639220872217</v>
      </c>
      <c r="C577" s="5" t="n">
        <f aca="false">B577</f>
        <v>6.08639220872217</v>
      </c>
      <c r="D577" s="5" t="n">
        <f aca="false">C577*LOG(C577)</f>
        <v>4.7739221970661</v>
      </c>
      <c r="E577" s="5"/>
      <c r="F577" s="5"/>
      <c r="G577" s="4" t="n">
        <v>576</v>
      </c>
      <c r="H577" s="6" t="n">
        <v>0.424</v>
      </c>
      <c r="J577" s="2" t="n">
        <f aca="false">B577/$B$1003</f>
        <v>0.000594853162970536</v>
      </c>
      <c r="K577" s="5" t="n">
        <f aca="false">J577*LOG(J577,2)</f>
        <v>-0.00637395799529603</v>
      </c>
      <c r="N577" s="2" t="n">
        <f aca="false">1/1000*LOG(1/1000,2)</f>
        <v>-0.00996578428466209</v>
      </c>
    </row>
    <row r="578" customFormat="false" ht="13" hidden="false" customHeight="false" outlineLevel="0" collapsed="false">
      <c r="A578" s="4" t="n">
        <v>424</v>
      </c>
      <c r="B578" s="2" t="n">
        <v>6.0832439975961</v>
      </c>
      <c r="C578" s="5" t="n">
        <f aca="false">B578</f>
        <v>6.0832439975961</v>
      </c>
      <c r="D578" s="5" t="n">
        <f aca="false">C578*LOG(C578)</f>
        <v>4.77008596934103</v>
      </c>
      <c r="E578" s="5"/>
      <c r="F578" s="5"/>
      <c r="G578" s="4" t="n">
        <v>577</v>
      </c>
      <c r="H578" s="6" t="n">
        <v>0.423</v>
      </c>
      <c r="J578" s="2" t="n">
        <f aca="false">B578/$B$1003</f>
        <v>0.000594545472752453</v>
      </c>
      <c r="K578" s="5" t="n">
        <f aca="false">J578*LOG(J578,2)</f>
        <v>-0.00637110482792379</v>
      </c>
      <c r="N578" s="2" t="n">
        <f aca="false">1/1000*LOG(1/1000,2)</f>
        <v>-0.00996578428466209</v>
      </c>
    </row>
    <row r="579" customFormat="false" ht="13" hidden="false" customHeight="false" outlineLevel="0" collapsed="false">
      <c r="A579" s="4" t="n">
        <v>423</v>
      </c>
      <c r="B579" s="2" t="n">
        <v>6.06185455412827</v>
      </c>
      <c r="C579" s="5" t="n">
        <f aca="false">B579</f>
        <v>6.06185455412827</v>
      </c>
      <c r="D579" s="5" t="n">
        <f aca="false">C579*LOG(C579)</f>
        <v>4.7440407861374</v>
      </c>
      <c r="E579" s="5"/>
      <c r="F579" s="5"/>
      <c r="G579" s="4" t="n">
        <v>578</v>
      </c>
      <c r="H579" s="6" t="n">
        <v>0.422</v>
      </c>
      <c r="J579" s="2" t="n">
        <f aca="false">B579/$B$1003</f>
        <v>0.000592454976828976</v>
      </c>
      <c r="K579" s="5" t="n">
        <f aca="false">J579*LOG(J579,2)</f>
        <v>-0.00635171386957987</v>
      </c>
      <c r="N579" s="2" t="n">
        <f aca="false">1/1000*LOG(1/1000,2)</f>
        <v>-0.00996578428466209</v>
      </c>
    </row>
    <row r="580" customFormat="false" ht="13" hidden="false" customHeight="false" outlineLevel="0" collapsed="false">
      <c r="A580" s="4" t="n">
        <v>422</v>
      </c>
      <c r="B580" s="2" t="n">
        <v>6.00126005781533</v>
      </c>
      <c r="C580" s="5" t="n">
        <f aca="false">B580</f>
        <v>6.00126005781533</v>
      </c>
      <c r="D580" s="5" t="n">
        <f aca="false">C580*LOG(C580)</f>
        <v>4.6704353114809</v>
      </c>
      <c r="E580" s="5"/>
      <c r="F580" s="5"/>
      <c r="G580" s="4" t="n">
        <v>579</v>
      </c>
      <c r="H580" s="6" t="n">
        <v>0.421</v>
      </c>
      <c r="J580" s="2" t="n">
        <f aca="false">B580/$B$1003</f>
        <v>0.000586532777510518</v>
      </c>
      <c r="K580" s="5" t="n">
        <f aca="false">J580*LOG(J580,2)</f>
        <v>-0.00629672301196971</v>
      </c>
      <c r="N580" s="2" t="n">
        <f aca="false">1/1000*LOG(1/1000,2)</f>
        <v>-0.00996578428466209</v>
      </c>
    </row>
    <row r="581" customFormat="false" ht="13" hidden="false" customHeight="false" outlineLevel="0" collapsed="false">
      <c r="A581" s="4" t="n">
        <v>421</v>
      </c>
      <c r="B581" s="2" t="n">
        <v>5.97253275083671</v>
      </c>
      <c r="C581" s="5" t="n">
        <f aca="false">B581</f>
        <v>5.97253275083671</v>
      </c>
      <c r="D581" s="5" t="n">
        <f aca="false">C581*LOG(C581)</f>
        <v>4.63563229948515</v>
      </c>
      <c r="E581" s="5"/>
      <c r="F581" s="5"/>
      <c r="G581" s="4" t="n">
        <v>580</v>
      </c>
      <c r="H581" s="6" t="n">
        <v>0.42</v>
      </c>
      <c r="J581" s="2" t="n">
        <f aca="false">B581/$B$1003</f>
        <v>0.000583725115954404</v>
      </c>
      <c r="K581" s="5" t="n">
        <f aca="false">J581*LOG(J581,2)</f>
        <v>-0.00627062224855175</v>
      </c>
      <c r="N581" s="2" t="n">
        <f aca="false">1/1000*LOG(1/1000,2)</f>
        <v>-0.00996578428466209</v>
      </c>
    </row>
    <row r="582" customFormat="false" ht="13" hidden="false" customHeight="false" outlineLevel="0" collapsed="false">
      <c r="A582" s="4" t="n">
        <v>420</v>
      </c>
      <c r="B582" s="2" t="n">
        <v>5.97016395381434</v>
      </c>
      <c r="C582" s="5" t="n">
        <f aca="false">B582</f>
        <v>5.97016395381434</v>
      </c>
      <c r="D582" s="5" t="n">
        <f aca="false">C582*LOG(C582)</f>
        <v>4.63276518600833</v>
      </c>
      <c r="E582" s="5"/>
      <c r="F582" s="5"/>
      <c r="G582" s="4" t="n">
        <v>581</v>
      </c>
      <c r="H582" s="6" t="n">
        <v>0.419</v>
      </c>
      <c r="J582" s="2" t="n">
        <f aca="false">B582/$B$1003</f>
        <v>0.000583493601725141</v>
      </c>
      <c r="K582" s="5" t="n">
        <f aca="false">J582*LOG(J582,2)</f>
        <v>-0.00626846916290215</v>
      </c>
      <c r="N582" s="2" t="n">
        <f aca="false">1/1000*LOG(1/1000,2)</f>
        <v>-0.00996578428466209</v>
      </c>
    </row>
    <row r="583" customFormat="false" ht="13" hidden="false" customHeight="false" outlineLevel="0" collapsed="false">
      <c r="A583" s="4" t="n">
        <v>419</v>
      </c>
      <c r="B583" s="2" t="n">
        <v>5.96809575997861</v>
      </c>
      <c r="C583" s="5" t="n">
        <f aca="false">B583</f>
        <v>5.96809575997861</v>
      </c>
      <c r="D583" s="5" t="n">
        <f aca="false">C583*LOG(C583)</f>
        <v>4.63026224643943</v>
      </c>
      <c r="E583" s="5"/>
      <c r="F583" s="5"/>
      <c r="G583" s="4" t="n">
        <v>582</v>
      </c>
      <c r="H583" s="6" t="n">
        <v>0.418</v>
      </c>
      <c r="J583" s="2" t="n">
        <f aca="false">B583/$B$1003</f>
        <v>0.00058329146692958</v>
      </c>
      <c r="K583" s="5" t="n">
        <f aca="false">J583*LOG(J583,2)</f>
        <v>-0.00626658919804405</v>
      </c>
      <c r="N583" s="2" t="n">
        <f aca="false">1/1000*LOG(1/1000,2)</f>
        <v>-0.00996578428466209</v>
      </c>
    </row>
    <row r="584" customFormat="false" ht="13" hidden="false" customHeight="false" outlineLevel="0" collapsed="false">
      <c r="A584" s="4" t="n">
        <v>418</v>
      </c>
      <c r="B584" s="2" t="n">
        <v>5.96654914038787</v>
      </c>
      <c r="C584" s="5" t="n">
        <f aca="false">B584</f>
        <v>5.96654914038787</v>
      </c>
      <c r="D584" s="5" t="n">
        <f aca="false">C584*LOG(C584)</f>
        <v>4.62839072230536</v>
      </c>
      <c r="E584" s="5"/>
      <c r="F584" s="5"/>
      <c r="G584" s="4" t="n">
        <v>583</v>
      </c>
      <c r="H584" s="6" t="n">
        <v>0.417</v>
      </c>
      <c r="J584" s="2" t="n">
        <f aca="false">B584/$B$1003</f>
        <v>0.000583140308160326</v>
      </c>
      <c r="K584" s="5" t="n">
        <f aca="false">J584*LOG(J584,2)</f>
        <v>-0.00626518327224766</v>
      </c>
      <c r="N584" s="2" t="n">
        <f aca="false">1/1000*LOG(1/1000,2)</f>
        <v>-0.00996578428466209</v>
      </c>
    </row>
    <row r="585" customFormat="false" ht="13" hidden="false" customHeight="false" outlineLevel="0" collapsed="false">
      <c r="A585" s="4" t="n">
        <v>417</v>
      </c>
      <c r="B585" s="2" t="n">
        <v>5.96463415822448</v>
      </c>
      <c r="C585" s="5" t="n">
        <f aca="false">B585</f>
        <v>5.96463415822448</v>
      </c>
      <c r="D585" s="5" t="n">
        <f aca="false">C585*LOG(C585)</f>
        <v>4.62607369346254</v>
      </c>
      <c r="E585" s="5"/>
      <c r="F585" s="5"/>
      <c r="G585" s="4" t="n">
        <v>584</v>
      </c>
      <c r="H585" s="6" t="n">
        <v>0.416</v>
      </c>
      <c r="J585" s="2" t="n">
        <f aca="false">B585/$B$1003</f>
        <v>0.000582953147498007</v>
      </c>
      <c r="K585" s="5" t="n">
        <f aca="false">J585*LOG(J585,2)</f>
        <v>-0.00626344241497143</v>
      </c>
      <c r="N585" s="2" t="n">
        <f aca="false">1/1000*LOG(1/1000,2)</f>
        <v>-0.00996578428466209</v>
      </c>
    </row>
    <row r="586" customFormat="false" ht="13" hidden="false" customHeight="false" outlineLevel="0" collapsed="false">
      <c r="A586" s="4" t="n">
        <v>416</v>
      </c>
      <c r="B586" s="2" t="n">
        <v>5.96203659094456</v>
      </c>
      <c r="C586" s="5" t="n">
        <f aca="false">B586</f>
        <v>5.96203659094456</v>
      </c>
      <c r="D586" s="5" t="n">
        <f aca="false">C586*LOG(C586)</f>
        <v>4.62293119887393</v>
      </c>
      <c r="E586" s="5"/>
      <c r="F586" s="5"/>
      <c r="G586" s="4" t="n">
        <v>585</v>
      </c>
      <c r="H586" s="6" t="n">
        <v>0.415</v>
      </c>
      <c r="J586" s="2" t="n">
        <f aca="false">B586/$B$1003</f>
        <v>0.000582699274421889</v>
      </c>
      <c r="K586" s="5" t="n">
        <f aca="false">J586*LOG(J586,2)</f>
        <v>-0.00626108089990736</v>
      </c>
      <c r="N586" s="2" t="n">
        <f aca="false">1/1000*LOG(1/1000,2)</f>
        <v>-0.00996578428466209</v>
      </c>
    </row>
    <row r="587" customFormat="false" ht="13" hidden="false" customHeight="false" outlineLevel="0" collapsed="false">
      <c r="A587" s="4" t="n">
        <v>415</v>
      </c>
      <c r="B587" s="2" t="n">
        <v>5.94805174790395</v>
      </c>
      <c r="C587" s="5" t="n">
        <f aca="false">B587</f>
        <v>5.94805174790395</v>
      </c>
      <c r="D587" s="5" t="n">
        <f aca="false">C587*LOG(C587)</f>
        <v>4.60602101518825</v>
      </c>
      <c r="E587" s="5"/>
      <c r="F587" s="5"/>
      <c r="G587" s="4" t="n">
        <v>586</v>
      </c>
      <c r="H587" s="6" t="n">
        <v>0.414</v>
      </c>
      <c r="J587" s="2" t="n">
        <f aca="false">B587/$B$1003</f>
        <v>0.000581332466659412</v>
      </c>
      <c r="K587" s="5" t="n">
        <f aca="false">J587*LOG(J587,2)</f>
        <v>-0.00624836417628278</v>
      </c>
      <c r="N587" s="2" t="n">
        <f aca="false">1/1000*LOG(1/1000,2)</f>
        <v>-0.00996578428466209</v>
      </c>
    </row>
    <row r="588" customFormat="false" ht="13" hidden="false" customHeight="false" outlineLevel="0" collapsed="false">
      <c r="A588" s="4" t="n">
        <v>414</v>
      </c>
      <c r="B588" s="2" t="n">
        <v>5.94226765532471</v>
      </c>
      <c r="C588" s="5" t="n">
        <f aca="false">B588</f>
        <v>5.94226765532471</v>
      </c>
      <c r="D588" s="5" t="n">
        <f aca="false">C588*LOG(C588)</f>
        <v>4.59903118229537</v>
      </c>
      <c r="E588" s="5"/>
      <c r="F588" s="5"/>
      <c r="G588" s="4" t="n">
        <v>587</v>
      </c>
      <c r="H588" s="6" t="n">
        <v>0.413</v>
      </c>
      <c r="J588" s="2" t="n">
        <f aca="false">B588/$B$1003</f>
        <v>0.000580767158731878</v>
      </c>
      <c r="K588" s="5" t="n">
        <f aca="false">J588*LOG(J588,2)</f>
        <v>-0.0062431032197161</v>
      </c>
      <c r="N588" s="2" t="n">
        <f aca="false">1/1000*LOG(1/1000,2)</f>
        <v>-0.00996578428466209</v>
      </c>
    </row>
    <row r="589" customFormat="false" ht="13" hidden="false" customHeight="false" outlineLevel="0" collapsed="false">
      <c r="A589" s="4" t="n">
        <v>413</v>
      </c>
      <c r="B589" s="2" t="n">
        <v>5.9418310797771</v>
      </c>
      <c r="C589" s="5" t="n">
        <f aca="false">B589</f>
        <v>5.9418310797771</v>
      </c>
      <c r="D589" s="5" t="n">
        <f aca="false">C589*LOG(C589)</f>
        <v>4.59850369829952</v>
      </c>
      <c r="E589" s="5"/>
      <c r="F589" s="5"/>
      <c r="G589" s="4" t="n">
        <v>588</v>
      </c>
      <c r="H589" s="6" t="n">
        <v>0.412</v>
      </c>
      <c r="J589" s="2" t="n">
        <f aca="false">B589/$B$1003</f>
        <v>0.000580724490047957</v>
      </c>
      <c r="K589" s="5" t="n">
        <f aca="false">J589*LOG(J589,2)</f>
        <v>-0.00624270609756154</v>
      </c>
      <c r="N589" s="2" t="n">
        <f aca="false">1/1000*LOG(1/1000,2)</f>
        <v>-0.00996578428466209</v>
      </c>
    </row>
    <row r="590" customFormat="false" ht="13" hidden="false" customHeight="false" outlineLevel="0" collapsed="false">
      <c r="A590" s="4" t="n">
        <v>412</v>
      </c>
      <c r="B590" s="2" t="n">
        <v>5.94179856548689</v>
      </c>
      <c r="C590" s="5" t="n">
        <f aca="false">B590</f>
        <v>5.94179856548689</v>
      </c>
      <c r="D590" s="5" t="n">
        <f aca="false">C590*LOG(C590)</f>
        <v>4.59846441409206</v>
      </c>
      <c r="E590" s="5"/>
      <c r="F590" s="5"/>
      <c r="G590" s="4" t="n">
        <v>589</v>
      </c>
      <c r="H590" s="6" t="n">
        <v>0.411</v>
      </c>
      <c r="J590" s="2" t="n">
        <f aca="false">B590/$B$1003</f>
        <v>0.000580721312265831</v>
      </c>
      <c r="K590" s="5" t="n">
        <f aca="false">J590*LOG(J590,2)</f>
        <v>-0.0062426765214113</v>
      </c>
      <c r="N590" s="2" t="n">
        <f aca="false">1/1000*LOG(1/1000,2)</f>
        <v>-0.00996578428466209</v>
      </c>
    </row>
    <row r="591" customFormat="false" ht="13" hidden="false" customHeight="false" outlineLevel="0" collapsed="false">
      <c r="A591" s="4" t="n">
        <v>411</v>
      </c>
      <c r="B591" s="2" t="n">
        <v>5.93195280681823</v>
      </c>
      <c r="C591" s="5" t="n">
        <f aca="false">B591</f>
        <v>5.93195280681823</v>
      </c>
      <c r="D591" s="5" t="n">
        <f aca="false">C591*LOG(C591)</f>
        <v>4.58657219097888</v>
      </c>
      <c r="E591" s="5"/>
      <c r="F591" s="5"/>
      <c r="G591" s="4" t="n">
        <v>590</v>
      </c>
      <c r="H591" s="6" t="n">
        <v>0.41</v>
      </c>
      <c r="J591" s="2" t="n">
        <f aca="false">B591/$B$1003</f>
        <v>0.000579759037656334</v>
      </c>
      <c r="K591" s="5" t="n">
        <f aca="false">J591*LOG(J591,2)</f>
        <v>-0.00623371931588825</v>
      </c>
      <c r="N591" s="2" t="n">
        <f aca="false">1/1000*LOG(1/1000,2)</f>
        <v>-0.00996578428466209</v>
      </c>
    </row>
    <row r="592" customFormat="false" ht="13" hidden="false" customHeight="false" outlineLevel="0" collapsed="false">
      <c r="A592" s="4" t="n">
        <v>410</v>
      </c>
      <c r="B592" s="2" t="n">
        <v>5.92219332472578</v>
      </c>
      <c r="C592" s="5" t="n">
        <f aca="false">B592</f>
        <v>5.92219332472578</v>
      </c>
      <c r="D592" s="5" t="n">
        <f aca="false">C592*LOG(C592)</f>
        <v>4.57479118135577</v>
      </c>
      <c r="E592" s="5"/>
      <c r="F592" s="5"/>
      <c r="G592" s="4" t="n">
        <v>591</v>
      </c>
      <c r="H592" s="6" t="n">
        <v>0.409</v>
      </c>
      <c r="J592" s="2" t="n">
        <f aca="false">B592/$B$1003</f>
        <v>0.000578805195282632</v>
      </c>
      <c r="K592" s="5" t="n">
        <f aca="false">J592*LOG(J592,2)</f>
        <v>-0.0062248383266961</v>
      </c>
      <c r="N592" s="2" t="n">
        <f aca="false">1/1000*LOG(1/1000,2)</f>
        <v>-0.00996578428466209</v>
      </c>
    </row>
    <row r="593" customFormat="false" ht="13" hidden="false" customHeight="false" outlineLevel="0" collapsed="false">
      <c r="A593" s="4" t="n">
        <v>409</v>
      </c>
      <c r="B593" s="2" t="n">
        <v>5.91516669099815</v>
      </c>
      <c r="C593" s="5" t="n">
        <f aca="false">B593</f>
        <v>5.91516669099815</v>
      </c>
      <c r="D593" s="5" t="n">
        <f aca="false">C593*LOG(C593)</f>
        <v>4.56631341203011</v>
      </c>
      <c r="E593" s="5"/>
      <c r="F593" s="5"/>
      <c r="G593" s="4" t="n">
        <v>592</v>
      </c>
      <c r="H593" s="6" t="n">
        <v>0.408</v>
      </c>
      <c r="J593" s="2" t="n">
        <f aca="false">B593/$B$1003</f>
        <v>0.000578118447673444</v>
      </c>
      <c r="K593" s="5" t="n">
        <f aca="false">J593*LOG(J593,2)</f>
        <v>-0.00621844278652877</v>
      </c>
      <c r="N593" s="2" t="n">
        <f aca="false">1/1000*LOG(1/1000,2)</f>
        <v>-0.00996578428466209</v>
      </c>
    </row>
    <row r="594" customFormat="false" ht="13" hidden="false" customHeight="false" outlineLevel="0" collapsed="false">
      <c r="A594" s="4" t="n">
        <v>408</v>
      </c>
      <c r="B594" s="2" t="n">
        <v>5.90502021520956</v>
      </c>
      <c r="C594" s="5" t="n">
        <f aca="false">B594</f>
        <v>5.90502021520956</v>
      </c>
      <c r="D594" s="5" t="n">
        <f aca="false">C594*LOG(C594)</f>
        <v>4.55407789075292</v>
      </c>
      <c r="E594" s="5"/>
      <c r="F594" s="5"/>
      <c r="G594" s="4" t="n">
        <v>593</v>
      </c>
      <c r="H594" s="6" t="n">
        <v>0.407</v>
      </c>
      <c r="J594" s="2" t="n">
        <f aca="false">B594/$B$1003</f>
        <v>0.000577126782494983</v>
      </c>
      <c r="K594" s="5" t="n">
        <f aca="false">J594*LOG(J594,2)</f>
        <v>-0.00620920553418888</v>
      </c>
      <c r="N594" s="2" t="n">
        <f aca="false">1/1000*LOG(1/1000,2)</f>
        <v>-0.00996578428466209</v>
      </c>
    </row>
    <row r="595" customFormat="false" ht="13" hidden="false" customHeight="false" outlineLevel="0" collapsed="false">
      <c r="A595" s="4" t="n">
        <v>407</v>
      </c>
      <c r="B595" s="2" t="n">
        <v>5.89920643093922</v>
      </c>
      <c r="C595" s="5" t="n">
        <f aca="false">B595</f>
        <v>5.89920643093922</v>
      </c>
      <c r="D595" s="5" t="n">
        <f aca="false">C595*LOG(C595)</f>
        <v>4.54707052489648</v>
      </c>
      <c r="E595" s="5"/>
      <c r="F595" s="5"/>
      <c r="G595" s="4" t="n">
        <v>594</v>
      </c>
      <c r="H595" s="6" t="n">
        <v>0.406</v>
      </c>
      <c r="J595" s="2" t="n">
        <f aca="false">B595/$B$1003</f>
        <v>0.00057655857265187</v>
      </c>
      <c r="K595" s="5" t="n">
        <f aca="false">J595*LOG(J595,2)</f>
        <v>-0.00620391161428339</v>
      </c>
      <c r="N595" s="2" t="n">
        <f aca="false">1/1000*LOG(1/1000,2)</f>
        <v>-0.00996578428466209</v>
      </c>
    </row>
    <row r="596" customFormat="false" ht="13" hidden="false" customHeight="false" outlineLevel="0" collapsed="false">
      <c r="A596" s="4" t="n">
        <v>406</v>
      </c>
      <c r="B596" s="2" t="n">
        <v>5.88305169446148</v>
      </c>
      <c r="C596" s="5" t="n">
        <f aca="false">B596</f>
        <v>5.88305169446148</v>
      </c>
      <c r="D596" s="5" t="n">
        <f aca="false">C596*LOG(C596)</f>
        <v>4.52761225977937</v>
      </c>
      <c r="E596" s="5"/>
      <c r="F596" s="5"/>
      <c r="G596" s="4" t="n">
        <v>595</v>
      </c>
      <c r="H596" s="6" t="n">
        <v>0.405</v>
      </c>
      <c r="J596" s="2" t="n">
        <f aca="false">B596/$B$1003</f>
        <v>0.000574979690489632</v>
      </c>
      <c r="K596" s="5" t="n">
        <f aca="false">J596*LOG(J596,2)</f>
        <v>-0.00618919717879595</v>
      </c>
      <c r="N596" s="2" t="n">
        <f aca="false">1/1000*LOG(1/1000,2)</f>
        <v>-0.00996578428466209</v>
      </c>
    </row>
    <row r="597" customFormat="false" ht="13" hidden="false" customHeight="false" outlineLevel="0" collapsed="false">
      <c r="A597" s="4" t="n">
        <v>405</v>
      </c>
      <c r="B597" s="2" t="n">
        <v>5.85247373643854</v>
      </c>
      <c r="C597" s="5" t="n">
        <f aca="false">B597</f>
        <v>5.85247373643854</v>
      </c>
      <c r="D597" s="5" t="n">
        <f aca="false">C597*LOG(C597)</f>
        <v>4.49083411519976</v>
      </c>
      <c r="E597" s="5"/>
      <c r="F597" s="5"/>
      <c r="G597" s="4" t="n">
        <v>596</v>
      </c>
      <c r="H597" s="6" t="n">
        <v>0.404</v>
      </c>
      <c r="J597" s="2" t="n">
        <f aca="false">B597/$B$1003</f>
        <v>0.000571991155669109</v>
      </c>
      <c r="K597" s="5" t="n">
        <f aca="false">J597*LOG(J597,2)</f>
        <v>-0.00616132830813528</v>
      </c>
      <c r="N597" s="2" t="n">
        <f aca="false">1/1000*LOG(1/1000,2)</f>
        <v>-0.00996578428466209</v>
      </c>
    </row>
    <row r="598" customFormat="false" ht="13" hidden="false" customHeight="false" outlineLevel="0" collapsed="false">
      <c r="A598" s="4" t="n">
        <v>404</v>
      </c>
      <c r="B598" s="2" t="n">
        <v>5.84935291061228</v>
      </c>
      <c r="C598" s="5" t="n">
        <f aca="false">B598</f>
        <v>5.84935291061228</v>
      </c>
      <c r="D598" s="5" t="n">
        <f aca="false">C598*LOG(C598)</f>
        <v>4.487084386354</v>
      </c>
      <c r="E598" s="5"/>
      <c r="F598" s="5"/>
      <c r="G598" s="4" t="n">
        <v>597</v>
      </c>
      <c r="H598" s="6" t="n">
        <v>0.403</v>
      </c>
      <c r="J598" s="2" t="n">
        <f aca="false">B598/$B$1003</f>
        <v>0.000571686141951595</v>
      </c>
      <c r="K598" s="5" t="n">
        <f aca="false">J598*LOG(J598,2)</f>
        <v>-0.00615848271034529</v>
      </c>
      <c r="N598" s="2" t="n">
        <f aca="false">1/1000*LOG(1/1000,2)</f>
        <v>-0.00996578428466209</v>
      </c>
    </row>
    <row r="599" customFormat="false" ht="13" hidden="false" customHeight="false" outlineLevel="0" collapsed="false">
      <c r="A599" s="4" t="n">
        <v>403</v>
      </c>
      <c r="B599" s="2" t="n">
        <v>5.84178062057461</v>
      </c>
      <c r="C599" s="5" t="n">
        <f aca="false">B599</f>
        <v>5.84178062057461</v>
      </c>
      <c r="D599" s="5" t="n">
        <f aca="false">C599*LOG(C599)</f>
        <v>4.47798914919054</v>
      </c>
      <c r="E599" s="5"/>
      <c r="F599" s="5"/>
      <c r="G599" s="4" t="n">
        <v>598</v>
      </c>
      <c r="H599" s="6" t="n">
        <v>0.402</v>
      </c>
      <c r="J599" s="2" t="n">
        <f aca="false">B599/$B$1003</f>
        <v>0.000570946064656973</v>
      </c>
      <c r="K599" s="5" t="n">
        <f aca="false">J599*LOG(J599,2)</f>
        <v>-0.00615157725022906</v>
      </c>
      <c r="N599" s="2" t="n">
        <f aca="false">1/1000*LOG(1/1000,2)</f>
        <v>-0.00996578428466209</v>
      </c>
    </row>
    <row r="600" customFormat="false" ht="13" hidden="false" customHeight="false" outlineLevel="0" collapsed="false">
      <c r="A600" s="4" t="n">
        <v>402</v>
      </c>
      <c r="B600" s="2" t="n">
        <v>5.80944922443211</v>
      </c>
      <c r="C600" s="5" t="n">
        <f aca="false">B600</f>
        <v>5.80944922443211</v>
      </c>
      <c r="D600" s="5" t="n">
        <f aca="false">C600*LOG(C600)</f>
        <v>4.43920325219276</v>
      </c>
      <c r="E600" s="5"/>
      <c r="F600" s="5"/>
      <c r="G600" s="4" t="n">
        <v>599</v>
      </c>
      <c r="H600" s="6" t="n">
        <v>0.401</v>
      </c>
      <c r="J600" s="2" t="n">
        <f aca="false">B600/$B$1003</f>
        <v>0.00056778615767118</v>
      </c>
      <c r="K600" s="5" t="n">
        <f aca="false">J600*LOG(J600,2)</f>
        <v>-0.00612207742487551</v>
      </c>
      <c r="N600" s="2" t="n">
        <f aca="false">1/1000*LOG(1/1000,2)</f>
        <v>-0.00996578428466209</v>
      </c>
    </row>
    <row r="601" customFormat="false" ht="13" hidden="false" customHeight="false" outlineLevel="0" collapsed="false">
      <c r="A601" s="4" t="n">
        <v>401</v>
      </c>
      <c r="B601" s="2" t="n">
        <v>5.80619667972974</v>
      </c>
      <c r="C601" s="5" t="n">
        <f aca="false">B601</f>
        <v>5.80619667972974</v>
      </c>
      <c r="D601" s="5" t="n">
        <f aca="false">C601*LOG(C601)</f>
        <v>4.43530570235995</v>
      </c>
      <c r="E601" s="5"/>
      <c r="F601" s="5"/>
      <c r="G601" s="4" t="n">
        <v>600</v>
      </c>
      <c r="H601" s="6" t="n">
        <v>0.4</v>
      </c>
      <c r="J601" s="2" t="n">
        <f aca="false">B601/$B$1003</f>
        <v>0.000567468270417523</v>
      </c>
      <c r="K601" s="5" t="n">
        <f aca="false">J601*LOG(J601,2)</f>
        <v>-0.0061191083345303</v>
      </c>
      <c r="L601" s="2" t="n">
        <f aca="false">SUM(J552:J601)</f>
        <v>0.0299239078441758</v>
      </c>
      <c r="N601" s="2" t="n">
        <f aca="false">1/1000*LOG(1/1000,2)</f>
        <v>-0.00996578428466209</v>
      </c>
    </row>
    <row r="602" customFormat="false" ht="13" hidden="false" customHeight="false" outlineLevel="0" collapsed="false">
      <c r="A602" s="4" t="n">
        <v>400</v>
      </c>
      <c r="B602" s="2" t="n">
        <v>5.79045315383831</v>
      </c>
      <c r="C602" s="5" t="n">
        <f aca="false">B602</f>
        <v>5.79045315383831</v>
      </c>
      <c r="D602" s="5" t="n">
        <f aca="false">C602*LOG(C602)</f>
        <v>4.41645130461299</v>
      </c>
      <c r="E602" s="5"/>
      <c r="F602" s="5"/>
      <c r="G602" s="4" t="n">
        <v>601</v>
      </c>
      <c r="H602" s="6" t="n">
        <v>0.399</v>
      </c>
      <c r="J602" s="2" t="n">
        <f aca="false">B602/$B$1003</f>
        <v>0.000565929577896295</v>
      </c>
      <c r="K602" s="5" t="n">
        <f aca="false">J602*LOG(J602,2)</f>
        <v>-0.00610473319917607</v>
      </c>
      <c r="N602" s="2" t="n">
        <f aca="false">1/1000*LOG(1/1000,2)</f>
        <v>-0.00996578428466209</v>
      </c>
    </row>
    <row r="603" customFormat="false" ht="13" hidden="false" customHeight="false" outlineLevel="0" collapsed="false">
      <c r="A603" s="4" t="n">
        <v>399</v>
      </c>
      <c r="B603" s="2" t="n">
        <v>5.77665872716521</v>
      </c>
      <c r="C603" s="5" t="n">
        <f aca="false">B603</f>
        <v>5.77665872716521</v>
      </c>
      <c r="D603" s="5" t="n">
        <f aca="false">C603*LOG(C603)</f>
        <v>4.39994642042942</v>
      </c>
      <c r="E603" s="5"/>
      <c r="F603" s="5"/>
      <c r="G603" s="4" t="n">
        <v>602</v>
      </c>
      <c r="H603" s="6" t="n">
        <v>0.398</v>
      </c>
      <c r="J603" s="2" t="n">
        <f aca="false">B603/$B$1003</f>
        <v>0.000564581380465623</v>
      </c>
      <c r="K603" s="5" t="n">
        <f aca="false">J603*LOG(J603,2)</f>
        <v>-0.00609213279147328</v>
      </c>
      <c r="N603" s="2" t="n">
        <f aca="false">1/1000*LOG(1/1000,2)</f>
        <v>-0.00996578428466209</v>
      </c>
    </row>
    <row r="604" customFormat="false" ht="13" hidden="false" customHeight="false" outlineLevel="0" collapsed="false">
      <c r="A604" s="4" t="n">
        <v>398</v>
      </c>
      <c r="B604" s="2" t="n">
        <v>5.76510771259405</v>
      </c>
      <c r="C604" s="5" t="n">
        <f aca="false">B604</f>
        <v>5.76510771259405</v>
      </c>
      <c r="D604" s="5" t="n">
        <f aca="false">C604*LOG(C604)</f>
        <v>4.38613675864072</v>
      </c>
      <c r="E604" s="5"/>
      <c r="F604" s="5"/>
      <c r="G604" s="4" t="n">
        <v>603</v>
      </c>
      <c r="H604" s="6" t="n">
        <v>0.397</v>
      </c>
      <c r="J604" s="2" t="n">
        <f aca="false">B604/$B$1003</f>
        <v>0.000563452442776834</v>
      </c>
      <c r="K604" s="5" t="n">
        <f aca="false">J604*LOG(J604,2)</f>
        <v>-0.00608157803786868</v>
      </c>
      <c r="N604" s="2" t="n">
        <f aca="false">1/1000*LOG(1/1000,2)</f>
        <v>-0.00996578428466209</v>
      </c>
    </row>
    <row r="605" customFormat="false" ht="13" hidden="false" customHeight="false" outlineLevel="0" collapsed="false">
      <c r="A605" s="4" t="n">
        <v>397</v>
      </c>
      <c r="B605" s="2" t="n">
        <v>5.76458286290279</v>
      </c>
      <c r="C605" s="5" t="n">
        <f aca="false">B605</f>
        <v>5.76458286290279</v>
      </c>
      <c r="D605" s="5" t="n">
        <f aca="false">C605*LOG(C605)</f>
        <v>4.38550952014941</v>
      </c>
      <c r="E605" s="5"/>
      <c r="F605" s="5"/>
      <c r="G605" s="4" t="n">
        <v>604</v>
      </c>
      <c r="H605" s="6" t="n">
        <v>0.396</v>
      </c>
      <c r="J605" s="2" t="n">
        <f aca="false">B605/$B$1003</f>
        <v>0.000563401146624989</v>
      </c>
      <c r="K605" s="5" t="n">
        <f aca="false">J605*LOG(J605,2)</f>
        <v>-0.00608109837836785</v>
      </c>
      <c r="N605" s="2" t="n">
        <f aca="false">1/1000*LOG(1/1000,2)</f>
        <v>-0.00996578428466209</v>
      </c>
    </row>
    <row r="606" customFormat="false" ht="13" hidden="false" customHeight="false" outlineLevel="0" collapsed="false">
      <c r="A606" s="4" t="n">
        <v>396</v>
      </c>
      <c r="B606" s="2" t="n">
        <v>5.76040635799706</v>
      </c>
      <c r="C606" s="5" t="n">
        <f aca="false">B606</f>
        <v>5.76040635799706</v>
      </c>
      <c r="D606" s="5" t="n">
        <f aca="false">C606*LOG(C606)</f>
        <v>4.38051899353579</v>
      </c>
      <c r="E606" s="5"/>
      <c r="F606" s="5"/>
      <c r="G606" s="4" t="n">
        <v>605</v>
      </c>
      <c r="H606" s="6" t="n">
        <v>0.395</v>
      </c>
      <c r="J606" s="2" t="n">
        <f aca="false">B606/$B$1003</f>
        <v>0.000562992956178476</v>
      </c>
      <c r="K606" s="5" t="n">
        <f aca="false">J606*LOG(J606,2)</f>
        <v>-0.00607728123537412</v>
      </c>
      <c r="N606" s="2" t="n">
        <f aca="false">1/1000*LOG(1/1000,2)</f>
        <v>-0.00996578428466209</v>
      </c>
    </row>
    <row r="607" customFormat="false" ht="13" hidden="false" customHeight="false" outlineLevel="0" collapsed="false">
      <c r="A607" s="4" t="n">
        <v>395</v>
      </c>
      <c r="B607" s="2" t="n">
        <v>5.74697519784479</v>
      </c>
      <c r="C607" s="5" t="n">
        <f aca="false">B607</f>
        <v>5.74697519784479</v>
      </c>
      <c r="D607" s="5" t="n">
        <f aca="false">C607*LOG(C607)</f>
        <v>4.36447895273301</v>
      </c>
      <c r="E607" s="5"/>
      <c r="F607" s="5"/>
      <c r="G607" s="4" t="n">
        <v>606</v>
      </c>
      <c r="H607" s="6" t="n">
        <v>0.394</v>
      </c>
      <c r="J607" s="2" t="n">
        <f aca="false">B607/$B$1003</f>
        <v>0.000561680262578564</v>
      </c>
      <c r="K607" s="5" t="n">
        <f aca="false">J607*LOG(J607,2)</f>
        <v>-0.00606500284592329</v>
      </c>
      <c r="N607" s="2" t="n">
        <f aca="false">1/1000*LOG(1/1000,2)</f>
        <v>-0.00996578428466209</v>
      </c>
    </row>
    <row r="608" customFormat="false" ht="13" hidden="false" customHeight="false" outlineLevel="0" collapsed="false">
      <c r="A608" s="4" t="n">
        <v>394</v>
      </c>
      <c r="B608" s="2" t="n">
        <v>5.74504311795226</v>
      </c>
      <c r="C608" s="5" t="n">
        <f aca="false">B608</f>
        <v>5.74504311795226</v>
      </c>
      <c r="D608" s="5" t="n">
        <f aca="false">C608*LOG(C608)</f>
        <v>4.36217270471504</v>
      </c>
      <c r="E608" s="5"/>
      <c r="F608" s="5"/>
      <c r="G608" s="4" t="n">
        <v>607</v>
      </c>
      <c r="H608" s="6" t="n">
        <v>0.393</v>
      </c>
      <c r="J608" s="2" t="n">
        <f aca="false">B608/$B$1003</f>
        <v>0.000561491430870753</v>
      </c>
      <c r="K608" s="5" t="n">
        <f aca="false">J608*LOG(J608,2)</f>
        <v>-0.0060632362288474</v>
      </c>
      <c r="N608" s="2" t="n">
        <f aca="false">1/1000*LOG(1/1000,2)</f>
        <v>-0.00996578428466209</v>
      </c>
    </row>
    <row r="609" customFormat="false" ht="13" hidden="false" customHeight="false" outlineLevel="0" collapsed="false">
      <c r="A609" s="4" t="n">
        <v>393</v>
      </c>
      <c r="B609" s="2" t="n">
        <v>5.74244780067667</v>
      </c>
      <c r="C609" s="5" t="n">
        <f aca="false">B609</f>
        <v>5.74244780067667</v>
      </c>
      <c r="D609" s="5" t="n">
        <f aca="false">C609*LOG(C609)</f>
        <v>4.35907522037283</v>
      </c>
      <c r="E609" s="5"/>
      <c r="F609" s="5"/>
      <c r="G609" s="4" t="n">
        <v>608</v>
      </c>
      <c r="H609" s="6" t="n">
        <v>0.392</v>
      </c>
      <c r="J609" s="2" t="n">
        <f aca="false">B609/$B$1003</f>
        <v>0.000561237777698667</v>
      </c>
      <c r="K609" s="5" t="n">
        <f aca="false">J609*LOG(J609,2)</f>
        <v>-0.00606086302966725</v>
      </c>
      <c r="N609" s="2" t="n">
        <f aca="false">1/1000*LOG(1/1000,2)</f>
        <v>-0.00996578428466209</v>
      </c>
    </row>
    <row r="610" customFormat="false" ht="13" hidden="false" customHeight="false" outlineLevel="0" collapsed="false">
      <c r="A610" s="4" t="n">
        <v>392</v>
      </c>
      <c r="B610" s="2" t="n">
        <v>5.74064902988602</v>
      </c>
      <c r="C610" s="5" t="n">
        <f aca="false">B610</f>
        <v>5.74064902988602</v>
      </c>
      <c r="D610" s="5" t="n">
        <f aca="false">C610*LOG(C610)</f>
        <v>4.3569287048966</v>
      </c>
      <c r="E610" s="5"/>
      <c r="F610" s="5"/>
      <c r="G610" s="4" t="n">
        <v>609</v>
      </c>
      <c r="H610" s="6" t="n">
        <v>0.391</v>
      </c>
      <c r="J610" s="2" t="n">
        <f aca="false">B610/$B$1003</f>
        <v>0.000561061974947614</v>
      </c>
      <c r="K610" s="5" t="n">
        <f aca="false">J610*LOG(J610,2)</f>
        <v>-0.00605921810816241</v>
      </c>
      <c r="N610" s="2" t="n">
        <f aca="false">1/1000*LOG(1/1000,2)</f>
        <v>-0.00996578428466209</v>
      </c>
    </row>
    <row r="611" customFormat="false" ht="13" hidden="false" customHeight="false" outlineLevel="0" collapsed="false">
      <c r="A611" s="4" t="n">
        <v>391</v>
      </c>
      <c r="B611" s="2" t="n">
        <v>5.73155676026033</v>
      </c>
      <c r="C611" s="5" t="n">
        <f aca="false">B611</f>
        <v>5.73155676026033</v>
      </c>
      <c r="D611" s="5" t="n">
        <f aca="false">C611*LOG(C611)</f>
        <v>4.34608243308459</v>
      </c>
      <c r="E611" s="5"/>
      <c r="F611" s="5"/>
      <c r="G611" s="4" t="n">
        <v>610</v>
      </c>
      <c r="H611" s="6" t="n">
        <v>0.39</v>
      </c>
      <c r="J611" s="2" t="n">
        <f aca="false">B611/$B$1003</f>
        <v>0.000560173342542745</v>
      </c>
      <c r="K611" s="5" t="n">
        <f aca="false">J611*LOG(J611,2)</f>
        <v>-0.00605090228584968</v>
      </c>
      <c r="N611" s="2" t="n">
        <f aca="false">1/1000*LOG(1/1000,2)</f>
        <v>-0.00996578428466209</v>
      </c>
    </row>
    <row r="612" customFormat="false" ht="13" hidden="false" customHeight="false" outlineLevel="0" collapsed="false">
      <c r="A612" s="4" t="n">
        <v>390</v>
      </c>
      <c r="B612" s="2" t="n">
        <v>5.70417229932252</v>
      </c>
      <c r="C612" s="5" t="n">
        <f aca="false">B612</f>
        <v>5.70417229932252</v>
      </c>
      <c r="D612" s="5" t="n">
        <f aca="false">C612*LOG(C612)</f>
        <v>4.31345308307071</v>
      </c>
      <c r="E612" s="5"/>
      <c r="F612" s="5"/>
      <c r="G612" s="4" t="n">
        <v>611</v>
      </c>
      <c r="H612" s="6" t="n">
        <v>0.389</v>
      </c>
      <c r="J612" s="2" t="n">
        <f aca="false">B612/$B$1003</f>
        <v>0.000557496923960689</v>
      </c>
      <c r="K612" s="5" t="n">
        <f aca="false">J612*LOG(J612,2)</f>
        <v>-0.00602584405995646</v>
      </c>
      <c r="N612" s="2" t="n">
        <f aca="false">1/1000*LOG(1/1000,2)</f>
        <v>-0.00996578428466209</v>
      </c>
    </row>
    <row r="613" customFormat="false" ht="13" hidden="false" customHeight="false" outlineLevel="0" collapsed="false">
      <c r="A613" s="4" t="n">
        <v>389</v>
      </c>
      <c r="B613" s="2" t="n">
        <v>5.69254585215845</v>
      </c>
      <c r="C613" s="5" t="n">
        <f aca="false">B613</f>
        <v>5.69254585215845</v>
      </c>
      <c r="D613" s="5" t="n">
        <f aca="false">C613*LOG(C613)</f>
        <v>4.2996170968365</v>
      </c>
      <c r="E613" s="5"/>
      <c r="F613" s="5"/>
      <c r="G613" s="4" t="n">
        <v>612</v>
      </c>
      <c r="H613" s="6" t="n">
        <v>0.388</v>
      </c>
      <c r="J613" s="2" t="n">
        <f aca="false">B613/$B$1003</f>
        <v>0.000556360613872137</v>
      </c>
      <c r="K613" s="5" t="n">
        <f aca="false">J613*LOG(J613,2)</f>
        <v>-0.00601519964705559</v>
      </c>
      <c r="N613" s="2" t="n">
        <f aca="false">1/1000*LOG(1/1000,2)</f>
        <v>-0.00996578428466209</v>
      </c>
    </row>
    <row r="614" customFormat="false" ht="13" hidden="false" customHeight="false" outlineLevel="0" collapsed="false">
      <c r="A614" s="4" t="n">
        <v>388</v>
      </c>
      <c r="B614" s="2" t="n">
        <v>5.68347290541459</v>
      </c>
      <c r="C614" s="5" t="n">
        <f aca="false">B614</f>
        <v>5.68347290541459</v>
      </c>
      <c r="D614" s="5" t="n">
        <f aca="false">C614*LOG(C614)</f>
        <v>4.28882705191851</v>
      </c>
      <c r="E614" s="5"/>
      <c r="F614" s="5"/>
      <c r="G614" s="4" t="n">
        <v>613</v>
      </c>
      <c r="H614" s="6" t="n">
        <v>0.387</v>
      </c>
      <c r="J614" s="2" t="n">
        <f aca="false">B614/$B$1003</f>
        <v>0.000555473869987917</v>
      </c>
      <c r="K614" s="5" t="n">
        <f aca="false">J614*LOG(J614,2)</f>
        <v>-0.00600689072618701</v>
      </c>
      <c r="N614" s="2" t="n">
        <f aca="false">1/1000*LOG(1/1000,2)</f>
        <v>-0.00996578428466209</v>
      </c>
    </row>
    <row r="615" customFormat="false" ht="13" hidden="false" customHeight="false" outlineLevel="0" collapsed="false">
      <c r="A615" s="4" t="n">
        <v>387</v>
      </c>
      <c r="B615" s="2" t="n">
        <v>5.65829520955791</v>
      </c>
      <c r="C615" s="5" t="n">
        <f aca="false">B615</f>
        <v>5.65829520955791</v>
      </c>
      <c r="D615" s="5" t="n">
        <f aca="false">C615*LOG(C615)</f>
        <v>4.25891733669976</v>
      </c>
      <c r="E615" s="5"/>
      <c r="F615" s="5"/>
      <c r="G615" s="4" t="n">
        <v>614</v>
      </c>
      <c r="H615" s="6" t="n">
        <v>0.386</v>
      </c>
      <c r="J615" s="2" t="n">
        <f aca="false">B615/$B$1003</f>
        <v>0.000553013129453451</v>
      </c>
      <c r="K615" s="5" t="n">
        <f aca="false">J615*LOG(J615,2)</f>
        <v>-0.00598382251754431</v>
      </c>
      <c r="N615" s="2" t="n">
        <f aca="false">1/1000*LOG(1/1000,2)</f>
        <v>-0.00996578428466209</v>
      </c>
    </row>
    <row r="616" customFormat="false" ht="13" hidden="false" customHeight="false" outlineLevel="0" collapsed="false">
      <c r="A616" s="4" t="n">
        <v>386</v>
      </c>
      <c r="B616" s="2" t="n">
        <v>5.654656855638</v>
      </c>
      <c r="C616" s="5" t="n">
        <f aca="false">B616</f>
        <v>5.654656855638</v>
      </c>
      <c r="D616" s="5" t="n">
        <f aca="false">C616*LOG(C616)</f>
        <v>4.25459919118458</v>
      </c>
      <c r="E616" s="5"/>
      <c r="F616" s="5"/>
      <c r="G616" s="4" t="n">
        <v>615</v>
      </c>
      <c r="H616" s="6" t="n">
        <v>0.385</v>
      </c>
      <c r="J616" s="2" t="n">
        <f aca="false">B616/$B$1003</f>
        <v>0.000552657535159977</v>
      </c>
      <c r="K616" s="5" t="n">
        <f aca="false">J616*LOG(J616,2)</f>
        <v>-0.00598048769468361</v>
      </c>
      <c r="N616" s="2" t="n">
        <f aca="false">1/1000*LOG(1/1000,2)</f>
        <v>-0.00996578428466209</v>
      </c>
    </row>
    <row r="617" customFormat="false" ht="13" hidden="false" customHeight="false" outlineLevel="0" collapsed="false">
      <c r="A617" s="4" t="n">
        <v>385</v>
      </c>
      <c r="B617" s="2" t="n">
        <v>5.62481359988661</v>
      </c>
      <c r="C617" s="5" t="n">
        <f aca="false">B617</f>
        <v>5.62481359988661</v>
      </c>
      <c r="D617" s="5" t="n">
        <f aca="false">C617*LOG(C617)</f>
        <v>4.21921843903321</v>
      </c>
      <c r="E617" s="5"/>
      <c r="F617" s="5"/>
      <c r="G617" s="4" t="n">
        <v>616</v>
      </c>
      <c r="H617" s="6" t="n">
        <v>0.384</v>
      </c>
      <c r="J617" s="2" t="n">
        <f aca="false">B617/$B$1003</f>
        <v>0.000549740806420148</v>
      </c>
      <c r="K617" s="5" t="n">
        <f aca="false">J617*LOG(J617,2)</f>
        <v>-0.00595312164681502</v>
      </c>
      <c r="N617" s="2" t="n">
        <f aca="false">1/1000*LOG(1/1000,2)</f>
        <v>-0.00996578428466209</v>
      </c>
    </row>
    <row r="618" customFormat="false" ht="13" hidden="false" customHeight="false" outlineLevel="0" collapsed="false">
      <c r="A618" s="4" t="n">
        <v>384</v>
      </c>
      <c r="B618" s="2" t="n">
        <v>5.61141865881731</v>
      </c>
      <c r="C618" s="5" t="n">
        <f aca="false">B618</f>
        <v>5.61141865881731</v>
      </c>
      <c r="D618" s="5" t="n">
        <f aca="false">C618*LOG(C618)</f>
        <v>4.2033603680053</v>
      </c>
      <c r="E618" s="5"/>
      <c r="F618" s="5"/>
      <c r="G618" s="4" t="n">
        <v>617</v>
      </c>
      <c r="H618" s="6" t="n">
        <v>0.383</v>
      </c>
      <c r="J618" s="2" t="n">
        <f aca="false">B618/$B$1003</f>
        <v>0.000548431652690053</v>
      </c>
      <c r="K618" s="5" t="n">
        <f aca="false">J618*LOG(J618,2)</f>
        <v>-0.00594083133129997</v>
      </c>
      <c r="N618" s="2" t="n">
        <f aca="false">1/1000*LOG(1/1000,2)</f>
        <v>-0.00996578428466209</v>
      </c>
    </row>
    <row r="619" customFormat="false" ht="13" hidden="false" customHeight="false" outlineLevel="0" collapsed="false">
      <c r="A619" s="4" t="n">
        <v>383</v>
      </c>
      <c r="B619" s="2" t="n">
        <v>5.60767409260507</v>
      </c>
      <c r="C619" s="5" t="n">
        <f aca="false">B619</f>
        <v>5.60767409260507</v>
      </c>
      <c r="D619" s="5" t="n">
        <f aca="false">C619*LOG(C619)</f>
        <v>4.19892971407126</v>
      </c>
      <c r="E619" s="5"/>
      <c r="F619" s="5"/>
      <c r="G619" s="4" t="n">
        <v>618</v>
      </c>
      <c r="H619" s="6" t="n">
        <v>0.382</v>
      </c>
      <c r="J619" s="2" t="n">
        <f aca="false">B619/$B$1003</f>
        <v>0.000548065677744811</v>
      </c>
      <c r="K619" s="5" t="n">
        <f aca="false">J619*LOG(J619,2)</f>
        <v>-0.00593739475813746</v>
      </c>
      <c r="N619" s="2" t="n">
        <f aca="false">1/1000*LOG(1/1000,2)</f>
        <v>-0.00996578428466209</v>
      </c>
    </row>
    <row r="620" customFormat="false" ht="13" hidden="false" customHeight="false" outlineLevel="0" collapsed="false">
      <c r="A620" s="4" t="n">
        <v>382</v>
      </c>
      <c r="B620" s="2" t="n">
        <v>5.60120127618552</v>
      </c>
      <c r="C620" s="5" t="n">
        <f aca="false">B620</f>
        <v>5.60120127618552</v>
      </c>
      <c r="D620" s="5" t="n">
        <f aca="false">C620*LOG(C620)</f>
        <v>4.19127349526516</v>
      </c>
      <c r="E620" s="5"/>
      <c r="F620" s="5"/>
      <c r="G620" s="4" t="n">
        <v>619</v>
      </c>
      <c r="H620" s="6" t="n">
        <v>0.381</v>
      </c>
      <c r="J620" s="2" t="n">
        <f aca="false">B620/$B$1003</f>
        <v>0.000547433057435693</v>
      </c>
      <c r="K620" s="5" t="n">
        <f aca="false">J620*LOG(J620,2)</f>
        <v>-0.00593145350355209</v>
      </c>
      <c r="N620" s="2" t="n">
        <f aca="false">1/1000*LOG(1/1000,2)</f>
        <v>-0.00996578428466209</v>
      </c>
    </row>
    <row r="621" customFormat="false" ht="13" hidden="false" customHeight="false" outlineLevel="0" collapsed="false">
      <c r="A621" s="4" t="n">
        <v>381</v>
      </c>
      <c r="B621" s="2" t="n">
        <v>5.59754533206845</v>
      </c>
      <c r="C621" s="5" t="n">
        <f aca="false">B621</f>
        <v>5.59754533206845</v>
      </c>
      <c r="D621" s="5" t="n">
        <f aca="false">C621*LOG(C621)</f>
        <v>4.1869505830171</v>
      </c>
      <c r="E621" s="5"/>
      <c r="F621" s="5"/>
      <c r="G621" s="4" t="n">
        <v>620</v>
      </c>
      <c r="H621" s="6" t="n">
        <v>0.38</v>
      </c>
      <c r="J621" s="2" t="n">
        <f aca="false">B621/$B$1003</f>
        <v>0.000547075743965397</v>
      </c>
      <c r="K621" s="5" t="n">
        <f aca="false">J621*LOG(J621,2)</f>
        <v>-0.00592809732754677</v>
      </c>
      <c r="N621" s="2" t="n">
        <f aca="false">1/1000*LOG(1/1000,2)</f>
        <v>-0.00996578428466209</v>
      </c>
    </row>
    <row r="622" customFormat="false" ht="13" hidden="false" customHeight="false" outlineLevel="0" collapsed="false">
      <c r="A622" s="4" t="n">
        <v>380</v>
      </c>
      <c r="B622" s="2" t="n">
        <v>5.57607372585423</v>
      </c>
      <c r="C622" s="5" t="n">
        <f aca="false">B622</f>
        <v>5.57607372585423</v>
      </c>
      <c r="D622" s="5" t="n">
        <f aca="false">C622*LOG(C622)</f>
        <v>4.16158278036831</v>
      </c>
      <c r="E622" s="5"/>
      <c r="F622" s="5"/>
      <c r="G622" s="4" t="n">
        <v>621</v>
      </c>
      <c r="H622" s="6" t="n">
        <v>0.379</v>
      </c>
      <c r="J622" s="2" t="n">
        <f aca="false">B622/$B$1003</f>
        <v>0.000544977217871025</v>
      </c>
      <c r="K622" s="5" t="n">
        <f aca="false">J622*LOG(J622,2)</f>
        <v>-0.00590837947708987</v>
      </c>
      <c r="N622" s="2" t="n">
        <f aca="false">1/1000*LOG(1/1000,2)</f>
        <v>-0.00996578428466209</v>
      </c>
    </row>
    <row r="623" customFormat="false" ht="13" hidden="false" customHeight="false" outlineLevel="0" collapsed="false">
      <c r="A623" s="4" t="n">
        <v>379</v>
      </c>
      <c r="B623" s="2" t="n">
        <v>5.56622564507484</v>
      </c>
      <c r="C623" s="5" t="n">
        <f aca="false">B623</f>
        <v>5.56622564507484</v>
      </c>
      <c r="D623" s="5" t="n">
        <f aca="false">C623*LOG(C623)</f>
        <v>4.14995968886984</v>
      </c>
      <c r="E623" s="5"/>
      <c r="F623" s="5"/>
      <c r="G623" s="4" t="n">
        <v>622</v>
      </c>
      <c r="H623" s="6" t="n">
        <v>0.378</v>
      </c>
      <c r="J623" s="2" t="n">
        <f aca="false">B623/$B$1003</f>
        <v>0.00054401471631018</v>
      </c>
      <c r="K623" s="5" t="n">
        <f aca="false">J623*LOG(J623,2)</f>
        <v>-0.00589933186986079</v>
      </c>
      <c r="N623" s="2" t="n">
        <f aca="false">1/1000*LOG(1/1000,2)</f>
        <v>-0.00996578428466209</v>
      </c>
    </row>
    <row r="624" customFormat="false" ht="13" hidden="false" customHeight="false" outlineLevel="0" collapsed="false">
      <c r="A624" s="4" t="n">
        <v>378</v>
      </c>
      <c r="B624" s="2" t="n">
        <v>5.53412184574682</v>
      </c>
      <c r="C624" s="5" t="n">
        <f aca="false">B624</f>
        <v>5.53412184574682</v>
      </c>
      <c r="D624" s="5" t="n">
        <f aca="false">C624*LOG(C624)</f>
        <v>4.11212213636928</v>
      </c>
      <c r="E624" s="5"/>
      <c r="F624" s="5"/>
      <c r="G624" s="4" t="n">
        <v>623</v>
      </c>
      <c r="H624" s="6" t="n">
        <v>0.377</v>
      </c>
      <c r="J624" s="2" t="n">
        <f aca="false">B624/$B$1003</f>
        <v>0.000540877053484857</v>
      </c>
      <c r="K624" s="5" t="n">
        <f aca="false">J624*LOG(J624,2)</f>
        <v>-0.00586982045624191</v>
      </c>
      <c r="N624" s="2" t="n">
        <f aca="false">1/1000*LOG(1/1000,2)</f>
        <v>-0.00996578428466209</v>
      </c>
    </row>
    <row r="625" customFormat="false" ht="13" hidden="false" customHeight="false" outlineLevel="0" collapsed="false">
      <c r="A625" s="4" t="n">
        <v>377</v>
      </c>
      <c r="B625" s="2" t="n">
        <v>5.53263495849211</v>
      </c>
      <c r="C625" s="5" t="n">
        <f aca="false">B625</f>
        <v>5.53263495849211</v>
      </c>
      <c r="D625" s="5" t="n">
        <f aca="false">C625*LOG(C625)</f>
        <v>4.11037164652884</v>
      </c>
      <c r="E625" s="5"/>
      <c r="F625" s="5"/>
      <c r="G625" s="4" t="n">
        <v>624</v>
      </c>
      <c r="H625" s="6" t="n">
        <v>0.376</v>
      </c>
      <c r="J625" s="2" t="n">
        <f aca="false">B625/$B$1003</f>
        <v>0.00054073173265174</v>
      </c>
      <c r="K625" s="5" t="n">
        <f aca="false">J625*LOG(J625,2)</f>
        <v>-0.00586845300021256</v>
      </c>
      <c r="N625" s="2" t="n">
        <f aca="false">1/1000*LOG(1/1000,2)</f>
        <v>-0.00996578428466209</v>
      </c>
    </row>
    <row r="626" customFormat="false" ht="13" hidden="false" customHeight="false" outlineLevel="0" collapsed="false">
      <c r="A626" s="4" t="n">
        <v>376</v>
      </c>
      <c r="B626" s="2" t="n">
        <v>5.52308506455489</v>
      </c>
      <c r="C626" s="5" t="n">
        <f aca="false">B626</f>
        <v>5.52308506455489</v>
      </c>
      <c r="D626" s="5" t="n">
        <f aca="false">C626*LOG(C626)</f>
        <v>4.09913283986536</v>
      </c>
      <c r="E626" s="5"/>
      <c r="F626" s="5"/>
      <c r="G626" s="4" t="n">
        <v>625</v>
      </c>
      <c r="H626" s="6" t="n">
        <v>0.375</v>
      </c>
      <c r="J626" s="2" t="n">
        <f aca="false">B626/$B$1003</f>
        <v>0.00053979837436332</v>
      </c>
      <c r="K626" s="5" t="n">
        <f aca="false">J626*LOG(J626,2)</f>
        <v>-0.00585966883854265</v>
      </c>
      <c r="N626" s="2" t="n">
        <f aca="false">1/1000*LOG(1/1000,2)</f>
        <v>-0.00996578428466209</v>
      </c>
    </row>
    <row r="627" customFormat="false" ht="13" hidden="false" customHeight="false" outlineLevel="0" collapsed="false">
      <c r="A627" s="4" t="n">
        <v>375</v>
      </c>
      <c r="B627" s="2" t="n">
        <v>5.51055660511085</v>
      </c>
      <c r="C627" s="5" t="n">
        <f aca="false">B627</f>
        <v>5.51055660511085</v>
      </c>
      <c r="D627" s="5" t="n">
        <f aca="false">C627*LOG(C627)</f>
        <v>4.08439958117848</v>
      </c>
      <c r="E627" s="5"/>
      <c r="F627" s="5"/>
      <c r="G627" s="4" t="n">
        <v>626</v>
      </c>
      <c r="H627" s="6" t="n">
        <v>0.374</v>
      </c>
      <c r="J627" s="2" t="n">
        <f aca="false">B627/$B$1003</f>
        <v>0.000538573906160834</v>
      </c>
      <c r="K627" s="5" t="n">
        <f aca="false">J627*LOG(J627,2)</f>
        <v>-0.00584814140806987</v>
      </c>
      <c r="N627" s="2" t="n">
        <f aca="false">1/1000*LOG(1/1000,2)</f>
        <v>-0.00996578428466209</v>
      </c>
    </row>
    <row r="628" customFormat="false" ht="13" hidden="false" customHeight="false" outlineLevel="0" collapsed="false">
      <c r="A628" s="4" t="n">
        <v>374</v>
      </c>
      <c r="B628" s="2" t="n">
        <v>5.50813330527012</v>
      </c>
      <c r="C628" s="5" t="n">
        <f aca="false">B628</f>
        <v>5.50813330527012</v>
      </c>
      <c r="D628" s="5" t="n">
        <f aca="false">C628*LOG(C628)</f>
        <v>4.08155124800955</v>
      </c>
      <c r="E628" s="5"/>
      <c r="F628" s="5"/>
      <c r="G628" s="4" t="n">
        <v>627</v>
      </c>
      <c r="H628" s="6" t="n">
        <v>0.373</v>
      </c>
      <c r="J628" s="2" t="n">
        <f aca="false">B628/$B$1003</f>
        <v>0.000538337065102018</v>
      </c>
      <c r="K628" s="5" t="n">
        <f aca="false">J628*LOG(J628,2)</f>
        <v>-0.00584591126759657</v>
      </c>
      <c r="N628" s="2" t="n">
        <f aca="false">1/1000*LOG(1/1000,2)</f>
        <v>-0.00996578428466209</v>
      </c>
    </row>
    <row r="629" customFormat="false" ht="13" hidden="false" customHeight="false" outlineLevel="0" collapsed="false">
      <c r="A629" s="4" t="n">
        <v>373</v>
      </c>
      <c r="B629" s="2" t="n">
        <v>5.50783398452563</v>
      </c>
      <c r="C629" s="5" t="n">
        <f aca="false">B629</f>
        <v>5.50783398452563</v>
      </c>
      <c r="D629" s="5" t="n">
        <f aca="false">C629*LOG(C629)</f>
        <v>4.08119946019265</v>
      </c>
      <c r="E629" s="5"/>
      <c r="F629" s="5"/>
      <c r="G629" s="4" t="n">
        <v>628</v>
      </c>
      <c r="H629" s="6" t="n">
        <v>0.372</v>
      </c>
      <c r="J629" s="2" t="n">
        <f aca="false">B629/$B$1003</f>
        <v>0.000538307811007721</v>
      </c>
      <c r="K629" s="5" t="n">
        <f aca="false">J629*LOG(J629,2)</f>
        <v>-0.00584563579504916</v>
      </c>
      <c r="N629" s="2" t="n">
        <f aca="false">1/1000*LOG(1/1000,2)</f>
        <v>-0.00996578428466209</v>
      </c>
    </row>
    <row r="630" customFormat="false" ht="13" hidden="false" customHeight="false" outlineLevel="0" collapsed="false">
      <c r="A630" s="4" t="n">
        <v>372</v>
      </c>
      <c r="B630" s="2" t="n">
        <v>5.44741065045463</v>
      </c>
      <c r="C630" s="5" t="n">
        <f aca="false">B630</f>
        <v>5.44741065045463</v>
      </c>
      <c r="D630" s="5" t="n">
        <f aca="false">C630*LOG(C630)</f>
        <v>4.01032987642252</v>
      </c>
      <c r="E630" s="5"/>
      <c r="F630" s="5"/>
      <c r="G630" s="4" t="n">
        <v>629</v>
      </c>
      <c r="H630" s="6" t="n">
        <v>0.371</v>
      </c>
      <c r="J630" s="2" t="n">
        <f aca="false">B630/$B$1003</f>
        <v>0.000532402340220306</v>
      </c>
      <c r="K630" s="5" t="n">
        <f aca="false">J630*LOG(J630,2)</f>
        <v>-0.00578997951687518</v>
      </c>
      <c r="N630" s="2" t="n">
        <f aca="false">1/1000*LOG(1/1000,2)</f>
        <v>-0.00996578428466209</v>
      </c>
    </row>
    <row r="631" customFormat="false" ht="13" hidden="false" customHeight="false" outlineLevel="0" collapsed="false">
      <c r="A631" s="4" t="n">
        <v>371</v>
      </c>
      <c r="B631" s="2" t="n">
        <v>5.43860052606459</v>
      </c>
      <c r="C631" s="5" t="n">
        <f aca="false">B631</f>
        <v>5.43860052606459</v>
      </c>
      <c r="D631" s="5" t="n">
        <f aca="false">C631*LOG(C631)</f>
        <v>4.00002085724813</v>
      </c>
      <c r="E631" s="5"/>
      <c r="F631" s="5"/>
      <c r="G631" s="4" t="n">
        <v>630</v>
      </c>
      <c r="H631" s="6" t="n">
        <v>0.37</v>
      </c>
      <c r="J631" s="2" t="n">
        <f aca="false">B631/$B$1003</f>
        <v>0.000531541283262447</v>
      </c>
      <c r="K631" s="5" t="n">
        <f aca="false">J631*LOG(J631,2)</f>
        <v>-0.00578185659166888</v>
      </c>
      <c r="N631" s="2" t="n">
        <f aca="false">1/1000*LOG(1/1000,2)</f>
        <v>-0.00996578428466209</v>
      </c>
    </row>
    <row r="632" customFormat="false" ht="13" hidden="false" customHeight="false" outlineLevel="0" collapsed="false">
      <c r="A632" s="4" t="n">
        <v>370</v>
      </c>
      <c r="B632" s="2" t="n">
        <v>5.43455474544609</v>
      </c>
      <c r="C632" s="5" t="n">
        <f aca="false">B632</f>
        <v>5.43455474544609</v>
      </c>
      <c r="D632" s="5" t="n">
        <f aca="false">C632*LOG(C632)</f>
        <v>3.99528883105356</v>
      </c>
      <c r="E632" s="5"/>
      <c r="F632" s="5"/>
      <c r="G632" s="4" t="n">
        <v>631</v>
      </c>
      <c r="H632" s="6" t="n">
        <v>0.369</v>
      </c>
      <c r="J632" s="2" t="n">
        <f aca="false">B632/$B$1003</f>
        <v>0.000531145869145994</v>
      </c>
      <c r="K632" s="5" t="n">
        <f aca="false">J632*LOG(J632,2)</f>
        <v>-0.00577812571225288</v>
      </c>
      <c r="N632" s="2" t="n">
        <f aca="false">1/1000*LOG(1/1000,2)</f>
        <v>-0.00996578428466209</v>
      </c>
    </row>
    <row r="633" customFormat="false" ht="13" hidden="false" customHeight="false" outlineLevel="0" collapsed="false">
      <c r="A633" s="4" t="n">
        <v>369</v>
      </c>
      <c r="B633" s="2" t="n">
        <v>5.42246580820827</v>
      </c>
      <c r="C633" s="5" t="n">
        <f aca="false">B633</f>
        <v>5.42246580820827</v>
      </c>
      <c r="D633" s="5" t="n">
        <f aca="false">C633*LOG(C633)</f>
        <v>3.98115716496296</v>
      </c>
      <c r="E633" s="5"/>
      <c r="F633" s="5"/>
      <c r="G633" s="4" t="n">
        <v>632</v>
      </c>
      <c r="H633" s="6" t="n">
        <v>0.368</v>
      </c>
      <c r="J633" s="2" t="n">
        <f aca="false">B633/$B$1003</f>
        <v>0.000529964357618925</v>
      </c>
      <c r="K633" s="5" t="n">
        <f aca="false">J633*LOG(J633,2)</f>
        <v>-0.00576697517947867</v>
      </c>
      <c r="N633" s="2" t="n">
        <f aca="false">1/1000*LOG(1/1000,2)</f>
        <v>-0.00996578428466209</v>
      </c>
    </row>
    <row r="634" customFormat="false" ht="13" hidden="false" customHeight="false" outlineLevel="0" collapsed="false">
      <c r="A634" s="4" t="n">
        <v>368</v>
      </c>
      <c r="B634" s="2" t="n">
        <v>5.40645180103252</v>
      </c>
      <c r="C634" s="5" t="n">
        <f aca="false">B634</f>
        <v>5.40645180103252</v>
      </c>
      <c r="D634" s="5" t="n">
        <f aca="false">C634*LOG(C634)</f>
        <v>3.96245521665332</v>
      </c>
      <c r="E634" s="5"/>
      <c r="F634" s="5"/>
      <c r="G634" s="4" t="n">
        <v>633</v>
      </c>
      <c r="H634" s="6" t="n">
        <v>0.367</v>
      </c>
      <c r="J634" s="2" t="n">
        <f aca="false">B634/$B$1003</f>
        <v>0.00052839922962624</v>
      </c>
      <c r="K634" s="5" t="n">
        <f aca="false">J634*LOG(J634,2)</f>
        <v>-0.00575219840787229</v>
      </c>
      <c r="N634" s="2" t="n">
        <f aca="false">1/1000*LOG(1/1000,2)</f>
        <v>-0.00996578428466209</v>
      </c>
    </row>
    <row r="635" customFormat="false" ht="13" hidden="false" customHeight="false" outlineLevel="0" collapsed="false">
      <c r="A635" s="4" t="n">
        <v>367</v>
      </c>
      <c r="B635" s="2" t="n">
        <v>5.40640459421343</v>
      </c>
      <c r="C635" s="5" t="n">
        <f aca="false">B635</f>
        <v>5.40640459421343</v>
      </c>
      <c r="D635" s="5" t="n">
        <f aca="false">C635*LOG(C635)</f>
        <v>3.96240011662175</v>
      </c>
      <c r="E635" s="5"/>
      <c r="F635" s="5"/>
      <c r="G635" s="4" t="n">
        <v>634</v>
      </c>
      <c r="H635" s="6" t="n">
        <v>0.366</v>
      </c>
      <c r="J635" s="2" t="n">
        <f aca="false">B635/$B$1003</f>
        <v>0.00052839461587072</v>
      </c>
      <c r="K635" s="5" t="n">
        <f aca="false">J635*LOG(J635,2)</f>
        <v>-0.00575215483835522</v>
      </c>
      <c r="N635" s="2" t="n">
        <f aca="false">1/1000*LOG(1/1000,2)</f>
        <v>-0.00996578428466209</v>
      </c>
    </row>
    <row r="636" customFormat="false" ht="13" hidden="false" customHeight="false" outlineLevel="0" collapsed="false">
      <c r="A636" s="4" t="n">
        <v>366</v>
      </c>
      <c r="B636" s="2" t="n">
        <v>5.37484927145511</v>
      </c>
      <c r="C636" s="5" t="n">
        <f aca="false">B636</f>
        <v>5.37484927145511</v>
      </c>
      <c r="D636" s="5" t="n">
        <f aca="false">C636*LOG(C636)</f>
        <v>3.92560872011732</v>
      </c>
      <c r="E636" s="5"/>
      <c r="F636" s="5"/>
      <c r="G636" s="4" t="n">
        <v>635</v>
      </c>
      <c r="H636" s="6" t="n">
        <v>0.365</v>
      </c>
      <c r="J636" s="2" t="n">
        <f aca="false">B636/$B$1003</f>
        <v>0.000525310558368733</v>
      </c>
      <c r="K636" s="5" t="n">
        <f aca="false">J636*LOG(J636,2)</f>
        <v>-0.0057230178348797</v>
      </c>
      <c r="N636" s="2" t="n">
        <f aca="false">1/1000*LOG(1/1000,2)</f>
        <v>-0.00996578428466209</v>
      </c>
    </row>
    <row r="637" customFormat="false" ht="13" hidden="false" customHeight="false" outlineLevel="0" collapsed="false">
      <c r="A637" s="4" t="n">
        <v>365</v>
      </c>
      <c r="B637" s="2" t="n">
        <v>5.36895574579805</v>
      </c>
      <c r="C637" s="5" t="n">
        <f aca="false">B637</f>
        <v>5.36895574579805</v>
      </c>
      <c r="D637" s="5" t="n">
        <f aca="false">C637*LOG(C637)</f>
        <v>3.91874616575203</v>
      </c>
      <c r="E637" s="5"/>
      <c r="F637" s="5"/>
      <c r="G637" s="4" t="n">
        <v>636</v>
      </c>
      <c r="H637" s="6" t="n">
        <v>0.364</v>
      </c>
      <c r="J637" s="2" t="n">
        <f aca="false">B637/$B$1003</f>
        <v>0.000524734555006163</v>
      </c>
      <c r="K637" s="5" t="n">
        <f aca="false">J637*LOG(J637,2)</f>
        <v>-0.00571757308360423</v>
      </c>
      <c r="N637" s="2" t="n">
        <f aca="false">1/1000*LOG(1/1000,2)</f>
        <v>-0.00996578428466209</v>
      </c>
    </row>
    <row r="638" customFormat="false" ht="13" hidden="false" customHeight="false" outlineLevel="0" collapsed="false">
      <c r="A638" s="4" t="n">
        <v>364</v>
      </c>
      <c r="B638" s="2" t="n">
        <v>5.36692194693683</v>
      </c>
      <c r="C638" s="5" t="n">
        <f aca="false">B638</f>
        <v>5.36692194693683</v>
      </c>
      <c r="D638" s="5" t="n">
        <f aca="false">C638*LOG(C638)</f>
        <v>3.91637861635107</v>
      </c>
      <c r="E638" s="5"/>
      <c r="F638" s="5"/>
      <c r="G638" s="4" t="n">
        <v>637</v>
      </c>
      <c r="H638" s="6" t="n">
        <v>0.363</v>
      </c>
      <c r="J638" s="2" t="n">
        <f aca="false">B638/$B$1003</f>
        <v>0.000524535781801289</v>
      </c>
      <c r="K638" s="5" t="n">
        <f aca="false">J638*LOG(J638,2)</f>
        <v>-0.00571569394079543</v>
      </c>
      <c r="N638" s="2" t="n">
        <f aca="false">1/1000*LOG(1/1000,2)</f>
        <v>-0.00996578428466209</v>
      </c>
    </row>
    <row r="639" customFormat="false" ht="13" hidden="false" customHeight="false" outlineLevel="0" collapsed="false">
      <c r="A639" s="4" t="n">
        <v>363</v>
      </c>
      <c r="B639" s="2" t="n">
        <v>5.3595057593534</v>
      </c>
      <c r="C639" s="5" t="n">
        <f aca="false">B639</f>
        <v>5.3595057593534</v>
      </c>
      <c r="D639" s="5" t="n">
        <f aca="false">C639*LOG(C639)</f>
        <v>3.90774825378701</v>
      </c>
      <c r="E639" s="5"/>
      <c r="F639" s="5"/>
      <c r="G639" s="4" t="n">
        <v>638</v>
      </c>
      <c r="H639" s="6" t="n">
        <v>0.362</v>
      </c>
      <c r="J639" s="2" t="n">
        <f aca="false">B639/$B$1003</f>
        <v>0.000523810961170298</v>
      </c>
      <c r="K639" s="5" t="n">
        <f aca="false">J639*LOG(J639,2)</f>
        <v>-0.00570884078101806</v>
      </c>
      <c r="N639" s="2" t="n">
        <f aca="false">1/1000*LOG(1/1000,2)</f>
        <v>-0.00996578428466209</v>
      </c>
    </row>
    <row r="640" customFormat="false" ht="13" hidden="false" customHeight="false" outlineLevel="0" collapsed="false">
      <c r="A640" s="4" t="n">
        <v>362</v>
      </c>
      <c r="B640" s="2" t="n">
        <v>5.33669480918275</v>
      </c>
      <c r="C640" s="5" t="n">
        <f aca="false">B640</f>
        <v>5.33669480918275</v>
      </c>
      <c r="D640" s="5" t="n">
        <f aca="false">C640*LOG(C640)</f>
        <v>3.8812306680369</v>
      </c>
      <c r="E640" s="5"/>
      <c r="F640" s="5"/>
      <c r="G640" s="4" t="n">
        <v>639</v>
      </c>
      <c r="H640" s="6" t="n">
        <v>0.361</v>
      </c>
      <c r="J640" s="2" t="n">
        <f aca="false">B640/$B$1003</f>
        <v>0.000521581534377866</v>
      </c>
      <c r="K640" s="5" t="n">
        <f aca="false">J640*LOG(J640,2)</f>
        <v>-0.00568775253126096</v>
      </c>
      <c r="N640" s="2" t="n">
        <f aca="false">1/1000*LOG(1/1000,2)</f>
        <v>-0.00996578428466209</v>
      </c>
    </row>
    <row r="641" customFormat="false" ht="13" hidden="false" customHeight="false" outlineLevel="0" collapsed="false">
      <c r="A641" s="4" t="n">
        <v>361</v>
      </c>
      <c r="B641" s="2" t="n">
        <v>5.31178270201116</v>
      </c>
      <c r="C641" s="5" t="n">
        <f aca="false">B641</f>
        <v>5.31178270201116</v>
      </c>
      <c r="D641" s="5" t="n">
        <f aca="false">C641*LOG(C641)</f>
        <v>3.85231888199767</v>
      </c>
      <c r="E641" s="5"/>
      <c r="F641" s="5"/>
      <c r="G641" s="4" t="n">
        <v>640</v>
      </c>
      <c r="H641" s="6" t="n">
        <v>0.36</v>
      </c>
      <c r="J641" s="2" t="n">
        <f aca="false">B641/$B$1003</f>
        <v>0.000519146751136976</v>
      </c>
      <c r="K641" s="5" t="n">
        <f aca="false">J641*LOG(J641,2)</f>
        <v>-0.00566470609754928</v>
      </c>
      <c r="N641" s="2" t="n">
        <f aca="false">1/1000*LOG(1/1000,2)</f>
        <v>-0.00996578428466209</v>
      </c>
    </row>
    <row r="642" customFormat="false" ht="13" hidden="false" customHeight="false" outlineLevel="0" collapsed="false">
      <c r="A642" s="4" t="n">
        <v>360</v>
      </c>
      <c r="B642" s="2" t="n">
        <v>5.30969876172804</v>
      </c>
      <c r="C642" s="5" t="n">
        <f aca="false">B642</f>
        <v>5.30969876172804</v>
      </c>
      <c r="D642" s="5" t="n">
        <f aca="false">C642*LOG(C642)</f>
        <v>3.84990265831379</v>
      </c>
      <c r="E642" s="5"/>
      <c r="F642" s="5"/>
      <c r="G642" s="4" t="n">
        <v>641</v>
      </c>
      <c r="H642" s="6" t="n">
        <v>0.359</v>
      </c>
      <c r="J642" s="2" t="n">
        <f aca="false">B642/$B$1003</f>
        <v>0.000518943077363361</v>
      </c>
      <c r="K642" s="5" t="n">
        <f aca="false">J642*LOG(J642,2)</f>
        <v>-0.00566277747841381</v>
      </c>
      <c r="N642" s="2" t="n">
        <f aca="false">1/1000*LOG(1/1000,2)</f>
        <v>-0.00996578428466209</v>
      </c>
    </row>
    <row r="643" customFormat="false" ht="13" hidden="false" customHeight="false" outlineLevel="0" collapsed="false">
      <c r="A643" s="4" t="n">
        <v>359</v>
      </c>
      <c r="B643" s="2" t="n">
        <v>5.28951731565383</v>
      </c>
      <c r="C643" s="5" t="n">
        <f aca="false">B643</f>
        <v>5.28951731565383</v>
      </c>
      <c r="D643" s="5" t="n">
        <f aca="false">C643*LOG(C643)</f>
        <v>3.82652168675402</v>
      </c>
      <c r="E643" s="5"/>
      <c r="F643" s="5"/>
      <c r="G643" s="4" t="n">
        <v>642</v>
      </c>
      <c r="H643" s="6" t="n">
        <v>0.358</v>
      </c>
      <c r="J643" s="2" t="n">
        <f aca="false">B643/$B$1003</f>
        <v>0.000516970644989817</v>
      </c>
      <c r="K643" s="5" t="n">
        <f aca="false">J643*LOG(J643,2)</f>
        <v>-0.00564409423157743</v>
      </c>
      <c r="N643" s="2" t="n">
        <f aca="false">1/1000*LOG(1/1000,2)</f>
        <v>-0.00996578428466209</v>
      </c>
    </row>
    <row r="644" customFormat="false" ht="13" hidden="false" customHeight="false" outlineLevel="0" collapsed="false">
      <c r="A644" s="4" t="n">
        <v>358</v>
      </c>
      <c r="B644" s="2" t="n">
        <v>5.27238027126235</v>
      </c>
      <c r="C644" s="5" t="n">
        <f aca="false">B644</f>
        <v>5.27238027126235</v>
      </c>
      <c r="D644" s="5" t="n">
        <f aca="false">C644*LOG(C644)</f>
        <v>3.80669401932537</v>
      </c>
      <c r="E644" s="5"/>
      <c r="F644" s="5"/>
      <c r="G644" s="4" t="n">
        <v>643</v>
      </c>
      <c r="H644" s="6" t="n">
        <v>0.357</v>
      </c>
      <c r="J644" s="2" t="n">
        <f aca="false">B644/$B$1003</f>
        <v>0.000515295757024886</v>
      </c>
      <c r="K644" s="5" t="n">
        <f aca="false">J644*LOG(J644,2)</f>
        <v>-0.00562822085851902</v>
      </c>
      <c r="N644" s="2" t="n">
        <f aca="false">1/1000*LOG(1/1000,2)</f>
        <v>-0.00996578428466209</v>
      </c>
    </row>
    <row r="645" customFormat="false" ht="13" hidden="false" customHeight="false" outlineLevel="0" collapsed="false">
      <c r="A645" s="4" t="n">
        <v>357</v>
      </c>
      <c r="B645" s="2" t="n">
        <v>5.26869749771365</v>
      </c>
      <c r="C645" s="5" t="n">
        <f aca="false">B645</f>
        <v>5.26869749771365</v>
      </c>
      <c r="D645" s="5" t="n">
        <f aca="false">C645*LOG(C645)</f>
        <v>3.80243618254741</v>
      </c>
      <c r="E645" s="5"/>
      <c r="F645" s="5"/>
      <c r="G645" s="4" t="n">
        <v>644</v>
      </c>
      <c r="H645" s="6" t="n">
        <v>0.356</v>
      </c>
      <c r="J645" s="2" t="n">
        <f aca="false">B645/$B$1003</f>
        <v>0.000514935821381762</v>
      </c>
      <c r="K645" s="5" t="n">
        <f aca="false">J645*LOG(J645,2)</f>
        <v>-0.00562480862521176</v>
      </c>
      <c r="N645" s="2" t="n">
        <f aca="false">1/1000*LOG(1/1000,2)</f>
        <v>-0.00996578428466209</v>
      </c>
    </row>
    <row r="646" customFormat="false" ht="13" hidden="false" customHeight="false" outlineLevel="0" collapsed="false">
      <c r="A646" s="4" t="n">
        <v>356</v>
      </c>
      <c r="B646" s="2" t="n">
        <v>5.25950072851401</v>
      </c>
      <c r="C646" s="5" t="n">
        <f aca="false">B646</f>
        <v>5.25950072851401</v>
      </c>
      <c r="D646" s="5" t="n">
        <f aca="false">C646*LOG(C646)</f>
        <v>3.79180822606443</v>
      </c>
      <c r="E646" s="5"/>
      <c r="F646" s="5"/>
      <c r="G646" s="4" t="n">
        <v>645</v>
      </c>
      <c r="H646" s="6" t="n">
        <v>0.355</v>
      </c>
      <c r="J646" s="2" t="n">
        <f aca="false">B646/$B$1003</f>
        <v>0.000514036975717549</v>
      </c>
      <c r="K646" s="5" t="n">
        <f aca="false">J646*LOG(J646,2)</f>
        <v>-0.00561628587436399</v>
      </c>
      <c r="N646" s="2" t="n">
        <f aca="false">1/1000*LOG(1/1000,2)</f>
        <v>-0.00996578428466209</v>
      </c>
    </row>
    <row r="647" customFormat="false" ht="13" hidden="false" customHeight="false" outlineLevel="0" collapsed="false">
      <c r="A647" s="4" t="n">
        <v>355</v>
      </c>
      <c r="B647" s="2" t="n">
        <v>5.22832407827292</v>
      </c>
      <c r="C647" s="5" t="n">
        <f aca="false">B647</f>
        <v>5.22832407827292</v>
      </c>
      <c r="D647" s="5" t="n">
        <f aca="false">C647*LOG(C647)</f>
        <v>3.75583195325534</v>
      </c>
      <c r="E647" s="5"/>
      <c r="F647" s="5"/>
      <c r="G647" s="4" t="n">
        <v>646</v>
      </c>
      <c r="H647" s="6" t="n">
        <v>0.354</v>
      </c>
      <c r="J647" s="2" t="n">
        <f aca="false">B647/$B$1003</f>
        <v>0.000510989927750419</v>
      </c>
      <c r="K647" s="5" t="n">
        <f aca="false">J647*LOG(J647,2)</f>
        <v>-0.00558737722131093</v>
      </c>
      <c r="N647" s="2" t="n">
        <f aca="false">1/1000*LOG(1/1000,2)</f>
        <v>-0.00996578428466209</v>
      </c>
    </row>
    <row r="648" customFormat="false" ht="13" hidden="false" customHeight="false" outlineLevel="0" collapsed="false">
      <c r="A648" s="4" t="n">
        <v>354</v>
      </c>
      <c r="B648" s="2" t="n">
        <v>5.22292559741085</v>
      </c>
      <c r="C648" s="5" t="n">
        <f aca="false">B648</f>
        <v>5.22292559741085</v>
      </c>
      <c r="D648" s="5" t="n">
        <f aca="false">C648*LOG(C648)</f>
        <v>3.74961056743414</v>
      </c>
      <c r="E648" s="5"/>
      <c r="F648" s="5"/>
      <c r="G648" s="4" t="n">
        <v>647</v>
      </c>
      <c r="H648" s="6" t="n">
        <v>0.353</v>
      </c>
      <c r="J648" s="2" t="n">
        <f aca="false">B648/$B$1003</f>
        <v>0.000510462307560016</v>
      </c>
      <c r="K648" s="5" t="n">
        <f aca="false">J648*LOG(J648,2)</f>
        <v>-0.00558236880376692</v>
      </c>
      <c r="N648" s="2" t="n">
        <f aca="false">1/1000*LOG(1/1000,2)</f>
        <v>-0.00996578428466209</v>
      </c>
    </row>
    <row r="649" customFormat="false" ht="13" hidden="false" customHeight="false" outlineLevel="0" collapsed="false">
      <c r="A649" s="4" t="n">
        <v>353</v>
      </c>
      <c r="B649" s="2" t="n">
        <v>5.21818589001452</v>
      </c>
      <c r="C649" s="5" t="n">
        <f aca="false">B649</f>
        <v>5.21818589001452</v>
      </c>
      <c r="D649" s="5" t="n">
        <f aca="false">C649*LOG(C649)</f>
        <v>3.74415037140803</v>
      </c>
      <c r="E649" s="5"/>
      <c r="F649" s="5"/>
      <c r="G649" s="4" t="n">
        <v>648</v>
      </c>
      <c r="H649" s="6" t="n">
        <v>0.352</v>
      </c>
      <c r="J649" s="2" t="n">
        <f aca="false">B649/$B$1003</f>
        <v>0.000509999072553205</v>
      </c>
      <c r="K649" s="5" t="n">
        <f aca="false">J649*LOG(J649,2)</f>
        <v>-0.00557797091189387</v>
      </c>
      <c r="N649" s="2" t="n">
        <f aca="false">1/1000*LOG(1/1000,2)</f>
        <v>-0.00996578428466209</v>
      </c>
    </row>
    <row r="650" customFormat="false" ht="13" hidden="false" customHeight="false" outlineLevel="0" collapsed="false">
      <c r="A650" s="4" t="n">
        <v>352</v>
      </c>
      <c r="B650" s="2" t="n">
        <v>5.21666829386404</v>
      </c>
      <c r="C650" s="5" t="n">
        <f aca="false">B650</f>
        <v>5.21666829386404</v>
      </c>
      <c r="D650" s="5" t="n">
        <f aca="false">C650*LOG(C650)</f>
        <v>3.7424024787224</v>
      </c>
      <c r="E650" s="5"/>
      <c r="F650" s="5"/>
      <c r="G650" s="4" t="n">
        <v>649</v>
      </c>
      <c r="H650" s="6" t="n">
        <v>0.351</v>
      </c>
      <c r="J650" s="2" t="n">
        <f aca="false">B650/$B$1003</f>
        <v>0.000509850750388075</v>
      </c>
      <c r="K650" s="5" t="n">
        <f aca="false">J650*LOG(J650,2)</f>
        <v>-0.00557656263260862</v>
      </c>
      <c r="N650" s="2" t="n">
        <f aca="false">1/1000*LOG(1/1000,2)</f>
        <v>-0.00996578428466209</v>
      </c>
    </row>
    <row r="651" customFormat="false" ht="13" hidden="false" customHeight="false" outlineLevel="0" collapsed="false">
      <c r="A651" s="4" t="n">
        <v>351</v>
      </c>
      <c r="B651" s="2" t="n">
        <v>5.21366695464209</v>
      </c>
      <c r="C651" s="5" t="n">
        <f aca="false">B651</f>
        <v>5.21366695464209</v>
      </c>
      <c r="D651" s="5" t="n">
        <f aca="false">C651*LOG(C651)</f>
        <v>3.73894624828074</v>
      </c>
      <c r="E651" s="5"/>
      <c r="F651" s="5"/>
      <c r="G651" s="4" t="n">
        <v>650</v>
      </c>
      <c r="H651" s="6" t="n">
        <v>0.35</v>
      </c>
      <c r="J651" s="2" t="n">
        <f aca="false">B651/$B$1003</f>
        <v>0.000509557414686383</v>
      </c>
      <c r="K651" s="5" t="n">
        <f aca="false">J651*LOG(J651,2)</f>
        <v>-0.00557377730526824</v>
      </c>
      <c r="L651" s="2" t="n">
        <f aca="false">SUM(J602:J651)</f>
        <v>0.026919378767244</v>
      </c>
      <c r="N651" s="2" t="n">
        <f aca="false">1/1000*LOG(1/1000,2)</f>
        <v>-0.00996578428466209</v>
      </c>
    </row>
    <row r="652" customFormat="false" ht="13" hidden="false" customHeight="false" outlineLevel="0" collapsed="false">
      <c r="A652" s="4" t="n">
        <v>350</v>
      </c>
      <c r="B652" s="2" t="n">
        <v>5.2088183639155</v>
      </c>
      <c r="C652" s="5" t="n">
        <f aca="false">B652</f>
        <v>5.2088183639155</v>
      </c>
      <c r="D652" s="5" t="n">
        <f aca="false">C652*LOG(C652)</f>
        <v>3.73336437723801</v>
      </c>
      <c r="E652" s="5"/>
      <c r="F652" s="5"/>
      <c r="G652" s="4" t="n">
        <v>651</v>
      </c>
      <c r="H652" s="6" t="n">
        <v>0.349</v>
      </c>
      <c r="J652" s="2" t="n">
        <f aca="false">B652/$B$1003</f>
        <v>0.000509083537974078</v>
      </c>
      <c r="K652" s="5" t="n">
        <f aca="false">J652*LOG(J652,2)</f>
        <v>-0.00556927716176271</v>
      </c>
      <c r="N652" s="2" t="n">
        <f aca="false">1/1000*LOG(1/1000,2)</f>
        <v>-0.00996578428466209</v>
      </c>
    </row>
    <row r="653" customFormat="false" ht="13" hidden="false" customHeight="false" outlineLevel="0" collapsed="false">
      <c r="A653" s="4" t="n">
        <v>349</v>
      </c>
      <c r="B653" s="2" t="n">
        <v>5.2034054930632</v>
      </c>
      <c r="C653" s="5" t="n">
        <f aca="false">B653</f>
        <v>5.2034054930632</v>
      </c>
      <c r="D653" s="5" t="n">
        <f aca="false">C653*LOG(C653)</f>
        <v>3.72713520235685</v>
      </c>
      <c r="E653" s="5"/>
      <c r="F653" s="5"/>
      <c r="G653" s="4" t="n">
        <v>652</v>
      </c>
      <c r="H653" s="6" t="n">
        <v>0.348</v>
      </c>
      <c r="J653" s="2" t="n">
        <f aca="false">B653/$B$1003</f>
        <v>0.000508554511378877</v>
      </c>
      <c r="K653" s="5" t="n">
        <f aca="false">J653*LOG(J653,2)</f>
        <v>-0.00556425253869126</v>
      </c>
      <c r="N653" s="2" t="n">
        <f aca="false">1/1000*LOG(1/1000,2)</f>
        <v>-0.00996578428466209</v>
      </c>
    </row>
    <row r="654" customFormat="false" ht="13" hidden="false" customHeight="false" outlineLevel="0" collapsed="false">
      <c r="A654" s="4" t="n">
        <v>348</v>
      </c>
      <c r="B654" s="2" t="n">
        <v>5.19559868528322</v>
      </c>
      <c r="C654" s="5" t="n">
        <f aca="false">B654</f>
        <v>5.19559868528322</v>
      </c>
      <c r="D654" s="5" t="n">
        <f aca="false">C654*LOG(C654)</f>
        <v>3.71815537332014</v>
      </c>
      <c r="E654" s="5"/>
      <c r="F654" s="5"/>
      <c r="G654" s="4" t="n">
        <v>653</v>
      </c>
      <c r="H654" s="6" t="n">
        <v>0.347</v>
      </c>
      <c r="J654" s="2" t="n">
        <f aca="false">B654/$B$1003</f>
        <v>0.000507791513507334</v>
      </c>
      <c r="K654" s="5" t="n">
        <f aca="false">J654*LOG(J654,2)</f>
        <v>-0.00555700428955518</v>
      </c>
      <c r="N654" s="2" t="n">
        <f aca="false">1/1000*LOG(1/1000,2)</f>
        <v>-0.00996578428466209</v>
      </c>
    </row>
    <row r="655" customFormat="false" ht="13" hidden="false" customHeight="false" outlineLevel="0" collapsed="false">
      <c r="A655" s="4" t="n">
        <v>347</v>
      </c>
      <c r="B655" s="2" t="n">
        <v>5.18869553355773</v>
      </c>
      <c r="C655" s="5" t="n">
        <f aca="false">B655</f>
        <v>5.18869553355773</v>
      </c>
      <c r="D655" s="5" t="n">
        <f aca="false">C655*LOG(C655)</f>
        <v>3.71021922403838</v>
      </c>
      <c r="E655" s="5"/>
      <c r="F655" s="5"/>
      <c r="G655" s="4" t="n">
        <v>654</v>
      </c>
      <c r="H655" s="6" t="n">
        <v>0.346</v>
      </c>
      <c r="J655" s="2" t="n">
        <f aca="false">B655/$B$1003</f>
        <v>0.000507116834403927</v>
      </c>
      <c r="K655" s="5" t="n">
        <f aca="false">J655*LOG(J655,2)</f>
        <v>-0.00555059366419835</v>
      </c>
      <c r="N655" s="2" t="n">
        <f aca="false">1/1000*LOG(1/1000,2)</f>
        <v>-0.00996578428466209</v>
      </c>
    </row>
    <row r="656" customFormat="false" ht="13" hidden="false" customHeight="false" outlineLevel="0" collapsed="false">
      <c r="A656" s="4" t="n">
        <v>346</v>
      </c>
      <c r="B656" s="2" t="n">
        <v>5.17295136737261</v>
      </c>
      <c r="C656" s="5" t="n">
        <f aca="false">B656</f>
        <v>5.17295136737261</v>
      </c>
      <c r="D656" s="5" t="n">
        <f aca="false">C656*LOG(C656)</f>
        <v>3.69213400885574</v>
      </c>
      <c r="E656" s="5"/>
      <c r="F656" s="5"/>
      <c r="G656" s="4" t="n">
        <v>655</v>
      </c>
      <c r="H656" s="6" t="n">
        <v>0.345</v>
      </c>
      <c r="J656" s="2" t="n">
        <f aca="false">B656/$B$1003</f>
        <v>0.000505578079303633</v>
      </c>
      <c r="K656" s="5" t="n">
        <f aca="false">J656*LOG(J656,2)</f>
        <v>-0.00553596796594348</v>
      </c>
      <c r="N656" s="2" t="n">
        <f aca="false">1/1000*LOG(1/1000,2)</f>
        <v>-0.00996578428466209</v>
      </c>
    </row>
    <row r="657" customFormat="false" ht="13" hidden="false" customHeight="false" outlineLevel="0" collapsed="false">
      <c r="A657" s="4" t="n">
        <v>345</v>
      </c>
      <c r="B657" s="2" t="n">
        <v>5.12791086178117</v>
      </c>
      <c r="C657" s="5" t="n">
        <f aca="false">B657</f>
        <v>5.12791086178117</v>
      </c>
      <c r="D657" s="5" t="n">
        <f aca="false">C657*LOG(C657)</f>
        <v>3.64051143326543</v>
      </c>
      <c r="E657" s="5"/>
      <c r="F657" s="5"/>
      <c r="G657" s="4" t="n">
        <v>656</v>
      </c>
      <c r="H657" s="6" t="n">
        <v>0.344</v>
      </c>
      <c r="J657" s="2" t="n">
        <f aca="false">B657/$B$1003</f>
        <v>0.000501176048298392</v>
      </c>
      <c r="K657" s="5" t="n">
        <f aca="false">J657*LOG(J657,2)</f>
        <v>-0.00549408976141771</v>
      </c>
      <c r="N657" s="2" t="n">
        <f aca="false">1/1000*LOG(1/1000,2)</f>
        <v>-0.00996578428466209</v>
      </c>
    </row>
    <row r="658" customFormat="false" ht="13" hidden="false" customHeight="false" outlineLevel="0" collapsed="false">
      <c r="A658" s="4" t="n">
        <v>344</v>
      </c>
      <c r="B658" s="2" t="n">
        <v>5.10404095125026</v>
      </c>
      <c r="C658" s="5" t="n">
        <f aca="false">B658</f>
        <v>5.10404095125026</v>
      </c>
      <c r="D658" s="5" t="n">
        <f aca="false">C658*LOG(C658)</f>
        <v>3.61322281259988</v>
      </c>
      <c r="E658" s="5"/>
      <c r="F658" s="5"/>
      <c r="G658" s="4" t="n">
        <v>657</v>
      </c>
      <c r="H658" s="6" t="n">
        <v>0.343</v>
      </c>
      <c r="J658" s="2" t="n">
        <f aca="false">B658/$B$1003</f>
        <v>0.000498843124081186</v>
      </c>
      <c r="K658" s="5" t="n">
        <f aca="false">J658*LOG(J658,2)</f>
        <v>-0.00547187317737325</v>
      </c>
      <c r="N658" s="2" t="n">
        <f aca="false">1/1000*LOG(1/1000,2)</f>
        <v>-0.00996578428466209</v>
      </c>
    </row>
    <row r="659" customFormat="false" ht="13" hidden="false" customHeight="false" outlineLevel="0" collapsed="false">
      <c r="A659" s="4" t="n">
        <v>343</v>
      </c>
      <c r="B659" s="2" t="n">
        <v>5.0798647363724</v>
      </c>
      <c r="C659" s="5" t="n">
        <f aca="false">B659</f>
        <v>5.0798647363724</v>
      </c>
      <c r="D659" s="5" t="n">
        <f aca="false">C659*LOG(C659)</f>
        <v>3.58563343725102</v>
      </c>
      <c r="E659" s="5"/>
      <c r="F659" s="5"/>
      <c r="G659" s="4" t="n">
        <v>658</v>
      </c>
      <c r="H659" s="6" t="n">
        <v>0.342</v>
      </c>
      <c r="J659" s="2" t="n">
        <f aca="false">B659/$B$1003</f>
        <v>0.000496480263227733</v>
      </c>
      <c r="K659" s="5" t="n">
        <f aca="false">J659*LOG(J659,2)</f>
        <v>-0.00544935545995209</v>
      </c>
      <c r="N659" s="2" t="n">
        <f aca="false">1/1000*LOG(1/1000,2)</f>
        <v>-0.00996578428466209</v>
      </c>
    </row>
    <row r="660" customFormat="false" ht="13" hidden="false" customHeight="false" outlineLevel="0" collapsed="false">
      <c r="A660" s="4" t="n">
        <v>342</v>
      </c>
      <c r="B660" s="2" t="n">
        <v>5.05775366481726</v>
      </c>
      <c r="C660" s="5" t="n">
        <f aca="false">B660</f>
        <v>5.05775366481726</v>
      </c>
      <c r="D660" s="5" t="n">
        <f aca="false">C660*LOG(C660)</f>
        <v>3.56044450273451</v>
      </c>
      <c r="E660" s="5"/>
      <c r="F660" s="5"/>
      <c r="G660" s="4" t="n">
        <v>659</v>
      </c>
      <c r="H660" s="6" t="n">
        <v>0.341</v>
      </c>
      <c r="J660" s="2" t="n">
        <f aca="false">B660/$B$1003</f>
        <v>0.000494319239028143</v>
      </c>
      <c r="K660" s="5" t="n">
        <f aca="false">J660*LOG(J660,2)</f>
        <v>-0.00542874701401758</v>
      </c>
      <c r="N660" s="2" t="n">
        <f aca="false">1/1000*LOG(1/1000,2)</f>
        <v>-0.00996578428466209</v>
      </c>
    </row>
    <row r="661" customFormat="false" ht="13" hidden="false" customHeight="false" outlineLevel="0" collapsed="false">
      <c r="A661" s="4" t="n">
        <v>341</v>
      </c>
      <c r="B661" s="2" t="n">
        <v>5.02680021715213</v>
      </c>
      <c r="C661" s="5" t="n">
        <f aca="false">B661</f>
        <v>5.02680021715213</v>
      </c>
      <c r="D661" s="5" t="n">
        <f aca="false">C661*LOG(C661)</f>
        <v>3.52525289369092</v>
      </c>
      <c r="E661" s="5"/>
      <c r="F661" s="5"/>
      <c r="G661" s="4" t="n">
        <v>660</v>
      </c>
      <c r="H661" s="6" t="n">
        <v>0.34</v>
      </c>
      <c r="J661" s="2" t="n">
        <f aca="false">B661/$B$1003</f>
        <v>0.000491294005750857</v>
      </c>
      <c r="K661" s="5" t="n">
        <f aca="false">J661*LOG(J661,2)</f>
        <v>-0.00539987419378846</v>
      </c>
      <c r="N661" s="2" t="n">
        <f aca="false">1/1000*LOG(1/1000,2)</f>
        <v>-0.00996578428466209</v>
      </c>
    </row>
    <row r="662" customFormat="false" ht="13" hidden="false" customHeight="false" outlineLevel="0" collapsed="false">
      <c r="A662" s="4" t="n">
        <v>340</v>
      </c>
      <c r="B662" s="2" t="n">
        <v>5.01059415816008</v>
      </c>
      <c r="C662" s="5" t="n">
        <f aca="false">B662</f>
        <v>5.01059415816008</v>
      </c>
      <c r="D662" s="5" t="n">
        <f aca="false">C662*LOG(C662)</f>
        <v>3.50686087580118</v>
      </c>
      <c r="E662" s="5"/>
      <c r="F662" s="5"/>
      <c r="G662" s="4" t="n">
        <v>661</v>
      </c>
      <c r="H662" s="6" t="n">
        <v>0.339</v>
      </c>
      <c r="J662" s="2" t="n">
        <f aca="false">B662/$B$1003</f>
        <v>0.000489710107585882</v>
      </c>
      <c r="K662" s="5" t="n">
        <f aca="false">J662*LOG(J662,2)</f>
        <v>-0.00538474676448299</v>
      </c>
      <c r="N662" s="2" t="n">
        <f aca="false">1/1000*LOG(1/1000,2)</f>
        <v>-0.00996578428466209</v>
      </c>
    </row>
    <row r="663" customFormat="false" ht="13" hidden="false" customHeight="false" outlineLevel="0" collapsed="false">
      <c r="A663" s="4" t="n">
        <v>339</v>
      </c>
      <c r="B663" s="2" t="n">
        <v>5.00378357143745</v>
      </c>
      <c r="C663" s="5" t="n">
        <f aca="false">B663</f>
        <v>5.00378357143745</v>
      </c>
      <c r="D663" s="5" t="n">
        <f aca="false">C663*LOG(C663)</f>
        <v>3.49913843037502</v>
      </c>
      <c r="E663" s="5"/>
      <c r="F663" s="5"/>
      <c r="G663" s="4" t="n">
        <v>662</v>
      </c>
      <c r="H663" s="6" t="n">
        <v>0.338</v>
      </c>
      <c r="J663" s="2" t="n">
        <f aca="false">B663/$B$1003</f>
        <v>0.000489044475317256</v>
      </c>
      <c r="K663" s="5" t="n">
        <f aca="false">J663*LOG(J663,2)</f>
        <v>-0.00537838726699978</v>
      </c>
      <c r="N663" s="2" t="n">
        <f aca="false">1/1000*LOG(1/1000,2)</f>
        <v>-0.00996578428466209</v>
      </c>
    </row>
    <row r="664" customFormat="false" ht="13" hidden="false" customHeight="false" outlineLevel="0" collapsed="false">
      <c r="A664" s="4" t="n">
        <v>338</v>
      </c>
      <c r="B664" s="2" t="n">
        <v>4.98111118998196</v>
      </c>
      <c r="C664" s="5" t="n">
        <f aca="false">B664</f>
        <v>4.98111118998196</v>
      </c>
      <c r="D664" s="5" t="n">
        <f aca="false">C664*LOG(C664)</f>
        <v>3.47345951871728</v>
      </c>
      <c r="E664" s="5"/>
      <c r="F664" s="5"/>
      <c r="G664" s="4" t="n">
        <v>663</v>
      </c>
      <c r="H664" s="6" t="n">
        <v>0.337</v>
      </c>
      <c r="J664" s="2" t="n">
        <f aca="false">B664/$B$1003</f>
        <v>0.000486828591529559</v>
      </c>
      <c r="K664" s="5" t="n">
        <f aca="false">J664*LOG(J664,2)</f>
        <v>-0.00535720712943578</v>
      </c>
      <c r="N664" s="2" t="n">
        <f aca="false">1/1000*LOG(1/1000,2)</f>
        <v>-0.00996578428466209</v>
      </c>
    </row>
    <row r="665" customFormat="false" ht="13" hidden="false" customHeight="false" outlineLevel="0" collapsed="false">
      <c r="A665" s="4" t="n">
        <v>337</v>
      </c>
      <c r="B665" s="2" t="n">
        <v>4.96367650018669</v>
      </c>
      <c r="C665" s="5" t="n">
        <f aca="false">B665</f>
        <v>4.96367650018669</v>
      </c>
      <c r="D665" s="5" t="n">
        <f aca="false">C665*LOG(C665)</f>
        <v>3.45374332925733</v>
      </c>
      <c r="E665" s="5"/>
      <c r="F665" s="5"/>
      <c r="G665" s="4" t="n">
        <v>664</v>
      </c>
      <c r="H665" s="6" t="n">
        <v>0.336</v>
      </c>
      <c r="J665" s="2" t="n">
        <f aca="false">B665/$B$1003</f>
        <v>0.000485124613209651</v>
      </c>
      <c r="K665" s="5" t="n">
        <f aca="false">J665*LOG(J665,2)</f>
        <v>-0.00534091005718543</v>
      </c>
      <c r="N665" s="2" t="n">
        <f aca="false">1/1000*LOG(1/1000,2)</f>
        <v>-0.00996578428466209</v>
      </c>
    </row>
    <row r="666" customFormat="false" ht="13" hidden="false" customHeight="false" outlineLevel="0" collapsed="false">
      <c r="A666" s="4" t="n">
        <v>336</v>
      </c>
      <c r="B666" s="2" t="n">
        <v>4.9370858544396</v>
      </c>
      <c r="C666" s="5" t="n">
        <f aca="false">B666</f>
        <v>4.9370858544396</v>
      </c>
      <c r="D666" s="5" t="n">
        <f aca="false">C666*LOG(C666)</f>
        <v>3.42372428240456</v>
      </c>
      <c r="E666" s="5"/>
      <c r="F666" s="5"/>
      <c r="G666" s="4" t="n">
        <v>665</v>
      </c>
      <c r="H666" s="6" t="n">
        <v>0.335</v>
      </c>
      <c r="J666" s="2" t="n">
        <f aca="false">B666/$B$1003</f>
        <v>0.000482525778105758</v>
      </c>
      <c r="K666" s="5" t="n">
        <f aca="false">J666*LOG(J666,2)</f>
        <v>-0.00531603781961493</v>
      </c>
      <c r="N666" s="2" t="n">
        <f aca="false">1/1000*LOG(1/1000,2)</f>
        <v>-0.00996578428466209</v>
      </c>
    </row>
    <row r="667" customFormat="false" ht="13" hidden="false" customHeight="false" outlineLevel="0" collapsed="false">
      <c r="A667" s="4" t="n">
        <v>335</v>
      </c>
      <c r="B667" s="2" t="n">
        <v>4.87780552479359</v>
      </c>
      <c r="C667" s="5" t="n">
        <f aca="false">B667</f>
        <v>4.87780552479359</v>
      </c>
      <c r="D667" s="5" t="n">
        <f aca="false">C667*LOG(C667)</f>
        <v>3.35702517698856</v>
      </c>
      <c r="E667" s="5"/>
      <c r="F667" s="5"/>
      <c r="G667" s="4" t="n">
        <v>666</v>
      </c>
      <c r="H667" s="6" t="n">
        <v>0.334</v>
      </c>
      <c r="J667" s="2" t="n">
        <f aca="false">B667/$B$1003</f>
        <v>0.000476732018784541</v>
      </c>
      <c r="K667" s="5" t="n">
        <f aca="false">J667*LOG(J667,2)</f>
        <v>-0.00526051560107104</v>
      </c>
      <c r="N667" s="2" t="n">
        <f aca="false">1/1000*LOG(1/1000,2)</f>
        <v>-0.00996578428466209</v>
      </c>
    </row>
    <row r="668" customFormat="false" ht="13" hidden="false" customHeight="false" outlineLevel="0" collapsed="false">
      <c r="A668" s="4" t="n">
        <v>334</v>
      </c>
      <c r="B668" s="2" t="n">
        <v>4.87610170230137</v>
      </c>
      <c r="C668" s="5" t="n">
        <f aca="false">B668</f>
        <v>4.87610170230137</v>
      </c>
      <c r="D668" s="5" t="n">
        <f aca="false">C668*LOG(C668)</f>
        <v>3.35511273318075</v>
      </c>
      <c r="E668" s="5"/>
      <c r="F668" s="5"/>
      <c r="G668" s="4" t="n">
        <v>667</v>
      </c>
      <c r="H668" s="6" t="n">
        <v>0.333</v>
      </c>
      <c r="J668" s="2" t="n">
        <f aca="false">B668/$B$1003</f>
        <v>0.000476565495799515</v>
      </c>
      <c r="K668" s="5" t="n">
        <f aca="false">J668*LOG(J668,2)</f>
        <v>-0.00525891829747656</v>
      </c>
      <c r="N668" s="2" t="n">
        <f aca="false">1/1000*LOG(1/1000,2)</f>
        <v>-0.00996578428466209</v>
      </c>
    </row>
    <row r="669" customFormat="false" ht="13" hidden="false" customHeight="false" outlineLevel="0" collapsed="false">
      <c r="A669" s="4" t="n">
        <v>333</v>
      </c>
      <c r="B669" s="2" t="n">
        <v>4.87570369707206</v>
      </c>
      <c r="C669" s="5" t="n">
        <f aca="false">B669</f>
        <v>4.87570369707206</v>
      </c>
      <c r="D669" s="5" t="n">
        <f aca="false">C669*LOG(C669)</f>
        <v>3.35466603220573</v>
      </c>
      <c r="E669" s="5"/>
      <c r="F669" s="5"/>
      <c r="G669" s="4" t="n">
        <v>668</v>
      </c>
      <c r="H669" s="6" t="n">
        <v>0.332</v>
      </c>
      <c r="J669" s="2" t="n">
        <f aca="false">B669/$B$1003</f>
        <v>0.000476526596783247</v>
      </c>
      <c r="K669" s="5" t="n">
        <f aca="false">J669*LOG(J669,2)</f>
        <v>-0.0052585451624861</v>
      </c>
      <c r="N669" s="2" t="n">
        <f aca="false">1/1000*LOG(1/1000,2)</f>
        <v>-0.00996578428466209</v>
      </c>
    </row>
    <row r="670" customFormat="false" ht="13" hidden="false" customHeight="false" outlineLevel="0" collapsed="false">
      <c r="A670" s="4" t="n">
        <v>332</v>
      </c>
      <c r="B670" s="2" t="n">
        <v>4.85992359327963</v>
      </c>
      <c r="C670" s="5" t="n">
        <f aca="false">B670</f>
        <v>4.85992359327963</v>
      </c>
      <c r="D670" s="5" t="n">
        <f aca="false">C670*LOG(C670)</f>
        <v>3.33696662223313</v>
      </c>
      <c r="E670" s="5"/>
      <c r="F670" s="5"/>
      <c r="G670" s="4" t="n">
        <v>669</v>
      </c>
      <c r="H670" s="6" t="n">
        <v>0.331</v>
      </c>
      <c r="J670" s="2" t="n">
        <f aca="false">B670/$B$1003</f>
        <v>0.000474984329323146</v>
      </c>
      <c r="K670" s="5" t="n">
        <f aca="false">J670*LOG(J670,2)</f>
        <v>-0.00524374741813396</v>
      </c>
      <c r="N670" s="2" t="n">
        <f aca="false">1/1000*LOG(1/1000,2)</f>
        <v>-0.00996578428466209</v>
      </c>
    </row>
    <row r="671" customFormat="false" ht="13" hidden="false" customHeight="false" outlineLevel="0" collapsed="false">
      <c r="A671" s="4" t="n">
        <v>331</v>
      </c>
      <c r="B671" s="2" t="n">
        <v>4.83304698293265</v>
      </c>
      <c r="C671" s="5" t="n">
        <f aca="false">B671</f>
        <v>4.83304698293265</v>
      </c>
      <c r="D671" s="5" t="n">
        <f aca="false">C671*LOG(C671)</f>
        <v>3.30687232194539</v>
      </c>
      <c r="E671" s="5"/>
      <c r="F671" s="5"/>
      <c r="G671" s="4" t="n">
        <v>670</v>
      </c>
      <c r="H671" s="6" t="n">
        <v>0.33</v>
      </c>
      <c r="J671" s="2" t="n">
        <f aca="false">B671/$B$1003</f>
        <v>0.000472357545486916</v>
      </c>
      <c r="K671" s="5" t="n">
        <f aca="false">J671*LOG(J671,2)</f>
        <v>-0.00521852731445233</v>
      </c>
      <c r="N671" s="2" t="n">
        <f aca="false">1/1000*LOG(1/1000,2)</f>
        <v>-0.00996578428466209</v>
      </c>
    </row>
    <row r="672" customFormat="false" ht="13" hidden="false" customHeight="false" outlineLevel="0" collapsed="false">
      <c r="A672" s="4" t="n">
        <v>330</v>
      </c>
      <c r="B672" s="2" t="n">
        <v>4.82740884741884</v>
      </c>
      <c r="C672" s="5" t="n">
        <f aca="false">B672</f>
        <v>4.82740884741884</v>
      </c>
      <c r="D672" s="5" t="n">
        <f aca="false">C672*LOG(C672)</f>
        <v>3.30056740879418</v>
      </c>
      <c r="E672" s="5"/>
      <c r="F672" s="5"/>
      <c r="G672" s="4" t="n">
        <v>671</v>
      </c>
      <c r="H672" s="6" t="n">
        <v>0.329</v>
      </c>
      <c r="J672" s="2" t="n">
        <f aca="false">B672/$B$1003</f>
        <v>0.000471806502664069</v>
      </c>
      <c r="K672" s="5" t="n">
        <f aca="false">J672*LOG(J672,2)</f>
        <v>-0.00521323400818774</v>
      </c>
      <c r="N672" s="2" t="n">
        <f aca="false">1/1000*LOG(1/1000,2)</f>
        <v>-0.00996578428466209</v>
      </c>
    </row>
    <row r="673" customFormat="false" ht="13" hidden="false" customHeight="false" outlineLevel="0" collapsed="false">
      <c r="A673" s="4" t="n">
        <v>329</v>
      </c>
      <c r="B673" s="2" t="n">
        <v>4.76842098570133</v>
      </c>
      <c r="C673" s="5" t="n">
        <f aca="false">B673</f>
        <v>4.76842098570133</v>
      </c>
      <c r="D673" s="5" t="n">
        <f aca="false">C673*LOG(C673)</f>
        <v>3.23477563411788</v>
      </c>
      <c r="E673" s="5"/>
      <c r="F673" s="5"/>
      <c r="G673" s="4" t="n">
        <v>672</v>
      </c>
      <c r="H673" s="6" t="n">
        <v>0.328</v>
      </c>
      <c r="J673" s="2" t="n">
        <f aca="false">B673/$B$1003</f>
        <v>0.000466041327677605</v>
      </c>
      <c r="K673" s="5" t="n">
        <f aca="false">J673*LOG(J673,2)</f>
        <v>-0.00515779797322963</v>
      </c>
      <c r="N673" s="2" t="n">
        <f aca="false">1/1000*LOG(1/1000,2)</f>
        <v>-0.00996578428466209</v>
      </c>
    </row>
    <row r="674" customFormat="false" ht="13" hidden="false" customHeight="false" outlineLevel="0" collapsed="false">
      <c r="A674" s="4" t="n">
        <v>328</v>
      </c>
      <c r="B674" s="2" t="n">
        <v>4.75624320174808</v>
      </c>
      <c r="C674" s="5" t="n">
        <f aca="false">B674</f>
        <v>4.75624320174808</v>
      </c>
      <c r="D674" s="5" t="n">
        <f aca="false">C674*LOG(C674)</f>
        <v>3.22123254960074</v>
      </c>
      <c r="E674" s="5"/>
      <c r="F674" s="5"/>
      <c r="G674" s="4" t="n">
        <v>673</v>
      </c>
      <c r="H674" s="6" t="n">
        <v>0.327</v>
      </c>
      <c r="J674" s="2" t="n">
        <f aca="false">B674/$B$1003</f>
        <v>0.000464851132722344</v>
      </c>
      <c r="K674" s="5" t="n">
        <f aca="false">J674*LOG(J674,2)</f>
        <v>-0.00514634067668113</v>
      </c>
      <c r="N674" s="2" t="n">
        <f aca="false">1/1000*LOG(1/1000,2)</f>
        <v>-0.00996578428466209</v>
      </c>
    </row>
    <row r="675" customFormat="false" ht="13" hidden="false" customHeight="false" outlineLevel="0" collapsed="false">
      <c r="A675" s="4" t="n">
        <v>327</v>
      </c>
      <c r="B675" s="2" t="n">
        <v>4.75541810418372</v>
      </c>
      <c r="C675" s="5" t="n">
        <f aca="false">B675</f>
        <v>4.75541810418372</v>
      </c>
      <c r="D675" s="5" t="n">
        <f aca="false">C675*LOG(C675)</f>
        <v>3.22031543644386</v>
      </c>
      <c r="E675" s="5"/>
      <c r="F675" s="5"/>
      <c r="G675" s="4" t="n">
        <v>674</v>
      </c>
      <c r="H675" s="6" t="n">
        <v>0.326</v>
      </c>
      <c r="J675" s="2" t="n">
        <f aca="false">B675/$B$1003</f>
        <v>0.000464770491863345</v>
      </c>
      <c r="K675" s="5" t="n">
        <f aca="false">J675*LOG(J675,2)</f>
        <v>-0.00514556423635425</v>
      </c>
      <c r="N675" s="2" t="n">
        <f aca="false">1/1000*LOG(1/1000,2)</f>
        <v>-0.00996578428466209</v>
      </c>
    </row>
    <row r="676" customFormat="false" ht="13" hidden="false" customHeight="false" outlineLevel="0" collapsed="false">
      <c r="A676" s="4" t="n">
        <v>326</v>
      </c>
      <c r="B676" s="2" t="n">
        <v>4.74458337168645</v>
      </c>
      <c r="C676" s="5" t="n">
        <f aca="false">B676</f>
        <v>4.74458337168645</v>
      </c>
      <c r="D676" s="5" t="n">
        <f aca="false">C676*LOG(C676)</f>
        <v>3.20827817795358</v>
      </c>
      <c r="E676" s="5"/>
      <c r="F676" s="5"/>
      <c r="G676" s="4" t="n">
        <v>675</v>
      </c>
      <c r="H676" s="6" t="n">
        <v>0.325</v>
      </c>
      <c r="J676" s="2" t="n">
        <f aca="false">B676/$B$1003</f>
        <v>0.000463711559958381</v>
      </c>
      <c r="K676" s="5" t="n">
        <f aca="false">J676*LOG(J676,2)</f>
        <v>-0.00513536657001584</v>
      </c>
      <c r="N676" s="2" t="n">
        <f aca="false">1/1000*LOG(1/1000,2)</f>
        <v>-0.00996578428466209</v>
      </c>
    </row>
    <row r="677" customFormat="false" ht="13" hidden="false" customHeight="false" outlineLevel="0" collapsed="false">
      <c r="A677" s="4" t="n">
        <v>325</v>
      </c>
      <c r="B677" s="2" t="n">
        <v>4.72677078200741</v>
      </c>
      <c r="C677" s="5" t="n">
        <f aca="false">B677</f>
        <v>4.72677078200741</v>
      </c>
      <c r="D677" s="5" t="n">
        <f aca="false">C677*LOG(C677)</f>
        <v>3.18851196923259</v>
      </c>
      <c r="E677" s="5"/>
      <c r="F677" s="5"/>
      <c r="G677" s="4" t="n">
        <v>676</v>
      </c>
      <c r="H677" s="6" t="n">
        <v>0.324</v>
      </c>
      <c r="J677" s="2" t="n">
        <f aca="false">B677/$B$1003</f>
        <v>0.000461970647616897</v>
      </c>
      <c r="K677" s="5" t="n">
        <f aca="false">J677*LOG(J677,2)</f>
        <v>-0.00511859374797836</v>
      </c>
      <c r="N677" s="2" t="n">
        <f aca="false">1/1000*LOG(1/1000,2)</f>
        <v>-0.00996578428466209</v>
      </c>
    </row>
    <row r="678" customFormat="false" ht="13" hidden="false" customHeight="false" outlineLevel="0" collapsed="false">
      <c r="A678" s="4" t="n">
        <v>324</v>
      </c>
      <c r="B678" s="2" t="n">
        <v>4.71618384870487</v>
      </c>
      <c r="C678" s="5" t="n">
        <f aca="false">B678</f>
        <v>4.71618384870487</v>
      </c>
      <c r="D678" s="5" t="n">
        <f aca="false">C678*LOG(C678)</f>
        <v>3.17677770563556</v>
      </c>
      <c r="E678" s="5"/>
      <c r="F678" s="5"/>
      <c r="G678" s="4" t="n">
        <v>677</v>
      </c>
      <c r="H678" s="6" t="n">
        <v>0.323</v>
      </c>
      <c r="J678" s="2" t="n">
        <f aca="false">B678/$B$1003</f>
        <v>0.000460935934350778</v>
      </c>
      <c r="K678" s="5" t="n">
        <f aca="false">J678*LOG(J678,2)</f>
        <v>-0.00510862031958529</v>
      </c>
      <c r="N678" s="2" t="n">
        <f aca="false">1/1000*LOG(1/1000,2)</f>
        <v>-0.00996578428466209</v>
      </c>
    </row>
    <row r="679" customFormat="false" ht="13" hidden="false" customHeight="false" outlineLevel="0" collapsed="false">
      <c r="A679" s="4" t="n">
        <v>323</v>
      </c>
      <c r="B679" s="2" t="n">
        <v>4.68725324538502</v>
      </c>
      <c r="C679" s="5" t="n">
        <f aca="false">B679</f>
        <v>4.68725324538502</v>
      </c>
      <c r="D679" s="5" t="n">
        <f aca="false">C679*LOG(C679)</f>
        <v>3.14476453424454</v>
      </c>
      <c r="E679" s="5"/>
      <c r="F679" s="5"/>
      <c r="G679" s="4" t="n">
        <v>678</v>
      </c>
      <c r="H679" s="6" t="n">
        <v>0.322</v>
      </c>
      <c r="J679" s="2" t="n">
        <f aca="false">B679/$B$1003</f>
        <v>0.000458108403639432</v>
      </c>
      <c r="K679" s="5" t="n">
        <f aca="false">J679*LOG(J679,2)</f>
        <v>-0.00508134911061439</v>
      </c>
      <c r="N679" s="2" t="n">
        <f aca="false">1/1000*LOG(1/1000,2)</f>
        <v>-0.00996578428466209</v>
      </c>
    </row>
    <row r="680" customFormat="false" ht="13" hidden="false" customHeight="false" outlineLevel="0" collapsed="false">
      <c r="A680" s="4" t="n">
        <v>322</v>
      </c>
      <c r="B680" s="2" t="n">
        <v>4.6773199111087</v>
      </c>
      <c r="C680" s="5" t="n">
        <f aca="false">B680</f>
        <v>4.6773199111087</v>
      </c>
      <c r="D680" s="5" t="n">
        <f aca="false">C680*LOG(C680)</f>
        <v>3.13379065944693</v>
      </c>
      <c r="E680" s="5"/>
      <c r="F680" s="5"/>
      <c r="G680" s="4" t="n">
        <v>679</v>
      </c>
      <c r="H680" s="6" t="n">
        <v>0.321</v>
      </c>
      <c r="J680" s="2" t="n">
        <f aca="false">B680/$B$1003</f>
        <v>0.00045713756983338</v>
      </c>
      <c r="K680" s="5" t="n">
        <f aca="false">J680*LOG(J680,2)</f>
        <v>-0.0050719797313255</v>
      </c>
      <c r="N680" s="2" t="n">
        <f aca="false">1/1000*LOG(1/1000,2)</f>
        <v>-0.00996578428466209</v>
      </c>
    </row>
    <row r="681" customFormat="false" ht="13" hidden="false" customHeight="false" outlineLevel="0" collapsed="false">
      <c r="A681" s="4" t="n">
        <v>321</v>
      </c>
      <c r="B681" s="2" t="n">
        <v>4.66085416405622</v>
      </c>
      <c r="C681" s="5" t="n">
        <f aca="false">B681</f>
        <v>4.66085416405622</v>
      </c>
      <c r="D681" s="5" t="n">
        <f aca="false">C681*LOG(C681)</f>
        <v>3.11562027573311</v>
      </c>
      <c r="E681" s="5"/>
      <c r="F681" s="5"/>
      <c r="G681" s="4" t="n">
        <v>680</v>
      </c>
      <c r="H681" s="6" t="n">
        <v>0.32</v>
      </c>
      <c r="J681" s="2" t="n">
        <f aca="false">B681/$B$1003</f>
        <v>0.000455528291072014</v>
      </c>
      <c r="K681" s="5" t="n">
        <f aca="false">J681*LOG(J681,2)</f>
        <v>-0.00505644225541108</v>
      </c>
      <c r="N681" s="2" t="n">
        <f aca="false">1/1000*LOG(1/1000,2)</f>
        <v>-0.00996578428466209</v>
      </c>
    </row>
    <row r="682" customFormat="false" ht="13" hidden="false" customHeight="false" outlineLevel="0" collapsed="false">
      <c r="A682" s="4" t="n">
        <v>320</v>
      </c>
      <c r="B682" s="2" t="n">
        <v>4.65986366293317</v>
      </c>
      <c r="C682" s="5" t="n">
        <f aca="false">B682</f>
        <v>4.65986366293317</v>
      </c>
      <c r="D682" s="5" t="n">
        <f aca="false">C682*LOG(C682)</f>
        <v>3.11452803643037</v>
      </c>
      <c r="E682" s="5"/>
      <c r="F682" s="5"/>
      <c r="G682" s="4" t="n">
        <v>681</v>
      </c>
      <c r="H682" s="6" t="n">
        <v>0.319</v>
      </c>
      <c r="J682" s="2" t="n">
        <f aca="false">B682/$B$1003</f>
        <v>0.000455431484506521</v>
      </c>
      <c r="K682" s="5" t="n">
        <f aca="false">J682*LOG(J682,2)</f>
        <v>-0.00505550733342097</v>
      </c>
      <c r="N682" s="2" t="n">
        <f aca="false">1/1000*LOG(1/1000,2)</f>
        <v>-0.00996578428466209</v>
      </c>
    </row>
    <row r="683" customFormat="false" ht="13" hidden="false" customHeight="false" outlineLevel="0" collapsed="false">
      <c r="A683" s="4" t="n">
        <v>319</v>
      </c>
      <c r="B683" s="2" t="n">
        <v>4.64619216192131</v>
      </c>
      <c r="C683" s="5" t="n">
        <f aca="false">B683</f>
        <v>4.64619216192131</v>
      </c>
      <c r="D683" s="5" t="n">
        <f aca="false">C683*LOG(C683)</f>
        <v>3.09946163239644</v>
      </c>
      <c r="E683" s="5"/>
      <c r="F683" s="5"/>
      <c r="G683" s="4" t="n">
        <v>682</v>
      </c>
      <c r="H683" s="6" t="n">
        <v>0.318</v>
      </c>
      <c r="J683" s="2" t="n">
        <f aca="false">B683/$B$1003</f>
        <v>0.000454095301207685</v>
      </c>
      <c r="K683" s="5" t="n">
        <f aca="false">J683*LOG(J683,2)</f>
        <v>-0.00504259993405894</v>
      </c>
      <c r="N683" s="2" t="n">
        <f aca="false">1/1000*LOG(1/1000,2)</f>
        <v>-0.00996578428466209</v>
      </c>
    </row>
    <row r="684" customFormat="false" ht="13" hidden="false" customHeight="false" outlineLevel="0" collapsed="false">
      <c r="A684" s="4" t="n">
        <v>318</v>
      </c>
      <c r="B684" s="2" t="n">
        <v>4.63732867040318</v>
      </c>
      <c r="C684" s="5" t="n">
        <f aca="false">B684</f>
        <v>4.63732867040318</v>
      </c>
      <c r="D684" s="5" t="n">
        <f aca="false">C684*LOG(C684)</f>
        <v>3.08970313088481</v>
      </c>
      <c r="E684" s="5"/>
      <c r="F684" s="5"/>
      <c r="G684" s="4" t="n">
        <v>683</v>
      </c>
      <c r="H684" s="6" t="n">
        <v>0.317</v>
      </c>
      <c r="J684" s="2" t="n">
        <f aca="false">B684/$B$1003</f>
        <v>0.00045322902841689</v>
      </c>
      <c r="K684" s="5" t="n">
        <f aca="false">J684*LOG(J684,2)</f>
        <v>-0.005034228794254</v>
      </c>
      <c r="N684" s="2" t="n">
        <f aca="false">1/1000*LOG(1/1000,2)</f>
        <v>-0.00996578428466209</v>
      </c>
    </row>
    <row r="685" customFormat="false" ht="13" hidden="false" customHeight="false" outlineLevel="0" collapsed="false">
      <c r="A685" s="4" t="n">
        <v>317</v>
      </c>
      <c r="B685" s="2" t="n">
        <v>4.62721223738868</v>
      </c>
      <c r="C685" s="5" t="n">
        <f aca="false">B685</f>
        <v>4.62721223738868</v>
      </c>
      <c r="D685" s="5" t="n">
        <f aca="false">C685*LOG(C685)</f>
        <v>3.07857416125518</v>
      </c>
      <c r="E685" s="5"/>
      <c r="F685" s="5"/>
      <c r="G685" s="4" t="n">
        <v>684</v>
      </c>
      <c r="H685" s="6" t="n">
        <v>0.316</v>
      </c>
      <c r="J685" s="2" t="n">
        <f aca="false">B685/$B$1003</f>
        <v>0.000452240299467081</v>
      </c>
      <c r="K685" s="5" t="n">
        <f aca="false">J685*LOG(J685,2)</f>
        <v>-0.0050246713923373</v>
      </c>
      <c r="N685" s="2" t="n">
        <f aca="false">1/1000*LOG(1/1000,2)</f>
        <v>-0.00996578428466209</v>
      </c>
    </row>
    <row r="686" customFormat="false" ht="13" hidden="false" customHeight="false" outlineLevel="0" collapsed="false">
      <c r="A686" s="4" t="n">
        <v>316</v>
      </c>
      <c r="B686" s="2" t="n">
        <v>4.60255462656947</v>
      </c>
      <c r="C686" s="5" t="n">
        <f aca="false">B686</f>
        <v>4.60255462656947</v>
      </c>
      <c r="D686" s="5" t="n">
        <f aca="false">C686*LOG(C686)</f>
        <v>3.05148889273798</v>
      </c>
      <c r="E686" s="5"/>
      <c r="F686" s="5"/>
      <c r="G686" s="4" t="n">
        <v>685</v>
      </c>
      <c r="H686" s="6" t="n">
        <v>0.315</v>
      </c>
      <c r="J686" s="2" t="n">
        <f aca="false">B686/$B$1003</f>
        <v>0.000449830389411321</v>
      </c>
      <c r="K686" s="5" t="n">
        <f aca="false">J686*LOG(J686,2)</f>
        <v>-0.00500136327592103</v>
      </c>
      <c r="N686" s="2" t="n">
        <f aca="false">1/1000*LOG(1/1000,2)</f>
        <v>-0.00996578428466209</v>
      </c>
    </row>
    <row r="687" customFormat="false" ht="13" hidden="false" customHeight="false" outlineLevel="0" collapsed="false">
      <c r="A687" s="4" t="n">
        <v>315</v>
      </c>
      <c r="B687" s="2" t="n">
        <v>4.59836089210251</v>
      </c>
      <c r="C687" s="5" t="n">
        <f aca="false">B687</f>
        <v>4.59836089210251</v>
      </c>
      <c r="D687" s="5" t="n">
        <f aca="false">C687*LOG(C687)</f>
        <v>3.0468879654661</v>
      </c>
      <c r="E687" s="5"/>
      <c r="F687" s="5"/>
      <c r="G687" s="4" t="n">
        <v>686</v>
      </c>
      <c r="H687" s="6" t="n">
        <v>0.314</v>
      </c>
      <c r="J687" s="2" t="n">
        <f aca="false">B687/$B$1003</f>
        <v>0.000449420515034714</v>
      </c>
      <c r="K687" s="5" t="n">
        <f aca="false">J687*LOG(J687,2)</f>
        <v>-0.00499739721107976</v>
      </c>
      <c r="N687" s="2" t="n">
        <f aca="false">1/1000*LOG(1/1000,2)</f>
        <v>-0.00996578428466209</v>
      </c>
    </row>
    <row r="688" customFormat="false" ht="13" hidden="false" customHeight="false" outlineLevel="0" collapsed="false">
      <c r="A688" s="4" t="n">
        <v>314</v>
      </c>
      <c r="B688" s="2" t="n">
        <v>4.58739679736198</v>
      </c>
      <c r="C688" s="5" t="n">
        <f aca="false">B688</f>
        <v>4.58739679736198</v>
      </c>
      <c r="D688" s="5" t="n">
        <f aca="false">C688*LOG(C688)</f>
        <v>3.03486715820243</v>
      </c>
      <c r="E688" s="5"/>
      <c r="F688" s="5"/>
      <c r="G688" s="4" t="n">
        <v>687</v>
      </c>
      <c r="H688" s="6" t="n">
        <v>0.313</v>
      </c>
      <c r="J688" s="2" t="n">
        <f aca="false">B688/$B$1003</f>
        <v>0.000448348939918972</v>
      </c>
      <c r="K688" s="5" t="n">
        <f aca="false">J688*LOG(J688,2)</f>
        <v>-0.00498702578629389</v>
      </c>
      <c r="N688" s="2" t="n">
        <f aca="false">1/1000*LOG(1/1000,2)</f>
        <v>-0.00996578428466209</v>
      </c>
    </row>
    <row r="689" customFormat="false" ht="13" hidden="false" customHeight="false" outlineLevel="0" collapsed="false">
      <c r="A689" s="4" t="n">
        <v>313</v>
      </c>
      <c r="B689" s="2" t="n">
        <v>4.58739663676289</v>
      </c>
      <c r="C689" s="5" t="n">
        <f aca="false">B689</f>
        <v>4.58739663676289</v>
      </c>
      <c r="D689" s="5" t="n">
        <f aca="false">C689*LOG(C689)</f>
        <v>3.03486698220819</v>
      </c>
      <c r="E689" s="5"/>
      <c r="F689" s="5"/>
      <c r="G689" s="4" t="n">
        <v>688</v>
      </c>
      <c r="H689" s="6" t="n">
        <v>0.312</v>
      </c>
      <c r="J689" s="2" t="n">
        <f aca="false">B689/$B$1003</f>
        <v>0.000448348924222831</v>
      </c>
      <c r="K689" s="5" t="n">
        <f aca="false">J689*LOG(J689,2)</f>
        <v>-0.00498702563434904</v>
      </c>
      <c r="N689" s="2" t="n">
        <f aca="false">1/1000*LOG(1/1000,2)</f>
        <v>-0.00996578428466209</v>
      </c>
    </row>
    <row r="690" customFormat="false" ht="13" hidden="false" customHeight="false" outlineLevel="0" collapsed="false">
      <c r="A690" s="4" t="n">
        <v>312</v>
      </c>
      <c r="B690" s="2" t="n">
        <v>4.58459516146061</v>
      </c>
      <c r="C690" s="5" t="n">
        <f aca="false">B690</f>
        <v>4.58459516146061</v>
      </c>
      <c r="D690" s="5" t="n">
        <f aca="false">C690*LOG(C690)</f>
        <v>3.03179732689385</v>
      </c>
      <c r="E690" s="5"/>
      <c r="F690" s="5"/>
      <c r="G690" s="4" t="n">
        <v>689</v>
      </c>
      <c r="H690" s="6" t="n">
        <v>0.311</v>
      </c>
      <c r="J690" s="2" t="n">
        <f aca="false">B690/$B$1003</f>
        <v>0.000448075122208863</v>
      </c>
      <c r="K690" s="5" t="n">
        <f aca="false">J690*LOG(J690,2)</f>
        <v>-0.00498437500195216</v>
      </c>
      <c r="N690" s="2" t="n">
        <f aca="false">1/1000*LOG(1/1000,2)</f>
        <v>-0.00996578428466209</v>
      </c>
    </row>
    <row r="691" customFormat="false" ht="13" hidden="false" customHeight="false" outlineLevel="0" collapsed="false">
      <c r="A691" s="4" t="n">
        <v>311</v>
      </c>
      <c r="B691" s="2" t="n">
        <v>4.58269631301664</v>
      </c>
      <c r="C691" s="5" t="n">
        <f aca="false">B691</f>
        <v>4.58269631301664</v>
      </c>
      <c r="D691" s="5" t="n">
        <f aca="false">C691*LOG(C691)</f>
        <v>3.02971712793591</v>
      </c>
      <c r="E691" s="5"/>
      <c r="F691" s="5"/>
      <c r="G691" s="4" t="n">
        <v>690</v>
      </c>
      <c r="H691" s="6" t="n">
        <v>0.31</v>
      </c>
      <c r="J691" s="2" t="n">
        <f aca="false">B691/$B$1003</f>
        <v>0.000447889538374604</v>
      </c>
      <c r="K691" s="5" t="n">
        <f aca="false">J691*LOG(J691,2)</f>
        <v>-0.00498257825804556</v>
      </c>
      <c r="N691" s="2" t="n">
        <f aca="false">1/1000*LOG(1/1000,2)</f>
        <v>-0.00996578428466209</v>
      </c>
    </row>
    <row r="692" customFormat="false" ht="13" hidden="false" customHeight="false" outlineLevel="0" collapsed="false">
      <c r="A692" s="4" t="n">
        <v>310</v>
      </c>
      <c r="B692" s="2" t="n">
        <v>4.57573518550066</v>
      </c>
      <c r="C692" s="5" t="n">
        <f aca="false">B692</f>
        <v>4.57573518550066</v>
      </c>
      <c r="D692" s="5" t="n">
        <f aca="false">C692*LOG(C692)</f>
        <v>3.02209409781046</v>
      </c>
      <c r="E692" s="5"/>
      <c r="F692" s="5"/>
      <c r="G692" s="4" t="n">
        <v>691</v>
      </c>
      <c r="H692" s="6" t="n">
        <v>0.309</v>
      </c>
      <c r="J692" s="2" t="n">
        <f aca="false">B692/$B$1003</f>
        <v>0.000447209193010928</v>
      </c>
      <c r="K692" s="5" t="n">
        <f aca="false">J692*LOG(J692,2)</f>
        <v>-0.00497599049385454</v>
      </c>
      <c r="N692" s="2" t="n">
        <f aca="false">1/1000*LOG(1/1000,2)</f>
        <v>-0.00996578428466209</v>
      </c>
    </row>
    <row r="693" customFormat="false" ht="13" hidden="false" customHeight="false" outlineLevel="0" collapsed="false">
      <c r="A693" s="4" t="n">
        <v>309</v>
      </c>
      <c r="B693" s="2" t="n">
        <v>4.56296558281093</v>
      </c>
      <c r="C693" s="5" t="n">
        <f aca="false">B693</f>
        <v>4.56296558281093</v>
      </c>
      <c r="D693" s="5" t="n">
        <f aca="false">C693*LOG(C693)</f>
        <v>3.0081222523227</v>
      </c>
      <c r="E693" s="5"/>
      <c r="F693" s="5"/>
      <c r="G693" s="4" t="n">
        <v>692</v>
      </c>
      <c r="H693" s="6" t="n">
        <v>0.308</v>
      </c>
      <c r="J693" s="2" t="n">
        <f aca="false">B693/$B$1003</f>
        <v>0.000445961156688363</v>
      </c>
      <c r="K693" s="5" t="n">
        <f aca="false">J693*LOG(J693,2)</f>
        <v>-0.00496390191113497</v>
      </c>
      <c r="N693" s="2" t="n">
        <f aca="false">1/1000*LOG(1/1000,2)</f>
        <v>-0.00996578428466209</v>
      </c>
    </row>
    <row r="694" customFormat="false" ht="13" hidden="false" customHeight="false" outlineLevel="0" collapsed="false">
      <c r="A694" s="4" t="n">
        <v>308</v>
      </c>
      <c r="B694" s="2" t="n">
        <v>4.54921035535321</v>
      </c>
      <c r="C694" s="5" t="n">
        <f aca="false">B694</f>
        <v>4.54921035535321</v>
      </c>
      <c r="D694" s="5" t="n">
        <f aca="false">C694*LOG(C694)</f>
        <v>2.9930893510601</v>
      </c>
      <c r="E694" s="5"/>
      <c r="F694" s="5"/>
      <c r="G694" s="4" t="n">
        <v>693</v>
      </c>
      <c r="H694" s="6" t="n">
        <v>0.307</v>
      </c>
      <c r="J694" s="2" t="n">
        <f aca="false">B694/$B$1003</f>
        <v>0.000444616790390562</v>
      </c>
      <c r="K694" s="5" t="n">
        <f aca="false">J694*LOG(J694,2)</f>
        <v>-0.00495087463066544</v>
      </c>
      <c r="N694" s="2" t="n">
        <f aca="false">1/1000*LOG(1/1000,2)</f>
        <v>-0.00996578428466209</v>
      </c>
    </row>
    <row r="695" customFormat="false" ht="13" hidden="false" customHeight="false" outlineLevel="0" collapsed="false">
      <c r="A695" s="4" t="n">
        <v>307</v>
      </c>
      <c r="B695" s="2" t="n">
        <v>4.52980464645111</v>
      </c>
      <c r="C695" s="5" t="n">
        <f aca="false">B695</f>
        <v>4.52980464645111</v>
      </c>
      <c r="D695" s="5" t="n">
        <f aca="false">C695*LOG(C695)</f>
        <v>2.97191184486703</v>
      </c>
      <c r="E695" s="5"/>
      <c r="F695" s="5"/>
      <c r="G695" s="4" t="n">
        <v>694</v>
      </c>
      <c r="H695" s="6" t="n">
        <v>0.306</v>
      </c>
      <c r="J695" s="2" t="n">
        <f aca="false">B695/$B$1003</f>
        <v>0.00044272017464116</v>
      </c>
      <c r="K695" s="5" t="n">
        <f aca="false">J695*LOG(J695,2)</f>
        <v>-0.00493248592369275</v>
      </c>
      <c r="N695" s="2" t="n">
        <f aca="false">1/1000*LOG(1/1000,2)</f>
        <v>-0.00996578428466209</v>
      </c>
    </row>
    <row r="696" customFormat="false" ht="13" hidden="false" customHeight="false" outlineLevel="0" collapsed="false">
      <c r="A696" s="4" t="n">
        <v>306</v>
      </c>
      <c r="B696" s="2" t="n">
        <v>4.52368452472453</v>
      </c>
      <c r="C696" s="5" t="n">
        <f aca="false">B696</f>
        <v>4.52368452472453</v>
      </c>
      <c r="D696" s="5" t="n">
        <f aca="false">C696*LOG(C696)</f>
        <v>2.96524041988471</v>
      </c>
      <c r="E696" s="5"/>
      <c r="F696" s="5"/>
      <c r="G696" s="4" t="n">
        <v>695</v>
      </c>
      <c r="H696" s="6" t="n">
        <v>0.305</v>
      </c>
      <c r="J696" s="2" t="n">
        <f aca="false">B696/$B$1003</f>
        <v>0.000442122024925865</v>
      </c>
      <c r="K696" s="5" t="n">
        <f aca="false">J696*LOG(J696,2)</f>
        <v>-0.00492668411235509</v>
      </c>
      <c r="N696" s="2" t="n">
        <f aca="false">1/1000*LOG(1/1000,2)</f>
        <v>-0.00996578428466209</v>
      </c>
    </row>
    <row r="697" customFormat="false" ht="13" hidden="false" customHeight="false" outlineLevel="0" collapsed="false">
      <c r="A697" s="4" t="n">
        <v>305</v>
      </c>
      <c r="B697" s="2" t="n">
        <v>4.49546488588845</v>
      </c>
      <c r="C697" s="5" t="n">
        <f aca="false">B697</f>
        <v>4.49546488588845</v>
      </c>
      <c r="D697" s="5" t="n">
        <f aca="false">C697*LOG(C697)</f>
        <v>2.93452533647206</v>
      </c>
      <c r="E697" s="5"/>
      <c r="F697" s="5"/>
      <c r="G697" s="4" t="n">
        <v>696</v>
      </c>
      <c r="H697" s="6" t="n">
        <v>0.304</v>
      </c>
      <c r="J697" s="2" t="n">
        <f aca="false">B697/$B$1003</f>
        <v>0.000439363980284004</v>
      </c>
      <c r="K697" s="5" t="n">
        <f aca="false">J697*LOG(J697,2)</f>
        <v>-0.00489991706286998</v>
      </c>
      <c r="N697" s="2" t="n">
        <f aca="false">1/1000*LOG(1/1000,2)</f>
        <v>-0.00996578428466209</v>
      </c>
    </row>
    <row r="698" customFormat="false" ht="13" hidden="false" customHeight="false" outlineLevel="0" collapsed="false">
      <c r="A698" s="4" t="n">
        <v>304</v>
      </c>
      <c r="B698" s="2" t="n">
        <v>4.48281481868511</v>
      </c>
      <c r="C698" s="5" t="n">
        <f aca="false">B698</f>
        <v>4.48281481868511</v>
      </c>
      <c r="D698" s="5" t="n">
        <f aca="false">C698*LOG(C698)</f>
        <v>2.9207815764174</v>
      </c>
      <c r="E698" s="5"/>
      <c r="F698" s="5"/>
      <c r="G698" s="4" t="n">
        <v>697</v>
      </c>
      <c r="H698" s="6" t="n">
        <v>0.303</v>
      </c>
      <c r="J698" s="2" t="n">
        <f aca="false">B698/$B$1003</f>
        <v>0.000438127626754747</v>
      </c>
      <c r="K698" s="5" t="n">
        <f aca="false">J698*LOG(J698,2)</f>
        <v>-0.00488791005176676</v>
      </c>
      <c r="N698" s="2" t="n">
        <f aca="false">1/1000*LOG(1/1000,2)</f>
        <v>-0.00996578428466209</v>
      </c>
    </row>
    <row r="699" customFormat="false" ht="13" hidden="false" customHeight="false" outlineLevel="0" collapsed="false">
      <c r="A699" s="4" t="n">
        <v>303</v>
      </c>
      <c r="B699" s="2" t="n">
        <v>4.47164218515468</v>
      </c>
      <c r="C699" s="5" t="n">
        <f aca="false">B699</f>
        <v>4.47164218515468</v>
      </c>
      <c r="D699" s="5" t="n">
        <f aca="false">C699*LOG(C699)</f>
        <v>2.90865587670107</v>
      </c>
      <c r="E699" s="5"/>
      <c r="F699" s="5"/>
      <c r="G699" s="4" t="n">
        <v>698</v>
      </c>
      <c r="H699" s="6" t="n">
        <v>0.302</v>
      </c>
      <c r="J699" s="2" t="n">
        <f aca="false">B699/$B$1003</f>
        <v>0.000437035670113378</v>
      </c>
      <c r="K699" s="5" t="n">
        <f aca="false">J699*LOG(J699,2)</f>
        <v>-0.00487730118471383</v>
      </c>
      <c r="N699" s="2" t="n">
        <f aca="false">1/1000*LOG(1/1000,2)</f>
        <v>-0.00996578428466209</v>
      </c>
    </row>
    <row r="700" customFormat="false" ht="13" hidden="false" customHeight="false" outlineLevel="0" collapsed="false">
      <c r="A700" s="4" t="n">
        <v>302</v>
      </c>
      <c r="B700" s="2" t="n">
        <v>4.44983057084118</v>
      </c>
      <c r="C700" s="5" t="n">
        <f aca="false">B700</f>
        <v>4.44983057084118</v>
      </c>
      <c r="D700" s="5" t="n">
        <f aca="false">C700*LOG(C700)</f>
        <v>2.88501861702592</v>
      </c>
      <c r="E700" s="5"/>
      <c r="F700" s="5"/>
      <c r="G700" s="4" t="n">
        <v>699</v>
      </c>
      <c r="H700" s="6" t="n">
        <v>0.301</v>
      </c>
      <c r="J700" s="2" t="n">
        <f aca="false">B700/$B$1003</f>
        <v>0.000434903913348626</v>
      </c>
      <c r="K700" s="5" t="n">
        <f aca="false">J700*LOG(J700,2)</f>
        <v>-0.00485657882359032</v>
      </c>
      <c r="N700" s="2" t="n">
        <f aca="false">1/1000*LOG(1/1000,2)</f>
        <v>-0.00996578428466209</v>
      </c>
    </row>
    <row r="701" customFormat="false" ht="13" hidden="false" customHeight="false" outlineLevel="0" collapsed="false">
      <c r="A701" s="4" t="n">
        <v>301</v>
      </c>
      <c r="B701" s="2" t="n">
        <v>4.44618544331391</v>
      </c>
      <c r="C701" s="5" t="n">
        <f aca="false">B701</f>
        <v>4.44618544331391</v>
      </c>
      <c r="D701" s="5" t="n">
        <f aca="false">C701*LOG(C701)</f>
        <v>2.88107291217296</v>
      </c>
      <c r="E701" s="5"/>
      <c r="F701" s="5"/>
      <c r="G701" s="4" t="n">
        <v>700</v>
      </c>
      <c r="H701" s="6" t="n">
        <v>0.3</v>
      </c>
      <c r="J701" s="2" t="n">
        <f aca="false">B701/$B$1003</f>
        <v>0.000434547657037059</v>
      </c>
      <c r="K701" s="5" t="n">
        <f aca="false">J701*LOG(J701,2)</f>
        <v>-0.00485311426241446</v>
      </c>
      <c r="L701" s="2" t="n">
        <f aca="false">SUM(J652:J701)</f>
        <v>0.0233690163002421</v>
      </c>
      <c r="N701" s="2" t="n">
        <f aca="false">1/1000*LOG(1/1000,2)</f>
        <v>-0.00996578428466209</v>
      </c>
    </row>
    <row r="702" customFormat="false" ht="13" hidden="false" customHeight="false" outlineLevel="0" collapsed="false">
      <c r="A702" s="4" t="n">
        <v>300</v>
      </c>
      <c r="B702" s="2" t="n">
        <v>4.43963747198239</v>
      </c>
      <c r="C702" s="5" t="n">
        <f aca="false">B702</f>
        <v>4.43963747198239</v>
      </c>
      <c r="D702" s="5" t="n">
        <f aca="false">C702*LOG(C702)</f>
        <v>2.8739882553544</v>
      </c>
      <c r="E702" s="5"/>
      <c r="F702" s="5"/>
      <c r="G702" s="4" t="n">
        <v>701</v>
      </c>
      <c r="H702" s="6" t="n">
        <v>0.299</v>
      </c>
      <c r="J702" s="2" t="n">
        <f aca="false">B702/$B$1003</f>
        <v>0.000433907691467307</v>
      </c>
      <c r="K702" s="5" t="n">
        <f aca="false">J702*LOG(J702,2)</f>
        <v>-0.00484688959519415</v>
      </c>
      <c r="N702" s="2" t="n">
        <f aca="false">1/1000*LOG(1/1000,2)</f>
        <v>-0.00996578428466209</v>
      </c>
    </row>
    <row r="703" customFormat="false" ht="13" hidden="false" customHeight="false" outlineLevel="0" collapsed="false">
      <c r="A703" s="4" t="n">
        <v>299</v>
      </c>
      <c r="B703" s="2" t="n">
        <v>4.4286062902911</v>
      </c>
      <c r="C703" s="5" t="n">
        <f aca="false">B703</f>
        <v>4.4286062902911</v>
      </c>
      <c r="D703" s="5" t="n">
        <f aca="false">C703*LOG(C703)</f>
        <v>2.86206242280591</v>
      </c>
      <c r="E703" s="5"/>
      <c r="F703" s="5"/>
      <c r="G703" s="4" t="n">
        <v>702</v>
      </c>
      <c r="H703" s="6" t="n">
        <v>0.298</v>
      </c>
      <c r="J703" s="2" t="n">
        <f aca="false">B703/$B$1003</f>
        <v>0.000432829559612616</v>
      </c>
      <c r="K703" s="5" t="n">
        <f aca="false">J703*LOG(J703,2)</f>
        <v>-0.00483639999433024</v>
      </c>
      <c r="N703" s="2" t="n">
        <f aca="false">1/1000*LOG(1/1000,2)</f>
        <v>-0.00996578428466209</v>
      </c>
    </row>
    <row r="704" customFormat="false" ht="13" hidden="false" customHeight="false" outlineLevel="0" collapsed="false">
      <c r="A704" s="4" t="n">
        <v>298</v>
      </c>
      <c r="B704" s="2" t="n">
        <v>4.41825427986476</v>
      </c>
      <c r="C704" s="5" t="n">
        <f aca="false">B704</f>
        <v>4.41825427986476</v>
      </c>
      <c r="D704" s="5" t="n">
        <f aca="false">C704*LOG(C704)</f>
        <v>2.85088169699018</v>
      </c>
      <c r="E704" s="5"/>
      <c r="F704" s="5"/>
      <c r="G704" s="4" t="n">
        <v>703</v>
      </c>
      <c r="H704" s="6" t="n">
        <v>0.297</v>
      </c>
      <c r="J704" s="2" t="n">
        <f aca="false">B704/$B$1003</f>
        <v>0.000431817806519151</v>
      </c>
      <c r="K704" s="5" t="n">
        <f aca="false">J704*LOG(J704,2)</f>
        <v>-0.00482655269678132</v>
      </c>
      <c r="N704" s="2" t="n">
        <f aca="false">1/1000*LOG(1/1000,2)</f>
        <v>-0.00996578428466209</v>
      </c>
    </row>
    <row r="705" customFormat="false" ht="13" hidden="false" customHeight="false" outlineLevel="0" collapsed="false">
      <c r="A705" s="4" t="n">
        <v>297</v>
      </c>
      <c r="B705" s="2" t="n">
        <v>4.41444240201349</v>
      </c>
      <c r="C705" s="5" t="n">
        <f aca="false">B705</f>
        <v>4.41444240201349</v>
      </c>
      <c r="D705" s="5" t="n">
        <f aca="false">C705*LOG(C705)</f>
        <v>2.84676731693836</v>
      </c>
      <c r="E705" s="5"/>
      <c r="F705" s="5"/>
      <c r="G705" s="4" t="n">
        <v>704</v>
      </c>
      <c r="H705" s="6" t="n">
        <v>0.296</v>
      </c>
      <c r="J705" s="2" t="n">
        <f aca="false">B705/$B$1003</f>
        <v>0.000431445252875067</v>
      </c>
      <c r="K705" s="5" t="n">
        <f aca="false">J705*LOG(J705,2)</f>
        <v>-0.00482292580616389</v>
      </c>
      <c r="N705" s="2" t="n">
        <f aca="false">1/1000*LOG(1/1000,2)</f>
        <v>-0.00996578428466209</v>
      </c>
    </row>
    <row r="706" customFormat="false" ht="13" hidden="false" customHeight="false" outlineLevel="0" collapsed="false">
      <c r="A706" s="4" t="n">
        <v>296</v>
      </c>
      <c r="B706" s="2" t="n">
        <v>4.40577566021182</v>
      </c>
      <c r="C706" s="5" t="n">
        <f aca="false">B706</f>
        <v>4.40577566021182</v>
      </c>
      <c r="D706" s="5" t="n">
        <f aca="false">C706*LOG(C706)</f>
        <v>2.83741812348505</v>
      </c>
      <c r="E706" s="5"/>
      <c r="F706" s="5"/>
      <c r="G706" s="4" t="n">
        <v>705</v>
      </c>
      <c r="H706" s="6" t="n">
        <v>0.295</v>
      </c>
      <c r="J706" s="2" t="n">
        <f aca="false">B706/$B$1003</f>
        <v>0.000430598209405541</v>
      </c>
      <c r="K706" s="5" t="n">
        <f aca="false">J706*LOG(J706,2)</f>
        <v>-0.00481467792624292</v>
      </c>
      <c r="N706" s="2" t="n">
        <f aca="false">1/1000*LOG(1/1000,2)</f>
        <v>-0.00996578428466209</v>
      </c>
    </row>
    <row r="707" customFormat="false" ht="13" hidden="false" customHeight="false" outlineLevel="0" collapsed="false">
      <c r="A707" s="4" t="n">
        <v>295</v>
      </c>
      <c r="B707" s="2" t="n">
        <v>4.40510213947914</v>
      </c>
      <c r="C707" s="5" t="n">
        <f aca="false">B707</f>
        <v>4.40510213947914</v>
      </c>
      <c r="D707" s="5" t="n">
        <f aca="false">C707*LOG(C707)</f>
        <v>2.8366918770818</v>
      </c>
      <c r="E707" s="5"/>
      <c r="F707" s="5"/>
      <c r="G707" s="4" t="n">
        <v>706</v>
      </c>
      <c r="H707" s="6" t="n">
        <v>0.294</v>
      </c>
      <c r="J707" s="2" t="n">
        <f aca="false">B707/$B$1003</f>
        <v>0.000430532382898733</v>
      </c>
      <c r="K707" s="5" t="n">
        <f aca="false">J707*LOG(J707,2)</f>
        <v>-0.0048140368560262</v>
      </c>
      <c r="N707" s="2" t="n">
        <f aca="false">1/1000*LOG(1/1000,2)</f>
        <v>-0.00996578428466209</v>
      </c>
    </row>
    <row r="708" customFormat="false" ht="13" hidden="false" customHeight="false" outlineLevel="0" collapsed="false">
      <c r="A708" s="4" t="n">
        <v>294</v>
      </c>
      <c r="B708" s="2" t="n">
        <v>4.40353531883966</v>
      </c>
      <c r="C708" s="5" t="n">
        <f aca="false">B708</f>
        <v>4.40353531883966</v>
      </c>
      <c r="D708" s="5" t="n">
        <f aca="false">C708*LOG(C708)</f>
        <v>2.83500257302805</v>
      </c>
      <c r="E708" s="5"/>
      <c r="F708" s="5"/>
      <c r="G708" s="4" t="n">
        <v>707</v>
      </c>
      <c r="H708" s="6" t="n">
        <v>0.293</v>
      </c>
      <c r="J708" s="2" t="n">
        <f aca="false">B708/$B$1003</f>
        <v>0.000430379249781241</v>
      </c>
      <c r="K708" s="5" t="n">
        <f aca="false">J708*LOG(J708,2)</f>
        <v>-0.0048125454692904</v>
      </c>
      <c r="N708" s="2" t="n">
        <f aca="false">1/1000*LOG(1/1000,2)</f>
        <v>-0.00996578428466209</v>
      </c>
    </row>
    <row r="709" customFormat="false" ht="13" hidden="false" customHeight="false" outlineLevel="0" collapsed="false">
      <c r="A709" s="4" t="n">
        <v>293</v>
      </c>
      <c r="B709" s="2" t="n">
        <v>4.38894383962759</v>
      </c>
      <c r="C709" s="5" t="n">
        <f aca="false">B709</f>
        <v>4.38894383962759</v>
      </c>
      <c r="D709" s="5" t="n">
        <f aca="false">C709*LOG(C709)</f>
        <v>2.81928206885455</v>
      </c>
      <c r="E709" s="5"/>
      <c r="F709" s="5"/>
      <c r="G709" s="4" t="n">
        <v>708</v>
      </c>
      <c r="H709" s="6" t="n">
        <v>0.292</v>
      </c>
      <c r="J709" s="2" t="n">
        <f aca="false">B709/$B$1003</f>
        <v>0.000428953152470377</v>
      </c>
      <c r="K709" s="5" t="n">
        <f aca="false">J709*LOG(J709,2)</f>
        <v>-0.00479865271207428</v>
      </c>
      <c r="N709" s="2" t="n">
        <f aca="false">1/1000*LOG(1/1000,2)</f>
        <v>-0.00996578428466209</v>
      </c>
    </row>
    <row r="710" customFormat="false" ht="13" hidden="false" customHeight="false" outlineLevel="0" collapsed="false">
      <c r="A710" s="4" t="n">
        <v>292</v>
      </c>
      <c r="B710" s="2" t="n">
        <v>4.37575984472312</v>
      </c>
      <c r="C710" s="5" t="n">
        <f aca="false">B710</f>
        <v>4.37575984472312</v>
      </c>
      <c r="D710" s="5" t="n">
        <f aca="false">C710*LOG(C710)</f>
        <v>2.8050960697626</v>
      </c>
      <c r="E710" s="5"/>
      <c r="F710" s="5"/>
      <c r="G710" s="4" t="n">
        <v>709</v>
      </c>
      <c r="H710" s="6" t="n">
        <v>0.291</v>
      </c>
      <c r="J710" s="2" t="n">
        <f aca="false">B710/$B$1003</f>
        <v>0.000427664615550547</v>
      </c>
      <c r="K710" s="5" t="n">
        <f aca="false">J710*LOG(J710,2)</f>
        <v>-0.00478609415928739</v>
      </c>
      <c r="N710" s="2" t="n">
        <f aca="false">1/1000*LOG(1/1000,2)</f>
        <v>-0.00996578428466209</v>
      </c>
    </row>
    <row r="711" customFormat="false" ht="13" hidden="false" customHeight="false" outlineLevel="0" collapsed="false">
      <c r="A711" s="4" t="n">
        <v>291</v>
      </c>
      <c r="B711" s="2" t="n">
        <v>4.36810901743206</v>
      </c>
      <c r="C711" s="5" t="n">
        <f aca="false">B711</f>
        <v>4.36810901743206</v>
      </c>
      <c r="D711" s="5" t="n">
        <f aca="false">C711*LOG(C711)</f>
        <v>2.79687167474319</v>
      </c>
      <c r="E711" s="5"/>
      <c r="F711" s="5"/>
      <c r="G711" s="4" t="n">
        <v>710</v>
      </c>
      <c r="H711" s="6" t="n">
        <v>0.29</v>
      </c>
      <c r="J711" s="2" t="n">
        <f aca="false">B711/$B$1003</f>
        <v>0.000426916862422362</v>
      </c>
      <c r="K711" s="5" t="n">
        <f aca="false">J711*LOG(J711,2)</f>
        <v>-0.00477880371623149</v>
      </c>
      <c r="N711" s="2" t="n">
        <f aca="false">1/1000*LOG(1/1000,2)</f>
        <v>-0.00996578428466209</v>
      </c>
    </row>
    <row r="712" customFormat="false" ht="13" hidden="false" customHeight="false" outlineLevel="0" collapsed="false">
      <c r="A712" s="4" t="n">
        <v>290</v>
      </c>
      <c r="B712" s="2" t="n">
        <v>4.36670257126023</v>
      </c>
      <c r="C712" s="5" t="n">
        <f aca="false">B712</f>
        <v>4.36670257126023</v>
      </c>
      <c r="D712" s="5" t="n">
        <f aca="false">C712*LOG(C712)</f>
        <v>2.79536042297899</v>
      </c>
      <c r="E712" s="5"/>
      <c r="F712" s="5"/>
      <c r="G712" s="4" t="n">
        <v>711</v>
      </c>
      <c r="H712" s="6" t="n">
        <v>0.289</v>
      </c>
      <c r="J712" s="2" t="n">
        <f aca="false">B712/$B$1003</f>
        <v>0.000426779403493465</v>
      </c>
      <c r="K712" s="5" t="n">
        <f aca="false">J712*LOG(J712,2)</f>
        <v>-0.00477746331373746</v>
      </c>
      <c r="N712" s="2" t="n">
        <f aca="false">1/1000*LOG(1/1000,2)</f>
        <v>-0.00996578428466209</v>
      </c>
    </row>
    <row r="713" customFormat="false" ht="13" hidden="false" customHeight="false" outlineLevel="0" collapsed="false">
      <c r="A713" s="4" t="n">
        <v>289</v>
      </c>
      <c r="B713" s="2" t="n">
        <v>4.36666048911241</v>
      </c>
      <c r="C713" s="5" t="n">
        <f aca="false">B713</f>
        <v>4.36666048911241</v>
      </c>
      <c r="D713" s="5" t="n">
        <f aca="false">C713*LOG(C713)</f>
        <v>2.79531520798353</v>
      </c>
      <c r="E713" s="5"/>
      <c r="F713" s="5"/>
      <c r="G713" s="4" t="n">
        <v>712</v>
      </c>
      <c r="H713" s="6" t="n">
        <v>0.288</v>
      </c>
      <c r="J713" s="2" t="n">
        <f aca="false">B713/$B$1003</f>
        <v>0.000426775290597371</v>
      </c>
      <c r="K713" s="5" t="n">
        <f aca="false">J713*LOG(J713,2)</f>
        <v>-0.00477742320669244</v>
      </c>
      <c r="N713" s="2" t="n">
        <f aca="false">1/1000*LOG(1/1000,2)</f>
        <v>-0.00996578428466209</v>
      </c>
    </row>
    <row r="714" customFormat="false" ht="13" hidden="false" customHeight="false" outlineLevel="0" collapsed="false">
      <c r="A714" s="4" t="n">
        <v>288</v>
      </c>
      <c r="B714" s="2" t="n">
        <v>4.34642040225799</v>
      </c>
      <c r="C714" s="5" t="n">
        <f aca="false">B714</f>
        <v>4.34642040225799</v>
      </c>
      <c r="D714" s="5" t="n">
        <f aca="false">C714*LOG(C714)</f>
        <v>2.77358877331582</v>
      </c>
      <c r="E714" s="5"/>
      <c r="F714" s="5"/>
      <c r="G714" s="4" t="n">
        <v>713</v>
      </c>
      <c r="H714" s="6" t="n">
        <v>0.287</v>
      </c>
      <c r="J714" s="2" t="n">
        <f aca="false">B714/$B$1003</f>
        <v>0.000424797126970832</v>
      </c>
      <c r="K714" s="5" t="n">
        <f aca="false">J714*LOG(J714,2)</f>
        <v>-0.00475812643927176</v>
      </c>
      <c r="N714" s="2" t="n">
        <f aca="false">1/1000*LOG(1/1000,2)</f>
        <v>-0.00996578428466209</v>
      </c>
    </row>
    <row r="715" customFormat="false" ht="13" hidden="false" customHeight="false" outlineLevel="0" collapsed="false">
      <c r="A715" s="4" t="n">
        <v>287</v>
      </c>
      <c r="B715" s="2" t="n">
        <v>4.33414799497239</v>
      </c>
      <c r="C715" s="5" t="n">
        <f aca="false">B715</f>
        <v>4.33414799497239</v>
      </c>
      <c r="D715" s="5" t="n">
        <f aca="false">C715*LOG(C715)</f>
        <v>2.76043505372123</v>
      </c>
      <c r="E715" s="5"/>
      <c r="F715" s="5"/>
      <c r="G715" s="4" t="n">
        <v>714</v>
      </c>
      <c r="H715" s="6" t="n">
        <v>0.286</v>
      </c>
      <c r="J715" s="2" t="n">
        <f aca="false">B715/$B$1003</f>
        <v>0.000423597684010084</v>
      </c>
      <c r="K715" s="5" t="n">
        <f aca="false">J715*LOG(J715,2)</f>
        <v>-0.00474641953770521</v>
      </c>
      <c r="N715" s="2" t="n">
        <f aca="false">1/1000*LOG(1/1000,2)</f>
        <v>-0.00996578428466209</v>
      </c>
    </row>
    <row r="716" customFormat="false" ht="13" hidden="false" customHeight="false" outlineLevel="0" collapsed="false">
      <c r="A716" s="4" t="n">
        <v>286</v>
      </c>
      <c r="B716" s="2" t="n">
        <v>4.3188745812239</v>
      </c>
      <c r="C716" s="5" t="n">
        <f aca="false">B716</f>
        <v>4.3188745812239</v>
      </c>
      <c r="D716" s="5" t="n">
        <f aca="false">C716*LOG(C716)</f>
        <v>2.74408590140581</v>
      </c>
      <c r="E716" s="5"/>
      <c r="F716" s="5"/>
      <c r="G716" s="4" t="n">
        <v>715</v>
      </c>
      <c r="H716" s="6" t="n">
        <v>0.285</v>
      </c>
      <c r="J716" s="2" t="n">
        <f aca="false">B716/$B$1003</f>
        <v>0.000422104937869829</v>
      </c>
      <c r="K716" s="5" t="n">
        <f aca="false">J716*LOG(J716,2)</f>
        <v>-0.00473184306923077</v>
      </c>
      <c r="N716" s="2" t="n">
        <f aca="false">1/1000*LOG(1/1000,2)</f>
        <v>-0.00996578428466209</v>
      </c>
    </row>
    <row r="717" customFormat="false" ht="13" hidden="false" customHeight="false" outlineLevel="0" collapsed="false">
      <c r="A717" s="4" t="n">
        <v>285</v>
      </c>
      <c r="B717" s="2" t="n">
        <v>4.30677589879858</v>
      </c>
      <c r="C717" s="5" t="n">
        <f aca="false">B717</f>
        <v>4.30677589879858</v>
      </c>
      <c r="D717" s="5" t="n">
        <f aca="false">C717*LOG(C717)</f>
        <v>2.73115172994775</v>
      </c>
      <c r="E717" s="5"/>
      <c r="F717" s="5"/>
      <c r="G717" s="4" t="n">
        <v>716</v>
      </c>
      <c r="H717" s="6" t="n">
        <v>0.284</v>
      </c>
      <c r="J717" s="2" t="n">
        <f aca="false">B717/$B$1003</f>
        <v>0.000420922473897467</v>
      </c>
      <c r="K717" s="5" t="n">
        <f aca="false">J717*LOG(J717,2)</f>
        <v>-0.0047202910604471</v>
      </c>
      <c r="N717" s="2" t="n">
        <f aca="false">1/1000*LOG(1/1000,2)</f>
        <v>-0.00996578428466209</v>
      </c>
    </row>
    <row r="718" customFormat="false" ht="13" hidden="false" customHeight="false" outlineLevel="0" collapsed="false">
      <c r="A718" s="4" t="n">
        <v>284</v>
      </c>
      <c r="B718" s="2" t="n">
        <v>4.30103632761011</v>
      </c>
      <c r="C718" s="5" t="n">
        <f aca="false">B718</f>
        <v>4.30103632761011</v>
      </c>
      <c r="D718" s="5" t="n">
        <f aca="false">C718*LOG(C718)</f>
        <v>2.72502096543607</v>
      </c>
      <c r="E718" s="5"/>
      <c r="F718" s="5"/>
      <c r="G718" s="4" t="n">
        <v>717</v>
      </c>
      <c r="H718" s="6" t="n">
        <v>0.283</v>
      </c>
      <c r="J718" s="2" t="n">
        <f aca="false">B718/$B$1003</f>
        <v>0.000420361517265283</v>
      </c>
      <c r="K718" s="5" t="n">
        <f aca="false">J718*LOG(J718,2)</f>
        <v>-0.00471480915408094</v>
      </c>
      <c r="N718" s="2" t="n">
        <f aca="false">1/1000*LOG(1/1000,2)</f>
        <v>-0.00996578428466209</v>
      </c>
    </row>
    <row r="719" customFormat="false" ht="13" hidden="false" customHeight="false" outlineLevel="0" collapsed="false">
      <c r="A719" s="4" t="n">
        <v>283</v>
      </c>
      <c r="B719" s="2" t="n">
        <v>4.2960986364482</v>
      </c>
      <c r="C719" s="5" t="n">
        <f aca="false">B719</f>
        <v>4.2960986364482</v>
      </c>
      <c r="D719" s="5" t="n">
        <f aca="false">C719*LOG(C719)</f>
        <v>2.71974939645095</v>
      </c>
      <c r="E719" s="5"/>
      <c r="F719" s="5"/>
      <c r="G719" s="4" t="n">
        <v>718</v>
      </c>
      <c r="H719" s="6" t="n">
        <v>0.282</v>
      </c>
      <c r="J719" s="2" t="n">
        <f aca="false">B719/$B$1003</f>
        <v>0.000419878932327489</v>
      </c>
      <c r="K719" s="5" t="n">
        <f aca="false">J719*LOG(J719,2)</f>
        <v>-0.00471009226505708</v>
      </c>
      <c r="N719" s="2" t="n">
        <f aca="false">1/1000*LOG(1/1000,2)</f>
        <v>-0.00996578428466209</v>
      </c>
    </row>
    <row r="720" customFormat="false" ht="13" hidden="false" customHeight="false" outlineLevel="0" collapsed="false">
      <c r="A720" s="4" t="n">
        <v>282</v>
      </c>
      <c r="B720" s="2" t="n">
        <v>4.29037234794598</v>
      </c>
      <c r="C720" s="5" t="n">
        <f aca="false">B720</f>
        <v>4.29037234794598</v>
      </c>
      <c r="D720" s="5" t="n">
        <f aca="false">C720*LOG(C720)</f>
        <v>2.71363899332191</v>
      </c>
      <c r="E720" s="5"/>
      <c r="F720" s="5"/>
      <c r="G720" s="4" t="n">
        <v>719</v>
      </c>
      <c r="H720" s="6" t="n">
        <v>0.281</v>
      </c>
      <c r="J720" s="2" t="n">
        <f aca="false">B720/$B$1003</f>
        <v>0.000419319273877818</v>
      </c>
      <c r="K720" s="5" t="n">
        <f aca="false">J720*LOG(J720,2)</f>
        <v>-0.00470462104077827</v>
      </c>
      <c r="N720" s="2" t="n">
        <f aca="false">1/1000*LOG(1/1000,2)</f>
        <v>-0.00996578428466209</v>
      </c>
    </row>
    <row r="721" customFormat="false" ht="13" hidden="false" customHeight="false" outlineLevel="0" collapsed="false">
      <c r="A721" s="4" t="n">
        <v>281</v>
      </c>
      <c r="B721" s="2" t="n">
        <v>4.28487979021384</v>
      </c>
      <c r="C721" s="5" t="n">
        <f aca="false">B721</f>
        <v>4.28487979021384</v>
      </c>
      <c r="D721" s="5" t="n">
        <f aca="false">C721*LOG(C721)</f>
        <v>2.70778111813255</v>
      </c>
      <c r="E721" s="5"/>
      <c r="F721" s="5"/>
      <c r="G721" s="4" t="n">
        <v>720</v>
      </c>
      <c r="H721" s="6" t="n">
        <v>0.28</v>
      </c>
      <c r="J721" s="2" t="n">
        <f aca="false">B721/$B$1003</f>
        <v>0.000418782459090384</v>
      </c>
      <c r="K721" s="5" t="n">
        <f aca="false">J721*LOG(J721,2)</f>
        <v>-0.00469937212372987</v>
      </c>
      <c r="N721" s="2" t="n">
        <f aca="false">1/1000*LOG(1/1000,2)</f>
        <v>-0.00996578428466209</v>
      </c>
    </row>
    <row r="722" customFormat="false" ht="13" hidden="false" customHeight="false" outlineLevel="0" collapsed="false">
      <c r="A722" s="4" t="n">
        <v>280</v>
      </c>
      <c r="B722" s="2" t="n">
        <v>4.25849406403495</v>
      </c>
      <c r="C722" s="5" t="n">
        <f aca="false">B722</f>
        <v>4.25849406403495</v>
      </c>
      <c r="D722" s="5" t="n">
        <f aca="false">C722*LOG(C722)</f>
        <v>2.67968313755942</v>
      </c>
      <c r="E722" s="5"/>
      <c r="F722" s="5"/>
      <c r="G722" s="4" t="n">
        <v>721</v>
      </c>
      <c r="H722" s="6" t="n">
        <v>0.279</v>
      </c>
      <c r="J722" s="2" t="n">
        <f aca="false">B722/$B$1003</f>
        <v>0.000416203651787711</v>
      </c>
      <c r="K722" s="5" t="n">
        <f aca="false">J722*LOG(J722,2)</f>
        <v>-0.0046741429622319</v>
      </c>
      <c r="N722" s="2" t="n">
        <f aca="false">1/1000*LOG(1/1000,2)</f>
        <v>-0.00996578428466209</v>
      </c>
    </row>
    <row r="723" customFormat="false" ht="13" hidden="false" customHeight="false" outlineLevel="0" collapsed="false">
      <c r="A723" s="4" t="n">
        <v>279</v>
      </c>
      <c r="B723" s="2" t="n">
        <v>4.24534449566409</v>
      </c>
      <c r="C723" s="5" t="n">
        <f aca="false">B723</f>
        <v>4.24534449566409</v>
      </c>
      <c r="D723" s="5" t="n">
        <f aca="false">C723*LOG(C723)</f>
        <v>2.6657067332719</v>
      </c>
      <c r="E723" s="5"/>
      <c r="F723" s="5"/>
      <c r="G723" s="4" t="n">
        <v>722</v>
      </c>
      <c r="H723" s="6" t="n">
        <v>0.278</v>
      </c>
      <c r="J723" s="2" t="n">
        <f aca="false">B723/$B$1003</f>
        <v>0.000414918479542995</v>
      </c>
      <c r="K723" s="5" t="n">
        <f aca="false">J723*LOG(J723,2)</f>
        <v>-0.00466156118067803</v>
      </c>
      <c r="N723" s="2" t="n">
        <f aca="false">1/1000*LOG(1/1000,2)</f>
        <v>-0.00996578428466209</v>
      </c>
    </row>
    <row r="724" customFormat="false" ht="13" hidden="false" customHeight="false" outlineLevel="0" collapsed="false">
      <c r="A724" s="4" t="n">
        <v>278</v>
      </c>
      <c r="B724" s="2" t="n">
        <v>4.22779492928649</v>
      </c>
      <c r="C724" s="5" t="n">
        <f aca="false">B724</f>
        <v>4.22779492928649</v>
      </c>
      <c r="D724" s="5" t="n">
        <f aca="false">C724*LOG(C724)</f>
        <v>2.64708122880422</v>
      </c>
      <c r="E724" s="5"/>
      <c r="F724" s="5"/>
      <c r="G724" s="4" t="n">
        <v>723</v>
      </c>
      <c r="H724" s="6" t="n">
        <v>0.277</v>
      </c>
      <c r="J724" s="2" t="n">
        <f aca="false">B724/$B$1003</f>
        <v>0.000413203273767476</v>
      </c>
      <c r="K724" s="5" t="n">
        <f aca="false">J724*LOG(J724,2)</f>
        <v>-0.00464476043912792</v>
      </c>
      <c r="N724" s="2" t="n">
        <f aca="false">1/1000*LOG(1/1000,2)</f>
        <v>-0.00996578428466209</v>
      </c>
    </row>
    <row r="725" customFormat="false" ht="13" hidden="false" customHeight="false" outlineLevel="0" collapsed="false">
      <c r="A725" s="4" t="n">
        <v>277</v>
      </c>
      <c r="B725" s="2" t="n">
        <v>4.22557065530509</v>
      </c>
      <c r="C725" s="5" t="n">
        <f aca="false">B725</f>
        <v>4.22557065530509</v>
      </c>
      <c r="D725" s="5" t="n">
        <f aca="false">C725*LOG(C725)</f>
        <v>2.64472284415236</v>
      </c>
      <c r="E725" s="5"/>
      <c r="F725" s="5"/>
      <c r="G725" s="4" t="n">
        <v>724</v>
      </c>
      <c r="H725" s="6" t="n">
        <v>0.276</v>
      </c>
      <c r="J725" s="2" t="n">
        <f aca="false">B725/$B$1003</f>
        <v>0.000412985884488611</v>
      </c>
      <c r="K725" s="5" t="n">
        <f aca="false">J725*LOG(J725,2)</f>
        <v>-0.00464263034044711</v>
      </c>
      <c r="N725" s="2" t="n">
        <f aca="false">1/1000*LOG(1/1000,2)</f>
        <v>-0.00996578428466209</v>
      </c>
    </row>
    <row r="726" customFormat="false" ht="13" hidden="false" customHeight="false" outlineLevel="0" collapsed="false">
      <c r="A726" s="4" t="n">
        <v>276</v>
      </c>
      <c r="B726" s="2" t="n">
        <v>4.21623501641361</v>
      </c>
      <c r="C726" s="5" t="n">
        <f aca="false">B726</f>
        <v>4.21623501641361</v>
      </c>
      <c r="D726" s="5" t="n">
        <f aca="false">C726*LOG(C726)</f>
        <v>2.63482986996884</v>
      </c>
      <c r="E726" s="5"/>
      <c r="F726" s="5"/>
      <c r="G726" s="4" t="n">
        <v>725</v>
      </c>
      <c r="H726" s="6" t="n">
        <v>0.275</v>
      </c>
      <c r="J726" s="2" t="n">
        <f aca="false">B726/$B$1003</f>
        <v>0.000412073466403724</v>
      </c>
      <c r="K726" s="5" t="n">
        <f aca="false">J726*LOG(J726,2)</f>
        <v>-0.00463368816900515</v>
      </c>
      <c r="N726" s="2" t="n">
        <f aca="false">1/1000*LOG(1/1000,2)</f>
        <v>-0.00996578428466209</v>
      </c>
    </row>
    <row r="727" customFormat="false" ht="13" hidden="false" customHeight="false" outlineLevel="0" collapsed="false">
      <c r="A727" s="4" t="n">
        <v>275</v>
      </c>
      <c r="B727" s="2" t="n">
        <v>4.18766243987966</v>
      </c>
      <c r="C727" s="5" t="n">
        <f aca="false">B727</f>
        <v>4.18766243987966</v>
      </c>
      <c r="D727" s="5" t="n">
        <f aca="false">C727*LOG(C727)</f>
        <v>2.60460738731582</v>
      </c>
      <c r="E727" s="5"/>
      <c r="F727" s="5"/>
      <c r="G727" s="4" t="n">
        <v>726</v>
      </c>
      <c r="H727" s="6" t="n">
        <v>0.274</v>
      </c>
      <c r="J727" s="2" t="n">
        <f aca="false">B727/$B$1003</f>
        <v>0.000409280927417972</v>
      </c>
      <c r="K727" s="5" t="n">
        <f aca="false">J727*LOG(J727,2)</f>
        <v>-0.00460630169651565</v>
      </c>
      <c r="N727" s="2" t="n">
        <f aca="false">1/1000*LOG(1/1000,2)</f>
        <v>-0.00996578428466209</v>
      </c>
    </row>
    <row r="728" customFormat="false" ht="13" hidden="false" customHeight="false" outlineLevel="0" collapsed="false">
      <c r="A728" s="4" t="n">
        <v>274</v>
      </c>
      <c r="B728" s="2" t="n">
        <v>4.17095832261839</v>
      </c>
      <c r="C728" s="5" t="n">
        <f aca="false">B728</f>
        <v>4.17095832261839</v>
      </c>
      <c r="D728" s="5" t="n">
        <f aca="false">C728*LOG(C728)</f>
        <v>2.58697788169346</v>
      </c>
      <c r="E728" s="5"/>
      <c r="F728" s="5"/>
      <c r="G728" s="4" t="n">
        <v>727</v>
      </c>
      <c r="H728" s="6" t="n">
        <v>0.273</v>
      </c>
      <c r="J728" s="2" t="n">
        <f aca="false">B728/$B$1003</f>
        <v>0.000407648351559114</v>
      </c>
      <c r="K728" s="5" t="n">
        <f aca="false">J728*LOG(J728,2)</f>
        <v>-0.00459027827937127</v>
      </c>
      <c r="N728" s="2" t="n">
        <f aca="false">1/1000*LOG(1/1000,2)</f>
        <v>-0.00996578428466209</v>
      </c>
    </row>
    <row r="729" customFormat="false" ht="13" hidden="false" customHeight="false" outlineLevel="0" collapsed="false">
      <c r="A729" s="4" t="n">
        <v>273</v>
      </c>
      <c r="B729" s="2" t="n">
        <v>4.15024524972245</v>
      </c>
      <c r="C729" s="5" t="n">
        <f aca="false">B729</f>
        <v>4.15024524972245</v>
      </c>
      <c r="D729" s="5" t="n">
        <f aca="false">C729*LOG(C729)</f>
        <v>2.56515769122764</v>
      </c>
      <c r="E729" s="5"/>
      <c r="F729" s="5"/>
      <c r="G729" s="4" t="n">
        <v>728</v>
      </c>
      <c r="H729" s="6" t="n">
        <v>0.272</v>
      </c>
      <c r="J729" s="2" t="n">
        <f aca="false">B729/$B$1003</f>
        <v>0.000405623960671302</v>
      </c>
      <c r="K729" s="5" t="n">
        <f aca="false">J729*LOG(J729,2)</f>
        <v>-0.00457039616896422</v>
      </c>
      <c r="N729" s="2" t="n">
        <f aca="false">1/1000*LOG(1/1000,2)</f>
        <v>-0.00996578428466209</v>
      </c>
    </row>
    <row r="730" customFormat="false" ht="13" hidden="false" customHeight="false" outlineLevel="0" collapsed="false">
      <c r="A730" s="4" t="n">
        <v>272</v>
      </c>
      <c r="B730" s="2" t="n">
        <v>4.13895831337302</v>
      </c>
      <c r="C730" s="5" t="n">
        <f aca="false">B730</f>
        <v>4.13895831337302</v>
      </c>
      <c r="D730" s="5" t="n">
        <f aca="false">C730*LOG(C730)</f>
        <v>2.55328634940233</v>
      </c>
      <c r="E730" s="5"/>
      <c r="F730" s="5"/>
      <c r="G730" s="4" t="n">
        <v>729</v>
      </c>
      <c r="H730" s="6" t="n">
        <v>0.271</v>
      </c>
      <c r="J730" s="2" t="n">
        <f aca="false">B730/$B$1003</f>
        <v>0.000404520832651047</v>
      </c>
      <c r="K730" s="5" t="n">
        <f aca="false">J730*LOG(J730,2)</f>
        <v>-0.00455955590860774</v>
      </c>
      <c r="N730" s="2" t="n">
        <f aca="false">1/1000*LOG(1/1000,2)</f>
        <v>-0.00996578428466209</v>
      </c>
    </row>
    <row r="731" customFormat="false" ht="13" hidden="false" customHeight="false" outlineLevel="0" collapsed="false">
      <c r="A731" s="4" t="n">
        <v>271</v>
      </c>
      <c r="B731" s="2" t="n">
        <v>4.13617954937809</v>
      </c>
      <c r="C731" s="5" t="n">
        <f aca="false">B731</f>
        <v>4.13617954937809</v>
      </c>
      <c r="D731" s="5" t="n">
        <f aca="false">C731*LOG(C731)</f>
        <v>2.5503657580826</v>
      </c>
      <c r="E731" s="5"/>
      <c r="F731" s="5"/>
      <c r="G731" s="4" t="n">
        <v>730</v>
      </c>
      <c r="H731" s="6" t="n">
        <v>0.27</v>
      </c>
      <c r="J731" s="2" t="n">
        <f aca="false">B731/$B$1003</f>
        <v>0.000404249250325286</v>
      </c>
      <c r="K731" s="5" t="n">
        <f aca="false">J731*LOG(J731,2)</f>
        <v>-0.00455688644778438</v>
      </c>
      <c r="N731" s="2" t="n">
        <f aca="false">1/1000*LOG(1/1000,2)</f>
        <v>-0.00996578428466209</v>
      </c>
    </row>
    <row r="732" customFormat="false" ht="13" hidden="false" customHeight="false" outlineLevel="0" collapsed="false">
      <c r="A732" s="4" t="n">
        <v>270</v>
      </c>
      <c r="B732" s="2" t="n">
        <v>4.13180844098156</v>
      </c>
      <c r="C732" s="5" t="n">
        <f aca="false">B732</f>
        <v>4.13180844098156</v>
      </c>
      <c r="D732" s="5" t="n">
        <f aca="false">C732*LOG(C732)</f>
        <v>2.54577319052525</v>
      </c>
      <c r="E732" s="5"/>
      <c r="F732" s="5"/>
      <c r="G732" s="4" t="n">
        <v>731</v>
      </c>
      <c r="H732" s="6" t="n">
        <v>0.269</v>
      </c>
      <c r="J732" s="2" t="n">
        <f aca="false">B732/$B$1003</f>
        <v>0.000403822040318735</v>
      </c>
      <c r="K732" s="5" t="n">
        <f aca="false">J732*LOG(J732,2)</f>
        <v>-0.00455268674493607</v>
      </c>
      <c r="N732" s="2" t="n">
        <f aca="false">1/1000*LOG(1/1000,2)</f>
        <v>-0.00996578428466209</v>
      </c>
    </row>
    <row r="733" customFormat="false" ht="13" hidden="false" customHeight="false" outlineLevel="0" collapsed="false">
      <c r="A733" s="4" t="n">
        <v>269</v>
      </c>
      <c r="B733" s="2" t="n">
        <v>4.12879836997865</v>
      </c>
      <c r="C733" s="5" t="n">
        <f aca="false">B733</f>
        <v>4.12879836997865</v>
      </c>
      <c r="D733" s="5" t="n">
        <f aca="false">C733*LOG(C733)</f>
        <v>2.5426117839052</v>
      </c>
      <c r="E733" s="5"/>
      <c r="F733" s="5"/>
      <c r="G733" s="4" t="n">
        <v>732</v>
      </c>
      <c r="H733" s="6" t="n">
        <v>0.268</v>
      </c>
      <c r="J733" s="2" t="n">
        <f aca="false">B733/$B$1003</f>
        <v>0.000403527851216975</v>
      </c>
      <c r="K733" s="5" t="n">
        <f aca="false">J733*LOG(J733,2)</f>
        <v>-0.0045497943296642</v>
      </c>
      <c r="N733" s="2" t="n">
        <f aca="false">1/1000*LOG(1/1000,2)</f>
        <v>-0.00996578428466209</v>
      </c>
    </row>
    <row r="734" customFormat="false" ht="13" hidden="false" customHeight="false" outlineLevel="0" collapsed="false">
      <c r="A734" s="4" t="n">
        <v>268</v>
      </c>
      <c r="B734" s="2" t="n">
        <v>4.11762611162737</v>
      </c>
      <c r="C734" s="5" t="n">
        <f aca="false">B734</f>
        <v>4.11762611162737</v>
      </c>
      <c r="D734" s="5" t="n">
        <f aca="false">C734*LOG(C734)</f>
        <v>2.53088616315571</v>
      </c>
      <c r="E734" s="5"/>
      <c r="F734" s="5"/>
      <c r="G734" s="4" t="n">
        <v>733</v>
      </c>
      <c r="H734" s="6" t="n">
        <v>0.267</v>
      </c>
      <c r="J734" s="2" t="n">
        <f aca="false">B734/$B$1003</f>
        <v>0.000402435931243717</v>
      </c>
      <c r="K734" s="5" t="n">
        <f aca="false">J734*LOG(J734,2)</f>
        <v>-0.00453905605804649</v>
      </c>
      <c r="N734" s="2" t="n">
        <f aca="false">1/1000*LOG(1/1000,2)</f>
        <v>-0.00996578428466209</v>
      </c>
    </row>
    <row r="735" customFormat="false" ht="13" hidden="false" customHeight="false" outlineLevel="0" collapsed="false">
      <c r="A735" s="4" t="n">
        <v>267</v>
      </c>
      <c r="B735" s="2" t="n">
        <v>4.11327727056153</v>
      </c>
      <c r="C735" s="5" t="n">
        <f aca="false">B735</f>
        <v>4.11327727056153</v>
      </c>
      <c r="D735" s="5" t="n">
        <f aca="false">C735*LOG(C735)</f>
        <v>2.52632548147511</v>
      </c>
      <c r="E735" s="5"/>
      <c r="F735" s="5"/>
      <c r="G735" s="4" t="n">
        <v>734</v>
      </c>
      <c r="H735" s="6" t="n">
        <v>0.266</v>
      </c>
      <c r="J735" s="2" t="n">
        <f aca="false">B735/$B$1003</f>
        <v>0.000402010897533341</v>
      </c>
      <c r="K735" s="5" t="n">
        <f aca="false">J735*LOG(J735,2)</f>
        <v>-0.00453487499279277</v>
      </c>
      <c r="N735" s="2" t="n">
        <f aca="false">1/1000*LOG(1/1000,2)</f>
        <v>-0.00996578428466209</v>
      </c>
    </row>
    <row r="736" customFormat="false" ht="13" hidden="false" customHeight="false" outlineLevel="0" collapsed="false">
      <c r="A736" s="4" t="n">
        <v>266</v>
      </c>
      <c r="B736" s="2" t="n">
        <v>4.08987409779701</v>
      </c>
      <c r="C736" s="5" t="n">
        <f aca="false">B736</f>
        <v>4.08987409779701</v>
      </c>
      <c r="D736" s="5" t="n">
        <f aca="false">C736*LOG(C736)</f>
        <v>2.5018166346475</v>
      </c>
      <c r="E736" s="5"/>
      <c r="F736" s="5"/>
      <c r="G736" s="4" t="n">
        <v>735</v>
      </c>
      <c r="H736" s="6" t="n">
        <v>0.265</v>
      </c>
      <c r="J736" s="2" t="n">
        <f aca="false">B736/$B$1003</f>
        <v>0.000399723589902629</v>
      </c>
      <c r="K736" s="5" t="n">
        <f aca="false">J736*LOG(J736,2)</f>
        <v>-0.00451236355180487</v>
      </c>
      <c r="N736" s="2" t="n">
        <f aca="false">1/1000*LOG(1/1000,2)</f>
        <v>-0.00996578428466209</v>
      </c>
    </row>
    <row r="737" customFormat="false" ht="13" hidden="false" customHeight="false" outlineLevel="0" collapsed="false">
      <c r="A737" s="4" t="n">
        <v>265</v>
      </c>
      <c r="B737" s="2" t="n">
        <v>4.08550720338315</v>
      </c>
      <c r="C737" s="5" t="n">
        <f aca="false">B737</f>
        <v>4.08550720338315</v>
      </c>
      <c r="D737" s="5" t="n">
        <f aca="false">C737*LOG(C737)</f>
        <v>2.49724985663349</v>
      </c>
      <c r="E737" s="5"/>
      <c r="F737" s="5"/>
      <c r="G737" s="4" t="n">
        <v>736</v>
      </c>
      <c r="H737" s="6" t="n">
        <v>0.264</v>
      </c>
      <c r="J737" s="2" t="n">
        <f aca="false">B737/$B$1003</f>
        <v>0.000399296791749411</v>
      </c>
      <c r="K737" s="5" t="n">
        <f aca="false">J737*LOG(J737,2)</f>
        <v>-0.0045081609621078</v>
      </c>
      <c r="N737" s="2" t="n">
        <f aca="false">1/1000*LOG(1/1000,2)</f>
        <v>-0.00996578428466209</v>
      </c>
    </row>
    <row r="738" customFormat="false" ht="13" hidden="false" customHeight="false" outlineLevel="0" collapsed="false">
      <c r="A738" s="4" t="n">
        <v>264</v>
      </c>
      <c r="B738" s="2" t="n">
        <v>4.07559729253796</v>
      </c>
      <c r="C738" s="5" t="n">
        <f aca="false">B738</f>
        <v>4.07559729253796</v>
      </c>
      <c r="D738" s="5" t="n">
        <f aca="false">C738*LOG(C738)</f>
        <v>2.48689386781839</v>
      </c>
      <c r="E738" s="5"/>
      <c r="F738" s="5"/>
      <c r="G738" s="4" t="n">
        <v>737</v>
      </c>
      <c r="H738" s="6" t="n">
        <v>0.263</v>
      </c>
      <c r="J738" s="2" t="n">
        <f aca="false">B738/$B$1003</f>
        <v>0.000398328247230941</v>
      </c>
      <c r="K738" s="5" t="n">
        <f aca="false">J738*LOG(J738,2)</f>
        <v>-0.00449862146980824</v>
      </c>
      <c r="N738" s="2" t="n">
        <f aca="false">1/1000*LOG(1/1000,2)</f>
        <v>-0.00996578428466209</v>
      </c>
    </row>
    <row r="739" customFormat="false" ht="13" hidden="false" customHeight="false" outlineLevel="0" collapsed="false">
      <c r="A739" s="4" t="n">
        <v>263</v>
      </c>
      <c r="B739" s="2" t="n">
        <v>4.06925819182379</v>
      </c>
      <c r="C739" s="5" t="n">
        <f aca="false">B739</f>
        <v>4.06925819182379</v>
      </c>
      <c r="D739" s="5" t="n">
        <f aca="false">C739*LOG(C739)</f>
        <v>2.48027490959306</v>
      </c>
      <c r="E739" s="5"/>
      <c r="F739" s="5"/>
      <c r="G739" s="4" t="n">
        <v>738</v>
      </c>
      <c r="H739" s="6" t="n">
        <v>0.262</v>
      </c>
      <c r="J739" s="2" t="n">
        <f aca="false">B739/$B$1003</f>
        <v>0.00039770869561795</v>
      </c>
      <c r="K739" s="5" t="n">
        <f aca="false">J739*LOG(J739,2)</f>
        <v>-0.00449251753449749</v>
      </c>
      <c r="N739" s="2" t="n">
        <f aca="false">1/1000*LOG(1/1000,2)</f>
        <v>-0.00996578428466209</v>
      </c>
    </row>
    <row r="740" customFormat="false" ht="13" hidden="false" customHeight="false" outlineLevel="0" collapsed="false">
      <c r="A740" s="4" t="n">
        <v>262</v>
      </c>
      <c r="B740" s="2" t="n">
        <v>4.04760124028957</v>
      </c>
      <c r="C740" s="5" t="n">
        <f aca="false">B740</f>
        <v>4.04760124028957</v>
      </c>
      <c r="D740" s="5" t="n">
        <f aca="false">C740*LOG(C740)</f>
        <v>2.45769424585161</v>
      </c>
      <c r="E740" s="5"/>
      <c r="F740" s="5"/>
      <c r="G740" s="4" t="n">
        <v>739</v>
      </c>
      <c r="H740" s="6" t="n">
        <v>0.261</v>
      </c>
      <c r="J740" s="2" t="n">
        <f aca="false">B740/$B$1003</f>
        <v>0.000395592054810285</v>
      </c>
      <c r="K740" s="5" t="n">
        <f aca="false">J740*LOG(J740,2)</f>
        <v>-0.00447165348615422</v>
      </c>
      <c r="N740" s="2" t="n">
        <f aca="false">1/1000*LOG(1/1000,2)</f>
        <v>-0.00996578428466209</v>
      </c>
    </row>
    <row r="741" customFormat="false" ht="13" hidden="false" customHeight="false" outlineLevel="0" collapsed="false">
      <c r="A741" s="4" t="n">
        <v>261</v>
      </c>
      <c r="B741" s="2" t="n">
        <v>4.0446900685763</v>
      </c>
      <c r="C741" s="5" t="n">
        <f aca="false">B741</f>
        <v>4.0446900685763</v>
      </c>
      <c r="D741" s="5" t="n">
        <f aca="false">C741*LOG(C741)</f>
        <v>2.45466273798771</v>
      </c>
      <c r="E741" s="5"/>
      <c r="F741" s="5"/>
      <c r="G741" s="4" t="n">
        <v>740</v>
      </c>
      <c r="H741" s="6" t="n">
        <v>0.26</v>
      </c>
      <c r="J741" s="2" t="n">
        <f aca="false">B741/$B$1003</f>
        <v>0.00039530753162443</v>
      </c>
      <c r="K741" s="5" t="n">
        <f aca="false">J741*LOG(J741,2)</f>
        <v>-0.00446884765426132</v>
      </c>
      <c r="N741" s="2" t="n">
        <f aca="false">1/1000*LOG(1/1000,2)</f>
        <v>-0.00996578428466209</v>
      </c>
    </row>
    <row r="742" customFormat="false" ht="13" hidden="false" customHeight="false" outlineLevel="0" collapsed="false">
      <c r="A742" s="4" t="n">
        <v>260</v>
      </c>
      <c r="B742" s="2" t="n">
        <v>4.02019959245883</v>
      </c>
      <c r="C742" s="5" t="n">
        <f aca="false">B742</f>
        <v>4.02019959245883</v>
      </c>
      <c r="D742" s="5" t="n">
        <f aca="false">C742*LOG(C742)</f>
        <v>2.42919601641853</v>
      </c>
      <c r="E742" s="5"/>
      <c r="F742" s="5"/>
      <c r="G742" s="4" t="n">
        <v>741</v>
      </c>
      <c r="H742" s="6" t="n">
        <v>0.259</v>
      </c>
      <c r="J742" s="2" t="n">
        <f aca="false">B742/$B$1003</f>
        <v>0.000392913956468322</v>
      </c>
      <c r="K742" s="5" t="n">
        <f aca="false">J742*LOG(J742,2)</f>
        <v>-0.00444523164011758</v>
      </c>
      <c r="N742" s="2" t="n">
        <f aca="false">1/1000*LOG(1/1000,2)</f>
        <v>-0.00996578428466209</v>
      </c>
    </row>
    <row r="743" customFormat="false" ht="13" hidden="false" customHeight="false" outlineLevel="0" collapsed="false">
      <c r="A743" s="4" t="n">
        <v>259</v>
      </c>
      <c r="B743" s="2" t="n">
        <v>4.01454846513525</v>
      </c>
      <c r="C743" s="5" t="n">
        <f aca="false">B743</f>
        <v>4.01454846513525</v>
      </c>
      <c r="D743" s="5" t="n">
        <f aca="false">C743*LOG(C743)</f>
        <v>2.42332880855713</v>
      </c>
      <c r="E743" s="5"/>
      <c r="F743" s="5"/>
      <c r="G743" s="4" t="n">
        <v>742</v>
      </c>
      <c r="H743" s="6" t="n">
        <v>0.258</v>
      </c>
      <c r="J743" s="2" t="n">
        <f aca="false">B743/$B$1003</f>
        <v>0.000392361643891757</v>
      </c>
      <c r="K743" s="5" t="n">
        <f aca="false">J743*LOG(J743,2)</f>
        <v>-0.00443977931066921</v>
      </c>
      <c r="N743" s="2" t="n">
        <f aca="false">1/1000*LOG(1/1000,2)</f>
        <v>-0.00996578428466209</v>
      </c>
    </row>
    <row r="744" customFormat="false" ht="13" hidden="false" customHeight="false" outlineLevel="0" collapsed="false">
      <c r="A744" s="4" t="n">
        <v>258</v>
      </c>
      <c r="B744" s="2" t="n">
        <v>4.01113877182866</v>
      </c>
      <c r="C744" s="5" t="n">
        <f aca="false">B744</f>
        <v>4.01113877182866</v>
      </c>
      <c r="D744" s="5" t="n">
        <f aca="false">C744*LOG(C744)</f>
        <v>2.41979041056541</v>
      </c>
      <c r="E744" s="5"/>
      <c r="F744" s="5"/>
      <c r="G744" s="4" t="n">
        <v>743</v>
      </c>
      <c r="H744" s="6" t="n">
        <v>0.257</v>
      </c>
      <c r="J744" s="2" t="n">
        <f aca="false">B744/$B$1003</f>
        <v>0.000392028397729066</v>
      </c>
      <c r="K744" s="5" t="n">
        <f aca="false">J744*LOG(J744,2)</f>
        <v>-0.00443648902262304</v>
      </c>
      <c r="N744" s="2" t="n">
        <f aca="false">1/1000*LOG(1/1000,2)</f>
        <v>-0.00996578428466209</v>
      </c>
    </row>
    <row r="745" customFormat="false" ht="13" hidden="false" customHeight="false" outlineLevel="0" collapsed="false">
      <c r="A745" s="4" t="n">
        <v>257</v>
      </c>
      <c r="B745" s="2" t="n">
        <v>4.01018395361211</v>
      </c>
      <c r="C745" s="5" t="n">
        <f aca="false">B745</f>
        <v>4.01018395361211</v>
      </c>
      <c r="D745" s="5" t="n">
        <f aca="false">C745*LOG(C745)</f>
        <v>2.41879977666397</v>
      </c>
      <c r="E745" s="5"/>
      <c r="F745" s="5"/>
      <c r="G745" s="4" t="n">
        <v>744</v>
      </c>
      <c r="H745" s="6" t="n">
        <v>0.256</v>
      </c>
      <c r="J745" s="2" t="n">
        <f aca="false">B745/$B$1003</f>
        <v>0.000391935078630215</v>
      </c>
      <c r="K745" s="5" t="n">
        <f aca="false">J745*LOG(J745,2)</f>
        <v>-0.00443556756829369</v>
      </c>
      <c r="N745" s="2" t="n">
        <f aca="false">1/1000*LOG(1/1000,2)</f>
        <v>-0.00996578428466209</v>
      </c>
    </row>
    <row r="746" customFormat="false" ht="13" hidden="false" customHeight="false" outlineLevel="0" collapsed="false">
      <c r="A746" s="4" t="n">
        <v>256</v>
      </c>
      <c r="B746" s="2" t="n">
        <v>3.99071224458004</v>
      </c>
      <c r="C746" s="5" t="n">
        <f aca="false">B746</f>
        <v>3.99071224458004</v>
      </c>
      <c r="D746" s="5" t="n">
        <f aca="false">C746*LOG(C746)</f>
        <v>2.39861924497537</v>
      </c>
      <c r="E746" s="5"/>
      <c r="F746" s="5"/>
      <c r="G746" s="4" t="n">
        <v>745</v>
      </c>
      <c r="H746" s="6" t="n">
        <v>0.255</v>
      </c>
      <c r="J746" s="2" t="n">
        <f aca="false">B746/$B$1003</f>
        <v>0.000390032012362226</v>
      </c>
      <c r="K746" s="5" t="n">
        <f aca="false">J746*LOG(J746,2)</f>
        <v>-0.00441676924931941</v>
      </c>
      <c r="N746" s="2" t="n">
        <f aca="false">1/1000*LOG(1/1000,2)</f>
        <v>-0.00996578428466209</v>
      </c>
    </row>
    <row r="747" customFormat="false" ht="13" hidden="false" customHeight="false" outlineLevel="0" collapsed="false">
      <c r="A747" s="4" t="n">
        <v>255</v>
      </c>
      <c r="B747" s="2" t="n">
        <v>3.98937814061492</v>
      </c>
      <c r="C747" s="5" t="n">
        <f aca="false">B747</f>
        <v>3.98937814061492</v>
      </c>
      <c r="D747" s="5" t="n">
        <f aca="false">C747*LOG(C747)</f>
        <v>2.39723808410221</v>
      </c>
      <c r="E747" s="5"/>
      <c r="F747" s="5"/>
      <c r="G747" s="4" t="n">
        <v>746</v>
      </c>
      <c r="H747" s="6" t="n">
        <v>0.254</v>
      </c>
      <c r="J747" s="2" t="n">
        <f aca="false">B747/$B$1003</f>
        <v>0.00038990162379439</v>
      </c>
      <c r="K747" s="5" t="n">
        <f aca="false">J747*LOG(J747,2)</f>
        <v>-0.00441548079304525</v>
      </c>
      <c r="N747" s="2" t="n">
        <f aca="false">1/1000*LOG(1/1000,2)</f>
        <v>-0.00996578428466209</v>
      </c>
    </row>
    <row r="748" customFormat="false" ht="13" hidden="false" customHeight="false" outlineLevel="0" collapsed="false">
      <c r="A748" s="4" t="n">
        <v>254</v>
      </c>
      <c r="B748" s="2" t="n">
        <v>3.98931300958782</v>
      </c>
      <c r="C748" s="5" t="n">
        <f aca="false">B748</f>
        <v>3.98931300958782</v>
      </c>
      <c r="D748" s="5" t="n">
        <f aca="false">C748*LOG(C748)</f>
        <v>2.39717066071434</v>
      </c>
      <c r="E748" s="5"/>
      <c r="F748" s="5"/>
      <c r="G748" s="4" t="n">
        <v>747</v>
      </c>
      <c r="H748" s="6" t="n">
        <v>0.253</v>
      </c>
      <c r="J748" s="2" t="n">
        <f aca="false">B748/$B$1003</f>
        <v>0.000389895258217518</v>
      </c>
      <c r="K748" s="5" t="n">
        <f aca="false">J748*LOG(J748,2)</f>
        <v>-0.00441541788893052</v>
      </c>
      <c r="N748" s="2" t="n">
        <f aca="false">1/1000*LOG(1/1000,2)</f>
        <v>-0.00996578428466209</v>
      </c>
    </row>
    <row r="749" customFormat="false" ht="13" hidden="false" customHeight="false" outlineLevel="0" collapsed="false">
      <c r="A749" s="4" t="n">
        <v>253</v>
      </c>
      <c r="B749" s="2" t="n">
        <v>3.97333994723556</v>
      </c>
      <c r="C749" s="5" t="n">
        <f aca="false">B749</f>
        <v>3.97333994723556</v>
      </c>
      <c r="D749" s="5" t="n">
        <f aca="false">C749*LOG(C749)</f>
        <v>2.38064937118952</v>
      </c>
      <c r="E749" s="5"/>
      <c r="F749" s="5"/>
      <c r="G749" s="4" t="n">
        <v>748</v>
      </c>
      <c r="H749" s="6" t="n">
        <v>0.252</v>
      </c>
      <c r="J749" s="2" t="n">
        <f aca="false">B749/$B$1003</f>
        <v>0.000388334131964604</v>
      </c>
      <c r="K749" s="5" t="n">
        <f aca="false">J749*LOG(J749,2)</f>
        <v>-0.00439998643248823</v>
      </c>
      <c r="N749" s="2" t="n">
        <f aca="false">1/1000*LOG(1/1000,2)</f>
        <v>-0.00996578428466209</v>
      </c>
    </row>
    <row r="750" customFormat="false" ht="13" hidden="false" customHeight="false" outlineLevel="0" collapsed="false">
      <c r="A750" s="4" t="n">
        <v>252</v>
      </c>
      <c r="B750" s="2" t="n">
        <v>3.97055425046074</v>
      </c>
      <c r="C750" s="5" t="n">
        <f aca="false">B750</f>
        <v>3.97055425046074</v>
      </c>
      <c r="D750" s="5" t="n">
        <f aca="false">C750*LOG(C750)</f>
        <v>2.37777091648231</v>
      </c>
      <c r="E750" s="5"/>
      <c r="F750" s="5"/>
      <c r="G750" s="4" t="n">
        <v>749</v>
      </c>
      <c r="H750" s="6" t="n">
        <v>0.251</v>
      </c>
      <c r="J750" s="2" t="n">
        <f aca="false">B750/$B$1003</f>
        <v>0.000388061872064034</v>
      </c>
      <c r="K750" s="5" t="n">
        <f aca="false">J750*LOG(J750,2)</f>
        <v>-0.00439729426542128</v>
      </c>
      <c r="N750" s="2" t="n">
        <f aca="false">1/1000*LOG(1/1000,2)</f>
        <v>-0.00996578428466209</v>
      </c>
    </row>
    <row r="751" customFormat="false" ht="13" hidden="false" customHeight="false" outlineLevel="0" collapsed="false">
      <c r="A751" s="4" t="n">
        <v>251</v>
      </c>
      <c r="B751" s="2" t="n">
        <v>3.96653722033591</v>
      </c>
      <c r="C751" s="5" t="n">
        <f aca="false">B751</f>
        <v>3.96653722033591</v>
      </c>
      <c r="D751" s="5" t="n">
        <f aca="false">C751*LOG(C751)</f>
        <v>2.3736216222139</v>
      </c>
      <c r="E751" s="5"/>
      <c r="F751" s="5"/>
      <c r="G751" s="4" t="n">
        <v>750</v>
      </c>
      <c r="H751" s="6" t="n">
        <v>0.25</v>
      </c>
      <c r="J751" s="2" t="n">
        <f aca="false">B751/$B$1003</f>
        <v>0.000387669267875287</v>
      </c>
      <c r="K751" s="5" t="n">
        <f aca="false">J751*LOG(J751,2)</f>
        <v>-0.00439341162173238</v>
      </c>
      <c r="L751" s="2" t="n">
        <f aca="false">SUM(J702:J751)</f>
        <v>0.020529958835264</v>
      </c>
      <c r="N751" s="2" t="n">
        <f aca="false">1/1000*LOG(1/1000,2)</f>
        <v>-0.00996578428466209</v>
      </c>
    </row>
    <row r="752" customFormat="false" ht="13" hidden="false" customHeight="false" outlineLevel="0" collapsed="false">
      <c r="A752" s="4" t="n">
        <v>250</v>
      </c>
      <c r="B752" s="2" t="n">
        <v>3.95757211765533</v>
      </c>
      <c r="C752" s="5" t="n">
        <f aca="false">B752</f>
        <v>3.95757211765533</v>
      </c>
      <c r="D752" s="5" t="n">
        <f aca="false">C752*LOG(C752)</f>
        <v>2.36436771006875</v>
      </c>
      <c r="E752" s="5"/>
      <c r="F752" s="5"/>
      <c r="G752" s="4" t="n">
        <v>751</v>
      </c>
      <c r="H752" s="6" t="n">
        <v>0.249</v>
      </c>
      <c r="J752" s="2" t="n">
        <f aca="false">B752/$B$1003</f>
        <v>0.000386793064123866</v>
      </c>
      <c r="K752" s="5" t="n">
        <f aca="false">J752*LOG(J752,2)</f>
        <v>-0.00438474436968381</v>
      </c>
      <c r="N752" s="2" t="n">
        <f aca="false">1/1000*LOG(1/1000,2)</f>
        <v>-0.00996578428466209</v>
      </c>
    </row>
    <row r="753" customFormat="false" ht="13" hidden="false" customHeight="false" outlineLevel="0" collapsed="false">
      <c r="A753" s="4" t="n">
        <v>249</v>
      </c>
      <c r="B753" s="2" t="n">
        <v>3.95596075668526</v>
      </c>
      <c r="C753" s="5" t="n">
        <f aca="false">B753</f>
        <v>3.95596075668526</v>
      </c>
      <c r="D753" s="5" t="n">
        <f aca="false">C753*LOG(C753)</f>
        <v>2.36270537386506</v>
      </c>
      <c r="E753" s="5"/>
      <c r="F753" s="5"/>
      <c r="G753" s="4" t="n">
        <v>752</v>
      </c>
      <c r="H753" s="6" t="n">
        <v>0.248</v>
      </c>
      <c r="J753" s="2" t="n">
        <f aca="false">B753/$B$1003</f>
        <v>0.000386635577859941</v>
      </c>
      <c r="K753" s="5" t="n">
        <f aca="false">J753*LOG(J753,2)</f>
        <v>-0.00438318624009292</v>
      </c>
      <c r="N753" s="2" t="n">
        <f aca="false">1/1000*LOG(1/1000,2)</f>
        <v>-0.00996578428466209</v>
      </c>
    </row>
    <row r="754" customFormat="false" ht="13" hidden="false" customHeight="false" outlineLevel="0" collapsed="false">
      <c r="A754" s="4" t="n">
        <v>248</v>
      </c>
      <c r="B754" s="2" t="n">
        <v>3.92435365900485</v>
      </c>
      <c r="C754" s="5" t="n">
        <f aca="false">B754</f>
        <v>3.92435365900485</v>
      </c>
      <c r="D754" s="5" t="n">
        <f aca="false">C754*LOG(C754)</f>
        <v>2.33015616761216</v>
      </c>
      <c r="E754" s="5"/>
      <c r="F754" s="5"/>
      <c r="G754" s="4" t="n">
        <v>753</v>
      </c>
      <c r="H754" s="6" t="n">
        <v>0.247</v>
      </c>
      <c r="J754" s="2" t="n">
        <f aca="false">B754/$B$1003</f>
        <v>0.000383546460139173</v>
      </c>
      <c r="K754" s="5" t="n">
        <f aca="false">J754*LOG(J754,2)</f>
        <v>-0.00435260452535585</v>
      </c>
      <c r="N754" s="2" t="n">
        <f aca="false">1/1000*LOG(1/1000,2)</f>
        <v>-0.00996578428466209</v>
      </c>
    </row>
    <row r="755" customFormat="false" ht="13" hidden="false" customHeight="false" outlineLevel="0" collapsed="false">
      <c r="A755" s="4" t="n">
        <v>247</v>
      </c>
      <c r="B755" s="2" t="n">
        <v>3.91419285607822</v>
      </c>
      <c r="C755" s="5" t="n">
        <f aca="false">B755</f>
        <v>3.91419285607822</v>
      </c>
      <c r="D755" s="5" t="n">
        <f aca="false">C755*LOG(C755)</f>
        <v>2.31971594357572</v>
      </c>
      <c r="E755" s="5"/>
      <c r="F755" s="5"/>
      <c r="G755" s="4" t="n">
        <v>754</v>
      </c>
      <c r="H755" s="6" t="n">
        <v>0.246</v>
      </c>
      <c r="J755" s="2" t="n">
        <f aca="false">B755/$B$1003</f>
        <v>0.000382553394698769</v>
      </c>
      <c r="K755" s="5" t="n">
        <f aca="false">J755*LOG(J755,2)</f>
        <v>-0.00434276574410826</v>
      </c>
      <c r="N755" s="2" t="n">
        <f aca="false">1/1000*LOG(1/1000,2)</f>
        <v>-0.00996578428466209</v>
      </c>
    </row>
    <row r="756" customFormat="false" ht="13" hidden="false" customHeight="false" outlineLevel="0" collapsed="false">
      <c r="A756" s="4" t="n">
        <v>246</v>
      </c>
      <c r="B756" s="2" t="n">
        <v>3.90260304468904</v>
      </c>
      <c r="C756" s="5" t="n">
        <f aca="false">B756</f>
        <v>3.90260304468904</v>
      </c>
      <c r="D756" s="5" t="n">
        <f aca="false">C756*LOG(C756)</f>
        <v>2.30782140012084</v>
      </c>
      <c r="E756" s="5"/>
      <c r="F756" s="5"/>
      <c r="G756" s="4" t="n">
        <v>755</v>
      </c>
      <c r="H756" s="6" t="n">
        <v>0.245</v>
      </c>
      <c r="J756" s="2" t="n">
        <f aca="false">B756/$B$1003</f>
        <v>0.000381420665205391</v>
      </c>
      <c r="K756" s="5" t="n">
        <f aca="false">J756*LOG(J756,2)</f>
        <v>-0.00433153870228902</v>
      </c>
      <c r="N756" s="2" t="n">
        <f aca="false">1/1000*LOG(1/1000,2)</f>
        <v>-0.00996578428466209</v>
      </c>
    </row>
    <row r="757" customFormat="false" ht="13" hidden="false" customHeight="false" outlineLevel="0" collapsed="false">
      <c r="A757" s="4" t="n">
        <v>245</v>
      </c>
      <c r="B757" s="2" t="n">
        <v>3.89533105706569</v>
      </c>
      <c r="C757" s="5" t="n">
        <f aca="false">B757</f>
        <v>3.89533105706569</v>
      </c>
      <c r="D757" s="5" t="n">
        <f aca="false">C757*LOG(C757)</f>
        <v>2.30036583855788</v>
      </c>
      <c r="E757" s="5"/>
      <c r="F757" s="5"/>
      <c r="G757" s="4" t="n">
        <v>756</v>
      </c>
      <c r="H757" s="6" t="n">
        <v>0.244</v>
      </c>
      <c r="J757" s="2" t="n">
        <f aca="false">B757/$B$1003</f>
        <v>0.000380709937948506</v>
      </c>
      <c r="K757" s="5" t="n">
        <f aca="false">J757*LOG(J757,2)</f>
        <v>-0.00432449185624891</v>
      </c>
      <c r="N757" s="2" t="n">
        <f aca="false">1/1000*LOG(1/1000,2)</f>
        <v>-0.00996578428466209</v>
      </c>
    </row>
    <row r="758" customFormat="false" ht="13" hidden="false" customHeight="false" outlineLevel="0" collapsed="false">
      <c r="A758" s="4" t="n">
        <v>244</v>
      </c>
      <c r="B758" s="2" t="n">
        <v>3.89451662799205</v>
      </c>
      <c r="C758" s="5" t="n">
        <f aca="false">B758</f>
        <v>3.89451662799205</v>
      </c>
      <c r="D758" s="5" t="n">
        <f aca="false">C758*LOG(C758)</f>
        <v>2.29953121697655</v>
      </c>
      <c r="E758" s="5"/>
      <c r="F758" s="5"/>
      <c r="G758" s="4" t="n">
        <v>757</v>
      </c>
      <c r="H758" s="6" t="n">
        <v>0.243</v>
      </c>
      <c r="J758" s="2" t="n">
        <f aca="false">B758/$B$1003</f>
        <v>0.000380630339773781</v>
      </c>
      <c r="K758" s="5" t="n">
        <f aca="false">J758*LOG(J758,2)</f>
        <v>-0.00432370252286461</v>
      </c>
      <c r="N758" s="2" t="n">
        <f aca="false">1/1000*LOG(1/1000,2)</f>
        <v>-0.00996578428466209</v>
      </c>
    </row>
    <row r="759" customFormat="false" ht="13" hidden="false" customHeight="false" outlineLevel="0" collapsed="false">
      <c r="A759" s="4" t="n">
        <v>243</v>
      </c>
      <c r="B759" s="2" t="n">
        <v>3.89072804205739</v>
      </c>
      <c r="C759" s="5" t="n">
        <f aca="false">B759</f>
        <v>3.89072804205739</v>
      </c>
      <c r="D759" s="5" t="n">
        <f aca="false">C759*LOG(C759)</f>
        <v>2.29564967151292</v>
      </c>
      <c r="E759" s="5"/>
      <c r="F759" s="5"/>
      <c r="G759" s="4" t="n">
        <v>758</v>
      </c>
      <c r="H759" s="6" t="n">
        <v>0.242</v>
      </c>
      <c r="J759" s="2" t="n">
        <f aca="false">B759/$B$1003</f>
        <v>0.000380260062563715</v>
      </c>
      <c r="K759" s="5" t="n">
        <f aca="false">J759*LOG(J759,2)</f>
        <v>-0.00432003036205085</v>
      </c>
      <c r="N759" s="2" t="n">
        <f aca="false">1/1000*LOG(1/1000,2)</f>
        <v>-0.00996578428466209</v>
      </c>
    </row>
    <row r="760" customFormat="false" ht="13" hidden="false" customHeight="false" outlineLevel="0" collapsed="false">
      <c r="A760" s="4" t="n">
        <v>242</v>
      </c>
      <c r="B760" s="2" t="n">
        <v>3.88396826003154</v>
      </c>
      <c r="C760" s="5" t="n">
        <f aca="false">B760</f>
        <v>3.88396826003154</v>
      </c>
      <c r="D760" s="5" t="n">
        <f aca="false">C760*LOG(C760)</f>
        <v>2.28872800713976</v>
      </c>
      <c r="E760" s="5"/>
      <c r="F760" s="5"/>
      <c r="G760" s="4" t="n">
        <v>759</v>
      </c>
      <c r="H760" s="6" t="n">
        <v>0.241</v>
      </c>
      <c r="J760" s="2" t="n">
        <f aca="false">B760/$B$1003</f>
        <v>0.00037959939568896</v>
      </c>
      <c r="K760" s="5" t="n">
        <f aca="false">J760*LOG(J760,2)</f>
        <v>-0.00431347701908655</v>
      </c>
      <c r="N760" s="2" t="n">
        <f aca="false">1/1000*LOG(1/1000,2)</f>
        <v>-0.00996578428466209</v>
      </c>
    </row>
    <row r="761" customFormat="false" ht="13" hidden="false" customHeight="false" outlineLevel="0" collapsed="false">
      <c r="A761" s="4" t="n">
        <v>241</v>
      </c>
      <c r="B761" s="2" t="n">
        <v>3.88026404941229</v>
      </c>
      <c r="C761" s="5" t="n">
        <f aca="false">B761</f>
        <v>3.88026404941229</v>
      </c>
      <c r="D761" s="5" t="n">
        <f aca="false">C761*LOG(C761)</f>
        <v>2.28493725508128</v>
      </c>
      <c r="E761" s="5"/>
      <c r="F761" s="5"/>
      <c r="G761" s="4" t="n">
        <v>760</v>
      </c>
      <c r="H761" s="6" t="n">
        <v>0.24</v>
      </c>
      <c r="J761" s="2" t="n">
        <f aca="false">B761/$B$1003</f>
        <v>0.000379237364895083</v>
      </c>
      <c r="K761" s="5" t="n">
        <f aca="false">J761*LOG(J761,2)</f>
        <v>-0.0043098852291012</v>
      </c>
      <c r="N761" s="2" t="n">
        <f aca="false">1/1000*LOG(1/1000,2)</f>
        <v>-0.00996578428466209</v>
      </c>
    </row>
    <row r="762" customFormat="false" ht="13" hidden="false" customHeight="false" outlineLevel="0" collapsed="false">
      <c r="A762" s="4" t="n">
        <v>240</v>
      </c>
      <c r="B762" s="2" t="n">
        <v>3.87999878092552</v>
      </c>
      <c r="C762" s="5" t="n">
        <f aca="false">B762</f>
        <v>3.87999878092552</v>
      </c>
      <c r="D762" s="5" t="n">
        <f aca="false">C762*LOG(C762)</f>
        <v>2.28466584803856</v>
      </c>
      <c r="E762" s="5"/>
      <c r="F762" s="5"/>
      <c r="G762" s="4" t="n">
        <v>761</v>
      </c>
      <c r="H762" s="6" t="n">
        <v>0.239</v>
      </c>
      <c r="J762" s="2" t="n">
        <f aca="false">B762/$B$1003</f>
        <v>0.000379211438896071</v>
      </c>
      <c r="K762" s="5" t="n">
        <f aca="false">J762*LOG(J762,2)</f>
        <v>-0.00430962799223244</v>
      </c>
      <c r="N762" s="2" t="n">
        <f aca="false">1/1000*LOG(1/1000,2)</f>
        <v>-0.00996578428466209</v>
      </c>
    </row>
    <row r="763" customFormat="false" ht="13" hidden="false" customHeight="false" outlineLevel="0" collapsed="false">
      <c r="A763" s="4" t="n">
        <v>239</v>
      </c>
      <c r="B763" s="2" t="n">
        <v>3.8796372783454</v>
      </c>
      <c r="C763" s="5" t="n">
        <f aca="false">B763</f>
        <v>3.8796372783454</v>
      </c>
      <c r="D763" s="5" t="n">
        <f aca="false">C763*LOG(C763)</f>
        <v>2.28429599263815</v>
      </c>
      <c r="E763" s="5"/>
      <c r="F763" s="5"/>
      <c r="G763" s="4" t="n">
        <v>762</v>
      </c>
      <c r="H763" s="6" t="n">
        <v>0.238</v>
      </c>
      <c r="J763" s="2" t="n">
        <f aca="false">B763/$B$1003</f>
        <v>0.000379176107463946</v>
      </c>
      <c r="K763" s="5" t="n">
        <f aca="false">J763*LOG(J763,2)</f>
        <v>-0.0043092774308634</v>
      </c>
      <c r="N763" s="2" t="n">
        <f aca="false">1/1000*LOG(1/1000,2)</f>
        <v>-0.00996578428466209</v>
      </c>
    </row>
    <row r="764" customFormat="false" ht="13" hidden="false" customHeight="false" outlineLevel="0" collapsed="false">
      <c r="A764" s="4" t="n">
        <v>238</v>
      </c>
      <c r="B764" s="2" t="n">
        <v>3.87323900344052</v>
      </c>
      <c r="C764" s="5" t="n">
        <f aca="false">B764</f>
        <v>3.87323900344052</v>
      </c>
      <c r="D764" s="5" t="n">
        <f aca="false">C764*LOG(C764)</f>
        <v>2.27775230228006</v>
      </c>
      <c r="E764" s="5"/>
      <c r="F764" s="5"/>
      <c r="G764" s="4" t="n">
        <v>763</v>
      </c>
      <c r="H764" s="6" t="n">
        <v>0.237</v>
      </c>
      <c r="J764" s="2" t="n">
        <f aca="false">B764/$B$1003</f>
        <v>0.000378550772465115</v>
      </c>
      <c r="K764" s="5" t="n">
        <f aca="false">J764*LOG(J764,2)</f>
        <v>-0.00430307201932197</v>
      </c>
      <c r="N764" s="2" t="n">
        <f aca="false">1/1000*LOG(1/1000,2)</f>
        <v>-0.00996578428466209</v>
      </c>
    </row>
    <row r="765" customFormat="false" ht="13" hidden="false" customHeight="false" outlineLevel="0" collapsed="false">
      <c r="A765" s="4" t="n">
        <v>237</v>
      </c>
      <c r="B765" s="2" t="n">
        <v>3.86609471458928</v>
      </c>
      <c r="C765" s="5" t="n">
        <f aca="false">B765</f>
        <v>3.86609471458928</v>
      </c>
      <c r="D765" s="5" t="n">
        <f aca="false">C765*LOG(C765)</f>
        <v>2.27045106770359</v>
      </c>
      <c r="E765" s="5"/>
      <c r="F765" s="5"/>
      <c r="G765" s="4" t="n">
        <v>764</v>
      </c>
      <c r="H765" s="6" t="n">
        <v>0.236</v>
      </c>
      <c r="J765" s="2" t="n">
        <f aca="false">B765/$B$1003</f>
        <v>0.000377852525839759</v>
      </c>
      <c r="K765" s="5" t="n">
        <f aca="false">J765*LOG(J765,2)</f>
        <v>-0.00429614131975397</v>
      </c>
      <c r="N765" s="2" t="n">
        <f aca="false">1/1000*LOG(1/1000,2)</f>
        <v>-0.00996578428466209</v>
      </c>
    </row>
    <row r="766" customFormat="false" ht="13" hidden="false" customHeight="false" outlineLevel="0" collapsed="false">
      <c r="A766" s="4" t="n">
        <v>236</v>
      </c>
      <c r="B766" s="2" t="n">
        <v>3.86593767057597</v>
      </c>
      <c r="C766" s="5" t="n">
        <f aca="false">B766</f>
        <v>3.86593767057597</v>
      </c>
      <c r="D766" s="5" t="n">
        <f aca="false">C766*LOG(C766)</f>
        <v>2.27029063811178</v>
      </c>
      <c r="E766" s="5"/>
      <c r="F766" s="5"/>
      <c r="G766" s="4" t="n">
        <v>765</v>
      </c>
      <c r="H766" s="6" t="n">
        <v>0.235</v>
      </c>
      <c r="J766" s="2" t="n">
        <f aca="false">B766/$B$1003</f>
        <v>0.000377837177152912</v>
      </c>
      <c r="K766" s="5" t="n">
        <f aca="false">J766*LOG(J766,2)</f>
        <v>-0.00429598894991114</v>
      </c>
      <c r="N766" s="2" t="n">
        <f aca="false">1/1000*LOG(1/1000,2)</f>
        <v>-0.00996578428466209</v>
      </c>
    </row>
    <row r="767" customFormat="false" ht="13" hidden="false" customHeight="false" outlineLevel="0" collapsed="false">
      <c r="A767" s="4" t="n">
        <v>235</v>
      </c>
      <c r="B767" s="2" t="n">
        <v>3.86335000402903</v>
      </c>
      <c r="C767" s="5" t="n">
        <f aca="false">B767</f>
        <v>3.86335000402903</v>
      </c>
      <c r="D767" s="5" t="n">
        <f aca="false">C767*LOG(C767)</f>
        <v>2.26764758528041</v>
      </c>
      <c r="E767" s="5"/>
      <c r="F767" s="5"/>
      <c r="G767" s="4" t="n">
        <v>766</v>
      </c>
      <c r="H767" s="6" t="n">
        <v>0.234</v>
      </c>
      <c r="J767" s="2" t="n">
        <f aca="false">B767/$B$1003</f>
        <v>0.000377584271724314</v>
      </c>
      <c r="K767" s="5" t="n">
        <f aca="false">J767*LOG(J767,2)</f>
        <v>-0.00429347817167956</v>
      </c>
      <c r="N767" s="2" t="n">
        <f aca="false">1/1000*LOG(1/1000,2)</f>
        <v>-0.00996578428466209</v>
      </c>
    </row>
    <row r="768" customFormat="false" ht="13" hidden="false" customHeight="false" outlineLevel="0" collapsed="false">
      <c r="A768" s="4" t="n">
        <v>234</v>
      </c>
      <c r="B768" s="2" t="n">
        <v>3.84739648234716</v>
      </c>
      <c r="C768" s="5" t="n">
        <f aca="false">B768</f>
        <v>3.84739648234716</v>
      </c>
      <c r="D768" s="5" t="n">
        <f aca="false">C768*LOG(C768)</f>
        <v>2.25136924030856</v>
      </c>
      <c r="E768" s="5"/>
      <c r="F768" s="5"/>
      <c r="G768" s="4" t="n">
        <v>767</v>
      </c>
      <c r="H768" s="6" t="n">
        <v>0.233</v>
      </c>
      <c r="J768" s="2" t="n">
        <f aca="false">B768/$B$1003</f>
        <v>0.000376025055277603</v>
      </c>
      <c r="K768" s="5" t="n">
        <f aca="false">J768*LOG(J768,2)</f>
        <v>-0.00427799327889113</v>
      </c>
      <c r="N768" s="2" t="n">
        <f aca="false">1/1000*LOG(1/1000,2)</f>
        <v>-0.00996578428466209</v>
      </c>
    </row>
    <row r="769" customFormat="false" ht="13" hidden="false" customHeight="false" outlineLevel="0" collapsed="false">
      <c r="A769" s="4" t="n">
        <v>233</v>
      </c>
      <c r="B769" s="2" t="n">
        <v>3.82422810721164</v>
      </c>
      <c r="C769" s="5" t="n">
        <f aca="false">B769</f>
        <v>3.82422810721164</v>
      </c>
      <c r="D769" s="5" t="n">
        <f aca="false">C769*LOG(C769)</f>
        <v>2.22778033209004</v>
      </c>
      <c r="E769" s="5"/>
      <c r="F769" s="5"/>
      <c r="G769" s="4" t="n">
        <v>768</v>
      </c>
      <c r="H769" s="6" t="n">
        <v>0.232</v>
      </c>
      <c r="J769" s="2" t="n">
        <f aca="false">B769/$B$1003</f>
        <v>0.000373760695578518</v>
      </c>
      <c r="K769" s="5" t="n">
        <f aca="false">J769*LOG(J769,2)</f>
        <v>-0.00425548884690411</v>
      </c>
      <c r="N769" s="2" t="n">
        <f aca="false">1/1000*LOG(1/1000,2)</f>
        <v>-0.00996578428466209</v>
      </c>
    </row>
    <row r="770" customFormat="false" ht="13" hidden="false" customHeight="false" outlineLevel="0" collapsed="false">
      <c r="A770" s="4" t="n">
        <v>232</v>
      </c>
      <c r="B770" s="2" t="n">
        <v>3.81849225675182</v>
      </c>
      <c r="C770" s="5" t="n">
        <f aca="false">B770</f>
        <v>3.81849225675182</v>
      </c>
      <c r="D770" s="5" t="n">
        <f aca="false">C770*LOG(C770)</f>
        <v>2.22194976888624</v>
      </c>
      <c r="E770" s="5"/>
      <c r="F770" s="5"/>
      <c r="G770" s="4" t="n">
        <v>769</v>
      </c>
      <c r="H770" s="6" t="n">
        <v>0.231</v>
      </c>
      <c r="J770" s="2" t="n">
        <f aca="false">B770/$B$1003</f>
        <v>0.000373200102591517</v>
      </c>
      <c r="K770" s="5" t="n">
        <f aca="false">J770*LOG(J770,2)</f>
        <v>-0.00424991431868149</v>
      </c>
      <c r="N770" s="2" t="n">
        <f aca="false">1/1000*LOG(1/1000,2)</f>
        <v>-0.00996578428466209</v>
      </c>
    </row>
    <row r="771" customFormat="false" ht="13" hidden="false" customHeight="false" outlineLevel="0" collapsed="false">
      <c r="A771" s="4" t="n">
        <v>231</v>
      </c>
      <c r="B771" s="2" t="n">
        <v>3.81837678933624</v>
      </c>
      <c r="C771" s="5" t="n">
        <f aca="false">B771</f>
        <v>3.81837678933624</v>
      </c>
      <c r="D771" s="5" t="n">
        <f aca="false">C771*LOG(C771)</f>
        <v>2.22183243322753</v>
      </c>
      <c r="E771" s="5"/>
      <c r="F771" s="5"/>
      <c r="G771" s="4" t="n">
        <v>770</v>
      </c>
      <c r="H771" s="6" t="n">
        <v>0.23</v>
      </c>
      <c r="J771" s="2" t="n">
        <f aca="false">B771/$B$1003</f>
        <v>0.000373188817390855</v>
      </c>
      <c r="K771" s="5" t="n">
        <f aca="false">J771*LOG(J771,2)</f>
        <v>-0.00424980208634786</v>
      </c>
      <c r="N771" s="2" t="n">
        <f aca="false">1/1000*LOG(1/1000,2)</f>
        <v>-0.00996578428466209</v>
      </c>
    </row>
    <row r="772" customFormat="false" ht="13" hidden="false" customHeight="false" outlineLevel="0" collapsed="false">
      <c r="A772" s="4" t="n">
        <v>230</v>
      </c>
      <c r="B772" s="2" t="n">
        <v>3.80793497296662</v>
      </c>
      <c r="C772" s="5" t="n">
        <f aca="false">B772</f>
        <v>3.80793497296662</v>
      </c>
      <c r="D772" s="5" t="n">
        <f aca="false">C772*LOG(C772)</f>
        <v>2.21122794478503</v>
      </c>
      <c r="E772" s="5"/>
      <c r="F772" s="5"/>
      <c r="G772" s="4" t="n">
        <v>771</v>
      </c>
      <c r="H772" s="6" t="n">
        <v>0.229</v>
      </c>
      <c r="J772" s="2" t="n">
        <f aca="false">B772/$B$1003</f>
        <v>0.000372168287119125</v>
      </c>
      <c r="K772" s="5" t="n">
        <f aca="false">J772*LOG(J772,2)</f>
        <v>-0.00423965078397401</v>
      </c>
      <c r="N772" s="2" t="n">
        <f aca="false">1/1000*LOG(1/1000,2)</f>
        <v>-0.00996578428466209</v>
      </c>
    </row>
    <row r="773" customFormat="false" ht="13" hidden="false" customHeight="false" outlineLevel="0" collapsed="false">
      <c r="A773" s="4" t="n">
        <v>229</v>
      </c>
      <c r="B773" s="2" t="n">
        <v>3.79663732543838</v>
      </c>
      <c r="C773" s="5" t="n">
        <f aca="false">B773</f>
        <v>3.79663732543838</v>
      </c>
      <c r="D773" s="5" t="n">
        <f aca="false">C773*LOG(C773)</f>
        <v>2.19976829893691</v>
      </c>
      <c r="E773" s="5"/>
      <c r="F773" s="5"/>
      <c r="G773" s="4" t="n">
        <v>772</v>
      </c>
      <c r="H773" s="6" t="n">
        <v>0.228</v>
      </c>
      <c r="J773" s="2" t="n">
        <f aca="false">B773/$B$1003</f>
        <v>0.000371064112242476</v>
      </c>
      <c r="K773" s="5" t="n">
        <f aca="false">J773*LOG(J773,2)</f>
        <v>-0.00422866291399969</v>
      </c>
      <c r="N773" s="2" t="n">
        <f aca="false">1/1000*LOG(1/1000,2)</f>
        <v>-0.00996578428466209</v>
      </c>
    </row>
    <row r="774" customFormat="false" ht="13" hidden="false" customHeight="false" outlineLevel="0" collapsed="false">
      <c r="A774" s="4" t="n">
        <v>228</v>
      </c>
      <c r="B774" s="2" t="n">
        <v>3.79375242338256</v>
      </c>
      <c r="C774" s="5" t="n">
        <f aca="false">B774</f>
        <v>3.79375242338256</v>
      </c>
      <c r="D774" s="5" t="n">
        <f aca="false">C774*LOG(C774)</f>
        <v>2.19684436833286</v>
      </c>
      <c r="E774" s="5"/>
      <c r="F774" s="5"/>
      <c r="G774" s="4" t="n">
        <v>773</v>
      </c>
      <c r="H774" s="6" t="n">
        <v>0.227</v>
      </c>
      <c r="J774" s="2" t="n">
        <f aca="false">B774/$B$1003</f>
        <v>0.000370782156519954</v>
      </c>
      <c r="K774" s="5" t="n">
        <f aca="false">J774*LOG(J774,2)</f>
        <v>-0.00422585635574467</v>
      </c>
      <c r="N774" s="2" t="n">
        <f aca="false">1/1000*LOG(1/1000,2)</f>
        <v>-0.00996578428466209</v>
      </c>
    </row>
    <row r="775" customFormat="false" ht="13" hidden="false" customHeight="false" outlineLevel="0" collapsed="false">
      <c r="A775" s="4" t="n">
        <v>227</v>
      </c>
      <c r="B775" s="2" t="n">
        <v>3.76938761907172</v>
      </c>
      <c r="C775" s="5" t="n">
        <f aca="false">B775</f>
        <v>3.76938761907172</v>
      </c>
      <c r="D775" s="5" t="n">
        <f aca="false">C775*LOG(C775)</f>
        <v>2.17218801776812</v>
      </c>
      <c r="E775" s="5"/>
      <c r="F775" s="5"/>
      <c r="G775" s="4" t="n">
        <v>774</v>
      </c>
      <c r="H775" s="6" t="n">
        <v>0.226</v>
      </c>
      <c r="J775" s="2" t="n">
        <f aca="false">B775/$B$1003</f>
        <v>0.000368400863890029</v>
      </c>
      <c r="K775" s="5" t="n">
        <f aca="false">J775*LOG(J775,2)</f>
        <v>-0.00420214085237336</v>
      </c>
      <c r="N775" s="2" t="n">
        <f aca="false">1/1000*LOG(1/1000,2)</f>
        <v>-0.00996578428466209</v>
      </c>
    </row>
    <row r="776" customFormat="false" ht="13" hidden="false" customHeight="false" outlineLevel="0" collapsed="false">
      <c r="A776" s="4" t="n">
        <v>226</v>
      </c>
      <c r="B776" s="2" t="n">
        <v>3.76351852757193</v>
      </c>
      <c r="C776" s="5" t="n">
        <f aca="false">B776</f>
        <v>3.76351852757193</v>
      </c>
      <c r="D776" s="5" t="n">
        <f aca="false">C776*LOG(C776)</f>
        <v>2.16625890307636</v>
      </c>
      <c r="E776" s="5"/>
      <c r="F776" s="5"/>
      <c r="G776" s="4" t="n">
        <v>775</v>
      </c>
      <c r="H776" s="6" t="n">
        <v>0.225</v>
      </c>
      <c r="J776" s="2" t="n">
        <f aca="false">B776/$B$1003</f>
        <v>0.000367827248598295</v>
      </c>
      <c r="K776" s="5" t="n">
        <f aca="false">J776*LOG(J776,2)</f>
        <v>-0.00419642485363276</v>
      </c>
      <c r="N776" s="2" t="n">
        <f aca="false">1/1000*LOG(1/1000,2)</f>
        <v>-0.00996578428466209</v>
      </c>
    </row>
    <row r="777" customFormat="false" ht="13" hidden="false" customHeight="false" outlineLevel="0" collapsed="false">
      <c r="A777" s="4" t="n">
        <v>225</v>
      </c>
      <c r="B777" s="2" t="n">
        <v>3.76070670225126</v>
      </c>
      <c r="C777" s="5" t="n">
        <f aca="false">B777</f>
        <v>3.76070670225126</v>
      </c>
      <c r="D777" s="5" t="n">
        <f aca="false">C777*LOG(C777)</f>
        <v>2.16341972920211</v>
      </c>
      <c r="E777" s="5"/>
      <c r="F777" s="5"/>
      <c r="G777" s="4" t="n">
        <v>776</v>
      </c>
      <c r="H777" s="6" t="n">
        <v>0.224</v>
      </c>
      <c r="J777" s="2" t="n">
        <f aca="false">B777/$B$1003</f>
        <v>0.000367552435025925</v>
      </c>
      <c r="K777" s="5" t="n">
        <f aca="false">J777*LOG(J777,2)</f>
        <v>-0.00419368591645451</v>
      </c>
      <c r="N777" s="2" t="n">
        <f aca="false">1/1000*LOG(1/1000,2)</f>
        <v>-0.00996578428466209</v>
      </c>
    </row>
    <row r="778" customFormat="false" ht="13" hidden="false" customHeight="false" outlineLevel="0" collapsed="false">
      <c r="A778" s="4" t="n">
        <v>224</v>
      </c>
      <c r="B778" s="2" t="n">
        <v>3.74040309694351</v>
      </c>
      <c r="C778" s="5" t="n">
        <f aca="false">B778</f>
        <v>3.74040309694351</v>
      </c>
      <c r="D778" s="5" t="n">
        <f aca="false">C778*LOG(C778)</f>
        <v>2.14294578723369</v>
      </c>
      <c r="E778" s="5"/>
      <c r="F778" s="5"/>
      <c r="G778" s="4" t="n">
        <v>777</v>
      </c>
      <c r="H778" s="6" t="n">
        <v>0.223</v>
      </c>
      <c r="J778" s="2" t="n">
        <f aca="false">B778/$B$1003</f>
        <v>0.00036556806342731</v>
      </c>
      <c r="K778" s="5" t="n">
        <f aca="false">J778*LOG(J778,2)</f>
        <v>-0.00417389980924511</v>
      </c>
      <c r="N778" s="2" t="n">
        <f aca="false">1/1000*LOG(1/1000,2)</f>
        <v>-0.00996578428466209</v>
      </c>
    </row>
    <row r="779" customFormat="false" ht="13" hidden="false" customHeight="false" outlineLevel="0" collapsed="false">
      <c r="A779" s="4" t="n">
        <v>223</v>
      </c>
      <c r="B779" s="2" t="n">
        <v>3.73000156467992</v>
      </c>
      <c r="C779" s="5" t="n">
        <f aca="false">B779</f>
        <v>3.73000156467992</v>
      </c>
      <c r="D779" s="5" t="n">
        <f aca="false">C779*LOG(C779)</f>
        <v>2.13247551671974</v>
      </c>
      <c r="E779" s="5"/>
      <c r="F779" s="5"/>
      <c r="G779" s="4" t="n">
        <v>778</v>
      </c>
      <c r="H779" s="6" t="n">
        <v>0.222</v>
      </c>
      <c r="J779" s="2" t="n">
        <f aca="false">B779/$B$1003</f>
        <v>0.000364551470320171</v>
      </c>
      <c r="K779" s="5" t="n">
        <f aca="false">J779*LOG(J779,2)</f>
        <v>-0.00416375737659502</v>
      </c>
      <c r="N779" s="2" t="n">
        <f aca="false">1/1000*LOG(1/1000,2)</f>
        <v>-0.00996578428466209</v>
      </c>
    </row>
    <row r="780" customFormat="false" ht="13" hidden="false" customHeight="false" outlineLevel="0" collapsed="false">
      <c r="A780" s="4" t="n">
        <v>222</v>
      </c>
      <c r="B780" s="2" t="n">
        <v>3.72859823119961</v>
      </c>
      <c r="C780" s="5" t="n">
        <f aca="false">B780</f>
        <v>3.72859823119961</v>
      </c>
      <c r="D780" s="5" t="n">
        <f aca="false">C780*LOG(C780)</f>
        <v>2.13106387299518</v>
      </c>
      <c r="E780" s="5"/>
      <c r="F780" s="5"/>
      <c r="G780" s="4" t="n">
        <v>779</v>
      </c>
      <c r="H780" s="6" t="n">
        <v>0.221</v>
      </c>
      <c r="J780" s="2" t="n">
        <f aca="false">B780/$B$1003</f>
        <v>0.000364414315609985</v>
      </c>
      <c r="K780" s="5" t="n">
        <f aca="false">J780*LOG(J780,2)</f>
        <v>-0.00416238868694092</v>
      </c>
      <c r="N780" s="2" t="n">
        <f aca="false">1/1000*LOG(1/1000,2)</f>
        <v>-0.00996578428466209</v>
      </c>
    </row>
    <row r="781" customFormat="false" ht="13" hidden="false" customHeight="false" outlineLevel="0" collapsed="false">
      <c r="A781" s="4" t="n">
        <v>221</v>
      </c>
      <c r="B781" s="2" t="n">
        <v>3.71925535468768</v>
      </c>
      <c r="C781" s="5" t="n">
        <f aca="false">B781</f>
        <v>3.71925535468768</v>
      </c>
      <c r="D781" s="5" t="n">
        <f aca="false">C781*LOG(C781)</f>
        <v>2.12167152125462</v>
      </c>
      <c r="E781" s="5"/>
      <c r="F781" s="5"/>
      <c r="G781" s="4" t="n">
        <v>780</v>
      </c>
      <c r="H781" s="6" t="n">
        <v>0.22</v>
      </c>
      <c r="J781" s="2" t="n">
        <f aca="false">B781/$B$1003</f>
        <v>0.000363501190156715</v>
      </c>
      <c r="K781" s="5" t="n">
        <f aca="false">J781*LOG(J781,2)</f>
        <v>-0.004153274556505</v>
      </c>
      <c r="N781" s="2" t="n">
        <f aca="false">1/1000*LOG(1/1000,2)</f>
        <v>-0.00996578428466209</v>
      </c>
    </row>
    <row r="782" customFormat="false" ht="13" hidden="false" customHeight="false" outlineLevel="0" collapsed="false">
      <c r="A782" s="4" t="n">
        <v>220</v>
      </c>
      <c r="B782" s="2" t="n">
        <v>3.70917769939285</v>
      </c>
      <c r="C782" s="5" t="n">
        <f aca="false">B782</f>
        <v>3.70917769939285</v>
      </c>
      <c r="D782" s="5" t="n">
        <f aca="false">C782*LOG(C782)</f>
        <v>2.11155192712391</v>
      </c>
      <c r="E782" s="5"/>
      <c r="F782" s="5"/>
      <c r="G782" s="4" t="n">
        <v>781</v>
      </c>
      <c r="H782" s="6" t="n">
        <v>0.219</v>
      </c>
      <c r="J782" s="2" t="n">
        <f aca="false">B782/$B$1003</f>
        <v>0.000362516251144921</v>
      </c>
      <c r="K782" s="5" t="n">
        <f aca="false">J782*LOG(J782,2)</f>
        <v>-0.00414343992710235</v>
      </c>
      <c r="N782" s="2" t="n">
        <f aca="false">1/1000*LOG(1/1000,2)</f>
        <v>-0.00996578428466209</v>
      </c>
    </row>
    <row r="783" customFormat="false" ht="13" hidden="false" customHeight="false" outlineLevel="0" collapsed="false">
      <c r="A783" s="4" t="n">
        <v>219</v>
      </c>
      <c r="B783" s="2" t="n">
        <v>3.69826581284292</v>
      </c>
      <c r="C783" s="5" t="n">
        <f aca="false">B783</f>
        <v>3.69826581284292</v>
      </c>
      <c r="D783" s="5" t="n">
        <f aca="false">C783*LOG(C783)</f>
        <v>2.10060803952997</v>
      </c>
      <c r="E783" s="5"/>
      <c r="F783" s="5"/>
      <c r="G783" s="4" t="n">
        <v>782</v>
      </c>
      <c r="H783" s="6" t="n">
        <v>0.218</v>
      </c>
      <c r="J783" s="2" t="n">
        <f aca="false">B783/$B$1003</f>
        <v>0.000361449778593431</v>
      </c>
      <c r="K783" s="5" t="n">
        <f aca="false">J783*LOG(J783,2)</f>
        <v>-0.00413278683055737</v>
      </c>
      <c r="N783" s="2" t="n">
        <f aca="false">1/1000*LOG(1/1000,2)</f>
        <v>-0.00996578428466209</v>
      </c>
    </row>
    <row r="784" customFormat="false" ht="13" hidden="false" customHeight="false" outlineLevel="0" collapsed="false">
      <c r="A784" s="4" t="n">
        <v>218</v>
      </c>
      <c r="B784" s="2" t="n">
        <v>3.69620069283224</v>
      </c>
      <c r="C784" s="5" t="n">
        <f aca="false">B784</f>
        <v>3.69620069283224</v>
      </c>
      <c r="D784" s="5" t="n">
        <f aca="false">C784*LOG(C784)</f>
        <v>2.09853843546912</v>
      </c>
      <c r="E784" s="5"/>
      <c r="F784" s="5"/>
      <c r="G784" s="4" t="n">
        <v>783</v>
      </c>
      <c r="H784" s="6" t="n">
        <v>0.217</v>
      </c>
      <c r="J784" s="2" t="n">
        <f aca="false">B784/$B$1003</f>
        <v>0.000361247944217968</v>
      </c>
      <c r="K784" s="5" t="n">
        <f aca="false">J784*LOG(J784,2)</f>
        <v>-0.00413077017716382</v>
      </c>
      <c r="N784" s="2" t="n">
        <f aca="false">1/1000*LOG(1/1000,2)</f>
        <v>-0.00996578428466209</v>
      </c>
    </row>
    <row r="785" customFormat="false" ht="13" hidden="false" customHeight="false" outlineLevel="0" collapsed="false">
      <c r="A785" s="4" t="n">
        <v>217</v>
      </c>
      <c r="B785" s="2" t="n">
        <v>3.69600916166235</v>
      </c>
      <c r="C785" s="5" t="n">
        <f aca="false">B785</f>
        <v>3.69600916166235</v>
      </c>
      <c r="D785" s="5" t="n">
        <f aca="false">C785*LOG(C785)</f>
        <v>2.09834651381054</v>
      </c>
      <c r="E785" s="5"/>
      <c r="F785" s="5"/>
      <c r="G785" s="4" t="n">
        <v>784</v>
      </c>
      <c r="H785" s="6" t="n">
        <v>0.216</v>
      </c>
      <c r="J785" s="2" t="n">
        <f aca="false">B785/$B$1003</f>
        <v>0.000361229224931023</v>
      </c>
      <c r="K785" s="5" t="n">
        <f aca="false">J785*LOG(J785,2)</f>
        <v>-0.00413058313282553</v>
      </c>
      <c r="N785" s="2" t="n">
        <f aca="false">1/1000*LOG(1/1000,2)</f>
        <v>-0.00996578428466209</v>
      </c>
    </row>
    <row r="786" customFormat="false" ht="13" hidden="false" customHeight="false" outlineLevel="0" collapsed="false">
      <c r="A786" s="4" t="n">
        <v>216</v>
      </c>
      <c r="B786" s="2" t="n">
        <v>3.67846969697309</v>
      </c>
      <c r="C786" s="5" t="n">
        <f aca="false">B786</f>
        <v>3.67846969697309</v>
      </c>
      <c r="D786" s="5" t="n">
        <f aca="false">C786*LOG(C786)</f>
        <v>2.08078959013294</v>
      </c>
      <c r="E786" s="5"/>
      <c r="F786" s="5"/>
      <c r="G786" s="4" t="n">
        <v>785</v>
      </c>
      <c r="H786" s="6" t="n">
        <v>0.215</v>
      </c>
      <c r="J786" s="2" t="n">
        <f aca="false">B786/$B$1003</f>
        <v>0.000359515006443384</v>
      </c>
      <c r="K786" s="5" t="n">
        <f aca="false">J786*LOG(J786,2)</f>
        <v>-0.00411344860825334</v>
      </c>
      <c r="N786" s="2" t="n">
        <f aca="false">1/1000*LOG(1/1000,2)</f>
        <v>-0.00996578428466209</v>
      </c>
    </row>
    <row r="787" customFormat="false" ht="13" hidden="false" customHeight="false" outlineLevel="0" collapsed="false">
      <c r="A787" s="4" t="n">
        <v>215</v>
      </c>
      <c r="B787" s="2" t="n">
        <v>3.67549057368427</v>
      </c>
      <c r="C787" s="5" t="n">
        <f aca="false">B787</f>
        <v>3.67549057368427</v>
      </c>
      <c r="D787" s="5" t="n">
        <f aca="false">C787*LOG(C787)</f>
        <v>2.07781110511041</v>
      </c>
      <c r="E787" s="5"/>
      <c r="F787" s="5"/>
      <c r="G787" s="4" t="n">
        <v>786</v>
      </c>
      <c r="H787" s="6" t="n">
        <v>0.214</v>
      </c>
      <c r="J787" s="2" t="n">
        <f aca="false">B787/$B$1003</f>
        <v>0.00035922384201453</v>
      </c>
      <c r="K787" s="5" t="n">
        <f aca="false">J787*LOG(J787,2)</f>
        <v>-0.00411053709507293</v>
      </c>
      <c r="N787" s="2" t="n">
        <f aca="false">1/1000*LOG(1/1000,2)</f>
        <v>-0.00996578428466209</v>
      </c>
    </row>
    <row r="788" customFormat="false" ht="13" hidden="false" customHeight="false" outlineLevel="0" collapsed="false">
      <c r="A788" s="4" t="n">
        <v>214</v>
      </c>
      <c r="B788" s="2" t="n">
        <v>3.67517388690809</v>
      </c>
      <c r="C788" s="5" t="n">
        <f aca="false">B788</f>
        <v>3.67517388690809</v>
      </c>
      <c r="D788" s="5" t="n">
        <f aca="false">C788*LOG(C788)</f>
        <v>2.07749454783225</v>
      </c>
      <c r="E788" s="5"/>
      <c r="F788" s="5"/>
      <c r="G788" s="4" t="n">
        <v>787</v>
      </c>
      <c r="H788" s="6" t="n">
        <v>0.213</v>
      </c>
      <c r="J788" s="2" t="n">
        <f aca="false">B788/$B$1003</f>
        <v>0.000359192890652209</v>
      </c>
      <c r="K788" s="5" t="n">
        <f aca="false">J788*LOG(J788,2)</f>
        <v>-0.00411022757537128</v>
      </c>
      <c r="N788" s="2" t="n">
        <f aca="false">1/1000*LOG(1/1000,2)</f>
        <v>-0.00996578428466209</v>
      </c>
    </row>
    <row r="789" customFormat="false" ht="13" hidden="false" customHeight="false" outlineLevel="0" collapsed="false">
      <c r="A789" s="4" t="n">
        <v>213</v>
      </c>
      <c r="B789" s="2" t="n">
        <v>3.65824876114289</v>
      </c>
      <c r="C789" s="5" t="n">
        <f aca="false">B789</f>
        <v>3.65824876114289</v>
      </c>
      <c r="D789" s="5" t="n">
        <f aca="false">C789*LOG(C789)</f>
        <v>2.06059361118344</v>
      </c>
      <c r="E789" s="5"/>
      <c r="F789" s="5"/>
      <c r="G789" s="4" t="n">
        <v>788</v>
      </c>
      <c r="H789" s="6" t="n">
        <v>0.212</v>
      </c>
      <c r="J789" s="2" t="n">
        <f aca="false">B789/$B$1003</f>
        <v>0.000357538714541001</v>
      </c>
      <c r="K789" s="5" t="n">
        <f aca="false">J789*LOG(J789,2)</f>
        <v>-0.00409367988296917</v>
      </c>
      <c r="N789" s="2" t="n">
        <f aca="false">1/1000*LOG(1/1000,2)</f>
        <v>-0.00996578428466209</v>
      </c>
    </row>
    <row r="790" customFormat="false" ht="13" hidden="false" customHeight="false" outlineLevel="0" collapsed="false">
      <c r="A790" s="4" t="n">
        <v>212</v>
      </c>
      <c r="B790" s="2" t="n">
        <v>3.64684850744237</v>
      </c>
      <c r="C790" s="5" t="n">
        <f aca="false">B790</f>
        <v>3.64684850744237</v>
      </c>
      <c r="D790" s="5" t="n">
        <f aca="false">C790*LOG(C790)</f>
        <v>2.04922880870402</v>
      </c>
      <c r="E790" s="5"/>
      <c r="F790" s="5"/>
      <c r="G790" s="4" t="n">
        <v>789</v>
      </c>
      <c r="H790" s="6" t="n">
        <v>0.211</v>
      </c>
      <c r="J790" s="2" t="n">
        <f aca="false">B790/$B$1003</f>
        <v>0.000356424511456504</v>
      </c>
      <c r="K790" s="5" t="n">
        <f aca="false">J790*LOG(J790,2)</f>
        <v>-0.00408252763693564</v>
      </c>
      <c r="N790" s="2" t="n">
        <f aca="false">1/1000*LOG(1/1000,2)</f>
        <v>-0.00996578428466209</v>
      </c>
    </row>
    <row r="791" customFormat="false" ht="13" hidden="false" customHeight="false" outlineLevel="0" collapsed="false">
      <c r="A791" s="4" t="n">
        <v>211</v>
      </c>
      <c r="B791" s="2" t="n">
        <v>3.64377460569608</v>
      </c>
      <c r="C791" s="5" t="n">
        <f aca="false">B791</f>
        <v>3.64377460569608</v>
      </c>
      <c r="D791" s="5" t="n">
        <f aca="false">C791*LOG(C791)</f>
        <v>2.04616711304824</v>
      </c>
      <c r="E791" s="5"/>
      <c r="F791" s="5"/>
      <c r="G791" s="4" t="n">
        <v>790</v>
      </c>
      <c r="H791" s="6" t="n">
        <v>0.21</v>
      </c>
      <c r="J791" s="2" t="n">
        <f aca="false">B791/$B$1003</f>
        <v>0.00035612408386102</v>
      </c>
      <c r="K791" s="5" t="n">
        <f aca="false">J791*LOG(J791,2)</f>
        <v>-0.00407951974714533</v>
      </c>
      <c r="N791" s="2" t="n">
        <f aca="false">1/1000*LOG(1/1000,2)</f>
        <v>-0.00996578428466209</v>
      </c>
    </row>
    <row r="792" customFormat="false" ht="13" hidden="false" customHeight="false" outlineLevel="0" collapsed="false">
      <c r="A792" s="4" t="n">
        <v>210</v>
      </c>
      <c r="B792" s="2" t="n">
        <v>3.62544590558798</v>
      </c>
      <c r="C792" s="5" t="n">
        <f aca="false">B792</f>
        <v>3.62544590558798</v>
      </c>
      <c r="D792" s="5" t="n">
        <f aca="false">C792*LOG(C792)</f>
        <v>2.02793460435177</v>
      </c>
      <c r="E792" s="5"/>
      <c r="F792" s="5"/>
      <c r="G792" s="4" t="n">
        <v>791</v>
      </c>
      <c r="H792" s="6" t="n">
        <v>0.209</v>
      </c>
      <c r="J792" s="2" t="n">
        <f aca="false">B792/$B$1003</f>
        <v>0.000354332729498937</v>
      </c>
      <c r="K792" s="5" t="n">
        <f aca="false">J792*LOG(J792,2)</f>
        <v>-0.00406157705476307</v>
      </c>
      <c r="N792" s="2" t="n">
        <f aca="false">1/1000*LOG(1/1000,2)</f>
        <v>-0.00996578428466209</v>
      </c>
    </row>
    <row r="793" customFormat="false" ht="13" hidden="false" customHeight="false" outlineLevel="0" collapsed="false">
      <c r="A793" s="4" t="n">
        <v>209</v>
      </c>
      <c r="B793" s="2" t="n">
        <v>3.57432841574973</v>
      </c>
      <c r="C793" s="5" t="n">
        <f aca="false">B793</f>
        <v>3.57432841574973</v>
      </c>
      <c r="D793" s="5" t="n">
        <f aca="false">C793*LOG(C793)</f>
        <v>1.97729865552469</v>
      </c>
      <c r="E793" s="5"/>
      <c r="F793" s="5"/>
      <c r="G793" s="4" t="n">
        <v>792</v>
      </c>
      <c r="H793" s="6" t="n">
        <v>0.208</v>
      </c>
      <c r="J793" s="2" t="n">
        <f aca="false">B793/$B$1003</f>
        <v>0.000349336764817295</v>
      </c>
      <c r="K793" s="5" t="n">
        <f aca="false">J793*LOG(J793,2)</f>
        <v>-0.00401146687209071</v>
      </c>
      <c r="N793" s="2" t="n">
        <f aca="false">1/1000*LOG(1/1000,2)</f>
        <v>-0.00996578428466209</v>
      </c>
    </row>
    <row r="794" customFormat="false" ht="13" hidden="false" customHeight="false" outlineLevel="0" collapsed="false">
      <c r="A794" s="4" t="n">
        <v>208</v>
      </c>
      <c r="B794" s="2" t="n">
        <v>3.56633315603639</v>
      </c>
      <c r="C794" s="5" t="n">
        <f aca="false">B794</f>
        <v>3.56633315603639</v>
      </c>
      <c r="D794" s="5" t="n">
        <f aca="false">C794*LOG(C794)</f>
        <v>1.96940731143408</v>
      </c>
      <c r="E794" s="5"/>
      <c r="F794" s="5"/>
      <c r="G794" s="4" t="n">
        <v>793</v>
      </c>
      <c r="H794" s="6" t="n">
        <v>0.207</v>
      </c>
      <c r="J794" s="2" t="n">
        <f aca="false">B794/$B$1003</f>
        <v>0.000348555348607798</v>
      </c>
      <c r="K794" s="5" t="n">
        <f aca="false">J794*LOG(J794,2)</f>
        <v>-0.0040036198798787</v>
      </c>
      <c r="N794" s="2" t="n">
        <f aca="false">1/1000*LOG(1/1000,2)</f>
        <v>-0.00996578428466209</v>
      </c>
    </row>
    <row r="795" customFormat="false" ht="13" hidden="false" customHeight="false" outlineLevel="0" collapsed="false">
      <c r="A795" s="4" t="n">
        <v>207</v>
      </c>
      <c r="B795" s="2" t="n">
        <v>3.54655171575732</v>
      </c>
      <c r="C795" s="5" t="n">
        <f aca="false">B795</f>
        <v>3.54655171575732</v>
      </c>
      <c r="D795" s="5" t="n">
        <f aca="false">C795*LOG(C795)</f>
        <v>1.94991646633381</v>
      </c>
      <c r="E795" s="5"/>
      <c r="F795" s="5"/>
      <c r="G795" s="4" t="n">
        <v>794</v>
      </c>
      <c r="H795" s="6" t="n">
        <v>0.206</v>
      </c>
      <c r="J795" s="2" t="n">
        <f aca="false">B795/$B$1003</f>
        <v>0.000346622010775698</v>
      </c>
      <c r="K795" s="5" t="n">
        <f aca="false">J795*LOG(J795,2)</f>
        <v>-0.00398419440101416</v>
      </c>
      <c r="N795" s="2" t="n">
        <f aca="false">1/1000*LOG(1/1000,2)</f>
        <v>-0.00996578428466209</v>
      </c>
    </row>
    <row r="796" customFormat="false" ht="13" hidden="false" customHeight="false" outlineLevel="0" collapsed="false">
      <c r="A796" s="4" t="n">
        <v>206</v>
      </c>
      <c r="B796" s="2" t="n">
        <v>3.51812855438175</v>
      </c>
      <c r="C796" s="5" t="n">
        <f aca="false">B796</f>
        <v>3.51812855438175</v>
      </c>
      <c r="D796" s="5" t="n">
        <f aca="false">C796*LOG(C796)</f>
        <v>1.92199480815925</v>
      </c>
      <c r="E796" s="5"/>
      <c r="F796" s="5"/>
      <c r="G796" s="4" t="n">
        <v>795</v>
      </c>
      <c r="H796" s="6" t="n">
        <v>0.205</v>
      </c>
      <c r="J796" s="2" t="n">
        <f aca="false">B796/$B$1003</f>
        <v>0.000343844074871132</v>
      </c>
      <c r="K796" s="5" t="n">
        <f aca="false">J796*LOG(J796,2)</f>
        <v>-0.00395625544767033</v>
      </c>
      <c r="N796" s="2" t="n">
        <f aca="false">1/1000*LOG(1/1000,2)</f>
        <v>-0.00996578428466209</v>
      </c>
    </row>
    <row r="797" customFormat="false" ht="13" hidden="false" customHeight="false" outlineLevel="0" collapsed="false">
      <c r="A797" s="4" t="n">
        <v>205</v>
      </c>
      <c r="B797" s="2" t="n">
        <v>3.51378431864794</v>
      </c>
      <c r="C797" s="5" t="n">
        <f aca="false">B797</f>
        <v>3.51378431864794</v>
      </c>
      <c r="D797" s="5" t="n">
        <f aca="false">C797*LOG(C797)</f>
        <v>1.91773598905036</v>
      </c>
      <c r="E797" s="5"/>
      <c r="F797" s="5"/>
      <c r="G797" s="4" t="n">
        <v>796</v>
      </c>
      <c r="H797" s="6" t="n">
        <v>0.204</v>
      </c>
      <c r="J797" s="2" t="n">
        <f aca="false">B797/$B$1003</f>
        <v>0.000343419491262596</v>
      </c>
      <c r="K797" s="5" t="n">
        <f aca="false">J797*LOG(J797,2)</f>
        <v>-0.00395198237286914</v>
      </c>
      <c r="N797" s="2" t="n">
        <f aca="false">1/1000*LOG(1/1000,2)</f>
        <v>-0.00996578428466209</v>
      </c>
    </row>
    <row r="798" customFormat="false" ht="13" hidden="false" customHeight="false" outlineLevel="0" collapsed="false">
      <c r="A798" s="4" t="n">
        <v>204</v>
      </c>
      <c r="B798" s="2" t="n">
        <v>3.50294217848045</v>
      </c>
      <c r="C798" s="5" t="n">
        <f aca="false">B798</f>
        <v>3.50294217848045</v>
      </c>
      <c r="D798" s="5" t="n">
        <f aca="false">C798*LOG(C798)</f>
        <v>1.90711720930821</v>
      </c>
      <c r="E798" s="5"/>
      <c r="F798" s="5"/>
      <c r="G798" s="4" t="n">
        <v>797</v>
      </c>
      <c r="H798" s="6" t="n">
        <v>0.203</v>
      </c>
      <c r="J798" s="2" t="n">
        <f aca="false">B798/$B$1003</f>
        <v>0.000342359835369445</v>
      </c>
      <c r="K798" s="5" t="n">
        <f aca="false">J798*LOG(J798,2)</f>
        <v>-0.00394131452717793</v>
      </c>
      <c r="N798" s="2" t="n">
        <f aca="false">1/1000*LOG(1/1000,2)</f>
        <v>-0.00996578428466209</v>
      </c>
    </row>
    <row r="799" customFormat="false" ht="13" hidden="false" customHeight="false" outlineLevel="0" collapsed="false">
      <c r="A799" s="4" t="n">
        <v>203</v>
      </c>
      <c r="B799" s="2" t="n">
        <v>3.5021829696818</v>
      </c>
      <c r="C799" s="5" t="n">
        <f aca="false">B799</f>
        <v>3.5021829696818</v>
      </c>
      <c r="D799" s="5" t="n">
        <f aca="false">C799*LOG(C799)</f>
        <v>1.90637418654972</v>
      </c>
      <c r="E799" s="5"/>
      <c r="F799" s="5"/>
      <c r="G799" s="4" t="n">
        <v>798</v>
      </c>
      <c r="H799" s="6" t="n">
        <v>0.202</v>
      </c>
      <c r="J799" s="2" t="n">
        <f aca="false">B799/$B$1003</f>
        <v>0.000342285634144853</v>
      </c>
      <c r="K799" s="5" t="n">
        <f aca="false">J799*LOG(J799,2)</f>
        <v>-0.0039405673460575</v>
      </c>
      <c r="N799" s="2" t="n">
        <f aca="false">1/1000*LOG(1/1000,2)</f>
        <v>-0.00996578428466209</v>
      </c>
    </row>
    <row r="800" customFormat="false" ht="13" hidden="false" customHeight="false" outlineLevel="0" collapsed="false">
      <c r="A800" s="4" t="n">
        <v>202</v>
      </c>
      <c r="B800" s="2" t="n">
        <v>3.48599307318511</v>
      </c>
      <c r="C800" s="5" t="n">
        <f aca="false">B800</f>
        <v>3.48599307318511</v>
      </c>
      <c r="D800" s="5" t="n">
        <f aca="false">C800*LOG(C800)</f>
        <v>1.89054649147419</v>
      </c>
      <c r="E800" s="5"/>
      <c r="F800" s="5"/>
      <c r="G800" s="4" t="n">
        <v>799</v>
      </c>
      <c r="H800" s="6" t="n">
        <v>0.201</v>
      </c>
      <c r="J800" s="2" t="n">
        <f aca="false">B800/$B$1003</f>
        <v>0.000340703315620356</v>
      </c>
      <c r="K800" s="5" t="n">
        <f aca="false">J800*LOG(J800,2)</f>
        <v>-0.00392462840409792</v>
      </c>
      <c r="N800" s="2" t="n">
        <f aca="false">1/1000*LOG(1/1000,2)</f>
        <v>-0.00996578428466209</v>
      </c>
    </row>
    <row r="801" customFormat="false" ht="13" hidden="false" customHeight="false" outlineLevel="0" collapsed="false">
      <c r="A801" s="4" t="n">
        <v>201</v>
      </c>
      <c r="B801" s="2" t="n">
        <v>3.47448450641991</v>
      </c>
      <c r="C801" s="5" t="n">
        <f aca="false">B801</f>
        <v>3.47448450641991</v>
      </c>
      <c r="D801" s="5" t="n">
        <f aca="false">C801*LOG(C801)</f>
        <v>1.879315242876</v>
      </c>
      <c r="E801" s="5"/>
      <c r="F801" s="5"/>
      <c r="G801" s="4" t="n">
        <v>800</v>
      </c>
      <c r="H801" s="6" t="n">
        <v>0.2</v>
      </c>
      <c r="J801" s="2" t="n">
        <f aca="false">B801/$B$1003</f>
        <v>0.000339578526565236</v>
      </c>
      <c r="K801" s="5" t="n">
        <f aca="false">J801*LOG(J801,2)</f>
        <v>-0.00391329178409619</v>
      </c>
      <c r="L801" s="2" t="n">
        <f aca="false">SUM(J752:J801)</f>
        <v>0.0183091033495771</v>
      </c>
      <c r="N801" s="2" t="n">
        <f aca="false">1/1000*LOG(1/1000,2)</f>
        <v>-0.00996578428466209</v>
      </c>
    </row>
    <row r="802" customFormat="false" ht="13" hidden="false" customHeight="false" outlineLevel="0" collapsed="false">
      <c r="A802" s="4" t="n">
        <v>200</v>
      </c>
      <c r="B802" s="2" t="n">
        <v>3.47156727007484</v>
      </c>
      <c r="C802" s="5" t="n">
        <f aca="false">B802</f>
        <v>3.47156727007484</v>
      </c>
      <c r="D802" s="5" t="n">
        <f aca="false">C802*LOG(C802)</f>
        <v>1.87647093017643</v>
      </c>
      <c r="E802" s="5"/>
      <c r="F802" s="5"/>
      <c r="G802" s="4" t="n">
        <v>801</v>
      </c>
      <c r="H802" s="6" t="n">
        <v>0.199</v>
      </c>
      <c r="J802" s="2" t="n">
        <f aca="false">B802/$B$1003</f>
        <v>0.00033929341065297</v>
      </c>
      <c r="K802" s="5" t="n">
        <f aca="false">J802*LOG(J802,2)</f>
        <v>-0.00391041728027233</v>
      </c>
      <c r="N802" s="2" t="n">
        <f aca="false">1/1000*LOG(1/1000,2)</f>
        <v>-0.00996578428466209</v>
      </c>
    </row>
    <row r="803" customFormat="false" ht="13" hidden="false" customHeight="false" outlineLevel="0" collapsed="false">
      <c r="A803" s="4" t="n">
        <v>199</v>
      </c>
      <c r="B803" s="2" t="n">
        <v>3.4635880523339</v>
      </c>
      <c r="C803" s="5" t="n">
        <f aca="false">B803</f>
        <v>3.4635880523339</v>
      </c>
      <c r="D803" s="5" t="n">
        <f aca="false">C803*LOG(C803)</f>
        <v>1.86869661409865</v>
      </c>
      <c r="E803" s="5"/>
      <c r="F803" s="5"/>
      <c r="G803" s="4" t="n">
        <v>802</v>
      </c>
      <c r="H803" s="6" t="n">
        <v>0.198</v>
      </c>
      <c r="J803" s="2" t="n">
        <f aca="false">B803/$B$1003</f>
        <v>0.000338513562304645</v>
      </c>
      <c r="K803" s="5" t="n">
        <f aca="false">J803*LOG(J803,2)</f>
        <v>-0.00390255317787047</v>
      </c>
      <c r="N803" s="2" t="n">
        <f aca="false">1/1000*LOG(1/1000,2)</f>
        <v>-0.00996578428466209</v>
      </c>
    </row>
    <row r="804" customFormat="false" ht="13" hidden="false" customHeight="false" outlineLevel="0" collapsed="false">
      <c r="A804" s="4" t="n">
        <v>198</v>
      </c>
      <c r="B804" s="2" t="n">
        <v>3.45392823039663</v>
      </c>
      <c r="C804" s="5" t="n">
        <f aca="false">B804</f>
        <v>3.45392823039663</v>
      </c>
      <c r="D804" s="5" t="n">
        <f aca="false">C804*LOG(C804)</f>
        <v>1.85929553498217</v>
      </c>
      <c r="E804" s="5"/>
      <c r="F804" s="5"/>
      <c r="G804" s="4" t="n">
        <v>803</v>
      </c>
      <c r="H804" s="6" t="n">
        <v>0.197</v>
      </c>
      <c r="J804" s="2" t="n">
        <f aca="false">B804/$B$1003</f>
        <v>0.000337569460209995</v>
      </c>
      <c r="K804" s="5" t="n">
        <f aca="false">J804*LOG(J804,2)</f>
        <v>-0.00389302924834379</v>
      </c>
      <c r="N804" s="2" t="n">
        <f aca="false">1/1000*LOG(1/1000,2)</f>
        <v>-0.00996578428466209</v>
      </c>
    </row>
    <row r="805" customFormat="false" ht="13" hidden="false" customHeight="false" outlineLevel="0" collapsed="false">
      <c r="A805" s="4" t="n">
        <v>197</v>
      </c>
      <c r="B805" s="2" t="n">
        <v>3.44283563139504</v>
      </c>
      <c r="C805" s="5" t="n">
        <f aca="false">B805</f>
        <v>3.44283563139504</v>
      </c>
      <c r="D805" s="5" t="n">
        <f aca="false">C805*LOG(C805)</f>
        <v>1.84851453090866</v>
      </c>
      <c r="E805" s="5"/>
      <c r="F805" s="5"/>
      <c r="G805" s="4" t="n">
        <v>804</v>
      </c>
      <c r="H805" s="6" t="n">
        <v>0.196</v>
      </c>
      <c r="J805" s="2" t="n">
        <f aca="false">B805/$B$1003</f>
        <v>0.000336485325738312</v>
      </c>
      <c r="K805" s="5" t="n">
        <f aca="false">J805*LOG(J805,2)</f>
        <v>-0.00388208799835344</v>
      </c>
      <c r="N805" s="2" t="n">
        <f aca="false">1/1000*LOG(1/1000,2)</f>
        <v>-0.00996578428466209</v>
      </c>
    </row>
    <row r="806" customFormat="false" ht="13" hidden="false" customHeight="false" outlineLevel="0" collapsed="false">
      <c r="A806" s="4" t="n">
        <v>196</v>
      </c>
      <c r="B806" s="2" t="n">
        <v>3.4340139564072</v>
      </c>
      <c r="C806" s="5" t="n">
        <f aca="false">B806</f>
        <v>3.4340139564072</v>
      </c>
      <c r="D806" s="5" t="n">
        <f aca="false">C806*LOG(C806)</f>
        <v>1.83995173774269</v>
      </c>
      <c r="E806" s="5"/>
      <c r="F806" s="5"/>
      <c r="G806" s="4" t="n">
        <v>805</v>
      </c>
      <c r="H806" s="6" t="n">
        <v>0.195</v>
      </c>
      <c r="J806" s="2" t="n">
        <f aca="false">B806/$B$1003</f>
        <v>0.000335623139883497</v>
      </c>
      <c r="K806" s="5" t="n">
        <f aca="false">J806*LOG(J806,2)</f>
        <v>-0.00387338309090919</v>
      </c>
      <c r="N806" s="2" t="n">
        <f aca="false">1/1000*LOG(1/1000,2)</f>
        <v>-0.00996578428466209</v>
      </c>
    </row>
    <row r="807" customFormat="false" ht="13" hidden="false" customHeight="false" outlineLevel="0" collapsed="false">
      <c r="A807" s="4" t="n">
        <v>195</v>
      </c>
      <c r="B807" s="2" t="n">
        <v>3.42241038323027</v>
      </c>
      <c r="C807" s="5" t="n">
        <f aca="false">B807</f>
        <v>3.42241038323027</v>
      </c>
      <c r="D807" s="5" t="n">
        <f aca="false">C807*LOG(C807)</f>
        <v>1.82870367522508</v>
      </c>
      <c r="E807" s="5"/>
      <c r="F807" s="5"/>
      <c r="G807" s="4" t="n">
        <v>806</v>
      </c>
      <c r="H807" s="6" t="n">
        <v>0.194</v>
      </c>
      <c r="J807" s="2" t="n">
        <f aca="false">B807/$B$1003</f>
        <v>0.000334489065382652</v>
      </c>
      <c r="K807" s="5" t="n">
        <f aca="false">J807*LOG(J807,2)</f>
        <v>-0.00386192824060577</v>
      </c>
      <c r="N807" s="2" t="n">
        <f aca="false">1/1000*LOG(1/1000,2)</f>
        <v>-0.00996578428466209</v>
      </c>
    </row>
    <row r="808" customFormat="false" ht="13" hidden="false" customHeight="false" outlineLevel="0" collapsed="false">
      <c r="A808" s="4" t="n">
        <v>194</v>
      </c>
      <c r="B808" s="2" t="n">
        <v>3.39912672290012</v>
      </c>
      <c r="C808" s="5" t="n">
        <f aca="false">B808</f>
        <v>3.39912672290012</v>
      </c>
      <c r="D808" s="5" t="n">
        <f aca="false">C808*LOG(C808)</f>
        <v>1.80618497886054</v>
      </c>
      <c r="E808" s="5"/>
      <c r="F808" s="5"/>
      <c r="G808" s="4" t="n">
        <v>807</v>
      </c>
      <c r="H808" s="6" t="n">
        <v>0.193</v>
      </c>
      <c r="J808" s="2" t="n">
        <f aca="false">B808/$B$1003</f>
        <v>0.000332213438292259</v>
      </c>
      <c r="K808" s="5" t="n">
        <f aca="false">J808*LOG(J808,2)</f>
        <v>-0.00383892625432669</v>
      </c>
      <c r="N808" s="2" t="n">
        <f aca="false">1/1000*LOG(1/1000,2)</f>
        <v>-0.00996578428466209</v>
      </c>
    </row>
    <row r="809" customFormat="false" ht="13" hidden="false" customHeight="false" outlineLevel="0" collapsed="false">
      <c r="A809" s="4" t="n">
        <v>193</v>
      </c>
      <c r="B809" s="2" t="n">
        <v>3.3977108620839</v>
      </c>
      <c r="C809" s="5" t="n">
        <f aca="false">B809</f>
        <v>3.3977108620839</v>
      </c>
      <c r="D809" s="5" t="n">
        <f aca="false">C809*LOG(C809)</f>
        <v>1.80481786418486</v>
      </c>
      <c r="E809" s="5"/>
      <c r="F809" s="5"/>
      <c r="G809" s="4" t="n">
        <v>808</v>
      </c>
      <c r="H809" s="6" t="n">
        <v>0.192</v>
      </c>
      <c r="J809" s="2" t="n">
        <f aca="false">B809/$B$1003</f>
        <v>0.000332075059223679</v>
      </c>
      <c r="K809" s="5" t="n">
        <f aca="false">J809*LOG(J809,2)</f>
        <v>-0.00383752679810418</v>
      </c>
      <c r="N809" s="2" t="n">
        <f aca="false">1/1000*LOG(1/1000,2)</f>
        <v>-0.00996578428466209</v>
      </c>
    </row>
    <row r="810" customFormat="false" ht="13" hidden="false" customHeight="false" outlineLevel="0" collapsed="false">
      <c r="A810" s="4" t="n">
        <v>192</v>
      </c>
      <c r="B810" s="2" t="n">
        <v>3.38376116170986</v>
      </c>
      <c r="C810" s="5" t="n">
        <f aca="false">B810</f>
        <v>3.38376116170986</v>
      </c>
      <c r="D810" s="5" t="n">
        <f aca="false">C810*LOG(C810)</f>
        <v>1.79136214844633</v>
      </c>
      <c r="E810" s="5"/>
      <c r="F810" s="5"/>
      <c r="G810" s="4" t="n">
        <v>809</v>
      </c>
      <c r="H810" s="6" t="n">
        <v>0.191</v>
      </c>
      <c r="J810" s="2" t="n">
        <f aca="false">B810/$B$1003</f>
        <v>0.000330711686127529</v>
      </c>
      <c r="K810" s="5" t="n">
        <f aca="false">J810*LOG(J810,2)</f>
        <v>-0.00382373427016351</v>
      </c>
      <c r="N810" s="2" t="n">
        <f aca="false">1/1000*LOG(1/1000,2)</f>
        <v>-0.00996578428466209</v>
      </c>
    </row>
    <row r="811" customFormat="false" ht="13" hidden="false" customHeight="false" outlineLevel="0" collapsed="false">
      <c r="A811" s="4" t="n">
        <v>191</v>
      </c>
      <c r="B811" s="2" t="n">
        <v>3.36215687966609</v>
      </c>
      <c r="C811" s="5" t="n">
        <f aca="false">B811</f>
        <v>3.36215687966609</v>
      </c>
      <c r="D811" s="5" t="n">
        <f aca="false">C811*LOG(C811)</f>
        <v>1.77057224404146</v>
      </c>
      <c r="E811" s="5"/>
      <c r="F811" s="5"/>
      <c r="G811" s="4" t="n">
        <v>810</v>
      </c>
      <c r="H811" s="6" t="n">
        <v>0.19</v>
      </c>
      <c r="J811" s="2" t="n">
        <f aca="false">B811/$B$1003</f>
        <v>0.000328600192969229</v>
      </c>
      <c r="K811" s="5" t="n">
        <f aca="false">J811*LOG(J811,2)</f>
        <v>-0.00380235738942175</v>
      </c>
      <c r="N811" s="2" t="n">
        <f aca="false">1/1000*LOG(1/1000,2)</f>
        <v>-0.00996578428466209</v>
      </c>
    </row>
    <row r="812" customFormat="false" ht="13" hidden="false" customHeight="false" outlineLevel="0" collapsed="false">
      <c r="A812" s="4" t="n">
        <v>190</v>
      </c>
      <c r="B812" s="2" t="n">
        <v>3.35146267720984</v>
      </c>
      <c r="C812" s="5" t="n">
        <f aca="false">B812</f>
        <v>3.35146267720984</v>
      </c>
      <c r="D812" s="5" t="n">
        <f aca="false">C812*LOG(C812)</f>
        <v>1.76030344594535</v>
      </c>
      <c r="E812" s="5"/>
      <c r="F812" s="5"/>
      <c r="G812" s="4" t="n">
        <v>811</v>
      </c>
      <c r="H812" s="6" t="n">
        <v>0.189</v>
      </c>
      <c r="J812" s="2" t="n">
        <f aca="false">B812/$B$1003</f>
        <v>0.000327554995759061</v>
      </c>
      <c r="K812" s="5" t="n">
        <f aca="false">J812*LOG(J812,2)</f>
        <v>-0.00379176851647122</v>
      </c>
      <c r="N812" s="2" t="n">
        <f aca="false">1/1000*LOG(1/1000,2)</f>
        <v>-0.00996578428466209</v>
      </c>
    </row>
    <row r="813" customFormat="false" ht="13" hidden="false" customHeight="false" outlineLevel="0" collapsed="false">
      <c r="A813" s="4" t="n">
        <v>189</v>
      </c>
      <c r="B813" s="2" t="n">
        <v>3.33160954370806</v>
      </c>
      <c r="C813" s="5" t="n">
        <f aca="false">B813</f>
        <v>3.33160954370806</v>
      </c>
      <c r="D813" s="5" t="n">
        <f aca="false">C813*LOG(C813)</f>
        <v>1.74127937926192</v>
      </c>
      <c r="E813" s="5"/>
      <c r="F813" s="5"/>
      <c r="G813" s="4" t="n">
        <v>812</v>
      </c>
      <c r="H813" s="6" t="n">
        <v>0.188</v>
      </c>
      <c r="J813" s="2" t="n">
        <f aca="false">B813/$B$1003</f>
        <v>0.000325614650994311</v>
      </c>
      <c r="K813" s="5" t="n">
        <f aca="false">J813*LOG(J813,2)</f>
        <v>-0.00377209815167762</v>
      </c>
      <c r="N813" s="2" t="n">
        <f aca="false">1/1000*LOG(1/1000,2)</f>
        <v>-0.00996578428466209</v>
      </c>
    </row>
    <row r="814" customFormat="false" ht="13" hidden="false" customHeight="false" outlineLevel="0" collapsed="false">
      <c r="A814" s="4" t="n">
        <v>188</v>
      </c>
      <c r="B814" s="2" t="n">
        <v>3.32960813280317</v>
      </c>
      <c r="C814" s="5" t="n">
        <f aca="false">B814</f>
        <v>3.32960813280317</v>
      </c>
      <c r="D814" s="5" t="n">
        <f aca="false">C814*LOG(C814)</f>
        <v>1.73936439307148</v>
      </c>
      <c r="E814" s="5"/>
      <c r="F814" s="5"/>
      <c r="G814" s="4" t="n">
        <v>813</v>
      </c>
      <c r="H814" s="6" t="n">
        <v>0.187</v>
      </c>
      <c r="J814" s="2" t="n">
        <f aca="false">B814/$B$1003</f>
        <v>0.00032541904322433</v>
      </c>
      <c r="K814" s="5" t="n">
        <f aca="false">J814*LOG(J814,2)</f>
        <v>-0.00377011424189724</v>
      </c>
      <c r="N814" s="2" t="n">
        <f aca="false">1/1000*LOG(1/1000,2)</f>
        <v>-0.00996578428466209</v>
      </c>
    </row>
    <row r="815" customFormat="false" ht="13" hidden="false" customHeight="false" outlineLevel="0" collapsed="false">
      <c r="A815" s="4" t="n">
        <v>187</v>
      </c>
      <c r="B815" s="2" t="n">
        <v>3.32694455459318</v>
      </c>
      <c r="C815" s="5" t="n">
        <f aca="false">B815</f>
        <v>3.32694455459318</v>
      </c>
      <c r="D815" s="5" t="n">
        <f aca="false">C815*LOG(C815)</f>
        <v>1.73681664362707</v>
      </c>
      <c r="E815" s="5"/>
      <c r="F815" s="5"/>
      <c r="G815" s="4" t="n">
        <v>814</v>
      </c>
      <c r="H815" s="6" t="n">
        <v>0.186</v>
      </c>
      <c r="J815" s="2" t="n">
        <f aca="false">B815/$B$1003</f>
        <v>0.000325158718574078</v>
      </c>
      <c r="K815" s="5" t="n">
        <f aca="false">J815*LOG(J815,2)</f>
        <v>-0.00376747369194787</v>
      </c>
      <c r="N815" s="2" t="n">
        <f aca="false">1/1000*LOG(1/1000,2)</f>
        <v>-0.00996578428466209</v>
      </c>
    </row>
    <row r="816" customFormat="false" ht="13" hidden="false" customHeight="false" outlineLevel="0" collapsed="false">
      <c r="A816" s="4" t="n">
        <v>186</v>
      </c>
      <c r="B816" s="2" t="n">
        <v>3.30394703370066</v>
      </c>
      <c r="C816" s="5" t="n">
        <f aca="false">B816</f>
        <v>3.30394703370066</v>
      </c>
      <c r="D816" s="5" t="n">
        <f aca="false">C816*LOG(C816)</f>
        <v>1.71485779327692</v>
      </c>
      <c r="E816" s="5"/>
      <c r="F816" s="5"/>
      <c r="G816" s="4" t="n">
        <v>815</v>
      </c>
      <c r="H816" s="6" t="n">
        <v>0.185</v>
      </c>
      <c r="J816" s="2" t="n">
        <f aca="false">B816/$B$1003</f>
        <v>0.000322911057303778</v>
      </c>
      <c r="K816" s="5" t="n">
        <f aca="false">J816*LOG(J816,2)</f>
        <v>-0.00374466246748744</v>
      </c>
      <c r="N816" s="2" t="n">
        <f aca="false">1/1000*LOG(1/1000,2)</f>
        <v>-0.00996578428466209</v>
      </c>
    </row>
    <row r="817" customFormat="false" ht="13" hidden="false" customHeight="false" outlineLevel="0" collapsed="false">
      <c r="A817" s="4" t="n">
        <v>185</v>
      </c>
      <c r="B817" s="2" t="n">
        <v>3.27656155954162</v>
      </c>
      <c r="C817" s="5" t="n">
        <f aca="false">B817</f>
        <v>3.27656155954162</v>
      </c>
      <c r="D817" s="5" t="n">
        <f aca="false">C817*LOG(C817)</f>
        <v>1.68879989314959</v>
      </c>
      <c r="E817" s="5"/>
      <c r="F817" s="5"/>
      <c r="G817" s="4" t="n">
        <v>816</v>
      </c>
      <c r="H817" s="6" t="n">
        <v>0.184</v>
      </c>
      <c r="J817" s="2" t="n">
        <f aca="false">B817/$B$1003</f>
        <v>0.00032023453969461</v>
      </c>
      <c r="K817" s="5" t="n">
        <f aca="false">J817*LOG(J817,2)</f>
        <v>-0.00371746938012557</v>
      </c>
      <c r="N817" s="2" t="n">
        <f aca="false">1/1000*LOG(1/1000,2)</f>
        <v>-0.00996578428466209</v>
      </c>
    </row>
    <row r="818" customFormat="false" ht="13" hidden="false" customHeight="false" outlineLevel="0" collapsed="false">
      <c r="A818" s="4" t="n">
        <v>184</v>
      </c>
      <c r="B818" s="2" t="n">
        <v>3.2565360195714</v>
      </c>
      <c r="C818" s="5" t="n">
        <f aca="false">B818</f>
        <v>3.2565360195714</v>
      </c>
      <c r="D818" s="5" t="n">
        <f aca="false">C818*LOG(C818)</f>
        <v>1.66980801245598</v>
      </c>
      <c r="E818" s="5"/>
      <c r="F818" s="5"/>
      <c r="G818" s="4" t="n">
        <v>817</v>
      </c>
      <c r="H818" s="6" t="n">
        <v>0.183</v>
      </c>
      <c r="J818" s="2" t="n">
        <f aca="false">B818/$B$1003</f>
        <v>0.000318277344794418</v>
      </c>
      <c r="K818" s="5" t="n">
        <f aca="false">J818*LOG(J818,2)</f>
        <v>-0.00369756410884413</v>
      </c>
      <c r="N818" s="2" t="n">
        <f aca="false">1/1000*LOG(1/1000,2)</f>
        <v>-0.00996578428466209</v>
      </c>
    </row>
    <row r="819" customFormat="false" ht="13" hidden="false" customHeight="false" outlineLevel="0" collapsed="false">
      <c r="A819" s="4" t="n">
        <v>183</v>
      </c>
      <c r="B819" s="2" t="n">
        <v>3.2538370271094</v>
      </c>
      <c r="C819" s="5" t="n">
        <f aca="false">B819</f>
        <v>3.2538370271094</v>
      </c>
      <c r="D819" s="5" t="n">
        <f aca="false">C819*LOG(C819)</f>
        <v>1.66725241652341</v>
      </c>
      <c r="E819" s="5"/>
      <c r="F819" s="5"/>
      <c r="G819" s="4" t="n">
        <v>818</v>
      </c>
      <c r="H819" s="6" t="n">
        <v>0.182</v>
      </c>
      <c r="J819" s="2" t="n">
        <f aca="false">B819/$B$1003</f>
        <v>0.000318013558934454</v>
      </c>
      <c r="K819" s="5" t="n">
        <f aca="false">J819*LOG(J819,2)</f>
        <v>-0.00369488000043682</v>
      </c>
      <c r="N819" s="2" t="n">
        <f aca="false">1/1000*LOG(1/1000,2)</f>
        <v>-0.00996578428466209</v>
      </c>
    </row>
    <row r="820" customFormat="false" ht="13" hidden="false" customHeight="false" outlineLevel="0" collapsed="false">
      <c r="A820" s="4" t="n">
        <v>182</v>
      </c>
      <c r="B820" s="2" t="n">
        <v>3.2511791168638</v>
      </c>
      <c r="C820" s="5" t="n">
        <f aca="false">B820</f>
        <v>3.2511791168638</v>
      </c>
      <c r="D820" s="5" t="n">
        <f aca="false">C820*LOG(C820)</f>
        <v>1.66473667031416</v>
      </c>
      <c r="E820" s="5"/>
      <c r="F820" s="5"/>
      <c r="G820" s="4" t="n">
        <v>819</v>
      </c>
      <c r="H820" s="6" t="n">
        <v>0.181</v>
      </c>
      <c r="J820" s="2" t="n">
        <f aca="false">B820/$B$1003</f>
        <v>0.000317753788242348</v>
      </c>
      <c r="K820" s="5" t="n">
        <f aca="false">J820*LOG(J820,2)</f>
        <v>-0.00369223643919407</v>
      </c>
      <c r="N820" s="2" t="n">
        <f aca="false">1/1000*LOG(1/1000,2)</f>
        <v>-0.00996578428466209</v>
      </c>
    </row>
    <row r="821" customFormat="false" ht="13" hidden="false" customHeight="false" outlineLevel="0" collapsed="false">
      <c r="A821" s="4" t="n">
        <v>181</v>
      </c>
      <c r="B821" s="2" t="n">
        <v>3.24998484841036</v>
      </c>
      <c r="C821" s="5" t="n">
        <f aca="false">B821</f>
        <v>3.24998484841036</v>
      </c>
      <c r="D821" s="5" t="n">
        <f aca="false">C821*LOG(C821)</f>
        <v>1.66360658709828</v>
      </c>
      <c r="E821" s="5"/>
      <c r="F821" s="5"/>
      <c r="G821" s="4" t="n">
        <v>820</v>
      </c>
      <c r="H821" s="6" t="n">
        <v>0.18</v>
      </c>
      <c r="J821" s="2" t="n">
        <f aca="false">B821/$B$1003</f>
        <v>0.000317637066489526</v>
      </c>
      <c r="K821" s="5" t="n">
        <f aca="false">J821*LOG(J821,2)</f>
        <v>-0.00369104851837588</v>
      </c>
      <c r="N821" s="2" t="n">
        <f aca="false">1/1000*LOG(1/1000,2)</f>
        <v>-0.00996578428466209</v>
      </c>
    </row>
    <row r="822" customFormat="false" ht="13" hidden="false" customHeight="false" outlineLevel="0" collapsed="false">
      <c r="A822" s="4" t="n">
        <v>180</v>
      </c>
      <c r="B822" s="2" t="n">
        <v>3.24197382927184</v>
      </c>
      <c r="C822" s="5" t="n">
        <f aca="false">B822</f>
        <v>3.24197382927184</v>
      </c>
      <c r="D822" s="5" t="n">
        <f aca="false">C822*LOG(C822)</f>
        <v>1.65603104597612</v>
      </c>
      <c r="E822" s="5"/>
      <c r="F822" s="5"/>
      <c r="G822" s="4" t="n">
        <v>821</v>
      </c>
      <c r="H822" s="6" t="n">
        <v>0.179</v>
      </c>
      <c r="J822" s="2" t="n">
        <f aca="false">B822/$B$1003</f>
        <v>0.000316854110033593</v>
      </c>
      <c r="K822" s="5" t="n">
        <f aca="false">J822*LOG(J822,2)</f>
        <v>-0.00368307847764576</v>
      </c>
      <c r="N822" s="2" t="n">
        <f aca="false">1/1000*LOG(1/1000,2)</f>
        <v>-0.00996578428466209</v>
      </c>
    </row>
    <row r="823" customFormat="false" ht="13" hidden="false" customHeight="false" outlineLevel="0" collapsed="false">
      <c r="A823" s="4" t="n">
        <v>179</v>
      </c>
      <c r="B823" s="2" t="n">
        <v>3.23369772608926</v>
      </c>
      <c r="C823" s="5" t="n">
        <f aca="false">B823</f>
        <v>3.23369772608926</v>
      </c>
      <c r="D823" s="5" t="n">
        <f aca="false">C823*LOG(C823)</f>
        <v>1.6482138594904</v>
      </c>
      <c r="E823" s="5"/>
      <c r="F823" s="5"/>
      <c r="G823" s="4" t="n">
        <v>822</v>
      </c>
      <c r="H823" s="6" t="n">
        <v>0.178</v>
      </c>
      <c r="J823" s="2" t="n">
        <f aca="false">B823/$B$1003</f>
        <v>0.000316045245605143</v>
      </c>
      <c r="K823" s="5" t="n">
        <f aca="false">J823*LOG(J823,2)</f>
        <v>-0.00367484177749582</v>
      </c>
      <c r="N823" s="2" t="n">
        <f aca="false">1/1000*LOG(1/1000,2)</f>
        <v>-0.00996578428466209</v>
      </c>
    </row>
    <row r="824" customFormat="false" ht="13" hidden="false" customHeight="false" outlineLevel="0" collapsed="false">
      <c r="A824" s="4" t="n">
        <v>178</v>
      </c>
      <c r="B824" s="2" t="n">
        <v>3.21402390399326</v>
      </c>
      <c r="C824" s="5" t="n">
        <f aca="false">B824</f>
        <v>3.21402390399326</v>
      </c>
      <c r="D824" s="5" t="n">
        <f aca="false">C824*LOG(C824)</f>
        <v>1.62966793581352</v>
      </c>
      <c r="E824" s="5"/>
      <c r="F824" s="5"/>
      <c r="G824" s="4" t="n">
        <v>823</v>
      </c>
      <c r="H824" s="6" t="n">
        <v>0.177</v>
      </c>
      <c r="J824" s="2" t="n">
        <f aca="false">B824/$B$1003</f>
        <v>0.000314122425829455</v>
      </c>
      <c r="K824" s="5" t="n">
        <f aca="false">J824*LOG(J824,2)</f>
        <v>-0.0036552496210406</v>
      </c>
      <c r="N824" s="2" t="n">
        <f aca="false">1/1000*LOG(1/1000,2)</f>
        <v>-0.00996578428466209</v>
      </c>
    </row>
    <row r="825" customFormat="false" ht="13" hidden="false" customHeight="false" outlineLevel="0" collapsed="false">
      <c r="A825" s="4" t="n">
        <v>177</v>
      </c>
      <c r="B825" s="2" t="n">
        <v>3.20887354636523</v>
      </c>
      <c r="C825" s="5" t="n">
        <f aca="false">B825</f>
        <v>3.20887354636523</v>
      </c>
      <c r="D825" s="5" t="n">
        <f aca="false">C825*LOG(C825)</f>
        <v>1.62482147283447</v>
      </c>
      <c r="E825" s="5"/>
      <c r="F825" s="5"/>
      <c r="G825" s="4" t="n">
        <v>824</v>
      </c>
      <c r="H825" s="6" t="n">
        <v>0.176</v>
      </c>
      <c r="J825" s="2" t="n">
        <f aca="false">B825/$B$1003</f>
        <v>0.000313619055947856</v>
      </c>
      <c r="K825" s="5" t="n">
        <f aca="false">J825*LOG(J825,2)</f>
        <v>-0.00365011784214023</v>
      </c>
      <c r="N825" s="2" t="n">
        <f aca="false">1/1000*LOG(1/1000,2)</f>
        <v>-0.00996578428466209</v>
      </c>
    </row>
    <row r="826" customFormat="false" ht="13" hidden="false" customHeight="false" outlineLevel="0" collapsed="false">
      <c r="A826" s="4" t="n">
        <v>176</v>
      </c>
      <c r="B826" s="2" t="n">
        <v>3.1885739561418</v>
      </c>
      <c r="C826" s="5" t="n">
        <f aca="false">B826</f>
        <v>3.1885739561418</v>
      </c>
      <c r="D826" s="5" t="n">
        <f aca="false">C826*LOG(C826)</f>
        <v>1.60575466681481</v>
      </c>
      <c r="E826" s="5"/>
      <c r="F826" s="5"/>
      <c r="G826" s="4" t="n">
        <v>825</v>
      </c>
      <c r="H826" s="6" t="n">
        <v>0.175</v>
      </c>
      <c r="J826" s="2" t="n">
        <f aca="false">B826/$B$1003</f>
        <v>0.000311635076763257</v>
      </c>
      <c r="K826" s="5" t="n">
        <f aca="false">J826*LOG(J826,2)</f>
        <v>-0.00362988010955955</v>
      </c>
      <c r="N826" s="2" t="n">
        <f aca="false">1/1000*LOG(1/1000,2)</f>
        <v>-0.00996578428466209</v>
      </c>
    </row>
    <row r="827" customFormat="false" ht="13" hidden="false" customHeight="false" outlineLevel="0" collapsed="false">
      <c r="A827" s="4" t="n">
        <v>175</v>
      </c>
      <c r="B827" s="2" t="n">
        <v>3.1746453839246</v>
      </c>
      <c r="C827" s="5" t="n">
        <f aca="false">B827</f>
        <v>3.1746453839246</v>
      </c>
      <c r="D827" s="5" t="n">
        <f aca="false">C827*LOG(C827)</f>
        <v>1.59270441597278</v>
      </c>
      <c r="E827" s="5"/>
      <c r="F827" s="5"/>
      <c r="G827" s="4" t="n">
        <v>826</v>
      </c>
      <c r="H827" s="6" t="n">
        <v>0.174</v>
      </c>
      <c r="J827" s="2" t="n">
        <f aca="false">B827/$B$1003</f>
        <v>0.000310273768626198</v>
      </c>
      <c r="K827" s="5" t="n">
        <f aca="false">J827*LOG(J827,2)</f>
        <v>-0.00361598344680246</v>
      </c>
      <c r="N827" s="2" t="n">
        <f aca="false">1/1000*LOG(1/1000,2)</f>
        <v>-0.00996578428466209</v>
      </c>
    </row>
    <row r="828" customFormat="false" ht="13" hidden="false" customHeight="false" outlineLevel="0" collapsed="false">
      <c r="A828" s="4" t="n">
        <v>174</v>
      </c>
      <c r="B828" s="2" t="n">
        <v>3.17029031034782</v>
      </c>
      <c r="C828" s="5" t="n">
        <f aca="false">B828</f>
        <v>3.17029031034782</v>
      </c>
      <c r="D828" s="5" t="n">
        <f aca="false">C828*LOG(C828)</f>
        <v>1.58862940987413</v>
      </c>
      <c r="E828" s="5"/>
      <c r="F828" s="5"/>
      <c r="G828" s="4" t="n">
        <v>827</v>
      </c>
      <c r="H828" s="6" t="n">
        <v>0.173</v>
      </c>
      <c r="J828" s="2" t="n">
        <f aca="false">B828/$B$1003</f>
        <v>0.000309848125781755</v>
      </c>
      <c r="K828" s="5" t="n">
        <f aca="false">J828*LOG(J828,2)</f>
        <v>-0.00361163658388511</v>
      </c>
      <c r="N828" s="2" t="n">
        <f aca="false">1/1000*LOG(1/1000,2)</f>
        <v>-0.00996578428466209</v>
      </c>
    </row>
    <row r="829" customFormat="false" ht="13" hidden="false" customHeight="false" outlineLevel="0" collapsed="false">
      <c r="A829" s="4" t="n">
        <v>173</v>
      </c>
      <c r="B829" s="2" t="n">
        <v>3.16657449158038</v>
      </c>
      <c r="C829" s="5" t="n">
        <f aca="false">B829</f>
        <v>3.16657449158038</v>
      </c>
      <c r="D829" s="5" t="n">
        <f aca="false">C829*LOG(C829)</f>
        <v>1.58515460318883</v>
      </c>
      <c r="E829" s="5"/>
      <c r="F829" s="5"/>
      <c r="G829" s="4" t="n">
        <v>828</v>
      </c>
      <c r="H829" s="6" t="n">
        <v>0.172</v>
      </c>
      <c r="J829" s="2" t="n">
        <f aca="false">B829/$B$1003</f>
        <v>0.000309484960466239</v>
      </c>
      <c r="K829" s="5" t="n">
        <f aca="false">J829*LOG(J829,2)</f>
        <v>-0.00360792710371244</v>
      </c>
      <c r="N829" s="2" t="n">
        <f aca="false">1/1000*LOG(1/1000,2)</f>
        <v>-0.00996578428466209</v>
      </c>
    </row>
    <row r="830" customFormat="false" ht="13" hidden="false" customHeight="false" outlineLevel="0" collapsed="false">
      <c r="A830" s="4" t="n">
        <v>172</v>
      </c>
      <c r="B830" s="2" t="n">
        <v>3.16331834291981</v>
      </c>
      <c r="C830" s="5" t="n">
        <f aca="false">B830</f>
        <v>3.16331834291981</v>
      </c>
      <c r="D830" s="5" t="n">
        <f aca="false">C830*LOG(C830)</f>
        <v>1.58211120859695</v>
      </c>
      <c r="E830" s="5"/>
      <c r="F830" s="5"/>
      <c r="G830" s="4" t="n">
        <v>829</v>
      </c>
      <c r="H830" s="6" t="n">
        <v>0.171</v>
      </c>
      <c r="J830" s="2" t="n">
        <f aca="false">B830/$B$1003</f>
        <v>0.000309166720979952</v>
      </c>
      <c r="K830" s="5" t="n">
        <f aca="false">J830*LOG(J830,2)</f>
        <v>-0.00360467600411328</v>
      </c>
      <c r="N830" s="2" t="n">
        <f aca="false">1/1000*LOG(1/1000,2)</f>
        <v>-0.00996578428466209</v>
      </c>
    </row>
    <row r="831" customFormat="false" ht="13" hidden="false" customHeight="false" outlineLevel="0" collapsed="false">
      <c r="A831" s="4" t="n">
        <v>171</v>
      </c>
      <c r="B831" s="2" t="n">
        <v>3.12954931400941</v>
      </c>
      <c r="C831" s="5" t="n">
        <f aca="false">B831</f>
        <v>3.12954931400941</v>
      </c>
      <c r="D831" s="5" t="n">
        <f aca="false">C831*LOG(C831)</f>
        <v>1.55063472528316</v>
      </c>
      <c r="E831" s="5"/>
      <c r="F831" s="5"/>
      <c r="G831" s="4" t="n">
        <v>830</v>
      </c>
      <c r="H831" s="6" t="n">
        <v>0.17</v>
      </c>
      <c r="J831" s="2" t="n">
        <f aca="false">B831/$B$1003</f>
        <v>0.000305866307045239</v>
      </c>
      <c r="K831" s="5" t="n">
        <f aca="false">J831*LOG(J831,2)</f>
        <v>-0.00357093138265547</v>
      </c>
      <c r="N831" s="2" t="n">
        <f aca="false">1/1000*LOG(1/1000,2)</f>
        <v>-0.00996578428466209</v>
      </c>
    </row>
    <row r="832" customFormat="false" ht="13" hidden="false" customHeight="false" outlineLevel="0" collapsed="false">
      <c r="A832" s="4" t="n">
        <v>170</v>
      </c>
      <c r="B832" s="2" t="n">
        <v>3.12011457624402</v>
      </c>
      <c r="C832" s="5" t="n">
        <f aca="false">B832</f>
        <v>3.12011457624402</v>
      </c>
      <c r="D832" s="5" t="n">
        <f aca="false">C832*LOG(C832)</f>
        <v>1.54186871245908</v>
      </c>
      <c r="E832" s="5"/>
      <c r="F832" s="5"/>
      <c r="G832" s="4" t="n">
        <v>831</v>
      </c>
      <c r="H832" s="6" t="n">
        <v>0.169</v>
      </c>
      <c r="J832" s="2" t="n">
        <f aca="false">B832/$B$1003</f>
        <v>0.000304944203538092</v>
      </c>
      <c r="K832" s="5" t="n">
        <f aca="false">J832*LOG(J832,2)</f>
        <v>-0.00356149430518793</v>
      </c>
      <c r="N832" s="2" t="n">
        <f aca="false">1/1000*LOG(1/1000,2)</f>
        <v>-0.00996578428466209</v>
      </c>
    </row>
    <row r="833" customFormat="false" ht="13" hidden="false" customHeight="false" outlineLevel="0" collapsed="false">
      <c r="A833" s="4" t="n">
        <v>169</v>
      </c>
      <c r="B833" s="2" t="n">
        <v>3.08611147820579</v>
      </c>
      <c r="C833" s="5" t="n">
        <f aca="false">B833</f>
        <v>3.08611147820579</v>
      </c>
      <c r="D833" s="5" t="n">
        <f aca="false">C833*LOG(C833)</f>
        <v>1.51037878667327</v>
      </c>
      <c r="E833" s="5"/>
      <c r="F833" s="5"/>
      <c r="G833" s="4" t="n">
        <v>832</v>
      </c>
      <c r="H833" s="6" t="n">
        <v>0.168</v>
      </c>
      <c r="J833" s="2" t="n">
        <f aca="false">B833/$B$1003</f>
        <v>0.000301620912871767</v>
      </c>
      <c r="K833" s="5" t="n">
        <f aca="false">J833*LOG(J833,2)</f>
        <v>-0.00352744931248565</v>
      </c>
      <c r="N833" s="2" t="n">
        <f aca="false">1/1000*LOG(1/1000,2)</f>
        <v>-0.00996578428466209</v>
      </c>
    </row>
    <row r="834" customFormat="false" ht="13" hidden="false" customHeight="false" outlineLevel="0" collapsed="false">
      <c r="A834" s="4" t="n">
        <v>168</v>
      </c>
      <c r="B834" s="2" t="n">
        <v>3.08146671931166</v>
      </c>
      <c r="C834" s="5" t="n">
        <f aca="false">B834</f>
        <v>3.08146671931166</v>
      </c>
      <c r="D834" s="5" t="n">
        <f aca="false">C834*LOG(C834)</f>
        <v>1.50608991334075</v>
      </c>
      <c r="E834" s="5"/>
      <c r="F834" s="5"/>
      <c r="G834" s="4" t="n">
        <v>833</v>
      </c>
      <c r="H834" s="6" t="n">
        <v>0.167</v>
      </c>
      <c r="J834" s="2" t="n">
        <f aca="false">B834/$B$1003</f>
        <v>0.000301166957650898</v>
      </c>
      <c r="K834" s="5" t="n">
        <f aca="false">J834*LOG(J834,2)</f>
        <v>-0.0035227947429645</v>
      </c>
      <c r="N834" s="2" t="n">
        <f aca="false">1/1000*LOG(1/1000,2)</f>
        <v>-0.00996578428466209</v>
      </c>
    </row>
    <row r="835" customFormat="false" ht="13" hidden="false" customHeight="false" outlineLevel="0" collapsed="false">
      <c r="A835" s="4" t="n">
        <v>167</v>
      </c>
      <c r="B835" s="2" t="n">
        <v>3.07115736170431</v>
      </c>
      <c r="C835" s="5" t="n">
        <f aca="false">B835</f>
        <v>3.07115736170431</v>
      </c>
      <c r="D835" s="5" t="n">
        <f aca="false">C835*LOG(C835)</f>
        <v>1.49658133854981</v>
      </c>
      <c r="E835" s="5"/>
      <c r="F835" s="5"/>
      <c r="G835" s="4" t="n">
        <v>834</v>
      </c>
      <c r="H835" s="6" t="n">
        <v>0.166</v>
      </c>
      <c r="J835" s="2" t="n">
        <f aca="false">B835/$B$1003</f>
        <v>0.000300159373228037</v>
      </c>
      <c r="K835" s="5" t="n">
        <f aca="false">J835*LOG(J835,2)</f>
        <v>-0.00351246008064499</v>
      </c>
      <c r="N835" s="2" t="n">
        <f aca="false">1/1000*LOG(1/1000,2)</f>
        <v>-0.00996578428466209</v>
      </c>
    </row>
    <row r="836" customFormat="false" ht="13" hidden="false" customHeight="false" outlineLevel="0" collapsed="false">
      <c r="A836" s="4" t="n">
        <v>166</v>
      </c>
      <c r="B836" s="2" t="n">
        <v>3.07068687039219</v>
      </c>
      <c r="C836" s="5" t="n">
        <f aca="false">B836</f>
        <v>3.07068687039219</v>
      </c>
      <c r="D836" s="5" t="n">
        <f aca="false">C836*LOG(C836)</f>
        <v>1.49614775103132</v>
      </c>
      <c r="E836" s="5"/>
      <c r="F836" s="5"/>
      <c r="G836" s="4" t="n">
        <v>835</v>
      </c>
      <c r="H836" s="6" t="n">
        <v>0.165</v>
      </c>
      <c r="J836" s="2" t="n">
        <f aca="false">B836/$B$1003</f>
        <v>0.000300113389788987</v>
      </c>
      <c r="K836" s="5" t="n">
        <f aca="false">J836*LOG(J836,2)</f>
        <v>-0.00351198831819032</v>
      </c>
      <c r="N836" s="2" t="n">
        <f aca="false">1/1000*LOG(1/1000,2)</f>
        <v>-0.00996578428466209</v>
      </c>
    </row>
    <row r="837" customFormat="false" ht="13" hidden="false" customHeight="false" outlineLevel="0" collapsed="false">
      <c r="A837" s="4" t="n">
        <v>165</v>
      </c>
      <c r="B837" s="2" t="n">
        <v>3.06190212383328</v>
      </c>
      <c r="C837" s="5" t="n">
        <f aca="false">B837</f>
        <v>3.06190212383328</v>
      </c>
      <c r="D837" s="5" t="n">
        <f aca="false">C837*LOG(C837)</f>
        <v>1.48805780591679</v>
      </c>
      <c r="E837" s="5"/>
      <c r="F837" s="5"/>
      <c r="G837" s="4" t="n">
        <v>836</v>
      </c>
      <c r="H837" s="6" t="n">
        <v>0.164</v>
      </c>
      <c r="J837" s="2" t="n">
        <f aca="false">B837/$B$1003</f>
        <v>0.000299254813131871</v>
      </c>
      <c r="K837" s="5" t="n">
        <f aca="false">J837*LOG(J837,2)</f>
        <v>-0.00350317796918745</v>
      </c>
      <c r="N837" s="2" t="n">
        <f aca="false">1/1000*LOG(1/1000,2)</f>
        <v>-0.00996578428466209</v>
      </c>
    </row>
    <row r="838" customFormat="false" ht="13" hidden="false" customHeight="false" outlineLevel="0" collapsed="false">
      <c r="A838" s="4" t="n">
        <v>164</v>
      </c>
      <c r="B838" s="2" t="n">
        <v>3.05907541999397</v>
      </c>
      <c r="C838" s="5" t="n">
        <f aca="false">B838</f>
        <v>3.05907541999397</v>
      </c>
      <c r="D838" s="5" t="n">
        <f aca="false">C838*LOG(C838)</f>
        <v>1.48545699738835</v>
      </c>
      <c r="E838" s="5"/>
      <c r="F838" s="5"/>
      <c r="G838" s="4" t="n">
        <v>837</v>
      </c>
      <c r="H838" s="6" t="n">
        <v>0.163</v>
      </c>
      <c r="J838" s="2" t="n">
        <f aca="false">B838/$B$1003</f>
        <v>0.00029897854540841</v>
      </c>
      <c r="K838" s="5" t="n">
        <f aca="false">J838*LOG(J838,2)</f>
        <v>-0.00350034227189883</v>
      </c>
      <c r="N838" s="2" t="n">
        <f aca="false">1/1000*LOG(1/1000,2)</f>
        <v>-0.00996578428466209</v>
      </c>
    </row>
    <row r="839" customFormat="false" ht="13" hidden="false" customHeight="false" outlineLevel="0" collapsed="false">
      <c r="A839" s="4" t="n">
        <v>163</v>
      </c>
      <c r="B839" s="2" t="n">
        <v>3.03748914427533</v>
      </c>
      <c r="C839" s="5" t="n">
        <f aca="false">B839</f>
        <v>3.03748914427533</v>
      </c>
      <c r="D839" s="5" t="n">
        <f aca="false">C839*LOG(C839)</f>
        <v>1.46563326792999</v>
      </c>
      <c r="E839" s="5"/>
      <c r="F839" s="5"/>
      <c r="G839" s="4" t="n">
        <v>838</v>
      </c>
      <c r="H839" s="6" t="n">
        <v>0.162</v>
      </c>
      <c r="J839" s="2" t="n">
        <f aca="false">B839/$B$1003</f>
        <v>0.000296868812097174</v>
      </c>
      <c r="K839" s="5" t="n">
        <f aca="false">J839*LOG(J839,2)</f>
        <v>-0.00347867514716014</v>
      </c>
      <c r="N839" s="2" t="n">
        <f aca="false">1/1000*LOG(1/1000,2)</f>
        <v>-0.00996578428466209</v>
      </c>
    </row>
    <row r="840" customFormat="false" ht="13" hidden="false" customHeight="false" outlineLevel="0" collapsed="false">
      <c r="A840" s="4" t="n">
        <v>162</v>
      </c>
      <c r="B840" s="2" t="n">
        <v>3.0205288102884</v>
      </c>
      <c r="C840" s="5" t="n">
        <f aca="false">B840</f>
        <v>3.0205288102884</v>
      </c>
      <c r="D840" s="5" t="n">
        <f aca="false">C840*LOG(C840)</f>
        <v>1.45010447983658</v>
      </c>
      <c r="E840" s="5"/>
      <c r="F840" s="5"/>
      <c r="G840" s="4" t="n">
        <v>839</v>
      </c>
      <c r="H840" s="6" t="n">
        <v>0.161</v>
      </c>
      <c r="J840" s="2" t="n">
        <f aca="false">B840/$B$1003</f>
        <v>0.000295211194912612</v>
      </c>
      <c r="K840" s="5" t="n">
        <f aca="false">J840*LOG(J840,2)</f>
        <v>-0.00346163612370042</v>
      </c>
      <c r="N840" s="2" t="n">
        <f aca="false">1/1000*LOG(1/1000,2)</f>
        <v>-0.00996578428466209</v>
      </c>
    </row>
    <row r="841" customFormat="false" ht="13" hidden="false" customHeight="false" outlineLevel="0" collapsed="false">
      <c r="A841" s="4" t="n">
        <v>161</v>
      </c>
      <c r="B841" s="2" t="n">
        <v>3.01481680130669</v>
      </c>
      <c r="C841" s="5" t="n">
        <f aca="false">B841</f>
        <v>3.01481680130669</v>
      </c>
      <c r="D841" s="5" t="n">
        <f aca="false">C841*LOG(C841)</f>
        <v>1.44488389460121</v>
      </c>
      <c r="E841" s="5"/>
      <c r="F841" s="5"/>
      <c r="G841" s="4" t="n">
        <v>840</v>
      </c>
      <c r="H841" s="6" t="n">
        <v>0.16</v>
      </c>
      <c r="J841" s="2" t="n">
        <f aca="false">B841/$B$1003</f>
        <v>0.000294652932070987</v>
      </c>
      <c r="K841" s="5" t="n">
        <f aca="false">J841*LOG(J841,2)</f>
        <v>-0.00345589459420683</v>
      </c>
      <c r="N841" s="2" t="n">
        <f aca="false">1/1000*LOG(1/1000,2)</f>
        <v>-0.00996578428466209</v>
      </c>
    </row>
    <row r="842" customFormat="false" ht="13" hidden="false" customHeight="false" outlineLevel="0" collapsed="false">
      <c r="A842" s="4" t="n">
        <v>160</v>
      </c>
      <c r="B842" s="2" t="n">
        <v>3.01224086034756</v>
      </c>
      <c r="C842" s="5" t="n">
        <f aca="false">B842</f>
        <v>3.01224086034756</v>
      </c>
      <c r="D842" s="5" t="n">
        <f aca="false">C842*LOG(C842)</f>
        <v>1.44253110787243</v>
      </c>
      <c r="E842" s="5"/>
      <c r="F842" s="5"/>
      <c r="G842" s="4" t="n">
        <v>841</v>
      </c>
      <c r="H842" s="6" t="n">
        <v>0.159</v>
      </c>
      <c r="J842" s="2" t="n">
        <f aca="false">B842/$B$1003</f>
        <v>0.000294401172641983</v>
      </c>
      <c r="K842" s="5" t="n">
        <f aca="false">J842*LOG(J842,2)</f>
        <v>-0.00345330484132644</v>
      </c>
      <c r="N842" s="2" t="n">
        <f aca="false">1/1000*LOG(1/1000,2)</f>
        <v>-0.00996578428466209</v>
      </c>
    </row>
    <row r="843" customFormat="false" ht="13" hidden="false" customHeight="false" outlineLevel="0" collapsed="false">
      <c r="A843" s="4" t="n">
        <v>159</v>
      </c>
      <c r="B843" s="2" t="n">
        <v>3.01218398597428</v>
      </c>
      <c r="C843" s="5" t="n">
        <f aca="false">B843</f>
        <v>3.01218398597428</v>
      </c>
      <c r="D843" s="5" t="n">
        <f aca="false">C843*LOG(C843)</f>
        <v>1.44247917132784</v>
      </c>
      <c r="E843" s="5"/>
      <c r="F843" s="5"/>
      <c r="G843" s="4" t="n">
        <v>842</v>
      </c>
      <c r="H843" s="6" t="n">
        <v>0.158</v>
      </c>
      <c r="J843" s="2" t="n">
        <f aca="false">B843/$B$1003</f>
        <v>0.000294395614028656</v>
      </c>
      <c r="K843" s="5" t="n">
        <f aca="false">J843*LOG(J843,2)</f>
        <v>-0.00345324765849517</v>
      </c>
      <c r="N843" s="2" t="n">
        <f aca="false">1/1000*LOG(1/1000,2)</f>
        <v>-0.00996578428466209</v>
      </c>
    </row>
    <row r="844" customFormat="false" ht="13" hidden="false" customHeight="false" outlineLevel="0" collapsed="false">
      <c r="A844" s="4" t="n">
        <v>158</v>
      </c>
      <c r="B844" s="2" t="n">
        <v>2.98565447562066</v>
      </c>
      <c r="C844" s="5" t="n">
        <f aca="false">B844</f>
        <v>2.98565447562066</v>
      </c>
      <c r="D844" s="5" t="n">
        <f aca="false">C844*LOG(C844)</f>
        <v>1.4183039471612</v>
      </c>
      <c r="E844" s="5"/>
      <c r="F844" s="5"/>
      <c r="G844" s="4" t="n">
        <v>843</v>
      </c>
      <c r="H844" s="6" t="n">
        <v>0.157</v>
      </c>
      <c r="J844" s="2" t="n">
        <f aca="false">B844/$B$1003</f>
        <v>0.000291802753988633</v>
      </c>
      <c r="K844" s="5" t="n">
        <f aca="false">J844*LOG(J844,2)</f>
        <v>-0.00342655770858581</v>
      </c>
      <c r="N844" s="2" t="n">
        <f aca="false">1/1000*LOG(1/1000,2)</f>
        <v>-0.00996578428466209</v>
      </c>
    </row>
    <row r="845" customFormat="false" ht="13" hidden="false" customHeight="false" outlineLevel="0" collapsed="false">
      <c r="A845" s="4" t="n">
        <v>157</v>
      </c>
      <c r="B845" s="2" t="n">
        <v>2.96422314396074</v>
      </c>
      <c r="C845" s="5" t="n">
        <f aca="false">B845</f>
        <v>2.96422314396074</v>
      </c>
      <c r="D845" s="5" t="n">
        <f aca="false">C845*LOG(C845)</f>
        <v>1.39884919335584</v>
      </c>
      <c r="E845" s="5"/>
      <c r="F845" s="5"/>
      <c r="G845" s="4" t="n">
        <v>844</v>
      </c>
      <c r="H845" s="6" t="n">
        <v>0.156</v>
      </c>
      <c r="J845" s="2" t="n">
        <f aca="false">B845/$B$1003</f>
        <v>0.000289708164125313</v>
      </c>
      <c r="K845" s="5" t="n">
        <f aca="false">J845*LOG(J845,2)</f>
        <v>-0.00340497251142681</v>
      </c>
      <c r="N845" s="2" t="n">
        <f aca="false">1/1000*LOG(1/1000,2)</f>
        <v>-0.00996578428466209</v>
      </c>
    </row>
    <row r="846" customFormat="false" ht="13" hidden="false" customHeight="false" outlineLevel="0" collapsed="false">
      <c r="A846" s="4" t="n">
        <v>156</v>
      </c>
      <c r="B846" s="2" t="n">
        <v>2.94209926797994</v>
      </c>
      <c r="C846" s="5" t="n">
        <f aca="false">B846</f>
        <v>2.94209926797994</v>
      </c>
      <c r="D846" s="5" t="n">
        <f aca="false">C846*LOG(C846)</f>
        <v>1.37883636388207</v>
      </c>
      <c r="E846" s="5"/>
      <c r="F846" s="5"/>
      <c r="G846" s="4" t="n">
        <v>845</v>
      </c>
      <c r="H846" s="6" t="n">
        <v>0.155</v>
      </c>
      <c r="J846" s="2" t="n">
        <f aca="false">B846/$B$1003</f>
        <v>0.000287545888485981</v>
      </c>
      <c r="K846" s="5" t="n">
        <f aca="false">J846*LOG(J846,2)</f>
        <v>-0.00338266687743157</v>
      </c>
      <c r="N846" s="2" t="n">
        <f aca="false">1/1000*LOG(1/1000,2)</f>
        <v>-0.00996578428466209</v>
      </c>
    </row>
    <row r="847" customFormat="false" ht="13" hidden="false" customHeight="false" outlineLevel="0" collapsed="false">
      <c r="A847" s="4" t="n">
        <v>155</v>
      </c>
      <c r="B847" s="2" t="n">
        <v>2.9262060600779</v>
      </c>
      <c r="C847" s="5" t="n">
        <f aca="false">B847</f>
        <v>2.9262060600779</v>
      </c>
      <c r="D847" s="5" t="n">
        <f aca="false">C847*LOG(C847)</f>
        <v>1.36450423998438</v>
      </c>
      <c r="E847" s="5"/>
      <c r="F847" s="5"/>
      <c r="G847" s="4" t="n">
        <v>846</v>
      </c>
      <c r="H847" s="6" t="n">
        <v>0.154</v>
      </c>
      <c r="J847" s="2" t="n">
        <f aca="false">B847/$B$1003</f>
        <v>0.000285992566802779</v>
      </c>
      <c r="K847" s="5" t="n">
        <f aca="false">J847*LOG(J847,2)</f>
        <v>-0.00336662863085835</v>
      </c>
      <c r="N847" s="2" t="n">
        <f aca="false">1/1000*LOG(1/1000,2)</f>
        <v>-0.00996578428466209</v>
      </c>
    </row>
    <row r="848" customFormat="false" ht="13" hidden="false" customHeight="false" outlineLevel="0" collapsed="false">
      <c r="A848" s="4" t="n">
        <v>154</v>
      </c>
      <c r="B848" s="2" t="n">
        <v>2.92098744171548</v>
      </c>
      <c r="C848" s="5" t="n">
        <f aca="false">B848</f>
        <v>2.92098744171548</v>
      </c>
      <c r="D848" s="5" t="n">
        <f aca="false">C848*LOG(C848)</f>
        <v>1.35980637766005</v>
      </c>
      <c r="E848" s="5"/>
      <c r="F848" s="5"/>
      <c r="G848" s="4" t="n">
        <v>847</v>
      </c>
      <c r="H848" s="6" t="n">
        <v>0.153</v>
      </c>
      <c r="J848" s="2" t="n">
        <f aca="false">B848/$B$1003</f>
        <v>0.000285482525462562</v>
      </c>
      <c r="K848" s="5" t="n">
        <f aca="false">J848*LOG(J848,2)</f>
        <v>-0.00336135973707618</v>
      </c>
      <c r="N848" s="2" t="n">
        <f aca="false">1/1000*LOG(1/1000,2)</f>
        <v>-0.00996578428466209</v>
      </c>
    </row>
    <row r="849" customFormat="false" ht="13" hidden="false" customHeight="false" outlineLevel="0" collapsed="false">
      <c r="A849" s="4" t="n">
        <v>153</v>
      </c>
      <c r="B849" s="2" t="n">
        <v>2.91962597834208</v>
      </c>
      <c r="C849" s="5" t="n">
        <f aca="false">B849</f>
        <v>2.91962597834208</v>
      </c>
      <c r="D849" s="5" t="n">
        <f aca="false">C849*LOG(C849)</f>
        <v>1.35858143782517</v>
      </c>
      <c r="E849" s="5"/>
      <c r="F849" s="5"/>
      <c r="G849" s="4" t="n">
        <v>848</v>
      </c>
      <c r="H849" s="6" t="n">
        <v>0.152</v>
      </c>
      <c r="J849" s="2" t="n">
        <f aca="false">B849/$B$1003</f>
        <v>0.000285349462924664</v>
      </c>
      <c r="K849" s="5" t="n">
        <f aca="false">J849*LOG(J849,2)</f>
        <v>-0.00335998494143224</v>
      </c>
      <c r="N849" s="2" t="n">
        <f aca="false">1/1000*LOG(1/1000,2)</f>
        <v>-0.00996578428466209</v>
      </c>
    </row>
    <row r="850" customFormat="false" ht="13" hidden="false" customHeight="false" outlineLevel="0" collapsed="false">
      <c r="A850" s="4" t="n">
        <v>152</v>
      </c>
      <c r="B850" s="2" t="n">
        <v>2.90446033954089</v>
      </c>
      <c r="C850" s="5" t="n">
        <f aca="false">B850</f>
        <v>2.90446033954089</v>
      </c>
      <c r="D850" s="5" t="n">
        <f aca="false">C850*LOG(C850)</f>
        <v>1.34495523574467</v>
      </c>
      <c r="E850" s="5"/>
      <c r="F850" s="5"/>
      <c r="G850" s="4" t="n">
        <v>849</v>
      </c>
      <c r="H850" s="6" t="n">
        <v>0.151</v>
      </c>
      <c r="J850" s="2" t="n">
        <f aca="false">B850/$B$1003</f>
        <v>0.000283867250162163</v>
      </c>
      <c r="K850" s="5" t="n">
        <f aca="false">J850*LOG(J850,2)</f>
        <v>-0.00334466472962717</v>
      </c>
      <c r="N850" s="2" t="n">
        <f aca="false">1/1000*LOG(1/1000,2)</f>
        <v>-0.00996578428466209</v>
      </c>
    </row>
    <row r="851" customFormat="false" ht="13" hidden="false" customHeight="false" outlineLevel="0" collapsed="false">
      <c r="A851" s="4" t="n">
        <v>151</v>
      </c>
      <c r="B851" s="2" t="n">
        <v>2.89835550102373</v>
      </c>
      <c r="C851" s="5" t="n">
        <f aca="false">B851</f>
        <v>2.89835550102373</v>
      </c>
      <c r="D851" s="5" t="n">
        <f aca="false">C851*LOG(C851)</f>
        <v>1.3394797865795</v>
      </c>
      <c r="E851" s="5"/>
      <c r="F851" s="5"/>
      <c r="G851" s="4" t="n">
        <v>850</v>
      </c>
      <c r="H851" s="6" t="n">
        <v>0.15</v>
      </c>
      <c r="J851" s="2" t="n">
        <f aca="false">B851/$B$1003</f>
        <v>0.000283270594150387</v>
      </c>
      <c r="K851" s="5" t="n">
        <f aca="false">J851*LOG(J851,2)</f>
        <v>-0.00333849451996762</v>
      </c>
      <c r="L851" s="2" t="n">
        <f aca="false">SUM(J802:J851)</f>
        <v>0.0155558520293463</v>
      </c>
      <c r="N851" s="2" t="n">
        <f aca="false">1/1000*LOG(1/1000,2)</f>
        <v>-0.00996578428466209</v>
      </c>
    </row>
    <row r="852" customFormat="false" ht="13" hidden="false" customHeight="false" outlineLevel="0" collapsed="false">
      <c r="A852" s="4" t="n">
        <v>150</v>
      </c>
      <c r="B852" s="2" t="n">
        <v>2.89755619628477</v>
      </c>
      <c r="C852" s="5" t="n">
        <f aca="false">B852</f>
        <v>2.89755619628477</v>
      </c>
      <c r="D852" s="5" t="n">
        <f aca="false">C852*LOG(C852)</f>
        <v>1.33876330080586</v>
      </c>
      <c r="E852" s="5"/>
      <c r="F852" s="5"/>
      <c r="G852" s="4" t="n">
        <v>851</v>
      </c>
      <c r="H852" s="6" t="n">
        <v>0.149</v>
      </c>
      <c r="J852" s="2" t="n">
        <f aca="false">B852/$B$1003</f>
        <v>0.00028319247415157</v>
      </c>
      <c r="K852" s="5" t="n">
        <f aca="false">J852*LOG(J852,2)</f>
        <v>-0.003337686522051</v>
      </c>
      <c r="N852" s="2" t="n">
        <f aca="false">1/1000*LOG(1/1000,2)</f>
        <v>-0.00996578428466209</v>
      </c>
    </row>
    <row r="853" customFormat="false" ht="13" hidden="false" customHeight="false" outlineLevel="0" collapsed="false">
      <c r="A853" s="4" t="n">
        <v>149</v>
      </c>
      <c r="B853" s="2" t="n">
        <v>2.89618324745936</v>
      </c>
      <c r="C853" s="5" t="n">
        <f aca="false">B853</f>
        <v>2.89618324745936</v>
      </c>
      <c r="D853" s="5" t="n">
        <f aca="false">C853*LOG(C853)</f>
        <v>1.33753283188335</v>
      </c>
      <c r="E853" s="5"/>
      <c r="F853" s="5"/>
      <c r="G853" s="4" t="n">
        <v>852</v>
      </c>
      <c r="H853" s="6" t="n">
        <v>0.148</v>
      </c>
      <c r="J853" s="2" t="n">
        <f aca="false">B853/$B$1003</f>
        <v>0.000283058289083736</v>
      </c>
      <c r="K853" s="5" t="n">
        <f aca="false">J853*LOG(J853,2)</f>
        <v>-0.00333629856856859</v>
      </c>
      <c r="N853" s="2" t="n">
        <f aca="false">1/1000*LOG(1/1000,2)</f>
        <v>-0.00996578428466209</v>
      </c>
    </row>
    <row r="854" customFormat="false" ht="13" hidden="false" customHeight="false" outlineLevel="0" collapsed="false">
      <c r="A854" s="4" t="n">
        <v>148</v>
      </c>
      <c r="B854" s="2" t="n">
        <v>2.88331835675115</v>
      </c>
      <c r="C854" s="5" t="n">
        <f aca="false">B854</f>
        <v>2.88331835675115</v>
      </c>
      <c r="D854" s="5" t="n">
        <f aca="false">C854*LOG(C854)</f>
        <v>1.32601676686535</v>
      </c>
      <c r="E854" s="5"/>
      <c r="F854" s="5"/>
      <c r="G854" s="4" t="n">
        <v>853</v>
      </c>
      <c r="H854" s="6" t="n">
        <v>0.147</v>
      </c>
      <c r="J854" s="2" t="n">
        <f aca="false">B854/$B$1003</f>
        <v>0.000281800939792627</v>
      </c>
      <c r="K854" s="5" t="n">
        <f aca="false">J854*LOG(J854,2)</f>
        <v>-0.00332328861557109</v>
      </c>
      <c r="N854" s="2" t="n">
        <f aca="false">1/1000*LOG(1/1000,2)</f>
        <v>-0.00996578428466209</v>
      </c>
    </row>
    <row r="855" customFormat="false" ht="13" hidden="false" customHeight="false" outlineLevel="0" collapsed="false">
      <c r="A855" s="4" t="n">
        <v>147</v>
      </c>
      <c r="B855" s="2" t="n">
        <v>2.8495636086144</v>
      </c>
      <c r="C855" s="5" t="n">
        <f aca="false">B855</f>
        <v>2.8495636086144</v>
      </c>
      <c r="D855" s="5" t="n">
        <f aca="false">C855*LOG(C855)</f>
        <v>1.2959198527854</v>
      </c>
      <c r="E855" s="5"/>
      <c r="F855" s="5"/>
      <c r="G855" s="4" t="n">
        <v>854</v>
      </c>
      <c r="H855" s="6" t="n">
        <v>0.146</v>
      </c>
      <c r="J855" s="2" t="n">
        <f aca="false">B855/$B$1003</f>
        <v>0.000278501921588436</v>
      </c>
      <c r="K855" s="5" t="n">
        <f aca="false">J855*LOG(J855,2)</f>
        <v>-0.0032891146837287</v>
      </c>
      <c r="N855" s="2" t="n">
        <f aca="false">1/1000*LOG(1/1000,2)</f>
        <v>-0.00996578428466209</v>
      </c>
    </row>
    <row r="856" customFormat="false" ht="13" hidden="false" customHeight="false" outlineLevel="0" collapsed="false">
      <c r="A856" s="4" t="n">
        <v>146</v>
      </c>
      <c r="B856" s="2" t="n">
        <v>2.84800859427241</v>
      </c>
      <c r="C856" s="5" t="n">
        <f aca="false">B856</f>
        <v>2.84800859427241</v>
      </c>
      <c r="D856" s="5" t="n">
        <f aca="false">C856*LOG(C856)</f>
        <v>1.29453751607098</v>
      </c>
      <c r="E856" s="5"/>
      <c r="F856" s="5"/>
      <c r="G856" s="4" t="n">
        <v>855</v>
      </c>
      <c r="H856" s="6" t="n">
        <v>0.145</v>
      </c>
      <c r="J856" s="2" t="n">
        <f aca="false">B856/$B$1003</f>
        <v>0.000278349942358693</v>
      </c>
      <c r="K856" s="5" t="n">
        <f aca="false">J856*LOG(J856,2)</f>
        <v>-0.00328753900505599</v>
      </c>
      <c r="N856" s="2" t="n">
        <f aca="false">1/1000*LOG(1/1000,2)</f>
        <v>-0.00996578428466209</v>
      </c>
    </row>
    <row r="857" customFormat="false" ht="13" hidden="false" customHeight="false" outlineLevel="0" collapsed="false">
      <c r="A857" s="4" t="n">
        <v>145</v>
      </c>
      <c r="B857" s="2" t="n">
        <v>2.84190937838798</v>
      </c>
      <c r="C857" s="5" t="n">
        <f aca="false">B857</f>
        <v>2.84190937838798</v>
      </c>
      <c r="D857" s="5" t="n">
        <f aca="false">C857*LOG(C857)</f>
        <v>1.28911915316354</v>
      </c>
      <c r="E857" s="5"/>
      <c r="F857" s="5"/>
      <c r="G857" s="4" t="n">
        <v>856</v>
      </c>
      <c r="H857" s="6" t="n">
        <v>0.144</v>
      </c>
      <c r="J857" s="2" t="n">
        <f aca="false">B857/$B$1003</f>
        <v>0.000277753835874577</v>
      </c>
      <c r="K857" s="5" t="n">
        <f aca="false">J857*LOG(J857,2)</f>
        <v>-0.00328135758141988</v>
      </c>
      <c r="N857" s="2" t="n">
        <f aca="false">1/1000*LOG(1/1000,2)</f>
        <v>-0.00996578428466209</v>
      </c>
    </row>
    <row r="858" customFormat="false" ht="13" hidden="false" customHeight="false" outlineLevel="0" collapsed="false">
      <c r="A858" s="4" t="n">
        <v>144</v>
      </c>
      <c r="B858" s="2" t="n">
        <v>2.8078200347054</v>
      </c>
      <c r="C858" s="5" t="n">
        <f aca="false">B858</f>
        <v>2.8078200347054</v>
      </c>
      <c r="D858" s="5" t="n">
        <f aca="false">C858*LOG(C858)</f>
        <v>1.25894021516284</v>
      </c>
      <c r="E858" s="5"/>
      <c r="F858" s="5"/>
      <c r="G858" s="4" t="n">
        <v>857</v>
      </c>
      <c r="H858" s="6" t="n">
        <v>0.143</v>
      </c>
      <c r="J858" s="2" t="n">
        <f aca="false">B858/$B$1003</f>
        <v>0.00027442211599558</v>
      </c>
      <c r="K858" s="5" t="n">
        <f aca="false">J858*LOG(J858,2)</f>
        <v>-0.00324677466879447</v>
      </c>
      <c r="N858" s="2" t="n">
        <f aca="false">1/1000*LOG(1/1000,2)</f>
        <v>-0.00996578428466209</v>
      </c>
    </row>
    <row r="859" customFormat="false" ht="13" hidden="false" customHeight="false" outlineLevel="0" collapsed="false">
      <c r="A859" s="4" t="n">
        <v>143</v>
      </c>
      <c r="B859" s="2" t="n">
        <v>2.79440584288108</v>
      </c>
      <c r="C859" s="5" t="n">
        <f aca="false">B859</f>
        <v>2.79440584288108</v>
      </c>
      <c r="D859" s="5" t="n">
        <f aca="false">C859*LOG(C859)</f>
        <v>1.24711393250085</v>
      </c>
      <c r="E859" s="5"/>
      <c r="F859" s="5"/>
      <c r="G859" s="4" t="n">
        <v>858</v>
      </c>
      <c r="H859" s="6" t="n">
        <v>0.142</v>
      </c>
      <c r="J859" s="2" t="n">
        <f aca="false">B859/$B$1003</f>
        <v>0.000273111080794142</v>
      </c>
      <c r="K859" s="5" t="n">
        <f aca="false">J859*LOG(J859,2)</f>
        <v>-0.00323315029621994</v>
      </c>
      <c r="N859" s="2" t="n">
        <f aca="false">1/1000*LOG(1/1000,2)</f>
        <v>-0.00996578428466209</v>
      </c>
    </row>
    <row r="860" customFormat="false" ht="13" hidden="false" customHeight="false" outlineLevel="0" collapsed="false">
      <c r="A860" s="4" t="n">
        <v>142</v>
      </c>
      <c r="B860" s="2" t="n">
        <v>2.78980233714691</v>
      </c>
      <c r="C860" s="5" t="n">
        <f aca="false">B860</f>
        <v>2.78980233714691</v>
      </c>
      <c r="D860" s="5" t="n">
        <f aca="false">C860*LOG(C860)</f>
        <v>1.24306180688975</v>
      </c>
      <c r="E860" s="5"/>
      <c r="F860" s="5"/>
      <c r="G860" s="4" t="n">
        <v>859</v>
      </c>
      <c r="H860" s="6" t="n">
        <v>0.141</v>
      </c>
      <c r="J860" s="2" t="n">
        <f aca="false">B860/$B$1003</f>
        <v>0.000272661157448289</v>
      </c>
      <c r="K860" s="5" t="n">
        <f aca="false">J860*LOG(J860,2)</f>
        <v>-0.00322847256985055</v>
      </c>
      <c r="N860" s="2" t="n">
        <f aca="false">1/1000*LOG(1/1000,2)</f>
        <v>-0.00996578428466209</v>
      </c>
    </row>
    <row r="861" customFormat="false" ht="13" hidden="false" customHeight="false" outlineLevel="0" collapsed="false">
      <c r="A861" s="4" t="n">
        <v>141</v>
      </c>
      <c r="B861" s="2" t="n">
        <v>2.77097578324627</v>
      </c>
      <c r="C861" s="5" t="n">
        <f aca="false">B861</f>
        <v>2.77097578324627</v>
      </c>
      <c r="D861" s="5" t="n">
        <f aca="false">C861*LOG(C861)</f>
        <v>1.22652457656627</v>
      </c>
      <c r="E861" s="5"/>
      <c r="F861" s="5"/>
      <c r="G861" s="4" t="n">
        <v>860</v>
      </c>
      <c r="H861" s="6" t="n">
        <v>0.14</v>
      </c>
      <c r="J861" s="2" t="n">
        <f aca="false">B861/$B$1003</f>
        <v>0.000270821145376838</v>
      </c>
      <c r="K861" s="5" t="n">
        <f aca="false">J861*LOG(J861,2)</f>
        <v>-0.0032093313161265</v>
      </c>
      <c r="N861" s="2" t="n">
        <f aca="false">1/1000*LOG(1/1000,2)</f>
        <v>-0.00996578428466209</v>
      </c>
    </row>
    <row r="862" customFormat="false" ht="13" hidden="false" customHeight="false" outlineLevel="0" collapsed="false">
      <c r="A862" s="4" t="n">
        <v>140</v>
      </c>
      <c r="B862" s="2" t="n">
        <v>2.76518732914792</v>
      </c>
      <c r="C862" s="5" t="n">
        <f aca="false">B862</f>
        <v>2.76518732914792</v>
      </c>
      <c r="D862" s="5" t="n">
        <f aca="false">C862*LOG(C862)</f>
        <v>1.2214511511911</v>
      </c>
      <c r="E862" s="5"/>
      <c r="F862" s="5"/>
      <c r="G862" s="4" t="n">
        <v>861</v>
      </c>
      <c r="H862" s="6" t="n">
        <v>0.139</v>
      </c>
      <c r="J862" s="2" t="n">
        <f aca="false">B862/$B$1003</f>
        <v>0.000270255411176505</v>
      </c>
      <c r="K862" s="5" t="n">
        <f aca="false">J862*LOG(J862,2)</f>
        <v>-0.0032034424842496</v>
      </c>
      <c r="N862" s="2" t="n">
        <f aca="false">1/1000*LOG(1/1000,2)</f>
        <v>-0.00996578428466209</v>
      </c>
    </row>
    <row r="863" customFormat="false" ht="13" hidden="false" customHeight="false" outlineLevel="0" collapsed="false">
      <c r="A863" s="4" t="n">
        <v>139</v>
      </c>
      <c r="B863" s="2" t="n">
        <v>2.7506509050189</v>
      </c>
      <c r="C863" s="5" t="n">
        <f aca="false">B863</f>
        <v>2.7506509050189</v>
      </c>
      <c r="D863" s="5" t="n">
        <f aca="false">C863*LOG(C863)</f>
        <v>1.20873358979859</v>
      </c>
      <c r="E863" s="5"/>
      <c r="F863" s="5"/>
      <c r="G863" s="4" t="n">
        <v>862</v>
      </c>
      <c r="H863" s="6" t="n">
        <v>0.138</v>
      </c>
      <c r="J863" s="2" t="n">
        <f aca="false">B863/$B$1003</f>
        <v>0.00026883469467075</v>
      </c>
      <c r="K863" s="5" t="n">
        <f aca="false">J863*LOG(J863,2)</f>
        <v>-0.00318864644274604</v>
      </c>
      <c r="N863" s="2" t="n">
        <f aca="false">1/1000*LOG(1/1000,2)</f>
        <v>-0.00996578428466209</v>
      </c>
    </row>
    <row r="864" customFormat="false" ht="13" hidden="false" customHeight="false" outlineLevel="0" collapsed="false">
      <c r="A864" s="4" t="n">
        <v>138</v>
      </c>
      <c r="B864" s="2" t="n">
        <v>2.7354764230127</v>
      </c>
      <c r="C864" s="5" t="n">
        <f aca="false">B864</f>
        <v>2.7354764230127</v>
      </c>
      <c r="D864" s="5" t="n">
        <f aca="false">C864*LOG(C864)</f>
        <v>1.19549340181441</v>
      </c>
      <c r="E864" s="5"/>
      <c r="F864" s="5"/>
      <c r="G864" s="4" t="n">
        <v>863</v>
      </c>
      <c r="H864" s="6" t="n">
        <v>0.137</v>
      </c>
      <c r="J864" s="2" t="n">
        <f aca="false">B864/$B$1003</f>
        <v>0.000267351617618159</v>
      </c>
      <c r="K864" s="5" t="n">
        <f aca="false">J864*LOG(J864,2)</f>
        <v>-0.00317318939134223</v>
      </c>
      <c r="N864" s="2" t="n">
        <f aca="false">1/1000*LOG(1/1000,2)</f>
        <v>-0.00996578428466209</v>
      </c>
    </row>
    <row r="865" customFormat="false" ht="13" hidden="false" customHeight="false" outlineLevel="0" collapsed="false">
      <c r="A865" s="4" t="n">
        <v>137</v>
      </c>
      <c r="B865" s="2" t="n">
        <v>2.73323553123453</v>
      </c>
      <c r="C865" s="5" t="n">
        <f aca="false">B865</f>
        <v>2.73323553123453</v>
      </c>
      <c r="D865" s="5" t="n">
        <f aca="false">C865*LOG(C865)</f>
        <v>1.19354125001058</v>
      </c>
      <c r="E865" s="5"/>
      <c r="F865" s="5"/>
      <c r="G865" s="4" t="n">
        <v>864</v>
      </c>
      <c r="H865" s="6" t="n">
        <v>0.136</v>
      </c>
      <c r="J865" s="2" t="n">
        <f aca="false">B865/$B$1003</f>
        <v>0.000267132604199962</v>
      </c>
      <c r="K865" s="5" t="n">
        <f aca="false">J865*LOG(J865,2)</f>
        <v>-0.00317090576689819</v>
      </c>
      <c r="N865" s="2" t="n">
        <f aca="false">1/1000*LOG(1/1000,2)</f>
        <v>-0.00996578428466209</v>
      </c>
    </row>
    <row r="866" customFormat="false" ht="13" hidden="false" customHeight="false" outlineLevel="0" collapsed="false">
      <c r="A866" s="4" t="n">
        <v>136</v>
      </c>
      <c r="B866" s="2" t="n">
        <v>2.73010017770247</v>
      </c>
      <c r="C866" s="5" t="n">
        <f aca="false">B866</f>
        <v>2.73010017770247</v>
      </c>
      <c r="D866" s="5" t="n">
        <f aca="false">C866*LOG(C866)</f>
        <v>1.19081122761477</v>
      </c>
      <c r="E866" s="5"/>
      <c r="F866" s="5"/>
      <c r="G866" s="4" t="n">
        <v>865</v>
      </c>
      <c r="H866" s="6" t="n">
        <v>0.135</v>
      </c>
      <c r="J866" s="2" t="n">
        <f aca="false">B866/$B$1003</f>
        <v>0.000266826170618028</v>
      </c>
      <c r="K866" s="5" t="n">
        <f aca="false">J866*LOG(J866,2)</f>
        <v>-0.0031677101889289</v>
      </c>
      <c r="N866" s="2" t="n">
        <f aca="false">1/1000*LOG(1/1000,2)</f>
        <v>-0.00996578428466209</v>
      </c>
    </row>
    <row r="867" customFormat="false" ht="13" hidden="false" customHeight="false" outlineLevel="0" collapsed="false">
      <c r="A867" s="4" t="n">
        <v>135</v>
      </c>
      <c r="B867" s="2" t="n">
        <v>2.71782969293611</v>
      </c>
      <c r="C867" s="5" t="n">
        <f aca="false">B867</f>
        <v>2.71782969293611</v>
      </c>
      <c r="D867" s="5" t="n">
        <f aca="false">C867*LOG(C867)</f>
        <v>1.18014209476359</v>
      </c>
      <c r="E867" s="5"/>
      <c r="F867" s="5"/>
      <c r="G867" s="4" t="n">
        <v>866</v>
      </c>
      <c r="H867" s="6" t="n">
        <v>0.134</v>
      </c>
      <c r="J867" s="2" t="n">
        <f aca="false">B867/$B$1003</f>
        <v>0.000265626915554578</v>
      </c>
      <c r="K867" s="5" t="n">
        <f aca="false">J867*LOG(J867,2)</f>
        <v>-0.00315519912340821</v>
      </c>
      <c r="N867" s="2" t="n">
        <f aca="false">1/1000*LOG(1/1000,2)</f>
        <v>-0.00996578428466209</v>
      </c>
    </row>
    <row r="868" customFormat="false" ht="13" hidden="false" customHeight="false" outlineLevel="0" collapsed="false">
      <c r="A868" s="4" t="n">
        <v>134</v>
      </c>
      <c r="B868" s="2" t="n">
        <v>2.64323768895866</v>
      </c>
      <c r="C868" s="5" t="n">
        <f aca="false">B868</f>
        <v>2.64323768895866</v>
      </c>
      <c r="D868" s="5" t="n">
        <f aca="false">C868*LOG(C868)</f>
        <v>1.11580636163697</v>
      </c>
      <c r="E868" s="5"/>
      <c r="F868" s="5"/>
      <c r="G868" s="4" t="n">
        <v>867</v>
      </c>
      <c r="H868" s="6" t="n">
        <v>0.133</v>
      </c>
      <c r="J868" s="2" t="n">
        <f aca="false">B868/$B$1003</f>
        <v>0.000258336670697418</v>
      </c>
      <c r="K868" s="5" t="n">
        <f aca="false">J868*LOG(J868,2)</f>
        <v>-0.00307897525869257</v>
      </c>
      <c r="N868" s="2" t="n">
        <f aca="false">1/1000*LOG(1/1000,2)</f>
        <v>-0.00996578428466209</v>
      </c>
    </row>
    <row r="869" customFormat="false" ht="13" hidden="false" customHeight="false" outlineLevel="0" collapsed="false">
      <c r="A869" s="4" t="n">
        <v>133</v>
      </c>
      <c r="B869" s="2" t="n">
        <v>2.64248197859121</v>
      </c>
      <c r="C869" s="5" t="n">
        <f aca="false">B869</f>
        <v>2.64248197859121</v>
      </c>
      <c r="D869" s="5" t="n">
        <f aca="false">C869*LOG(C869)</f>
        <v>1.11515919499927</v>
      </c>
      <c r="E869" s="5"/>
      <c r="F869" s="5"/>
      <c r="G869" s="4" t="n">
        <v>868</v>
      </c>
      <c r="H869" s="6" t="n">
        <v>0.132</v>
      </c>
      <c r="J869" s="2" t="n">
        <f aca="false">B869/$B$1003</f>
        <v>0.000258262811391781</v>
      </c>
      <c r="K869" s="5" t="n">
        <f aca="false">J869*LOG(J869,2)</f>
        <v>-0.00307820151073782</v>
      </c>
      <c r="N869" s="2" t="n">
        <f aca="false">1/1000*LOG(1/1000,2)</f>
        <v>-0.00996578428466209</v>
      </c>
    </row>
    <row r="870" customFormat="false" ht="13" hidden="false" customHeight="false" outlineLevel="0" collapsed="false">
      <c r="A870" s="4" t="n">
        <v>132</v>
      </c>
      <c r="B870" s="2" t="n">
        <v>2.6102128262786</v>
      </c>
      <c r="C870" s="5" t="n">
        <f aca="false">B870</f>
        <v>2.6102128262786</v>
      </c>
      <c r="D870" s="5" t="n">
        <f aca="false">C870*LOG(C870)</f>
        <v>1.08761282924836</v>
      </c>
      <c r="E870" s="5"/>
      <c r="F870" s="5"/>
      <c r="G870" s="4" t="n">
        <v>869</v>
      </c>
      <c r="H870" s="6" t="n">
        <v>0.131</v>
      </c>
      <c r="J870" s="2" t="n">
        <f aca="false">B870/$B$1003</f>
        <v>0.000255108987802821</v>
      </c>
      <c r="K870" s="5" t="n">
        <f aca="false">J870*LOG(J870,2)</f>
        <v>-0.00304513359986826</v>
      </c>
      <c r="N870" s="2" t="n">
        <f aca="false">1/1000*LOG(1/1000,2)</f>
        <v>-0.00996578428466209</v>
      </c>
    </row>
    <row r="871" customFormat="false" ht="13" hidden="false" customHeight="false" outlineLevel="0" collapsed="false">
      <c r="A871" s="4" t="n">
        <v>131</v>
      </c>
      <c r="B871" s="2" t="n">
        <v>2.60978834942716</v>
      </c>
      <c r="C871" s="5" t="n">
        <f aca="false">B871</f>
        <v>2.60978834942716</v>
      </c>
      <c r="D871" s="5" t="n">
        <f aca="false">C871*LOG(C871)</f>
        <v>1.08725162700204</v>
      </c>
      <c r="E871" s="5"/>
      <c r="F871" s="5"/>
      <c r="G871" s="4" t="n">
        <v>870</v>
      </c>
      <c r="H871" s="6" t="n">
        <v>0.13</v>
      </c>
      <c r="J871" s="2" t="n">
        <f aca="false">B871/$B$1003</f>
        <v>0.000255067501584216</v>
      </c>
      <c r="K871" s="5" t="n">
        <f aca="false">J871*LOG(J871,2)</f>
        <v>-0.00304469824262217</v>
      </c>
      <c r="N871" s="2" t="n">
        <f aca="false">1/1000*LOG(1/1000,2)</f>
        <v>-0.00996578428466209</v>
      </c>
    </row>
    <row r="872" customFormat="false" ht="13" hidden="false" customHeight="false" outlineLevel="0" collapsed="false">
      <c r="A872" s="4" t="n">
        <v>130</v>
      </c>
      <c r="B872" s="2" t="n">
        <v>2.60550277281165</v>
      </c>
      <c r="C872" s="5" t="n">
        <f aca="false">B872</f>
        <v>2.60550277281165</v>
      </c>
      <c r="D872" s="5" t="n">
        <f aca="false">C872*LOG(C872)</f>
        <v>1.08360655983856</v>
      </c>
      <c r="E872" s="5"/>
      <c r="F872" s="5"/>
      <c r="G872" s="4" t="n">
        <v>871</v>
      </c>
      <c r="H872" s="6" t="n">
        <v>0.129</v>
      </c>
      <c r="J872" s="2" t="n">
        <f aca="false">B872/$B$1003</f>
        <v>0.000254648651020949</v>
      </c>
      <c r="K872" s="5" t="n">
        <f aca="false">J872*LOG(J872,2)</f>
        <v>-0.00304030227049231</v>
      </c>
      <c r="N872" s="2" t="n">
        <f aca="false">1/1000*LOG(1/1000,2)</f>
        <v>-0.00996578428466209</v>
      </c>
    </row>
    <row r="873" customFormat="false" ht="13" hidden="false" customHeight="false" outlineLevel="0" collapsed="false">
      <c r="A873" s="4" t="n">
        <v>129</v>
      </c>
      <c r="B873" s="2" t="n">
        <v>2.58425915261159</v>
      </c>
      <c r="C873" s="5" t="n">
        <f aca="false">B873</f>
        <v>2.58425915261159</v>
      </c>
      <c r="D873" s="5" t="n">
        <f aca="false">C873*LOG(C873)</f>
        <v>1.0655832449641</v>
      </c>
      <c r="E873" s="5"/>
      <c r="F873" s="5"/>
      <c r="G873" s="4" t="n">
        <v>872</v>
      </c>
      <c r="H873" s="6" t="n">
        <v>0.128</v>
      </c>
      <c r="J873" s="2" t="n">
        <f aca="false">B873/$B$1003</f>
        <v>0.000252572407125453</v>
      </c>
      <c r="K873" s="5" t="n">
        <f aca="false">J873*LOG(J873,2)</f>
        <v>-0.00301849671264171</v>
      </c>
      <c r="N873" s="2" t="n">
        <f aca="false">1/1000*LOG(1/1000,2)</f>
        <v>-0.00996578428466209</v>
      </c>
    </row>
    <row r="874" customFormat="false" ht="13" hidden="false" customHeight="false" outlineLevel="0" collapsed="false">
      <c r="A874" s="4" t="n">
        <v>128</v>
      </c>
      <c r="B874" s="2" t="n">
        <v>2.56141286266151</v>
      </c>
      <c r="C874" s="5" t="n">
        <f aca="false">B874</f>
        <v>2.56141286266151</v>
      </c>
      <c r="D874" s="5" t="n">
        <f aca="false">C874*LOG(C874)</f>
        <v>1.04628486595104</v>
      </c>
      <c r="E874" s="5"/>
      <c r="F874" s="5"/>
      <c r="G874" s="4" t="n">
        <v>873</v>
      </c>
      <c r="H874" s="6" t="n">
        <v>0.127</v>
      </c>
      <c r="J874" s="2" t="n">
        <f aca="false">B874/$B$1003</f>
        <v>0.000250339526401882</v>
      </c>
      <c r="K874" s="5" t="n">
        <f aca="false">J874*LOG(J874,2)</f>
        <v>-0.00299501860532111</v>
      </c>
      <c r="N874" s="2" t="n">
        <f aca="false">1/1000*LOG(1/1000,2)</f>
        <v>-0.00996578428466209</v>
      </c>
    </row>
    <row r="875" customFormat="false" ht="13" hidden="false" customHeight="false" outlineLevel="0" collapsed="false">
      <c r="A875" s="4" t="n">
        <v>127</v>
      </c>
      <c r="B875" s="2" t="n">
        <v>2.55508286552836</v>
      </c>
      <c r="C875" s="5" t="n">
        <f aca="false">B875</f>
        <v>2.55508286552836</v>
      </c>
      <c r="D875" s="5" t="n">
        <f aca="false">C875*LOG(C875)</f>
        <v>1.04095350821056</v>
      </c>
      <c r="E875" s="5"/>
      <c r="F875" s="5"/>
      <c r="G875" s="4" t="n">
        <v>874</v>
      </c>
      <c r="H875" s="6" t="n">
        <v>0.126</v>
      </c>
      <c r="J875" s="2" t="n">
        <f aca="false">B875/$B$1003</f>
        <v>0.000249720864526814</v>
      </c>
      <c r="K875" s="5" t="n">
        <f aca="false">J875*LOG(J875,2)</f>
        <v>-0.00298850847876654</v>
      </c>
      <c r="N875" s="2" t="n">
        <f aca="false">1/1000*LOG(1/1000,2)</f>
        <v>-0.00996578428466209</v>
      </c>
    </row>
    <row r="876" customFormat="false" ht="13" hidden="false" customHeight="false" outlineLevel="0" collapsed="false">
      <c r="A876" s="4" t="n">
        <v>126</v>
      </c>
      <c r="B876" s="2" t="n">
        <v>2.53904885043778</v>
      </c>
      <c r="C876" s="5" t="n">
        <f aca="false">B876</f>
        <v>2.53904885043778</v>
      </c>
      <c r="D876" s="5" t="n">
        <f aca="false">C876*LOG(C876)</f>
        <v>1.02747958114813</v>
      </c>
      <c r="E876" s="5"/>
      <c r="F876" s="5"/>
      <c r="G876" s="4" t="n">
        <v>875</v>
      </c>
      <c r="H876" s="6" t="n">
        <v>0.125</v>
      </c>
      <c r="J876" s="2" t="n">
        <f aca="false">B876/$B$1003</f>
        <v>0.000248153781061821</v>
      </c>
      <c r="K876" s="5" t="n">
        <f aca="false">J876*LOG(J876,2)</f>
        <v>-0.00297200828529343</v>
      </c>
      <c r="N876" s="2" t="n">
        <f aca="false">1/1000*LOG(1/1000,2)</f>
        <v>-0.00996578428466209</v>
      </c>
    </row>
    <row r="877" customFormat="false" ht="13" hidden="false" customHeight="false" outlineLevel="0" collapsed="false">
      <c r="A877" s="4" t="n">
        <v>125</v>
      </c>
      <c r="B877" s="2" t="n">
        <v>2.53881823781501</v>
      </c>
      <c r="C877" s="5" t="n">
        <f aca="false">B877</f>
        <v>2.53881823781501</v>
      </c>
      <c r="D877" s="5" t="n">
        <f aca="false">C877*LOG(C877)</f>
        <v>1.02728610965331</v>
      </c>
      <c r="E877" s="5"/>
      <c r="F877" s="5"/>
      <c r="G877" s="4" t="n">
        <v>876</v>
      </c>
      <c r="H877" s="6" t="n">
        <v>0.124</v>
      </c>
      <c r="J877" s="2" t="n">
        <f aca="false">B877/$B$1003</f>
        <v>0.000248131242151516</v>
      </c>
      <c r="K877" s="5" t="n">
        <f aca="false">J877*LOG(J877,2)</f>
        <v>-0.0029717708638287</v>
      </c>
      <c r="N877" s="2" t="n">
        <f aca="false">1/1000*LOG(1/1000,2)</f>
        <v>-0.00996578428466209</v>
      </c>
    </row>
    <row r="878" customFormat="false" ht="13" hidden="false" customHeight="false" outlineLevel="0" collapsed="false">
      <c r="A878" s="4" t="n">
        <v>124</v>
      </c>
      <c r="B878" s="2" t="n">
        <v>2.50061297262965</v>
      </c>
      <c r="C878" s="5" t="n">
        <f aca="false">B878</f>
        <v>2.50061297262965</v>
      </c>
      <c r="D878" s="5" t="n">
        <f aca="false">C878*LOG(C878)</f>
        <v>0.995360191277569</v>
      </c>
      <c r="E878" s="5"/>
      <c r="F878" s="5"/>
      <c r="G878" s="4" t="n">
        <v>877</v>
      </c>
      <c r="H878" s="6" t="n">
        <v>0.123</v>
      </c>
      <c r="J878" s="2" t="n">
        <f aca="false">B878/$B$1003</f>
        <v>0.000244397252941115</v>
      </c>
      <c r="K878" s="5" t="n">
        <f aca="false">J878*LOG(J878,2)</f>
        <v>-0.00293239660491717</v>
      </c>
      <c r="N878" s="2" t="n">
        <f aca="false">1/1000*LOG(1/1000,2)</f>
        <v>-0.00996578428466209</v>
      </c>
    </row>
    <row r="879" customFormat="false" ht="13" hidden="false" customHeight="false" outlineLevel="0" collapsed="false">
      <c r="A879" s="4" t="n">
        <v>123</v>
      </c>
      <c r="B879" s="2" t="n">
        <v>2.49476583288907</v>
      </c>
      <c r="C879" s="5" t="n">
        <f aca="false">B879</f>
        <v>2.49476583288907</v>
      </c>
      <c r="D879" s="5" t="n">
        <f aca="false">C879*LOG(C879)</f>
        <v>0.990496348573623</v>
      </c>
      <c r="E879" s="5"/>
      <c r="F879" s="5"/>
      <c r="G879" s="4" t="n">
        <v>878</v>
      </c>
      <c r="H879" s="6" t="n">
        <v>0.122</v>
      </c>
      <c r="J879" s="2" t="n">
        <f aca="false">B879/$B$1003</f>
        <v>0.000243825783103198</v>
      </c>
      <c r="K879" s="5" t="n">
        <f aca="false">J879*LOG(J879,2)</f>
        <v>-0.0029263633250757</v>
      </c>
      <c r="N879" s="2" t="n">
        <f aca="false">1/1000*LOG(1/1000,2)</f>
        <v>-0.00996578428466209</v>
      </c>
    </row>
    <row r="880" customFormat="false" ht="13" hidden="false" customHeight="false" outlineLevel="0" collapsed="false">
      <c r="A880" s="4" t="n">
        <v>122</v>
      </c>
      <c r="B880" s="2" t="n">
        <v>2.44567164118699</v>
      </c>
      <c r="C880" s="5" t="n">
        <f aca="false">B880</f>
        <v>2.44567164118699</v>
      </c>
      <c r="D880" s="5" t="n">
        <f aca="false">C880*LOG(C880)</f>
        <v>0.949894335356827</v>
      </c>
      <c r="E880" s="5"/>
      <c r="F880" s="5"/>
      <c r="G880" s="4" t="n">
        <v>879</v>
      </c>
      <c r="H880" s="6" t="n">
        <v>0.121</v>
      </c>
      <c r="J880" s="2" t="n">
        <f aca="false">B880/$B$1003</f>
        <v>0.000239027565338721</v>
      </c>
      <c r="K880" s="5" t="n">
        <f aca="false">J880*LOG(J880,2)</f>
        <v>-0.00287562958065943</v>
      </c>
      <c r="N880" s="2" t="n">
        <f aca="false">1/1000*LOG(1/1000,2)</f>
        <v>-0.00996578428466209</v>
      </c>
    </row>
    <row r="881" customFormat="false" ht="13" hidden="false" customHeight="false" outlineLevel="0" collapsed="false">
      <c r="A881" s="4" t="n">
        <v>121</v>
      </c>
      <c r="B881" s="2" t="n">
        <v>2.42388439058186</v>
      </c>
      <c r="C881" s="5" t="n">
        <f aca="false">B881</f>
        <v>2.42388439058186</v>
      </c>
      <c r="D881" s="5" t="n">
        <f aca="false">C881*LOG(C881)</f>
        <v>0.932012397031105</v>
      </c>
      <c r="E881" s="5"/>
      <c r="F881" s="5"/>
      <c r="G881" s="4" t="n">
        <v>880</v>
      </c>
      <c r="H881" s="6" t="n">
        <v>0.12</v>
      </c>
      <c r="J881" s="2" t="n">
        <f aca="false">B881/$B$1003</f>
        <v>0.000236898189759487</v>
      </c>
      <c r="K881" s="5" t="n">
        <f aca="false">J881*LOG(J881,2)</f>
        <v>-0.00285307036757467</v>
      </c>
      <c r="N881" s="2" t="n">
        <f aca="false">1/1000*LOG(1/1000,2)</f>
        <v>-0.00996578428466209</v>
      </c>
    </row>
    <row r="882" customFormat="false" ht="13" hidden="false" customHeight="false" outlineLevel="0" collapsed="false">
      <c r="A882" s="4" t="n">
        <v>120</v>
      </c>
      <c r="B882" s="2" t="n">
        <v>2.41988942994718</v>
      </c>
      <c r="C882" s="5" t="n">
        <f aca="false">B882</f>
        <v>2.41988942994718</v>
      </c>
      <c r="D882" s="5" t="n">
        <f aca="false">C882*LOG(C882)</f>
        <v>0.928742728320583</v>
      </c>
      <c r="E882" s="5"/>
      <c r="F882" s="5"/>
      <c r="G882" s="4" t="n">
        <v>881</v>
      </c>
      <c r="H882" s="6" t="n">
        <v>0.119</v>
      </c>
      <c r="J882" s="2" t="n">
        <f aca="false">B882/$B$1003</f>
        <v>0.000236507742530983</v>
      </c>
      <c r="K882" s="5" t="n">
        <f aca="false">J882*LOG(J882,2)</f>
        <v>-0.0028489308695952</v>
      </c>
      <c r="N882" s="2" t="n">
        <f aca="false">1/1000*LOG(1/1000,2)</f>
        <v>-0.00996578428466209</v>
      </c>
    </row>
    <row r="883" customFormat="false" ht="13" hidden="false" customHeight="false" outlineLevel="0" collapsed="false">
      <c r="A883" s="4" t="n">
        <v>119</v>
      </c>
      <c r="B883" s="2" t="n">
        <v>2.41703183485311</v>
      </c>
      <c r="C883" s="5" t="n">
        <f aca="false">B883</f>
        <v>2.41703183485311</v>
      </c>
      <c r="D883" s="5" t="n">
        <f aca="false">C883*LOG(C883)</f>
        <v>0.926405691383242</v>
      </c>
      <c r="E883" s="5"/>
      <c r="F883" s="5"/>
      <c r="G883" s="4" t="n">
        <v>882</v>
      </c>
      <c r="H883" s="6" t="n">
        <v>0.118</v>
      </c>
      <c r="J883" s="2" t="n">
        <f aca="false">B883/$B$1003</f>
        <v>0.000236228455652664</v>
      </c>
      <c r="K883" s="5" t="n">
        <f aca="false">J883*LOG(J883,2)</f>
        <v>-0.00284596931654117</v>
      </c>
      <c r="N883" s="2" t="n">
        <f aca="false">1/1000*LOG(1/1000,2)</f>
        <v>-0.00996578428466209</v>
      </c>
    </row>
    <row r="884" customFormat="false" ht="13" hidden="false" customHeight="false" outlineLevel="0" collapsed="false">
      <c r="A884" s="4" t="n">
        <v>118</v>
      </c>
      <c r="B884" s="2" t="n">
        <v>2.39884118483252</v>
      </c>
      <c r="C884" s="5" t="n">
        <f aca="false">B884</f>
        <v>2.39884118483252</v>
      </c>
      <c r="D884" s="5" t="n">
        <f aca="false">C884*LOG(C884)</f>
        <v>0.91156324003953</v>
      </c>
      <c r="E884" s="5"/>
      <c r="F884" s="5"/>
      <c r="G884" s="4" t="n">
        <v>883</v>
      </c>
      <c r="H884" s="6" t="n">
        <v>0.117</v>
      </c>
      <c r="J884" s="2" t="n">
        <f aca="false">B884/$B$1003</f>
        <v>0.000234450593607276</v>
      </c>
      <c r="K884" s="5" t="n">
        <f aca="false">J884*LOG(J884,2)</f>
        <v>-0.00282710570753772</v>
      </c>
      <c r="N884" s="2" t="n">
        <f aca="false">1/1000*LOG(1/1000,2)</f>
        <v>-0.00996578428466209</v>
      </c>
    </row>
    <row r="885" customFormat="false" ht="13" hidden="false" customHeight="false" outlineLevel="0" collapsed="false">
      <c r="A885" s="4" t="n">
        <v>117</v>
      </c>
      <c r="B885" s="2" t="n">
        <v>2.38113533268006</v>
      </c>
      <c r="C885" s="5" t="n">
        <f aca="false">B885</f>
        <v>2.38113533268006</v>
      </c>
      <c r="D885" s="5" t="n">
        <f aca="false">C885*LOG(C885)</f>
        <v>0.897173884224199</v>
      </c>
      <c r="E885" s="5"/>
      <c r="F885" s="5"/>
      <c r="G885" s="4" t="n">
        <v>884</v>
      </c>
      <c r="H885" s="6" t="n">
        <v>0.116</v>
      </c>
      <c r="J885" s="2" t="n">
        <f aca="false">B885/$B$1003</f>
        <v>0.000232720113251297</v>
      </c>
      <c r="K885" s="5" t="n">
        <f aca="false">J885*LOG(J885,2)</f>
        <v>-0.00280872615311988</v>
      </c>
      <c r="N885" s="2" t="n">
        <f aca="false">1/1000*LOG(1/1000,2)</f>
        <v>-0.00996578428466209</v>
      </c>
    </row>
    <row r="886" customFormat="false" ht="13" hidden="false" customHeight="false" outlineLevel="0" collapsed="false">
      <c r="A886" s="4" t="n">
        <v>116</v>
      </c>
      <c r="B886" s="2" t="n">
        <v>2.36254600347897</v>
      </c>
      <c r="C886" s="5" t="n">
        <f aca="false">B886</f>
        <v>2.36254600347897</v>
      </c>
      <c r="D886" s="5" t="n">
        <f aca="false">C886*LOG(C886)</f>
        <v>0.882128073744944</v>
      </c>
      <c r="E886" s="5"/>
      <c r="F886" s="5"/>
      <c r="G886" s="4" t="n">
        <v>885</v>
      </c>
      <c r="H886" s="6" t="n">
        <v>0.115</v>
      </c>
      <c r="J886" s="2" t="n">
        <f aca="false">B886/$B$1003</f>
        <v>0.000230903286321063</v>
      </c>
      <c r="K886" s="5" t="n">
        <f aca="false">J886*LOG(J886,2)</f>
        <v>-0.00278940952629181</v>
      </c>
      <c r="N886" s="2" t="n">
        <f aca="false">1/1000*LOG(1/1000,2)</f>
        <v>-0.00996578428466209</v>
      </c>
    </row>
    <row r="887" customFormat="false" ht="13" hidden="false" customHeight="false" outlineLevel="0" collapsed="false">
      <c r="A887" s="4" t="n">
        <v>115</v>
      </c>
      <c r="B887" s="2" t="n">
        <v>2.35752933770925</v>
      </c>
      <c r="C887" s="5" t="n">
        <f aca="false">B887</f>
        <v>2.35752933770925</v>
      </c>
      <c r="D887" s="5" t="n">
        <f aca="false">C887*LOG(C887)</f>
        <v>0.878078554236825</v>
      </c>
      <c r="E887" s="5"/>
      <c r="F887" s="5"/>
      <c r="G887" s="4" t="n">
        <v>886</v>
      </c>
      <c r="H887" s="6" t="n">
        <v>0.114</v>
      </c>
      <c r="J887" s="2" t="n">
        <f aca="false">B887/$B$1003</f>
        <v>0.0002304129828049</v>
      </c>
      <c r="K887" s="5" t="n">
        <f aca="false">J887*LOG(J887,2)</f>
        <v>-0.00278419305899948</v>
      </c>
      <c r="N887" s="2" t="n">
        <f aca="false">1/1000*LOG(1/1000,2)</f>
        <v>-0.00996578428466209</v>
      </c>
    </row>
    <row r="888" customFormat="false" ht="13" hidden="false" customHeight="false" outlineLevel="0" collapsed="false">
      <c r="A888" s="4" t="n">
        <v>114</v>
      </c>
      <c r="B888" s="2" t="n">
        <v>2.35390332829854</v>
      </c>
      <c r="C888" s="5" t="n">
        <f aca="false">B888</f>
        <v>2.35390332829854</v>
      </c>
      <c r="D888" s="5" t="n">
        <f aca="false">C888*LOG(C888)</f>
        <v>0.875154477039091</v>
      </c>
      <c r="E888" s="5"/>
      <c r="F888" s="5"/>
      <c r="G888" s="4" t="n">
        <v>887</v>
      </c>
      <c r="H888" s="6" t="n">
        <v>0.113</v>
      </c>
      <c r="J888" s="2" t="n">
        <f aca="false">B888/$B$1003</f>
        <v>0.000230058595001264</v>
      </c>
      <c r="K888" s="5" t="n">
        <f aca="false">J888*LOG(J888,2)</f>
        <v>-0.00278042169752851</v>
      </c>
      <c r="N888" s="2" t="n">
        <f aca="false">1/1000*LOG(1/1000,2)</f>
        <v>-0.00996578428466209</v>
      </c>
    </row>
    <row r="889" customFormat="false" ht="13" hidden="false" customHeight="false" outlineLevel="0" collapsed="false">
      <c r="A889" s="4" t="n">
        <v>113</v>
      </c>
      <c r="B889" s="2" t="n">
        <v>2.35294820625131</v>
      </c>
      <c r="C889" s="5" t="n">
        <f aca="false">B889</f>
        <v>2.35294820625131</v>
      </c>
      <c r="D889" s="5" t="n">
        <f aca="false">C889*LOG(C889)</f>
        <v>0.874384653460789</v>
      </c>
      <c r="E889" s="5"/>
      <c r="F889" s="5"/>
      <c r="G889" s="4" t="n">
        <v>888</v>
      </c>
      <c r="H889" s="6" t="n">
        <v>0.112</v>
      </c>
      <c r="J889" s="2" t="n">
        <f aca="false">B889/$B$1003</f>
        <v>0.000229965246207539</v>
      </c>
      <c r="K889" s="5" t="n">
        <f aca="false">J889*LOG(J889,2)</f>
        <v>-0.00277942815749861</v>
      </c>
      <c r="N889" s="2" t="n">
        <f aca="false">1/1000*LOG(1/1000,2)</f>
        <v>-0.00996578428466209</v>
      </c>
    </row>
    <row r="890" customFormat="false" ht="13" hidden="false" customHeight="false" outlineLevel="0" collapsed="false">
      <c r="A890" s="4" t="n">
        <v>112</v>
      </c>
      <c r="B890" s="2" t="n">
        <v>2.34489893038216</v>
      </c>
      <c r="C890" s="5" t="n">
        <f aca="false">B890</f>
        <v>2.34489893038216</v>
      </c>
      <c r="D890" s="5" t="n">
        <f aca="false">C890*LOG(C890)</f>
        <v>0.867903673107349</v>
      </c>
      <c r="E890" s="5"/>
      <c r="F890" s="5"/>
      <c r="G890" s="4" t="n">
        <v>889</v>
      </c>
      <c r="H890" s="6" t="n">
        <v>0.111</v>
      </c>
      <c r="J890" s="2" t="n">
        <f aca="false">B890/$B$1003</f>
        <v>0.000229178550732422</v>
      </c>
      <c r="K890" s="5" t="n">
        <f aca="false">J890*LOG(J890,2)</f>
        <v>-0.00277105294083652</v>
      </c>
      <c r="N890" s="2" t="n">
        <f aca="false">1/1000*LOG(1/1000,2)</f>
        <v>-0.00996578428466209</v>
      </c>
    </row>
    <row r="891" customFormat="false" ht="13" hidden="false" customHeight="false" outlineLevel="0" collapsed="false">
      <c r="A891" s="4" t="n">
        <v>111</v>
      </c>
      <c r="B891" s="2" t="n">
        <v>2.33209100947113</v>
      </c>
      <c r="C891" s="5" t="n">
        <f aca="false">B891</f>
        <v>2.33209100947113</v>
      </c>
      <c r="D891" s="5" t="n">
        <f aca="false">C891*LOG(C891)</f>
        <v>0.857615961937686</v>
      </c>
      <c r="E891" s="5"/>
      <c r="F891" s="5"/>
      <c r="G891" s="4" t="n">
        <v>890</v>
      </c>
      <c r="H891" s="6" t="n">
        <v>0.11</v>
      </c>
      <c r="J891" s="2" t="n">
        <f aca="false">B891/$B$1003</f>
        <v>0.000227926769380888</v>
      </c>
      <c r="K891" s="5" t="n">
        <f aca="false">J891*LOG(J891,2)</f>
        <v>-0.00275771834933792</v>
      </c>
      <c r="N891" s="2" t="n">
        <f aca="false">1/1000*LOG(1/1000,2)</f>
        <v>-0.00996578428466209</v>
      </c>
    </row>
    <row r="892" customFormat="false" ht="13" hidden="false" customHeight="false" outlineLevel="0" collapsed="false">
      <c r="A892" s="4" t="n">
        <v>110</v>
      </c>
      <c r="B892" s="2" t="n">
        <v>2.32255505693058</v>
      </c>
      <c r="C892" s="5" t="n">
        <f aca="false">B892</f>
        <v>2.32255505693058</v>
      </c>
      <c r="D892" s="5" t="n">
        <f aca="false">C892*LOG(C892)</f>
        <v>0.849976225494414</v>
      </c>
      <c r="E892" s="5"/>
      <c r="F892" s="5"/>
      <c r="G892" s="4" t="n">
        <v>891</v>
      </c>
      <c r="H892" s="6" t="n">
        <v>0.109</v>
      </c>
      <c r="J892" s="2" t="n">
        <f aca="false">B892/$B$1003</f>
        <v>0.000226994773654002</v>
      </c>
      <c r="K892" s="5" t="n">
        <f aca="false">J892*LOG(J892,2)</f>
        <v>-0.00274778383353494</v>
      </c>
      <c r="N892" s="2" t="n">
        <f aca="false">1/1000*LOG(1/1000,2)</f>
        <v>-0.00996578428466209</v>
      </c>
    </row>
    <row r="893" customFormat="false" ht="13" hidden="false" customHeight="false" outlineLevel="0" collapsed="false">
      <c r="A893" s="4" t="n">
        <v>109</v>
      </c>
      <c r="B893" s="2" t="n">
        <v>2.32054973850688</v>
      </c>
      <c r="C893" s="5" t="n">
        <f aca="false">B893</f>
        <v>2.32054973850688</v>
      </c>
      <c r="D893" s="5" t="n">
        <f aca="false">C893*LOG(C893)</f>
        <v>0.848371824450244</v>
      </c>
      <c r="E893" s="5"/>
      <c r="F893" s="5"/>
      <c r="G893" s="4" t="n">
        <v>892</v>
      </c>
      <c r="H893" s="6" t="n">
        <v>0.108</v>
      </c>
      <c r="J893" s="2" t="n">
        <f aca="false">B893/$B$1003</f>
        <v>0.000226798783982914</v>
      </c>
      <c r="K893" s="5" t="n">
        <f aca="false">J893*LOG(J893,2)</f>
        <v>-0.00274569399934579</v>
      </c>
      <c r="N893" s="2" t="n">
        <f aca="false">1/1000*LOG(1/1000,2)</f>
        <v>-0.00996578428466209</v>
      </c>
    </row>
    <row r="894" customFormat="false" ht="13" hidden="false" customHeight="false" outlineLevel="0" collapsed="false">
      <c r="A894" s="4" t="n">
        <v>108</v>
      </c>
      <c r="B894" s="2" t="n">
        <v>2.30856824633474</v>
      </c>
      <c r="C894" s="5" t="n">
        <f aca="false">B894</f>
        <v>2.30856824633474</v>
      </c>
      <c r="D894" s="5" t="n">
        <f aca="false">C894*LOG(C894)</f>
        <v>0.838801460788241</v>
      </c>
      <c r="E894" s="5"/>
      <c r="F894" s="5"/>
      <c r="G894" s="4" t="n">
        <v>893</v>
      </c>
      <c r="H894" s="6" t="n">
        <v>0.107</v>
      </c>
      <c r="J894" s="2" t="n">
        <f aca="false">B894/$B$1003</f>
        <v>0.000225627773592639</v>
      </c>
      <c r="K894" s="5" t="n">
        <f aca="false">J894*LOG(J894,2)</f>
        <v>-0.00273320243883659</v>
      </c>
      <c r="N894" s="2" t="n">
        <f aca="false">1/1000*LOG(1/1000,2)</f>
        <v>-0.00996578428466209</v>
      </c>
    </row>
    <row r="895" customFormat="false" ht="13" hidden="false" customHeight="false" outlineLevel="0" collapsed="false">
      <c r="A895" s="4" t="n">
        <v>107</v>
      </c>
      <c r="B895" s="2" t="n">
        <v>2.30673861541061</v>
      </c>
      <c r="C895" s="5" t="n">
        <f aca="false">B895</f>
        <v>2.30673861541061</v>
      </c>
      <c r="D895" s="5" t="n">
        <f aca="false">C895*LOG(C895)</f>
        <v>0.83734239405998</v>
      </c>
      <c r="E895" s="5"/>
      <c r="F895" s="5"/>
      <c r="G895" s="4" t="n">
        <v>894</v>
      </c>
      <c r="H895" s="6" t="n">
        <v>0.106</v>
      </c>
      <c r="J895" s="2" t="n">
        <f aca="false">B895/$B$1003</f>
        <v>0.000225448954728365</v>
      </c>
      <c r="K895" s="5" t="n">
        <f aca="false">J895*LOG(J895,2)</f>
        <v>-0.00273129414748374</v>
      </c>
      <c r="N895" s="2" t="n">
        <f aca="false">1/1000*LOG(1/1000,2)</f>
        <v>-0.00996578428466209</v>
      </c>
    </row>
    <row r="896" customFormat="false" ht="13" hidden="false" customHeight="false" outlineLevel="0" collapsed="false">
      <c r="A896" s="4" t="n">
        <v>106</v>
      </c>
      <c r="B896" s="2" t="n">
        <v>2.30638207219954</v>
      </c>
      <c r="C896" s="5" t="n">
        <f aca="false">B896</f>
        <v>2.30638207219954</v>
      </c>
      <c r="D896" s="5" t="n">
        <f aca="false">C896*LOG(C896)</f>
        <v>0.837058136668213</v>
      </c>
      <c r="E896" s="5"/>
      <c r="F896" s="5"/>
      <c r="G896" s="4" t="n">
        <v>895</v>
      </c>
      <c r="H896" s="6" t="n">
        <v>0.105</v>
      </c>
      <c r="J896" s="2" t="n">
        <f aca="false">B896/$B$1003</f>
        <v>0.000225414107999865</v>
      </c>
      <c r="K896" s="5" t="n">
        <f aca="false">J896*LOG(J896,2)</f>
        <v>-0.0027309222517668</v>
      </c>
      <c r="N896" s="2" t="n">
        <f aca="false">1/1000*LOG(1/1000,2)</f>
        <v>-0.00996578428466209</v>
      </c>
    </row>
    <row r="897" customFormat="false" ht="13" hidden="false" customHeight="false" outlineLevel="0" collapsed="false">
      <c r="A897" s="4" t="n">
        <v>105</v>
      </c>
      <c r="B897" s="2" t="n">
        <v>2.28920452179023</v>
      </c>
      <c r="C897" s="5" t="n">
        <f aca="false">B897</f>
        <v>2.28920452179023</v>
      </c>
      <c r="D897" s="5" t="n">
        <f aca="false">C897*LOG(C897)</f>
        <v>0.823391601486345</v>
      </c>
      <c r="E897" s="5"/>
      <c r="F897" s="5"/>
      <c r="G897" s="4" t="n">
        <v>896</v>
      </c>
      <c r="H897" s="6" t="n">
        <v>0.104</v>
      </c>
      <c r="J897" s="2" t="n">
        <f aca="false">B897/$B$1003</f>
        <v>0.000223735261181807</v>
      </c>
      <c r="K897" s="5" t="n">
        <f aca="false">J897*LOG(J897,2)</f>
        <v>-0.00271299581858627</v>
      </c>
      <c r="N897" s="2" t="n">
        <f aca="false">1/1000*LOG(1/1000,2)</f>
        <v>-0.00996578428466209</v>
      </c>
    </row>
    <row r="898" customFormat="false" ht="13" hidden="false" customHeight="false" outlineLevel="0" collapsed="false">
      <c r="A898" s="4" t="n">
        <v>104</v>
      </c>
      <c r="B898" s="2" t="n">
        <v>2.28221337456</v>
      </c>
      <c r="C898" s="5" t="n">
        <f aca="false">B898</f>
        <v>2.28221337456</v>
      </c>
      <c r="D898" s="5" t="n">
        <f aca="false">C898*LOG(C898)</f>
        <v>0.817845417835821</v>
      </c>
      <c r="E898" s="5"/>
      <c r="F898" s="5"/>
      <c r="G898" s="4" t="n">
        <v>897</v>
      </c>
      <c r="H898" s="6" t="n">
        <v>0.103</v>
      </c>
      <c r="J898" s="2" t="n">
        <f aca="false">B898/$B$1003</f>
        <v>0.00022305198184323</v>
      </c>
      <c r="K898" s="5" t="n">
        <f aca="false">J898*LOG(J898,2)</f>
        <v>-0.00270569468510671</v>
      </c>
      <c r="N898" s="2" t="n">
        <f aca="false">1/1000*LOG(1/1000,2)</f>
        <v>-0.00996578428466209</v>
      </c>
    </row>
    <row r="899" customFormat="false" ht="13" hidden="false" customHeight="false" outlineLevel="0" collapsed="false">
      <c r="A899" s="4" t="n">
        <v>103</v>
      </c>
      <c r="B899" s="2" t="n">
        <v>2.28061232977785</v>
      </c>
      <c r="C899" s="5" t="n">
        <f aca="false">B899</f>
        <v>2.28061232977785</v>
      </c>
      <c r="D899" s="5" t="n">
        <f aca="false">C899*LOG(C899)</f>
        <v>0.816576592476845</v>
      </c>
      <c r="E899" s="5"/>
      <c r="F899" s="5"/>
      <c r="G899" s="4" t="n">
        <v>898</v>
      </c>
      <c r="H899" s="6" t="n">
        <v>0.102</v>
      </c>
      <c r="J899" s="2" t="n">
        <f aca="false">B899/$B$1003</f>
        <v>0.000222895503831289</v>
      </c>
      <c r="K899" s="5" t="n">
        <f aca="false">J899*LOG(J899,2)</f>
        <v>-0.00270402222565447</v>
      </c>
      <c r="N899" s="2" t="n">
        <f aca="false">1/1000*LOG(1/1000,2)</f>
        <v>-0.00996578428466209</v>
      </c>
    </row>
    <row r="900" customFormat="false" ht="13" hidden="false" customHeight="false" outlineLevel="0" collapsed="false">
      <c r="A900" s="4" t="n">
        <v>102</v>
      </c>
      <c r="B900" s="2" t="n">
        <v>2.26877944624249</v>
      </c>
      <c r="C900" s="5" t="n">
        <f aca="false">B900</f>
        <v>2.26877944624249</v>
      </c>
      <c r="D900" s="5" t="n">
        <f aca="false">C900*LOG(C900)</f>
        <v>0.807214209903414</v>
      </c>
      <c r="E900" s="5"/>
      <c r="F900" s="5"/>
      <c r="G900" s="4" t="n">
        <v>899</v>
      </c>
      <c r="H900" s="6" t="n">
        <v>0.101</v>
      </c>
      <c r="J900" s="2" t="n">
        <f aca="false">B900/$B$1003</f>
        <v>0.000221739017696862</v>
      </c>
      <c r="K900" s="5" t="n">
        <f aca="false">J900*LOG(J900,2)</f>
        <v>-0.00269165661446555</v>
      </c>
      <c r="N900" s="2" t="n">
        <f aca="false">1/1000*LOG(1/1000,2)</f>
        <v>-0.00996578428466209</v>
      </c>
    </row>
    <row r="901" customFormat="false" ht="13" hidden="false" customHeight="false" outlineLevel="0" collapsed="false">
      <c r="A901" s="4" t="n">
        <v>101</v>
      </c>
      <c r="B901" s="2" t="n">
        <v>2.23913657364596</v>
      </c>
      <c r="C901" s="5" t="n">
        <f aca="false">B901</f>
        <v>2.23913657364596</v>
      </c>
      <c r="D901" s="5" t="n">
        <f aca="false">C901*LOG(C901)</f>
        <v>0.783878238677054</v>
      </c>
      <c r="E901" s="5"/>
      <c r="F901" s="5"/>
      <c r="G901" s="4" t="n">
        <v>900</v>
      </c>
      <c r="H901" s="6" t="n">
        <v>0.1</v>
      </c>
      <c r="J901" s="2" t="n">
        <f aca="false">B901/$B$1003</f>
        <v>0.000218841873392177</v>
      </c>
      <c r="K901" s="5" t="n">
        <f aca="false">J901*LOG(J901,2)</f>
        <v>-0.00266064088610141</v>
      </c>
      <c r="L901" s="2" t="n">
        <f aca="false">SUM(J852:J901)</f>
        <v>0.0124330919186031</v>
      </c>
      <c r="N901" s="2" t="n">
        <f aca="false">1/1000*LOG(1/1000,2)</f>
        <v>-0.00996578428466209</v>
      </c>
    </row>
    <row r="902" customFormat="false" ht="13" hidden="false" customHeight="false" outlineLevel="0" collapsed="false">
      <c r="A902" s="4" t="n">
        <v>100</v>
      </c>
      <c r="B902" s="2" t="n">
        <v>2.23627156169368</v>
      </c>
      <c r="C902" s="5" t="n">
        <f aca="false">B902</f>
        <v>2.23627156169368</v>
      </c>
      <c r="D902" s="5" t="n">
        <f aca="false">C902*LOG(C902)</f>
        <v>0.781631791103585</v>
      </c>
      <c r="E902" s="5"/>
      <c r="F902" s="5"/>
      <c r="G902" s="4" t="n">
        <v>901</v>
      </c>
      <c r="H902" s="6" t="n">
        <v>0.099</v>
      </c>
      <c r="J902" s="2" t="n">
        <f aca="false">B902/$B$1003</f>
        <v>0.000218561861627684</v>
      </c>
      <c r="K902" s="5" t="n">
        <f aca="false">J902*LOG(J902,2)</f>
        <v>-0.00265764026550119</v>
      </c>
      <c r="N902" s="2" t="n">
        <f aca="false">1/1000*LOG(1/1000,2)</f>
        <v>-0.00996578428466209</v>
      </c>
    </row>
    <row r="903" customFormat="false" ht="13" hidden="false" customHeight="false" outlineLevel="0" collapsed="false">
      <c r="A903" s="4" t="n">
        <v>99</v>
      </c>
      <c r="B903" s="2" t="n">
        <v>2.2341857650581</v>
      </c>
      <c r="C903" s="5" t="n">
        <f aca="false">B903</f>
        <v>2.2341857650581</v>
      </c>
      <c r="D903" s="5" t="n">
        <f aca="false">C903*LOG(C903)</f>
        <v>0.779997326602585</v>
      </c>
      <c r="E903" s="5"/>
      <c r="F903" s="5"/>
      <c r="G903" s="4" t="n">
        <v>902</v>
      </c>
      <c r="H903" s="6" t="n">
        <v>0.098</v>
      </c>
      <c r="J903" s="2" t="n">
        <f aca="false">B903/$B$1003</f>
        <v>0.000218358006423576</v>
      </c>
      <c r="K903" s="5" t="n">
        <f aca="false">J903*LOG(J903,2)</f>
        <v>-0.00265545541704195</v>
      </c>
      <c r="N903" s="2" t="n">
        <f aca="false">1/1000*LOG(1/1000,2)</f>
        <v>-0.00996578428466209</v>
      </c>
    </row>
    <row r="904" customFormat="false" ht="13" hidden="false" customHeight="false" outlineLevel="0" collapsed="false">
      <c r="A904" s="4" t="n">
        <v>98</v>
      </c>
      <c r="B904" s="2" t="n">
        <v>2.22970038265703</v>
      </c>
      <c r="C904" s="5" t="n">
        <f aca="false">B904</f>
        <v>2.22970038265703</v>
      </c>
      <c r="D904" s="5" t="n">
        <f aca="false">C904*LOG(C904)</f>
        <v>0.776485373002892</v>
      </c>
      <c r="E904" s="5"/>
      <c r="F904" s="5"/>
      <c r="G904" s="4" t="n">
        <v>903</v>
      </c>
      <c r="H904" s="6" t="n">
        <v>0.097</v>
      </c>
      <c r="J904" s="2" t="n">
        <f aca="false">B904/$B$1003</f>
        <v>0.000217919627854317</v>
      </c>
      <c r="K904" s="5" t="n">
        <f aca="false">J904*LOG(J904,2)</f>
        <v>-0.00265075609913951</v>
      </c>
      <c r="N904" s="2" t="n">
        <f aca="false">1/1000*LOG(1/1000,2)</f>
        <v>-0.00996578428466209</v>
      </c>
    </row>
    <row r="905" customFormat="false" ht="13" hidden="false" customHeight="false" outlineLevel="0" collapsed="false">
      <c r="A905" s="4" t="n">
        <v>97</v>
      </c>
      <c r="B905" s="2" t="n">
        <v>2.22652925113016</v>
      </c>
      <c r="C905" s="5" t="n">
        <f aca="false">B905</f>
        <v>2.22652925113016</v>
      </c>
      <c r="D905" s="5" t="n">
        <f aca="false">C905*LOG(C905)</f>
        <v>0.774004812408508</v>
      </c>
      <c r="E905" s="5"/>
      <c r="F905" s="5"/>
      <c r="G905" s="4" t="n">
        <v>904</v>
      </c>
      <c r="H905" s="6" t="n">
        <v>0.096</v>
      </c>
      <c r="J905" s="2" t="n">
        <f aca="false">B905/$B$1003</f>
        <v>0.000217609697512291</v>
      </c>
      <c r="K905" s="5" t="n">
        <f aca="false">J905*LOG(J905,2)</f>
        <v>-0.00264743294927425</v>
      </c>
      <c r="N905" s="2" t="n">
        <f aca="false">1/1000*LOG(1/1000,2)</f>
        <v>-0.00996578428466209</v>
      </c>
    </row>
    <row r="906" customFormat="false" ht="13" hidden="false" customHeight="false" outlineLevel="0" collapsed="false">
      <c r="A906" s="4" t="n">
        <v>96</v>
      </c>
      <c r="B906" s="2" t="n">
        <v>2.22576680645432</v>
      </c>
      <c r="C906" s="5" t="n">
        <f aca="false">B906</f>
        <v>2.22576680645432</v>
      </c>
      <c r="D906" s="5" t="n">
        <f aca="false">C906*LOG(C906)</f>
        <v>0.773408696167605</v>
      </c>
      <c r="E906" s="5"/>
      <c r="F906" s="5"/>
      <c r="G906" s="4" t="n">
        <v>905</v>
      </c>
      <c r="H906" s="6" t="n">
        <v>0.095</v>
      </c>
      <c r="J906" s="2" t="n">
        <f aca="false">B906/$B$1003</f>
        <v>0.000217535180029443</v>
      </c>
      <c r="K906" s="5" t="n">
        <f aca="false">J906*LOG(J906,2)</f>
        <v>-0.00264663385944238</v>
      </c>
      <c r="N906" s="2" t="n">
        <f aca="false">1/1000*LOG(1/1000,2)</f>
        <v>-0.00996578428466209</v>
      </c>
    </row>
    <row r="907" customFormat="false" ht="13" hidden="false" customHeight="false" outlineLevel="0" collapsed="false">
      <c r="A907" s="4" t="n">
        <v>95</v>
      </c>
      <c r="B907" s="2" t="n">
        <v>2.22397032854951</v>
      </c>
      <c r="C907" s="5" t="n">
        <f aca="false">B907</f>
        <v>2.22397032854951</v>
      </c>
      <c r="D907" s="5" t="n">
        <f aca="false">C907*LOG(C907)</f>
        <v>0.772004571138104</v>
      </c>
      <c r="E907" s="5"/>
      <c r="F907" s="5"/>
      <c r="G907" s="4" t="n">
        <v>906</v>
      </c>
      <c r="H907" s="6" t="n">
        <v>0.094</v>
      </c>
      <c r="J907" s="2" t="n">
        <f aca="false">B907/$B$1003</f>
        <v>0.000217359601373446</v>
      </c>
      <c r="K907" s="5" t="n">
        <f aca="false">J907*LOG(J907,2)</f>
        <v>-0.00264475089231073</v>
      </c>
      <c r="N907" s="2" t="n">
        <f aca="false">1/1000*LOG(1/1000,2)</f>
        <v>-0.00996578428466209</v>
      </c>
    </row>
    <row r="908" customFormat="false" ht="13" hidden="false" customHeight="false" outlineLevel="0" collapsed="false">
      <c r="A908" s="4" t="n">
        <v>94</v>
      </c>
      <c r="B908" s="2" t="n">
        <v>2.22341733199346</v>
      </c>
      <c r="C908" s="5" t="n">
        <f aca="false">B908</f>
        <v>2.22341733199346</v>
      </c>
      <c r="D908" s="5" t="n">
        <f aca="false">C908*LOG(C908)</f>
        <v>0.771572476511146</v>
      </c>
      <c r="E908" s="5"/>
      <c r="F908" s="5"/>
      <c r="G908" s="4" t="n">
        <v>907</v>
      </c>
      <c r="H908" s="6" t="n">
        <v>0.093</v>
      </c>
      <c r="J908" s="2" t="n">
        <f aca="false">B908/$B$1003</f>
        <v>0.000217305554289525</v>
      </c>
      <c r="K908" s="5" t="n">
        <f aca="false">J908*LOG(J908,2)</f>
        <v>-0.0026441712312341</v>
      </c>
      <c r="N908" s="2" t="n">
        <f aca="false">1/1000*LOG(1/1000,2)</f>
        <v>-0.00996578428466209</v>
      </c>
    </row>
    <row r="909" customFormat="false" ht="13" hidden="false" customHeight="false" outlineLevel="0" collapsed="false">
      <c r="A909" s="4" t="n">
        <v>93</v>
      </c>
      <c r="B909" s="2" t="n">
        <v>2.22117146215805</v>
      </c>
      <c r="C909" s="5" t="n">
        <f aca="false">B909</f>
        <v>2.22117146215805</v>
      </c>
      <c r="D909" s="5" t="n">
        <f aca="false">C909*LOG(C909)</f>
        <v>0.769818236443272</v>
      </c>
      <c r="E909" s="5"/>
      <c r="F909" s="5"/>
      <c r="G909" s="4" t="n">
        <v>908</v>
      </c>
      <c r="H909" s="6" t="n">
        <v>0.092</v>
      </c>
      <c r="J909" s="2" t="n">
        <f aca="false">B909/$B$1003</f>
        <v>0.000217086054341215</v>
      </c>
      <c r="K909" s="5" t="n">
        <f aca="false">J909*LOG(J909,2)</f>
        <v>-0.0026418168701426</v>
      </c>
      <c r="N909" s="2" t="n">
        <f aca="false">1/1000*LOG(1/1000,2)</f>
        <v>-0.00996578428466209</v>
      </c>
    </row>
    <row r="910" customFormat="false" ht="13" hidden="false" customHeight="false" outlineLevel="0" collapsed="false">
      <c r="A910" s="4" t="n">
        <v>92</v>
      </c>
      <c r="B910" s="2" t="n">
        <v>2.21956770624172</v>
      </c>
      <c r="C910" s="5" t="n">
        <f aca="false">B910</f>
        <v>2.21956770624172</v>
      </c>
      <c r="D910" s="5" t="n">
        <f aca="false">C910*LOG(C910)</f>
        <v>0.768566152538092</v>
      </c>
      <c r="E910" s="5"/>
      <c r="F910" s="5"/>
      <c r="G910" s="4" t="n">
        <v>909</v>
      </c>
      <c r="H910" s="6" t="n">
        <v>0.091</v>
      </c>
      <c r="J910" s="2" t="n">
        <f aca="false">B910/$B$1003</f>
        <v>0.000216929311356743</v>
      </c>
      <c r="K910" s="5" t="n">
        <f aca="false">J910*LOG(J910,2)</f>
        <v>-0.00264013544563165</v>
      </c>
      <c r="N910" s="2" t="n">
        <f aca="false">1/1000*LOG(1/1000,2)</f>
        <v>-0.00996578428466209</v>
      </c>
    </row>
    <row r="911" customFormat="false" ht="13" hidden="false" customHeight="false" outlineLevel="0" collapsed="false">
      <c r="A911" s="4" t="n">
        <v>91</v>
      </c>
      <c r="B911" s="2" t="n">
        <v>2.21826018476258</v>
      </c>
      <c r="C911" s="5" t="n">
        <f aca="false">B911</f>
        <v>2.21826018476258</v>
      </c>
      <c r="D911" s="5" t="n">
        <f aca="false">C911*LOG(C911)</f>
        <v>0.767545717097177</v>
      </c>
      <c r="E911" s="5"/>
      <c r="F911" s="5"/>
      <c r="G911" s="4" t="n">
        <v>910</v>
      </c>
      <c r="H911" s="6" t="n">
        <v>0.09</v>
      </c>
      <c r="J911" s="2" t="n">
        <f aca="false">B911/$B$1003</f>
        <v>0.000216801520826517</v>
      </c>
      <c r="K911" s="5" t="n">
        <f aca="false">J911*LOG(J911,2)</f>
        <v>-0.00263876448104718</v>
      </c>
      <c r="N911" s="2" t="n">
        <f aca="false">1/1000*LOG(1/1000,2)</f>
        <v>-0.00996578428466209</v>
      </c>
    </row>
    <row r="912" customFormat="false" ht="13" hidden="false" customHeight="false" outlineLevel="0" collapsed="false">
      <c r="A912" s="4" t="n">
        <v>90</v>
      </c>
      <c r="B912" s="2" t="n">
        <v>2.21446653638941</v>
      </c>
      <c r="C912" s="5" t="n">
        <f aca="false">B912</f>
        <v>2.21446653638941</v>
      </c>
      <c r="D912" s="5" t="n">
        <f aca="false">C912*LOG(C912)</f>
        <v>0.764586916470037</v>
      </c>
      <c r="E912" s="5"/>
      <c r="F912" s="5"/>
      <c r="G912" s="4" t="n">
        <v>911</v>
      </c>
      <c r="H912" s="6" t="n">
        <v>0.089</v>
      </c>
      <c r="J912" s="2" t="n">
        <f aca="false">B912/$B$1003</f>
        <v>0.000216430748839337</v>
      </c>
      <c r="K912" s="5" t="n">
        <f aca="false">J912*LOG(J912,2)</f>
        <v>-0.00263478614330108</v>
      </c>
      <c r="N912" s="2" t="n">
        <f aca="false">1/1000*LOG(1/1000,2)</f>
        <v>-0.00996578428466209</v>
      </c>
    </row>
    <row r="913" customFormat="false" ht="13" hidden="false" customHeight="false" outlineLevel="0" collapsed="false">
      <c r="A913" s="4" t="n">
        <v>89</v>
      </c>
      <c r="B913" s="2" t="n">
        <v>2.21443637922448</v>
      </c>
      <c r="C913" s="5" t="n">
        <f aca="false">B913</f>
        <v>2.21443637922448</v>
      </c>
      <c r="D913" s="5" t="n">
        <f aca="false">C913*LOG(C913)</f>
        <v>0.764563407131045</v>
      </c>
      <c r="E913" s="5"/>
      <c r="F913" s="5"/>
      <c r="G913" s="4" t="n">
        <v>912</v>
      </c>
      <c r="H913" s="6" t="n">
        <v>0.088</v>
      </c>
      <c r="J913" s="2" t="n">
        <f aca="false">B913/$B$1003</f>
        <v>0.000216427801430704</v>
      </c>
      <c r="K913" s="5" t="n">
        <f aca="false">J913*LOG(J913,2)</f>
        <v>-0.00263475451430039</v>
      </c>
      <c r="N913" s="2" t="n">
        <f aca="false">1/1000*LOG(1/1000,2)</f>
        <v>-0.00996578428466209</v>
      </c>
    </row>
    <row r="914" customFormat="false" ht="13" hidden="false" customHeight="false" outlineLevel="0" collapsed="false">
      <c r="A914" s="4" t="n">
        <v>88</v>
      </c>
      <c r="B914" s="2" t="n">
        <v>2.21221436806218</v>
      </c>
      <c r="C914" s="5" t="n">
        <f aca="false">B914</f>
        <v>2.21221436806218</v>
      </c>
      <c r="D914" s="5" t="n">
        <f aca="false">C914*LOG(C914)</f>
        <v>0.762831705559578</v>
      </c>
      <c r="E914" s="5"/>
      <c r="F914" s="5"/>
      <c r="G914" s="4" t="n">
        <v>913</v>
      </c>
      <c r="H914" s="6" t="n">
        <v>0.087</v>
      </c>
      <c r="J914" s="2" t="n">
        <f aca="false">B914/$B$1003</f>
        <v>0.000216210633308321</v>
      </c>
      <c r="K914" s="5" t="n">
        <f aca="false">J914*LOG(J914,2)</f>
        <v>-0.00263242389737829</v>
      </c>
      <c r="N914" s="2" t="n">
        <f aca="false">1/1000*LOG(1/1000,2)</f>
        <v>-0.00996578428466209</v>
      </c>
    </row>
    <row r="915" customFormat="false" ht="13" hidden="false" customHeight="false" outlineLevel="0" collapsed="false">
      <c r="A915" s="4" t="n">
        <v>87</v>
      </c>
      <c r="B915" s="2" t="n">
        <v>2.20378885880086</v>
      </c>
      <c r="C915" s="5" t="n">
        <f aca="false">B915</f>
        <v>2.20378885880086</v>
      </c>
      <c r="D915" s="5" t="n">
        <f aca="false">C915*LOG(C915)</f>
        <v>0.756274185584174</v>
      </c>
      <c r="E915" s="5"/>
      <c r="F915" s="5"/>
      <c r="G915" s="4" t="n">
        <v>914</v>
      </c>
      <c r="H915" s="6" t="n">
        <v>0.086</v>
      </c>
      <c r="J915" s="2" t="n">
        <f aca="false">B915/$B$1003</f>
        <v>0.000215387166686083</v>
      </c>
      <c r="K915" s="5" t="n">
        <f aca="false">J915*LOG(J915,2)</f>
        <v>-0.00262358371086565</v>
      </c>
      <c r="N915" s="2" t="n">
        <f aca="false">1/1000*LOG(1/1000,2)</f>
        <v>-0.00996578428466209</v>
      </c>
    </row>
    <row r="916" customFormat="false" ht="13" hidden="false" customHeight="false" outlineLevel="0" collapsed="false">
      <c r="A916" s="4" t="n">
        <v>86</v>
      </c>
      <c r="B916" s="2" t="n">
        <v>2.19733183307494</v>
      </c>
      <c r="C916" s="5" t="n">
        <f aca="false">B916</f>
        <v>2.19733183307494</v>
      </c>
      <c r="D916" s="5" t="n">
        <f aca="false">C916*LOG(C916)</f>
        <v>0.751258189729443</v>
      </c>
      <c r="E916" s="5"/>
      <c r="F916" s="5"/>
      <c r="G916" s="4" t="n">
        <v>915</v>
      </c>
      <c r="H916" s="6" t="n">
        <v>0.085</v>
      </c>
      <c r="J916" s="2" t="n">
        <f aca="false">B916/$B$1003</f>
        <v>0.000214756089679422</v>
      </c>
      <c r="K916" s="5" t="n">
        <f aca="false">J916*LOG(J916,2)</f>
        <v>-0.00261680581719712</v>
      </c>
      <c r="N916" s="2" t="n">
        <f aca="false">1/1000*LOG(1/1000,2)</f>
        <v>-0.00996578428466209</v>
      </c>
    </row>
    <row r="917" customFormat="false" ht="13" hidden="false" customHeight="false" outlineLevel="0" collapsed="false">
      <c r="A917" s="4" t="n">
        <v>85</v>
      </c>
      <c r="B917" s="2" t="n">
        <v>2.19701017541502</v>
      </c>
      <c r="C917" s="5" t="n">
        <f aca="false">B917</f>
        <v>2.19701017541502</v>
      </c>
      <c r="D917" s="5" t="n">
        <f aca="false">C917*LOG(C917)</f>
        <v>0.751008532453882</v>
      </c>
      <c r="E917" s="5"/>
      <c r="F917" s="5"/>
      <c r="G917" s="4" t="n">
        <v>916</v>
      </c>
      <c r="H917" s="6" t="n">
        <v>0.084</v>
      </c>
      <c r="J917" s="2" t="n">
        <f aca="false">B917/$B$1003</f>
        <v>0.000214724652488088</v>
      </c>
      <c r="K917" s="5" t="n">
        <f aca="false">J917*LOG(J917,2)</f>
        <v>-0.00261646810556167</v>
      </c>
      <c r="N917" s="2" t="n">
        <f aca="false">1/1000*LOG(1/1000,2)</f>
        <v>-0.00996578428466209</v>
      </c>
    </row>
    <row r="918" customFormat="false" ht="13" hidden="false" customHeight="false" outlineLevel="0" collapsed="false">
      <c r="A918" s="4" t="n">
        <v>84</v>
      </c>
      <c r="B918" s="2" t="n">
        <v>2.1813090476553</v>
      </c>
      <c r="C918" s="5" t="n">
        <f aca="false">B918</f>
        <v>2.1813090476553</v>
      </c>
      <c r="D918" s="5" t="n">
        <f aca="false">C918*LOG(C918)</f>
        <v>0.738846894566765</v>
      </c>
      <c r="E918" s="5"/>
      <c r="F918" s="5"/>
      <c r="G918" s="4" t="n">
        <v>917</v>
      </c>
      <c r="H918" s="6" t="n">
        <v>0.083</v>
      </c>
      <c r="J918" s="2" t="n">
        <f aca="false">B918/$B$1003</f>
        <v>0.000213190103745619</v>
      </c>
      <c r="K918" s="5" t="n">
        <f aca="false">J918*LOG(J918,2)</f>
        <v>-0.00259997524064419</v>
      </c>
      <c r="N918" s="2" t="n">
        <f aca="false">1/1000*LOG(1/1000,2)</f>
        <v>-0.00996578428466209</v>
      </c>
    </row>
    <row r="919" customFormat="false" ht="13" hidden="false" customHeight="false" outlineLevel="0" collapsed="false">
      <c r="A919" s="4" t="n">
        <v>83</v>
      </c>
      <c r="B919" s="2" t="n">
        <v>2.17924163298721</v>
      </c>
      <c r="C919" s="5" t="n">
        <f aca="false">B919</f>
        <v>2.17924163298721</v>
      </c>
      <c r="D919" s="5" t="n">
        <f aca="false">C919*LOG(C919)</f>
        <v>0.73724918450284</v>
      </c>
      <c r="E919" s="5"/>
      <c r="F919" s="5"/>
      <c r="G919" s="4" t="n">
        <v>918</v>
      </c>
      <c r="H919" s="6" t="n">
        <v>0.082</v>
      </c>
      <c r="J919" s="2" t="n">
        <f aca="false">B919/$B$1003</f>
        <v>0.000212988045101957</v>
      </c>
      <c r="K919" s="5" t="n">
        <f aca="false">J919*LOG(J919,2)</f>
        <v>-0.00259780239074087</v>
      </c>
      <c r="N919" s="2" t="n">
        <f aca="false">1/1000*LOG(1/1000,2)</f>
        <v>-0.00996578428466209</v>
      </c>
    </row>
    <row r="920" customFormat="false" ht="13" hidden="false" customHeight="false" outlineLevel="0" collapsed="false">
      <c r="A920" s="4" t="n">
        <v>82</v>
      </c>
      <c r="B920" s="2" t="n">
        <v>2.1774379348235</v>
      </c>
      <c r="C920" s="5" t="n">
        <f aca="false">B920</f>
        <v>2.1774379348235</v>
      </c>
      <c r="D920" s="5" t="n">
        <f aca="false">C920*LOG(C920)</f>
        <v>0.735855971799945</v>
      </c>
      <c r="E920" s="5"/>
      <c r="F920" s="5"/>
      <c r="G920" s="4" t="n">
        <v>919</v>
      </c>
      <c r="H920" s="6" t="n">
        <v>0.081</v>
      </c>
      <c r="J920" s="2" t="n">
        <f aca="false">B920/$B$1003</f>
        <v>0.000212811760774406</v>
      </c>
      <c r="K920" s="5" t="n">
        <f aca="false">J920*LOG(J920,2)</f>
        <v>-0.0025959064806355</v>
      </c>
      <c r="N920" s="2" t="n">
        <f aca="false">1/1000*LOG(1/1000,2)</f>
        <v>-0.00996578428466209</v>
      </c>
    </row>
    <row r="921" customFormat="false" ht="13" hidden="false" customHeight="false" outlineLevel="0" collapsed="false">
      <c r="A921" s="4" t="n">
        <v>81</v>
      </c>
      <c r="B921" s="2" t="n">
        <v>2.17637220727147</v>
      </c>
      <c r="C921" s="5" t="n">
        <f aca="false">B921</f>
        <v>2.17637220727147</v>
      </c>
      <c r="D921" s="5" t="n">
        <f aca="false">C921*LOG(C921)</f>
        <v>0.735033087355737</v>
      </c>
      <c r="E921" s="5"/>
      <c r="F921" s="5"/>
      <c r="G921" s="4" t="n">
        <v>920</v>
      </c>
      <c r="H921" s="6" t="n">
        <v>0.08</v>
      </c>
      <c r="J921" s="2" t="n">
        <f aca="false">B921/$B$1003</f>
        <v>0.000212707601958567</v>
      </c>
      <c r="K921" s="5" t="n">
        <f aca="false">J921*LOG(J921,2)</f>
        <v>-0.00259478617001783</v>
      </c>
      <c r="N921" s="2" t="n">
        <f aca="false">1/1000*LOG(1/1000,2)</f>
        <v>-0.00996578428466209</v>
      </c>
    </row>
    <row r="922" customFormat="false" ht="13" hidden="false" customHeight="false" outlineLevel="0" collapsed="false">
      <c r="A922" s="4" t="n">
        <v>80</v>
      </c>
      <c r="B922" s="2" t="n">
        <v>2.17617883642606</v>
      </c>
      <c r="C922" s="5" t="n">
        <f aca="false">B922</f>
        <v>2.17617883642606</v>
      </c>
      <c r="D922" s="5" t="n">
        <f aca="false">C922*LOG(C922)</f>
        <v>0.734883803446691</v>
      </c>
      <c r="E922" s="5"/>
      <c r="F922" s="5"/>
      <c r="G922" s="4" t="n">
        <v>921</v>
      </c>
      <c r="H922" s="6" t="n">
        <v>0.079</v>
      </c>
      <c r="J922" s="2" t="n">
        <f aca="false">B922/$B$1003</f>
        <v>0.00021268870287105</v>
      </c>
      <c r="K922" s="5" t="n">
        <f aca="false">J922*LOG(J922,2)</f>
        <v>-0.00259458288746675</v>
      </c>
      <c r="N922" s="2" t="n">
        <f aca="false">1/1000*LOG(1/1000,2)</f>
        <v>-0.00996578428466209</v>
      </c>
    </row>
    <row r="923" customFormat="false" ht="13" hidden="false" customHeight="false" outlineLevel="0" collapsed="false">
      <c r="A923" s="4" t="n">
        <v>79</v>
      </c>
      <c r="B923" s="2" t="n">
        <v>2.16638419496849</v>
      </c>
      <c r="C923" s="5" t="n">
        <f aca="false">B923</f>
        <v>2.16638419496849</v>
      </c>
      <c r="D923" s="5" t="n">
        <f aca="false">C923*LOG(C923)</f>
        <v>0.727332034498911</v>
      </c>
      <c r="E923" s="5"/>
      <c r="F923" s="5"/>
      <c r="G923" s="4" t="n">
        <v>922</v>
      </c>
      <c r="H923" s="6" t="n">
        <v>0.078</v>
      </c>
      <c r="J923" s="2" t="n">
        <f aca="false">B923/$B$1003</f>
        <v>0.00021173142419899</v>
      </c>
      <c r="K923" s="5" t="n">
        <f aca="false">J923*LOG(J923,2)</f>
        <v>-0.00258428302319581</v>
      </c>
      <c r="N923" s="2" t="n">
        <f aca="false">1/1000*LOG(1/1000,2)</f>
        <v>-0.00996578428466209</v>
      </c>
    </row>
    <row r="924" customFormat="false" ht="13" hidden="false" customHeight="false" outlineLevel="0" collapsed="false">
      <c r="A924" s="4" t="n">
        <v>78</v>
      </c>
      <c r="B924" s="2" t="n">
        <v>2.16610367041994</v>
      </c>
      <c r="C924" s="5" t="n">
        <f aca="false">B924</f>
        <v>2.16610367041994</v>
      </c>
      <c r="D924" s="5" t="n">
        <f aca="false">C924*LOG(C924)</f>
        <v>0.727116030080105</v>
      </c>
      <c r="E924" s="5"/>
      <c r="F924" s="5"/>
      <c r="G924" s="4" t="n">
        <v>923</v>
      </c>
      <c r="H924" s="6" t="n">
        <v>0.077</v>
      </c>
      <c r="J924" s="2" t="n">
        <f aca="false">B924/$B$1003</f>
        <v>0.000211704007149732</v>
      </c>
      <c r="K924" s="5" t="n">
        <f aca="false">J924*LOG(J924,2)</f>
        <v>-0.00258398793691228</v>
      </c>
      <c r="N924" s="2" t="n">
        <f aca="false">1/1000*LOG(1/1000,2)</f>
        <v>-0.00996578428466209</v>
      </c>
    </row>
    <row r="925" customFormat="false" ht="13" hidden="false" customHeight="false" outlineLevel="0" collapsed="false">
      <c r="A925" s="4" t="n">
        <v>77</v>
      </c>
      <c r="B925" s="2" t="n">
        <v>2.16484228557601</v>
      </c>
      <c r="C925" s="5" t="n">
        <f aca="false">B925</f>
        <v>2.16484228557601</v>
      </c>
      <c r="D925" s="5" t="n">
        <f aca="false">C925*LOG(C925)</f>
        <v>0.726144956433766</v>
      </c>
      <c r="E925" s="5"/>
      <c r="F925" s="5"/>
      <c r="G925" s="4" t="n">
        <v>924</v>
      </c>
      <c r="H925" s="6" t="n">
        <v>0.076</v>
      </c>
      <c r="J925" s="2" t="n">
        <f aca="false">B925/$B$1003</f>
        <v>0.000211580725780671</v>
      </c>
      <c r="K925" s="5" t="n">
        <f aca="false">J925*LOG(J925,2)</f>
        <v>-0.00258266101159237</v>
      </c>
      <c r="N925" s="2" t="n">
        <f aca="false">1/1000*LOG(1/1000,2)</f>
        <v>-0.00996578428466209</v>
      </c>
    </row>
    <row r="926" customFormat="false" ht="13" hidden="false" customHeight="false" outlineLevel="0" collapsed="false">
      <c r="A926" s="4" t="n">
        <v>76</v>
      </c>
      <c r="B926" s="2" t="n">
        <v>2.16327920871026</v>
      </c>
      <c r="C926" s="5" t="n">
        <f aca="false">B926</f>
        <v>2.16327920871026</v>
      </c>
      <c r="D926" s="5" t="n">
        <f aca="false">C926*LOG(C926)</f>
        <v>0.72494206887353</v>
      </c>
      <c r="E926" s="5"/>
      <c r="F926" s="5"/>
      <c r="G926" s="4" t="n">
        <v>925</v>
      </c>
      <c r="H926" s="6" t="n">
        <v>0.075</v>
      </c>
      <c r="J926" s="2" t="n">
        <f aca="false">B926/$B$1003</f>
        <v>0.00021142795856067</v>
      </c>
      <c r="K926" s="5" t="n">
        <f aca="false">J926*LOG(J926,2)</f>
        <v>-0.00258101657480967</v>
      </c>
      <c r="N926" s="2" t="n">
        <f aca="false">1/1000*LOG(1/1000,2)</f>
        <v>-0.00996578428466209</v>
      </c>
    </row>
    <row r="927" customFormat="false" ht="13" hidden="false" customHeight="false" outlineLevel="0" collapsed="false">
      <c r="A927" s="4" t="n">
        <v>75</v>
      </c>
      <c r="B927" s="2" t="n">
        <v>2.15609985387982</v>
      </c>
      <c r="C927" s="5" t="n">
        <f aca="false">B927</f>
        <v>2.15609985387982</v>
      </c>
      <c r="D927" s="5" t="n">
        <f aca="false">C927*LOG(C927)</f>
        <v>0.719423402161755</v>
      </c>
      <c r="E927" s="5"/>
      <c r="F927" s="5"/>
      <c r="G927" s="4" t="n">
        <v>926</v>
      </c>
      <c r="H927" s="6" t="n">
        <v>0.074</v>
      </c>
      <c r="J927" s="2" t="n">
        <f aca="false">B927/$B$1003</f>
        <v>0.000210726284764024</v>
      </c>
      <c r="K927" s="5" t="n">
        <f aca="false">J927*LOG(J927,2)</f>
        <v>-0.00257346147917527</v>
      </c>
      <c r="N927" s="2" t="n">
        <f aca="false">1/1000*LOG(1/1000,2)</f>
        <v>-0.00996578428466209</v>
      </c>
    </row>
    <row r="928" customFormat="false" ht="13" hidden="false" customHeight="false" outlineLevel="0" collapsed="false">
      <c r="A928" s="4" t="n">
        <v>74</v>
      </c>
      <c r="B928" s="2" t="n">
        <v>2.14442173017869</v>
      </c>
      <c r="C928" s="5" t="n">
        <f aca="false">B928</f>
        <v>2.14442173017869</v>
      </c>
      <c r="D928" s="5" t="n">
        <f aca="false">C928*LOG(C928)</f>
        <v>0.710468791096347</v>
      </c>
      <c r="E928" s="5"/>
      <c r="F928" s="5"/>
      <c r="G928" s="4" t="n">
        <v>927</v>
      </c>
      <c r="H928" s="6" t="n">
        <v>0.073</v>
      </c>
      <c r="J928" s="2" t="n">
        <f aca="false">B928/$B$1003</f>
        <v>0.000209584924072344</v>
      </c>
      <c r="K928" s="5" t="n">
        <f aca="false">J928*LOG(J928,2)</f>
        <v>-0.00256116495993384</v>
      </c>
      <c r="N928" s="2" t="n">
        <f aca="false">1/1000*LOG(1/1000,2)</f>
        <v>-0.00996578428466209</v>
      </c>
    </row>
    <row r="929" customFormat="false" ht="13" hidden="false" customHeight="false" outlineLevel="0" collapsed="false">
      <c r="A929" s="4" t="n">
        <v>73</v>
      </c>
      <c r="B929" s="2" t="n">
        <v>2.1400382798339</v>
      </c>
      <c r="C929" s="5" t="n">
        <f aca="false">B929</f>
        <v>2.1400382798339</v>
      </c>
      <c r="D929" s="5" t="n">
        <f aca="false">C929*LOG(C929)</f>
        <v>0.707114748020952</v>
      </c>
      <c r="E929" s="5"/>
      <c r="F929" s="5"/>
      <c r="G929" s="4" t="n">
        <v>928</v>
      </c>
      <c r="H929" s="6" t="n">
        <v>0.072</v>
      </c>
      <c r="J929" s="2" t="n">
        <f aca="false">B929/$B$1003</f>
        <v>0.000209156507826249</v>
      </c>
      <c r="K929" s="5" t="n">
        <f aca="false">J929*LOG(J929,2)</f>
        <v>-0.00255654707924521</v>
      </c>
      <c r="N929" s="2" t="n">
        <f aca="false">1/1000*LOG(1/1000,2)</f>
        <v>-0.00996578428466209</v>
      </c>
    </row>
    <row r="930" customFormat="false" ht="13" hidden="false" customHeight="false" outlineLevel="0" collapsed="false">
      <c r="A930" s="4" t="n">
        <v>72</v>
      </c>
      <c r="B930" s="2" t="n">
        <v>2.13533997310697</v>
      </c>
      <c r="C930" s="5" t="n">
        <f aca="false">B930</f>
        <v>2.13533997310697</v>
      </c>
      <c r="D930" s="5" t="n">
        <f aca="false">C930*LOG(C930)</f>
        <v>0.703524119055648</v>
      </c>
      <c r="E930" s="5"/>
      <c r="F930" s="5"/>
      <c r="G930" s="4" t="n">
        <v>929</v>
      </c>
      <c r="H930" s="6" t="n">
        <v>0.071</v>
      </c>
      <c r="J930" s="2" t="n">
        <f aca="false">B930/$B$1003</f>
        <v>0.00020869731911128</v>
      </c>
      <c r="K930" s="5" t="n">
        <f aca="false">J930*LOG(J930,2)</f>
        <v>-0.0025515960976672</v>
      </c>
      <c r="N930" s="2" t="n">
        <f aca="false">1/1000*LOG(1/1000,2)</f>
        <v>-0.00996578428466209</v>
      </c>
    </row>
    <row r="931" customFormat="false" ht="13" hidden="false" customHeight="false" outlineLevel="0" collapsed="false">
      <c r="A931" s="4" t="n">
        <v>71</v>
      </c>
      <c r="B931" s="2" t="n">
        <v>2.13194428063798</v>
      </c>
      <c r="C931" s="5" t="n">
        <f aca="false">B931</f>
        <v>2.13194428063798</v>
      </c>
      <c r="D931" s="5" t="n">
        <f aca="false">C931*LOG(C931)</f>
        <v>0.70093179304758</v>
      </c>
      <c r="E931" s="5"/>
      <c r="F931" s="5"/>
      <c r="G931" s="4" t="n">
        <v>930</v>
      </c>
      <c r="H931" s="6" t="n">
        <v>0.07</v>
      </c>
      <c r="J931" s="2" t="n">
        <f aca="false">B931/$B$1003</f>
        <v>0.00020836544131958</v>
      </c>
      <c r="K931" s="5" t="n">
        <f aca="false">J931*LOG(J931,2)</f>
        <v>-0.00254801687766042</v>
      </c>
      <c r="N931" s="2" t="n">
        <f aca="false">1/1000*LOG(1/1000,2)</f>
        <v>-0.00996578428466209</v>
      </c>
    </row>
    <row r="932" customFormat="false" ht="13" hidden="false" customHeight="false" outlineLevel="0" collapsed="false">
      <c r="A932" s="4" t="n">
        <v>70</v>
      </c>
      <c r="B932" s="2" t="n">
        <v>2.11734474788818</v>
      </c>
      <c r="C932" s="5" t="n">
        <f aca="false">B932</f>
        <v>2.11734474788818</v>
      </c>
      <c r="D932" s="5" t="n">
        <f aca="false">C932*LOG(C932)</f>
        <v>0.689813082300784</v>
      </c>
      <c r="E932" s="5"/>
      <c r="F932" s="5"/>
      <c r="G932" s="4" t="n">
        <v>931</v>
      </c>
      <c r="H932" s="6" t="n">
        <v>0.069</v>
      </c>
      <c r="J932" s="2" t="n">
        <f aca="false">B932/$B$1003</f>
        <v>0.000206938556896709</v>
      </c>
      <c r="K932" s="5" t="n">
        <f aca="false">J932*LOG(J932,2)</f>
        <v>-0.0025326195784384</v>
      </c>
      <c r="N932" s="2" t="n">
        <f aca="false">1/1000*LOG(1/1000,2)</f>
        <v>-0.00996578428466209</v>
      </c>
    </row>
    <row r="933" customFormat="false" ht="13" hidden="false" customHeight="false" outlineLevel="0" collapsed="false">
      <c r="A933" s="4" t="n">
        <v>69</v>
      </c>
      <c r="B933" s="2" t="n">
        <v>2.10589569279642</v>
      </c>
      <c r="C933" s="5" t="n">
        <f aca="false">B933</f>
        <v>2.10589569279642</v>
      </c>
      <c r="D933" s="5" t="n">
        <f aca="false">C933*LOG(C933)</f>
        <v>0.681124282626165</v>
      </c>
      <c r="E933" s="5"/>
      <c r="F933" s="5"/>
      <c r="G933" s="4" t="n">
        <v>932</v>
      </c>
      <c r="H933" s="6" t="n">
        <v>0.068</v>
      </c>
      <c r="J933" s="2" t="n">
        <f aca="false">B933/$B$1003</f>
        <v>0.000205819584211281</v>
      </c>
      <c r="K933" s="5" t="n">
        <f aca="false">J933*LOG(J933,2)</f>
        <v>-0.00252053498402328</v>
      </c>
      <c r="N933" s="2" t="n">
        <f aca="false">1/1000*LOG(1/1000,2)</f>
        <v>-0.00996578428466209</v>
      </c>
    </row>
    <row r="934" customFormat="false" ht="13" hidden="false" customHeight="false" outlineLevel="0" collapsed="false">
      <c r="A934" s="4" t="n">
        <v>68</v>
      </c>
      <c r="B934" s="2" t="n">
        <v>2.10159612899316</v>
      </c>
      <c r="C934" s="5" t="n">
        <f aca="false">B934</f>
        <v>2.10159612899316</v>
      </c>
      <c r="D934" s="5" t="n">
        <f aca="false">C934*LOG(C934)</f>
        <v>0.677868275880623</v>
      </c>
      <c r="E934" s="5"/>
      <c r="F934" s="5"/>
      <c r="G934" s="4" t="n">
        <v>933</v>
      </c>
      <c r="H934" s="6" t="n">
        <v>0.067</v>
      </c>
      <c r="J934" s="2" t="n">
        <f aca="false">B934/$B$1003</f>
        <v>0.000205399366611091</v>
      </c>
      <c r="K934" s="5" t="n">
        <f aca="false">J934*LOG(J934,2)</f>
        <v>-0.00251599448627724</v>
      </c>
      <c r="N934" s="2" t="n">
        <f aca="false">1/1000*LOG(1/1000,2)</f>
        <v>-0.00996578428466209</v>
      </c>
    </row>
    <row r="935" customFormat="false" ht="13" hidden="false" customHeight="false" outlineLevel="0" collapsed="false">
      <c r="A935" s="4" t="n">
        <v>67</v>
      </c>
      <c r="B935" s="2" t="n">
        <v>2.09625274485325</v>
      </c>
      <c r="C935" s="5" t="n">
        <f aca="false">B935</f>
        <v>2.09625274485325</v>
      </c>
      <c r="D935" s="5" t="n">
        <f aca="false">C935*LOG(C935)</f>
        <v>0.673827121645613</v>
      </c>
      <c r="E935" s="5"/>
      <c r="F935" s="5"/>
      <c r="G935" s="4" t="n">
        <v>934</v>
      </c>
      <c r="H935" s="6" t="n">
        <v>0.066</v>
      </c>
      <c r="J935" s="2" t="n">
        <f aca="false">B935/$B$1003</f>
        <v>0.000204877131295392</v>
      </c>
      <c r="K935" s="5" t="n">
        <f aca="false">J935*LOG(J935,2)</f>
        <v>-0.00251034994701215</v>
      </c>
      <c r="N935" s="2" t="n">
        <f aca="false">1/1000*LOG(1/1000,2)</f>
        <v>-0.00996578428466209</v>
      </c>
    </row>
    <row r="936" customFormat="false" ht="13" hidden="false" customHeight="false" outlineLevel="0" collapsed="false">
      <c r="A936" s="4" t="n">
        <v>66</v>
      </c>
      <c r="B936" s="2" t="n">
        <v>2.09267439743962</v>
      </c>
      <c r="C936" s="5" t="n">
        <f aca="false">B936</f>
        <v>2.09267439743962</v>
      </c>
      <c r="D936" s="5" t="n">
        <f aca="false">C936*LOG(C936)</f>
        <v>0.671124155235329</v>
      </c>
      <c r="E936" s="5"/>
      <c r="F936" s="5"/>
      <c r="G936" s="4" t="n">
        <v>935</v>
      </c>
      <c r="H936" s="6" t="n">
        <v>0.065</v>
      </c>
      <c r="J936" s="2" t="n">
        <f aca="false">B936/$B$1003</f>
        <v>0.000204527401734068</v>
      </c>
      <c r="K936" s="5" t="n">
        <f aca="false">J936*LOG(J936,2)</f>
        <v>-0.00250656884920409</v>
      </c>
      <c r="N936" s="2" t="n">
        <f aca="false">1/1000*LOG(1/1000,2)</f>
        <v>-0.00996578428466209</v>
      </c>
    </row>
    <row r="937" customFormat="false" ht="13" hidden="false" customHeight="false" outlineLevel="0" collapsed="false">
      <c r="A937" s="4" t="n">
        <v>65</v>
      </c>
      <c r="B937" s="2" t="n">
        <v>2.0920769682451</v>
      </c>
      <c r="C937" s="5" t="n">
        <f aca="false">B937</f>
        <v>2.0920769682451</v>
      </c>
      <c r="D937" s="5" t="n">
        <f aca="false">C937*LOG(C937)</f>
        <v>0.67067313553744</v>
      </c>
      <c r="E937" s="5"/>
      <c r="F937" s="5"/>
      <c r="G937" s="4" t="n">
        <v>936</v>
      </c>
      <c r="H937" s="6" t="n">
        <v>0.064</v>
      </c>
      <c r="J937" s="2" t="n">
        <f aca="false">B937/$B$1003</f>
        <v>0.000204469012028997</v>
      </c>
      <c r="K937" s="5" t="n">
        <f aca="false">J937*LOG(J937,2)</f>
        <v>-0.00250593748546004</v>
      </c>
      <c r="N937" s="2" t="n">
        <f aca="false">1/1000*LOG(1/1000,2)</f>
        <v>-0.00996578428466209</v>
      </c>
    </row>
    <row r="938" customFormat="false" ht="13" hidden="false" customHeight="false" outlineLevel="0" collapsed="false">
      <c r="A938" s="4" t="n">
        <v>64</v>
      </c>
      <c r="B938" s="2" t="n">
        <v>2.08051914955695</v>
      </c>
      <c r="C938" s="5" t="n">
        <f aca="false">B938</f>
        <v>2.08051914955695</v>
      </c>
      <c r="D938" s="5" t="n">
        <f aca="false">C938*LOG(C938)</f>
        <v>0.661962351084377</v>
      </c>
      <c r="E938" s="5"/>
      <c r="F938" s="5"/>
      <c r="G938" s="4" t="n">
        <v>937</v>
      </c>
      <c r="H938" s="6" t="n">
        <v>0.063</v>
      </c>
      <c r="J938" s="2" t="n">
        <f aca="false">B938/$B$1003</f>
        <v>0.000203339409340259</v>
      </c>
      <c r="K938" s="5" t="n">
        <f aca="false">J938*LOG(J938,2)</f>
        <v>-0.00249371842902085</v>
      </c>
      <c r="N938" s="2" t="n">
        <f aca="false">1/1000*LOG(1/1000,2)</f>
        <v>-0.00996578428466209</v>
      </c>
    </row>
    <row r="939" customFormat="false" ht="13" hidden="false" customHeight="false" outlineLevel="0" collapsed="false">
      <c r="A939" s="4" t="n">
        <v>63</v>
      </c>
      <c r="B939" s="2" t="n">
        <v>2.08034358808527</v>
      </c>
      <c r="C939" s="5" t="n">
        <f aca="false">B939</f>
        <v>2.08034358808527</v>
      </c>
      <c r="D939" s="5" t="n">
        <f aca="false">C939*LOG(C939)</f>
        <v>0.66183025022804</v>
      </c>
      <c r="E939" s="5"/>
      <c r="F939" s="5"/>
      <c r="G939" s="4" t="n">
        <v>938</v>
      </c>
      <c r="H939" s="6" t="n">
        <v>0.062</v>
      </c>
      <c r="J939" s="2" t="n">
        <f aca="false">B939/$B$1003</f>
        <v>0.000203322250850773</v>
      </c>
      <c r="K939" s="5" t="n">
        <f aca="false">J939*LOG(J939,2)</f>
        <v>-0.00249353275377418</v>
      </c>
      <c r="N939" s="2" t="n">
        <f aca="false">1/1000*LOG(1/1000,2)</f>
        <v>-0.00996578428466209</v>
      </c>
    </row>
    <row r="940" customFormat="false" ht="13" hidden="false" customHeight="false" outlineLevel="0" collapsed="false">
      <c r="A940" s="4" t="n">
        <v>62</v>
      </c>
      <c r="B940" s="2" t="n">
        <v>2.07994583340997</v>
      </c>
      <c r="C940" s="5" t="n">
        <f aca="false">B940</f>
        <v>2.07994583340997</v>
      </c>
      <c r="D940" s="5" t="n">
        <f aca="false">C940*LOG(C940)</f>
        <v>0.661530984371426</v>
      </c>
      <c r="E940" s="5"/>
      <c r="F940" s="5"/>
      <c r="G940" s="4" t="n">
        <v>939</v>
      </c>
      <c r="H940" s="6" t="n">
        <v>0.061</v>
      </c>
      <c r="J940" s="2" t="n">
        <f aca="false">B940/$B$1003</f>
        <v>0.000203283376322386</v>
      </c>
      <c r="K940" s="5" t="n">
        <f aca="false">J940*LOG(J940,2)</f>
        <v>-0.00249311207745186</v>
      </c>
      <c r="N940" s="2" t="n">
        <f aca="false">1/1000*LOG(1/1000,2)</f>
        <v>-0.00996578428466209</v>
      </c>
    </row>
    <row r="941" customFormat="false" ht="13" hidden="false" customHeight="false" outlineLevel="0" collapsed="false">
      <c r="A941" s="4" t="n">
        <v>61</v>
      </c>
      <c r="B941" s="2" t="n">
        <v>2.06564970393669</v>
      </c>
      <c r="C941" s="5" t="n">
        <f aca="false">B941</f>
        <v>2.06564970393669</v>
      </c>
      <c r="D941" s="5" t="n">
        <f aca="false">C941*LOG(C941)</f>
        <v>0.650796727642352</v>
      </c>
      <c r="E941" s="5"/>
      <c r="F941" s="5"/>
      <c r="G941" s="4" t="n">
        <v>940</v>
      </c>
      <c r="H941" s="6" t="n">
        <v>0.06</v>
      </c>
      <c r="J941" s="2" t="n">
        <f aca="false">B941/$B$1003</f>
        <v>0.000201886144999825</v>
      </c>
      <c r="K941" s="5" t="n">
        <f aca="false">J941*LOG(J941,2)</f>
        <v>-0.00247798496015872</v>
      </c>
      <c r="N941" s="2" t="n">
        <f aca="false">1/1000*LOG(1/1000,2)</f>
        <v>-0.00996578428466209</v>
      </c>
    </row>
    <row r="942" customFormat="false" ht="13" hidden="false" customHeight="false" outlineLevel="0" collapsed="false">
      <c r="A942" s="4" t="n">
        <v>60</v>
      </c>
      <c r="B942" s="2" t="n">
        <v>2.05943181702605</v>
      </c>
      <c r="C942" s="5" t="n">
        <f aca="false">B942</f>
        <v>2.05943181702605</v>
      </c>
      <c r="D942" s="5" t="n">
        <f aca="false">C942*LOG(C942)</f>
        <v>0.646141415252718</v>
      </c>
      <c r="E942" s="5"/>
      <c r="F942" s="5"/>
      <c r="G942" s="4" t="n">
        <v>941</v>
      </c>
      <c r="H942" s="6" t="n">
        <v>0.059</v>
      </c>
      <c r="J942" s="2" t="n">
        <f aca="false">B942/$B$1003</f>
        <v>0.000201278440210363</v>
      </c>
      <c r="K942" s="5" t="n">
        <f aca="false">J942*LOG(J942,2)</f>
        <v>-0.00247140129979242</v>
      </c>
      <c r="N942" s="2" t="n">
        <f aca="false">1/1000*LOG(1/1000,2)</f>
        <v>-0.00996578428466209</v>
      </c>
    </row>
    <row r="943" customFormat="false" ht="13" hidden="false" customHeight="false" outlineLevel="0" collapsed="false">
      <c r="A943" s="4" t="n">
        <v>59</v>
      </c>
      <c r="B943" s="2" t="n">
        <v>2.0567950511786</v>
      </c>
      <c r="C943" s="5" t="n">
        <f aca="false">B943</f>
        <v>2.0567950511786</v>
      </c>
      <c r="D943" s="5" t="n">
        <f aca="false">C943*LOG(C943)</f>
        <v>0.644169737309236</v>
      </c>
      <c r="E943" s="5"/>
      <c r="F943" s="5"/>
      <c r="G943" s="4" t="n">
        <v>942</v>
      </c>
      <c r="H943" s="6" t="n">
        <v>0.058</v>
      </c>
      <c r="J943" s="2" t="n">
        <f aca="false">B943/$B$1003</f>
        <v>0.000201020736064691</v>
      </c>
      <c r="K943" s="5" t="n">
        <f aca="false">J943*LOG(J943,2)</f>
        <v>-0.00246860862473885</v>
      </c>
      <c r="N943" s="2" t="n">
        <f aca="false">1/1000*LOG(1/1000,2)</f>
        <v>-0.00996578428466209</v>
      </c>
    </row>
    <row r="944" customFormat="false" ht="13" hidden="false" customHeight="false" outlineLevel="0" collapsed="false">
      <c r="A944" s="4" t="n">
        <v>58</v>
      </c>
      <c r="B944" s="2" t="n">
        <v>2.05264845129523</v>
      </c>
      <c r="C944" s="5" t="n">
        <f aca="false">B944</f>
        <v>2.05264845129523</v>
      </c>
      <c r="D944" s="5" t="n">
        <f aca="false">C944*LOG(C944)</f>
        <v>0.641072030537261</v>
      </c>
      <c r="E944" s="5"/>
      <c r="F944" s="5"/>
      <c r="G944" s="4" t="n">
        <v>943</v>
      </c>
      <c r="H944" s="6" t="n">
        <v>0.057</v>
      </c>
      <c r="J944" s="2" t="n">
        <f aca="false">B944/$B$1003</f>
        <v>0.000200615468383673</v>
      </c>
      <c r="K944" s="5" t="n">
        <f aca="false">J944*LOG(J944,2)</f>
        <v>-0.00246421587636452</v>
      </c>
      <c r="N944" s="2" t="n">
        <f aca="false">1/1000*LOG(1/1000,2)</f>
        <v>-0.00996578428466209</v>
      </c>
    </row>
    <row r="945" customFormat="false" ht="13" hidden="false" customHeight="false" outlineLevel="0" collapsed="false">
      <c r="A945" s="4" t="n">
        <v>57</v>
      </c>
      <c r="B945" s="2" t="n">
        <v>2.04199988109167</v>
      </c>
      <c r="C945" s="5" t="n">
        <f aca="false">B945</f>
        <v>2.04199988109167</v>
      </c>
      <c r="D945" s="5" t="n">
        <f aca="false">C945*LOG(C945)</f>
        <v>0.63313372797788</v>
      </c>
      <c r="E945" s="5"/>
      <c r="F945" s="5"/>
      <c r="G945" s="4" t="n">
        <v>944</v>
      </c>
      <c r="H945" s="6" t="n">
        <v>0.056</v>
      </c>
      <c r="J945" s="2" t="n">
        <f aca="false">B945/$B$1003</f>
        <v>0.000199574731038876</v>
      </c>
      <c r="K945" s="5" t="n">
        <f aca="false">J945*LOG(J945,2)</f>
        <v>-0.00245292977389828</v>
      </c>
      <c r="N945" s="2" t="n">
        <f aca="false">1/1000*LOG(1/1000,2)</f>
        <v>-0.00996578428466209</v>
      </c>
    </row>
    <row r="946" customFormat="false" ht="13" hidden="false" customHeight="false" outlineLevel="0" collapsed="false">
      <c r="A946" s="4" t="n">
        <v>56</v>
      </c>
      <c r="B946" s="2" t="n">
        <v>2.03982850473176</v>
      </c>
      <c r="C946" s="5" t="n">
        <f aca="false">B946</f>
        <v>2.03982850473176</v>
      </c>
      <c r="D946" s="5" t="n">
        <f aca="false">C946*LOG(C946)</f>
        <v>0.631517965122239</v>
      </c>
      <c r="E946" s="5"/>
      <c r="F946" s="5"/>
      <c r="G946" s="4" t="n">
        <v>945</v>
      </c>
      <c r="H946" s="6" t="n">
        <v>0.055</v>
      </c>
      <c r="J946" s="2" t="n">
        <f aca="false">B946/$B$1003</f>
        <v>0.000199362511705748</v>
      </c>
      <c r="K946" s="5" t="n">
        <f aca="false">J946*LOG(J946,2)</f>
        <v>-0.00245062743699884</v>
      </c>
      <c r="N946" s="2" t="n">
        <f aca="false">1/1000*LOG(1/1000,2)</f>
        <v>-0.00996578428466209</v>
      </c>
    </row>
    <row r="947" customFormat="false" ht="13" hidden="false" customHeight="false" outlineLevel="0" collapsed="false">
      <c r="A947" s="4" t="n">
        <v>55</v>
      </c>
      <c r="B947" s="2" t="n">
        <v>2.03865820702981</v>
      </c>
      <c r="C947" s="5" t="n">
        <f aca="false">B947</f>
        <v>2.03865820702981</v>
      </c>
      <c r="D947" s="5" t="n">
        <f aca="false">C947*LOG(C947)</f>
        <v>0.630647540370021</v>
      </c>
      <c r="E947" s="5"/>
      <c r="F947" s="5"/>
      <c r="G947" s="4" t="n">
        <v>946</v>
      </c>
      <c r="H947" s="6" t="n">
        <v>0.054</v>
      </c>
      <c r="J947" s="2" t="n">
        <f aca="false">B947/$B$1003</f>
        <v>0.000199248132732828</v>
      </c>
      <c r="K947" s="5" t="n">
        <f aca="false">J947*LOG(J947,2)</f>
        <v>-0.00244938642089666</v>
      </c>
      <c r="N947" s="2" t="n">
        <f aca="false">1/1000*LOG(1/1000,2)</f>
        <v>-0.00996578428466209</v>
      </c>
    </row>
    <row r="948" customFormat="false" ht="13" hidden="false" customHeight="false" outlineLevel="0" collapsed="false">
      <c r="A948" s="4" t="n">
        <v>54</v>
      </c>
      <c r="B948" s="2" t="n">
        <v>2.0344511174103</v>
      </c>
      <c r="C948" s="5" t="n">
        <f aca="false">B948</f>
        <v>2.0344511174103</v>
      </c>
      <c r="D948" s="5" t="n">
        <f aca="false">C948*LOG(C948)</f>
        <v>0.627520871433306</v>
      </c>
      <c r="E948" s="5"/>
      <c r="F948" s="5"/>
      <c r="G948" s="4" t="n">
        <v>947</v>
      </c>
      <c r="H948" s="6" t="n">
        <v>0.053</v>
      </c>
      <c r="J948" s="2" t="n">
        <f aca="false">B948/$B$1003</f>
        <v>0.00019883695309122</v>
      </c>
      <c r="K948" s="5" t="n">
        <f aca="false">J948*LOG(J948,2)</f>
        <v>-0.00244492432377886</v>
      </c>
      <c r="N948" s="2" t="n">
        <f aca="false">1/1000*LOG(1/1000,2)</f>
        <v>-0.00996578428466209</v>
      </c>
    </row>
    <row r="949" customFormat="false" ht="13" hidden="false" customHeight="false" outlineLevel="0" collapsed="false">
      <c r="A949" s="4" t="n">
        <v>53</v>
      </c>
      <c r="B949" s="2" t="n">
        <v>2.03433822839406</v>
      </c>
      <c r="C949" s="5" t="n">
        <f aca="false">B949</f>
        <v>2.03433822839406</v>
      </c>
      <c r="D949" s="5" t="n">
        <f aca="false">C949*LOG(C949)</f>
        <v>0.627437025409068</v>
      </c>
      <c r="E949" s="5"/>
      <c r="F949" s="5"/>
      <c r="G949" s="4" t="n">
        <v>948</v>
      </c>
      <c r="H949" s="6" t="n">
        <v>0.052</v>
      </c>
      <c r="J949" s="2" t="n">
        <f aca="false">B949/$B$1003</f>
        <v>0.000198825919890258</v>
      </c>
      <c r="K949" s="5" t="n">
        <f aca="false">J949*LOG(J949,2)</f>
        <v>-0.00244480457524705</v>
      </c>
      <c r="N949" s="2" t="n">
        <f aca="false">1/1000*LOG(1/1000,2)</f>
        <v>-0.00996578428466209</v>
      </c>
    </row>
    <row r="950" customFormat="false" ht="13" hidden="false" customHeight="false" outlineLevel="0" collapsed="false">
      <c r="A950" s="4" t="n">
        <v>52</v>
      </c>
      <c r="B950" s="2" t="n">
        <v>2.02984879268479</v>
      </c>
      <c r="C950" s="5" t="n">
        <f aca="false">B950</f>
        <v>2.02984879268479</v>
      </c>
      <c r="D950" s="5" t="n">
        <f aca="false">C950*LOG(C950)</f>
        <v>0.624104795256636</v>
      </c>
      <c r="E950" s="5"/>
      <c r="F950" s="5"/>
      <c r="G950" s="4" t="n">
        <v>949</v>
      </c>
      <c r="H950" s="6" t="n">
        <v>0.051</v>
      </c>
      <c r="J950" s="2" t="n">
        <f aca="false">B950/$B$1003</f>
        <v>0.000198387145171174</v>
      </c>
      <c r="K950" s="5" t="n">
        <f aca="false">J950*LOG(J950,2)</f>
        <v>-0.00244004162979507</v>
      </c>
      <c r="N950" s="2" t="n">
        <f aca="false">1/1000*LOG(1/1000,2)</f>
        <v>-0.00996578428466209</v>
      </c>
    </row>
    <row r="951" customFormat="false" ht="13" hidden="false" customHeight="false" outlineLevel="0" collapsed="false">
      <c r="A951" s="4" t="n">
        <v>51</v>
      </c>
      <c r="B951" s="2" t="n">
        <v>2.0237351321498</v>
      </c>
      <c r="C951" s="5" t="n">
        <f aca="false">B951</f>
        <v>2.0237351321498</v>
      </c>
      <c r="D951" s="5" t="n">
        <f aca="false">C951*LOG(C951)</f>
        <v>0.619573940093752</v>
      </c>
      <c r="E951" s="5"/>
      <c r="F951" s="5"/>
      <c r="G951" s="4" t="n">
        <v>950</v>
      </c>
      <c r="H951" s="6" t="n">
        <v>0.05</v>
      </c>
      <c r="J951" s="2" t="n">
        <f aca="false">B951/$B$1003</f>
        <v>0.000197789626940036</v>
      </c>
      <c r="K951" s="5" t="n">
        <f aca="false">J951*LOG(J951,2)</f>
        <v>-0.00243355325485645</v>
      </c>
      <c r="L951" s="2" t="n">
        <f aca="false">SUM(J902:J951)</f>
        <v>0.0104655662148215</v>
      </c>
      <c r="N951" s="2" t="n">
        <f aca="false">1/1000*LOG(1/1000,2)</f>
        <v>-0.00996578428466209</v>
      </c>
    </row>
    <row r="952" customFormat="false" ht="13" hidden="false" customHeight="false" outlineLevel="0" collapsed="false">
      <c r="A952" s="4" t="n">
        <v>50</v>
      </c>
      <c r="B952" s="2" t="n">
        <v>2.01974888181621</v>
      </c>
      <c r="C952" s="5" t="n">
        <f aca="false">B952</f>
        <v>2.01974888181621</v>
      </c>
      <c r="D952" s="5" t="n">
        <f aca="false">C952*LOG(C952)</f>
        <v>0.616624034538525</v>
      </c>
      <c r="E952" s="5"/>
      <c r="F952" s="5"/>
      <c r="G952" s="4" t="n">
        <v>951</v>
      </c>
      <c r="H952" s="6" t="n">
        <v>0.049</v>
      </c>
      <c r="J952" s="2" t="n">
        <f aca="false">B952/$B$1003</f>
        <v>0.000197400031012267</v>
      </c>
      <c r="K952" s="5" t="n">
        <f aca="false">J952*LOG(J952,2)</f>
        <v>-0.00242932127985168</v>
      </c>
      <c r="N952" s="2" t="n">
        <f aca="false">1/1000*LOG(1/1000,2)</f>
        <v>-0.00996578428466209</v>
      </c>
    </row>
    <row r="953" customFormat="false" ht="13" hidden="false" customHeight="false" outlineLevel="0" collapsed="false">
      <c r="A953" s="4" t="n">
        <v>49</v>
      </c>
      <c r="B953" s="2" t="n">
        <v>2.01608541448422</v>
      </c>
      <c r="C953" s="5" t="n">
        <f aca="false">B953</f>
        <v>2.01608541448422</v>
      </c>
      <c r="D953" s="5" t="n">
        <f aca="false">C953*LOG(C953)</f>
        <v>0.61391600771772</v>
      </c>
      <c r="E953" s="5"/>
      <c r="F953" s="5"/>
      <c r="G953" s="4" t="n">
        <v>952</v>
      </c>
      <c r="H953" s="6" t="n">
        <v>0.048</v>
      </c>
      <c r="J953" s="2" t="n">
        <f aca="false">B953/$B$1003</f>
        <v>0.00019704198226103</v>
      </c>
      <c r="K953" s="5" t="n">
        <f aca="false">J953*LOG(J953,2)</f>
        <v>-0.00242543100701625</v>
      </c>
      <c r="N953" s="2" t="n">
        <f aca="false">1/1000*LOG(1/1000,2)</f>
        <v>-0.00996578428466209</v>
      </c>
    </row>
    <row r="954" customFormat="false" ht="13" hidden="false" customHeight="false" outlineLevel="0" collapsed="false">
      <c r="A954" s="4" t="n">
        <v>48</v>
      </c>
      <c r="B954" s="2" t="n">
        <v>2.00464778678997</v>
      </c>
      <c r="C954" s="5" t="n">
        <f aca="false">B954</f>
        <v>2.00464778678997</v>
      </c>
      <c r="D954" s="5" t="n">
        <f aca="false">C954*LOG(C954)</f>
        <v>0.605479966305319</v>
      </c>
      <c r="E954" s="5"/>
      <c r="F954" s="5"/>
      <c r="G954" s="4" t="n">
        <v>953</v>
      </c>
      <c r="H954" s="6" t="n">
        <v>0.047</v>
      </c>
      <c r="J954" s="2" t="n">
        <f aca="false">B954/$B$1003</f>
        <v>0.000195924126431586</v>
      </c>
      <c r="K954" s="5" t="n">
        <f aca="false">J954*LOG(J954,2)</f>
        <v>-0.00241327922734897</v>
      </c>
      <c r="N954" s="2" t="n">
        <f aca="false">1/1000*LOG(1/1000,2)</f>
        <v>-0.00996578428466209</v>
      </c>
    </row>
    <row r="955" customFormat="false" ht="13" hidden="false" customHeight="false" outlineLevel="0" collapsed="false">
      <c r="A955" s="4" t="n">
        <v>47</v>
      </c>
      <c r="B955" s="2" t="n">
        <v>2.0012169733709</v>
      </c>
      <c r="C955" s="5" t="n">
        <f aca="false">B955</f>
        <v>2.0012169733709</v>
      </c>
      <c r="D955" s="5" t="n">
        <f aca="false">C955*LOG(C955)</f>
        <v>0.602955022403687</v>
      </c>
      <c r="E955" s="5"/>
      <c r="F955" s="5"/>
      <c r="G955" s="4" t="n">
        <v>954</v>
      </c>
      <c r="H955" s="6" t="n">
        <v>0.046</v>
      </c>
      <c r="J955" s="2" t="n">
        <f aca="false">B955/$B$1003</f>
        <v>0.000195588816096019</v>
      </c>
      <c r="K955" s="5" t="n">
        <f aca="false">J955*LOG(J955,2)</f>
        <v>-0.00240963240638517</v>
      </c>
      <c r="N955" s="2" t="n">
        <f aca="false">1/1000*LOG(1/1000,2)</f>
        <v>-0.00996578428466209</v>
      </c>
    </row>
    <row r="956" customFormat="false" ht="13" hidden="false" customHeight="false" outlineLevel="0" collapsed="false">
      <c r="A956" s="4" t="n">
        <v>46</v>
      </c>
      <c r="B956" s="2" t="n">
        <v>1.9993650491474</v>
      </c>
      <c r="C956" s="5" t="n">
        <f aca="false">B956</f>
        <v>1.9993650491474</v>
      </c>
      <c r="D956" s="5" t="n">
        <f aca="false">C956*LOG(C956)</f>
        <v>0.601593140201448</v>
      </c>
      <c r="E956" s="5"/>
      <c r="F956" s="5"/>
      <c r="G956" s="4" t="n">
        <v>955</v>
      </c>
      <c r="H956" s="6" t="n">
        <v>0.045</v>
      </c>
      <c r="J956" s="2" t="n">
        <f aca="false">B956/$B$1003</f>
        <v>0.000195407818397522</v>
      </c>
      <c r="K956" s="5" t="n">
        <f aca="false">J956*LOG(J956,2)</f>
        <v>-0.00240766353854329</v>
      </c>
      <c r="N956" s="2" t="n">
        <f aca="false">1/1000*LOG(1/1000,2)</f>
        <v>-0.00996578428466209</v>
      </c>
    </row>
    <row r="957" customFormat="false" ht="13" hidden="false" customHeight="false" outlineLevel="0" collapsed="false">
      <c r="A957" s="4" t="n">
        <v>45</v>
      </c>
      <c r="B957" s="2" t="n">
        <v>1.99592737705098</v>
      </c>
      <c r="C957" s="5" t="n">
        <f aca="false">B957</f>
        <v>1.99592737705098</v>
      </c>
      <c r="D957" s="5" t="n">
        <f aca="false">C957*LOG(C957)</f>
        <v>0.599067094039286</v>
      </c>
      <c r="E957" s="5"/>
      <c r="F957" s="5"/>
      <c r="G957" s="4" t="n">
        <v>956</v>
      </c>
      <c r="H957" s="6" t="n">
        <v>0.044</v>
      </c>
      <c r="J957" s="2" t="n">
        <f aca="false">B957/$B$1003</f>
        <v>0.000195071837729552</v>
      </c>
      <c r="K957" s="5" t="n">
        <f aca="false">J957*LOG(J957,2)</f>
        <v>-0.00240400814610754</v>
      </c>
      <c r="N957" s="2" t="n">
        <f aca="false">1/1000*LOG(1/1000,2)</f>
        <v>-0.00996578428466209</v>
      </c>
    </row>
    <row r="958" customFormat="false" ht="13" hidden="false" customHeight="false" outlineLevel="0" collapsed="false">
      <c r="A958" s="4" t="n">
        <v>44</v>
      </c>
      <c r="B958" s="2" t="n">
        <v>1.99312157468194</v>
      </c>
      <c r="C958" s="5" t="n">
        <f aca="false">B958</f>
        <v>1.99312157468194</v>
      </c>
      <c r="D958" s="5" t="n">
        <f aca="false">C958*LOG(C958)</f>
        <v>0.597007259638518</v>
      </c>
      <c r="E958" s="5"/>
      <c r="F958" s="5"/>
      <c r="G958" s="4" t="n">
        <v>957</v>
      </c>
      <c r="H958" s="6" t="n">
        <v>0.043</v>
      </c>
      <c r="J958" s="2" t="n">
        <f aca="false">B958/$B$1003</f>
        <v>0.000194797612809984</v>
      </c>
      <c r="K958" s="5" t="n">
        <f aca="false">J958*LOG(J958,2)</f>
        <v>-0.00240102402330824</v>
      </c>
      <c r="N958" s="2" t="n">
        <f aca="false">1/1000*LOG(1/1000,2)</f>
        <v>-0.00996578428466209</v>
      </c>
    </row>
    <row r="959" customFormat="false" ht="13" hidden="false" customHeight="false" outlineLevel="0" collapsed="false">
      <c r="A959" s="4" t="n">
        <v>43</v>
      </c>
      <c r="B959" s="2" t="n">
        <v>1.99149484566516</v>
      </c>
      <c r="C959" s="5" t="n">
        <f aca="false">B959</f>
        <v>1.99149484566516</v>
      </c>
      <c r="D959" s="5" t="n">
        <f aca="false">C959*LOG(C959)</f>
        <v>0.595813808277574</v>
      </c>
      <c r="E959" s="5"/>
      <c r="F959" s="5"/>
      <c r="G959" s="4" t="n">
        <v>958</v>
      </c>
      <c r="H959" s="6" t="n">
        <v>0.042</v>
      </c>
      <c r="J959" s="2" t="n">
        <f aca="false">B959/$B$1003</f>
        <v>0.000194638624550972</v>
      </c>
      <c r="K959" s="5" t="n">
        <f aca="false">J959*LOG(J959,2)</f>
        <v>-0.00239929365388394</v>
      </c>
      <c r="N959" s="2" t="n">
        <f aca="false">1/1000*LOG(1/1000,2)</f>
        <v>-0.00996578428466209</v>
      </c>
    </row>
    <row r="960" customFormat="false" ht="13" hidden="false" customHeight="false" outlineLevel="0" collapsed="false">
      <c r="A960" s="4" t="n">
        <v>42</v>
      </c>
      <c r="B960" s="2" t="n">
        <v>1.98457529308007</v>
      </c>
      <c r="C960" s="5" t="n">
        <f aca="false">B960</f>
        <v>1.98457529308007</v>
      </c>
      <c r="D960" s="5" t="n">
        <f aca="false">C960*LOG(C960)</f>
        <v>0.590743725443953</v>
      </c>
      <c r="E960" s="5"/>
      <c r="F960" s="5"/>
      <c r="G960" s="4" t="n">
        <v>959</v>
      </c>
      <c r="H960" s="6" t="n">
        <v>0.041</v>
      </c>
      <c r="J960" s="2" t="n">
        <f aca="false">B960/$B$1003</f>
        <v>0.000193962342510574</v>
      </c>
      <c r="K960" s="5" t="n">
        <f aca="false">J960*LOG(J960,2)</f>
        <v>-0.00239193115486949</v>
      </c>
      <c r="N960" s="2" t="n">
        <f aca="false">1/1000*LOG(1/1000,2)</f>
        <v>-0.00996578428466209</v>
      </c>
    </row>
    <row r="961" customFormat="false" ht="13" hidden="false" customHeight="false" outlineLevel="0" collapsed="false">
      <c r="A961" s="4" t="n">
        <v>41</v>
      </c>
      <c r="B961" s="2" t="n">
        <v>1.98172651779032</v>
      </c>
      <c r="C961" s="5" t="n">
        <f aca="false">B961</f>
        <v>1.98172651779032</v>
      </c>
      <c r="D961" s="5" t="n">
        <f aca="false">C961*LOG(C961)</f>
        <v>0.588659418413137</v>
      </c>
      <c r="E961" s="5"/>
      <c r="F961" s="5"/>
      <c r="G961" s="4" t="n">
        <v>960</v>
      </c>
      <c r="H961" s="6" t="n">
        <v>0.04</v>
      </c>
      <c r="J961" s="2" t="n">
        <f aca="false">B961/$B$1003</f>
        <v>0.000193683917635281</v>
      </c>
      <c r="K961" s="5" t="n">
        <f aca="false">J961*LOG(J961,2)</f>
        <v>-0.00238889903093286</v>
      </c>
      <c r="N961" s="2" t="n">
        <f aca="false">1/1000*LOG(1/1000,2)</f>
        <v>-0.00996578428466209</v>
      </c>
    </row>
    <row r="962" customFormat="false" ht="13" hidden="false" customHeight="false" outlineLevel="0" collapsed="false">
      <c r="A962" s="4" t="n">
        <v>40</v>
      </c>
      <c r="B962" s="2" t="n">
        <v>1.97890056715278</v>
      </c>
      <c r="C962" s="5" t="n">
        <f aca="false">B962</f>
        <v>1.97890056715278</v>
      </c>
      <c r="D962" s="5" t="n">
        <f aca="false">C962*LOG(C962)</f>
        <v>0.586593568233089</v>
      </c>
      <c r="E962" s="5"/>
      <c r="F962" s="5"/>
      <c r="G962" s="4" t="n">
        <v>961</v>
      </c>
      <c r="H962" s="6" t="n">
        <v>0.039</v>
      </c>
      <c r="J962" s="2" t="n">
        <f aca="false">B962/$B$1003</f>
        <v>0.000193407723525947</v>
      </c>
      <c r="K962" s="5" t="n">
        <f aca="false">J962*LOG(J962,2)</f>
        <v>-0.00238589063015094</v>
      </c>
      <c r="N962" s="2" t="n">
        <f aca="false">1/1000*LOG(1/1000,2)</f>
        <v>-0.00996578428466209</v>
      </c>
    </row>
    <row r="963" customFormat="false" ht="13" hidden="false" customHeight="false" outlineLevel="0" collapsed="false">
      <c r="A963" s="4" t="n">
        <v>39</v>
      </c>
      <c r="B963" s="2" t="n">
        <v>1.96640138281691</v>
      </c>
      <c r="C963" s="5" t="n">
        <f aca="false">B963</f>
        <v>1.96640138281691</v>
      </c>
      <c r="D963" s="5" t="n">
        <f aca="false">C963*LOG(C963)</f>
        <v>0.577477363046921</v>
      </c>
      <c r="E963" s="5"/>
      <c r="F963" s="5"/>
      <c r="G963" s="4" t="n">
        <v>962</v>
      </c>
      <c r="H963" s="6" t="n">
        <v>0.038</v>
      </c>
      <c r="J963" s="2" t="n">
        <f aca="false">B963/$B$1003</f>
        <v>0.000192186116524334</v>
      </c>
      <c r="K963" s="5" t="n">
        <f aca="false">J963*LOG(J963,2)</f>
        <v>-0.00237257763309522</v>
      </c>
      <c r="N963" s="2" t="n">
        <f aca="false">1/1000*LOG(1/1000,2)</f>
        <v>-0.00996578428466209</v>
      </c>
    </row>
    <row r="964" customFormat="false" ht="13" hidden="false" customHeight="false" outlineLevel="0" collapsed="false">
      <c r="A964" s="4" t="n">
        <v>38</v>
      </c>
      <c r="B964" s="2" t="n">
        <v>1.96483994977643</v>
      </c>
      <c r="C964" s="5" t="n">
        <f aca="false">B964</f>
        <v>1.96483994977643</v>
      </c>
      <c r="D964" s="5" t="n">
        <f aca="false">C964*LOG(C964)</f>
        <v>0.576340961167445</v>
      </c>
      <c r="E964" s="5"/>
      <c r="F964" s="5"/>
      <c r="G964" s="4" t="n">
        <v>963</v>
      </c>
      <c r="H964" s="6" t="n">
        <v>0.037</v>
      </c>
      <c r="J964" s="2" t="n">
        <f aca="false">B964/$B$1003</f>
        <v>0.000192033509963494</v>
      </c>
      <c r="K964" s="5" t="n">
        <f aca="false">J964*LOG(J964,2)</f>
        <v>-0.00237091375061368</v>
      </c>
      <c r="N964" s="2" t="n">
        <f aca="false">1/1000*LOG(1/1000,2)</f>
        <v>-0.00996578428466209</v>
      </c>
    </row>
    <row r="965" customFormat="false" ht="13" hidden="false" customHeight="false" outlineLevel="0" collapsed="false">
      <c r="A965" s="4" t="n">
        <v>37</v>
      </c>
      <c r="B965" s="2" t="n">
        <v>1.95762999886711</v>
      </c>
      <c r="C965" s="5" t="n">
        <f aca="false">B965</f>
        <v>1.95762999886711</v>
      </c>
      <c r="D965" s="5" t="n">
        <f aca="false">C965*LOG(C965)</f>
        <v>0.571100596768961</v>
      </c>
      <c r="E965" s="5"/>
      <c r="F965" s="5"/>
      <c r="G965" s="4" t="n">
        <v>964</v>
      </c>
      <c r="H965" s="6" t="n">
        <v>0.036</v>
      </c>
      <c r="J965" s="2" t="n">
        <f aca="false">B965/$B$1003</f>
        <v>0.000191328845860985</v>
      </c>
      <c r="K965" s="5" t="n">
        <f aca="false">J965*LOG(J965,2)</f>
        <v>-0.00236322846583777</v>
      </c>
      <c r="N965" s="2" t="n">
        <f aca="false">1/1000*LOG(1/1000,2)</f>
        <v>-0.00996578428466209</v>
      </c>
    </row>
    <row r="966" customFormat="false" ht="13" hidden="false" customHeight="false" outlineLevel="0" collapsed="false">
      <c r="A966" s="4" t="n">
        <v>36</v>
      </c>
      <c r="B966" s="2" t="n">
        <v>1.94163215148865</v>
      </c>
      <c r="C966" s="5" t="n">
        <f aca="false">B966</f>
        <v>1.94163215148865</v>
      </c>
      <c r="D966" s="5" t="n">
        <f aca="false">C966*LOG(C966)</f>
        <v>0.559514224564716</v>
      </c>
      <c r="E966" s="5"/>
      <c r="F966" s="5"/>
      <c r="G966" s="4" t="n">
        <v>965</v>
      </c>
      <c r="H966" s="6" t="n">
        <v>0.035</v>
      </c>
      <c r="J966" s="2" t="n">
        <f aca="false">B966/$B$1003</f>
        <v>0.000189765297245081</v>
      </c>
      <c r="K966" s="5" t="n">
        <f aca="false">J966*LOG(J966,2)</f>
        <v>-0.0023461625297804</v>
      </c>
      <c r="N966" s="2" t="n">
        <f aca="false">1/1000*LOG(1/1000,2)</f>
        <v>-0.00996578428466209</v>
      </c>
    </row>
    <row r="967" customFormat="false" ht="13" hidden="false" customHeight="false" outlineLevel="0" collapsed="false">
      <c r="A967" s="4" t="n">
        <v>35</v>
      </c>
      <c r="B967" s="2" t="n">
        <v>1.93044364561274</v>
      </c>
      <c r="C967" s="5" t="n">
        <f aca="false">B967</f>
        <v>1.93044364561274</v>
      </c>
      <c r="D967" s="5" t="n">
        <f aca="false">C967*LOG(C967)</f>
        <v>0.551444987616847</v>
      </c>
      <c r="E967" s="5"/>
      <c r="F967" s="5"/>
      <c r="G967" s="4" t="n">
        <v>966</v>
      </c>
      <c r="H967" s="6" t="n">
        <v>0.034</v>
      </c>
      <c r="J967" s="2" t="n">
        <f aca="false">B967/$B$1003</f>
        <v>0.000188671789321017</v>
      </c>
      <c r="K967" s="5" t="n">
        <f aca="false">J967*LOG(J967,2)</f>
        <v>-0.00233421599303408</v>
      </c>
      <c r="N967" s="2" t="n">
        <f aca="false">1/1000*LOG(1/1000,2)</f>
        <v>-0.00996578428466209</v>
      </c>
    </row>
    <row r="968" customFormat="false" ht="13" hidden="false" customHeight="false" outlineLevel="0" collapsed="false">
      <c r="A968" s="4" t="n">
        <v>34</v>
      </c>
      <c r="B968" s="2" t="n">
        <v>1.9222762646159</v>
      </c>
      <c r="C968" s="5" t="n">
        <f aca="false">B968</f>
        <v>1.9222762646159</v>
      </c>
      <c r="D968" s="5" t="n">
        <f aca="false">C968*LOG(C968)</f>
        <v>0.545572382605254</v>
      </c>
      <c r="E968" s="5"/>
      <c r="F968" s="5"/>
      <c r="G968" s="4" t="n">
        <v>967</v>
      </c>
      <c r="H968" s="6" t="n">
        <v>0.033</v>
      </c>
      <c r="J968" s="2" t="n">
        <f aca="false">B968/$B$1003</f>
        <v>0.000187873550848611</v>
      </c>
      <c r="K968" s="5" t="n">
        <f aca="false">J968*LOG(J968,2)</f>
        <v>-0.00232548949453481</v>
      </c>
      <c r="N968" s="2" t="n">
        <f aca="false">1/1000*LOG(1/1000,2)</f>
        <v>-0.00996578428466209</v>
      </c>
    </row>
    <row r="969" customFormat="false" ht="13" hidden="false" customHeight="false" outlineLevel="0" collapsed="false">
      <c r="A969" s="4" t="n">
        <v>33</v>
      </c>
      <c r="B969" s="2" t="n">
        <v>1.92016248107666</v>
      </c>
      <c r="C969" s="5" t="n">
        <f aca="false">B969</f>
        <v>1.92016248107666</v>
      </c>
      <c r="D969" s="5" t="n">
        <f aca="false">C969*LOG(C969)</f>
        <v>0.544054957820182</v>
      </c>
      <c r="E969" s="5"/>
      <c r="F969" s="5"/>
      <c r="G969" s="4" t="n">
        <v>968</v>
      </c>
      <c r="H969" s="6" t="n">
        <v>0.032</v>
      </c>
      <c r="J969" s="2" t="n">
        <f aca="false">B969/$B$1003</f>
        <v>0.000187666960346219</v>
      </c>
      <c r="K969" s="5" t="n">
        <f aca="false">J969*LOG(J969,2)</f>
        <v>-0.00232323021070551</v>
      </c>
      <c r="N969" s="2" t="n">
        <f aca="false">1/1000*LOG(1/1000,2)</f>
        <v>-0.00996578428466209</v>
      </c>
    </row>
    <row r="970" customFormat="false" ht="13" hidden="false" customHeight="false" outlineLevel="0" collapsed="false">
      <c r="A970" s="4" t="n">
        <v>32</v>
      </c>
      <c r="B970" s="2" t="n">
        <v>1.91858440732813</v>
      </c>
      <c r="C970" s="5" t="n">
        <f aca="false">B970</f>
        <v>1.91858440732813</v>
      </c>
      <c r="D970" s="5" t="n">
        <f aca="false">C970*LOG(C970)</f>
        <v>0.54292276257365</v>
      </c>
      <c r="E970" s="5"/>
      <c r="F970" s="5"/>
      <c r="G970" s="4" t="n">
        <v>969</v>
      </c>
      <c r="H970" s="6" t="n">
        <v>0.031</v>
      </c>
      <c r="J970" s="2" t="n">
        <f aca="false">B970/$B$1003</f>
        <v>0.000187512727406816</v>
      </c>
      <c r="K970" s="5" t="n">
        <f aca="false">J970*LOG(J970,2)</f>
        <v>-0.0023215432978546</v>
      </c>
      <c r="N970" s="2" t="n">
        <f aca="false">1/1000*LOG(1/1000,2)</f>
        <v>-0.00996578428466209</v>
      </c>
    </row>
    <row r="971" customFormat="false" ht="13" hidden="false" customHeight="false" outlineLevel="0" collapsed="false">
      <c r="A971" s="4" t="n">
        <v>31</v>
      </c>
      <c r="B971" s="2" t="n">
        <v>1.91407284290563</v>
      </c>
      <c r="C971" s="5" t="n">
        <f aca="false">B971</f>
        <v>1.91407284290563</v>
      </c>
      <c r="D971" s="5" t="n">
        <f aca="false">C971*LOG(C971)</f>
        <v>0.539689033949326</v>
      </c>
      <c r="E971" s="5"/>
      <c r="F971" s="5"/>
      <c r="G971" s="4" t="n">
        <v>970</v>
      </c>
      <c r="H971" s="6" t="n">
        <v>0.03</v>
      </c>
      <c r="J971" s="2" t="n">
        <f aca="false">B971/$B$1003</f>
        <v>0.000187071789939325</v>
      </c>
      <c r="K971" s="5" t="n">
        <f aca="false">J971*LOG(J971,2)</f>
        <v>-0.00231671956259997</v>
      </c>
      <c r="N971" s="2" t="n">
        <f aca="false">1/1000*LOG(1/1000,2)</f>
        <v>-0.00996578428466209</v>
      </c>
    </row>
    <row r="972" customFormat="false" ht="13" hidden="false" customHeight="false" outlineLevel="0" collapsed="false">
      <c r="A972" s="4" t="n">
        <v>30</v>
      </c>
      <c r="B972" s="2" t="n">
        <v>1.9119448589181</v>
      </c>
      <c r="C972" s="5" t="n">
        <f aca="false">B972</f>
        <v>1.9119448589181</v>
      </c>
      <c r="D972" s="5" t="n">
        <f aca="false">C972*LOG(C972)</f>
        <v>0.53816537307248</v>
      </c>
      <c r="E972" s="5"/>
      <c r="F972" s="5"/>
      <c r="G972" s="4" t="n">
        <v>971</v>
      </c>
      <c r="H972" s="6" t="n">
        <v>0.029</v>
      </c>
      <c r="J972" s="2" t="n">
        <f aca="false">B972/$B$1003</f>
        <v>0.000186863811557006</v>
      </c>
      <c r="K972" s="5" t="n">
        <f aca="false">J972*LOG(J972,2)</f>
        <v>-0.00231444381580896</v>
      </c>
      <c r="N972" s="2" t="n">
        <f aca="false">1/1000*LOG(1/1000,2)</f>
        <v>-0.00996578428466209</v>
      </c>
    </row>
    <row r="973" customFormat="false" ht="13" hidden="false" customHeight="false" outlineLevel="0" collapsed="false">
      <c r="A973" s="4" t="n">
        <v>29</v>
      </c>
      <c r="B973" s="2" t="n">
        <v>1.89825327295557</v>
      </c>
      <c r="C973" s="5" t="n">
        <f aca="false">B973</f>
        <v>1.89825327295557</v>
      </c>
      <c r="D973" s="5" t="n">
        <f aca="false">C973*LOG(C973)</f>
        <v>0.52838669024606</v>
      </c>
      <c r="E973" s="5"/>
      <c r="F973" s="5"/>
      <c r="G973" s="4" t="n">
        <v>972</v>
      </c>
      <c r="H973" s="6" t="n">
        <v>0.028</v>
      </c>
      <c r="J973" s="2" t="n">
        <f aca="false">B973/$B$1003</f>
        <v>0.000185525665256769</v>
      </c>
      <c r="K973" s="5" t="n">
        <f aca="false">J973*LOG(J973,2)</f>
        <v>-0.00229979351159421</v>
      </c>
      <c r="N973" s="2" t="n">
        <f aca="false">1/1000*LOG(1/1000,2)</f>
        <v>-0.00996578428466209</v>
      </c>
    </row>
    <row r="974" customFormat="false" ht="13" hidden="false" customHeight="false" outlineLevel="0" collapsed="false">
      <c r="A974" s="4" t="n">
        <v>28</v>
      </c>
      <c r="B974" s="2" t="n">
        <v>1.89685938203775</v>
      </c>
      <c r="C974" s="5" t="n">
        <f aca="false">B974</f>
        <v>1.89685938203775</v>
      </c>
      <c r="D974" s="5" t="n">
        <f aca="false">C974*LOG(C974)</f>
        <v>0.527393558092785</v>
      </c>
      <c r="E974" s="5"/>
      <c r="F974" s="5"/>
      <c r="G974" s="4" t="n">
        <v>973</v>
      </c>
      <c r="H974" s="6" t="n">
        <v>0.027</v>
      </c>
      <c r="J974" s="2" t="n">
        <f aca="false">B974/$B$1003</f>
        <v>0.000185389433414838</v>
      </c>
      <c r="K974" s="5" t="n">
        <f aca="false">J974*LOG(J974,2)</f>
        <v>-0.00229830123775533</v>
      </c>
      <c r="N974" s="2" t="n">
        <f aca="false">1/1000*LOG(1/1000,2)</f>
        <v>-0.00996578428466209</v>
      </c>
    </row>
    <row r="975" customFormat="false" ht="13" hidden="false" customHeight="false" outlineLevel="0" collapsed="false">
      <c r="A975" s="4" t="n">
        <v>27</v>
      </c>
      <c r="B975" s="2" t="n">
        <v>1.8923631036314</v>
      </c>
      <c r="C975" s="5" t="n">
        <f aca="false">B975</f>
        <v>1.8923631036314</v>
      </c>
      <c r="D975" s="5" t="n">
        <f aca="false">C975*LOG(C975)</f>
        <v>0.524193041971546</v>
      </c>
      <c r="E975" s="5"/>
      <c r="F975" s="5"/>
      <c r="G975" s="4" t="n">
        <v>974</v>
      </c>
      <c r="H975" s="6" t="n">
        <v>0.026</v>
      </c>
      <c r="J975" s="2" t="n">
        <f aca="false">B975/$B$1003</f>
        <v>0.000184949989925183</v>
      </c>
      <c r="K975" s="5" t="n">
        <f aca="false">J975*LOG(J975,2)</f>
        <v>-0.00229348662037858</v>
      </c>
      <c r="N975" s="2" t="n">
        <f aca="false">1/1000*LOG(1/1000,2)</f>
        <v>-0.00996578428466209</v>
      </c>
    </row>
    <row r="976" customFormat="false" ht="13" hidden="false" customHeight="false" outlineLevel="0" collapsed="false">
      <c r="A976" s="4" t="n">
        <v>26</v>
      </c>
      <c r="B976" s="2" t="n">
        <v>1.89139792286142</v>
      </c>
      <c r="C976" s="5" t="n">
        <f aca="false">B976</f>
        <v>1.89139792286142</v>
      </c>
      <c r="D976" s="5" t="n">
        <f aca="false">C976*LOG(C976)</f>
        <v>0.52350661681531</v>
      </c>
      <c r="E976" s="5"/>
      <c r="F976" s="5"/>
      <c r="G976" s="4" t="n">
        <v>975</v>
      </c>
      <c r="H976" s="6" t="n">
        <v>0.025</v>
      </c>
      <c r="J976" s="2" t="n">
        <f aca="false">B976/$B$1003</f>
        <v>0.000184855658042818</v>
      </c>
      <c r="K976" s="5" t="n">
        <f aca="false">J976*LOG(J976,2)</f>
        <v>-0.00229245290801965</v>
      </c>
      <c r="N976" s="2" t="n">
        <f aca="false">1/1000*LOG(1/1000,2)</f>
        <v>-0.00996578428466209</v>
      </c>
    </row>
    <row r="977" customFormat="false" ht="13" hidden="false" customHeight="false" outlineLevel="0" collapsed="false">
      <c r="A977" s="4" t="n">
        <v>25</v>
      </c>
      <c r="B977" s="2" t="n">
        <v>1.88839794185196</v>
      </c>
      <c r="C977" s="5" t="n">
        <f aca="false">B977</f>
        <v>1.88839794185196</v>
      </c>
      <c r="D977" s="5" t="n">
        <f aca="false">C977*LOG(C977)</f>
        <v>0.52137443195395</v>
      </c>
      <c r="E977" s="5"/>
      <c r="F977" s="5"/>
      <c r="G977" s="4" t="n">
        <v>976</v>
      </c>
      <c r="H977" s="6" t="n">
        <v>0.024</v>
      </c>
      <c r="J977" s="2" t="n">
        <f aca="false">B977/$B$1003</f>
        <v>0.000184562455085938</v>
      </c>
      <c r="K977" s="5" t="n">
        <f aca="false">J977*LOG(J977,2)</f>
        <v>-0.00228923947313521</v>
      </c>
      <c r="N977" s="2" t="n">
        <f aca="false">1/1000*LOG(1/1000,2)</f>
        <v>-0.00996578428466209</v>
      </c>
    </row>
    <row r="978" customFormat="false" ht="13" hidden="false" customHeight="false" outlineLevel="0" collapsed="false">
      <c r="A978" s="4" t="n">
        <v>24</v>
      </c>
      <c r="B978" s="2" t="n">
        <v>1.88124634173664</v>
      </c>
      <c r="C978" s="5" t="n">
        <f aca="false">B978</f>
        <v>1.88124634173664</v>
      </c>
      <c r="D978" s="5" t="n">
        <f aca="false">C978*LOG(C978)</f>
        <v>0.516299909704792</v>
      </c>
      <c r="E978" s="5"/>
      <c r="F978" s="5"/>
      <c r="G978" s="4" t="n">
        <v>977</v>
      </c>
      <c r="H978" s="6" t="n">
        <v>0.023</v>
      </c>
      <c r="J978" s="2" t="n">
        <f aca="false">B978/$B$1003</f>
        <v>0.000183863493894643</v>
      </c>
      <c r="K978" s="5" t="n">
        <f aca="false">J978*LOG(J978,2)</f>
        <v>-0.00228157631179452</v>
      </c>
      <c r="N978" s="2" t="n">
        <f aca="false">1/1000*LOG(1/1000,2)</f>
        <v>-0.00996578428466209</v>
      </c>
    </row>
    <row r="979" customFormat="false" ht="13" hidden="false" customHeight="false" outlineLevel="0" collapsed="false">
      <c r="A979" s="4" t="n">
        <v>23</v>
      </c>
      <c r="B979" s="2" t="n">
        <v>1.87939828075923</v>
      </c>
      <c r="C979" s="5" t="n">
        <f aca="false">B979</f>
        <v>1.87939828075923</v>
      </c>
      <c r="D979" s="5" t="n">
        <f aca="false">C979*LOG(C979)</f>
        <v>0.514990509041374</v>
      </c>
      <c r="E979" s="5"/>
      <c r="F979" s="5"/>
      <c r="G979" s="4" t="n">
        <v>978</v>
      </c>
      <c r="H979" s="6" t="n">
        <v>0.022</v>
      </c>
      <c r="J979" s="2" t="n">
        <f aca="false">B979/$B$1003</f>
        <v>0.000183682873770261</v>
      </c>
      <c r="K979" s="5" t="n">
        <f aca="false">J979*LOG(J979,2)</f>
        <v>-0.00227959543443003</v>
      </c>
      <c r="N979" s="2" t="n">
        <f aca="false">1/1000*LOG(1/1000,2)</f>
        <v>-0.00996578428466209</v>
      </c>
    </row>
    <row r="980" customFormat="false" ht="13" hidden="false" customHeight="false" outlineLevel="0" collapsed="false">
      <c r="A980" s="4" t="n">
        <v>22</v>
      </c>
      <c r="B980" s="2" t="n">
        <v>1.8788488311925</v>
      </c>
      <c r="C980" s="5" t="n">
        <f aca="false">B980</f>
        <v>1.8788488311925</v>
      </c>
      <c r="D980" s="5" t="n">
        <f aca="false">C980*LOG(C980)</f>
        <v>0.514601361486235</v>
      </c>
      <c r="E980" s="5"/>
      <c r="F980" s="5"/>
      <c r="G980" s="4" t="n">
        <v>979</v>
      </c>
      <c r="H980" s="6" t="n">
        <v>0.021</v>
      </c>
      <c r="J980" s="2" t="n">
        <f aca="false">B980/$B$1003</f>
        <v>0.00018362917335112</v>
      </c>
      <c r="K980" s="5" t="n">
        <f aca="false">J980*LOG(J980,2)</f>
        <v>-0.00227900644763524</v>
      </c>
      <c r="N980" s="2" t="n">
        <f aca="false">1/1000*LOG(1/1000,2)</f>
        <v>-0.00996578428466209</v>
      </c>
    </row>
    <row r="981" customFormat="false" ht="13" hidden="false" customHeight="false" outlineLevel="0" collapsed="false">
      <c r="A981" s="4" t="n">
        <v>21</v>
      </c>
      <c r="B981" s="2" t="n">
        <v>1.87847876565229</v>
      </c>
      <c r="C981" s="5" t="n">
        <f aca="false">B981</f>
        <v>1.87847876565229</v>
      </c>
      <c r="D981" s="5" t="n">
        <f aca="false">C981*LOG(C981)</f>
        <v>0.514339301961649</v>
      </c>
      <c r="E981" s="5"/>
      <c r="F981" s="5"/>
      <c r="G981" s="4" t="n">
        <v>980</v>
      </c>
      <c r="H981" s="6" t="n">
        <v>0.02</v>
      </c>
      <c r="J981" s="2" t="n">
        <f aca="false">B981/$B$1003</f>
        <v>0.000183593005018625</v>
      </c>
      <c r="K981" s="5" t="n">
        <f aca="false">J981*LOG(J981,2)</f>
        <v>-0.00227860974019381</v>
      </c>
      <c r="N981" s="2" t="n">
        <f aca="false">1/1000*LOG(1/1000,2)</f>
        <v>-0.00996578428466209</v>
      </c>
    </row>
    <row r="982" customFormat="false" ht="13" hidden="false" customHeight="false" outlineLevel="0" collapsed="false">
      <c r="A982" s="4" t="n">
        <v>20</v>
      </c>
      <c r="B982" s="2" t="n">
        <v>1.87669399055574</v>
      </c>
      <c r="C982" s="5" t="n">
        <f aca="false">B982</f>
        <v>1.87669399055574</v>
      </c>
      <c r="D982" s="5" t="n">
        <f aca="false">C982*LOG(C982)</f>
        <v>0.513075869680984</v>
      </c>
      <c r="E982" s="5"/>
      <c r="F982" s="5"/>
      <c r="G982" s="4" t="n">
        <v>981</v>
      </c>
      <c r="H982" s="6" t="n">
        <v>0.019</v>
      </c>
      <c r="J982" s="2" t="n">
        <f aca="false">B982/$B$1003</f>
        <v>0.000183418570135863</v>
      </c>
      <c r="K982" s="5" t="n">
        <f aca="false">J982*LOG(J982,2)</f>
        <v>-0.00227669633050327</v>
      </c>
      <c r="N982" s="2" t="n">
        <f aca="false">1/1000*LOG(1/1000,2)</f>
        <v>-0.00996578428466209</v>
      </c>
    </row>
    <row r="983" customFormat="false" ht="13" hidden="false" customHeight="false" outlineLevel="0" collapsed="false">
      <c r="A983" s="4" t="n">
        <v>19</v>
      </c>
      <c r="B983" s="2" t="n">
        <v>1.87643641986739</v>
      </c>
      <c r="C983" s="5" t="n">
        <f aca="false">B983</f>
        <v>1.87643641986739</v>
      </c>
      <c r="D983" s="5" t="n">
        <f aca="false">C983*LOG(C983)</f>
        <v>0.512893597686479</v>
      </c>
      <c r="E983" s="5"/>
      <c r="F983" s="5"/>
      <c r="G983" s="4" t="n">
        <v>982</v>
      </c>
      <c r="H983" s="6" t="n">
        <v>0.018</v>
      </c>
      <c r="J983" s="2" t="n">
        <f aca="false">B983/$B$1003</f>
        <v>0.000183393396480699</v>
      </c>
      <c r="K983" s="5" t="n">
        <f aca="false">J983*LOG(J983,2)</f>
        <v>-0.00227642017609432</v>
      </c>
      <c r="N983" s="2" t="n">
        <f aca="false">1/1000*LOG(1/1000,2)</f>
        <v>-0.00996578428466209</v>
      </c>
    </row>
    <row r="984" customFormat="false" ht="13" hidden="false" customHeight="false" outlineLevel="0" collapsed="false">
      <c r="A984" s="4" t="n">
        <v>18</v>
      </c>
      <c r="B984" s="2" t="n">
        <v>1.86497709255627</v>
      </c>
      <c r="C984" s="5" t="n">
        <f aca="false">B984</f>
        <v>1.86497709255627</v>
      </c>
      <c r="D984" s="5" t="n">
        <f aca="false">C984*LOG(C984)</f>
        <v>0.504799880334364</v>
      </c>
      <c r="E984" s="5"/>
      <c r="F984" s="5"/>
      <c r="G984" s="4" t="n">
        <v>983</v>
      </c>
      <c r="H984" s="6" t="n">
        <v>0.017</v>
      </c>
      <c r="J984" s="2" t="n">
        <f aca="false">B984/$B$1003</f>
        <v>0.000182273419840554</v>
      </c>
      <c r="K984" s="5" t="n">
        <f aca="false">J984*LOG(J984,2)</f>
        <v>-0.00226412900378678</v>
      </c>
      <c r="N984" s="2" t="n">
        <f aca="false">1/1000*LOG(1/1000,2)</f>
        <v>-0.00996578428466209</v>
      </c>
    </row>
    <row r="985" customFormat="false" ht="13" hidden="false" customHeight="false" outlineLevel="0" collapsed="false">
      <c r="A985" s="4" t="n">
        <v>17</v>
      </c>
      <c r="B985" s="2" t="n">
        <v>1.86419003378023</v>
      </c>
      <c r="C985" s="5" t="n">
        <f aca="false">B985</f>
        <v>1.86419003378023</v>
      </c>
      <c r="D985" s="5" t="n">
        <f aca="false">C985*LOG(C985)</f>
        <v>0.504245101232694</v>
      </c>
      <c r="E985" s="5"/>
      <c r="F985" s="5"/>
      <c r="G985" s="4" t="n">
        <v>984</v>
      </c>
      <c r="H985" s="6" t="n">
        <v>0.016</v>
      </c>
      <c r="J985" s="2" t="n">
        <f aca="false">B985/$B$1003</f>
        <v>0.000182196496700159</v>
      </c>
      <c r="K985" s="5" t="n">
        <f aca="false">J985*LOG(J985,2)</f>
        <v>-0.0022632844478891</v>
      </c>
      <c r="N985" s="2" t="n">
        <f aca="false">1/1000*LOG(1/1000,2)</f>
        <v>-0.00996578428466209</v>
      </c>
    </row>
    <row r="986" customFormat="false" ht="13" hidden="false" customHeight="false" outlineLevel="0" collapsed="false">
      <c r="A986" s="4" t="n">
        <v>16</v>
      </c>
      <c r="B986" s="2" t="n">
        <v>1.86108775976709</v>
      </c>
      <c r="C986" s="5" t="n">
        <f aca="false">B986</f>
        <v>1.86108775976709</v>
      </c>
      <c r="D986" s="5" t="n">
        <f aca="false">C986*LOG(C986)</f>
        <v>0.502059787756469</v>
      </c>
      <c r="E986" s="5"/>
      <c r="F986" s="5"/>
      <c r="G986" s="4" t="n">
        <v>985</v>
      </c>
      <c r="H986" s="6" t="n">
        <v>0.015</v>
      </c>
      <c r="J986" s="2" t="n">
        <f aca="false">B986/$B$1003</f>
        <v>0.000181893296142943</v>
      </c>
      <c r="K986" s="5" t="n">
        <f aca="false">J986*LOG(J986,2)</f>
        <v>-0.00225995508649331</v>
      </c>
      <c r="N986" s="2" t="n">
        <f aca="false">1/1000*LOG(1/1000,2)</f>
        <v>-0.00996578428466209</v>
      </c>
    </row>
    <row r="987" customFormat="false" ht="13" hidden="false" customHeight="false" outlineLevel="0" collapsed="false">
      <c r="A987" s="4" t="n">
        <v>15</v>
      </c>
      <c r="B987" s="2" t="n">
        <v>1.84248269551608</v>
      </c>
      <c r="C987" s="5" t="n">
        <f aca="false">B987</f>
        <v>1.84248269551608</v>
      </c>
      <c r="D987" s="5" t="n">
        <f aca="false">C987*LOG(C987)</f>
        <v>0.48900120441219</v>
      </c>
      <c r="E987" s="5"/>
      <c r="F987" s="5"/>
      <c r="G987" s="4" t="n">
        <v>986</v>
      </c>
      <c r="H987" s="6" t="n">
        <v>0.014</v>
      </c>
      <c r="J987" s="2" t="n">
        <f aca="false">B987/$B$1003</f>
        <v>0.000180074931348587</v>
      </c>
      <c r="K987" s="5" t="n">
        <f aca="false">J987*LOG(J987,2)</f>
        <v>-0.00223997278421269</v>
      </c>
      <c r="N987" s="2" t="n">
        <f aca="false">1/1000*LOG(1/1000,2)</f>
        <v>-0.00996578428466209</v>
      </c>
    </row>
    <row r="988" customFormat="false" ht="13" hidden="false" customHeight="false" outlineLevel="0" collapsed="false">
      <c r="A988" s="4" t="n">
        <v>14</v>
      </c>
      <c r="B988" s="2" t="n">
        <v>1.84140455809029</v>
      </c>
      <c r="C988" s="5" t="n">
        <f aca="false">B988</f>
        <v>1.84140455809029</v>
      </c>
      <c r="D988" s="5" t="n">
        <f aca="false">C988*LOG(C988)</f>
        <v>0.488246970939867</v>
      </c>
      <c r="E988" s="5"/>
      <c r="F988" s="5"/>
      <c r="G988" s="4" t="n">
        <v>987</v>
      </c>
      <c r="H988" s="6" t="n">
        <v>0.013</v>
      </c>
      <c r="J988" s="2" t="n">
        <f aca="false">B988/$B$1003</f>
        <v>0.00017996955965451</v>
      </c>
      <c r="K988" s="5" t="n">
        <f aca="false">J988*LOG(J988,2)</f>
        <v>-0.00223881402832409</v>
      </c>
      <c r="N988" s="2" t="n">
        <f aca="false">1/1000*LOG(1/1000,2)</f>
        <v>-0.00996578428466209</v>
      </c>
    </row>
    <row r="989" customFormat="false" ht="13" hidden="false" customHeight="false" outlineLevel="0" collapsed="false">
      <c r="A989" s="4" t="n">
        <v>13</v>
      </c>
      <c r="B989" s="2" t="n">
        <v>1.84025407500712</v>
      </c>
      <c r="C989" s="5" t="n">
        <f aca="false">B989</f>
        <v>1.84025407500712</v>
      </c>
      <c r="D989" s="5" t="n">
        <f aca="false">C989*LOG(C989)</f>
        <v>0.487442428919388</v>
      </c>
      <c r="E989" s="5"/>
      <c r="F989" s="5"/>
      <c r="G989" s="4" t="n">
        <v>988</v>
      </c>
      <c r="H989" s="6" t="n">
        <v>0.012</v>
      </c>
      <c r="J989" s="2" t="n">
        <f aca="false">B989/$B$1003</f>
        <v>0.000179857117262121</v>
      </c>
      <c r="K989" s="5" t="n">
        <f aca="false">J989*LOG(J989,2)</f>
        <v>-0.00223757741891477</v>
      </c>
      <c r="N989" s="2" t="n">
        <f aca="false">1/1000*LOG(1/1000,2)</f>
        <v>-0.00996578428466209</v>
      </c>
    </row>
    <row r="990" customFormat="false" ht="13" hidden="false" customHeight="false" outlineLevel="0" collapsed="false">
      <c r="A990" s="4" t="n">
        <v>12</v>
      </c>
      <c r="B990" s="2" t="n">
        <v>1.83796550161833</v>
      </c>
      <c r="C990" s="5" t="n">
        <f aca="false">B990</f>
        <v>1.83796550161833</v>
      </c>
      <c r="D990" s="5" t="n">
        <f aca="false">C990*LOG(C990)</f>
        <v>0.485842940149687</v>
      </c>
      <c r="E990" s="5"/>
      <c r="F990" s="5"/>
      <c r="G990" s="4" t="n">
        <v>989</v>
      </c>
      <c r="H990" s="6" t="n">
        <v>0.011</v>
      </c>
      <c r="J990" s="2" t="n">
        <f aca="false">B990/$B$1003</f>
        <v>0.000179633443684683</v>
      </c>
      <c r="K990" s="5" t="n">
        <f aca="false">J990*LOG(J990,2)</f>
        <v>-0.00223511721902407</v>
      </c>
      <c r="N990" s="2" t="n">
        <f aca="false">1/1000*LOG(1/1000,2)</f>
        <v>-0.00996578428466209</v>
      </c>
    </row>
    <row r="991" customFormat="false" ht="13" hidden="false" customHeight="false" outlineLevel="0" collapsed="false">
      <c r="A991" s="4" t="n">
        <v>11</v>
      </c>
      <c r="B991" s="2" t="n">
        <v>1.83415564367988</v>
      </c>
      <c r="C991" s="5" t="n">
        <f aca="false">B991</f>
        <v>1.83415564367988</v>
      </c>
      <c r="D991" s="5" t="n">
        <f aca="false">C991*LOG(C991)</f>
        <v>0.483182968167256</v>
      </c>
      <c r="E991" s="5"/>
      <c r="F991" s="5"/>
      <c r="G991" s="4" t="n">
        <v>990</v>
      </c>
      <c r="H991" s="6" t="n">
        <v>0.01</v>
      </c>
      <c r="J991" s="2" t="n">
        <f aca="false">B991/$B$1003</f>
        <v>0.000179261087456653</v>
      </c>
      <c r="K991" s="5" t="n">
        <f aca="false">J991*LOG(J991,2)</f>
        <v>-0.00223102075774768</v>
      </c>
      <c r="N991" s="2" t="n">
        <f aca="false">1/1000*LOG(1/1000,2)</f>
        <v>-0.00996578428466209</v>
      </c>
    </row>
    <row r="992" customFormat="false" ht="13" hidden="false" customHeight="false" outlineLevel="0" collapsed="false">
      <c r="A992" s="4" t="n">
        <v>10</v>
      </c>
      <c r="B992" s="2" t="n">
        <v>1.83263023558902</v>
      </c>
      <c r="C992" s="5" t="n">
        <f aca="false">B992</f>
        <v>1.83263023558902</v>
      </c>
      <c r="D992" s="5" t="n">
        <f aca="false">C992*LOG(C992)</f>
        <v>0.482118919716971</v>
      </c>
      <c r="E992" s="5"/>
      <c r="F992" s="5"/>
      <c r="G992" s="4" t="n">
        <v>991</v>
      </c>
      <c r="H992" s="6" t="n">
        <v>0.009</v>
      </c>
      <c r="J992" s="2" t="n">
        <f aca="false">B992/$B$1003</f>
        <v>0.000179112001792018</v>
      </c>
      <c r="K992" s="5" t="n">
        <f aca="false">J992*LOG(J992,2)</f>
        <v>-0.00222938028542629</v>
      </c>
      <c r="N992" s="2" t="n">
        <f aca="false">1/1000*LOG(1/1000,2)</f>
        <v>-0.00996578428466209</v>
      </c>
    </row>
    <row r="993" customFormat="false" ht="13" hidden="false" customHeight="false" outlineLevel="0" collapsed="false">
      <c r="A993" s="4" t="n">
        <v>9</v>
      </c>
      <c r="B993" s="2" t="n">
        <v>1.80533627311661</v>
      </c>
      <c r="C993" s="5" t="n">
        <f aca="false">B993</f>
        <v>1.80533627311661</v>
      </c>
      <c r="D993" s="5" t="n">
        <f aca="false">C993*LOG(C993)</f>
        <v>0.463173658817656</v>
      </c>
      <c r="E993" s="5"/>
      <c r="F993" s="5"/>
      <c r="G993" s="4" t="n">
        <v>992</v>
      </c>
      <c r="H993" s="6" t="n">
        <v>0.008</v>
      </c>
      <c r="J993" s="2" t="n">
        <f aca="false">B993/$B$1003</f>
        <v>0.000176444428071835</v>
      </c>
      <c r="K993" s="5" t="n">
        <f aca="false">J993*LOG(J993,2)</f>
        <v>-0.00219999708806929</v>
      </c>
      <c r="N993" s="2" t="n">
        <f aca="false">1/1000*LOG(1/1000,2)</f>
        <v>-0.00996578428466209</v>
      </c>
    </row>
    <row r="994" customFormat="false" ht="13" hidden="false" customHeight="false" outlineLevel="0" collapsed="false">
      <c r="A994" s="4" t="n">
        <v>8</v>
      </c>
      <c r="B994" s="2" t="n">
        <v>1.80362216037747</v>
      </c>
      <c r="C994" s="5" t="n">
        <f aca="false">B994</f>
        <v>1.80362216037747</v>
      </c>
      <c r="D994" s="5" t="n">
        <f aca="false">C994*LOG(C994)</f>
        <v>0.461989813110929</v>
      </c>
      <c r="E994" s="5"/>
      <c r="F994" s="5"/>
      <c r="G994" s="4" t="n">
        <v>993</v>
      </c>
      <c r="H994" s="6" t="n">
        <v>0.007</v>
      </c>
      <c r="J994" s="2" t="n">
        <f aca="false">B994/$B$1003</f>
        <v>0.000176276899370168</v>
      </c>
      <c r="K994" s="5" t="n">
        <f aca="false">J994*LOG(J994,2)</f>
        <v>-0.00219814983475331</v>
      </c>
      <c r="N994" s="2" t="n">
        <f aca="false">1/1000*LOG(1/1000,2)</f>
        <v>-0.00996578428466209</v>
      </c>
    </row>
    <row r="995" customFormat="false" ht="13" hidden="false" customHeight="false" outlineLevel="0" collapsed="false">
      <c r="A995" s="4" t="n">
        <v>7</v>
      </c>
      <c r="B995" s="2" t="n">
        <v>1.80099353936612</v>
      </c>
      <c r="C995" s="5" t="n">
        <f aca="false">B995</f>
        <v>1.80099353936612</v>
      </c>
      <c r="D995" s="5" t="n">
        <f aca="false">C995*LOG(C995)</f>
        <v>0.460175740194817</v>
      </c>
      <c r="E995" s="5"/>
      <c r="F995" s="5"/>
      <c r="G995" s="4" t="n">
        <v>994</v>
      </c>
      <c r="H995" s="6" t="n">
        <v>0.006</v>
      </c>
      <c r="J995" s="2" t="n">
        <f aca="false">B995/$B$1003</f>
        <v>0.000176019991259544</v>
      </c>
      <c r="K995" s="5" t="n">
        <f aca="false">J995*LOG(J995,2)</f>
        <v>-0.00219531659411881</v>
      </c>
      <c r="N995" s="2" t="n">
        <f aca="false">1/1000*LOG(1/1000,2)</f>
        <v>-0.00996578428466209</v>
      </c>
    </row>
    <row r="996" customFormat="false" ht="13" hidden="false" customHeight="false" outlineLevel="0" collapsed="false">
      <c r="A996" s="4" t="n">
        <v>6</v>
      </c>
      <c r="B996" s="2" t="n">
        <v>1.79655227686862</v>
      </c>
      <c r="C996" s="5" t="n">
        <f aca="false">B996</f>
        <v>1.79655227686862</v>
      </c>
      <c r="D996" s="5" t="n">
        <f aca="false">C996*LOG(C996)</f>
        <v>0.457114508042146</v>
      </c>
      <c r="E996" s="5"/>
      <c r="F996" s="5"/>
      <c r="G996" s="4" t="n">
        <v>995</v>
      </c>
      <c r="H996" s="6" t="n">
        <v>0.005</v>
      </c>
      <c r="J996" s="2" t="n">
        <f aca="false">B996/$B$1003</f>
        <v>0.00017558592474631</v>
      </c>
      <c r="K996" s="5" t="n">
        <f aca="false">J996*LOG(J996,2)</f>
        <v>-0.00219052838107915</v>
      </c>
      <c r="N996" s="2" t="n">
        <f aca="false">1/1000*LOG(1/1000,2)</f>
        <v>-0.00996578428466209</v>
      </c>
    </row>
    <row r="997" customFormat="false" ht="13" hidden="false" customHeight="false" outlineLevel="0" collapsed="false">
      <c r="A997" s="4" t="n">
        <v>5</v>
      </c>
      <c r="B997" s="2" t="n">
        <v>1.7833455726759</v>
      </c>
      <c r="C997" s="5" t="n">
        <f aca="false">B997</f>
        <v>1.7833455726759</v>
      </c>
      <c r="D997" s="5" t="n">
        <f aca="false">C997*LOG(C997)</f>
        <v>0.448039730772603</v>
      </c>
      <c r="E997" s="5"/>
      <c r="F997" s="5"/>
      <c r="G997" s="4" t="n">
        <v>996</v>
      </c>
      <c r="H997" s="6" t="n">
        <v>0.004</v>
      </c>
      <c r="J997" s="2" t="n">
        <f aca="false">B997/$B$1003</f>
        <v>0.000174295168335607</v>
      </c>
      <c r="K997" s="5" t="n">
        <f aca="false">J997*LOG(J997,2)</f>
        <v>-0.00217628081058249</v>
      </c>
      <c r="N997" s="2" t="n">
        <f aca="false">1/1000*LOG(1/1000,2)</f>
        <v>-0.00996578428466209</v>
      </c>
    </row>
    <row r="998" customFormat="false" ht="13" hidden="false" customHeight="false" outlineLevel="0" collapsed="false">
      <c r="A998" s="4" t="n">
        <v>4</v>
      </c>
      <c r="B998" s="2" t="n">
        <v>1.77164247733845</v>
      </c>
      <c r="C998" s="5" t="n">
        <f aca="false">B998</f>
        <v>1.77164247733845</v>
      </c>
      <c r="D998" s="5" t="n">
        <f aca="false">C998*LOG(C998)</f>
        <v>0.440033621636638</v>
      </c>
      <c r="E998" s="5"/>
      <c r="F998" s="5"/>
      <c r="G998" s="4" t="n">
        <v>997</v>
      </c>
      <c r="H998" s="6" t="n">
        <v>0.003</v>
      </c>
      <c r="J998" s="2" t="n">
        <f aca="false">B998/$B$1003</f>
        <v>0.000173151367042609</v>
      </c>
      <c r="K998" s="5" t="n">
        <f aca="false">J998*LOG(J998,2)</f>
        <v>-0.00216364383202455</v>
      </c>
      <c r="N998" s="2" t="n">
        <f aca="false">1/1000*LOG(1/1000,2)</f>
        <v>-0.00996578428466209</v>
      </c>
    </row>
    <row r="999" customFormat="false" ht="13" hidden="false" customHeight="false" outlineLevel="0" collapsed="false">
      <c r="A999" s="4" t="n">
        <v>3</v>
      </c>
      <c r="B999" s="2" t="n">
        <v>1.76774813417933</v>
      </c>
      <c r="C999" s="5" t="n">
        <f aca="false">B999</f>
        <v>1.76774813417933</v>
      </c>
      <c r="D999" s="5" t="n">
        <f aca="false">C999*LOG(C999)</f>
        <v>0.437376928409928</v>
      </c>
      <c r="E999" s="5"/>
      <c r="F999" s="5"/>
      <c r="G999" s="4" t="n">
        <v>998</v>
      </c>
      <c r="H999" s="6" t="n">
        <v>0.002</v>
      </c>
      <c r="J999" s="2" t="n">
        <f aca="false">B999/$B$1003</f>
        <v>0.000172770753656805</v>
      </c>
      <c r="K999" s="5" t="n">
        <f aca="false">J999*LOG(J999,2)</f>
        <v>-0.00215943631457236</v>
      </c>
      <c r="N999" s="2" t="n">
        <f aca="false">1/1000*LOG(1/1000,2)</f>
        <v>-0.00996578428466209</v>
      </c>
    </row>
    <row r="1000" customFormat="false" ht="13" hidden="false" customHeight="false" outlineLevel="0" collapsed="false">
      <c r="A1000" s="4" t="n">
        <v>2</v>
      </c>
      <c r="B1000" s="2" t="n">
        <v>1.75130573038723</v>
      </c>
      <c r="C1000" s="5" t="n">
        <f aca="false">B1000</f>
        <v>1.75130573038723</v>
      </c>
      <c r="D1000" s="5" t="n">
        <f aca="false">C1000*LOG(C1000)</f>
        <v>0.426201210370867</v>
      </c>
      <c r="E1000" s="5"/>
      <c r="F1000" s="5"/>
      <c r="G1000" s="4" t="n">
        <v>999</v>
      </c>
      <c r="H1000" s="6" t="n">
        <v>0.001</v>
      </c>
      <c r="J1000" s="2" t="n">
        <f aca="false">B1000/$B$1003</f>
        <v>0.000171163756347537</v>
      </c>
      <c r="K1000" s="5" t="n">
        <f aca="false">J1000*LOG(J1000,2)</f>
        <v>-0.00214165828218833</v>
      </c>
      <c r="N1000" s="2" t="n">
        <f aca="false">1/1000*LOG(1/1000,2)</f>
        <v>-0.00996578428466209</v>
      </c>
    </row>
    <row r="1001" customFormat="false" ht="14" hidden="false" customHeight="false" outlineLevel="0" collapsed="false">
      <c r="A1001" s="8" t="n">
        <v>1</v>
      </c>
      <c r="B1001" s="2" t="n">
        <v>1.75123064126046</v>
      </c>
      <c r="C1001" s="5" t="n">
        <f aca="false">B1001</f>
        <v>1.75123064126046</v>
      </c>
      <c r="D1001" s="5" t="n">
        <f aca="false">C1001*LOG(C1001)</f>
        <v>0.426150326438863</v>
      </c>
      <c r="E1001" s="9"/>
      <c r="F1001" s="9"/>
      <c r="G1001" s="8" t="n">
        <v>1000</v>
      </c>
      <c r="H1001" s="10" t="n">
        <v>0</v>
      </c>
      <c r="J1001" s="2" t="n">
        <f aca="false">B1001/$B$1003</f>
        <v>0.000171156417516415</v>
      </c>
      <c r="K1001" s="5" t="n">
        <f aca="false">J1001*LOG(J1001,2)</f>
        <v>-0.00214157704374213</v>
      </c>
      <c r="L1001" s="2" t="n">
        <f aca="false">SUM(J952:J1001)</f>
        <v>0.00925589900657944</v>
      </c>
      <c r="N1001" s="2" t="n">
        <f aca="false">1/1000*LOG(1/1000,2)</f>
        <v>-0.00996578428466209</v>
      </c>
    </row>
    <row r="1002" customFormat="false" ht="13" hidden="false" customHeight="false" outlineLevel="0" collapsed="false">
      <c r="D1002" s="2" t="n">
        <f aca="false">-SUM(D2:D1001)</f>
        <v>-11480.5941420761</v>
      </c>
      <c r="K1002" s="2" t="n">
        <f aca="false">-SUM(K2:K1001)</f>
        <v>9.59337955970506</v>
      </c>
      <c r="N1002" s="2" t="n">
        <f aca="false">-SUM(N2:N1001)</f>
        <v>9.96578428466209</v>
      </c>
    </row>
    <row r="1003" customFormat="false" ht="13" hidden="false" customHeight="false" outlineLevel="0" collapsed="false">
      <c r="B1003" s="2" t="n">
        <f aca="false">SUM(B2:B1001)</f>
        <v>10231.7556459284</v>
      </c>
      <c r="L1003" s="2" t="n">
        <f aca="false">SUM(L1:L1001)</f>
        <v>1.05</v>
      </c>
    </row>
    <row r="1005" customFormat="false" ht="13" hidden="false" customHeight="false" outlineLevel="0" collapsed="false">
      <c r="B1005" s="2" t="n">
        <f aca="false">AVERAGE(B2:B1001)</f>
        <v>10.2317556459284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:E1003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2" t="s">
        <v>18</v>
      </c>
      <c r="B1" s="2" t="s">
        <v>19</v>
      </c>
    </row>
    <row r="2" customFormat="false" ht="13" hidden="false" customHeight="false" outlineLevel="0" collapsed="false">
      <c r="A2" s="2" t="s">
        <v>20</v>
      </c>
      <c r="B2" s="2" t="s">
        <v>20</v>
      </c>
    </row>
    <row r="3" customFormat="false" ht="13" hidden="false" customHeight="false" outlineLevel="0" collapsed="false">
      <c r="A3" s="2" t="s">
        <v>21</v>
      </c>
      <c r="B3" s="2" t="s">
        <v>21</v>
      </c>
      <c r="C3" s="2" t="s">
        <v>1</v>
      </c>
      <c r="E3" s="2" t="s">
        <v>1</v>
      </c>
    </row>
    <row r="4" customFormat="false" ht="13" hidden="false" customHeight="false" outlineLevel="0" collapsed="false">
      <c r="E4" s="2" t="n">
        <v>31.0409837692682</v>
      </c>
    </row>
    <row r="5" customFormat="false" ht="13" hidden="false" customHeight="false" outlineLevel="0" collapsed="false">
      <c r="A5" s="2" t="n">
        <v>1.9993650491474</v>
      </c>
      <c r="B5" s="2" t="n">
        <v>0</v>
      </c>
      <c r="C5" s="2" t="n">
        <f aca="false">MAX(A5,B5)</f>
        <v>1.9993650491474</v>
      </c>
      <c r="E5" s="2" t="n">
        <v>29.8813905750341</v>
      </c>
    </row>
    <row r="6" customFormat="false" ht="13" hidden="false" customHeight="false" outlineLevel="0" collapsed="false">
      <c r="A6" s="2" t="n">
        <v>3.80793497296662</v>
      </c>
      <c r="B6" s="2" t="n">
        <v>0</v>
      </c>
      <c r="C6" s="2" t="n">
        <f aca="false">MAX(A6,B6)</f>
        <v>3.80793497296662</v>
      </c>
      <c r="E6" s="2" t="n">
        <v>29.1932123172863</v>
      </c>
    </row>
    <row r="7" customFormat="false" ht="13" hidden="false" customHeight="false" outlineLevel="0" collapsed="false">
      <c r="A7" s="2" t="n">
        <v>5.43860052606459</v>
      </c>
      <c r="B7" s="2" t="n">
        <v>0</v>
      </c>
      <c r="C7" s="2" t="n">
        <f aca="false">MAX(A7,B7)</f>
        <v>5.43860052606459</v>
      </c>
      <c r="E7" s="2" t="n">
        <v>29.1470289632548</v>
      </c>
    </row>
    <row r="8" customFormat="false" ht="13" hidden="false" customHeight="false" outlineLevel="0" collapsed="false">
      <c r="A8" s="2" t="n">
        <v>0</v>
      </c>
      <c r="B8" s="2" t="n">
        <v>2.0344511174103</v>
      </c>
      <c r="C8" s="2" t="n">
        <f aca="false">MAX(A8,B8)</f>
        <v>2.0344511174103</v>
      </c>
      <c r="E8" s="2" t="n">
        <v>28.956997052905</v>
      </c>
    </row>
    <row r="9" customFormat="false" ht="13" hidden="false" customHeight="false" outlineLevel="0" collapsed="false">
      <c r="A9" s="2" t="n">
        <v>0</v>
      </c>
      <c r="B9" s="2" t="n">
        <v>1.99149484566516</v>
      </c>
      <c r="C9" s="2" t="n">
        <f aca="false">MAX(A9,B9)</f>
        <v>1.99149484566516</v>
      </c>
      <c r="E9" s="2" t="n">
        <v>28.0426053470551</v>
      </c>
    </row>
    <row r="10" customFormat="false" ht="13" hidden="false" customHeight="false" outlineLevel="0" collapsed="false">
      <c r="A10" s="2" t="n">
        <v>4.33414799497239</v>
      </c>
      <c r="B10" s="2" t="n">
        <v>0</v>
      </c>
      <c r="C10" s="2" t="n">
        <f aca="false">MAX(A10,B10)</f>
        <v>4.33414799497239</v>
      </c>
      <c r="E10" s="2" t="n">
        <v>27.9942722172746</v>
      </c>
    </row>
    <row r="11" customFormat="false" ht="13" hidden="false" customHeight="false" outlineLevel="0" collapsed="false">
      <c r="A11" s="2" t="n">
        <v>5.96654914038787</v>
      </c>
      <c r="B11" s="2" t="n">
        <v>0</v>
      </c>
      <c r="C11" s="2" t="n">
        <f aca="false">MAX(A11,B11)</f>
        <v>5.96654914038787</v>
      </c>
      <c r="E11" s="2" t="n">
        <v>27.7687654377423</v>
      </c>
    </row>
    <row r="12" customFormat="false" ht="13" hidden="false" customHeight="false" outlineLevel="0" collapsed="false">
      <c r="A12" s="2" t="n">
        <v>6.53120290522556</v>
      </c>
      <c r="B12" s="2" t="n">
        <v>0</v>
      </c>
      <c r="C12" s="2" t="n">
        <f aca="false">MAX(A12,B12)</f>
        <v>6.53120290522556</v>
      </c>
      <c r="E12" s="2" t="n">
        <v>27.753684218451</v>
      </c>
    </row>
    <row r="13" customFormat="false" ht="13" hidden="false" customHeight="false" outlineLevel="0" collapsed="false">
      <c r="A13" s="2" t="n">
        <v>0</v>
      </c>
      <c r="B13" s="2" t="n">
        <v>2.17637220727147</v>
      </c>
      <c r="C13" s="2" t="n">
        <f aca="false">MAX(A13,B13)</f>
        <v>2.17637220727147</v>
      </c>
      <c r="E13" s="2" t="n">
        <v>27.6613480203328</v>
      </c>
    </row>
    <row r="14" customFormat="false" ht="13" hidden="false" customHeight="false" outlineLevel="0" collapsed="false">
      <c r="A14" s="2" t="n">
        <v>0</v>
      </c>
      <c r="B14" s="2" t="n">
        <v>3.4635880523339</v>
      </c>
      <c r="C14" s="2" t="n">
        <f aca="false">MAX(A14,B14)</f>
        <v>3.4635880523339</v>
      </c>
      <c r="E14" s="2" t="n">
        <v>27.472092082792</v>
      </c>
    </row>
    <row r="15" customFormat="false" ht="13" hidden="false" customHeight="false" outlineLevel="0" collapsed="false">
      <c r="A15" s="2" t="n">
        <v>0</v>
      </c>
      <c r="B15" s="2" t="n">
        <v>5.22292559741085</v>
      </c>
      <c r="C15" s="2" t="n">
        <f aca="false">MAX(A15,B15)</f>
        <v>5.22292559741085</v>
      </c>
      <c r="E15" s="2" t="n">
        <v>27.0564576604224</v>
      </c>
    </row>
    <row r="16" customFormat="false" ht="13" hidden="false" customHeight="false" outlineLevel="0" collapsed="false">
      <c r="A16" s="2" t="n">
        <v>0</v>
      </c>
      <c r="B16" s="2" t="n">
        <v>6.99343380806318</v>
      </c>
      <c r="C16" s="2" t="n">
        <f aca="false">MAX(A16,B16)</f>
        <v>6.99343380806318</v>
      </c>
      <c r="E16" s="2" t="n">
        <v>26.9204425277635</v>
      </c>
    </row>
    <row r="17" customFormat="false" ht="13" hidden="false" customHeight="false" outlineLevel="0" collapsed="false">
      <c r="A17" s="2" t="n">
        <v>2.60550277281165</v>
      </c>
      <c r="B17" s="2" t="n">
        <v>0</v>
      </c>
      <c r="C17" s="2" t="n">
        <f aca="false">MAX(A17,B17)</f>
        <v>2.60550277281165</v>
      </c>
      <c r="E17" s="2" t="n">
        <v>26.7210597471873</v>
      </c>
    </row>
    <row r="18" customFormat="false" ht="13" hidden="false" customHeight="false" outlineLevel="0" collapsed="false">
      <c r="A18" s="2" t="n">
        <v>2.7506509050189</v>
      </c>
      <c r="B18" s="2" t="n">
        <v>0</v>
      </c>
      <c r="C18" s="2" t="n">
        <f aca="false">MAX(A18,B18)</f>
        <v>2.7506509050189</v>
      </c>
      <c r="E18" s="2" t="n">
        <v>26.7208089237112</v>
      </c>
    </row>
    <row r="19" customFormat="false" ht="13" hidden="false" customHeight="false" outlineLevel="0" collapsed="false">
      <c r="A19" s="2" t="n">
        <v>3.21402390399326</v>
      </c>
      <c r="B19" s="2" t="n">
        <v>0</v>
      </c>
      <c r="C19" s="2" t="n">
        <f aca="false">MAX(A19,B19)</f>
        <v>3.21402390399326</v>
      </c>
      <c r="E19" s="2" t="n">
        <v>26.4622251327387</v>
      </c>
    </row>
    <row r="20" customFormat="false" ht="13" hidden="false" customHeight="false" outlineLevel="0" collapsed="false">
      <c r="A20" s="2" t="n">
        <v>3.24998484841036</v>
      </c>
      <c r="B20" s="2" t="n">
        <v>0</v>
      </c>
      <c r="C20" s="2" t="n">
        <f aca="false">MAX(A20,B20)</f>
        <v>3.24998484841036</v>
      </c>
      <c r="E20" s="2" t="n">
        <v>26.0853032841139</v>
      </c>
    </row>
    <row r="21" customFormat="false" ht="13" hidden="false" customHeight="false" outlineLevel="0" collapsed="false">
      <c r="A21" s="2" t="n">
        <v>2.44567164118699</v>
      </c>
      <c r="B21" s="2" t="n">
        <v>0</v>
      </c>
      <c r="C21" s="2" t="n">
        <f aca="false">MAX(A21,B21)</f>
        <v>2.44567164118699</v>
      </c>
      <c r="E21" s="2" t="n">
        <v>25.9994389141898</v>
      </c>
    </row>
    <row r="22" customFormat="false" ht="13" hidden="false" customHeight="false" outlineLevel="0" collapsed="false">
      <c r="A22" s="2" t="n">
        <v>2.1774379348235</v>
      </c>
      <c r="B22" s="2" t="n">
        <v>0</v>
      </c>
      <c r="C22" s="2" t="n">
        <f aca="false">MAX(A22,B22)</f>
        <v>2.1774379348235</v>
      </c>
      <c r="E22" s="2" t="n">
        <v>25.8540195212821</v>
      </c>
    </row>
    <row r="23" customFormat="false" ht="13" hidden="false" customHeight="false" outlineLevel="0" collapsed="false">
      <c r="A23" s="2" t="n">
        <v>4.2960986364482</v>
      </c>
      <c r="B23" s="2" t="n">
        <v>0</v>
      </c>
      <c r="C23" s="2" t="n">
        <f aca="false">MAX(A23,B23)</f>
        <v>4.2960986364482</v>
      </c>
      <c r="E23" s="2" t="n">
        <v>25.8394970320019</v>
      </c>
    </row>
    <row r="24" customFormat="false" ht="13" hidden="false" customHeight="false" outlineLevel="0" collapsed="false">
      <c r="A24" s="2" t="n">
        <v>0</v>
      </c>
      <c r="B24" s="2" t="n">
        <v>1.86497709255627</v>
      </c>
      <c r="C24" s="2" t="n">
        <f aca="false">MAX(A24,B24)</f>
        <v>1.86497709255627</v>
      </c>
      <c r="E24" s="2" t="n">
        <v>25.6391512919133</v>
      </c>
    </row>
    <row r="25" customFormat="false" ht="13" hidden="false" customHeight="false" outlineLevel="0" collapsed="false">
      <c r="A25" s="2" t="n">
        <v>0</v>
      </c>
      <c r="B25" s="2" t="n">
        <v>1.9119448589181</v>
      </c>
      <c r="C25" s="2" t="n">
        <f aca="false">MAX(A25,B25)</f>
        <v>1.9119448589181</v>
      </c>
      <c r="E25" s="2" t="n">
        <v>25.3248837101495</v>
      </c>
    </row>
    <row r="26" customFormat="false" ht="13" hidden="false" customHeight="false" outlineLevel="0" collapsed="false">
      <c r="A26" s="2" t="n">
        <v>3.30394703370066</v>
      </c>
      <c r="B26" s="2" t="n">
        <v>0</v>
      </c>
      <c r="C26" s="2" t="n">
        <f aca="false">MAX(A26,B26)</f>
        <v>3.30394703370066</v>
      </c>
      <c r="E26" s="2" t="n">
        <v>25.1899814179001</v>
      </c>
    </row>
    <row r="27" customFormat="false" ht="13" hidden="false" customHeight="false" outlineLevel="0" collapsed="false">
      <c r="A27" s="2" t="n">
        <v>0</v>
      </c>
      <c r="B27" s="2" t="n">
        <v>2.42388439058186</v>
      </c>
      <c r="C27" s="2" t="n">
        <f aca="false">MAX(A27,B27)</f>
        <v>2.42388439058186</v>
      </c>
      <c r="E27" s="2" t="n">
        <v>25.1703289251758</v>
      </c>
    </row>
    <row r="28" customFormat="false" ht="13" hidden="false" customHeight="false" outlineLevel="0" collapsed="false">
      <c r="A28" s="2" t="n">
        <v>3.67517388690809</v>
      </c>
      <c r="B28" s="2" t="n">
        <v>0</v>
      </c>
      <c r="C28" s="2" t="n">
        <f aca="false">MAX(A28,B28)</f>
        <v>3.67517388690809</v>
      </c>
      <c r="E28" s="2" t="n">
        <v>25.1617170903174</v>
      </c>
    </row>
    <row r="29" customFormat="false" ht="13" hidden="false" customHeight="false" outlineLevel="0" collapsed="false">
      <c r="A29" s="2" t="n">
        <v>0</v>
      </c>
      <c r="B29" s="2" t="n">
        <v>3.95596075668526</v>
      </c>
      <c r="C29" s="2" t="n">
        <f aca="false">MAX(A29,B29)</f>
        <v>3.95596075668526</v>
      </c>
      <c r="E29" s="2" t="n">
        <v>25.1234421470356</v>
      </c>
    </row>
    <row r="30" customFormat="false" ht="13" hidden="false" customHeight="false" outlineLevel="0" collapsed="false">
      <c r="A30" s="2" t="n">
        <v>5.21666829386404</v>
      </c>
      <c r="B30" s="2" t="n">
        <v>0</v>
      </c>
      <c r="C30" s="2" t="n">
        <f aca="false">MAX(A30,B30)</f>
        <v>5.21666829386404</v>
      </c>
      <c r="E30" s="2" t="n">
        <v>25.0663725264532</v>
      </c>
    </row>
    <row r="31" customFormat="false" ht="13" hidden="false" customHeight="false" outlineLevel="0" collapsed="false">
      <c r="A31" s="2" t="n">
        <v>6.56557214480018</v>
      </c>
      <c r="B31" s="2" t="n">
        <v>0</v>
      </c>
      <c r="C31" s="2" t="n">
        <f aca="false">MAX(A31,B31)</f>
        <v>6.56557214480018</v>
      </c>
      <c r="E31" s="2" t="n">
        <v>25.0353283385062</v>
      </c>
    </row>
    <row r="32" customFormat="false" ht="13" hidden="false" customHeight="false" outlineLevel="0" collapsed="false">
      <c r="A32" s="2" t="n">
        <v>0</v>
      </c>
      <c r="B32" s="2" t="n">
        <v>3.17029031034782</v>
      </c>
      <c r="C32" s="2" t="n">
        <f aca="false">MAX(A32,B32)</f>
        <v>3.17029031034782</v>
      </c>
      <c r="E32" s="2" t="n">
        <v>25.0075369565386</v>
      </c>
    </row>
    <row r="33" customFormat="false" ht="13" hidden="false" customHeight="false" outlineLevel="0" collapsed="false">
      <c r="A33" s="2" t="n">
        <v>0</v>
      </c>
      <c r="B33" s="2" t="n">
        <v>4.83304698293265</v>
      </c>
      <c r="C33" s="2" t="n">
        <f aca="false">MAX(A33,B33)</f>
        <v>4.83304698293265</v>
      </c>
      <c r="E33" s="2" t="n">
        <v>24.8440972535803</v>
      </c>
    </row>
    <row r="34" customFormat="false" ht="13" hidden="false" customHeight="false" outlineLevel="0" collapsed="false">
      <c r="A34" s="2" t="n">
        <v>3.67846969697309</v>
      </c>
      <c r="B34" s="2" t="n">
        <v>0</v>
      </c>
      <c r="C34" s="2" t="n">
        <f aca="false">MAX(A34,B34)</f>
        <v>3.67846969697309</v>
      </c>
      <c r="E34" s="2" t="n">
        <v>24.8135153523107</v>
      </c>
    </row>
    <row r="35" customFormat="false" ht="13" hidden="false" customHeight="false" outlineLevel="0" collapsed="false">
      <c r="A35" s="2" t="n">
        <v>0</v>
      </c>
      <c r="B35" s="2" t="n">
        <v>4.44983057084118</v>
      </c>
      <c r="C35" s="2" t="n">
        <f aca="false">MAX(A35,B35)</f>
        <v>4.44983057084118</v>
      </c>
      <c r="E35" s="2" t="n">
        <v>24.7316034021524</v>
      </c>
    </row>
    <row r="36" customFormat="false" ht="13" hidden="false" customHeight="false" outlineLevel="0" collapsed="false">
      <c r="A36" s="2" t="n">
        <v>5.36895574579805</v>
      </c>
      <c r="B36" s="2" t="n">
        <v>0</v>
      </c>
      <c r="C36" s="2" t="n">
        <f aca="false">MAX(A36,B36)</f>
        <v>5.36895574579805</v>
      </c>
      <c r="E36" s="2" t="n">
        <v>24.590687198807</v>
      </c>
    </row>
    <row r="37" customFormat="false" ht="13" hidden="false" customHeight="false" outlineLevel="0" collapsed="false">
      <c r="A37" s="2" t="n">
        <v>7.30236501349674</v>
      </c>
      <c r="B37" s="2" t="n">
        <v>0</v>
      </c>
      <c r="C37" s="2" t="n">
        <f aca="false">MAX(A37,B37)</f>
        <v>7.30236501349674</v>
      </c>
      <c r="E37" s="2" t="n">
        <v>24.5801264345613</v>
      </c>
    </row>
    <row r="38" customFormat="false" ht="13" hidden="false" customHeight="false" outlineLevel="0" collapsed="false">
      <c r="A38" s="2" t="n">
        <v>0</v>
      </c>
      <c r="B38" s="2" t="n">
        <v>4.36670257126023</v>
      </c>
      <c r="C38" s="2" t="n">
        <f aca="false">MAX(A38,B38)</f>
        <v>4.36670257126023</v>
      </c>
      <c r="E38" s="2" t="n">
        <v>24.3569333521875</v>
      </c>
    </row>
    <row r="39" customFormat="false" ht="13" hidden="false" customHeight="false" outlineLevel="0" collapsed="false">
      <c r="A39" s="2" t="n">
        <v>0</v>
      </c>
      <c r="B39" s="2" t="n">
        <v>3.97055425046074</v>
      </c>
      <c r="C39" s="2" t="n">
        <f aca="false">MAX(A39,B39)</f>
        <v>3.97055425046074</v>
      </c>
      <c r="E39" s="2" t="n">
        <v>24.3258958446008</v>
      </c>
    </row>
    <row r="40" customFormat="false" ht="13" hidden="false" customHeight="false" outlineLevel="0" collapsed="false">
      <c r="A40" s="2" t="n">
        <v>0</v>
      </c>
      <c r="B40" s="2" t="n">
        <v>5.88305169446148</v>
      </c>
      <c r="C40" s="2" t="n">
        <f aca="false">MAX(A40,B40)</f>
        <v>5.88305169446148</v>
      </c>
      <c r="E40" s="2" t="n">
        <v>24.2797522597033</v>
      </c>
    </row>
    <row r="41" customFormat="false" ht="13" hidden="false" customHeight="false" outlineLevel="0" collapsed="false">
      <c r="A41" s="2" t="n">
        <v>3.89451662799205</v>
      </c>
      <c r="B41" s="2" t="n">
        <v>0</v>
      </c>
      <c r="C41" s="2" t="n">
        <f aca="false">MAX(A41,B41)</f>
        <v>3.89451662799205</v>
      </c>
      <c r="E41" s="2" t="n">
        <v>24.2380349377164</v>
      </c>
    </row>
    <row r="42" customFormat="false" ht="13" hidden="false" customHeight="false" outlineLevel="0" collapsed="false">
      <c r="A42" s="2" t="n">
        <v>3.39912672290012</v>
      </c>
      <c r="B42" s="2" t="n">
        <v>0</v>
      </c>
      <c r="C42" s="2" t="n">
        <f aca="false">MAX(A42,B42)</f>
        <v>3.39912672290012</v>
      </c>
      <c r="E42" s="2" t="n">
        <v>24.1972744183981</v>
      </c>
    </row>
    <row r="43" customFormat="false" ht="13" hidden="false" customHeight="false" outlineLevel="0" collapsed="false">
      <c r="A43" s="2" t="n">
        <v>4.65986366293317</v>
      </c>
      <c r="B43" s="2" t="n">
        <v>0</v>
      </c>
      <c r="C43" s="2" t="n">
        <f aca="false">MAX(A43,B43)</f>
        <v>4.65986366293317</v>
      </c>
      <c r="E43" s="2" t="n">
        <v>24.1899790896912</v>
      </c>
    </row>
    <row r="44" customFormat="false" ht="13" hidden="false" customHeight="false" outlineLevel="0" collapsed="false">
      <c r="A44" s="2" t="n">
        <v>0</v>
      </c>
      <c r="B44" s="2" t="n">
        <v>3.4340139564072</v>
      </c>
      <c r="C44" s="2" t="n">
        <f aca="false">MAX(A44,B44)</f>
        <v>3.4340139564072</v>
      </c>
      <c r="E44" s="2" t="n">
        <v>24.1476463054313</v>
      </c>
    </row>
    <row r="45" customFormat="false" ht="13" hidden="false" customHeight="false" outlineLevel="0" collapsed="false">
      <c r="A45" s="2" t="n">
        <v>6.26010567450089</v>
      </c>
      <c r="B45" s="2" t="n">
        <v>0</v>
      </c>
      <c r="C45" s="2" t="n">
        <f aca="false">MAX(A45,B45)</f>
        <v>6.26010567450089</v>
      </c>
      <c r="E45" s="2" t="n">
        <v>24.140535283007</v>
      </c>
    </row>
    <row r="46" customFormat="false" ht="13" hidden="false" customHeight="false" outlineLevel="0" collapsed="false">
      <c r="A46" s="2" t="n">
        <v>0</v>
      </c>
      <c r="B46" s="2" t="n">
        <v>3.86593767057597</v>
      </c>
      <c r="C46" s="2" t="n">
        <f aca="false">MAX(A46,B46)</f>
        <v>3.86593767057597</v>
      </c>
      <c r="E46" s="2" t="n">
        <v>23.8455561357545</v>
      </c>
    </row>
    <row r="47" customFormat="false" ht="13" hidden="false" customHeight="false" outlineLevel="0" collapsed="false">
      <c r="A47" s="2" t="n">
        <v>0</v>
      </c>
      <c r="B47" s="2" t="n">
        <v>2.77097578324627</v>
      </c>
      <c r="C47" s="2" t="n">
        <f aca="false">MAX(A47,B47)</f>
        <v>2.77097578324627</v>
      </c>
      <c r="E47" s="2" t="n">
        <v>23.8402881821836</v>
      </c>
    </row>
    <row r="48" customFormat="false" ht="13" hidden="false" customHeight="false" outlineLevel="0" collapsed="false">
      <c r="A48" s="2" t="n">
        <v>2.94209926797994</v>
      </c>
      <c r="B48" s="2" t="n">
        <v>0</v>
      </c>
      <c r="C48" s="2" t="n">
        <f aca="false">MAX(A48,B48)</f>
        <v>2.94209926797994</v>
      </c>
      <c r="E48" s="2" t="n">
        <v>23.8065472053315</v>
      </c>
    </row>
    <row r="49" customFormat="false" ht="13" hidden="false" customHeight="false" outlineLevel="0" collapsed="false">
      <c r="A49" s="2" t="n">
        <v>0</v>
      </c>
      <c r="B49" s="2" t="n">
        <v>4.02019959245883</v>
      </c>
      <c r="C49" s="2" t="n">
        <f aca="false">MAX(A49,B49)</f>
        <v>4.02019959245883</v>
      </c>
      <c r="E49" s="2" t="n">
        <v>23.6513598776291</v>
      </c>
    </row>
    <row r="50" customFormat="false" ht="13" hidden="false" customHeight="false" outlineLevel="0" collapsed="false">
      <c r="A50" s="2" t="n">
        <v>0</v>
      </c>
      <c r="B50" s="2" t="n">
        <v>5.76040635799706</v>
      </c>
      <c r="C50" s="2" t="n">
        <f aca="false">MAX(A50,B50)</f>
        <v>5.76040635799706</v>
      </c>
      <c r="E50" s="2" t="n">
        <v>23.5615097163809</v>
      </c>
    </row>
    <row r="51" customFormat="false" ht="13" hidden="false" customHeight="false" outlineLevel="0" collapsed="false">
      <c r="A51" s="2" t="n">
        <v>0</v>
      </c>
      <c r="B51" s="2" t="n">
        <v>7.65318342373337</v>
      </c>
      <c r="C51" s="2" t="n">
        <f aca="false">MAX(A51,B51)</f>
        <v>7.65318342373337</v>
      </c>
      <c r="E51" s="2" t="n">
        <v>23.5466003005677</v>
      </c>
    </row>
    <row r="52" customFormat="false" ht="13" hidden="false" customHeight="false" outlineLevel="0" collapsed="false">
      <c r="A52" s="2" t="n">
        <v>0</v>
      </c>
      <c r="B52" s="2" t="n">
        <v>9.88367758737437</v>
      </c>
      <c r="C52" s="2" t="n">
        <f aca="false">MAX(A52,B52)</f>
        <v>9.88367758737437</v>
      </c>
      <c r="E52" s="2" t="n">
        <v>23.4859141936741</v>
      </c>
    </row>
    <row r="53" customFormat="false" ht="13" hidden="false" customHeight="false" outlineLevel="0" collapsed="false">
      <c r="A53" s="2" t="n">
        <v>0</v>
      </c>
      <c r="B53" s="2" t="n">
        <v>11.8131595013268</v>
      </c>
      <c r="C53" s="2" t="n">
        <f aca="false">MAX(A53,B53)</f>
        <v>11.8131595013268</v>
      </c>
      <c r="E53" s="2" t="n">
        <v>23.4403600875304</v>
      </c>
    </row>
    <row r="54" customFormat="false" ht="13" hidden="false" customHeight="false" outlineLevel="0" collapsed="false">
      <c r="A54" s="2" t="n">
        <v>0</v>
      </c>
      <c r="B54" s="2" t="n">
        <v>12.5169449806916</v>
      </c>
      <c r="C54" s="2" t="n">
        <f aca="false">MAX(A54,B54)</f>
        <v>12.5169449806916</v>
      </c>
      <c r="E54" s="2" t="n">
        <v>23.4050094504413</v>
      </c>
    </row>
    <row r="55" customFormat="false" ht="13" hidden="false" customHeight="false" outlineLevel="0" collapsed="false">
      <c r="A55" s="2" t="n">
        <v>2.19733183307494</v>
      </c>
      <c r="B55" s="2" t="n">
        <v>0</v>
      </c>
      <c r="C55" s="2" t="n">
        <f aca="false">MAX(A55,B55)</f>
        <v>2.19733183307494</v>
      </c>
      <c r="E55" s="2" t="n">
        <v>23.3453162588276</v>
      </c>
    </row>
    <row r="56" customFormat="false" ht="13" hidden="false" customHeight="false" outlineLevel="0" collapsed="false">
      <c r="A56" s="2" t="n">
        <v>0</v>
      </c>
      <c r="B56" s="2" t="n">
        <v>5.00378357143745</v>
      </c>
      <c r="C56" s="2" t="n">
        <f aca="false">MAX(A56,B56)</f>
        <v>5.00378357143745</v>
      </c>
      <c r="E56" s="2" t="n">
        <v>23.3241397445925</v>
      </c>
    </row>
    <row r="57" customFormat="false" ht="13" hidden="false" customHeight="false" outlineLevel="0" collapsed="false">
      <c r="A57" s="2" t="n">
        <v>2.10159612899316</v>
      </c>
      <c r="B57" s="2" t="n">
        <v>0</v>
      </c>
      <c r="C57" s="2" t="n">
        <f aca="false">MAX(A57,B57)</f>
        <v>2.10159612899316</v>
      </c>
      <c r="E57" s="2" t="n">
        <v>23.2808043377668</v>
      </c>
    </row>
    <row r="58" customFormat="false" ht="13" hidden="false" customHeight="false" outlineLevel="0" collapsed="false">
      <c r="A58" s="2" t="n">
        <v>0</v>
      </c>
      <c r="B58" s="2" t="n">
        <v>5.27238027126235</v>
      </c>
      <c r="C58" s="2" t="n">
        <f aca="false">MAX(A58,B58)</f>
        <v>5.27238027126235</v>
      </c>
      <c r="E58" s="2" t="n">
        <v>23.2305466833491</v>
      </c>
    </row>
    <row r="59" customFormat="false" ht="13" hidden="false" customHeight="false" outlineLevel="0" collapsed="false">
      <c r="A59" s="2" t="n">
        <v>1.88124634173664</v>
      </c>
      <c r="B59" s="2" t="n">
        <v>0</v>
      </c>
      <c r="C59" s="2" t="n">
        <f aca="false">MAX(A59,B59)</f>
        <v>1.88124634173664</v>
      </c>
      <c r="E59" s="2" t="n">
        <v>23.1720565725184</v>
      </c>
    </row>
    <row r="60" customFormat="false" ht="13" hidden="false" customHeight="false" outlineLevel="0" collapsed="false">
      <c r="A60" s="2" t="n">
        <v>2.89835550102373</v>
      </c>
      <c r="B60" s="2" t="n">
        <v>0</v>
      </c>
      <c r="C60" s="2" t="n">
        <f aca="false">MAX(A60,B60)</f>
        <v>2.89835550102373</v>
      </c>
      <c r="E60" s="2" t="n">
        <v>23.1617198158299</v>
      </c>
    </row>
    <row r="61" customFormat="false" ht="13" hidden="false" customHeight="false" outlineLevel="0" collapsed="false">
      <c r="A61" s="2" t="n">
        <v>0</v>
      </c>
      <c r="B61" s="2" t="n">
        <v>4.44618544331391</v>
      </c>
      <c r="C61" s="2" t="n">
        <f aca="false">MAX(A61,B61)</f>
        <v>4.44618544331391</v>
      </c>
      <c r="E61" s="2" t="n">
        <v>23.1537367894781</v>
      </c>
    </row>
    <row r="62" customFormat="false" ht="13" hidden="false" customHeight="false" outlineLevel="0" collapsed="false">
      <c r="A62" s="2" t="n">
        <v>3.27656155954162</v>
      </c>
      <c r="B62" s="2" t="n">
        <v>0</v>
      </c>
      <c r="C62" s="2" t="n">
        <f aca="false">MAX(A62,B62)</f>
        <v>3.27656155954162</v>
      </c>
      <c r="E62" s="2" t="n">
        <v>23.1255647517295</v>
      </c>
    </row>
    <row r="63" customFormat="false" ht="13" hidden="false" customHeight="false" outlineLevel="0" collapsed="false">
      <c r="A63" s="2" t="n">
        <v>0</v>
      </c>
      <c r="B63" s="2" t="n">
        <v>5.0798647363724</v>
      </c>
      <c r="C63" s="2" t="n">
        <f aca="false">MAX(A63,B63)</f>
        <v>5.0798647363724</v>
      </c>
      <c r="E63" s="2" t="n">
        <v>23.1086240208476</v>
      </c>
    </row>
    <row r="64" customFormat="false" ht="13" hidden="false" customHeight="false" outlineLevel="0" collapsed="false">
      <c r="A64" s="2" t="n">
        <v>3.06190212383328</v>
      </c>
      <c r="B64" s="2" t="n">
        <v>0</v>
      </c>
      <c r="C64" s="2" t="n">
        <f aca="false">MAX(A64,B64)</f>
        <v>3.06190212383328</v>
      </c>
      <c r="E64" s="2" t="n">
        <v>23.1038254119924</v>
      </c>
    </row>
    <row r="65" customFormat="false" ht="13" hidden="false" customHeight="false" outlineLevel="0" collapsed="false">
      <c r="A65" s="2" t="n">
        <v>0</v>
      </c>
      <c r="B65" s="2" t="n">
        <v>4.21623501641361</v>
      </c>
      <c r="C65" s="2" t="n">
        <f aca="false">MAX(A65,B65)</f>
        <v>4.21623501641361</v>
      </c>
      <c r="E65" s="2" t="n">
        <v>23.0713953985637</v>
      </c>
    </row>
    <row r="66" customFormat="false" ht="13" hidden="false" customHeight="false" outlineLevel="0" collapsed="false">
      <c r="A66" s="2" t="n">
        <v>4.30103632761011</v>
      </c>
      <c r="B66" s="2" t="n">
        <v>0</v>
      </c>
      <c r="C66" s="2" t="n">
        <f aca="false">MAX(A66,B66)</f>
        <v>4.30103632761011</v>
      </c>
      <c r="E66" s="2" t="n">
        <v>23.0668387183393</v>
      </c>
    </row>
    <row r="67" customFormat="false" ht="13" hidden="false" customHeight="false" outlineLevel="0" collapsed="false">
      <c r="A67" s="2" t="n">
        <v>0</v>
      </c>
      <c r="B67" s="2" t="n">
        <v>5.21366695464209</v>
      </c>
      <c r="C67" s="2" t="n">
        <f aca="false">MAX(A67,B67)</f>
        <v>5.21366695464209</v>
      </c>
      <c r="E67" s="2" t="n">
        <v>23.059006551525</v>
      </c>
    </row>
    <row r="68" customFormat="false" ht="13" hidden="false" customHeight="false" outlineLevel="0" collapsed="false">
      <c r="A68" s="2" t="n">
        <v>0</v>
      </c>
      <c r="B68" s="2" t="n">
        <v>6.06185455412827</v>
      </c>
      <c r="C68" s="2" t="n">
        <f aca="false">MAX(A68,B68)</f>
        <v>6.06185455412827</v>
      </c>
      <c r="E68" s="2" t="n">
        <v>22.8937944092208</v>
      </c>
    </row>
    <row r="69" customFormat="false" ht="13" hidden="false" customHeight="false" outlineLevel="0" collapsed="false">
      <c r="A69" s="2" t="n">
        <v>3.5021829696818</v>
      </c>
      <c r="B69" s="2" t="n">
        <v>0</v>
      </c>
      <c r="C69" s="2" t="n">
        <f aca="false">MAX(A69,B69)</f>
        <v>3.5021829696818</v>
      </c>
      <c r="E69" s="2" t="n">
        <v>22.8538639034281</v>
      </c>
    </row>
    <row r="70" customFormat="false" ht="13" hidden="false" customHeight="false" outlineLevel="0" collapsed="false">
      <c r="A70" s="2" t="n">
        <v>0</v>
      </c>
      <c r="B70" s="2" t="n">
        <v>6.69292628687907</v>
      </c>
      <c r="C70" s="2" t="n">
        <f aca="false">MAX(A70,B70)</f>
        <v>6.69292628687907</v>
      </c>
      <c r="E70" s="2" t="n">
        <v>22.7939248965992</v>
      </c>
    </row>
    <row r="71" customFormat="false" ht="13" hidden="false" customHeight="false" outlineLevel="0" collapsed="false">
      <c r="A71" s="2" t="n">
        <v>4.60255462656947</v>
      </c>
      <c r="B71" s="2" t="n">
        <v>0</v>
      </c>
      <c r="C71" s="2" t="n">
        <f aca="false">MAX(A71,B71)</f>
        <v>4.60255462656947</v>
      </c>
      <c r="E71" s="2" t="n">
        <v>22.6606745894151</v>
      </c>
    </row>
    <row r="72" customFormat="false" ht="13" hidden="false" customHeight="false" outlineLevel="0" collapsed="false">
      <c r="A72" s="2" t="n">
        <v>0</v>
      </c>
      <c r="B72" s="2" t="n">
        <v>8.60191670256964</v>
      </c>
      <c r="C72" s="2" t="n">
        <f aca="false">MAX(A72,B72)</f>
        <v>8.60191670256964</v>
      </c>
      <c r="E72" s="2" t="n">
        <v>22.650345518776</v>
      </c>
    </row>
    <row r="73" customFormat="false" ht="13" hidden="false" customHeight="false" outlineLevel="0" collapsed="false">
      <c r="A73" s="2" t="n">
        <v>5.96463415822448</v>
      </c>
      <c r="B73" s="2" t="n">
        <v>0</v>
      </c>
      <c r="C73" s="2" t="n">
        <f aca="false">MAX(A73,B73)</f>
        <v>5.96463415822448</v>
      </c>
      <c r="E73" s="2" t="n">
        <v>22.5984197450799</v>
      </c>
    </row>
    <row r="74" customFormat="false" ht="13" hidden="false" customHeight="false" outlineLevel="0" collapsed="false">
      <c r="A74" s="2" t="n">
        <v>5.2034054930632</v>
      </c>
      <c r="B74" s="2" t="n">
        <v>0</v>
      </c>
      <c r="C74" s="2" t="n">
        <f aca="false">MAX(A74,B74)</f>
        <v>5.2034054930632</v>
      </c>
      <c r="E74" s="2" t="n">
        <v>22.5070078008949</v>
      </c>
    </row>
    <row r="75" customFormat="false" ht="13" hidden="false" customHeight="false" outlineLevel="0" collapsed="false">
      <c r="A75" s="2" t="n">
        <v>6.7165304842684</v>
      </c>
      <c r="B75" s="2" t="n">
        <v>0</v>
      </c>
      <c r="C75" s="2" t="n">
        <f aca="false">MAX(A75,B75)</f>
        <v>6.7165304842684</v>
      </c>
      <c r="E75" s="2" t="n">
        <v>22.4662726041627</v>
      </c>
    </row>
    <row r="76" customFormat="false" ht="13" hidden="false" customHeight="false" outlineLevel="0" collapsed="false">
      <c r="A76" s="2" t="n">
        <v>0</v>
      </c>
      <c r="B76" s="2" t="n">
        <v>5.60767409260507</v>
      </c>
      <c r="C76" s="2" t="n">
        <f aca="false">MAX(A76,B76)</f>
        <v>5.60767409260507</v>
      </c>
      <c r="E76" s="2" t="n">
        <v>22.4064391747852</v>
      </c>
    </row>
    <row r="77" customFormat="false" ht="13" hidden="false" customHeight="false" outlineLevel="0" collapsed="false">
      <c r="A77" s="2" t="n">
        <v>5.85247373643854</v>
      </c>
      <c r="B77" s="2" t="n">
        <v>0</v>
      </c>
      <c r="C77" s="2" t="n">
        <f aca="false">MAX(A77,B77)</f>
        <v>5.85247373643854</v>
      </c>
      <c r="E77" s="2" t="n">
        <v>22.3311415209536</v>
      </c>
    </row>
    <row r="78" customFormat="false" ht="13" hidden="false" customHeight="false" outlineLevel="0" collapsed="false">
      <c r="A78" s="2" t="n">
        <v>0</v>
      </c>
      <c r="B78" s="2" t="n">
        <v>3.76070670225126</v>
      </c>
      <c r="C78" s="2" t="n">
        <f aca="false">MAX(A78,B78)</f>
        <v>3.76070670225126</v>
      </c>
      <c r="E78" s="2" t="n">
        <v>22.2586738151425</v>
      </c>
    </row>
    <row r="79" customFormat="false" ht="13" hidden="false" customHeight="false" outlineLevel="0" collapsed="false">
      <c r="A79" s="2" t="n">
        <v>0</v>
      </c>
      <c r="B79" s="2" t="n">
        <v>4.74458337168645</v>
      </c>
      <c r="C79" s="2" t="n">
        <f aca="false">MAX(A79,B79)</f>
        <v>4.74458337168645</v>
      </c>
      <c r="E79" s="2" t="n">
        <v>22.2205344734111</v>
      </c>
    </row>
    <row r="80" customFormat="false" ht="13" hidden="false" customHeight="false" outlineLevel="0" collapsed="false">
      <c r="A80" s="2" t="n">
        <v>0</v>
      </c>
      <c r="B80" s="2" t="n">
        <v>3.89533105706569</v>
      </c>
      <c r="C80" s="2" t="n">
        <f aca="false">MAX(A80,B80)</f>
        <v>3.89533105706569</v>
      </c>
      <c r="E80" s="2" t="n">
        <v>22.1812760707392</v>
      </c>
    </row>
    <row r="81" customFormat="false" ht="13" hidden="false" customHeight="false" outlineLevel="0" collapsed="false">
      <c r="A81" s="2" t="n">
        <v>2.00464778678997</v>
      </c>
      <c r="B81" s="2" t="n">
        <v>0</v>
      </c>
      <c r="C81" s="2" t="n">
        <f aca="false">MAX(A81,B81)</f>
        <v>2.00464778678997</v>
      </c>
      <c r="E81" s="2" t="n">
        <v>22.1661819309188</v>
      </c>
    </row>
    <row r="82" customFormat="false" ht="13" hidden="false" customHeight="false" outlineLevel="0" collapsed="false">
      <c r="A82" s="2" t="n">
        <v>3.47448450641991</v>
      </c>
      <c r="B82" s="2" t="n">
        <v>0</v>
      </c>
      <c r="C82" s="2" t="n">
        <f aca="false">MAX(A82,B82)</f>
        <v>3.47448450641991</v>
      </c>
      <c r="E82" s="2" t="n">
        <v>22.165085781679</v>
      </c>
    </row>
    <row r="83" customFormat="false" ht="13" hidden="false" customHeight="false" outlineLevel="0" collapsed="false">
      <c r="A83" s="2" t="n">
        <v>0</v>
      </c>
      <c r="B83" s="2" t="n">
        <v>1.7833455726759</v>
      </c>
      <c r="C83" s="2" t="n">
        <f aca="false">MAX(A83,B83)</f>
        <v>1.7833455726759</v>
      </c>
      <c r="E83" s="2" t="n">
        <v>22.1573088063084</v>
      </c>
    </row>
    <row r="84" customFormat="false" ht="13" hidden="false" customHeight="false" outlineLevel="0" collapsed="false">
      <c r="A84" s="2" t="n">
        <v>3.23369772608926</v>
      </c>
      <c r="B84" s="2" t="n">
        <v>0</v>
      </c>
      <c r="C84" s="2" t="n">
        <f aca="false">MAX(A84,B84)</f>
        <v>3.23369772608926</v>
      </c>
      <c r="E84" s="2" t="n">
        <v>22.0539546233392</v>
      </c>
    </row>
    <row r="85" customFormat="false" ht="13" hidden="false" customHeight="false" outlineLevel="0" collapsed="false">
      <c r="A85" s="2" t="n">
        <v>0</v>
      </c>
      <c r="B85" s="2" t="n">
        <v>3.07068687039219</v>
      </c>
      <c r="C85" s="2" t="n">
        <f aca="false">MAX(A85,B85)</f>
        <v>3.07068687039219</v>
      </c>
      <c r="E85" s="2" t="n">
        <v>22.0477735152123</v>
      </c>
    </row>
    <row r="86" customFormat="false" ht="13" hidden="false" customHeight="false" outlineLevel="0" collapsed="false">
      <c r="A86" s="2" t="n">
        <v>1.87669399055574</v>
      </c>
      <c r="B86" s="2" t="n">
        <v>0</v>
      </c>
      <c r="C86" s="2" t="n">
        <f aca="false">MAX(A86,B86)</f>
        <v>1.87669399055574</v>
      </c>
      <c r="E86" s="2" t="n">
        <v>22.0138340045747</v>
      </c>
    </row>
    <row r="87" customFormat="false" ht="13" hidden="false" customHeight="false" outlineLevel="0" collapsed="false">
      <c r="A87" s="2" t="n">
        <v>0</v>
      </c>
      <c r="B87" s="2" t="n">
        <v>1.83415564367988</v>
      </c>
      <c r="C87" s="2" t="n">
        <f aca="false">MAX(A87,B87)</f>
        <v>1.83415564367988</v>
      </c>
      <c r="E87" s="2" t="n">
        <v>21.9996608046333</v>
      </c>
    </row>
    <row r="88" customFormat="false" ht="13" hidden="false" customHeight="false" outlineLevel="0" collapsed="false">
      <c r="A88" s="2" t="n">
        <v>2.11734474788818</v>
      </c>
      <c r="B88" s="2" t="n">
        <v>0</v>
      </c>
      <c r="C88" s="2" t="n">
        <f aca="false">MAX(A88,B88)</f>
        <v>2.11734474788818</v>
      </c>
      <c r="E88" s="2" t="n">
        <v>21.9478952063937</v>
      </c>
    </row>
    <row r="89" customFormat="false" ht="13" hidden="false" customHeight="false" outlineLevel="0" collapsed="false">
      <c r="A89" s="2" t="n">
        <v>3.82422810721164</v>
      </c>
      <c r="B89" s="2" t="n">
        <v>0</v>
      </c>
      <c r="C89" s="2" t="n">
        <f aca="false">MAX(A89,B89)</f>
        <v>3.82422810721164</v>
      </c>
      <c r="E89" s="2" t="n">
        <v>21.9312669123814</v>
      </c>
    </row>
    <row r="90" customFormat="false" ht="13" hidden="false" customHeight="false" outlineLevel="0" collapsed="false">
      <c r="A90" s="2" t="n">
        <v>4.76842098570133</v>
      </c>
      <c r="B90" s="2" t="n">
        <v>0</v>
      </c>
      <c r="C90" s="2" t="n">
        <f aca="false">MAX(A90,B90)</f>
        <v>4.76842098570133</v>
      </c>
      <c r="E90" s="2" t="n">
        <v>21.9105584668073</v>
      </c>
    </row>
    <row r="91" customFormat="false" ht="13" hidden="false" customHeight="false" outlineLevel="0" collapsed="false">
      <c r="A91" s="2" t="n">
        <v>4.6773199111087</v>
      </c>
      <c r="B91" s="2" t="n">
        <v>0</v>
      </c>
      <c r="C91" s="2" t="n">
        <f aca="false">MAX(A91,B91)</f>
        <v>4.6773199111087</v>
      </c>
      <c r="E91" s="2" t="n">
        <v>21.8494805373182</v>
      </c>
    </row>
    <row r="92" customFormat="false" ht="13" hidden="false" customHeight="false" outlineLevel="0" collapsed="false">
      <c r="A92" s="2" t="n">
        <v>0</v>
      </c>
      <c r="B92" s="2" t="n">
        <v>1.87847876565229</v>
      </c>
      <c r="C92" s="2" t="n">
        <f aca="false">MAX(A92,B92)</f>
        <v>1.87847876565229</v>
      </c>
      <c r="E92" s="2" t="n">
        <v>21.8494755732996</v>
      </c>
    </row>
    <row r="93" customFormat="false" ht="13" hidden="false" customHeight="false" outlineLevel="0" collapsed="false">
      <c r="A93" s="2" t="n">
        <v>6.27521230290384</v>
      </c>
      <c r="B93" s="2" t="n">
        <v>0</v>
      </c>
      <c r="C93" s="2" t="n">
        <f aca="false">MAX(A93,B93)</f>
        <v>6.27521230290384</v>
      </c>
      <c r="E93" s="2" t="n">
        <v>21.8237382159007</v>
      </c>
    </row>
    <row r="94" customFormat="false" ht="13" hidden="false" customHeight="false" outlineLevel="0" collapsed="false">
      <c r="A94" s="2" t="n">
        <v>8.2157389715447</v>
      </c>
      <c r="B94" s="2" t="n">
        <v>0</v>
      </c>
      <c r="C94" s="2" t="n">
        <f aca="false">MAX(A94,B94)</f>
        <v>8.2157389715447</v>
      </c>
      <c r="E94" s="2" t="n">
        <v>21.8080299136258</v>
      </c>
    </row>
    <row r="95" customFormat="false" ht="13" hidden="false" customHeight="false" outlineLevel="0" collapsed="false">
      <c r="A95" s="2" t="n">
        <v>8.21600237649221</v>
      </c>
      <c r="B95" s="2" t="n">
        <v>0</v>
      </c>
      <c r="C95" s="2" t="n">
        <f aca="false">MAX(A95,B95)</f>
        <v>8.21600237649221</v>
      </c>
      <c r="E95" s="2" t="n">
        <v>21.7389749271367</v>
      </c>
    </row>
    <row r="96" customFormat="false" ht="13" hidden="false" customHeight="false" outlineLevel="0" collapsed="false">
      <c r="A96" s="2" t="n">
        <v>9.96896247035889</v>
      </c>
      <c r="B96" s="2" t="n">
        <v>0</v>
      </c>
      <c r="C96" s="2" t="n">
        <f aca="false">MAX(A96,B96)</f>
        <v>9.96896247035889</v>
      </c>
      <c r="E96" s="2" t="n">
        <v>21.6812385967158</v>
      </c>
    </row>
    <row r="97" customFormat="false" ht="13" hidden="false" customHeight="false" outlineLevel="0" collapsed="false">
      <c r="A97" s="2" t="n">
        <v>0</v>
      </c>
      <c r="B97" s="2" t="n">
        <v>2.08034358808527</v>
      </c>
      <c r="C97" s="2" t="n">
        <f aca="false">MAX(A97,B97)</f>
        <v>2.08034358808527</v>
      </c>
      <c r="E97" s="2" t="n">
        <v>21.6535218563802</v>
      </c>
    </row>
    <row r="98" customFormat="false" ht="13" hidden="false" customHeight="false" outlineLevel="0" collapsed="false">
      <c r="A98" s="2" t="n">
        <v>0</v>
      </c>
      <c r="B98" s="2" t="n">
        <v>3.89072804205739</v>
      </c>
      <c r="C98" s="2" t="n">
        <f aca="false">MAX(A98,B98)</f>
        <v>3.89072804205739</v>
      </c>
      <c r="E98" s="2" t="n">
        <v>21.5035312596782</v>
      </c>
    </row>
    <row r="99" customFormat="false" ht="13" hidden="false" customHeight="false" outlineLevel="0" collapsed="false">
      <c r="A99" s="2" t="n">
        <v>0</v>
      </c>
      <c r="B99" s="2" t="n">
        <v>5.77665872716521</v>
      </c>
      <c r="C99" s="2" t="n">
        <f aca="false">MAX(A99,B99)</f>
        <v>5.77665872716521</v>
      </c>
      <c r="E99" s="2" t="n">
        <v>21.4817739042178</v>
      </c>
    </row>
    <row r="100" customFormat="false" ht="13" hidden="false" customHeight="false" outlineLevel="0" collapsed="false">
      <c r="A100" s="2" t="n">
        <v>0</v>
      </c>
      <c r="B100" s="2" t="n">
        <v>6.96145761138632</v>
      </c>
      <c r="C100" s="2" t="n">
        <f aca="false">MAX(A100,B100)</f>
        <v>6.96145761138632</v>
      </c>
      <c r="E100" s="2" t="n">
        <v>21.4815962763846</v>
      </c>
    </row>
    <row r="101" customFormat="false" ht="13" hidden="false" customHeight="false" outlineLevel="0" collapsed="false">
      <c r="A101" s="2" t="n">
        <v>10.576109945862</v>
      </c>
      <c r="B101" s="2" t="n">
        <v>0</v>
      </c>
      <c r="C101" s="2" t="n">
        <f aca="false">MAX(A101,B101)</f>
        <v>10.576109945862</v>
      </c>
      <c r="E101" s="2" t="n">
        <v>21.4454103691875</v>
      </c>
    </row>
    <row r="102" customFormat="false" ht="13" hidden="false" customHeight="false" outlineLevel="0" collapsed="false">
      <c r="A102" s="2" t="n">
        <v>0</v>
      </c>
      <c r="B102" s="2" t="n">
        <v>8.85074920771297</v>
      </c>
      <c r="C102" s="2" t="n">
        <f aca="false">MAX(A102,B102)</f>
        <v>8.85074920771297</v>
      </c>
      <c r="E102" s="2" t="n">
        <v>21.4447050160824</v>
      </c>
    </row>
    <row r="103" customFormat="false" ht="13" hidden="false" customHeight="false" outlineLevel="0" collapsed="false">
      <c r="A103" s="2" t="n">
        <v>0</v>
      </c>
      <c r="B103" s="2" t="n">
        <v>10.1987799360759</v>
      </c>
      <c r="C103" s="2" t="n">
        <f aca="false">MAX(A103,B103)</f>
        <v>10.1987799360759</v>
      </c>
      <c r="E103" s="2" t="n">
        <v>21.4260582560653</v>
      </c>
    </row>
    <row r="104" customFormat="false" ht="13" hidden="false" customHeight="false" outlineLevel="0" collapsed="false">
      <c r="A104" s="2" t="n">
        <v>0</v>
      </c>
      <c r="B104" s="2" t="n">
        <v>12.175414283241</v>
      </c>
      <c r="C104" s="2" t="n">
        <f aca="false">MAX(A104,B104)</f>
        <v>12.175414283241</v>
      </c>
      <c r="E104" s="2" t="n">
        <v>21.4214813142028</v>
      </c>
    </row>
    <row r="105" customFormat="false" ht="13" hidden="false" customHeight="false" outlineLevel="0" collapsed="false">
      <c r="A105" s="2" t="n">
        <v>10.4832264600561</v>
      </c>
      <c r="B105" s="2" t="n">
        <v>0</v>
      </c>
      <c r="C105" s="2" t="n">
        <f aca="false">MAX(A105,B105)</f>
        <v>10.4832264600561</v>
      </c>
      <c r="E105" s="2" t="n">
        <v>21.3486842902501</v>
      </c>
    </row>
    <row r="106" customFormat="false" ht="13" hidden="false" customHeight="false" outlineLevel="0" collapsed="false">
      <c r="A106" s="2" t="n">
        <v>0</v>
      </c>
      <c r="B106" s="2" t="n">
        <v>12.0369133666556</v>
      </c>
      <c r="C106" s="2" t="n">
        <f aca="false">MAX(A106,B106)</f>
        <v>12.0369133666556</v>
      </c>
      <c r="E106" s="2" t="n">
        <v>21.3446835843108</v>
      </c>
    </row>
    <row r="107" customFormat="false" ht="13" hidden="false" customHeight="false" outlineLevel="0" collapsed="false">
      <c r="A107" s="2" t="n">
        <v>11.2109623350862</v>
      </c>
      <c r="B107" s="2" t="n">
        <v>0</v>
      </c>
      <c r="C107" s="2" t="n">
        <f aca="false">MAX(A107,B107)</f>
        <v>11.2109623350862</v>
      </c>
      <c r="E107" s="2" t="n">
        <v>21.3335155933529</v>
      </c>
    </row>
    <row r="108" customFormat="false" ht="13" hidden="false" customHeight="false" outlineLevel="0" collapsed="false">
      <c r="A108" s="2" t="n">
        <v>0</v>
      </c>
      <c r="B108" s="2" t="n">
        <v>13.0085465521878</v>
      </c>
      <c r="C108" s="2" t="n">
        <f aca="false">MAX(A108,B108)</f>
        <v>13.0085465521878</v>
      </c>
      <c r="E108" s="2" t="n">
        <v>21.330001472714</v>
      </c>
    </row>
    <row r="109" customFormat="false" ht="13" hidden="false" customHeight="false" outlineLevel="0" collapsed="false">
      <c r="A109" s="2" t="n">
        <v>0</v>
      </c>
      <c r="B109" s="2" t="n">
        <v>13.9280845152222</v>
      </c>
      <c r="C109" s="2" t="n">
        <f aca="false">MAX(A109,B109)</f>
        <v>13.9280845152222</v>
      </c>
      <c r="E109" s="2" t="n">
        <v>21.3155075543464</v>
      </c>
    </row>
    <row r="110" customFormat="false" ht="13" hidden="false" customHeight="false" outlineLevel="0" collapsed="false">
      <c r="A110" s="2" t="n">
        <v>0</v>
      </c>
      <c r="B110" s="2" t="n">
        <v>15.5915606270326</v>
      </c>
      <c r="C110" s="2" t="n">
        <f aca="false">MAX(A110,B110)</f>
        <v>15.5915606270326</v>
      </c>
      <c r="E110" s="2" t="n">
        <v>21.3089934605115</v>
      </c>
    </row>
    <row r="111" customFormat="false" ht="13" hidden="false" customHeight="false" outlineLevel="0" collapsed="false">
      <c r="A111" s="2" t="n">
        <v>0</v>
      </c>
      <c r="B111" s="2" t="n">
        <v>15.471425732286</v>
      </c>
      <c r="C111" s="2" t="n">
        <f aca="false">MAX(A111,B111)</f>
        <v>15.471425732286</v>
      </c>
      <c r="E111" s="2" t="n">
        <v>21.2390434260435</v>
      </c>
    </row>
    <row r="112" customFormat="false" ht="13" hidden="false" customHeight="false" outlineLevel="0" collapsed="false">
      <c r="A112" s="2" t="n">
        <v>9.42737388871656</v>
      </c>
      <c r="B112" s="2" t="n">
        <v>0</v>
      </c>
      <c r="C112" s="2" t="n">
        <f aca="false">MAX(A112,B112)</f>
        <v>9.42737388871656</v>
      </c>
      <c r="E112" s="2" t="n">
        <v>21.173296712049</v>
      </c>
    </row>
    <row r="113" customFormat="false" ht="13" hidden="false" customHeight="false" outlineLevel="0" collapsed="false">
      <c r="A113" s="2" t="n">
        <v>0</v>
      </c>
      <c r="B113" s="2" t="n">
        <v>16.2692192825747</v>
      </c>
      <c r="C113" s="2" t="n">
        <f aca="false">MAX(A113,B113)</f>
        <v>16.2692192825747</v>
      </c>
      <c r="E113" s="2" t="n">
        <v>21.1671042695318</v>
      </c>
    </row>
    <row r="114" customFormat="false" ht="13" hidden="false" customHeight="false" outlineLevel="0" collapsed="false">
      <c r="A114" s="2" t="n">
        <v>0</v>
      </c>
      <c r="B114" s="2" t="n">
        <v>15.9266043196405</v>
      </c>
      <c r="C114" s="2" t="n">
        <f aca="false">MAX(A114,B114)</f>
        <v>15.9266043196405</v>
      </c>
      <c r="E114" s="2" t="n">
        <v>21.1365987703516</v>
      </c>
    </row>
    <row r="115" customFormat="false" ht="13" hidden="false" customHeight="false" outlineLevel="0" collapsed="false">
      <c r="A115" s="2" t="n">
        <v>0</v>
      </c>
      <c r="B115" s="2" t="n">
        <v>16.4002196708109</v>
      </c>
      <c r="C115" s="2" t="n">
        <f aca="false">MAX(A115,B115)</f>
        <v>16.4002196708109</v>
      </c>
      <c r="E115" s="2" t="n">
        <v>21.1339824155283</v>
      </c>
    </row>
    <row r="116" customFormat="false" ht="13" hidden="false" customHeight="false" outlineLevel="0" collapsed="false">
      <c r="A116" s="2" t="n">
        <v>0</v>
      </c>
      <c r="B116" s="2" t="n">
        <v>18.0165660180834</v>
      </c>
      <c r="C116" s="2" t="n">
        <f aca="false">MAX(A116,B116)</f>
        <v>18.0165660180834</v>
      </c>
      <c r="E116" s="2" t="n">
        <v>21.1069329648446</v>
      </c>
    </row>
    <row r="117" customFormat="false" ht="13" hidden="false" customHeight="false" outlineLevel="0" collapsed="false">
      <c r="A117" s="2" t="n">
        <v>0</v>
      </c>
      <c r="B117" s="2" t="n">
        <v>19.7275179241113</v>
      </c>
      <c r="C117" s="2" t="n">
        <f aca="false">MAX(A117,B117)</f>
        <v>19.7275179241113</v>
      </c>
      <c r="E117" s="2" t="n">
        <v>21.0840839972997</v>
      </c>
    </row>
    <row r="118" customFormat="false" ht="13" hidden="false" customHeight="false" outlineLevel="0" collapsed="false">
      <c r="A118" s="2" t="n">
        <v>0</v>
      </c>
      <c r="B118" s="2" t="n">
        <v>20.5165851662685</v>
      </c>
      <c r="C118" s="2" t="n">
        <f aca="false">MAX(A118,B118)</f>
        <v>20.5165851662685</v>
      </c>
      <c r="E118" s="2" t="n">
        <v>21.060040385289</v>
      </c>
    </row>
    <row r="119" customFormat="false" ht="13" hidden="false" customHeight="false" outlineLevel="0" collapsed="false">
      <c r="A119" s="2" t="n">
        <v>3.16331834291981</v>
      </c>
      <c r="B119" s="2" t="n">
        <v>0</v>
      </c>
      <c r="C119" s="2" t="n">
        <f aca="false">MAX(A119,B119)</f>
        <v>3.16331834291981</v>
      </c>
      <c r="E119" s="2" t="n">
        <v>20.9228616429907</v>
      </c>
    </row>
    <row r="120" customFormat="false" ht="13" hidden="false" customHeight="false" outlineLevel="0" collapsed="false">
      <c r="A120" s="2" t="n">
        <v>4.87610170230137</v>
      </c>
      <c r="B120" s="2" t="n">
        <v>0</v>
      </c>
      <c r="C120" s="2" t="n">
        <f aca="false">MAX(A120,B120)</f>
        <v>4.87610170230137</v>
      </c>
      <c r="E120" s="2" t="n">
        <v>20.8623969881797</v>
      </c>
    </row>
    <row r="121" customFormat="false" ht="13" hidden="false" customHeight="false" outlineLevel="0" collapsed="false">
      <c r="A121" s="2" t="n">
        <v>5.65829520955791</v>
      </c>
      <c r="B121" s="2" t="n">
        <v>0</v>
      </c>
      <c r="C121" s="2" t="n">
        <f aca="false">MAX(A121,B121)</f>
        <v>5.65829520955791</v>
      </c>
      <c r="E121" s="2" t="n">
        <v>20.7510776762679</v>
      </c>
    </row>
    <row r="122" customFormat="false" ht="13" hidden="false" customHeight="false" outlineLevel="0" collapsed="false">
      <c r="A122" s="2" t="n">
        <v>0</v>
      </c>
      <c r="B122" s="2" t="n">
        <v>19.276810618097</v>
      </c>
      <c r="C122" s="2" t="n">
        <f aca="false">MAX(A122,B122)</f>
        <v>19.276810618097</v>
      </c>
      <c r="E122" s="2" t="n">
        <v>20.7380177616603</v>
      </c>
    </row>
    <row r="123" customFormat="false" ht="13" hidden="false" customHeight="false" outlineLevel="0" collapsed="false">
      <c r="A123" s="2" t="n">
        <v>6.88795461896116</v>
      </c>
      <c r="B123" s="2" t="n">
        <v>0</v>
      </c>
      <c r="C123" s="2" t="n">
        <f aca="false">MAX(A123,B123)</f>
        <v>6.88795461896116</v>
      </c>
      <c r="E123" s="2" t="n">
        <v>20.7101473808565</v>
      </c>
    </row>
    <row r="124" customFormat="false" ht="13" hidden="false" customHeight="false" outlineLevel="0" collapsed="false">
      <c r="A124" s="2" t="n">
        <v>0</v>
      </c>
      <c r="B124" s="2" t="n">
        <v>19.8192981295406</v>
      </c>
      <c r="C124" s="2" t="n">
        <f aca="false">MAX(A124,B124)</f>
        <v>19.8192981295406</v>
      </c>
      <c r="E124" s="2" t="n">
        <v>20.7037366566111</v>
      </c>
    </row>
    <row r="125" customFormat="false" ht="13" hidden="false" customHeight="false" outlineLevel="0" collapsed="false">
      <c r="A125" s="2" t="n">
        <v>0</v>
      </c>
      <c r="B125" s="2" t="n">
        <v>19.4699499040933</v>
      </c>
      <c r="C125" s="2" t="n">
        <f aca="false">MAX(A125,B125)</f>
        <v>19.4699499040933</v>
      </c>
      <c r="E125" s="2" t="n">
        <v>20.666813164155</v>
      </c>
    </row>
    <row r="126" customFormat="false" ht="13" hidden="false" customHeight="false" outlineLevel="0" collapsed="false">
      <c r="A126" s="2" t="n">
        <v>0</v>
      </c>
      <c r="B126" s="2" t="n">
        <v>20.666813164155</v>
      </c>
      <c r="C126" s="2" t="n">
        <f aca="false">MAX(A126,B126)</f>
        <v>20.666813164155</v>
      </c>
      <c r="E126" s="2" t="n">
        <v>20.6634600788781</v>
      </c>
    </row>
    <row r="127" customFormat="false" ht="13" hidden="false" customHeight="false" outlineLevel="0" collapsed="false">
      <c r="A127" s="2" t="n">
        <v>4.58459516146061</v>
      </c>
      <c r="B127" s="2" t="n">
        <v>0</v>
      </c>
      <c r="C127" s="2" t="n">
        <f aca="false">MAX(A127,B127)</f>
        <v>4.58459516146061</v>
      </c>
      <c r="E127" s="2" t="n">
        <v>20.6479030216165</v>
      </c>
    </row>
    <row r="128" customFormat="false" ht="13" hidden="false" customHeight="false" outlineLevel="0" collapsed="false">
      <c r="A128" s="2" t="n">
        <v>3.01481680130669</v>
      </c>
      <c r="B128" s="2" t="n">
        <v>0</v>
      </c>
      <c r="C128" s="2" t="n">
        <f aca="false">MAX(A128,B128)</f>
        <v>3.01481680130669</v>
      </c>
      <c r="E128" s="2" t="n">
        <v>20.5823169297557</v>
      </c>
    </row>
    <row r="129" customFormat="false" ht="13" hidden="false" customHeight="false" outlineLevel="0" collapsed="false">
      <c r="A129" s="2" t="n">
        <v>4.96367650018669</v>
      </c>
      <c r="B129" s="2" t="n">
        <v>0</v>
      </c>
      <c r="C129" s="2" t="n">
        <f aca="false">MAX(A129,B129)</f>
        <v>4.96367650018669</v>
      </c>
      <c r="E129" s="2" t="n">
        <v>20.5621384394076</v>
      </c>
    </row>
    <row r="130" customFormat="false" ht="13" hidden="false" customHeight="false" outlineLevel="0" collapsed="false">
      <c r="A130" s="2" t="n">
        <v>0</v>
      </c>
      <c r="B130" s="2" t="n">
        <v>17.9182979821632</v>
      </c>
      <c r="C130" s="2" t="n">
        <f aca="false">MAX(A130,B130)</f>
        <v>17.9182979821632</v>
      </c>
      <c r="E130" s="2" t="n">
        <v>20.5615800716078</v>
      </c>
    </row>
    <row r="131" customFormat="false" ht="13" hidden="false" customHeight="false" outlineLevel="0" collapsed="false">
      <c r="A131" s="2" t="n">
        <v>5.56622564507484</v>
      </c>
      <c r="B131" s="2" t="n">
        <v>0</v>
      </c>
      <c r="C131" s="2" t="n">
        <f aca="false">MAX(A131,B131)</f>
        <v>5.56622564507484</v>
      </c>
      <c r="E131" s="2" t="n">
        <v>20.5573472967631</v>
      </c>
    </row>
    <row r="132" customFormat="false" ht="13" hidden="false" customHeight="false" outlineLevel="0" collapsed="false">
      <c r="A132" s="2" t="n">
        <v>6.39062964001226</v>
      </c>
      <c r="B132" s="2" t="n">
        <v>0</v>
      </c>
      <c r="C132" s="2" t="n">
        <f aca="false">MAX(A132,B132)</f>
        <v>6.39062964001226</v>
      </c>
      <c r="E132" s="2" t="n">
        <v>20.5572669801569</v>
      </c>
    </row>
    <row r="133" customFormat="false" ht="13" hidden="false" customHeight="false" outlineLevel="0" collapsed="false">
      <c r="A133" s="2" t="n">
        <v>7.5830689016091</v>
      </c>
      <c r="B133" s="2" t="n">
        <v>0</v>
      </c>
      <c r="C133" s="2" t="n">
        <f aca="false">MAX(A133,B133)</f>
        <v>7.5830689016091</v>
      </c>
      <c r="E133" s="2" t="n">
        <v>20.5566793841972</v>
      </c>
    </row>
    <row r="134" customFormat="false" ht="13" hidden="false" customHeight="false" outlineLevel="0" collapsed="false">
      <c r="A134" s="2" t="n">
        <v>0</v>
      </c>
      <c r="B134" s="2" t="n">
        <v>16.232943546586</v>
      </c>
      <c r="C134" s="2" t="n">
        <f aca="false">MAX(A134,B134)</f>
        <v>16.232943546586</v>
      </c>
      <c r="E134" s="2" t="n">
        <v>20.5165851662685</v>
      </c>
    </row>
    <row r="135" customFormat="false" ht="13" hidden="false" customHeight="false" outlineLevel="0" collapsed="false">
      <c r="A135" s="2" t="n">
        <v>8.68903544566445</v>
      </c>
      <c r="B135" s="2" t="n">
        <v>0</v>
      </c>
      <c r="C135" s="2" t="n">
        <f aca="false">MAX(A135,B135)</f>
        <v>8.68903544566445</v>
      </c>
      <c r="E135" s="2" t="n">
        <v>20.4952234448973</v>
      </c>
    </row>
    <row r="136" customFormat="false" ht="13" hidden="false" customHeight="false" outlineLevel="0" collapsed="false">
      <c r="A136" s="2" t="n">
        <v>10.1350499120361</v>
      </c>
      <c r="B136" s="2" t="n">
        <v>0</v>
      </c>
      <c r="C136" s="2" t="n">
        <f aca="false">MAX(A136,B136)</f>
        <v>10.1350499120361</v>
      </c>
      <c r="E136" s="2" t="n">
        <v>20.4667407446543</v>
      </c>
    </row>
    <row r="137" customFormat="false" ht="13" hidden="false" customHeight="false" outlineLevel="0" collapsed="false">
      <c r="A137" s="2" t="n">
        <v>0</v>
      </c>
      <c r="B137" s="2" t="n">
        <v>15.6082471799602</v>
      </c>
      <c r="C137" s="2" t="n">
        <f aca="false">MAX(A137,B137)</f>
        <v>15.6082471799602</v>
      </c>
      <c r="E137" s="2" t="n">
        <v>20.4492287609797</v>
      </c>
    </row>
    <row r="138" customFormat="false" ht="13" hidden="false" customHeight="false" outlineLevel="0" collapsed="false">
      <c r="A138" s="2" t="n">
        <v>9.54465274329201</v>
      </c>
      <c r="B138" s="2" t="n">
        <v>0</v>
      </c>
      <c r="C138" s="2" t="n">
        <f aca="false">MAX(A138,B138)</f>
        <v>9.54465274329201</v>
      </c>
      <c r="E138" s="2" t="n">
        <v>20.4266526475906</v>
      </c>
    </row>
    <row r="139" customFormat="false" ht="13" hidden="false" customHeight="false" outlineLevel="0" collapsed="false">
      <c r="A139" s="2" t="n">
        <v>0</v>
      </c>
      <c r="B139" s="2" t="n">
        <v>15.4321721550646</v>
      </c>
      <c r="C139" s="2" t="n">
        <f aca="false">MAX(A139,B139)</f>
        <v>15.4321721550646</v>
      </c>
      <c r="E139" s="2" t="n">
        <v>20.3998475539513</v>
      </c>
    </row>
    <row r="140" customFormat="false" ht="13" hidden="false" customHeight="false" outlineLevel="0" collapsed="false">
      <c r="A140" s="2" t="n">
        <v>0</v>
      </c>
      <c r="B140" s="2" t="n">
        <v>16.8351257670313</v>
      </c>
      <c r="C140" s="2" t="n">
        <f aca="false">MAX(A140,B140)</f>
        <v>16.8351257670313</v>
      </c>
      <c r="E140" s="2" t="n">
        <v>20.3674127863833</v>
      </c>
    </row>
    <row r="141" customFormat="false" ht="13" hidden="false" customHeight="false" outlineLevel="0" collapsed="false">
      <c r="A141" s="2" t="n">
        <v>8.7426835362148</v>
      </c>
      <c r="B141" s="2" t="n">
        <v>0</v>
      </c>
      <c r="C141" s="2" t="n">
        <f aca="false">MAX(A141,B141)</f>
        <v>8.7426835362148</v>
      </c>
      <c r="E141" s="2" t="n">
        <v>20.3281997990871</v>
      </c>
    </row>
    <row r="142" customFormat="false" ht="13" hidden="false" customHeight="false" outlineLevel="0" collapsed="false">
      <c r="A142" s="2" t="n">
        <v>0</v>
      </c>
      <c r="B142" s="2" t="n">
        <v>13.6937051421883</v>
      </c>
      <c r="C142" s="2" t="n">
        <f aca="false">MAX(A142,B142)</f>
        <v>13.6937051421883</v>
      </c>
      <c r="E142" s="2" t="n">
        <v>20.3132043889295</v>
      </c>
    </row>
    <row r="143" customFormat="false" ht="13" hidden="false" customHeight="false" outlineLevel="0" collapsed="false">
      <c r="A143" s="2" t="n">
        <v>0</v>
      </c>
      <c r="B143" s="2" t="n">
        <v>15.3359224457044</v>
      </c>
      <c r="C143" s="2" t="n">
        <f aca="false">MAX(A143,B143)</f>
        <v>15.3359224457044</v>
      </c>
      <c r="E143" s="2" t="n">
        <v>20.3130944420871</v>
      </c>
    </row>
    <row r="144" customFormat="false" ht="13" hidden="false" customHeight="false" outlineLevel="0" collapsed="false">
      <c r="A144" s="2" t="n">
        <v>0</v>
      </c>
      <c r="B144" s="2" t="n">
        <v>14.4460384464725</v>
      </c>
      <c r="C144" s="2" t="n">
        <f aca="false">MAX(A144,B144)</f>
        <v>14.4460384464725</v>
      </c>
      <c r="E144" s="2" t="n">
        <v>20.3057494562732</v>
      </c>
    </row>
    <row r="145" customFormat="false" ht="13" hidden="false" customHeight="false" outlineLevel="0" collapsed="false">
      <c r="A145" s="2" t="n">
        <v>2.16638419496849</v>
      </c>
      <c r="B145" s="2" t="n">
        <v>0</v>
      </c>
      <c r="C145" s="2" t="n">
        <f aca="false">MAX(A145,B145)</f>
        <v>2.16638419496849</v>
      </c>
      <c r="E145" s="2" t="n">
        <v>20.2829290947641</v>
      </c>
    </row>
    <row r="146" customFormat="false" ht="13" hidden="false" customHeight="false" outlineLevel="0" collapsed="false">
      <c r="A146" s="2" t="n">
        <v>0</v>
      </c>
      <c r="B146" s="2" t="n">
        <v>12.1671520850999</v>
      </c>
      <c r="C146" s="2" t="n">
        <f aca="false">MAX(A146,B146)</f>
        <v>12.1671520850999</v>
      </c>
      <c r="E146" s="2" t="n">
        <v>20.2116733294695</v>
      </c>
    </row>
    <row r="147" customFormat="false" ht="13" hidden="false" customHeight="false" outlineLevel="0" collapsed="false">
      <c r="A147" s="2" t="n">
        <v>0</v>
      </c>
      <c r="B147" s="2" t="n">
        <v>13.9911198173193</v>
      </c>
      <c r="C147" s="2" t="n">
        <f aca="false">MAX(A147,B147)</f>
        <v>13.9911198173193</v>
      </c>
      <c r="E147" s="2" t="n">
        <v>20.2000364923397</v>
      </c>
    </row>
    <row r="148" customFormat="false" ht="13" hidden="false" customHeight="false" outlineLevel="0" collapsed="false">
      <c r="A148" s="2" t="n">
        <v>0</v>
      </c>
      <c r="B148" s="2" t="n">
        <v>15.3843453131274</v>
      </c>
      <c r="C148" s="2" t="n">
        <f aca="false">MAX(A148,B148)</f>
        <v>15.3843453131274</v>
      </c>
      <c r="E148" s="2" t="n">
        <v>20.1065476234399</v>
      </c>
    </row>
    <row r="149" customFormat="false" ht="13" hidden="false" customHeight="false" outlineLevel="0" collapsed="false">
      <c r="A149" s="2" t="n">
        <v>2.16484228557601</v>
      </c>
      <c r="B149" s="2" t="n">
        <v>0</v>
      </c>
      <c r="C149" s="2" t="n">
        <f aca="false">MAX(A149,B149)</f>
        <v>2.16484228557601</v>
      </c>
      <c r="E149" s="2" t="n">
        <v>20.0868015941217</v>
      </c>
    </row>
    <row r="150" customFormat="false" ht="13" hidden="false" customHeight="false" outlineLevel="0" collapsed="false">
      <c r="A150" s="2" t="n">
        <v>0</v>
      </c>
      <c r="B150" s="2" t="n">
        <v>16.4943429239193</v>
      </c>
      <c r="C150" s="2" t="n">
        <f aca="false">MAX(A150,B150)</f>
        <v>16.4943429239193</v>
      </c>
      <c r="E150" s="2" t="n">
        <v>20.0640782637241</v>
      </c>
    </row>
    <row r="151" customFormat="false" ht="13" hidden="false" customHeight="false" outlineLevel="0" collapsed="false">
      <c r="A151" s="2" t="n">
        <v>3.03748914427533</v>
      </c>
      <c r="B151" s="2" t="n">
        <v>0</v>
      </c>
      <c r="C151" s="2" t="n">
        <f aca="false">MAX(A151,B151)</f>
        <v>3.03748914427533</v>
      </c>
      <c r="E151" s="2" t="n">
        <v>20.0256645044436</v>
      </c>
    </row>
    <row r="152" customFormat="false" ht="13" hidden="false" customHeight="false" outlineLevel="0" collapsed="false">
      <c r="A152" s="2" t="n">
        <v>0</v>
      </c>
      <c r="B152" s="2" t="n">
        <v>16.3201116832275</v>
      </c>
      <c r="C152" s="2" t="n">
        <f aca="false">MAX(A152,B152)</f>
        <v>16.3201116832275</v>
      </c>
      <c r="E152" s="2" t="n">
        <v>19.9988453366987</v>
      </c>
    </row>
    <row r="153" customFormat="false" ht="13" hidden="false" customHeight="false" outlineLevel="0" collapsed="false">
      <c r="A153" s="2" t="n">
        <v>2.28920452179023</v>
      </c>
      <c r="B153" s="2" t="n">
        <v>0</v>
      </c>
      <c r="C153" s="2" t="n">
        <f aca="false">MAX(A153,B153)</f>
        <v>2.28920452179023</v>
      </c>
      <c r="E153" s="2" t="n">
        <v>19.9735641988494</v>
      </c>
    </row>
    <row r="154" customFormat="false" ht="13" hidden="false" customHeight="false" outlineLevel="0" collapsed="false">
      <c r="A154" s="2" t="n">
        <v>1.91858440732813</v>
      </c>
      <c r="B154" s="2" t="n">
        <v>0</v>
      </c>
      <c r="C154" s="2" t="n">
        <f aca="false">MAX(A154,B154)</f>
        <v>1.91858440732813</v>
      </c>
      <c r="E154" s="2" t="n">
        <v>19.963171586286</v>
      </c>
    </row>
    <row r="155" customFormat="false" ht="13" hidden="false" customHeight="false" outlineLevel="0" collapsed="false">
      <c r="A155" s="2" t="n">
        <v>3.56633315603639</v>
      </c>
      <c r="B155" s="2" t="n">
        <v>0</v>
      </c>
      <c r="C155" s="2" t="n">
        <f aca="false">MAX(A155,B155)</f>
        <v>3.56633315603639</v>
      </c>
      <c r="E155" s="2" t="n">
        <v>19.8543207423219</v>
      </c>
    </row>
    <row r="156" customFormat="false" ht="13" hidden="false" customHeight="false" outlineLevel="0" collapsed="false">
      <c r="A156" s="2" t="n">
        <v>5.19559868528322</v>
      </c>
      <c r="B156" s="2" t="n">
        <v>0</v>
      </c>
      <c r="C156" s="2" t="n">
        <f aca="false">MAX(A156,B156)</f>
        <v>5.19559868528322</v>
      </c>
      <c r="E156" s="2" t="n">
        <v>19.8275263944171</v>
      </c>
    </row>
    <row r="157" customFormat="false" ht="13" hidden="false" customHeight="false" outlineLevel="0" collapsed="false">
      <c r="A157" s="2" t="n">
        <v>6.39911991601633</v>
      </c>
      <c r="B157" s="2" t="n">
        <v>0</v>
      </c>
      <c r="C157" s="2" t="n">
        <f aca="false">MAX(A157,B157)</f>
        <v>6.39911991601633</v>
      </c>
      <c r="E157" s="2" t="n">
        <v>19.8224731758618</v>
      </c>
    </row>
    <row r="158" customFormat="false" ht="13" hidden="false" customHeight="false" outlineLevel="0" collapsed="false">
      <c r="A158" s="2" t="n">
        <v>0</v>
      </c>
      <c r="B158" s="2" t="n">
        <v>10.7499824399547</v>
      </c>
      <c r="C158" s="2" t="n">
        <f aca="false">MAX(A158,B158)</f>
        <v>10.7499824399547</v>
      </c>
      <c r="E158" s="2" t="n">
        <v>19.8192981295406</v>
      </c>
    </row>
    <row r="159" customFormat="false" ht="13" hidden="false" customHeight="false" outlineLevel="0" collapsed="false">
      <c r="A159" s="2" t="n">
        <v>5.84178062057461</v>
      </c>
      <c r="B159" s="2" t="n">
        <v>0</v>
      </c>
      <c r="C159" s="2" t="n">
        <f aca="false">MAX(A159,B159)</f>
        <v>5.84178062057461</v>
      </c>
      <c r="E159" s="2" t="n">
        <v>19.7836825112763</v>
      </c>
    </row>
    <row r="160" customFormat="false" ht="13" hidden="false" customHeight="false" outlineLevel="0" collapsed="false">
      <c r="A160" s="2" t="n">
        <v>0</v>
      </c>
      <c r="B160" s="2" t="n">
        <v>10.5264636623614</v>
      </c>
      <c r="C160" s="2" t="n">
        <f aca="false">MAX(A160,B160)</f>
        <v>10.5264636623614</v>
      </c>
      <c r="E160" s="2" t="n">
        <v>19.7565279653932</v>
      </c>
    </row>
    <row r="161" customFormat="false" ht="13" hidden="false" customHeight="false" outlineLevel="0" collapsed="false">
      <c r="A161" s="2" t="n">
        <v>0</v>
      </c>
      <c r="B161" s="2" t="n">
        <v>12.0970603716015</v>
      </c>
      <c r="C161" s="2" t="n">
        <f aca="false">MAX(A161,B161)</f>
        <v>12.0970603716015</v>
      </c>
      <c r="E161" s="2" t="n">
        <v>19.7314710169039</v>
      </c>
    </row>
    <row r="162" customFormat="false" ht="13" hidden="false" customHeight="false" outlineLevel="0" collapsed="false">
      <c r="A162" s="2" t="n">
        <v>4.48281481868511</v>
      </c>
      <c r="B162" s="2" t="n">
        <v>0</v>
      </c>
      <c r="C162" s="2" t="n">
        <f aca="false">MAX(A162,B162)</f>
        <v>4.48281481868511</v>
      </c>
      <c r="E162" s="2" t="n">
        <v>19.7275179241113</v>
      </c>
    </row>
    <row r="163" customFormat="false" ht="13" hidden="false" customHeight="false" outlineLevel="0" collapsed="false">
      <c r="A163" s="2" t="n">
        <v>3.79375242338256</v>
      </c>
      <c r="B163" s="2" t="n">
        <v>0</v>
      </c>
      <c r="C163" s="2" t="n">
        <f aca="false">MAX(A163,B163)</f>
        <v>3.79375242338256</v>
      </c>
      <c r="E163" s="2" t="n">
        <v>19.7043723667889</v>
      </c>
    </row>
    <row r="164" customFormat="false" ht="13" hidden="false" customHeight="false" outlineLevel="0" collapsed="false">
      <c r="A164" s="2" t="n">
        <v>5.62481359988661</v>
      </c>
      <c r="B164" s="2" t="n">
        <v>0</v>
      </c>
      <c r="C164" s="2" t="n">
        <f aca="false">MAX(A164,B164)</f>
        <v>5.62481359988661</v>
      </c>
      <c r="E164" s="2" t="n">
        <v>19.6819506575596</v>
      </c>
    </row>
    <row r="165" customFormat="false" ht="13" hidden="false" customHeight="false" outlineLevel="0" collapsed="false">
      <c r="A165" s="2" t="n">
        <v>5.92219332472578</v>
      </c>
      <c r="B165" s="2" t="n">
        <v>0</v>
      </c>
      <c r="C165" s="2" t="n">
        <f aca="false">MAX(A165,B165)</f>
        <v>5.92219332472578</v>
      </c>
      <c r="E165" s="2" t="n">
        <v>19.6667359092797</v>
      </c>
    </row>
    <row r="166" customFormat="false" ht="13" hidden="false" customHeight="false" outlineLevel="0" collapsed="false">
      <c r="A166" s="2" t="n">
        <v>0</v>
      </c>
      <c r="B166" s="2" t="n">
        <v>8.69848000719435</v>
      </c>
      <c r="C166" s="2" t="n">
        <f aca="false">MAX(A166,B166)</f>
        <v>8.69848000719435</v>
      </c>
      <c r="E166" s="2" t="n">
        <v>19.6639303253385</v>
      </c>
    </row>
    <row r="167" customFormat="false" ht="13" hidden="false" customHeight="false" outlineLevel="0" collapsed="false">
      <c r="A167" s="2" t="n">
        <v>6.11797609958222</v>
      </c>
      <c r="B167" s="2" t="n">
        <v>0</v>
      </c>
      <c r="C167" s="2" t="n">
        <f aca="false">MAX(A167,B167)</f>
        <v>6.11797609958222</v>
      </c>
      <c r="E167" s="2" t="n">
        <v>19.5937002001181</v>
      </c>
    </row>
    <row r="168" customFormat="false" ht="13" hidden="false" customHeight="false" outlineLevel="0" collapsed="false">
      <c r="A168" s="2" t="n">
        <v>0</v>
      </c>
      <c r="B168" s="2" t="n">
        <v>8.6091535576781</v>
      </c>
      <c r="C168" s="2" t="n">
        <f aca="false">MAX(A168,B168)</f>
        <v>8.6091535576781</v>
      </c>
      <c r="E168" s="2" t="n">
        <v>19.5602985285343</v>
      </c>
    </row>
    <row r="169" customFormat="false" ht="13" hidden="false" customHeight="false" outlineLevel="0" collapsed="false">
      <c r="A169" s="2" t="n">
        <v>0</v>
      </c>
      <c r="B169" s="2" t="n">
        <v>10.3208628286919</v>
      </c>
      <c r="C169" s="2" t="n">
        <f aca="false">MAX(A169,B169)</f>
        <v>10.3208628286919</v>
      </c>
      <c r="E169" s="2" t="n">
        <v>19.4770765792059</v>
      </c>
    </row>
    <row r="170" customFormat="false" ht="13" hidden="false" customHeight="false" outlineLevel="0" collapsed="false">
      <c r="A170" s="2" t="n">
        <v>0</v>
      </c>
      <c r="B170" s="2" t="n">
        <v>10.7656557479797</v>
      </c>
      <c r="C170" s="2" t="n">
        <f aca="false">MAX(A170,B170)</f>
        <v>10.7656557479797</v>
      </c>
      <c r="E170" s="2" t="n">
        <v>19.4713942552033</v>
      </c>
    </row>
    <row r="171" customFormat="false" ht="13" hidden="false" customHeight="false" outlineLevel="0" collapsed="false">
      <c r="A171" s="2" t="n">
        <v>4.52368452472453</v>
      </c>
      <c r="B171" s="2" t="n">
        <v>0</v>
      </c>
      <c r="C171" s="2" t="n">
        <f aca="false">MAX(A171,B171)</f>
        <v>4.52368452472453</v>
      </c>
      <c r="E171" s="2" t="n">
        <v>19.4699499040933</v>
      </c>
    </row>
    <row r="172" customFormat="false" ht="13" hidden="false" customHeight="false" outlineLevel="0" collapsed="false">
      <c r="A172" s="2" t="n">
        <v>5.43455474544609</v>
      </c>
      <c r="B172" s="2" t="n">
        <v>0</v>
      </c>
      <c r="C172" s="2" t="n">
        <f aca="false">MAX(A172,B172)</f>
        <v>5.43455474544609</v>
      </c>
      <c r="E172" s="2" t="n">
        <v>19.4281551049046</v>
      </c>
    </row>
    <row r="173" customFormat="false" ht="13" hidden="false" customHeight="false" outlineLevel="0" collapsed="false">
      <c r="A173" s="2" t="n">
        <v>6.95679694963542</v>
      </c>
      <c r="B173" s="2" t="n">
        <v>0</v>
      </c>
      <c r="C173" s="2" t="n">
        <f aca="false">MAX(A173,B173)</f>
        <v>6.95679694963542</v>
      </c>
      <c r="E173" s="2" t="n">
        <v>19.4189454777654</v>
      </c>
    </row>
    <row r="174" customFormat="false" ht="13" hidden="false" customHeight="false" outlineLevel="0" collapsed="false">
      <c r="A174" s="2" t="n">
        <v>0</v>
      </c>
      <c r="B174" s="2" t="n">
        <v>10.2134730410764</v>
      </c>
      <c r="C174" s="2" t="n">
        <f aca="false">MAX(A174,B174)</f>
        <v>10.2134730410764</v>
      </c>
      <c r="E174" s="2" t="n">
        <v>19.4142108539824</v>
      </c>
    </row>
    <row r="175" customFormat="false" ht="13" hidden="false" customHeight="false" outlineLevel="0" collapsed="false">
      <c r="A175" s="2" t="n">
        <v>0</v>
      </c>
      <c r="B175" s="2" t="n">
        <v>11.8605101388393</v>
      </c>
      <c r="C175" s="2" t="n">
        <f aca="false">MAX(A175,B175)</f>
        <v>11.8605101388393</v>
      </c>
      <c r="E175" s="2" t="n">
        <v>19.3745997422952</v>
      </c>
    </row>
    <row r="176" customFormat="false" ht="13" hidden="false" customHeight="false" outlineLevel="0" collapsed="false">
      <c r="A176" s="2" t="n">
        <v>6.69128526735466</v>
      </c>
      <c r="B176" s="2" t="n">
        <v>0</v>
      </c>
      <c r="C176" s="2" t="n">
        <f aca="false">MAX(A176,B176)</f>
        <v>6.69128526735466</v>
      </c>
      <c r="E176" s="2" t="n">
        <v>19.3201909033301</v>
      </c>
    </row>
    <row r="177" customFormat="false" ht="13" hidden="false" customHeight="false" outlineLevel="0" collapsed="false">
      <c r="A177" s="2" t="n">
        <v>7.82943663108702</v>
      </c>
      <c r="B177" s="2" t="n">
        <v>0</v>
      </c>
      <c r="C177" s="2" t="n">
        <f aca="false">MAX(A177,B177)</f>
        <v>7.82943663108702</v>
      </c>
      <c r="E177" s="2" t="n">
        <v>19.276810618097</v>
      </c>
    </row>
    <row r="178" customFormat="false" ht="13" hidden="false" customHeight="false" outlineLevel="0" collapsed="false">
      <c r="A178" s="2" t="n">
        <v>5.57607372585423</v>
      </c>
      <c r="B178" s="2" t="n">
        <v>0</v>
      </c>
      <c r="C178" s="2" t="n">
        <f aca="false">MAX(A178,B178)</f>
        <v>5.57607372585423</v>
      </c>
      <c r="E178" s="2" t="n">
        <v>19.2689472794512</v>
      </c>
    </row>
    <row r="179" customFormat="false" ht="13" hidden="false" customHeight="false" outlineLevel="0" collapsed="false">
      <c r="A179" s="2" t="n">
        <v>0</v>
      </c>
      <c r="B179" s="2" t="n">
        <v>6.08639220872217</v>
      </c>
      <c r="C179" s="2" t="n">
        <f aca="false">MAX(A179,B179)</f>
        <v>6.08639220872217</v>
      </c>
      <c r="E179" s="2" t="n">
        <v>19.2017189280036</v>
      </c>
    </row>
    <row r="180" customFormat="false" ht="13" hidden="false" customHeight="false" outlineLevel="0" collapsed="false">
      <c r="A180" s="2" t="n">
        <v>4.54921035535321</v>
      </c>
      <c r="B180" s="2" t="n">
        <v>0</v>
      </c>
      <c r="C180" s="2" t="n">
        <f aca="false">MAX(A180,B180)</f>
        <v>4.54921035535321</v>
      </c>
      <c r="E180" s="2" t="n">
        <v>19.1916120764181</v>
      </c>
    </row>
    <row r="181" customFormat="false" ht="13" hidden="false" customHeight="false" outlineLevel="0" collapsed="false">
      <c r="A181" s="2" t="n">
        <v>0</v>
      </c>
      <c r="B181" s="2" t="n">
        <v>4.29037234794598</v>
      </c>
      <c r="C181" s="2" t="n">
        <f aca="false">MAX(A181,B181)</f>
        <v>4.29037234794598</v>
      </c>
      <c r="E181" s="2" t="n">
        <v>19.1446699202096</v>
      </c>
    </row>
    <row r="182" customFormat="false" ht="13" hidden="false" customHeight="false" outlineLevel="0" collapsed="false">
      <c r="A182" s="2" t="n">
        <v>0</v>
      </c>
      <c r="B182" s="2" t="n">
        <v>5.9418310797771</v>
      </c>
      <c r="C182" s="2" t="n">
        <f aca="false">MAX(A182,B182)</f>
        <v>5.9418310797771</v>
      </c>
      <c r="E182" s="2" t="n">
        <v>19.1215611555731</v>
      </c>
    </row>
    <row r="183" customFormat="false" ht="13" hidden="false" customHeight="false" outlineLevel="0" collapsed="false">
      <c r="A183" s="2" t="n">
        <v>3.88396826003154</v>
      </c>
      <c r="B183" s="2" t="n">
        <v>0</v>
      </c>
      <c r="C183" s="2" t="n">
        <f aca="false">MAX(A183,B183)</f>
        <v>3.88396826003154</v>
      </c>
      <c r="E183" s="2" t="n">
        <v>19.0833558079623</v>
      </c>
    </row>
    <row r="184" customFormat="false" ht="13" hidden="false" customHeight="false" outlineLevel="0" collapsed="false">
      <c r="A184" s="2" t="n">
        <v>4.13895831337302</v>
      </c>
      <c r="B184" s="2" t="n">
        <v>0</v>
      </c>
      <c r="C184" s="2" t="n">
        <f aca="false">MAX(A184,B184)</f>
        <v>4.13895831337302</v>
      </c>
      <c r="E184" s="2" t="n">
        <v>19.0740434066479</v>
      </c>
    </row>
    <row r="185" customFormat="false" ht="13" hidden="false" customHeight="false" outlineLevel="0" collapsed="false">
      <c r="A185" s="2" t="n">
        <v>5.10404095125026</v>
      </c>
      <c r="B185" s="2" t="n">
        <v>0</v>
      </c>
      <c r="C185" s="2" t="n">
        <f aca="false">MAX(A185,B185)</f>
        <v>5.10404095125026</v>
      </c>
      <c r="E185" s="2" t="n">
        <v>19.0451378785177</v>
      </c>
    </row>
    <row r="186" customFormat="false" ht="13" hidden="false" customHeight="false" outlineLevel="0" collapsed="false">
      <c r="A186" s="2" t="n">
        <v>0</v>
      </c>
      <c r="B186" s="2" t="n">
        <v>4.87570369707206</v>
      </c>
      <c r="C186" s="2" t="n">
        <f aca="false">MAX(A186,B186)</f>
        <v>4.87570369707206</v>
      </c>
      <c r="E186" s="2" t="n">
        <v>19.0055238092335</v>
      </c>
    </row>
    <row r="187" customFormat="false" ht="13" hidden="false" customHeight="false" outlineLevel="0" collapsed="false">
      <c r="A187" s="2" t="n">
        <v>0</v>
      </c>
      <c r="B187" s="2" t="n">
        <v>5.90502021520956</v>
      </c>
      <c r="C187" s="2" t="n">
        <f aca="false">MAX(A187,B187)</f>
        <v>5.90502021520956</v>
      </c>
      <c r="E187" s="2" t="n">
        <v>19.0018664132136</v>
      </c>
    </row>
    <row r="188" customFormat="false" ht="13" hidden="false" customHeight="false" outlineLevel="0" collapsed="false">
      <c r="A188" s="2" t="n">
        <v>0</v>
      </c>
      <c r="B188" s="2" t="n">
        <v>8.04084645477786</v>
      </c>
      <c r="C188" s="2" t="n">
        <f aca="false">MAX(A188,B188)</f>
        <v>8.04084645477786</v>
      </c>
      <c r="E188" s="2" t="n">
        <v>18.9916686009975</v>
      </c>
    </row>
    <row r="189" customFormat="false" ht="13" hidden="false" customHeight="false" outlineLevel="0" collapsed="false">
      <c r="A189" s="2" t="n">
        <v>5.61141865881731</v>
      </c>
      <c r="B189" s="2" t="n">
        <v>0</v>
      </c>
      <c r="C189" s="2" t="n">
        <f aca="false">MAX(A189,B189)</f>
        <v>5.61141865881731</v>
      </c>
      <c r="E189" s="2" t="n">
        <v>18.9880633022144</v>
      </c>
    </row>
    <row r="190" customFormat="false" ht="13" hidden="false" customHeight="false" outlineLevel="0" collapsed="false">
      <c r="A190" s="2" t="n">
        <v>0</v>
      </c>
      <c r="B190" s="2" t="n">
        <v>8.6183156422463</v>
      </c>
      <c r="C190" s="2" t="n">
        <f aca="false">MAX(A190,B190)</f>
        <v>8.6183156422463</v>
      </c>
      <c r="E190" s="2" t="n">
        <v>18.9764466877874</v>
      </c>
    </row>
    <row r="191" customFormat="false" ht="13" hidden="false" customHeight="false" outlineLevel="0" collapsed="false">
      <c r="A191" s="2" t="n">
        <v>6.0832439975961</v>
      </c>
      <c r="B191" s="2" t="n">
        <v>0</v>
      </c>
      <c r="C191" s="2" t="n">
        <f aca="false">MAX(A191,B191)</f>
        <v>6.0832439975961</v>
      </c>
      <c r="E191" s="2" t="n">
        <v>18.9747503231597</v>
      </c>
    </row>
    <row r="192" customFormat="false" ht="13" hidden="false" customHeight="false" outlineLevel="0" collapsed="false">
      <c r="A192" s="2" t="n">
        <v>4.75624320174808</v>
      </c>
      <c r="B192" s="2" t="n">
        <v>0</v>
      </c>
      <c r="C192" s="2" t="n">
        <f aca="false">MAX(A192,B192)</f>
        <v>4.75624320174808</v>
      </c>
      <c r="E192" s="2" t="n">
        <v>18.9719898383637</v>
      </c>
    </row>
    <row r="193" customFormat="false" ht="13" hidden="false" customHeight="false" outlineLevel="0" collapsed="false">
      <c r="A193" s="2" t="n">
        <v>0</v>
      </c>
      <c r="B193" s="2" t="n">
        <v>5.94805174790395</v>
      </c>
      <c r="C193" s="2" t="n">
        <f aca="false">MAX(A193,B193)</f>
        <v>5.94805174790395</v>
      </c>
      <c r="E193" s="2" t="n">
        <v>18.942055368056</v>
      </c>
    </row>
    <row r="194" customFormat="false" ht="13" hidden="false" customHeight="false" outlineLevel="0" collapsed="false">
      <c r="A194" s="2" t="n">
        <v>5.84935291061228</v>
      </c>
      <c r="B194" s="2" t="n">
        <v>0</v>
      </c>
      <c r="C194" s="2" t="n">
        <f aca="false">MAX(A194,B194)</f>
        <v>5.84935291061228</v>
      </c>
      <c r="E194" s="2" t="n">
        <v>18.9111856171965</v>
      </c>
    </row>
    <row r="195" customFormat="false" ht="13" hidden="false" customHeight="false" outlineLevel="0" collapsed="false">
      <c r="A195" s="2" t="n">
        <v>0</v>
      </c>
      <c r="B195" s="2" t="n">
        <v>3.54655171575732</v>
      </c>
      <c r="C195" s="2" t="n">
        <f aca="false">MAX(A195,B195)</f>
        <v>3.54655171575732</v>
      </c>
      <c r="E195" s="2" t="n">
        <v>18.9020689121347</v>
      </c>
    </row>
    <row r="196" customFormat="false" ht="13" hidden="false" customHeight="false" outlineLevel="0" collapsed="false">
      <c r="A196" s="2" t="n">
        <v>0</v>
      </c>
      <c r="B196" s="2" t="n">
        <v>4.30677589879858</v>
      </c>
      <c r="C196" s="2" t="n">
        <f aca="false">MAX(A196,B196)</f>
        <v>4.30677589879858</v>
      </c>
      <c r="E196" s="2" t="n">
        <v>18.8849791758632</v>
      </c>
    </row>
    <row r="197" customFormat="false" ht="13" hidden="false" customHeight="false" outlineLevel="0" collapsed="false">
      <c r="A197" s="2" t="n">
        <v>2.41988942994718</v>
      </c>
      <c r="B197" s="2" t="n">
        <v>0</v>
      </c>
      <c r="C197" s="2" t="n">
        <f aca="false">MAX(A197,B197)</f>
        <v>2.41988942994718</v>
      </c>
      <c r="E197" s="2" t="n">
        <v>18.8549870236079</v>
      </c>
    </row>
    <row r="198" customFormat="false" ht="13" hidden="false" customHeight="false" outlineLevel="0" collapsed="false">
      <c r="A198" s="2" t="n">
        <v>0</v>
      </c>
      <c r="B198" s="2" t="n">
        <v>5.44741065045463</v>
      </c>
      <c r="C198" s="2" t="n">
        <f aca="false">MAX(A198,B198)</f>
        <v>5.44741065045463</v>
      </c>
      <c r="E198" s="2" t="n">
        <v>18.8517063209788</v>
      </c>
    </row>
    <row r="199" customFormat="false" ht="13" hidden="false" customHeight="false" outlineLevel="0" collapsed="false">
      <c r="A199" s="2" t="n">
        <v>2.0920769682451</v>
      </c>
      <c r="B199" s="2" t="n">
        <v>0</v>
      </c>
      <c r="C199" s="2" t="n">
        <f aca="false">MAX(A199,B199)</f>
        <v>2.0920769682451</v>
      </c>
      <c r="E199" s="2" t="n">
        <v>18.8247829585777</v>
      </c>
    </row>
    <row r="200" customFormat="false" ht="13" hidden="false" customHeight="false" outlineLevel="0" collapsed="false">
      <c r="A200" s="2" t="n">
        <v>3.90260304468904</v>
      </c>
      <c r="B200" s="2" t="n">
        <v>0</v>
      </c>
      <c r="C200" s="2" t="n">
        <f aca="false">MAX(A200,B200)</f>
        <v>3.90260304468904</v>
      </c>
      <c r="E200" s="2" t="n">
        <v>18.816816644693</v>
      </c>
    </row>
    <row r="201" customFormat="false" ht="13" hidden="false" customHeight="false" outlineLevel="0" collapsed="false">
      <c r="A201" s="2" t="n">
        <v>0</v>
      </c>
      <c r="B201" s="2" t="n">
        <v>5.42246580820827</v>
      </c>
      <c r="C201" s="2" t="n">
        <f aca="false">MAX(A201,B201)</f>
        <v>5.42246580820827</v>
      </c>
      <c r="E201" s="2" t="n">
        <v>18.7313846111683</v>
      </c>
    </row>
    <row r="202" customFormat="false" ht="13" hidden="false" customHeight="false" outlineLevel="0" collapsed="false">
      <c r="A202" s="2" t="n">
        <v>4.34642040225799</v>
      </c>
      <c r="B202" s="2" t="n">
        <v>0</v>
      </c>
      <c r="C202" s="2" t="n">
        <f aca="false">MAX(A202,B202)</f>
        <v>4.34642040225799</v>
      </c>
      <c r="E202" s="2" t="n">
        <v>18.6633442710152</v>
      </c>
    </row>
    <row r="203" customFormat="false" ht="13" hidden="false" customHeight="false" outlineLevel="0" collapsed="false">
      <c r="A203" s="2" t="n">
        <v>0</v>
      </c>
      <c r="B203" s="2" t="n">
        <v>5.59754533206845</v>
      </c>
      <c r="C203" s="2" t="n">
        <f aca="false">MAX(A203,B203)</f>
        <v>5.59754533206845</v>
      </c>
      <c r="E203" s="2" t="n">
        <v>18.6556994904634</v>
      </c>
    </row>
    <row r="204" customFormat="false" ht="13" hidden="false" customHeight="false" outlineLevel="0" collapsed="false">
      <c r="A204" s="2" t="n">
        <v>5.96203659094456</v>
      </c>
      <c r="B204" s="2" t="n">
        <v>0</v>
      </c>
      <c r="C204" s="2" t="n">
        <f aca="false">MAX(A204,B204)</f>
        <v>5.96203659094456</v>
      </c>
      <c r="E204" s="2" t="n">
        <v>18.6463716558393</v>
      </c>
    </row>
    <row r="205" customFormat="false" ht="13" hidden="false" customHeight="false" outlineLevel="0" collapsed="false">
      <c r="A205" s="2" t="n">
        <v>0</v>
      </c>
      <c r="B205" s="2" t="n">
        <v>6.72918214959412</v>
      </c>
      <c r="C205" s="2" t="n">
        <f aca="false">MAX(A205,B205)</f>
        <v>6.72918214959412</v>
      </c>
      <c r="E205" s="2" t="n">
        <v>18.6299353232606</v>
      </c>
    </row>
    <row r="206" customFormat="false" ht="13" hidden="false" customHeight="false" outlineLevel="0" collapsed="false">
      <c r="A206" s="2" t="n">
        <v>0</v>
      </c>
      <c r="B206" s="2" t="n">
        <v>7.25449198477574</v>
      </c>
      <c r="C206" s="2" t="n">
        <f aca="false">MAX(A206,B206)</f>
        <v>7.25449198477574</v>
      </c>
      <c r="E206" s="2" t="n">
        <v>18.5320134056167</v>
      </c>
    </row>
    <row r="207" customFormat="false" ht="13" hidden="false" customHeight="false" outlineLevel="0" collapsed="false">
      <c r="A207" s="2" t="n">
        <v>4.37575984472312</v>
      </c>
      <c r="B207" s="2" t="n">
        <v>0</v>
      </c>
      <c r="C207" s="2" t="n">
        <f aca="false">MAX(A207,B207)</f>
        <v>4.37575984472312</v>
      </c>
      <c r="E207" s="2" t="n">
        <v>18.5305777521844</v>
      </c>
    </row>
    <row r="208" customFormat="false" ht="13" hidden="false" customHeight="false" outlineLevel="0" collapsed="false">
      <c r="A208" s="2" t="n">
        <v>5.26869749771365</v>
      </c>
      <c r="B208" s="2" t="n">
        <v>0</v>
      </c>
      <c r="C208" s="2" t="n">
        <f aca="false">MAX(A208,B208)</f>
        <v>5.26869749771365</v>
      </c>
      <c r="E208" s="2" t="n">
        <v>18.4909008598492</v>
      </c>
    </row>
    <row r="209" customFormat="false" ht="13" hidden="false" customHeight="false" outlineLevel="0" collapsed="false">
      <c r="A209" s="2" t="n">
        <v>0</v>
      </c>
      <c r="B209" s="2" t="n">
        <v>5.74244780067667</v>
      </c>
      <c r="C209" s="2" t="n">
        <f aca="false">MAX(A209,B209)</f>
        <v>5.74244780067667</v>
      </c>
      <c r="E209" s="2" t="n">
        <v>18.4136944276032</v>
      </c>
    </row>
    <row r="210" customFormat="false" ht="13" hidden="false" customHeight="false" outlineLevel="0" collapsed="false">
      <c r="A210" s="2" t="n">
        <v>0</v>
      </c>
      <c r="B210" s="2" t="n">
        <v>7.85224349781805</v>
      </c>
      <c r="C210" s="2" t="n">
        <f aca="false">MAX(A210,B210)</f>
        <v>7.85224349781805</v>
      </c>
      <c r="E210" s="2" t="n">
        <v>18.3830220100006</v>
      </c>
    </row>
    <row r="211" customFormat="false" ht="13" hidden="false" customHeight="false" outlineLevel="0" collapsed="false">
      <c r="A211" s="2" t="n">
        <v>5.94179856548689</v>
      </c>
      <c r="B211" s="2" t="n">
        <v>0</v>
      </c>
      <c r="C211" s="2" t="n">
        <f aca="false">MAX(A211,B211)</f>
        <v>5.94179856548689</v>
      </c>
      <c r="E211" s="2" t="n">
        <v>18.3810969271287</v>
      </c>
    </row>
    <row r="212" customFormat="false" ht="13" hidden="false" customHeight="false" outlineLevel="0" collapsed="false">
      <c r="A212" s="2" t="n">
        <v>0</v>
      </c>
      <c r="B212" s="2" t="n">
        <v>8.62835038711725</v>
      </c>
      <c r="C212" s="2" t="n">
        <f aca="false">MAX(A212,B212)</f>
        <v>8.62835038711725</v>
      </c>
      <c r="E212" s="2" t="n">
        <v>18.3755918425983</v>
      </c>
    </row>
    <row r="213" customFormat="false" ht="13" hidden="false" customHeight="false" outlineLevel="0" collapsed="false">
      <c r="A213" s="2" t="n">
        <v>0</v>
      </c>
      <c r="B213" s="2" t="n">
        <v>9.82365437010171</v>
      </c>
      <c r="C213" s="2" t="n">
        <f aca="false">MAX(A213,B213)</f>
        <v>9.82365437010171</v>
      </c>
      <c r="E213" s="2" t="n">
        <v>18.3430686781034</v>
      </c>
    </row>
    <row r="214" customFormat="false" ht="13" hidden="false" customHeight="false" outlineLevel="0" collapsed="false">
      <c r="A214" s="2" t="n">
        <v>0</v>
      </c>
      <c r="B214" s="2" t="n">
        <v>11.35181670145</v>
      </c>
      <c r="C214" s="2" t="n">
        <f aca="false">MAX(A214,B214)</f>
        <v>11.35181670145</v>
      </c>
      <c r="E214" s="2" t="n">
        <v>18.3271115984707</v>
      </c>
    </row>
    <row r="215" customFormat="false" ht="13" hidden="false" customHeight="false" outlineLevel="0" collapsed="false">
      <c r="A215" s="2" t="n">
        <v>4.49546488588845</v>
      </c>
      <c r="B215" s="2" t="n">
        <v>0</v>
      </c>
      <c r="C215" s="2" t="n">
        <f aca="false">MAX(A215,B215)</f>
        <v>4.49546488588845</v>
      </c>
      <c r="E215" s="2" t="n">
        <v>18.3230353151206</v>
      </c>
    </row>
    <row r="216" customFormat="false" ht="13" hidden="false" customHeight="false" outlineLevel="0" collapsed="false">
      <c r="A216" s="2" t="n">
        <v>0</v>
      </c>
      <c r="B216" s="2" t="n">
        <v>9.55469691288155</v>
      </c>
      <c r="C216" s="2" t="n">
        <f aca="false">MAX(A216,B216)</f>
        <v>9.55469691288155</v>
      </c>
      <c r="E216" s="2" t="n">
        <v>18.3200330384577</v>
      </c>
    </row>
    <row r="217" customFormat="false" ht="13" hidden="false" customHeight="false" outlineLevel="0" collapsed="false">
      <c r="A217" s="2" t="n">
        <v>2.30638207219954</v>
      </c>
      <c r="B217" s="2" t="n">
        <v>0</v>
      </c>
      <c r="C217" s="2" t="n">
        <f aca="false">MAX(A217,B217)</f>
        <v>2.30638207219954</v>
      </c>
      <c r="E217" s="2" t="n">
        <v>18.229951629286</v>
      </c>
    </row>
    <row r="218" customFormat="false" ht="13" hidden="false" customHeight="false" outlineLevel="0" collapsed="false">
      <c r="A218" s="2" t="n">
        <v>2.55508286552836</v>
      </c>
      <c r="B218" s="2" t="n">
        <v>0</v>
      </c>
      <c r="C218" s="2" t="n">
        <f aca="false">MAX(A218,B218)</f>
        <v>2.55508286552836</v>
      </c>
      <c r="E218" s="2" t="n">
        <v>18.2192811853877</v>
      </c>
    </row>
    <row r="219" customFormat="false" ht="13" hidden="false" customHeight="false" outlineLevel="0" collapsed="false">
      <c r="A219" s="2" t="n">
        <v>0</v>
      </c>
      <c r="B219" s="2" t="n">
        <v>5.51055660511085</v>
      </c>
      <c r="C219" s="2" t="n">
        <f aca="false">MAX(A219,B219)</f>
        <v>5.51055660511085</v>
      </c>
      <c r="E219" s="2" t="n">
        <v>18.2073713393549</v>
      </c>
    </row>
    <row r="220" customFormat="false" ht="13" hidden="false" customHeight="false" outlineLevel="0" collapsed="false">
      <c r="A220" s="2" t="n">
        <v>0</v>
      </c>
      <c r="B220" s="2" t="n">
        <v>6.96863195408798</v>
      </c>
      <c r="C220" s="2" t="n">
        <f aca="false">MAX(A220,B220)</f>
        <v>6.96863195408798</v>
      </c>
      <c r="E220" s="2" t="n">
        <v>18.1657612562067</v>
      </c>
    </row>
    <row r="221" customFormat="false" ht="13" hidden="false" customHeight="false" outlineLevel="0" collapsed="false">
      <c r="A221" s="2" t="n">
        <v>2.13194428063798</v>
      </c>
      <c r="B221" s="2" t="n">
        <v>0</v>
      </c>
      <c r="C221" s="2" t="n">
        <f aca="false">MAX(A221,B221)</f>
        <v>2.13194428063798</v>
      </c>
      <c r="E221" s="2" t="n">
        <v>18.1267674568055</v>
      </c>
    </row>
    <row r="222" customFormat="false" ht="13" hidden="false" customHeight="false" outlineLevel="0" collapsed="false">
      <c r="A222" s="2" t="n">
        <v>0</v>
      </c>
      <c r="B222" s="2" t="n">
        <v>2.1400382798339</v>
      </c>
      <c r="C222" s="2" t="n">
        <f aca="false">MAX(A222,B222)</f>
        <v>2.1400382798339</v>
      </c>
      <c r="E222" s="2" t="n">
        <v>18.1205749223056</v>
      </c>
    </row>
    <row r="223" customFormat="false" ht="13" hidden="false" customHeight="false" outlineLevel="0" collapsed="false">
      <c r="A223" s="2" t="n">
        <v>1.93044364561274</v>
      </c>
      <c r="B223" s="2" t="n">
        <v>0</v>
      </c>
      <c r="C223" s="2" t="n">
        <f aca="false">MAX(A223,B223)</f>
        <v>1.93044364561274</v>
      </c>
      <c r="E223" s="2" t="n">
        <v>18.0685369581726</v>
      </c>
    </row>
    <row r="224" customFormat="false" ht="13" hidden="false" customHeight="false" outlineLevel="0" collapsed="false">
      <c r="A224" s="2" t="n">
        <v>2.56141286266151</v>
      </c>
      <c r="B224" s="2" t="n">
        <v>0</v>
      </c>
      <c r="C224" s="2" t="n">
        <f aca="false">MAX(A224,B224)</f>
        <v>2.56141286266151</v>
      </c>
      <c r="E224" s="2" t="n">
        <v>18.0531243031639</v>
      </c>
    </row>
    <row r="225" customFormat="false" ht="13" hidden="false" customHeight="false" outlineLevel="0" collapsed="false">
      <c r="A225" s="2" t="n">
        <v>0</v>
      </c>
      <c r="B225" s="2" t="n">
        <v>2.22341733199346</v>
      </c>
      <c r="C225" s="2" t="n">
        <f aca="false">MAX(A225,B225)</f>
        <v>2.22341733199346</v>
      </c>
      <c r="E225" s="2" t="n">
        <v>18.0494159779778</v>
      </c>
    </row>
    <row r="226" customFormat="false" ht="13" hidden="false" customHeight="false" outlineLevel="0" collapsed="false">
      <c r="A226" s="2" t="n">
        <v>1.98172651779032</v>
      </c>
      <c r="B226" s="2" t="n">
        <v>0</v>
      </c>
      <c r="C226" s="2" t="n">
        <f aca="false">MAX(A226,B226)</f>
        <v>1.98172651779032</v>
      </c>
      <c r="E226" s="2" t="n">
        <v>18.046084341426</v>
      </c>
    </row>
    <row r="227" customFormat="false" ht="13" hidden="false" customHeight="false" outlineLevel="0" collapsed="false">
      <c r="A227" s="2" t="n">
        <v>0</v>
      </c>
      <c r="B227" s="2" t="n">
        <v>1.79655227686862</v>
      </c>
      <c r="C227" s="2" t="n">
        <f aca="false">MAX(A227,B227)</f>
        <v>1.79655227686862</v>
      </c>
      <c r="E227" s="2" t="n">
        <v>18.0262375459852</v>
      </c>
    </row>
    <row r="228" customFormat="false" ht="13" hidden="false" customHeight="false" outlineLevel="0" collapsed="false">
      <c r="A228" s="2" t="n">
        <v>2.92098744171548</v>
      </c>
      <c r="B228" s="2" t="n">
        <v>0</v>
      </c>
      <c r="C228" s="2" t="n">
        <f aca="false">MAX(A228,B228)</f>
        <v>2.92098744171548</v>
      </c>
      <c r="E228" s="2" t="n">
        <v>18.0217953160557</v>
      </c>
    </row>
    <row r="229" customFormat="false" ht="13" hidden="false" customHeight="false" outlineLevel="0" collapsed="false">
      <c r="A229" s="2" t="n">
        <v>0</v>
      </c>
      <c r="B229" s="2" t="n">
        <v>2.36254600347897</v>
      </c>
      <c r="C229" s="2" t="n">
        <f aca="false">MAX(A229,B229)</f>
        <v>2.36254600347897</v>
      </c>
      <c r="E229" s="2" t="n">
        <v>18.0165660180834</v>
      </c>
    </row>
    <row r="230" customFormat="false" ht="13" hidden="false" customHeight="false" outlineLevel="0" collapsed="false">
      <c r="A230" s="2" t="n">
        <v>4.43963747198239</v>
      </c>
      <c r="B230" s="2" t="n">
        <v>0</v>
      </c>
      <c r="C230" s="2" t="n">
        <f aca="false">MAX(A230,B230)</f>
        <v>4.43963747198239</v>
      </c>
      <c r="E230" s="2" t="n">
        <v>18.0142017137991</v>
      </c>
    </row>
    <row r="231" customFormat="false" ht="13" hidden="false" customHeight="false" outlineLevel="0" collapsed="false">
      <c r="A231" s="2" t="n">
        <v>0</v>
      </c>
      <c r="B231" s="2" t="n">
        <v>4.22779492928649</v>
      </c>
      <c r="C231" s="2" t="n">
        <f aca="false">MAX(A231,B231)</f>
        <v>4.22779492928649</v>
      </c>
      <c r="E231" s="2" t="n">
        <v>17.9599152211302</v>
      </c>
    </row>
    <row r="232" customFormat="false" ht="13" hidden="false" customHeight="false" outlineLevel="0" collapsed="false">
      <c r="A232" s="2" t="n">
        <v>3.76351852757193</v>
      </c>
      <c r="B232" s="2" t="n">
        <v>0</v>
      </c>
      <c r="C232" s="2" t="n">
        <f aca="false">MAX(A232,B232)</f>
        <v>3.76351852757193</v>
      </c>
      <c r="E232" s="2" t="n">
        <v>17.9297268779746</v>
      </c>
    </row>
    <row r="233" customFormat="false" ht="13" hidden="false" customHeight="false" outlineLevel="0" collapsed="false">
      <c r="A233" s="2" t="n">
        <v>5.30969876172804</v>
      </c>
      <c r="B233" s="2" t="n">
        <v>0</v>
      </c>
      <c r="C233" s="2" t="n">
        <f aca="false">MAX(A233,B233)</f>
        <v>5.30969876172804</v>
      </c>
      <c r="E233" s="2" t="n">
        <v>17.9228816715681</v>
      </c>
    </row>
    <row r="234" customFormat="false" ht="13" hidden="false" customHeight="false" outlineLevel="0" collapsed="false">
      <c r="A234" s="2" t="n">
        <v>0</v>
      </c>
      <c r="B234" s="2" t="n">
        <v>2.34489893038216</v>
      </c>
      <c r="C234" s="2" t="n">
        <f aca="false">MAX(A234,B234)</f>
        <v>2.34489893038216</v>
      </c>
      <c r="E234" s="2" t="n">
        <v>17.9182979821632</v>
      </c>
    </row>
    <row r="235" customFormat="false" ht="13" hidden="false" customHeight="false" outlineLevel="0" collapsed="false">
      <c r="A235" s="2" t="n">
        <v>0</v>
      </c>
      <c r="B235" s="2" t="n">
        <v>2.84190937838798</v>
      </c>
      <c r="C235" s="2" t="n">
        <f aca="false">MAX(A235,B235)</f>
        <v>2.84190937838798</v>
      </c>
      <c r="E235" s="2" t="n">
        <v>17.8694776548034</v>
      </c>
    </row>
    <row r="236" customFormat="false" ht="13" hidden="false" customHeight="false" outlineLevel="0" collapsed="false">
      <c r="A236" s="2" t="n">
        <v>3.12954931400941</v>
      </c>
      <c r="B236" s="2" t="n">
        <v>0</v>
      </c>
      <c r="C236" s="2" t="n">
        <f aca="false">MAX(A236,B236)</f>
        <v>3.12954931400941</v>
      </c>
      <c r="E236" s="2" t="n">
        <v>17.8398780828176</v>
      </c>
    </row>
    <row r="237" customFormat="false" ht="13" hidden="false" customHeight="false" outlineLevel="0" collapsed="false">
      <c r="A237" s="2" t="n">
        <v>4.64619216192131</v>
      </c>
      <c r="B237" s="2" t="n">
        <v>0</v>
      </c>
      <c r="C237" s="2" t="n">
        <f aca="false">MAX(A237,B237)</f>
        <v>4.64619216192131</v>
      </c>
      <c r="E237" s="2" t="n">
        <v>17.8395738519288</v>
      </c>
    </row>
    <row r="238" customFormat="false" ht="13" hidden="false" customHeight="false" outlineLevel="0" collapsed="false">
      <c r="A238" s="2" t="n">
        <v>0</v>
      </c>
      <c r="B238" s="2" t="n">
        <v>2.49476583288907</v>
      </c>
      <c r="C238" s="2" t="n">
        <f aca="false">MAX(A238,B238)</f>
        <v>2.49476583288907</v>
      </c>
      <c r="E238" s="2" t="n">
        <v>17.8040517661315</v>
      </c>
    </row>
    <row r="239" customFormat="false" ht="13" hidden="false" customHeight="false" outlineLevel="0" collapsed="false">
      <c r="A239" s="2" t="n">
        <v>0</v>
      </c>
      <c r="B239" s="2" t="n">
        <v>4.15024524972245</v>
      </c>
      <c r="C239" s="2" t="n">
        <f aca="false">MAX(A239,B239)</f>
        <v>4.15024524972245</v>
      </c>
      <c r="E239" s="2" t="n">
        <v>17.7901886339862</v>
      </c>
    </row>
    <row r="240" customFormat="false" ht="13" hidden="false" customHeight="false" outlineLevel="0" collapsed="false">
      <c r="A240" s="2" t="n">
        <v>4.87780552479359</v>
      </c>
      <c r="B240" s="2" t="n">
        <v>0</v>
      </c>
      <c r="C240" s="2" t="n">
        <f aca="false">MAX(A240,B240)</f>
        <v>4.87780552479359</v>
      </c>
      <c r="E240" s="2" t="n">
        <v>17.7177933904453</v>
      </c>
    </row>
    <row r="241" customFormat="false" ht="13" hidden="false" customHeight="false" outlineLevel="0" collapsed="false">
      <c r="A241" s="2" t="n">
        <v>0</v>
      </c>
      <c r="B241" s="2" t="n">
        <v>5.31178270201116</v>
      </c>
      <c r="C241" s="2" t="n">
        <f aca="false">MAX(A241,B241)</f>
        <v>5.31178270201116</v>
      </c>
      <c r="E241" s="2" t="n">
        <v>17.7024063205255</v>
      </c>
    </row>
    <row r="242" customFormat="false" ht="13" hidden="false" customHeight="false" outlineLevel="0" collapsed="false">
      <c r="A242" s="2" t="n">
        <v>2.64323768895866</v>
      </c>
      <c r="B242" s="2" t="n">
        <v>0</v>
      </c>
      <c r="C242" s="2" t="n">
        <f aca="false">MAX(A242,B242)</f>
        <v>2.64323768895866</v>
      </c>
      <c r="E242" s="2" t="n">
        <v>17.6184728052606</v>
      </c>
    </row>
    <row r="243" customFormat="false" ht="13" hidden="false" customHeight="false" outlineLevel="0" collapsed="false">
      <c r="A243" s="2" t="n">
        <v>4.08987409779701</v>
      </c>
      <c r="B243" s="2" t="n">
        <v>0</v>
      </c>
      <c r="C243" s="2" t="n">
        <f aca="false">MAX(A243,B243)</f>
        <v>4.08987409779701</v>
      </c>
      <c r="E243" s="2" t="n">
        <v>17.4940224835282</v>
      </c>
    </row>
    <row r="244" customFormat="false" ht="13" hidden="false" customHeight="false" outlineLevel="0" collapsed="false">
      <c r="A244" s="2" t="n">
        <v>0</v>
      </c>
      <c r="B244" s="2" t="n">
        <v>1.87643641986739</v>
      </c>
      <c r="C244" s="2" t="n">
        <f aca="false">MAX(A244,B244)</f>
        <v>1.87643641986739</v>
      </c>
      <c r="E244" s="2" t="n">
        <v>17.3812130284758</v>
      </c>
    </row>
    <row r="245" customFormat="false" ht="13" hidden="false" customHeight="false" outlineLevel="0" collapsed="false">
      <c r="A245" s="2" t="n">
        <v>4.98111118998196</v>
      </c>
      <c r="B245" s="2" t="n">
        <v>0</v>
      </c>
      <c r="C245" s="2" t="n">
        <f aca="false">MAX(A245,B245)</f>
        <v>4.98111118998196</v>
      </c>
      <c r="E245" s="2" t="n">
        <v>17.3780792695168</v>
      </c>
    </row>
    <row r="246" customFormat="false" ht="13" hidden="false" customHeight="false" outlineLevel="0" collapsed="false">
      <c r="A246" s="2" t="n">
        <v>0</v>
      </c>
      <c r="B246" s="2" t="n">
        <v>2.8078200347054</v>
      </c>
      <c r="C246" s="2" t="n">
        <f aca="false">MAX(A246,B246)</f>
        <v>2.8078200347054</v>
      </c>
      <c r="E246" s="2" t="n">
        <v>17.3682130639476</v>
      </c>
    </row>
    <row r="247" customFormat="false" ht="13" hidden="false" customHeight="false" outlineLevel="0" collapsed="false">
      <c r="A247" s="2" t="n">
        <v>5.69254585215845</v>
      </c>
      <c r="B247" s="2" t="n">
        <v>0</v>
      </c>
      <c r="C247" s="2" t="n">
        <f aca="false">MAX(A247,B247)</f>
        <v>5.69254585215845</v>
      </c>
      <c r="E247" s="2" t="n">
        <v>17.3536252029842</v>
      </c>
    </row>
    <row r="248" customFormat="false" ht="13" hidden="false" customHeight="false" outlineLevel="0" collapsed="false">
      <c r="A248" s="2" t="n">
        <v>0</v>
      </c>
      <c r="B248" s="2" t="n">
        <v>4.06925819182379</v>
      </c>
      <c r="C248" s="2" t="n">
        <f aca="false">MAX(A248,B248)</f>
        <v>4.06925819182379</v>
      </c>
      <c r="E248" s="2" t="n">
        <v>17.3291982655113</v>
      </c>
    </row>
    <row r="249" customFormat="false" ht="13" hidden="false" customHeight="false" outlineLevel="0" collapsed="false">
      <c r="A249" s="2" t="n">
        <v>0</v>
      </c>
      <c r="B249" s="2" t="n">
        <v>5.53263495849211</v>
      </c>
      <c r="C249" s="2" t="n">
        <f aca="false">MAX(A249,B249)</f>
        <v>5.53263495849211</v>
      </c>
      <c r="E249" s="2" t="n">
        <v>17.3281201007069</v>
      </c>
    </row>
    <row r="250" customFormat="false" ht="13" hidden="false" customHeight="false" outlineLevel="0" collapsed="false">
      <c r="A250" s="2" t="n">
        <v>5.93195280681823</v>
      </c>
      <c r="B250" s="2" t="n">
        <v>0</v>
      </c>
      <c r="C250" s="2" t="n">
        <f aca="false">MAX(A250,B250)</f>
        <v>5.93195280681823</v>
      </c>
      <c r="E250" s="2" t="n">
        <v>17.3119569710085</v>
      </c>
    </row>
    <row r="251" customFormat="false" ht="13" hidden="false" customHeight="false" outlineLevel="0" collapsed="false">
      <c r="A251" s="2" t="n">
        <v>0</v>
      </c>
      <c r="B251" s="2" t="n">
        <v>6.53664399380256</v>
      </c>
      <c r="C251" s="2" t="n">
        <f aca="false">MAX(A251,B251)</f>
        <v>6.53664399380256</v>
      </c>
      <c r="E251" s="2" t="n">
        <v>17.2863815709176</v>
      </c>
    </row>
    <row r="252" customFormat="false" ht="13" hidden="false" customHeight="false" outlineLevel="0" collapsed="false">
      <c r="A252" s="2" t="n">
        <v>7.07540899870088</v>
      </c>
      <c r="B252" s="2" t="n">
        <v>0</v>
      </c>
      <c r="C252" s="2" t="n">
        <f aca="false">MAX(A252,B252)</f>
        <v>7.07540899870088</v>
      </c>
      <c r="E252" s="2" t="n">
        <v>17.1595619535999</v>
      </c>
    </row>
    <row r="253" customFormat="false" ht="13" hidden="false" customHeight="false" outlineLevel="0" collapsed="false">
      <c r="A253" s="2" t="n">
        <v>0</v>
      </c>
      <c r="B253" s="2" t="n">
        <v>7.23365633994592</v>
      </c>
      <c r="C253" s="2" t="n">
        <f aca="false">MAX(A253,B253)</f>
        <v>7.23365633994592</v>
      </c>
      <c r="E253" s="2" t="n">
        <v>17.154105526094</v>
      </c>
    </row>
    <row r="254" customFormat="false" ht="13" hidden="false" customHeight="false" outlineLevel="0" collapsed="false">
      <c r="A254" s="2" t="n">
        <v>7.2332510144081</v>
      </c>
      <c r="B254" s="2" t="n">
        <v>0</v>
      </c>
      <c r="C254" s="2" t="n">
        <f aca="false">MAX(A254,B254)</f>
        <v>7.2332510144081</v>
      </c>
      <c r="E254" s="2" t="n">
        <v>17.1275166930857</v>
      </c>
    </row>
    <row r="255" customFormat="false" ht="13" hidden="false" customHeight="false" outlineLevel="0" collapsed="false">
      <c r="A255" s="2" t="n">
        <v>0</v>
      </c>
      <c r="B255" s="2" t="n">
        <v>6.90701445357121</v>
      </c>
      <c r="C255" s="2" t="n">
        <f aca="false">MAX(A255,B255)</f>
        <v>6.90701445357121</v>
      </c>
      <c r="E255" s="2" t="n">
        <v>17.0601364320532</v>
      </c>
    </row>
    <row r="256" customFormat="false" ht="13" hidden="false" customHeight="false" outlineLevel="0" collapsed="false">
      <c r="A256" s="2" t="n">
        <v>6.80712807264428</v>
      </c>
      <c r="B256" s="2" t="n">
        <v>0</v>
      </c>
      <c r="C256" s="2" t="n">
        <f aca="false">MAX(A256,B256)</f>
        <v>6.80712807264428</v>
      </c>
      <c r="E256" s="2" t="n">
        <v>16.9355812722842</v>
      </c>
    </row>
    <row r="257" customFormat="false" ht="13" hidden="false" customHeight="false" outlineLevel="0" collapsed="false">
      <c r="A257" s="2" t="n">
        <v>0</v>
      </c>
      <c r="B257" s="2" t="n">
        <v>5.76458286290279</v>
      </c>
      <c r="C257" s="2" t="n">
        <f aca="false">MAX(A257,B257)</f>
        <v>5.76458286290279</v>
      </c>
      <c r="E257" s="2" t="n">
        <v>16.8842632758174</v>
      </c>
    </row>
    <row r="258" customFormat="false" ht="13" hidden="false" customHeight="false" outlineLevel="0" collapsed="false">
      <c r="A258" s="2" t="n">
        <v>0</v>
      </c>
      <c r="B258" s="2" t="n">
        <v>6.52383677624687</v>
      </c>
      <c r="C258" s="2" t="n">
        <f aca="false">MAX(A258,B258)</f>
        <v>6.52383677624687</v>
      </c>
      <c r="E258" s="2" t="n">
        <v>16.8351257670313</v>
      </c>
    </row>
    <row r="259" customFormat="false" ht="13" hidden="false" customHeight="false" outlineLevel="0" collapsed="false">
      <c r="A259" s="2" t="n">
        <v>3.3977108620839</v>
      </c>
      <c r="B259" s="2" t="n">
        <v>0</v>
      </c>
      <c r="C259" s="2" t="n">
        <f aca="false">MAX(A259,B259)</f>
        <v>3.3977108620839</v>
      </c>
      <c r="E259" s="2" t="n">
        <v>16.8161617742418</v>
      </c>
    </row>
    <row r="260" customFormat="false" ht="13" hidden="false" customHeight="false" outlineLevel="0" collapsed="false">
      <c r="A260" s="2" t="n">
        <v>3.81837678933624</v>
      </c>
      <c r="B260" s="2" t="n">
        <v>0</v>
      </c>
      <c r="C260" s="2" t="n">
        <f aca="false">MAX(A260,B260)</f>
        <v>3.81837678933624</v>
      </c>
      <c r="E260" s="2" t="n">
        <v>16.807926246084</v>
      </c>
    </row>
    <row r="261" customFormat="false" ht="13" hidden="false" customHeight="false" outlineLevel="0" collapsed="false">
      <c r="A261" s="2" t="n">
        <v>0</v>
      </c>
      <c r="B261" s="2" t="n">
        <v>2.10589569279642</v>
      </c>
      <c r="C261" s="2" t="n">
        <f aca="false">MAX(A261,B261)</f>
        <v>2.10589569279642</v>
      </c>
      <c r="E261" s="2" t="n">
        <v>16.7653345038291</v>
      </c>
    </row>
    <row r="262" customFormat="false" ht="13" hidden="false" customHeight="false" outlineLevel="0" collapsed="false">
      <c r="A262" s="2" t="n">
        <v>2.35294820625131</v>
      </c>
      <c r="B262" s="2" t="n">
        <v>0</v>
      </c>
      <c r="C262" s="2" t="n">
        <f aca="false">MAX(A262,B262)</f>
        <v>2.35294820625131</v>
      </c>
      <c r="E262" s="2" t="n">
        <v>16.6723305837858</v>
      </c>
    </row>
    <row r="263" customFormat="false" ht="13" hidden="false" customHeight="false" outlineLevel="0" collapsed="false">
      <c r="A263" s="2" t="n">
        <v>0</v>
      </c>
      <c r="B263" s="2" t="n">
        <v>2.50061297262965</v>
      </c>
      <c r="C263" s="2" t="n">
        <f aca="false">MAX(A263,B263)</f>
        <v>2.50061297262965</v>
      </c>
      <c r="E263" s="2" t="n">
        <v>16.6440800971244</v>
      </c>
    </row>
    <row r="264" customFormat="false" ht="13" hidden="false" customHeight="false" outlineLevel="0" collapsed="false">
      <c r="A264" s="2" t="n">
        <v>3.38376116170986</v>
      </c>
      <c r="B264" s="2" t="n">
        <v>0</v>
      </c>
      <c r="C264" s="2" t="n">
        <f aca="false">MAX(A264,B264)</f>
        <v>3.38376116170986</v>
      </c>
      <c r="E264" s="2" t="n">
        <v>16.6120750404874</v>
      </c>
    </row>
    <row r="265" customFormat="false" ht="13" hidden="false" customHeight="false" outlineLevel="0" collapsed="false">
      <c r="A265" s="2" t="n">
        <v>0</v>
      </c>
      <c r="B265" s="2" t="n">
        <v>3.36215687966609</v>
      </c>
      <c r="C265" s="2" t="n">
        <f aca="false">MAX(A265,B265)</f>
        <v>3.36215687966609</v>
      </c>
      <c r="E265" s="2" t="n">
        <v>16.6061930232651</v>
      </c>
    </row>
    <row r="266" customFormat="false" ht="13" hidden="false" customHeight="false" outlineLevel="0" collapsed="false">
      <c r="A266" s="2" t="n">
        <v>0</v>
      </c>
      <c r="B266" s="2" t="n">
        <v>2.21221436806218</v>
      </c>
      <c r="C266" s="2" t="n">
        <f aca="false">MAX(A266,B266)</f>
        <v>2.21221436806218</v>
      </c>
      <c r="E266" s="2" t="n">
        <v>16.5604128463019</v>
      </c>
    </row>
    <row r="267" customFormat="false" ht="13" hidden="false" customHeight="false" outlineLevel="0" collapsed="false">
      <c r="A267" s="2" t="n">
        <v>1.98457529308007</v>
      </c>
      <c r="B267" s="2" t="n">
        <v>0</v>
      </c>
      <c r="C267" s="2" t="n">
        <f aca="false">MAX(A267,B267)</f>
        <v>1.98457529308007</v>
      </c>
      <c r="E267" s="2" t="n">
        <v>16.5602426120061</v>
      </c>
    </row>
    <row r="268" customFormat="false" ht="13" hidden="false" customHeight="false" outlineLevel="0" collapsed="false">
      <c r="A268" s="2" t="n">
        <v>3.84739648234716</v>
      </c>
      <c r="B268" s="2" t="n">
        <v>0</v>
      </c>
      <c r="C268" s="2" t="n">
        <f aca="false">MAX(A268,B268)</f>
        <v>3.84739648234716</v>
      </c>
      <c r="E268" s="2" t="n">
        <v>16.4943429239193</v>
      </c>
    </row>
    <row r="269" customFormat="false" ht="13" hidden="false" customHeight="false" outlineLevel="0" collapsed="false">
      <c r="A269" s="2" t="n">
        <v>5.68347290541459</v>
      </c>
      <c r="B269" s="2" t="n">
        <v>0</v>
      </c>
      <c r="C269" s="2" t="n">
        <f aca="false">MAX(A269,B269)</f>
        <v>5.68347290541459</v>
      </c>
      <c r="E269" s="2" t="n">
        <v>16.4797382659233</v>
      </c>
    </row>
    <row r="270" customFormat="false" ht="13" hidden="false" customHeight="false" outlineLevel="0" collapsed="false">
      <c r="A270" s="2" t="n">
        <v>7.40081091489702</v>
      </c>
      <c r="B270" s="2" t="n">
        <v>0</v>
      </c>
      <c r="C270" s="2" t="n">
        <f aca="false">MAX(A270,B270)</f>
        <v>7.40081091489702</v>
      </c>
      <c r="E270" s="2" t="n">
        <v>16.4002196708109</v>
      </c>
    </row>
    <row r="271" customFormat="false" ht="13" hidden="false" customHeight="false" outlineLevel="0" collapsed="false">
      <c r="A271" s="2" t="n">
        <v>9.2484528709644</v>
      </c>
      <c r="B271" s="2" t="n">
        <v>0</v>
      </c>
      <c r="C271" s="2" t="n">
        <f aca="false">MAX(A271,B271)</f>
        <v>9.2484528709644</v>
      </c>
      <c r="E271" s="2" t="n">
        <v>16.3201116832275</v>
      </c>
    </row>
    <row r="272" customFormat="false" ht="13" hidden="false" customHeight="false" outlineLevel="0" collapsed="false">
      <c r="A272" s="2" t="n">
        <v>0</v>
      </c>
      <c r="B272" s="2" t="n">
        <v>2.39884118483252</v>
      </c>
      <c r="C272" s="2" t="n">
        <f aca="false">MAX(A272,B272)</f>
        <v>2.39884118483252</v>
      </c>
      <c r="E272" s="2" t="n">
        <v>16.3136280193126</v>
      </c>
    </row>
    <row r="273" customFormat="false" ht="13" hidden="false" customHeight="false" outlineLevel="0" collapsed="false">
      <c r="A273" s="2" t="n">
        <v>0</v>
      </c>
      <c r="B273" s="2" t="n">
        <v>1.8788488311925</v>
      </c>
      <c r="C273" s="2" t="n">
        <f aca="false">MAX(A273,B273)</f>
        <v>1.8788488311925</v>
      </c>
      <c r="E273" s="2" t="n">
        <v>16.2829985421885</v>
      </c>
    </row>
    <row r="274" customFormat="false" ht="13" hidden="false" customHeight="false" outlineLevel="0" collapsed="false">
      <c r="A274" s="2" t="n">
        <v>7.67371851182725</v>
      </c>
      <c r="B274" s="2" t="n">
        <v>0</v>
      </c>
      <c r="C274" s="2" t="n">
        <f aca="false">MAX(A274,B274)</f>
        <v>7.67371851182725</v>
      </c>
      <c r="E274" s="2" t="n">
        <v>16.2692192825747</v>
      </c>
    </row>
    <row r="275" customFormat="false" ht="13" hidden="false" customHeight="false" outlineLevel="0" collapsed="false">
      <c r="A275" s="2" t="n">
        <v>9.50802537279952</v>
      </c>
      <c r="B275" s="2" t="n">
        <v>0</v>
      </c>
      <c r="C275" s="2" t="n">
        <f aca="false">MAX(A275,B275)</f>
        <v>9.50802537279952</v>
      </c>
      <c r="E275" s="2" t="n">
        <v>16.232943546586</v>
      </c>
    </row>
    <row r="276" customFormat="false" ht="13" hidden="false" customHeight="false" outlineLevel="0" collapsed="false">
      <c r="A276" s="2" t="n">
        <v>0</v>
      </c>
      <c r="B276" s="2" t="n">
        <v>2.90446033954089</v>
      </c>
      <c r="C276" s="2" t="n">
        <f aca="false">MAX(A276,B276)</f>
        <v>2.90446033954089</v>
      </c>
      <c r="E276" s="2" t="n">
        <v>16.1042991719833</v>
      </c>
    </row>
    <row r="277" customFormat="false" ht="13" hidden="false" customHeight="false" outlineLevel="0" collapsed="false">
      <c r="A277" s="2" t="n">
        <v>0</v>
      </c>
      <c r="B277" s="2" t="n">
        <v>2.89755619628477</v>
      </c>
      <c r="C277" s="2" t="n">
        <f aca="false">MAX(A277,B277)</f>
        <v>2.89755619628477</v>
      </c>
      <c r="E277" s="2" t="n">
        <v>16.0644354082436</v>
      </c>
    </row>
    <row r="278" customFormat="false" ht="13" hidden="false" customHeight="false" outlineLevel="0" collapsed="false">
      <c r="A278" s="2" t="n">
        <v>0</v>
      </c>
      <c r="B278" s="2" t="n">
        <v>3.8796372783454</v>
      </c>
      <c r="C278" s="2" t="n">
        <f aca="false">MAX(A278,B278)</f>
        <v>3.8796372783454</v>
      </c>
      <c r="E278" s="2" t="n">
        <v>16.0586296729861</v>
      </c>
    </row>
    <row r="279" customFormat="false" ht="13" hidden="false" customHeight="false" outlineLevel="0" collapsed="false">
      <c r="A279" s="2" t="n">
        <v>0</v>
      </c>
      <c r="B279" s="2" t="n">
        <v>5.50813330527012</v>
      </c>
      <c r="C279" s="2" t="n">
        <f aca="false">MAX(A279,B279)</f>
        <v>5.50813330527012</v>
      </c>
      <c r="E279" s="2" t="n">
        <v>16.0355420086795</v>
      </c>
    </row>
    <row r="280" customFormat="false" ht="13" hidden="false" customHeight="false" outlineLevel="0" collapsed="false">
      <c r="A280" s="2" t="n">
        <v>0</v>
      </c>
      <c r="B280" s="2" t="n">
        <v>3.87323900344052</v>
      </c>
      <c r="C280" s="2" t="n">
        <f aca="false">MAX(A280,B280)</f>
        <v>3.87323900344052</v>
      </c>
      <c r="E280" s="2" t="n">
        <v>15.9766636634326</v>
      </c>
    </row>
    <row r="281" customFormat="false" ht="13" hidden="false" customHeight="false" outlineLevel="0" collapsed="false">
      <c r="A281" s="2" t="n">
        <v>0</v>
      </c>
      <c r="B281" s="2" t="n">
        <v>2.78980233714691</v>
      </c>
      <c r="C281" s="2" t="n">
        <f aca="false">MAX(A281,B281)</f>
        <v>2.78980233714691</v>
      </c>
      <c r="E281" s="2" t="n">
        <v>15.9310042570427</v>
      </c>
    </row>
    <row r="282" customFormat="false" ht="13" hidden="false" customHeight="false" outlineLevel="0" collapsed="false">
      <c r="A282" s="2" t="n">
        <v>0</v>
      </c>
      <c r="B282" s="2" t="n">
        <v>3.99071224458004</v>
      </c>
      <c r="C282" s="2" t="n">
        <f aca="false">MAX(A282,B282)</f>
        <v>3.99071224458004</v>
      </c>
      <c r="E282" s="2" t="n">
        <v>15.9266043196405</v>
      </c>
    </row>
    <row r="283" customFormat="false" ht="13" hidden="false" customHeight="false" outlineLevel="0" collapsed="false">
      <c r="A283" s="2" t="n">
        <v>0</v>
      </c>
      <c r="B283" s="2" t="n">
        <v>5.74064902988602</v>
      </c>
      <c r="C283" s="2" t="n">
        <f aca="false">MAX(A283,B283)</f>
        <v>5.74064902988602</v>
      </c>
      <c r="E283" s="2" t="n">
        <v>15.8745989948068</v>
      </c>
    </row>
    <row r="284" customFormat="false" ht="13" hidden="false" customHeight="false" outlineLevel="0" collapsed="false">
      <c r="A284" s="2" t="n">
        <v>1.91407284290563</v>
      </c>
      <c r="B284" s="2" t="n">
        <v>0</v>
      </c>
      <c r="C284" s="2" t="n">
        <f aca="false">MAX(A284,B284)</f>
        <v>1.91407284290563</v>
      </c>
      <c r="E284" s="2" t="n">
        <v>15.779091487835</v>
      </c>
    </row>
    <row r="285" customFormat="false" ht="13" hidden="false" customHeight="false" outlineLevel="0" collapsed="false">
      <c r="A285" s="2" t="n">
        <v>3.12011457624402</v>
      </c>
      <c r="B285" s="2" t="n">
        <v>0</v>
      </c>
      <c r="C285" s="2" t="n">
        <f aca="false">MAX(A285,B285)</f>
        <v>3.12011457624402</v>
      </c>
      <c r="E285" s="2" t="n">
        <v>15.7511369707123</v>
      </c>
    </row>
    <row r="286" customFormat="false" ht="13" hidden="false" customHeight="false" outlineLevel="0" collapsed="false">
      <c r="A286" s="2" t="n">
        <v>5.21818589001452</v>
      </c>
      <c r="B286" s="2" t="n">
        <v>0</v>
      </c>
      <c r="C286" s="2" t="n">
        <f aca="false">MAX(A286,B286)</f>
        <v>5.21818589001452</v>
      </c>
      <c r="E286" s="2" t="n">
        <v>15.7488467162926</v>
      </c>
    </row>
    <row r="287" customFormat="false" ht="13" hidden="false" customHeight="false" outlineLevel="0" collapsed="false">
      <c r="A287" s="2" t="n">
        <v>6.83735915894152</v>
      </c>
      <c r="B287" s="2" t="n">
        <v>0</v>
      </c>
      <c r="C287" s="2" t="n">
        <f aca="false">MAX(A287,B287)</f>
        <v>6.83735915894152</v>
      </c>
      <c r="E287" s="2" t="n">
        <v>15.7348825284485</v>
      </c>
    </row>
    <row r="288" customFormat="false" ht="13" hidden="false" customHeight="false" outlineLevel="0" collapsed="false">
      <c r="A288" s="2" t="n">
        <v>7.74775378666101</v>
      </c>
      <c r="B288" s="2" t="n">
        <v>0</v>
      </c>
      <c r="C288" s="2" t="n">
        <f aca="false">MAX(A288,B288)</f>
        <v>7.74775378666101</v>
      </c>
      <c r="E288" s="2" t="n">
        <v>15.7133706187121</v>
      </c>
    </row>
    <row r="289" customFormat="false" ht="13" hidden="false" customHeight="false" outlineLevel="0" collapsed="false">
      <c r="A289" s="2" t="n">
        <v>9.17892024806116</v>
      </c>
      <c r="B289" s="2" t="n">
        <v>0</v>
      </c>
      <c r="C289" s="2" t="n">
        <f aca="false">MAX(A289,B289)</f>
        <v>9.17892024806116</v>
      </c>
      <c r="E289" s="2" t="n">
        <v>15.6082471799602</v>
      </c>
    </row>
    <row r="290" customFormat="false" ht="13" hidden="false" customHeight="false" outlineLevel="0" collapsed="false">
      <c r="A290" s="2" t="n">
        <v>9.9616687367311</v>
      </c>
      <c r="B290" s="2" t="n">
        <v>0</v>
      </c>
      <c r="C290" s="2" t="n">
        <f aca="false">MAX(A290,B290)</f>
        <v>9.9616687367311</v>
      </c>
      <c r="E290" s="2" t="n">
        <v>15.5915606270326</v>
      </c>
    </row>
    <row r="291" customFormat="false" ht="13" hidden="false" customHeight="false" outlineLevel="0" collapsed="false">
      <c r="A291" s="2" t="n">
        <v>8.03003944303907</v>
      </c>
      <c r="B291" s="2" t="n">
        <v>0</v>
      </c>
      <c r="C291" s="2" t="n">
        <f aca="false">MAX(A291,B291)</f>
        <v>8.03003944303907</v>
      </c>
      <c r="E291" s="2" t="n">
        <v>15.5477111820907</v>
      </c>
    </row>
    <row r="292" customFormat="false" ht="13" hidden="false" customHeight="false" outlineLevel="0" collapsed="false">
      <c r="A292" s="2" t="n">
        <v>0</v>
      </c>
      <c r="B292" s="2" t="n">
        <v>1.99592737705098</v>
      </c>
      <c r="C292" s="2" t="n">
        <f aca="false">MAX(A292,B292)</f>
        <v>1.99592737705098</v>
      </c>
      <c r="E292" s="2" t="n">
        <v>15.5393061697366</v>
      </c>
    </row>
    <row r="293" customFormat="false" ht="13" hidden="false" customHeight="false" outlineLevel="0" collapsed="false">
      <c r="A293" s="2" t="n">
        <v>0</v>
      </c>
      <c r="B293" s="2" t="n">
        <v>3.08611147820579</v>
      </c>
      <c r="C293" s="2" t="n">
        <f aca="false">MAX(A293,B293)</f>
        <v>3.08611147820579</v>
      </c>
      <c r="E293" s="2" t="n">
        <v>15.4890581594556</v>
      </c>
    </row>
    <row r="294" customFormat="false" ht="13" hidden="false" customHeight="false" outlineLevel="0" collapsed="false">
      <c r="A294" s="2" t="n">
        <v>0</v>
      </c>
      <c r="B294" s="2" t="n">
        <v>3.69600916166235</v>
      </c>
      <c r="C294" s="2" t="n">
        <f aca="false">MAX(A294,B294)</f>
        <v>3.69600916166235</v>
      </c>
      <c r="E294" s="2" t="n">
        <v>15.471425732286</v>
      </c>
    </row>
    <row r="295" customFormat="false" ht="13" hidden="false" customHeight="false" outlineLevel="0" collapsed="false">
      <c r="A295" s="2" t="n">
        <v>0</v>
      </c>
      <c r="B295" s="2" t="n">
        <v>5.79045315383831</v>
      </c>
      <c r="C295" s="2" t="n">
        <f aca="false">MAX(A295,B295)</f>
        <v>5.79045315383831</v>
      </c>
      <c r="E295" s="2" t="n">
        <v>15.4363023590984</v>
      </c>
    </row>
    <row r="296" customFormat="false" ht="13" hidden="false" customHeight="false" outlineLevel="0" collapsed="false">
      <c r="A296" s="2" t="n">
        <v>0</v>
      </c>
      <c r="B296" s="2" t="n">
        <v>7.6824495107964</v>
      </c>
      <c r="C296" s="2" t="n">
        <f aca="false">MAX(A296,B296)</f>
        <v>7.6824495107964</v>
      </c>
      <c r="E296" s="2" t="n">
        <v>15.4321721550646</v>
      </c>
    </row>
    <row r="297" customFormat="false" ht="13" hidden="false" customHeight="false" outlineLevel="0" collapsed="false">
      <c r="A297" s="2" t="n">
        <v>6.82998433335115</v>
      </c>
      <c r="B297" s="2" t="n">
        <v>0</v>
      </c>
      <c r="C297" s="2" t="n">
        <f aca="false">MAX(A297,B297)</f>
        <v>6.82998433335115</v>
      </c>
      <c r="E297" s="2" t="n">
        <v>15.3843453131274</v>
      </c>
    </row>
    <row r="298" customFormat="false" ht="13" hidden="false" customHeight="false" outlineLevel="0" collapsed="false">
      <c r="A298" s="2" t="n">
        <v>4.04760124028957</v>
      </c>
      <c r="B298" s="2" t="n">
        <v>0</v>
      </c>
      <c r="C298" s="2" t="n">
        <f aca="false">MAX(A298,B298)</f>
        <v>4.04760124028957</v>
      </c>
      <c r="E298" s="2" t="n">
        <v>15.3359224457044</v>
      </c>
    </row>
    <row r="299" customFormat="false" ht="13" hidden="false" customHeight="false" outlineLevel="0" collapsed="false">
      <c r="A299" s="2" t="n">
        <v>0</v>
      </c>
      <c r="B299" s="2" t="n">
        <v>4.17095832261839</v>
      </c>
      <c r="C299" s="2" t="n">
        <f aca="false">MAX(A299,B299)</f>
        <v>4.17095832261839</v>
      </c>
      <c r="E299" s="2" t="n">
        <v>15.293008911163</v>
      </c>
    </row>
    <row r="300" customFormat="false" ht="13" hidden="false" customHeight="false" outlineLevel="0" collapsed="false">
      <c r="A300" s="2" t="n">
        <v>0</v>
      </c>
      <c r="B300" s="2" t="n">
        <v>5.97253275083671</v>
      </c>
      <c r="C300" s="2" t="n">
        <f aca="false">MAX(A300,B300)</f>
        <v>5.97253275083671</v>
      </c>
      <c r="E300" s="2" t="n">
        <v>15.2271753512885</v>
      </c>
    </row>
    <row r="301" customFormat="false" ht="13" hidden="false" customHeight="false" outlineLevel="0" collapsed="false">
      <c r="A301" s="2" t="n">
        <v>3.64684850744237</v>
      </c>
      <c r="B301" s="2" t="n">
        <v>0</v>
      </c>
      <c r="C301" s="2" t="n">
        <f aca="false">MAX(A301,B301)</f>
        <v>3.64684850744237</v>
      </c>
      <c r="E301" s="2" t="n">
        <v>15.0919906574003</v>
      </c>
    </row>
    <row r="302" customFormat="false" ht="13" hidden="false" customHeight="false" outlineLevel="0" collapsed="false">
      <c r="A302" s="2" t="n">
        <v>0</v>
      </c>
      <c r="B302" s="2" t="n">
        <v>5.22832407827292</v>
      </c>
      <c r="C302" s="2" t="n">
        <f aca="false">MAX(A302,B302)</f>
        <v>5.22832407827292</v>
      </c>
      <c r="E302" s="2" t="n">
        <v>15.0413221731146</v>
      </c>
    </row>
    <row r="303" customFormat="false" ht="13" hidden="false" customHeight="false" outlineLevel="0" collapsed="false">
      <c r="A303" s="2" t="n">
        <v>0</v>
      </c>
      <c r="B303" s="2" t="n">
        <v>5.02680021715213</v>
      </c>
      <c r="C303" s="2" t="n">
        <f aca="false">MAX(A303,B303)</f>
        <v>5.02680021715213</v>
      </c>
      <c r="E303" s="2" t="n">
        <v>15.0077714873599</v>
      </c>
    </row>
    <row r="304" customFormat="false" ht="13" hidden="false" customHeight="false" outlineLevel="0" collapsed="false">
      <c r="A304" s="2" t="n">
        <v>2.22970038265703</v>
      </c>
      <c r="B304" s="2" t="n">
        <v>0</v>
      </c>
      <c r="C304" s="2" t="n">
        <f aca="false">MAX(A304,B304)</f>
        <v>2.22970038265703</v>
      </c>
      <c r="E304" s="2" t="n">
        <v>14.9841188870286</v>
      </c>
    </row>
    <row r="305" customFormat="false" ht="13" hidden="false" customHeight="false" outlineLevel="0" collapsed="false">
      <c r="A305" s="2" t="n">
        <v>1.99312157468194</v>
      </c>
      <c r="B305" s="2" t="n">
        <v>0</v>
      </c>
      <c r="C305" s="2" t="n">
        <f aca="false">MAX(A305,B305)</f>
        <v>1.99312157468194</v>
      </c>
      <c r="E305" s="2" t="n">
        <v>14.9546391459919</v>
      </c>
    </row>
    <row r="306" customFormat="false" ht="13" hidden="false" customHeight="false" outlineLevel="0" collapsed="false">
      <c r="A306" s="2" t="n">
        <v>0</v>
      </c>
      <c r="B306" s="2" t="n">
        <v>1.94163215148865</v>
      </c>
      <c r="C306" s="2" t="n">
        <f aca="false">MAX(A306,B306)</f>
        <v>1.94163215148865</v>
      </c>
      <c r="E306" s="2" t="n">
        <v>14.9384883267395</v>
      </c>
    </row>
    <row r="307" customFormat="false" ht="13" hidden="false" customHeight="false" outlineLevel="0" collapsed="false">
      <c r="A307" s="2" t="n">
        <v>2.05264845129523</v>
      </c>
      <c r="B307" s="2" t="n">
        <v>0</v>
      </c>
      <c r="C307" s="2" t="n">
        <f aca="false">MAX(A307,B307)</f>
        <v>2.05264845129523</v>
      </c>
      <c r="E307" s="2" t="n">
        <v>14.8795322932721</v>
      </c>
    </row>
    <row r="308" customFormat="false" ht="13" hidden="false" customHeight="false" outlineLevel="0" collapsed="false">
      <c r="A308" s="2" t="n">
        <v>0</v>
      </c>
      <c r="B308" s="2" t="n">
        <v>1.77164247733845</v>
      </c>
      <c r="C308" s="2" t="n">
        <f aca="false">MAX(A308,B308)</f>
        <v>1.77164247733845</v>
      </c>
      <c r="E308" s="2" t="n">
        <v>14.8184916850138</v>
      </c>
    </row>
    <row r="309" customFormat="false" ht="13" hidden="false" customHeight="false" outlineLevel="0" collapsed="false">
      <c r="A309" s="2" t="n">
        <v>0</v>
      </c>
      <c r="B309" s="2" t="n">
        <v>3.24197382927184</v>
      </c>
      <c r="C309" s="2" t="n">
        <f aca="false">MAX(A309,B309)</f>
        <v>3.24197382927184</v>
      </c>
      <c r="E309" s="2" t="n">
        <v>14.7743670034805</v>
      </c>
    </row>
    <row r="310" customFormat="false" ht="13" hidden="false" customHeight="false" outlineLevel="0" collapsed="false">
      <c r="A310" s="2" t="n">
        <v>2.16610367041994</v>
      </c>
      <c r="B310" s="2" t="n">
        <v>0</v>
      </c>
      <c r="C310" s="2" t="n">
        <f aca="false">MAX(A310,B310)</f>
        <v>2.16610367041994</v>
      </c>
      <c r="E310" s="2" t="n">
        <v>14.7437842684593</v>
      </c>
    </row>
    <row r="311" customFormat="false" ht="13" hidden="false" customHeight="false" outlineLevel="0" collapsed="false">
      <c r="A311" s="2" t="n">
        <v>2.7354764230127</v>
      </c>
      <c r="B311" s="2" t="n">
        <v>0</v>
      </c>
      <c r="C311" s="2" t="n">
        <f aca="false">MAX(A311,B311)</f>
        <v>2.7354764230127</v>
      </c>
      <c r="E311" s="2" t="n">
        <v>14.6484982482658</v>
      </c>
    </row>
    <row r="312" customFormat="false" ht="13" hidden="false" customHeight="false" outlineLevel="0" collapsed="false">
      <c r="A312" s="2" t="n">
        <v>0</v>
      </c>
      <c r="B312" s="2" t="n">
        <v>2.26877944624249</v>
      </c>
      <c r="C312" s="2" t="n">
        <f aca="false">MAX(A312,B312)</f>
        <v>2.26877944624249</v>
      </c>
      <c r="E312" s="2" t="n">
        <v>14.6212895216721</v>
      </c>
    </row>
    <row r="313" customFormat="false" ht="13" hidden="false" customHeight="false" outlineLevel="0" collapsed="false">
      <c r="A313" s="2" t="n">
        <v>3.08146671931166</v>
      </c>
      <c r="B313" s="2" t="n">
        <v>0</v>
      </c>
      <c r="C313" s="2" t="n">
        <f aca="false">MAX(A313,B313)</f>
        <v>3.08146671931166</v>
      </c>
      <c r="E313" s="2" t="n">
        <v>14.4937521535433</v>
      </c>
    </row>
    <row r="314" customFormat="false" ht="13" hidden="false" customHeight="false" outlineLevel="0" collapsed="false">
      <c r="A314" s="2" t="n">
        <v>5.17295136737261</v>
      </c>
      <c r="B314" s="2" t="n">
        <v>0</v>
      </c>
      <c r="C314" s="2" t="n">
        <f aca="false">MAX(A314,B314)</f>
        <v>5.17295136737261</v>
      </c>
      <c r="E314" s="2" t="n">
        <v>14.4875275542421</v>
      </c>
    </row>
    <row r="315" customFormat="false" ht="13" hidden="false" customHeight="false" outlineLevel="0" collapsed="false">
      <c r="A315" s="2" t="n">
        <v>0</v>
      </c>
      <c r="B315" s="2" t="n">
        <v>3.67549057368427</v>
      </c>
      <c r="C315" s="2" t="n">
        <f aca="false">MAX(A315,B315)</f>
        <v>3.67549057368427</v>
      </c>
      <c r="E315" s="2" t="n">
        <v>14.4460384464725</v>
      </c>
    </row>
    <row r="316" customFormat="false" ht="13" hidden="false" customHeight="false" outlineLevel="0" collapsed="false">
      <c r="A316" s="2" t="n">
        <v>6.9534342083723</v>
      </c>
      <c r="B316" s="2" t="n">
        <v>0</v>
      </c>
      <c r="C316" s="2" t="n">
        <f aca="false">MAX(A316,B316)</f>
        <v>6.9534342083723</v>
      </c>
      <c r="E316" s="2" t="n">
        <v>14.4457688346502</v>
      </c>
    </row>
    <row r="317" customFormat="false" ht="13" hidden="false" customHeight="false" outlineLevel="0" collapsed="false">
      <c r="A317" s="2" t="n">
        <v>0</v>
      </c>
      <c r="B317" s="2" t="n">
        <v>3.69826581284292</v>
      </c>
      <c r="C317" s="2" t="n">
        <f aca="false">MAX(A317,B317)</f>
        <v>3.69826581284292</v>
      </c>
      <c r="E317" s="2" t="n">
        <v>14.3997234438638</v>
      </c>
    </row>
    <row r="318" customFormat="false" ht="13" hidden="false" customHeight="false" outlineLevel="0" collapsed="false">
      <c r="A318" s="2" t="n">
        <v>3.88026404941229</v>
      </c>
      <c r="B318" s="2" t="n">
        <v>0</v>
      </c>
      <c r="C318" s="2" t="n">
        <f aca="false">MAX(A318,B318)</f>
        <v>3.88026404941229</v>
      </c>
      <c r="E318" s="2" t="n">
        <v>14.2626711425305</v>
      </c>
    </row>
    <row r="319" customFormat="false" ht="13" hidden="false" customHeight="false" outlineLevel="0" collapsed="false">
      <c r="A319" s="2" t="n">
        <v>0</v>
      </c>
      <c r="B319" s="2" t="n">
        <v>1.92016248107666</v>
      </c>
      <c r="C319" s="2" t="n">
        <f aca="false">MAX(A319,B319)</f>
        <v>1.92016248107666</v>
      </c>
      <c r="E319" s="2" t="n">
        <v>14.2586446047333</v>
      </c>
    </row>
    <row r="320" customFormat="false" ht="13" hidden="false" customHeight="false" outlineLevel="0" collapsed="false">
      <c r="A320" s="2" t="n">
        <v>2.28061232977785</v>
      </c>
      <c r="B320" s="2" t="n">
        <v>0</v>
      </c>
      <c r="C320" s="2" t="n">
        <f aca="false">MAX(A320,B320)</f>
        <v>2.28061232977785</v>
      </c>
      <c r="E320" s="2" t="n">
        <v>14.2311469877779</v>
      </c>
    </row>
    <row r="321" customFormat="false" ht="13" hidden="false" customHeight="false" outlineLevel="0" collapsed="false">
      <c r="A321" s="2" t="n">
        <v>4.41444240201349</v>
      </c>
      <c r="B321" s="2" t="n">
        <v>0</v>
      </c>
      <c r="C321" s="2" t="n">
        <f aca="false">MAX(A321,B321)</f>
        <v>4.41444240201349</v>
      </c>
      <c r="E321" s="2" t="n">
        <v>14.1723876439216</v>
      </c>
    </row>
    <row r="322" customFormat="false" ht="13" hidden="false" customHeight="false" outlineLevel="0" collapsed="false">
      <c r="A322" s="2" t="n">
        <v>5.53412184574682</v>
      </c>
      <c r="B322" s="2" t="n">
        <v>0</v>
      </c>
      <c r="C322" s="2" t="n">
        <f aca="false">MAX(A322,B322)</f>
        <v>5.53412184574682</v>
      </c>
      <c r="E322" s="2" t="n">
        <v>14.159756655574</v>
      </c>
    </row>
    <row r="323" customFormat="false" ht="13" hidden="false" customHeight="false" outlineLevel="0" collapsed="false">
      <c r="A323" s="2" t="n">
        <v>0</v>
      </c>
      <c r="B323" s="2" t="n">
        <v>2.13533997310697</v>
      </c>
      <c r="C323" s="2" t="n">
        <f aca="false">MAX(A323,B323)</f>
        <v>2.13533997310697</v>
      </c>
      <c r="E323" s="2" t="n">
        <v>14.1402355528884</v>
      </c>
    </row>
    <row r="324" customFormat="false" ht="13" hidden="false" customHeight="false" outlineLevel="0" collapsed="false">
      <c r="A324" s="2" t="n">
        <v>0</v>
      </c>
      <c r="B324" s="2" t="n">
        <v>2.6102128262786</v>
      </c>
      <c r="C324" s="2" t="n">
        <f aca="false">MAX(A324,B324)</f>
        <v>2.6102128262786</v>
      </c>
      <c r="E324" s="2" t="n">
        <v>14.0889276131278</v>
      </c>
    </row>
    <row r="325" customFormat="false" ht="13" hidden="false" customHeight="false" outlineLevel="0" collapsed="false">
      <c r="A325" s="2" t="n">
        <v>2.79440584288108</v>
      </c>
      <c r="B325" s="2" t="n">
        <v>0</v>
      </c>
      <c r="C325" s="2" t="n">
        <f aca="false">MAX(A325,B325)</f>
        <v>2.79440584288108</v>
      </c>
      <c r="E325" s="2" t="n">
        <v>13.9962810641517</v>
      </c>
    </row>
    <row r="326" customFormat="false" ht="13" hidden="false" customHeight="false" outlineLevel="0" collapsed="false">
      <c r="A326" s="2" t="n">
        <v>0</v>
      </c>
      <c r="B326" s="2" t="n">
        <v>4.08550720338315</v>
      </c>
      <c r="C326" s="2" t="n">
        <f aca="false">MAX(A326,B326)</f>
        <v>4.08550720338315</v>
      </c>
      <c r="E326" s="2" t="n">
        <v>13.9911198173193</v>
      </c>
    </row>
    <row r="327" customFormat="false" ht="13" hidden="false" customHeight="false" outlineLevel="0" collapsed="false">
      <c r="A327" s="2" t="n">
        <v>4.07559729253796</v>
      </c>
      <c r="B327" s="2" t="n">
        <v>0</v>
      </c>
      <c r="C327" s="2" t="n">
        <f aca="false">MAX(A327,B327)</f>
        <v>4.07559729253796</v>
      </c>
      <c r="E327" s="2" t="n">
        <v>13.9280845152222</v>
      </c>
    </row>
    <row r="328" customFormat="false" ht="13" hidden="false" customHeight="false" outlineLevel="0" collapsed="false">
      <c r="A328" s="2" t="n">
        <v>5.52308506455489</v>
      </c>
      <c r="B328" s="2" t="n">
        <v>0</v>
      </c>
      <c r="C328" s="2" t="n">
        <f aca="false">MAX(A328,B328)</f>
        <v>5.52308506455489</v>
      </c>
      <c r="E328" s="2" t="n">
        <v>13.6937051421883</v>
      </c>
    </row>
    <row r="329" customFormat="false" ht="13" hidden="false" customHeight="false" outlineLevel="0" collapsed="false">
      <c r="A329" s="2" t="n">
        <v>0</v>
      </c>
      <c r="B329" s="2" t="n">
        <v>4.56296558281093</v>
      </c>
      <c r="C329" s="2" t="n">
        <f aca="false">MAX(A329,B329)</f>
        <v>4.56296558281093</v>
      </c>
      <c r="E329" s="2" t="n">
        <v>13.6569924277605</v>
      </c>
    </row>
    <row r="330" customFormat="false" ht="13" hidden="false" customHeight="false" outlineLevel="0" collapsed="false">
      <c r="A330" s="2" t="n">
        <v>6.27733641510048</v>
      </c>
      <c r="B330" s="2" t="n">
        <v>0</v>
      </c>
      <c r="C330" s="2" t="n">
        <f aca="false">MAX(A330,B330)</f>
        <v>6.27733641510048</v>
      </c>
      <c r="E330" s="2" t="n">
        <v>13.5941075600437</v>
      </c>
    </row>
    <row r="331" customFormat="false" ht="13" hidden="false" customHeight="false" outlineLevel="0" collapsed="false">
      <c r="A331" s="2" t="n">
        <v>6.16154418473201</v>
      </c>
      <c r="B331" s="2" t="n">
        <v>0</v>
      </c>
      <c r="C331" s="2" t="n">
        <f aca="false">MAX(A331,B331)</f>
        <v>6.16154418473201</v>
      </c>
      <c r="E331" s="2" t="n">
        <v>13.5613493895645</v>
      </c>
    </row>
    <row r="332" customFormat="false" ht="13" hidden="false" customHeight="false" outlineLevel="0" collapsed="false">
      <c r="A332" s="2" t="n">
        <v>0</v>
      </c>
      <c r="B332" s="2" t="n">
        <v>3.32960813280317</v>
      </c>
      <c r="C332" s="2" t="n">
        <f aca="false">MAX(A332,B332)</f>
        <v>3.32960813280317</v>
      </c>
      <c r="E332" s="2" t="n">
        <v>13.5357259231945</v>
      </c>
    </row>
    <row r="333" customFormat="false" ht="13" hidden="false" customHeight="false" outlineLevel="0" collapsed="false">
      <c r="A333" s="2" t="n">
        <v>0</v>
      </c>
      <c r="B333" s="2" t="n">
        <v>4.25849406403495</v>
      </c>
      <c r="C333" s="2" t="n">
        <f aca="false">MAX(A333,B333)</f>
        <v>4.25849406403495</v>
      </c>
      <c r="E333" s="2" t="n">
        <v>13.5299113675892</v>
      </c>
    </row>
    <row r="334" customFormat="false" ht="13" hidden="false" customHeight="false" outlineLevel="0" collapsed="false">
      <c r="A334" s="2" t="n">
        <v>0</v>
      </c>
      <c r="B334" s="2" t="n">
        <v>6.35962273007073</v>
      </c>
      <c r="C334" s="2" t="n">
        <f aca="false">MAX(A334,B334)</f>
        <v>6.35962273007073</v>
      </c>
      <c r="E334" s="2" t="n">
        <v>13.4285766583994</v>
      </c>
    </row>
    <row r="335" customFormat="false" ht="13" hidden="false" customHeight="false" outlineLevel="0" collapsed="false">
      <c r="A335" s="2" t="n">
        <v>0</v>
      </c>
      <c r="B335" s="2" t="n">
        <v>6.67250204392173</v>
      </c>
      <c r="C335" s="2" t="n">
        <f aca="false">MAX(A335,B335)</f>
        <v>6.67250204392173</v>
      </c>
      <c r="E335" s="2" t="n">
        <v>13.3902048631678</v>
      </c>
    </row>
    <row r="336" customFormat="false" ht="13" hidden="false" customHeight="false" outlineLevel="0" collapsed="false">
      <c r="A336" s="2" t="n">
        <v>3.87999878092552</v>
      </c>
      <c r="B336" s="2" t="n">
        <v>0</v>
      </c>
      <c r="C336" s="2" t="n">
        <f aca="false">MAX(A336,B336)</f>
        <v>3.87999878092552</v>
      </c>
      <c r="E336" s="2" t="n">
        <v>13.2901356713678</v>
      </c>
    </row>
    <row r="337" customFormat="false" ht="13" hidden="false" customHeight="false" outlineLevel="0" collapsed="false">
      <c r="A337" s="2" t="n">
        <v>3.05907541999397</v>
      </c>
      <c r="B337" s="2" t="n">
        <v>0</v>
      </c>
      <c r="C337" s="2" t="n">
        <f aca="false">MAX(A337,B337)</f>
        <v>3.05907541999397</v>
      </c>
      <c r="E337" s="2" t="n">
        <v>13.2273723835726</v>
      </c>
    </row>
    <row r="338" customFormat="false" ht="13" hidden="false" customHeight="false" outlineLevel="0" collapsed="false">
      <c r="A338" s="2" t="n">
        <v>2.96422314396074</v>
      </c>
      <c r="B338" s="2" t="n">
        <v>0</v>
      </c>
      <c r="C338" s="2" t="n">
        <f aca="false">MAX(A338,B338)</f>
        <v>2.96422314396074</v>
      </c>
      <c r="E338" s="2" t="n">
        <v>13.1938125185927</v>
      </c>
    </row>
    <row r="339" customFormat="false" ht="13" hidden="false" customHeight="false" outlineLevel="0" collapsed="false">
      <c r="A339" s="2" t="n">
        <v>0</v>
      </c>
      <c r="B339" s="2" t="n">
        <v>2.35752933770925</v>
      </c>
      <c r="C339" s="2" t="n">
        <f aca="false">MAX(A339,B339)</f>
        <v>2.35752933770925</v>
      </c>
      <c r="E339" s="2" t="n">
        <v>13.1875488568448</v>
      </c>
    </row>
    <row r="340" customFormat="false" ht="13" hidden="false" customHeight="false" outlineLevel="0" collapsed="false">
      <c r="A340" s="2" t="n">
        <v>1.75130573038723</v>
      </c>
      <c r="B340" s="2" t="n">
        <v>0</v>
      </c>
      <c r="C340" s="2" t="n">
        <f aca="false">MAX(A340,B340)</f>
        <v>1.75130573038723</v>
      </c>
      <c r="E340" s="2" t="n">
        <v>13.1462001710554</v>
      </c>
    </row>
    <row r="341" customFormat="false" ht="13" hidden="false" customHeight="false" outlineLevel="0" collapsed="false">
      <c r="A341" s="2" t="n">
        <v>0</v>
      </c>
      <c r="B341" s="2" t="n">
        <v>1.88839794185196</v>
      </c>
      <c r="C341" s="2" t="n">
        <f aca="false">MAX(A341,B341)</f>
        <v>1.88839794185196</v>
      </c>
      <c r="E341" s="2" t="n">
        <v>13.1407505458808</v>
      </c>
    </row>
    <row r="342" customFormat="false" ht="13" hidden="false" customHeight="false" outlineLevel="0" collapsed="false">
      <c r="A342" s="2" t="n">
        <v>0</v>
      </c>
      <c r="B342" s="2" t="n">
        <v>2.73010017770247</v>
      </c>
      <c r="C342" s="2" t="n">
        <f aca="false">MAX(A342,B342)</f>
        <v>2.73010017770247</v>
      </c>
      <c r="E342" s="2" t="n">
        <v>13.1296553137636</v>
      </c>
    </row>
    <row r="343" customFormat="false" ht="13" hidden="false" customHeight="false" outlineLevel="0" collapsed="false">
      <c r="A343" s="2" t="n">
        <v>2.17924163298721</v>
      </c>
      <c r="B343" s="2" t="n">
        <v>0</v>
      </c>
      <c r="C343" s="2" t="n">
        <f aca="false">MAX(A343,B343)</f>
        <v>2.17924163298721</v>
      </c>
      <c r="E343" s="2" t="n">
        <v>13.0567112752884</v>
      </c>
    </row>
    <row r="344" customFormat="false" ht="13" hidden="false" customHeight="false" outlineLevel="0" collapsed="false">
      <c r="A344" s="2" t="n">
        <v>2.28221337456</v>
      </c>
      <c r="B344" s="2" t="n">
        <v>0</v>
      </c>
      <c r="C344" s="2" t="n">
        <f aca="false">MAX(A344,B344)</f>
        <v>2.28221337456</v>
      </c>
      <c r="E344" s="2" t="n">
        <v>13.0085465521878</v>
      </c>
    </row>
    <row r="345" customFormat="false" ht="13" hidden="false" customHeight="false" outlineLevel="0" collapsed="false">
      <c r="A345" s="2" t="n">
        <v>4.40353531883966</v>
      </c>
      <c r="B345" s="2" t="n">
        <v>0</v>
      </c>
      <c r="C345" s="2" t="n">
        <f aca="false">MAX(A345,B345)</f>
        <v>4.40353531883966</v>
      </c>
      <c r="E345" s="2" t="n">
        <v>12.8497609541656</v>
      </c>
    </row>
    <row r="346" customFormat="false" ht="13" hidden="false" customHeight="false" outlineLevel="0" collapsed="false">
      <c r="A346" s="2" t="n">
        <v>0</v>
      </c>
      <c r="B346" s="2" t="n">
        <v>2.23627156169368</v>
      </c>
      <c r="C346" s="2" t="n">
        <f aca="false">MAX(A346,B346)</f>
        <v>2.23627156169368</v>
      </c>
      <c r="E346" s="2" t="n">
        <v>12.7314000302771</v>
      </c>
    </row>
    <row r="347" customFormat="false" ht="13" hidden="false" customHeight="false" outlineLevel="0" collapsed="false">
      <c r="A347" s="2" t="n">
        <v>4.58739663676289</v>
      </c>
      <c r="B347" s="2" t="n">
        <v>0</v>
      </c>
      <c r="C347" s="2" t="n">
        <f aca="false">MAX(A347,B347)</f>
        <v>4.58739663676289</v>
      </c>
      <c r="E347" s="2" t="n">
        <v>12.5169449806916</v>
      </c>
    </row>
    <row r="348" customFormat="false" ht="13" hidden="false" customHeight="false" outlineLevel="0" collapsed="false">
      <c r="A348" s="2" t="n">
        <v>0</v>
      </c>
      <c r="B348" s="2" t="n">
        <v>2.0567950511786</v>
      </c>
      <c r="C348" s="2" t="n">
        <f aca="false">MAX(A348,B348)</f>
        <v>2.0567950511786</v>
      </c>
      <c r="E348" s="2" t="n">
        <v>12.2117205215619</v>
      </c>
    </row>
    <row r="349" customFormat="false" ht="13" hidden="false" customHeight="false" outlineLevel="0" collapsed="false">
      <c r="A349" s="2" t="n">
        <v>4.40510213947914</v>
      </c>
      <c r="B349" s="2" t="n">
        <v>0</v>
      </c>
      <c r="C349" s="2" t="n">
        <f aca="false">MAX(A349,B349)</f>
        <v>4.40510213947914</v>
      </c>
      <c r="E349" s="2" t="n">
        <v>12.2098172899558</v>
      </c>
    </row>
    <row r="350" customFormat="false" ht="13" hidden="false" customHeight="false" outlineLevel="0" collapsed="false">
      <c r="A350" s="2" t="n">
        <v>0</v>
      </c>
      <c r="B350" s="2" t="n">
        <v>1.9222762646159</v>
      </c>
      <c r="C350" s="2" t="n">
        <f aca="false">MAX(A350,B350)</f>
        <v>1.9222762646159</v>
      </c>
      <c r="E350" s="2" t="n">
        <v>12.1919853146637</v>
      </c>
    </row>
    <row r="351" customFormat="false" ht="13" hidden="false" customHeight="false" outlineLevel="0" collapsed="false">
      <c r="A351" s="2" t="n">
        <v>0</v>
      </c>
      <c r="B351" s="2" t="n">
        <v>2.09267439743962</v>
      </c>
      <c r="C351" s="2" t="n">
        <f aca="false">MAX(A351,B351)</f>
        <v>2.09267439743962</v>
      </c>
      <c r="E351" s="2" t="n">
        <v>12.1881249888202</v>
      </c>
    </row>
    <row r="352" customFormat="false" ht="13" hidden="false" customHeight="false" outlineLevel="0" collapsed="false">
      <c r="A352" s="2" t="n">
        <v>2.0237351321498</v>
      </c>
      <c r="B352" s="2" t="n">
        <v>0</v>
      </c>
      <c r="C352" s="2" t="n">
        <f aca="false">MAX(A352,B352)</f>
        <v>2.0237351321498</v>
      </c>
      <c r="E352" s="2" t="n">
        <v>12.175414283241</v>
      </c>
    </row>
    <row r="353" customFormat="false" ht="13" hidden="false" customHeight="false" outlineLevel="0" collapsed="false">
      <c r="A353" s="2" t="n">
        <v>0</v>
      </c>
      <c r="B353" s="2" t="n">
        <v>2.06564970393669</v>
      </c>
      <c r="C353" s="2" t="n">
        <f aca="false">MAX(A353,B353)</f>
        <v>2.06564970393669</v>
      </c>
      <c r="E353" s="2" t="n">
        <v>12.1671520850999</v>
      </c>
    </row>
    <row r="354" customFormat="false" ht="13" hidden="false" customHeight="false" outlineLevel="0" collapsed="false">
      <c r="A354" s="2" t="n">
        <v>2.23913657364596</v>
      </c>
      <c r="B354" s="2" t="n">
        <v>0</v>
      </c>
      <c r="C354" s="2" t="n">
        <f aca="false">MAX(A354,B354)</f>
        <v>2.23913657364596</v>
      </c>
      <c r="E354" s="2" t="n">
        <v>12.0984483216421</v>
      </c>
    </row>
    <row r="355" customFormat="false" ht="13" hidden="false" customHeight="false" outlineLevel="0" collapsed="false">
      <c r="A355" s="2" t="n">
        <v>3.98937814061492</v>
      </c>
      <c r="B355" s="2" t="n">
        <v>0</v>
      </c>
      <c r="C355" s="2" t="n">
        <f aca="false">MAX(A355,B355)</f>
        <v>3.98937814061492</v>
      </c>
      <c r="E355" s="2" t="n">
        <v>12.0970603716015</v>
      </c>
    </row>
    <row r="356" customFormat="false" ht="13" hidden="false" customHeight="false" outlineLevel="0" collapsed="false">
      <c r="A356" s="2" t="n">
        <v>2.64248197859121</v>
      </c>
      <c r="B356" s="2" t="n">
        <v>0</v>
      </c>
      <c r="C356" s="2" t="n">
        <f aca="false">MAX(A356,B356)</f>
        <v>2.64248197859121</v>
      </c>
      <c r="E356" s="2" t="n">
        <v>12.0369133666556</v>
      </c>
    </row>
    <row r="357" customFormat="false" ht="13" hidden="false" customHeight="false" outlineLevel="0" collapsed="false">
      <c r="A357" s="2" t="n">
        <v>4.75541810418372</v>
      </c>
      <c r="B357" s="2" t="n">
        <v>0</v>
      </c>
      <c r="C357" s="2" t="n">
        <f aca="false">MAX(A357,B357)</f>
        <v>4.75541810418372</v>
      </c>
      <c r="E357" s="2" t="n">
        <v>11.985406697556</v>
      </c>
    </row>
    <row r="358" customFormat="false" ht="13" hidden="false" customHeight="false" outlineLevel="0" collapsed="false">
      <c r="A358" s="2" t="n">
        <v>6.25071046741346</v>
      </c>
      <c r="B358" s="2" t="n">
        <v>0</v>
      </c>
      <c r="C358" s="2" t="n">
        <f aca="false">MAX(A358,B358)</f>
        <v>6.25071046741346</v>
      </c>
      <c r="E358" s="2" t="n">
        <v>11.8605101388393</v>
      </c>
    </row>
    <row r="359" customFormat="false" ht="13" hidden="false" customHeight="false" outlineLevel="0" collapsed="false">
      <c r="A359" s="2" t="n">
        <v>0</v>
      </c>
      <c r="B359" s="2" t="n">
        <v>1.96640138281691</v>
      </c>
      <c r="C359" s="2" t="n">
        <f aca="false">MAX(A359,B359)</f>
        <v>1.96640138281691</v>
      </c>
      <c r="E359" s="2" t="n">
        <v>11.8131595013268</v>
      </c>
    </row>
    <row r="360" customFormat="false" ht="13" hidden="false" customHeight="false" outlineLevel="0" collapsed="false">
      <c r="A360" s="2" t="n">
        <v>6.66465218279626</v>
      </c>
      <c r="B360" s="2" t="n">
        <v>0</v>
      </c>
      <c r="C360" s="2" t="n">
        <f aca="false">MAX(A360,B360)</f>
        <v>6.66465218279626</v>
      </c>
      <c r="E360" s="2" t="n">
        <v>11.7991733084424</v>
      </c>
    </row>
    <row r="361" customFormat="false" ht="13" hidden="false" customHeight="false" outlineLevel="0" collapsed="false">
      <c r="A361" s="2" t="n">
        <v>7.87460080786065</v>
      </c>
      <c r="B361" s="2" t="n">
        <v>0</v>
      </c>
      <c r="C361" s="2" t="n">
        <f aca="false">MAX(A361,B361)</f>
        <v>7.87460080786065</v>
      </c>
      <c r="E361" s="2" t="n">
        <v>11.7585602976277</v>
      </c>
    </row>
    <row r="362" customFormat="false" ht="13" hidden="false" customHeight="false" outlineLevel="0" collapsed="false">
      <c r="A362" s="2" t="n">
        <v>9.71580683200131</v>
      </c>
      <c r="B362" s="2" t="n">
        <v>0</v>
      </c>
      <c r="C362" s="2" t="n">
        <f aca="false">MAX(A362,B362)</f>
        <v>9.71580683200131</v>
      </c>
      <c r="E362" s="2" t="n">
        <v>11.7545055570943</v>
      </c>
    </row>
    <row r="363" customFormat="false" ht="13" hidden="false" customHeight="false" outlineLevel="0" collapsed="false">
      <c r="A363" s="2" t="n">
        <v>11.052093324219</v>
      </c>
      <c r="B363" s="2" t="n">
        <v>0</v>
      </c>
      <c r="C363" s="2" t="n">
        <f aca="false">MAX(A363,B363)</f>
        <v>11.052093324219</v>
      </c>
      <c r="E363" s="2" t="n">
        <v>11.7155682775515</v>
      </c>
    </row>
    <row r="364" customFormat="false" ht="13" hidden="false" customHeight="false" outlineLevel="0" collapsed="false">
      <c r="A364" s="2" t="n">
        <v>8.16599743282592</v>
      </c>
      <c r="B364" s="2" t="n">
        <v>0</v>
      </c>
      <c r="C364" s="2" t="n">
        <f aca="false">MAX(A364,B364)</f>
        <v>8.16599743282592</v>
      </c>
      <c r="E364" s="2" t="n">
        <v>11.5562405695987</v>
      </c>
    </row>
    <row r="365" customFormat="false" ht="13" hidden="false" customHeight="false" outlineLevel="0" collapsed="false">
      <c r="A365" s="2" t="n">
        <v>9.92257804149921</v>
      </c>
      <c r="B365" s="2" t="n">
        <v>0</v>
      </c>
      <c r="C365" s="2" t="n">
        <f aca="false">MAX(A365,B365)</f>
        <v>9.92257804149921</v>
      </c>
      <c r="E365" s="2" t="n">
        <v>11.5079657577446</v>
      </c>
    </row>
    <row r="366" customFormat="false" ht="13" hidden="false" customHeight="false" outlineLevel="0" collapsed="false">
      <c r="A366" s="2" t="n">
        <v>10.531806172802</v>
      </c>
      <c r="B366" s="2" t="n">
        <v>0</v>
      </c>
      <c r="C366" s="2" t="n">
        <f aca="false">MAX(A366,B366)</f>
        <v>10.531806172802</v>
      </c>
      <c r="E366" s="2" t="n">
        <v>11.4529651790807</v>
      </c>
    </row>
    <row r="367" customFormat="false" ht="13" hidden="false" customHeight="false" outlineLevel="0" collapsed="false">
      <c r="A367" s="2" t="n">
        <v>0</v>
      </c>
      <c r="B367" s="2" t="n">
        <v>1.75123064126046</v>
      </c>
      <c r="C367" s="2" t="n">
        <f aca="false">MAX(A367,B367)</f>
        <v>1.75123064126046</v>
      </c>
      <c r="E367" s="2" t="n">
        <v>11.4049989156324</v>
      </c>
    </row>
    <row r="368" customFormat="false" ht="13" hidden="false" customHeight="false" outlineLevel="0" collapsed="false">
      <c r="A368" s="2" t="n">
        <v>11.2827536065852</v>
      </c>
      <c r="B368" s="2" t="n">
        <v>0</v>
      </c>
      <c r="C368" s="2" t="n">
        <f aca="false">MAX(A368,B368)</f>
        <v>11.2827536065852</v>
      </c>
      <c r="E368" s="2" t="n">
        <v>11.35181670145</v>
      </c>
    </row>
    <row r="369" customFormat="false" ht="13" hidden="false" customHeight="false" outlineLevel="0" collapsed="false">
      <c r="A369" s="2" t="n">
        <v>13.0567112752884</v>
      </c>
      <c r="B369" s="2" t="n">
        <v>0</v>
      </c>
      <c r="C369" s="2" t="n">
        <f aca="false">MAX(A369,B369)</f>
        <v>13.0567112752884</v>
      </c>
      <c r="E369" s="2" t="n">
        <v>11.349922680114</v>
      </c>
    </row>
    <row r="370" customFormat="false" ht="13" hidden="false" customHeight="false" outlineLevel="0" collapsed="false">
      <c r="A370" s="2" t="n">
        <v>0</v>
      </c>
      <c r="B370" s="2" t="n">
        <v>3.0205288102884</v>
      </c>
      <c r="C370" s="2" t="n">
        <f aca="false">MAX(A370,B370)</f>
        <v>3.0205288102884</v>
      </c>
      <c r="E370" s="2" t="n">
        <v>11.345008387901</v>
      </c>
    </row>
    <row r="371" customFormat="false" ht="13" hidden="false" customHeight="false" outlineLevel="0" collapsed="false">
      <c r="A371" s="2" t="n">
        <v>10.3666061228483</v>
      </c>
      <c r="B371" s="2" t="n">
        <v>0</v>
      </c>
      <c r="C371" s="2" t="n">
        <f aca="false">MAX(A371,B371)</f>
        <v>10.3666061228483</v>
      </c>
      <c r="E371" s="2" t="n">
        <v>11.2827536065852</v>
      </c>
    </row>
    <row r="372" customFormat="false" ht="13" hidden="false" customHeight="false" outlineLevel="0" collapsed="false">
      <c r="A372" s="2" t="n">
        <v>10.6883412424809</v>
      </c>
      <c r="B372" s="2" t="n">
        <v>0</v>
      </c>
      <c r="C372" s="2" t="n">
        <f aca="false">MAX(A372,B372)</f>
        <v>10.6883412424809</v>
      </c>
      <c r="E372" s="2" t="n">
        <v>11.2144403347621</v>
      </c>
    </row>
    <row r="373" customFormat="false" ht="13" hidden="false" customHeight="false" outlineLevel="0" collapsed="false">
      <c r="A373" s="2" t="n">
        <v>0</v>
      </c>
      <c r="B373" s="2" t="n">
        <v>2.1813090476553</v>
      </c>
      <c r="C373" s="2" t="n">
        <f aca="false">MAX(A373,B373)</f>
        <v>2.1813090476553</v>
      </c>
      <c r="E373" s="2" t="n">
        <v>11.2109623350862</v>
      </c>
    </row>
    <row r="374" customFormat="false" ht="13" hidden="false" customHeight="false" outlineLevel="0" collapsed="false">
      <c r="A374" s="2" t="n">
        <v>10.707744919259</v>
      </c>
      <c r="B374" s="2" t="n">
        <v>0</v>
      </c>
      <c r="C374" s="2" t="n">
        <f aca="false">MAX(A374,B374)</f>
        <v>10.707744919259</v>
      </c>
      <c r="E374" s="2" t="n">
        <v>11.1113997920806</v>
      </c>
    </row>
    <row r="375" customFormat="false" ht="13" hidden="false" customHeight="false" outlineLevel="0" collapsed="false">
      <c r="A375" s="2" t="n">
        <v>11.7155682775515</v>
      </c>
      <c r="B375" s="2" t="n">
        <v>0</v>
      </c>
      <c r="C375" s="2" t="n">
        <f aca="false">MAX(A375,B375)</f>
        <v>11.7155682775515</v>
      </c>
      <c r="E375" s="2" t="n">
        <v>11.052093324219</v>
      </c>
    </row>
    <row r="376" customFormat="false" ht="13" hidden="false" customHeight="false" outlineLevel="0" collapsed="false">
      <c r="A376" s="2" t="n">
        <v>12.0984483216421</v>
      </c>
      <c r="B376" s="2" t="n">
        <v>0</v>
      </c>
      <c r="C376" s="2" t="n">
        <f aca="false">MAX(A376,B376)</f>
        <v>12.0984483216421</v>
      </c>
      <c r="E376" s="2" t="n">
        <v>10.7656557479797</v>
      </c>
    </row>
    <row r="377" customFormat="false" ht="13" hidden="false" customHeight="false" outlineLevel="0" collapsed="false">
      <c r="A377" s="2" t="n">
        <v>0</v>
      </c>
      <c r="B377" s="2" t="n">
        <v>2.14442173017869</v>
      </c>
      <c r="C377" s="2" t="n">
        <f aca="false">MAX(A377,B377)</f>
        <v>2.14442173017869</v>
      </c>
      <c r="E377" s="2" t="n">
        <v>10.7499824399547</v>
      </c>
    </row>
    <row r="378" customFormat="false" ht="13" hidden="false" customHeight="false" outlineLevel="0" collapsed="false">
      <c r="A378" s="2" t="n">
        <v>11.985406697556</v>
      </c>
      <c r="B378" s="2" t="n">
        <v>0</v>
      </c>
      <c r="C378" s="2" t="n">
        <f aca="false">MAX(A378,B378)</f>
        <v>11.985406697556</v>
      </c>
      <c r="E378" s="2" t="n">
        <v>10.7336692104805</v>
      </c>
    </row>
    <row r="379" customFormat="false" ht="13" hidden="false" customHeight="false" outlineLevel="0" collapsed="false">
      <c r="A379" s="2" t="n">
        <v>12.1919853146637</v>
      </c>
      <c r="B379" s="2" t="n">
        <v>0</v>
      </c>
      <c r="C379" s="2" t="n">
        <f aca="false">MAX(A379,B379)</f>
        <v>12.1919853146637</v>
      </c>
      <c r="E379" s="2" t="n">
        <v>10.707744919259</v>
      </c>
    </row>
    <row r="380" customFormat="false" ht="13" hidden="false" customHeight="false" outlineLevel="0" collapsed="false">
      <c r="A380" s="2" t="n">
        <v>0</v>
      </c>
      <c r="B380" s="2" t="n">
        <v>1.95762999886711</v>
      </c>
      <c r="C380" s="2" t="n">
        <f aca="false">MAX(A380,B380)</f>
        <v>1.95762999886711</v>
      </c>
      <c r="E380" s="2" t="n">
        <v>10.6931647327316</v>
      </c>
    </row>
    <row r="381" customFormat="false" ht="13" hidden="false" customHeight="false" outlineLevel="0" collapsed="false">
      <c r="A381" s="2" t="n">
        <v>0</v>
      </c>
      <c r="B381" s="2" t="n">
        <v>3.47156727007484</v>
      </c>
      <c r="C381" s="2" t="n">
        <f aca="false">MAX(A381,B381)</f>
        <v>3.47156727007484</v>
      </c>
      <c r="E381" s="2" t="n">
        <v>10.6883412424809</v>
      </c>
    </row>
    <row r="382" customFormat="false" ht="13" hidden="false" customHeight="false" outlineLevel="0" collapsed="false">
      <c r="A382" s="2" t="n">
        <v>0</v>
      </c>
      <c r="B382" s="2" t="n">
        <v>4.57573518550066</v>
      </c>
      <c r="C382" s="2" t="n">
        <f aca="false">MAX(A382,B382)</f>
        <v>4.57573518550066</v>
      </c>
      <c r="E382" s="2" t="n">
        <v>10.6189292536884</v>
      </c>
    </row>
    <row r="383" customFormat="false" ht="13" hidden="false" customHeight="false" outlineLevel="0" collapsed="false">
      <c r="A383" s="2" t="n">
        <v>0</v>
      </c>
      <c r="B383" s="2" t="n">
        <v>5.05775366481726</v>
      </c>
      <c r="C383" s="2" t="n">
        <f aca="false">MAX(A383,B383)</f>
        <v>5.05775366481726</v>
      </c>
      <c r="E383" s="2" t="n">
        <v>10.5942896846307</v>
      </c>
    </row>
    <row r="384" customFormat="false" ht="13" hidden="false" customHeight="false" outlineLevel="0" collapsed="false">
      <c r="A384" s="2" t="n">
        <v>10.3584151814116</v>
      </c>
      <c r="B384" s="2" t="n">
        <v>0</v>
      </c>
      <c r="C384" s="2" t="n">
        <f aca="false">MAX(A384,B384)</f>
        <v>10.3584151814116</v>
      </c>
      <c r="E384" s="2" t="n">
        <v>10.576109945862</v>
      </c>
    </row>
    <row r="385" customFormat="false" ht="13" hidden="false" customHeight="false" outlineLevel="0" collapsed="false">
      <c r="A385" s="2" t="n">
        <v>12.1881249888202</v>
      </c>
      <c r="B385" s="2" t="n">
        <v>0</v>
      </c>
      <c r="C385" s="2" t="n">
        <f aca="false">MAX(A385,B385)</f>
        <v>12.1881249888202</v>
      </c>
      <c r="E385" s="2" t="n">
        <v>10.5743301726689</v>
      </c>
    </row>
    <row r="386" customFormat="false" ht="13" hidden="false" customHeight="false" outlineLevel="0" collapsed="false">
      <c r="A386" s="2" t="n">
        <v>13.3902048631678</v>
      </c>
      <c r="B386" s="2" t="n">
        <v>0</v>
      </c>
      <c r="C386" s="2" t="n">
        <f aca="false">MAX(A386,B386)</f>
        <v>13.3902048631678</v>
      </c>
      <c r="E386" s="2" t="n">
        <v>10.5560593507493</v>
      </c>
    </row>
    <row r="387" customFormat="false" ht="13" hidden="false" customHeight="false" outlineLevel="0" collapsed="false">
      <c r="A387" s="2" t="n">
        <v>0</v>
      </c>
      <c r="B387" s="2" t="n">
        <v>4.63732867040318</v>
      </c>
      <c r="C387" s="2" t="n">
        <f aca="false">MAX(A387,B387)</f>
        <v>4.63732867040318</v>
      </c>
      <c r="E387" s="2" t="n">
        <v>10.531806172802</v>
      </c>
    </row>
    <row r="388" customFormat="false" ht="13" hidden="false" customHeight="false" outlineLevel="0" collapsed="false">
      <c r="A388" s="2" t="n">
        <v>0</v>
      </c>
      <c r="B388" s="2" t="n">
        <v>6.50102051607223</v>
      </c>
      <c r="C388" s="2" t="n">
        <f aca="false">MAX(A388,B388)</f>
        <v>6.50102051607223</v>
      </c>
      <c r="E388" s="2" t="n">
        <v>10.5264636623614</v>
      </c>
    </row>
    <row r="389" customFormat="false" ht="13" hidden="false" customHeight="false" outlineLevel="0" collapsed="false">
      <c r="A389" s="2" t="n">
        <v>0</v>
      </c>
      <c r="B389" s="2" t="n">
        <v>7.94697633884118</v>
      </c>
      <c r="C389" s="2" t="n">
        <f aca="false">MAX(A389,B389)</f>
        <v>7.94697633884118</v>
      </c>
      <c r="E389" s="2" t="n">
        <v>10.4832264600561</v>
      </c>
    </row>
    <row r="390" customFormat="false" ht="13" hidden="false" customHeight="false" outlineLevel="0" collapsed="false">
      <c r="A390" s="2" t="n">
        <v>0</v>
      </c>
      <c r="B390" s="2" t="n">
        <v>8.91166510776742</v>
      </c>
      <c r="C390" s="2" t="n">
        <f aca="false">MAX(A390,B390)</f>
        <v>8.91166510776742</v>
      </c>
      <c r="E390" s="2" t="n">
        <v>10.3810030724527</v>
      </c>
    </row>
    <row r="391" customFormat="false" ht="13" hidden="false" customHeight="false" outlineLevel="0" collapsed="false">
      <c r="A391" s="2" t="n">
        <v>0</v>
      </c>
      <c r="B391" s="2" t="n">
        <v>8.63474889909691</v>
      </c>
      <c r="C391" s="2" t="n">
        <f aca="false">MAX(A391,B391)</f>
        <v>8.63474889909691</v>
      </c>
      <c r="E391" s="2" t="n">
        <v>10.3666061228483</v>
      </c>
    </row>
    <row r="392" customFormat="false" ht="13" hidden="false" customHeight="false" outlineLevel="0" collapsed="false">
      <c r="A392" s="2" t="n">
        <v>0</v>
      </c>
      <c r="B392" s="2" t="n">
        <v>9.49754297461215</v>
      </c>
      <c r="C392" s="2" t="n">
        <f aca="false">MAX(A392,B392)</f>
        <v>9.49754297461215</v>
      </c>
      <c r="E392" s="2" t="n">
        <v>10.3584151814116</v>
      </c>
    </row>
    <row r="393" customFormat="false" ht="13" hidden="false" customHeight="false" outlineLevel="0" collapsed="false">
      <c r="A393" s="2" t="n">
        <v>7.81328380281218</v>
      </c>
      <c r="B393" s="2" t="n">
        <v>0</v>
      </c>
      <c r="C393" s="2" t="n">
        <f aca="false">MAX(A393,B393)</f>
        <v>7.81328380281218</v>
      </c>
      <c r="E393" s="2" t="n">
        <v>10.3208628286919</v>
      </c>
    </row>
    <row r="394" customFormat="false" ht="13" hidden="false" customHeight="false" outlineLevel="0" collapsed="false">
      <c r="A394" s="2" t="n">
        <v>8.38955256571649</v>
      </c>
      <c r="B394" s="2" t="n">
        <v>0</v>
      </c>
      <c r="C394" s="2" t="n">
        <f aca="false">MAX(A394,B394)</f>
        <v>8.38955256571649</v>
      </c>
      <c r="E394" s="2" t="n">
        <v>10.2647871566826</v>
      </c>
    </row>
    <row r="395" customFormat="false" ht="13" hidden="false" customHeight="false" outlineLevel="0" collapsed="false">
      <c r="A395" s="2" t="n">
        <v>9.53342506062796</v>
      </c>
      <c r="B395" s="2" t="n">
        <v>0</v>
      </c>
      <c r="C395" s="2" t="n">
        <f aca="false">MAX(A395,B395)</f>
        <v>9.53342506062796</v>
      </c>
      <c r="E395" s="2" t="n">
        <v>10.2134730410764</v>
      </c>
    </row>
    <row r="396" customFormat="false" ht="13" hidden="false" customHeight="false" outlineLevel="0" collapsed="false">
      <c r="A396" s="2" t="n">
        <v>11.349922680114</v>
      </c>
      <c r="B396" s="2" t="n">
        <v>0</v>
      </c>
      <c r="C396" s="2" t="n">
        <f aca="false">MAX(A396,B396)</f>
        <v>11.349922680114</v>
      </c>
      <c r="E396" s="2" t="n">
        <v>10.1987799360759</v>
      </c>
    </row>
    <row r="397" customFormat="false" ht="13" hidden="false" customHeight="false" outlineLevel="0" collapsed="false">
      <c r="A397" s="2" t="n">
        <v>13.1938125185927</v>
      </c>
      <c r="B397" s="2" t="n">
        <v>0</v>
      </c>
      <c r="C397" s="2" t="n">
        <f aca="false">MAX(A397,B397)</f>
        <v>13.1938125185927</v>
      </c>
      <c r="E397" s="2" t="n">
        <v>10.1350499120361</v>
      </c>
    </row>
    <row r="398" customFormat="false" ht="13" hidden="false" customHeight="false" outlineLevel="0" collapsed="false">
      <c r="A398" s="2" t="n">
        <v>14.159756655574</v>
      </c>
      <c r="B398" s="2" t="n">
        <v>0</v>
      </c>
      <c r="C398" s="2" t="n">
        <f aca="false">MAX(A398,B398)</f>
        <v>14.159756655574</v>
      </c>
      <c r="E398" s="2" t="n">
        <v>10.0854584762949</v>
      </c>
    </row>
    <row r="399" customFormat="false" ht="13" hidden="false" customHeight="false" outlineLevel="0" collapsed="false">
      <c r="A399" s="2" t="n">
        <v>14.9546391459919</v>
      </c>
      <c r="B399" s="2" t="n">
        <v>0</v>
      </c>
      <c r="C399" s="2" t="n">
        <f aca="false">MAX(A399,B399)</f>
        <v>14.9546391459919</v>
      </c>
      <c r="E399" s="2" t="n">
        <v>9.96896247035889</v>
      </c>
    </row>
    <row r="400" customFormat="false" ht="13" hidden="false" customHeight="false" outlineLevel="0" collapsed="false">
      <c r="A400" s="2" t="n">
        <v>16.9355812722842</v>
      </c>
      <c r="B400" s="2" t="n">
        <v>0</v>
      </c>
      <c r="C400" s="2" t="n">
        <f aca="false">MAX(A400,B400)</f>
        <v>16.9355812722842</v>
      </c>
      <c r="E400" s="2" t="n">
        <v>9.9616687367311</v>
      </c>
    </row>
    <row r="401" customFormat="false" ht="13" hidden="false" customHeight="false" outlineLevel="0" collapsed="false">
      <c r="A401" s="2" t="n">
        <v>0</v>
      </c>
      <c r="B401" s="2" t="n">
        <v>5.40640459421343</v>
      </c>
      <c r="C401" s="2" t="n">
        <f aca="false">MAX(A401,B401)</f>
        <v>5.40640459421343</v>
      </c>
      <c r="E401" s="2" t="n">
        <v>9.92257804149921</v>
      </c>
    </row>
    <row r="402" customFormat="false" ht="13" hidden="false" customHeight="false" outlineLevel="0" collapsed="false">
      <c r="A402" s="2" t="n">
        <v>0</v>
      </c>
      <c r="B402" s="2" t="n">
        <v>6.96332393618684</v>
      </c>
      <c r="C402" s="2" t="n">
        <f aca="false">MAX(A402,B402)</f>
        <v>6.96332393618684</v>
      </c>
      <c r="E402" s="2" t="n">
        <v>9.88367758737437</v>
      </c>
    </row>
    <row r="403" customFormat="false" ht="13" hidden="false" customHeight="false" outlineLevel="0" collapsed="false">
      <c r="A403" s="2" t="n">
        <v>0</v>
      </c>
      <c r="B403" s="2" t="n">
        <v>8.62838161649557</v>
      </c>
      <c r="C403" s="2" t="n">
        <f aca="false">MAX(A403,B403)</f>
        <v>8.62838161649557</v>
      </c>
      <c r="E403" s="2" t="n">
        <v>9.82365437010171</v>
      </c>
    </row>
    <row r="404" customFormat="false" ht="13" hidden="false" customHeight="false" outlineLevel="0" collapsed="false">
      <c r="A404" s="2" t="n">
        <v>0</v>
      </c>
      <c r="B404" s="2" t="n">
        <v>9.15553962896132</v>
      </c>
      <c r="C404" s="2" t="n">
        <f aca="false">MAX(A404,B404)</f>
        <v>9.15553962896132</v>
      </c>
      <c r="E404" s="2" t="n">
        <v>9.81921337925382</v>
      </c>
    </row>
    <row r="405" customFormat="false" ht="13" hidden="false" customHeight="false" outlineLevel="0" collapsed="false">
      <c r="A405" s="2" t="n">
        <v>15.7348825284485</v>
      </c>
      <c r="B405" s="2" t="n">
        <v>0</v>
      </c>
      <c r="C405" s="2" t="n">
        <f aca="false">MAX(A405,B405)</f>
        <v>15.7348825284485</v>
      </c>
      <c r="E405" s="2" t="n">
        <v>9.79178525436464</v>
      </c>
    </row>
    <row r="406" customFormat="false" ht="13" hidden="false" customHeight="false" outlineLevel="0" collapsed="false">
      <c r="A406" s="2" t="n">
        <v>16.0586296729861</v>
      </c>
      <c r="B406" s="2" t="n">
        <v>0</v>
      </c>
      <c r="C406" s="2" t="n">
        <f aca="false">MAX(A406,B406)</f>
        <v>16.0586296729861</v>
      </c>
      <c r="E406" s="2" t="n">
        <v>9.71580683200131</v>
      </c>
    </row>
    <row r="407" customFormat="false" ht="13" hidden="false" customHeight="false" outlineLevel="0" collapsed="false">
      <c r="A407" s="2" t="n">
        <v>0</v>
      </c>
      <c r="B407" s="2" t="n">
        <v>8.64922430371593</v>
      </c>
      <c r="C407" s="2" t="n">
        <f aca="false">MAX(A407,B407)</f>
        <v>8.64922430371593</v>
      </c>
      <c r="E407" s="2" t="n">
        <v>9.6313571271279</v>
      </c>
    </row>
    <row r="408" customFormat="false" ht="13" hidden="false" customHeight="false" outlineLevel="0" collapsed="false">
      <c r="A408" s="2" t="n">
        <v>17.7901886339862</v>
      </c>
      <c r="B408" s="2" t="n">
        <v>0</v>
      </c>
      <c r="C408" s="2" t="n">
        <f aca="false">MAX(A408,B408)</f>
        <v>17.7901886339862</v>
      </c>
      <c r="E408" s="2" t="n">
        <v>9.62246585416176</v>
      </c>
    </row>
    <row r="409" customFormat="false" ht="13" hidden="false" customHeight="false" outlineLevel="0" collapsed="false">
      <c r="A409" s="2" t="n">
        <v>17.9228816715681</v>
      </c>
      <c r="B409" s="2" t="n">
        <v>0</v>
      </c>
      <c r="C409" s="2" t="n">
        <f aca="false">MAX(A409,B409)</f>
        <v>17.9228816715681</v>
      </c>
      <c r="E409" s="2" t="n">
        <v>9.57206806665715</v>
      </c>
    </row>
    <row r="410" customFormat="false" ht="13" hidden="false" customHeight="false" outlineLevel="0" collapsed="false">
      <c r="A410" s="2" t="n">
        <v>19.4770765792059</v>
      </c>
      <c r="B410" s="2" t="n">
        <v>0</v>
      </c>
      <c r="C410" s="2" t="n">
        <f aca="false">MAX(A410,B410)</f>
        <v>19.4770765792059</v>
      </c>
      <c r="E410" s="2" t="n">
        <v>9.55469691288155</v>
      </c>
    </row>
    <row r="411" customFormat="false" ht="13" hidden="false" customHeight="false" outlineLevel="0" collapsed="false">
      <c r="A411" s="2" t="n">
        <v>0</v>
      </c>
      <c r="B411" s="2" t="n">
        <v>7.69118891851008</v>
      </c>
      <c r="C411" s="2" t="n">
        <f aca="false">MAX(A411,B411)</f>
        <v>7.69118891851008</v>
      </c>
      <c r="E411" s="2" t="n">
        <v>9.54465274329201</v>
      </c>
    </row>
    <row r="412" customFormat="false" ht="13" hidden="false" customHeight="false" outlineLevel="0" collapsed="false">
      <c r="A412" s="2" t="n">
        <v>0</v>
      </c>
      <c r="B412" s="2" t="n">
        <v>9.2515880150151</v>
      </c>
      <c r="C412" s="2" t="n">
        <f aca="false">MAX(A412,B412)</f>
        <v>9.2515880150151</v>
      </c>
      <c r="E412" s="2" t="n">
        <v>9.53342506062796</v>
      </c>
    </row>
    <row r="413" customFormat="false" ht="13" hidden="false" customHeight="false" outlineLevel="0" collapsed="false">
      <c r="A413" s="2" t="n">
        <v>20.6634600788781</v>
      </c>
      <c r="B413" s="2" t="n">
        <v>0</v>
      </c>
      <c r="C413" s="2" t="n">
        <f aca="false">MAX(A413,B413)</f>
        <v>20.6634600788781</v>
      </c>
      <c r="E413" s="2" t="n">
        <v>9.50802537279952</v>
      </c>
    </row>
    <row r="414" customFormat="false" ht="13" hidden="false" customHeight="false" outlineLevel="0" collapsed="false">
      <c r="A414" s="2" t="n">
        <v>0</v>
      </c>
      <c r="B414" s="2" t="n">
        <v>9.25899675847433</v>
      </c>
      <c r="C414" s="2" t="n">
        <f aca="false">MAX(A414,B414)</f>
        <v>9.25899675847433</v>
      </c>
      <c r="E414" s="2" t="n">
        <v>9.49754297461215</v>
      </c>
    </row>
    <row r="415" customFormat="false" ht="13" hidden="false" customHeight="false" outlineLevel="0" collapsed="false">
      <c r="A415" s="2" t="n">
        <v>20.3281997990871</v>
      </c>
      <c r="B415" s="2" t="n">
        <v>0</v>
      </c>
      <c r="C415" s="2" t="n">
        <f aca="false">MAX(A415,B415)</f>
        <v>20.3281997990871</v>
      </c>
      <c r="E415" s="2" t="n">
        <v>9.47466997267827</v>
      </c>
    </row>
    <row r="416" customFormat="false" ht="13" hidden="false" customHeight="false" outlineLevel="0" collapsed="false">
      <c r="A416" s="2" t="n">
        <v>0</v>
      </c>
      <c r="B416" s="2" t="n">
        <v>9.25716536707307</v>
      </c>
      <c r="C416" s="2" t="n">
        <f aca="false">MAX(A416,B416)</f>
        <v>9.25716536707307</v>
      </c>
      <c r="E416" s="2" t="n">
        <v>9.42768076026391</v>
      </c>
    </row>
    <row r="417" customFormat="false" ht="13" hidden="false" customHeight="false" outlineLevel="0" collapsed="false">
      <c r="A417" s="2" t="n">
        <v>20.1065476234399</v>
      </c>
      <c r="B417" s="2" t="n">
        <v>0</v>
      </c>
      <c r="C417" s="2" t="n">
        <f aca="false">MAX(A417,B417)</f>
        <v>20.1065476234399</v>
      </c>
      <c r="E417" s="2" t="n">
        <v>9.42737388871656</v>
      </c>
    </row>
    <row r="418" customFormat="false" ht="13" hidden="false" customHeight="false" outlineLevel="0" collapsed="false">
      <c r="A418" s="2" t="n">
        <v>0</v>
      </c>
      <c r="B418" s="2" t="n">
        <v>10.5743301726689</v>
      </c>
      <c r="C418" s="2" t="n">
        <f aca="false">MAX(A418,B418)</f>
        <v>10.5743301726689</v>
      </c>
      <c r="E418" s="2" t="n">
        <v>9.25899675847433</v>
      </c>
    </row>
    <row r="419" customFormat="false" ht="13" hidden="false" customHeight="false" outlineLevel="0" collapsed="false">
      <c r="A419" s="2" t="n">
        <v>0</v>
      </c>
      <c r="B419" s="2" t="n">
        <v>9.47466997267827</v>
      </c>
      <c r="C419" s="2" t="n">
        <f aca="false">MAX(A419,B419)</f>
        <v>9.47466997267827</v>
      </c>
      <c r="E419" s="2" t="n">
        <v>9.25716536707307</v>
      </c>
    </row>
    <row r="420" customFormat="false" ht="13" hidden="false" customHeight="false" outlineLevel="0" collapsed="false">
      <c r="A420" s="2" t="n">
        <v>0</v>
      </c>
      <c r="B420" s="2" t="n">
        <v>11.1113997920806</v>
      </c>
      <c r="C420" s="2" t="n">
        <f aca="false">MAX(A420,B420)</f>
        <v>11.1113997920806</v>
      </c>
      <c r="E420" s="2" t="n">
        <v>9.2515880150151</v>
      </c>
    </row>
    <row r="421" customFormat="false" ht="13" hidden="false" customHeight="false" outlineLevel="0" collapsed="false">
      <c r="A421" s="2" t="n">
        <v>0</v>
      </c>
      <c r="B421" s="2" t="n">
        <v>13.2273723835726</v>
      </c>
      <c r="C421" s="2" t="n">
        <f aca="false">MAX(A421,B421)</f>
        <v>13.2273723835726</v>
      </c>
      <c r="E421" s="2" t="n">
        <v>9.2484528709644</v>
      </c>
    </row>
    <row r="422" customFormat="false" ht="13" hidden="false" customHeight="false" outlineLevel="0" collapsed="false">
      <c r="A422" s="2" t="n">
        <v>18.3430686781034</v>
      </c>
      <c r="B422" s="2" t="n">
        <v>0</v>
      </c>
      <c r="C422" s="2" t="n">
        <f aca="false">MAX(A422,B422)</f>
        <v>18.3430686781034</v>
      </c>
      <c r="E422" s="2" t="n">
        <v>9.18044271158578</v>
      </c>
    </row>
    <row r="423" customFormat="false" ht="13" hidden="false" customHeight="false" outlineLevel="0" collapsed="false">
      <c r="A423" s="2" t="n">
        <v>19.4713942552033</v>
      </c>
      <c r="B423" s="2" t="n">
        <v>0</v>
      </c>
      <c r="C423" s="2" t="n">
        <f aca="false">MAX(A423,B423)</f>
        <v>19.4713942552033</v>
      </c>
      <c r="E423" s="2" t="n">
        <v>9.17892024806116</v>
      </c>
    </row>
    <row r="424" customFormat="false" ht="13" hidden="false" customHeight="false" outlineLevel="0" collapsed="false">
      <c r="A424" s="2" t="n">
        <v>0</v>
      </c>
      <c r="B424" s="2" t="n">
        <v>13.6569924277605</v>
      </c>
      <c r="C424" s="2" t="n">
        <f aca="false">MAX(A424,B424)</f>
        <v>13.6569924277605</v>
      </c>
      <c r="E424" s="2" t="n">
        <v>9.16875387593188</v>
      </c>
    </row>
    <row r="425" customFormat="false" ht="13" hidden="false" customHeight="false" outlineLevel="0" collapsed="false">
      <c r="A425" s="2" t="n">
        <v>0</v>
      </c>
      <c r="B425" s="2" t="n">
        <v>14.3997234438638</v>
      </c>
      <c r="C425" s="2" t="n">
        <f aca="false">MAX(A425,B425)</f>
        <v>14.3997234438638</v>
      </c>
      <c r="E425" s="2" t="n">
        <v>9.16761344984252</v>
      </c>
    </row>
    <row r="426" customFormat="false" ht="13" hidden="false" customHeight="false" outlineLevel="0" collapsed="false">
      <c r="A426" s="2" t="n">
        <v>18.1205749223056</v>
      </c>
      <c r="B426" s="2" t="n">
        <v>0</v>
      </c>
      <c r="C426" s="2" t="n">
        <f aca="false">MAX(A426,B426)</f>
        <v>18.1205749223056</v>
      </c>
      <c r="E426" s="2" t="n">
        <v>9.16642785183194</v>
      </c>
    </row>
    <row r="427" customFormat="false" ht="13" hidden="false" customHeight="false" outlineLevel="0" collapsed="false">
      <c r="A427" s="2" t="n">
        <v>0</v>
      </c>
      <c r="B427" s="2" t="n">
        <v>13.5299113675892</v>
      </c>
      <c r="C427" s="2" t="n">
        <f aca="false">MAX(A427,B427)</f>
        <v>13.5299113675892</v>
      </c>
      <c r="E427" s="2" t="n">
        <v>9.15553962896132</v>
      </c>
    </row>
    <row r="428" customFormat="false" ht="13" hidden="false" customHeight="false" outlineLevel="0" collapsed="false">
      <c r="A428" s="2" t="n">
        <v>0</v>
      </c>
      <c r="B428" s="2" t="n">
        <v>14.8184916850138</v>
      </c>
      <c r="C428" s="2" t="n">
        <f aca="false">MAX(A428,B428)</f>
        <v>14.8184916850138</v>
      </c>
      <c r="E428" s="2" t="n">
        <v>9.14676853729361</v>
      </c>
    </row>
    <row r="429" customFormat="false" ht="13" hidden="false" customHeight="false" outlineLevel="0" collapsed="false">
      <c r="A429" s="2" t="n">
        <v>17.3812130284758</v>
      </c>
      <c r="B429" s="2" t="n">
        <v>0</v>
      </c>
      <c r="C429" s="2" t="n">
        <f aca="false">MAX(A429,B429)</f>
        <v>17.3812130284758</v>
      </c>
      <c r="E429" s="2" t="n">
        <v>9.1344988116972</v>
      </c>
    </row>
    <row r="430" customFormat="false" ht="13" hidden="false" customHeight="false" outlineLevel="0" collapsed="false">
      <c r="A430" s="2" t="n">
        <v>18.8849791758632</v>
      </c>
      <c r="B430" s="2" t="n">
        <v>0</v>
      </c>
      <c r="C430" s="2" t="n">
        <f aca="false">MAX(A430,B430)</f>
        <v>18.8849791758632</v>
      </c>
      <c r="E430" s="2" t="n">
        <v>9.0754226581862</v>
      </c>
    </row>
    <row r="431" customFormat="false" ht="13" hidden="false" customHeight="false" outlineLevel="0" collapsed="false">
      <c r="A431" s="2" t="n">
        <v>0</v>
      </c>
      <c r="B431" s="2" t="n">
        <v>15.7488467162926</v>
      </c>
      <c r="C431" s="2" t="n">
        <f aca="false">MAX(A431,B431)</f>
        <v>15.7488467162926</v>
      </c>
      <c r="E431" s="2" t="n">
        <v>9.04709392322582</v>
      </c>
    </row>
    <row r="432" customFormat="false" ht="13" hidden="false" customHeight="false" outlineLevel="0" collapsed="false">
      <c r="A432" s="2" t="n">
        <v>0</v>
      </c>
      <c r="B432" s="2" t="n">
        <v>15.4890581594556</v>
      </c>
      <c r="C432" s="2" t="n">
        <f aca="false">MAX(A432,B432)</f>
        <v>15.4890581594556</v>
      </c>
      <c r="E432" s="2" t="n">
        <v>8.9576431261363</v>
      </c>
    </row>
    <row r="433" customFormat="false" ht="13" hidden="false" customHeight="false" outlineLevel="0" collapsed="false">
      <c r="A433" s="2" t="n">
        <v>17.3291982655113</v>
      </c>
      <c r="B433" s="2" t="n">
        <v>0</v>
      </c>
      <c r="C433" s="2" t="n">
        <f aca="false">MAX(A433,B433)</f>
        <v>17.3291982655113</v>
      </c>
      <c r="E433" s="2" t="n">
        <v>8.91166510776742</v>
      </c>
    </row>
    <row r="434" customFormat="false" ht="13" hidden="false" customHeight="false" outlineLevel="0" collapsed="false">
      <c r="A434" s="2" t="n">
        <v>0</v>
      </c>
      <c r="B434" s="2" t="n">
        <v>16.0644354082436</v>
      </c>
      <c r="C434" s="2" t="n">
        <f aca="false">MAX(A434,B434)</f>
        <v>16.0644354082436</v>
      </c>
      <c r="E434" s="2" t="n">
        <v>8.85074920771297</v>
      </c>
    </row>
    <row r="435" customFormat="false" ht="13" hidden="false" customHeight="false" outlineLevel="0" collapsed="false">
      <c r="A435" s="2" t="n">
        <v>0</v>
      </c>
      <c r="B435" s="2" t="n">
        <v>17.8395738519288</v>
      </c>
      <c r="C435" s="2" t="n">
        <f aca="false">MAX(A435,B435)</f>
        <v>17.8395738519288</v>
      </c>
      <c r="E435" s="2" t="n">
        <v>8.81438007554505</v>
      </c>
    </row>
    <row r="436" customFormat="false" ht="13" hidden="false" customHeight="false" outlineLevel="0" collapsed="false">
      <c r="A436" s="2" t="n">
        <v>18.8549870236079</v>
      </c>
      <c r="B436" s="2" t="n">
        <v>0</v>
      </c>
      <c r="C436" s="2" t="n">
        <f aca="false">MAX(A436,B436)</f>
        <v>18.8549870236079</v>
      </c>
      <c r="E436" s="2" t="n">
        <v>8.7426835362148</v>
      </c>
    </row>
    <row r="437" customFormat="false" ht="13" hidden="false" customHeight="false" outlineLevel="0" collapsed="false">
      <c r="A437" s="2" t="n">
        <v>17.2863815709176</v>
      </c>
      <c r="B437" s="2" t="n">
        <v>0</v>
      </c>
      <c r="C437" s="2" t="n">
        <f aca="false">MAX(A437,B437)</f>
        <v>17.2863815709176</v>
      </c>
      <c r="E437" s="2" t="n">
        <v>8.70905857850562</v>
      </c>
    </row>
    <row r="438" customFormat="false" ht="13" hidden="false" customHeight="false" outlineLevel="0" collapsed="false">
      <c r="A438" s="2" t="n">
        <v>18.4909008598492</v>
      </c>
      <c r="B438" s="2" t="n">
        <v>0</v>
      </c>
      <c r="C438" s="2" t="n">
        <f aca="false">MAX(A438,B438)</f>
        <v>18.4909008598492</v>
      </c>
      <c r="E438" s="2" t="n">
        <v>8.70089521650425</v>
      </c>
    </row>
    <row r="439" customFormat="false" ht="13" hidden="false" customHeight="false" outlineLevel="0" collapsed="false">
      <c r="A439" s="2" t="n">
        <v>0</v>
      </c>
      <c r="B439" s="2" t="n">
        <v>14.9384883267395</v>
      </c>
      <c r="C439" s="2" t="n">
        <f aca="false">MAX(A439,B439)</f>
        <v>14.9384883267395</v>
      </c>
      <c r="E439" s="2" t="n">
        <v>8.69848000719435</v>
      </c>
    </row>
    <row r="440" customFormat="false" ht="13" hidden="false" customHeight="false" outlineLevel="0" collapsed="false">
      <c r="A440" s="2" t="n">
        <v>0</v>
      </c>
      <c r="B440" s="2" t="n">
        <v>16.5604128463019</v>
      </c>
      <c r="C440" s="2" t="n">
        <f aca="false">MAX(A440,B440)</f>
        <v>16.5604128463019</v>
      </c>
      <c r="E440" s="2" t="n">
        <v>8.6958712094854</v>
      </c>
    </row>
    <row r="441" customFormat="false" ht="13" hidden="false" customHeight="false" outlineLevel="0" collapsed="false">
      <c r="A441" s="2" t="n">
        <v>0</v>
      </c>
      <c r="B441" s="2" t="n">
        <v>17.8040517661315</v>
      </c>
      <c r="C441" s="2" t="n">
        <f aca="false">MAX(A441,B441)</f>
        <v>17.8040517661315</v>
      </c>
      <c r="E441" s="2" t="n">
        <v>8.68903544566445</v>
      </c>
    </row>
    <row r="442" customFormat="false" ht="13" hidden="false" customHeight="false" outlineLevel="0" collapsed="false">
      <c r="A442" s="2" t="n">
        <v>0</v>
      </c>
      <c r="B442" s="2" t="n">
        <v>18.046084341426</v>
      </c>
      <c r="C442" s="2" t="n">
        <f aca="false">MAX(A442,B442)</f>
        <v>18.046084341426</v>
      </c>
      <c r="E442" s="2" t="n">
        <v>8.64922430371593</v>
      </c>
    </row>
    <row r="443" customFormat="false" ht="13" hidden="false" customHeight="false" outlineLevel="0" collapsed="false">
      <c r="A443" s="2" t="n">
        <v>0</v>
      </c>
      <c r="B443" s="2" t="n">
        <v>19.8275263944171</v>
      </c>
      <c r="C443" s="2" t="n">
        <f aca="false">MAX(A443,B443)</f>
        <v>19.8275263944171</v>
      </c>
      <c r="E443" s="2" t="n">
        <v>8.63474889909691</v>
      </c>
    </row>
    <row r="444" customFormat="false" ht="13" hidden="false" customHeight="false" outlineLevel="0" collapsed="false">
      <c r="A444" s="2" t="n">
        <v>16.3136280193126</v>
      </c>
      <c r="B444" s="2" t="n">
        <v>0</v>
      </c>
      <c r="C444" s="2" t="n">
        <f aca="false">MAX(A444,B444)</f>
        <v>16.3136280193126</v>
      </c>
      <c r="E444" s="2" t="n">
        <v>8.62838161649557</v>
      </c>
    </row>
    <row r="445" customFormat="false" ht="13" hidden="false" customHeight="false" outlineLevel="0" collapsed="false">
      <c r="A445" s="2" t="n">
        <v>18.0685369581726</v>
      </c>
      <c r="B445" s="2" t="n">
        <v>0</v>
      </c>
      <c r="C445" s="2" t="n">
        <f aca="false">MAX(A445,B445)</f>
        <v>18.0685369581726</v>
      </c>
      <c r="E445" s="2" t="n">
        <v>8.62835038711725</v>
      </c>
    </row>
    <row r="446" customFormat="false" ht="13" hidden="false" customHeight="false" outlineLevel="0" collapsed="false">
      <c r="A446" s="2" t="n">
        <v>0</v>
      </c>
      <c r="B446" s="2" t="n">
        <v>20.4952234448973</v>
      </c>
      <c r="C446" s="2" t="n">
        <f aca="false">MAX(A446,B446)</f>
        <v>20.4952234448973</v>
      </c>
      <c r="E446" s="2" t="n">
        <v>8.6183156422463</v>
      </c>
    </row>
    <row r="447" customFormat="false" ht="13" hidden="false" customHeight="false" outlineLevel="0" collapsed="false">
      <c r="A447" s="2" t="n">
        <v>19.7314710169039</v>
      </c>
      <c r="B447" s="2" t="n">
        <v>0</v>
      </c>
      <c r="C447" s="2" t="n">
        <f aca="false">MAX(A447,B447)</f>
        <v>19.7314710169039</v>
      </c>
      <c r="E447" s="2" t="n">
        <v>8.6091535576781</v>
      </c>
    </row>
    <row r="448" customFormat="false" ht="13" hidden="false" customHeight="false" outlineLevel="0" collapsed="false">
      <c r="A448" s="2" t="n">
        <v>21.4454103691875</v>
      </c>
      <c r="B448" s="2" t="n">
        <v>0</v>
      </c>
      <c r="C448" s="2" t="n">
        <f aca="false">MAX(A448,B448)</f>
        <v>21.4454103691875</v>
      </c>
      <c r="E448" s="2" t="n">
        <v>8.60191670256964</v>
      </c>
    </row>
    <row r="449" customFormat="false" ht="13" hidden="false" customHeight="false" outlineLevel="0" collapsed="false">
      <c r="A449" s="2" t="n">
        <v>0</v>
      </c>
      <c r="B449" s="2" t="n">
        <v>20.3130944420871</v>
      </c>
      <c r="C449" s="2" t="n">
        <f aca="false">MAX(A449,B449)</f>
        <v>20.3130944420871</v>
      </c>
      <c r="E449" s="2" t="n">
        <v>8.59993379043158</v>
      </c>
    </row>
    <row r="450" customFormat="false" ht="13" hidden="false" customHeight="false" outlineLevel="0" collapsed="false">
      <c r="A450" s="2" t="n">
        <v>18.7313846111683</v>
      </c>
      <c r="B450" s="2" t="n">
        <v>0</v>
      </c>
      <c r="C450" s="2" t="n">
        <f aca="false">MAX(A450,B450)</f>
        <v>18.7313846111683</v>
      </c>
      <c r="E450" s="2" t="n">
        <v>8.48686437634399</v>
      </c>
    </row>
    <row r="451" customFormat="false" ht="13" hidden="false" customHeight="false" outlineLevel="0" collapsed="false">
      <c r="A451" s="2" t="n">
        <v>20.0256645044436</v>
      </c>
      <c r="B451" s="2" t="n">
        <v>0</v>
      </c>
      <c r="C451" s="2" t="n">
        <f aca="false">MAX(A451,B451)</f>
        <v>20.0256645044436</v>
      </c>
      <c r="E451" s="2" t="n">
        <v>8.47269858730226</v>
      </c>
    </row>
    <row r="452" customFormat="false" ht="13" hidden="false" customHeight="false" outlineLevel="0" collapsed="false">
      <c r="A452" s="2" t="n">
        <v>19.2689472794512</v>
      </c>
      <c r="B452" s="2" t="n">
        <v>0</v>
      </c>
      <c r="C452" s="2" t="n">
        <f aca="false">MAX(A452,B452)</f>
        <v>19.2689472794512</v>
      </c>
      <c r="E452" s="2" t="n">
        <v>8.45593412264464</v>
      </c>
    </row>
    <row r="453" customFormat="false" ht="13" hidden="false" customHeight="false" outlineLevel="0" collapsed="false">
      <c r="A453" s="2" t="n">
        <v>0</v>
      </c>
      <c r="B453" s="2" t="n">
        <v>14.7437842684593</v>
      </c>
      <c r="C453" s="2" t="n">
        <f aca="false">MAX(A453,B453)</f>
        <v>14.7437842684593</v>
      </c>
      <c r="E453" s="2" t="n">
        <v>8.42170051967173</v>
      </c>
    </row>
    <row r="454" customFormat="false" ht="13" hidden="false" customHeight="false" outlineLevel="0" collapsed="false">
      <c r="A454" s="2" t="n">
        <v>21.060040385289</v>
      </c>
      <c r="B454" s="2" t="n">
        <v>0</v>
      </c>
      <c r="C454" s="2" t="n">
        <f aca="false">MAX(A454,B454)</f>
        <v>21.060040385289</v>
      </c>
      <c r="E454" s="2" t="n">
        <v>8.41825022643616</v>
      </c>
    </row>
    <row r="455" customFormat="false" ht="13" hidden="false" customHeight="false" outlineLevel="0" collapsed="false">
      <c r="A455" s="2" t="n">
        <v>0</v>
      </c>
      <c r="B455" s="2" t="n">
        <v>15.0413221731146</v>
      </c>
      <c r="C455" s="2" t="n">
        <f aca="false">MAX(A455,B455)</f>
        <v>15.0413221731146</v>
      </c>
      <c r="E455" s="2" t="n">
        <v>8.4008906469976</v>
      </c>
    </row>
    <row r="456" customFormat="false" ht="13" hidden="false" customHeight="false" outlineLevel="0" collapsed="false">
      <c r="A456" s="2" t="n">
        <v>0</v>
      </c>
      <c r="B456" s="2" t="n">
        <v>13.2901356713678</v>
      </c>
      <c r="C456" s="2" t="n">
        <f aca="false">MAX(A456,B456)</f>
        <v>13.2901356713678</v>
      </c>
      <c r="E456" s="2" t="n">
        <v>8.38955256571649</v>
      </c>
    </row>
    <row r="457" customFormat="false" ht="13" hidden="false" customHeight="false" outlineLevel="0" collapsed="false">
      <c r="A457" s="2" t="n">
        <v>16.8161617742418</v>
      </c>
      <c r="B457" s="2" t="n">
        <v>0</v>
      </c>
      <c r="C457" s="2" t="n">
        <f aca="false">MAX(A457,B457)</f>
        <v>16.8161617742418</v>
      </c>
      <c r="E457" s="2" t="n">
        <v>8.37745663458566</v>
      </c>
    </row>
    <row r="458" customFormat="false" ht="13" hidden="false" customHeight="false" outlineLevel="0" collapsed="false">
      <c r="A458" s="2" t="n">
        <v>0</v>
      </c>
      <c r="B458" s="2" t="n">
        <v>14.2586446047333</v>
      </c>
      <c r="C458" s="2" t="n">
        <f aca="false">MAX(A458,B458)</f>
        <v>14.2586446047333</v>
      </c>
      <c r="E458" s="2" t="n">
        <v>8.36295729815799</v>
      </c>
    </row>
    <row r="459" customFormat="false" ht="13" hidden="false" customHeight="false" outlineLevel="0" collapsed="false">
      <c r="A459" s="2" t="n">
        <v>18.1267674568055</v>
      </c>
      <c r="B459" s="2" t="n">
        <v>0</v>
      </c>
      <c r="C459" s="2" t="n">
        <f aca="false">MAX(A459,B459)</f>
        <v>18.1267674568055</v>
      </c>
      <c r="E459" s="2" t="n">
        <v>8.28358208772761</v>
      </c>
    </row>
    <row r="460" customFormat="false" ht="13" hidden="false" customHeight="false" outlineLevel="0" collapsed="false">
      <c r="A460" s="2" t="n">
        <v>0</v>
      </c>
      <c r="B460" s="2" t="n">
        <v>14.8795322932721</v>
      </c>
      <c r="C460" s="2" t="n">
        <f aca="false">MAX(A460,B460)</f>
        <v>14.8795322932721</v>
      </c>
      <c r="E460" s="2" t="n">
        <v>8.2443189996726</v>
      </c>
    </row>
    <row r="461" customFormat="false" ht="13" hidden="false" customHeight="false" outlineLevel="0" collapsed="false">
      <c r="A461" s="2" t="n">
        <v>0</v>
      </c>
      <c r="B461" s="2" t="n">
        <v>15.9766636634326</v>
      </c>
      <c r="C461" s="2" t="n">
        <f aca="false">MAX(A461,B461)</f>
        <v>15.9766636634326</v>
      </c>
      <c r="E461" s="2" t="n">
        <v>8.22899234646809</v>
      </c>
    </row>
    <row r="462" customFormat="false" ht="13" hidden="false" customHeight="false" outlineLevel="0" collapsed="false">
      <c r="A462" s="2" t="n">
        <v>0</v>
      </c>
      <c r="B462" s="2" t="n">
        <v>16.6723305837858</v>
      </c>
      <c r="C462" s="2" t="n">
        <f aca="false">MAX(A462,B462)</f>
        <v>16.6723305837858</v>
      </c>
      <c r="E462" s="2" t="n">
        <v>8.21600237649221</v>
      </c>
    </row>
    <row r="463" customFormat="false" ht="13" hidden="false" customHeight="false" outlineLevel="0" collapsed="false">
      <c r="A463" s="2" t="n">
        <v>0</v>
      </c>
      <c r="B463" s="2" t="n">
        <v>18.2073713393549</v>
      </c>
      <c r="C463" s="2" t="n">
        <f aca="false">MAX(A463,B463)</f>
        <v>18.2073713393549</v>
      </c>
      <c r="E463" s="2" t="n">
        <v>8.2157389715447</v>
      </c>
    </row>
    <row r="464" customFormat="false" ht="13" hidden="false" customHeight="false" outlineLevel="0" collapsed="false">
      <c r="A464" s="2" t="n">
        <v>0</v>
      </c>
      <c r="B464" s="2" t="n">
        <v>18.942055368056</v>
      </c>
      <c r="C464" s="2" t="n">
        <f aca="false">MAX(A464,B464)</f>
        <v>18.942055368056</v>
      </c>
      <c r="E464" s="2" t="n">
        <v>8.17089653406435</v>
      </c>
    </row>
    <row r="465" customFormat="false" ht="13" hidden="false" customHeight="false" outlineLevel="0" collapsed="false">
      <c r="A465" s="2" t="n">
        <v>0</v>
      </c>
      <c r="B465" s="2" t="n">
        <v>18.1657612562067</v>
      </c>
      <c r="C465" s="2" t="n">
        <f aca="false">MAX(A465,B465)</f>
        <v>18.1657612562067</v>
      </c>
      <c r="E465" s="2" t="n">
        <v>8.16599743282592</v>
      </c>
    </row>
    <row r="466" customFormat="false" ht="13" hidden="false" customHeight="false" outlineLevel="0" collapsed="false">
      <c r="A466" s="2" t="n">
        <v>0</v>
      </c>
      <c r="B466" s="2" t="n">
        <v>19.6667359092797</v>
      </c>
      <c r="C466" s="2" t="n">
        <f aca="false">MAX(A466,B466)</f>
        <v>19.6667359092797</v>
      </c>
      <c r="E466" s="2" t="n">
        <v>8.16569512438707</v>
      </c>
    </row>
    <row r="467" customFormat="false" ht="13" hidden="false" customHeight="false" outlineLevel="0" collapsed="false">
      <c r="A467" s="2" t="n">
        <v>0</v>
      </c>
      <c r="B467" s="2" t="n">
        <v>19.4189454777654</v>
      </c>
      <c r="C467" s="2" t="n">
        <f aca="false">MAX(A467,B467)</f>
        <v>19.4189454777654</v>
      </c>
      <c r="E467" s="2" t="n">
        <v>8.11062972123693</v>
      </c>
    </row>
    <row r="468" customFormat="false" ht="13" hidden="false" customHeight="false" outlineLevel="0" collapsed="false">
      <c r="A468" s="2" t="n">
        <v>0</v>
      </c>
      <c r="B468" s="2" t="n">
        <v>21.2390434260435</v>
      </c>
      <c r="C468" s="2" t="n">
        <f aca="false">MAX(A468,B468)</f>
        <v>21.2390434260435</v>
      </c>
      <c r="E468" s="2" t="n">
        <v>8.11053468150635</v>
      </c>
    </row>
    <row r="469" customFormat="false" ht="13" hidden="false" customHeight="false" outlineLevel="0" collapsed="false">
      <c r="A469" s="2" t="n">
        <v>6.87978348125773</v>
      </c>
      <c r="B469" s="2" t="n">
        <v>0</v>
      </c>
      <c r="C469" s="2" t="n">
        <f aca="false">MAX(A469,B469)</f>
        <v>6.87978348125773</v>
      </c>
      <c r="E469" s="2" t="n">
        <v>8.08289784775229</v>
      </c>
    </row>
    <row r="470" customFormat="false" ht="13" hidden="false" customHeight="false" outlineLevel="0" collapsed="false">
      <c r="A470" s="2" t="n">
        <v>0</v>
      </c>
      <c r="B470" s="2" t="n">
        <v>21.1069329648446</v>
      </c>
      <c r="C470" s="2" t="n">
        <f aca="false">MAX(A470,B470)</f>
        <v>21.1069329648446</v>
      </c>
      <c r="E470" s="2" t="n">
        <v>8.04084645477786</v>
      </c>
    </row>
    <row r="471" customFormat="false" ht="13" hidden="false" customHeight="false" outlineLevel="0" collapsed="false">
      <c r="A471" s="2" t="n">
        <v>7.42739652527092</v>
      </c>
      <c r="B471" s="2" t="n">
        <v>0</v>
      </c>
      <c r="C471" s="2" t="n">
        <f aca="false">MAX(A471,B471)</f>
        <v>7.42739652527092</v>
      </c>
      <c r="E471" s="2" t="n">
        <v>8.03003944303907</v>
      </c>
    </row>
    <row r="472" customFormat="false" ht="13" hidden="false" customHeight="false" outlineLevel="0" collapsed="false">
      <c r="A472" s="2" t="n">
        <v>7.88211158554037</v>
      </c>
      <c r="B472" s="2" t="n">
        <v>0</v>
      </c>
      <c r="C472" s="2" t="n">
        <f aca="false">MAX(A472,B472)</f>
        <v>7.88211158554037</v>
      </c>
      <c r="E472" s="2" t="n">
        <v>7.94697633884118</v>
      </c>
    </row>
    <row r="473" customFormat="false" ht="13" hidden="false" customHeight="false" outlineLevel="0" collapsed="false">
      <c r="A473" s="2" t="n">
        <v>9.16642785183194</v>
      </c>
      <c r="B473" s="2" t="n">
        <v>0</v>
      </c>
      <c r="C473" s="2" t="n">
        <f aca="false">MAX(A473,B473)</f>
        <v>9.16642785183194</v>
      </c>
      <c r="E473" s="2" t="n">
        <v>7.94499650750629</v>
      </c>
    </row>
    <row r="474" customFormat="false" ht="13" hidden="false" customHeight="false" outlineLevel="0" collapsed="false">
      <c r="A474" s="2" t="n">
        <v>0</v>
      </c>
      <c r="B474" s="2" t="n">
        <v>18.6299353232606</v>
      </c>
      <c r="C474" s="2" t="n">
        <f aca="false">MAX(A474,B474)</f>
        <v>18.6299353232606</v>
      </c>
      <c r="E474" s="2" t="n">
        <v>7.9197630191594</v>
      </c>
    </row>
    <row r="475" customFormat="false" ht="13" hidden="false" customHeight="false" outlineLevel="0" collapsed="false">
      <c r="A475" s="2" t="n">
        <v>0</v>
      </c>
      <c r="B475" s="2" t="n">
        <v>20.0640782637241</v>
      </c>
      <c r="C475" s="2" t="n">
        <f aca="false">MAX(A475,B475)</f>
        <v>20.0640782637241</v>
      </c>
      <c r="E475" s="2" t="n">
        <v>7.88211158554037</v>
      </c>
    </row>
    <row r="476" customFormat="false" ht="13" hidden="false" customHeight="false" outlineLevel="0" collapsed="false">
      <c r="A476" s="2" t="n">
        <v>0</v>
      </c>
      <c r="B476" s="2" t="n">
        <v>18.9916686009975</v>
      </c>
      <c r="C476" s="2" t="n">
        <f aca="false">MAX(A476,B476)</f>
        <v>18.9916686009975</v>
      </c>
      <c r="E476" s="2" t="n">
        <v>7.87460080786065</v>
      </c>
    </row>
    <row r="477" customFormat="false" ht="13" hidden="false" customHeight="false" outlineLevel="0" collapsed="false">
      <c r="A477" s="2" t="n">
        <v>0</v>
      </c>
      <c r="B477" s="2" t="n">
        <v>20.7037366566111</v>
      </c>
      <c r="C477" s="2" t="n">
        <f aca="false">MAX(A477,B477)</f>
        <v>20.7037366566111</v>
      </c>
      <c r="E477" s="2" t="n">
        <v>7.85897130009084</v>
      </c>
    </row>
    <row r="478" customFormat="false" ht="13" hidden="false" customHeight="false" outlineLevel="0" collapsed="false">
      <c r="A478" s="2" t="n">
        <v>0</v>
      </c>
      <c r="B478" s="2" t="n">
        <v>22.1812760707392</v>
      </c>
      <c r="C478" s="2" t="n">
        <f aca="false">MAX(A478,B478)</f>
        <v>22.1812760707392</v>
      </c>
      <c r="E478" s="2" t="n">
        <v>7.85224349781805</v>
      </c>
    </row>
    <row r="479" customFormat="false" ht="13" hidden="false" customHeight="false" outlineLevel="0" collapsed="false">
      <c r="A479" s="2" t="n">
        <v>4.58269631301664</v>
      </c>
      <c r="B479" s="2" t="n">
        <v>0</v>
      </c>
      <c r="C479" s="2" t="n">
        <f aca="false">MAX(A479,B479)</f>
        <v>4.58269631301664</v>
      </c>
      <c r="E479" s="2" t="n">
        <v>7.82943663108702</v>
      </c>
    </row>
    <row r="480" customFormat="false" ht="13" hidden="false" customHeight="false" outlineLevel="0" collapsed="false">
      <c r="A480" s="2" t="n">
        <v>5.80944922443211</v>
      </c>
      <c r="B480" s="2" t="n">
        <v>0</v>
      </c>
      <c r="C480" s="2" t="n">
        <f aca="false">MAX(A480,B480)</f>
        <v>5.80944922443211</v>
      </c>
      <c r="E480" s="2" t="n">
        <v>7.81328380281218</v>
      </c>
    </row>
    <row r="481" customFormat="false" ht="13" hidden="false" customHeight="false" outlineLevel="0" collapsed="false">
      <c r="A481" s="2" t="n">
        <v>7.79111415978366</v>
      </c>
      <c r="B481" s="2" t="n">
        <v>0</v>
      </c>
      <c r="C481" s="2" t="n">
        <f aca="false">MAX(A481,B481)</f>
        <v>7.79111415978366</v>
      </c>
      <c r="E481" s="2" t="n">
        <v>7.79111415978366</v>
      </c>
    </row>
    <row r="482" customFormat="false" ht="13" hidden="false" customHeight="false" outlineLevel="0" collapsed="false">
      <c r="A482" s="2" t="n">
        <v>9.81921337925382</v>
      </c>
      <c r="B482" s="2" t="n">
        <v>0</v>
      </c>
      <c r="C482" s="2" t="n">
        <f aca="false">MAX(A482,B482)</f>
        <v>9.81921337925382</v>
      </c>
      <c r="E482" s="2" t="n">
        <v>7.74775378666101</v>
      </c>
    </row>
    <row r="483" customFormat="false" ht="13" hidden="false" customHeight="false" outlineLevel="0" collapsed="false">
      <c r="A483" s="2" t="n">
        <v>11.7585602976277</v>
      </c>
      <c r="B483" s="2" t="n">
        <v>0</v>
      </c>
      <c r="C483" s="2" t="n">
        <f aca="false">MAX(A483,B483)</f>
        <v>11.7585602976277</v>
      </c>
      <c r="E483" s="2" t="n">
        <v>7.74160616421909</v>
      </c>
    </row>
    <row r="484" customFormat="false" ht="13" hidden="false" customHeight="false" outlineLevel="0" collapsed="false">
      <c r="A484" s="2" t="n">
        <v>0</v>
      </c>
      <c r="B484" s="2" t="n">
        <v>21.9478952063937</v>
      </c>
      <c r="C484" s="2" t="n">
        <f aca="false">MAX(A484,B484)</f>
        <v>21.9478952063937</v>
      </c>
      <c r="E484" s="2" t="n">
        <v>7.70771667963038</v>
      </c>
    </row>
    <row r="485" customFormat="false" ht="13" hidden="false" customHeight="false" outlineLevel="0" collapsed="false">
      <c r="A485" s="2" t="n">
        <v>0</v>
      </c>
      <c r="B485" s="2" t="n">
        <v>23.8455561357545</v>
      </c>
      <c r="C485" s="2" t="n">
        <f aca="false">MAX(A485,B485)</f>
        <v>23.8455561357545</v>
      </c>
      <c r="E485" s="2" t="n">
        <v>7.69118891851008</v>
      </c>
    </row>
    <row r="486" customFormat="false" ht="13" hidden="false" customHeight="false" outlineLevel="0" collapsed="false">
      <c r="A486" s="2" t="n">
        <v>8.4008906469976</v>
      </c>
      <c r="B486" s="2" t="n">
        <v>0</v>
      </c>
      <c r="C486" s="2" t="n">
        <f aca="false">MAX(A486,B486)</f>
        <v>8.4008906469976</v>
      </c>
      <c r="E486" s="2" t="n">
        <v>7.6824495107964</v>
      </c>
    </row>
    <row r="487" customFormat="false" ht="13" hidden="false" customHeight="false" outlineLevel="0" collapsed="false">
      <c r="A487" s="2" t="n">
        <v>0</v>
      </c>
      <c r="B487" s="2" t="n">
        <v>20.3057494562732</v>
      </c>
      <c r="C487" s="2" t="n">
        <f aca="false">MAX(A487,B487)</f>
        <v>20.3057494562732</v>
      </c>
      <c r="E487" s="2" t="n">
        <v>7.68205265985193</v>
      </c>
    </row>
    <row r="488" customFormat="false" ht="13" hidden="false" customHeight="false" outlineLevel="0" collapsed="false">
      <c r="A488" s="2" t="n">
        <v>8.37745663458566</v>
      </c>
      <c r="B488" s="2" t="n">
        <v>0</v>
      </c>
      <c r="C488" s="2" t="n">
        <f aca="false">MAX(A488,B488)</f>
        <v>8.37745663458566</v>
      </c>
      <c r="E488" s="2" t="n">
        <v>7.68154291607141</v>
      </c>
    </row>
    <row r="489" customFormat="false" ht="13" hidden="false" customHeight="false" outlineLevel="0" collapsed="false">
      <c r="A489" s="2" t="n">
        <v>0</v>
      </c>
      <c r="B489" s="2" t="n">
        <v>20.2116733294695</v>
      </c>
      <c r="C489" s="2" t="n">
        <f aca="false">MAX(A489,B489)</f>
        <v>20.2116733294695</v>
      </c>
      <c r="E489" s="2" t="n">
        <v>7.67371851182725</v>
      </c>
    </row>
    <row r="490" customFormat="false" ht="13" hidden="false" customHeight="false" outlineLevel="0" collapsed="false">
      <c r="A490" s="2" t="n">
        <v>0</v>
      </c>
      <c r="B490" s="2" t="n">
        <v>21.4817739042178</v>
      </c>
      <c r="C490" s="2" t="n">
        <f aca="false">MAX(A490,B490)</f>
        <v>21.4817739042178</v>
      </c>
      <c r="E490" s="2" t="n">
        <v>7.67350346452713</v>
      </c>
    </row>
    <row r="491" customFormat="false" ht="13" hidden="false" customHeight="false" outlineLevel="0" collapsed="false">
      <c r="A491" s="2" t="n">
        <v>8.70089521650425</v>
      </c>
      <c r="B491" s="2" t="n">
        <v>0</v>
      </c>
      <c r="C491" s="2" t="n">
        <f aca="false">MAX(A491,B491)</f>
        <v>8.70089521650425</v>
      </c>
      <c r="E491" s="2" t="n">
        <v>7.6726224516683</v>
      </c>
    </row>
    <row r="492" customFormat="false" ht="13" hidden="false" customHeight="false" outlineLevel="0" collapsed="false">
      <c r="A492" s="2" t="n">
        <v>10.2647871566826</v>
      </c>
      <c r="B492" s="2" t="n">
        <v>0</v>
      </c>
      <c r="C492" s="2" t="n">
        <f aca="false">MAX(A492,B492)</f>
        <v>10.2647871566826</v>
      </c>
      <c r="E492" s="2" t="n">
        <v>7.65873150724929</v>
      </c>
    </row>
    <row r="493" customFormat="false" ht="13" hidden="false" customHeight="false" outlineLevel="0" collapsed="false">
      <c r="A493" s="2" t="n">
        <v>10.5942896846307</v>
      </c>
      <c r="B493" s="2" t="n">
        <v>0</v>
      </c>
      <c r="C493" s="2" t="n">
        <f aca="false">MAX(A493,B493)</f>
        <v>10.5942896846307</v>
      </c>
      <c r="E493" s="2" t="n">
        <v>7.65318342373337</v>
      </c>
    </row>
    <row r="494" customFormat="false" ht="13" hidden="false" customHeight="false" outlineLevel="0" collapsed="false">
      <c r="A494" s="2" t="n">
        <v>0</v>
      </c>
      <c r="B494" s="2" t="n">
        <v>20.3132043889295</v>
      </c>
      <c r="C494" s="2" t="n">
        <f aca="false">MAX(A494,B494)</f>
        <v>20.3132043889295</v>
      </c>
      <c r="E494" s="2" t="n">
        <v>7.62607104160179</v>
      </c>
    </row>
    <row r="495" customFormat="false" ht="13" hidden="false" customHeight="false" outlineLevel="0" collapsed="false">
      <c r="A495" s="2" t="n">
        <v>0</v>
      </c>
      <c r="B495" s="2" t="n">
        <v>20.5621384394076</v>
      </c>
      <c r="C495" s="2" t="n">
        <f aca="false">MAX(A495,B495)</f>
        <v>20.5621384394076</v>
      </c>
      <c r="E495" s="2" t="n">
        <v>7.59335101887655</v>
      </c>
    </row>
    <row r="496" customFormat="false" ht="13" hidden="false" customHeight="false" outlineLevel="0" collapsed="false">
      <c r="A496" s="2" t="n">
        <v>6.92109014630421</v>
      </c>
      <c r="B496" s="2" t="n">
        <v>0</v>
      </c>
      <c r="C496" s="2" t="n">
        <f aca="false">MAX(A496,B496)</f>
        <v>6.92109014630421</v>
      </c>
      <c r="E496" s="2" t="n">
        <v>7.5830689016091</v>
      </c>
    </row>
    <row r="497" customFormat="false" ht="13" hidden="false" customHeight="false" outlineLevel="0" collapsed="false">
      <c r="A497" s="2" t="n">
        <v>0</v>
      </c>
      <c r="B497" s="2" t="n">
        <v>18.8247829585777</v>
      </c>
      <c r="C497" s="2" t="n">
        <f aca="false">MAX(A497,B497)</f>
        <v>18.8247829585777</v>
      </c>
      <c r="E497" s="2" t="n">
        <v>7.52376635211908</v>
      </c>
    </row>
    <row r="498" customFormat="false" ht="13" hidden="false" customHeight="false" outlineLevel="0" collapsed="false">
      <c r="A498" s="2" t="n">
        <v>7.9197630191594</v>
      </c>
      <c r="B498" s="2" t="n">
        <v>0</v>
      </c>
      <c r="C498" s="2" t="n">
        <f aca="false">MAX(A498,B498)</f>
        <v>7.9197630191594</v>
      </c>
      <c r="E498" s="2" t="n">
        <v>7.42739652527092</v>
      </c>
    </row>
    <row r="499" customFormat="false" ht="13" hidden="false" customHeight="false" outlineLevel="0" collapsed="false">
      <c r="A499" s="2" t="n">
        <v>0</v>
      </c>
      <c r="B499" s="2" t="n">
        <v>19.6819506575596</v>
      </c>
      <c r="C499" s="2" t="n">
        <f aca="false">MAX(A499,B499)</f>
        <v>19.6819506575596</v>
      </c>
      <c r="E499" s="2" t="n">
        <v>7.41686975167681</v>
      </c>
    </row>
    <row r="500" customFormat="false" ht="13" hidden="false" customHeight="false" outlineLevel="0" collapsed="false">
      <c r="A500" s="2" t="n">
        <v>0</v>
      </c>
      <c r="B500" s="2" t="n">
        <v>19.3201909033301</v>
      </c>
      <c r="C500" s="2" t="n">
        <f aca="false">MAX(A500,B500)</f>
        <v>19.3201909033301</v>
      </c>
      <c r="E500" s="2" t="n">
        <v>7.40517048882794</v>
      </c>
    </row>
    <row r="501" customFormat="false" ht="13" hidden="false" customHeight="false" outlineLevel="0" collapsed="false">
      <c r="A501" s="2" t="n">
        <v>3.97333994723556</v>
      </c>
      <c r="B501" s="2" t="n">
        <v>0</v>
      </c>
      <c r="C501" s="2" t="n">
        <f aca="false">MAX(A501,B501)</f>
        <v>3.97333994723556</v>
      </c>
      <c r="E501" s="2" t="n">
        <v>7.40081091489702</v>
      </c>
    </row>
    <row r="502" customFormat="false" ht="13" hidden="false" customHeight="false" outlineLevel="0" collapsed="false">
      <c r="A502" s="2" t="n">
        <v>3.50294217848045</v>
      </c>
      <c r="B502" s="2" t="n">
        <v>0</v>
      </c>
      <c r="C502" s="2" t="n">
        <f aca="false">MAX(A502,B502)</f>
        <v>3.50294217848045</v>
      </c>
      <c r="E502" s="2" t="n">
        <v>7.4005435598973</v>
      </c>
    </row>
    <row r="503" customFormat="false" ht="13" hidden="false" customHeight="false" outlineLevel="0" collapsed="false">
      <c r="A503" s="2" t="n">
        <v>3.2511791168638</v>
      </c>
      <c r="B503" s="2" t="n">
        <v>0</v>
      </c>
      <c r="C503" s="2" t="n">
        <f aca="false">MAX(A503,B503)</f>
        <v>3.2511791168638</v>
      </c>
      <c r="E503" s="2" t="n">
        <v>7.34265911077569</v>
      </c>
    </row>
    <row r="504" customFormat="false" ht="13" hidden="false" customHeight="false" outlineLevel="0" collapsed="false">
      <c r="A504" s="2" t="n">
        <v>4.41825427986476</v>
      </c>
      <c r="B504" s="2" t="n">
        <v>0</v>
      </c>
      <c r="C504" s="2" t="n">
        <f aca="false">MAX(A504,B504)</f>
        <v>4.41825427986476</v>
      </c>
      <c r="E504" s="2" t="n">
        <v>7.31125359606335</v>
      </c>
    </row>
    <row r="505" customFormat="false" ht="13" hidden="false" customHeight="false" outlineLevel="0" collapsed="false">
      <c r="A505" s="2" t="n">
        <v>0</v>
      </c>
      <c r="B505" s="2" t="n">
        <v>11.7991733084424</v>
      </c>
      <c r="C505" s="2" t="n">
        <f aca="false">MAX(A505,B505)</f>
        <v>11.7991733084424</v>
      </c>
      <c r="E505" s="2" t="n">
        <v>7.30236501349674</v>
      </c>
    </row>
    <row r="506" customFormat="false" ht="13" hidden="false" customHeight="false" outlineLevel="0" collapsed="false">
      <c r="A506" s="2" t="n">
        <v>2.60978834942716</v>
      </c>
      <c r="B506" s="2" t="n">
        <v>0</v>
      </c>
      <c r="C506" s="2" t="n">
        <f aca="false">MAX(A506,B506)</f>
        <v>2.60978834942716</v>
      </c>
      <c r="E506" s="2" t="n">
        <v>7.25449198477574</v>
      </c>
    </row>
    <row r="507" customFormat="false" ht="13" hidden="false" customHeight="false" outlineLevel="0" collapsed="false">
      <c r="A507" s="2" t="n">
        <v>4.11762611162737</v>
      </c>
      <c r="B507" s="2" t="n">
        <v>0</v>
      </c>
      <c r="C507" s="2" t="n">
        <f aca="false">MAX(A507,B507)</f>
        <v>4.11762611162737</v>
      </c>
      <c r="E507" s="2" t="n">
        <v>7.25402009734421</v>
      </c>
    </row>
    <row r="508" customFormat="false" ht="13" hidden="false" customHeight="false" outlineLevel="0" collapsed="false">
      <c r="A508" s="2" t="n">
        <v>4.18766243987966</v>
      </c>
      <c r="B508" s="2" t="n">
        <v>0</v>
      </c>
      <c r="C508" s="2" t="n">
        <f aca="false">MAX(A508,B508)</f>
        <v>4.18766243987966</v>
      </c>
      <c r="E508" s="2" t="n">
        <v>7.24862979894397</v>
      </c>
    </row>
    <row r="509" customFormat="false" ht="13" hidden="false" customHeight="false" outlineLevel="0" collapsed="false">
      <c r="A509" s="2" t="n">
        <v>5.80619667972974</v>
      </c>
      <c r="B509" s="2" t="n">
        <v>0</v>
      </c>
      <c r="C509" s="2" t="n">
        <f aca="false">MAX(A509,B509)</f>
        <v>5.80619667972974</v>
      </c>
      <c r="E509" s="2" t="n">
        <v>7.23365633994592</v>
      </c>
    </row>
    <row r="510" customFormat="false" ht="13" hidden="false" customHeight="false" outlineLevel="0" collapsed="false">
      <c r="A510" s="2" t="n">
        <v>7.15140212712822</v>
      </c>
      <c r="B510" s="2" t="n">
        <v>0</v>
      </c>
      <c r="C510" s="2" t="n">
        <f aca="false">MAX(A510,B510)</f>
        <v>7.15140212712822</v>
      </c>
      <c r="E510" s="2" t="n">
        <v>7.2332510144081</v>
      </c>
    </row>
    <row r="511" customFormat="false" ht="13" hidden="false" customHeight="false" outlineLevel="0" collapsed="false">
      <c r="A511" s="2" t="n">
        <v>0</v>
      </c>
      <c r="B511" s="2" t="n">
        <v>8.81438007554505</v>
      </c>
      <c r="C511" s="2" t="n">
        <f aca="false">MAX(A511,B511)</f>
        <v>8.81438007554505</v>
      </c>
      <c r="E511" s="2" t="n">
        <v>7.16554039457446</v>
      </c>
    </row>
    <row r="512" customFormat="false" ht="13" hidden="false" customHeight="false" outlineLevel="0" collapsed="false">
      <c r="A512" s="2" t="n">
        <v>0</v>
      </c>
      <c r="B512" s="2" t="n">
        <v>10.7336692104805</v>
      </c>
      <c r="C512" s="2" t="n">
        <f aca="false">MAX(A512,B512)</f>
        <v>10.7336692104805</v>
      </c>
      <c r="E512" s="2" t="n">
        <v>7.15140212712822</v>
      </c>
    </row>
    <row r="513" customFormat="false" ht="13" hidden="false" customHeight="false" outlineLevel="0" collapsed="false">
      <c r="A513" s="2" t="n">
        <v>0</v>
      </c>
      <c r="B513" s="2" t="n">
        <v>11.345008387901</v>
      </c>
      <c r="C513" s="2" t="n">
        <f aca="false">MAX(A513,B513)</f>
        <v>11.345008387901</v>
      </c>
      <c r="E513" s="2" t="n">
        <v>7.12587952272679</v>
      </c>
    </row>
    <row r="514" customFormat="false" ht="13" hidden="false" customHeight="false" outlineLevel="0" collapsed="false">
      <c r="A514" s="2" t="n">
        <v>0</v>
      </c>
      <c r="B514" s="2" t="n">
        <v>11.5562405695987</v>
      </c>
      <c r="C514" s="2" t="n">
        <f aca="false">MAX(A514,B514)</f>
        <v>11.5562405695987</v>
      </c>
      <c r="E514" s="2" t="n">
        <v>7.07540899870088</v>
      </c>
    </row>
    <row r="515" customFormat="false" ht="13" hidden="false" customHeight="false" outlineLevel="0" collapsed="false">
      <c r="A515" s="2" t="n">
        <v>0</v>
      </c>
      <c r="B515" s="2" t="n">
        <v>13.1296553137636</v>
      </c>
      <c r="C515" s="2" t="n">
        <f aca="false">MAX(A515,B515)</f>
        <v>13.1296553137636</v>
      </c>
      <c r="E515" s="2" t="n">
        <v>7.00931252767464</v>
      </c>
    </row>
    <row r="516" customFormat="false" ht="13" hidden="false" customHeight="false" outlineLevel="0" collapsed="false">
      <c r="A516" s="2" t="n">
        <v>0</v>
      </c>
      <c r="B516" s="2" t="n">
        <v>14.4875275542421</v>
      </c>
      <c r="C516" s="2" t="n">
        <f aca="false">MAX(A516,B516)</f>
        <v>14.4875275542421</v>
      </c>
      <c r="E516" s="2" t="n">
        <v>7.00156925690499</v>
      </c>
    </row>
    <row r="517" customFormat="false" ht="13" hidden="false" customHeight="false" outlineLevel="0" collapsed="false">
      <c r="A517" s="2" t="n">
        <v>0</v>
      </c>
      <c r="B517" s="2" t="n">
        <v>16.1042991719833</v>
      </c>
      <c r="C517" s="2" t="n">
        <f aca="false">MAX(A517,B517)</f>
        <v>16.1042991719833</v>
      </c>
      <c r="E517" s="2" t="n">
        <v>6.99343380806318</v>
      </c>
    </row>
    <row r="518" customFormat="false" ht="13" hidden="false" customHeight="false" outlineLevel="0" collapsed="false">
      <c r="A518" s="2" t="n">
        <v>4.72677078200741</v>
      </c>
      <c r="B518" s="2" t="n">
        <v>0</v>
      </c>
      <c r="C518" s="2" t="n">
        <f aca="false">MAX(A518,B518)</f>
        <v>4.72677078200741</v>
      </c>
      <c r="E518" s="2" t="n">
        <v>6.98041585666863</v>
      </c>
    </row>
    <row r="519" customFormat="false" ht="13" hidden="false" customHeight="false" outlineLevel="0" collapsed="false">
      <c r="A519" s="2" t="n">
        <v>0</v>
      </c>
      <c r="B519" s="2" t="n">
        <v>17.3780792695168</v>
      </c>
      <c r="C519" s="2" t="n">
        <f aca="false">MAX(A519,B519)</f>
        <v>17.3780792695168</v>
      </c>
      <c r="E519" s="2" t="n">
        <v>6.96863195408798</v>
      </c>
    </row>
    <row r="520" customFormat="false" ht="13" hidden="false" customHeight="false" outlineLevel="0" collapsed="false">
      <c r="A520" s="2" t="n">
        <v>0</v>
      </c>
      <c r="B520" s="2" t="n">
        <v>17.3281201007069</v>
      </c>
      <c r="C520" s="2" t="n">
        <f aca="false">MAX(A520,B520)</f>
        <v>17.3281201007069</v>
      </c>
      <c r="E520" s="2" t="n">
        <v>6.96502625541962</v>
      </c>
    </row>
    <row r="521" customFormat="false" ht="13" hidden="false" customHeight="false" outlineLevel="0" collapsed="false">
      <c r="A521" s="2" t="n">
        <v>0</v>
      </c>
      <c r="B521" s="2" t="n">
        <v>18.9880633022144</v>
      </c>
      <c r="C521" s="2" t="n">
        <f aca="false">MAX(A521,B521)</f>
        <v>18.9880633022144</v>
      </c>
      <c r="E521" s="2" t="n">
        <v>6.96332393618684</v>
      </c>
    </row>
    <row r="522" customFormat="false" ht="13" hidden="false" customHeight="false" outlineLevel="0" collapsed="false">
      <c r="A522" s="2" t="n">
        <v>3.07115736170431</v>
      </c>
      <c r="B522" s="2" t="n">
        <v>0</v>
      </c>
      <c r="C522" s="2" t="n">
        <f aca="false">MAX(A522,B522)</f>
        <v>3.07115736170431</v>
      </c>
      <c r="E522" s="2" t="n">
        <v>6.96145761138632</v>
      </c>
    </row>
    <row r="523" customFormat="false" ht="13" hidden="false" customHeight="false" outlineLevel="0" collapsed="false">
      <c r="A523" s="2" t="n">
        <v>0</v>
      </c>
      <c r="B523" s="2" t="n">
        <v>19.5937002001181</v>
      </c>
      <c r="C523" s="2" t="n">
        <f aca="false">MAX(A523,B523)</f>
        <v>19.5937002001181</v>
      </c>
      <c r="E523" s="2" t="n">
        <v>6.95679694963542</v>
      </c>
    </row>
    <row r="524" customFormat="false" ht="13" hidden="false" customHeight="false" outlineLevel="0" collapsed="false">
      <c r="A524" s="2" t="n">
        <v>3.79663732543838</v>
      </c>
      <c r="B524" s="2" t="n">
        <v>0</v>
      </c>
      <c r="C524" s="2" t="n">
        <f aca="false">MAX(A524,B524)</f>
        <v>3.79663732543838</v>
      </c>
      <c r="E524" s="2" t="n">
        <v>6.95590062054487</v>
      </c>
    </row>
    <row r="525" customFormat="false" ht="13" hidden="false" customHeight="false" outlineLevel="0" collapsed="false">
      <c r="A525" s="2" t="n">
        <v>4.47164218515468</v>
      </c>
      <c r="B525" s="2" t="n">
        <v>0</v>
      </c>
      <c r="C525" s="2" t="n">
        <f aca="false">MAX(A525,B525)</f>
        <v>4.47164218515468</v>
      </c>
      <c r="E525" s="2" t="n">
        <v>6.9534342083723</v>
      </c>
    </row>
    <row r="526" customFormat="false" ht="13" hidden="false" customHeight="false" outlineLevel="0" collapsed="false">
      <c r="A526" s="2" t="n">
        <v>4.38894383962759</v>
      </c>
      <c r="B526" s="2" t="n">
        <v>0</v>
      </c>
      <c r="C526" s="2" t="n">
        <f aca="false">MAX(A526,B526)</f>
        <v>4.38894383962759</v>
      </c>
      <c r="E526" s="2" t="n">
        <v>6.95133377476304</v>
      </c>
    </row>
    <row r="527" customFormat="false" ht="13" hidden="false" customHeight="false" outlineLevel="0" collapsed="false">
      <c r="A527" s="2" t="n">
        <v>0</v>
      </c>
      <c r="B527" s="2" t="n">
        <v>17.1595619535999</v>
      </c>
      <c r="C527" s="2" t="n">
        <f aca="false">MAX(A527,B527)</f>
        <v>17.1595619535999</v>
      </c>
      <c r="E527" s="2" t="n">
        <v>6.92109014630421</v>
      </c>
    </row>
    <row r="528" customFormat="false" ht="13" hidden="false" customHeight="false" outlineLevel="0" collapsed="false">
      <c r="A528" s="2" t="n">
        <v>5.91516669099815</v>
      </c>
      <c r="B528" s="2" t="n">
        <v>0</v>
      </c>
      <c r="C528" s="2" t="n">
        <f aca="false">MAX(A528,B528)</f>
        <v>5.91516669099815</v>
      </c>
      <c r="E528" s="2" t="n">
        <v>6.90701445357121</v>
      </c>
    </row>
    <row r="529" customFormat="false" ht="13" hidden="false" customHeight="false" outlineLevel="0" collapsed="false">
      <c r="A529" s="2" t="n">
        <v>0</v>
      </c>
      <c r="B529" s="2" t="n">
        <v>17.1275166930857</v>
      </c>
      <c r="C529" s="2" t="n">
        <f aca="false">MAX(A529,B529)</f>
        <v>17.1275166930857</v>
      </c>
      <c r="E529" s="2" t="n">
        <v>6.88795461896116</v>
      </c>
    </row>
    <row r="530" customFormat="false" ht="13" hidden="false" customHeight="false" outlineLevel="0" collapsed="false">
      <c r="A530" s="2" t="n">
        <v>5.33669480918275</v>
      </c>
      <c r="B530" s="2" t="n">
        <v>0</v>
      </c>
      <c r="C530" s="2" t="n">
        <f aca="false">MAX(A530,B530)</f>
        <v>5.33669480918275</v>
      </c>
      <c r="E530" s="2" t="n">
        <v>6.87978348125773</v>
      </c>
    </row>
    <row r="531" customFormat="false" ht="13" hidden="false" customHeight="false" outlineLevel="0" collapsed="false">
      <c r="A531" s="2" t="n">
        <v>0</v>
      </c>
      <c r="B531" s="2" t="n">
        <v>18.3830220100006</v>
      </c>
      <c r="C531" s="2" t="n">
        <f aca="false">MAX(A531,B531)</f>
        <v>18.3830220100006</v>
      </c>
      <c r="E531" s="2" t="n">
        <v>6.86270505205619</v>
      </c>
    </row>
    <row r="532" customFormat="false" ht="13" hidden="false" customHeight="false" outlineLevel="0" collapsed="false">
      <c r="A532" s="2" t="n">
        <v>0</v>
      </c>
      <c r="B532" s="2" t="n">
        <v>20.0868015941217</v>
      </c>
      <c r="C532" s="2" t="n">
        <f aca="false">MAX(A532,B532)</f>
        <v>20.0868015941217</v>
      </c>
      <c r="E532" s="2" t="n">
        <v>6.83793653854252</v>
      </c>
    </row>
    <row r="533" customFormat="false" ht="13" hidden="false" customHeight="false" outlineLevel="0" collapsed="false">
      <c r="A533" s="2" t="n">
        <v>6.69218818769423</v>
      </c>
      <c r="B533" s="2" t="n">
        <v>0</v>
      </c>
      <c r="C533" s="2" t="n">
        <f aca="false">MAX(A533,B533)</f>
        <v>6.69218818769423</v>
      </c>
      <c r="E533" s="2" t="n">
        <v>6.83735915894152</v>
      </c>
    </row>
    <row r="534" customFormat="false" ht="13" hidden="false" customHeight="false" outlineLevel="0" collapsed="false">
      <c r="A534" s="2" t="n">
        <v>8.17089653406435</v>
      </c>
      <c r="B534" s="2" t="n">
        <v>0</v>
      </c>
      <c r="C534" s="2" t="n">
        <f aca="false">MAX(A534,B534)</f>
        <v>8.17089653406435</v>
      </c>
      <c r="E534" s="2" t="n">
        <v>6.83166135896806</v>
      </c>
    </row>
    <row r="535" customFormat="false" ht="13" hidden="false" customHeight="false" outlineLevel="0" collapsed="false">
      <c r="A535" s="2" t="n">
        <v>8.48686437634399</v>
      </c>
      <c r="B535" s="2" t="n">
        <v>0</v>
      </c>
      <c r="C535" s="2" t="n">
        <f aca="false">MAX(A535,B535)</f>
        <v>8.48686437634399</v>
      </c>
      <c r="E535" s="2" t="n">
        <v>6.82998433335115</v>
      </c>
    </row>
    <row r="536" customFormat="false" ht="13" hidden="false" customHeight="false" outlineLevel="0" collapsed="false">
      <c r="A536" s="2" t="n">
        <v>0</v>
      </c>
      <c r="B536" s="2" t="n">
        <v>18.9020689121347</v>
      </c>
      <c r="C536" s="2" t="n">
        <f aca="false">MAX(A536,B536)</f>
        <v>18.9020689121347</v>
      </c>
      <c r="E536" s="2" t="n">
        <v>6.82299741623854</v>
      </c>
    </row>
    <row r="537" customFormat="false" ht="13" hidden="false" customHeight="false" outlineLevel="0" collapsed="false">
      <c r="A537" s="2" t="n">
        <v>0</v>
      </c>
      <c r="B537" s="2" t="n">
        <v>20.5615800716078</v>
      </c>
      <c r="C537" s="2" t="n">
        <f aca="false">MAX(A537,B537)</f>
        <v>20.5615800716078</v>
      </c>
      <c r="E537" s="2" t="n">
        <v>6.80712807264428</v>
      </c>
    </row>
    <row r="538" customFormat="false" ht="13" hidden="false" customHeight="false" outlineLevel="0" collapsed="false">
      <c r="A538" s="2" t="n">
        <v>0</v>
      </c>
      <c r="B538" s="2" t="n">
        <v>21.173296712049</v>
      </c>
      <c r="C538" s="2" t="n">
        <f aca="false">MAX(A538,B538)</f>
        <v>21.173296712049</v>
      </c>
      <c r="E538" s="2" t="n">
        <v>6.79224854853931</v>
      </c>
    </row>
    <row r="539" customFormat="false" ht="13" hidden="false" customHeight="false" outlineLevel="0" collapsed="false">
      <c r="A539" s="2" t="n">
        <v>0</v>
      </c>
      <c r="B539" s="2" t="n">
        <v>22.0539546233392</v>
      </c>
      <c r="C539" s="2" t="n">
        <f aca="false">MAX(A539,B539)</f>
        <v>22.0539546233392</v>
      </c>
      <c r="E539" s="2" t="n">
        <v>6.76990824469249</v>
      </c>
    </row>
    <row r="540" customFormat="false" ht="13" hidden="false" customHeight="false" outlineLevel="0" collapsed="false">
      <c r="A540" s="2" t="n">
        <v>0</v>
      </c>
      <c r="B540" s="2" t="n">
        <v>23.1720565725184</v>
      </c>
      <c r="C540" s="2" t="n">
        <f aca="false">MAX(A540,B540)</f>
        <v>23.1720565725184</v>
      </c>
      <c r="E540" s="2" t="n">
        <v>6.76842327030715</v>
      </c>
    </row>
    <row r="541" customFormat="false" ht="13" hidden="false" customHeight="false" outlineLevel="0" collapsed="false">
      <c r="A541" s="2" t="n">
        <v>0</v>
      </c>
      <c r="B541" s="2" t="n">
        <v>24.8135153523107</v>
      </c>
      <c r="C541" s="2" t="n">
        <f aca="false">MAX(A541,B541)</f>
        <v>24.8135153523107</v>
      </c>
      <c r="E541" s="2" t="n">
        <v>6.72918214959412</v>
      </c>
    </row>
    <row r="542" customFormat="false" ht="13" hidden="false" customHeight="false" outlineLevel="0" collapsed="false">
      <c r="A542" s="2" t="n">
        <v>0</v>
      </c>
      <c r="B542" s="2" t="n">
        <v>26.7210597471873</v>
      </c>
      <c r="C542" s="2" t="n">
        <f aca="false">MAX(A542,B542)</f>
        <v>26.7210597471873</v>
      </c>
      <c r="E542" s="2" t="n">
        <v>6.7165304842684</v>
      </c>
    </row>
    <row r="543" customFormat="false" ht="13" hidden="false" customHeight="false" outlineLevel="0" collapsed="false">
      <c r="A543" s="2" t="n">
        <v>0</v>
      </c>
      <c r="B543" s="2" t="n">
        <v>27.472092082792</v>
      </c>
      <c r="C543" s="2" t="n">
        <f aca="false">MAX(A543,B543)</f>
        <v>27.472092082792</v>
      </c>
      <c r="E543" s="2" t="n">
        <v>6.69292628687907</v>
      </c>
    </row>
    <row r="544" customFormat="false" ht="13" hidden="false" customHeight="false" outlineLevel="0" collapsed="false">
      <c r="A544" s="2" t="n">
        <v>0</v>
      </c>
      <c r="B544" s="2" t="n">
        <v>29.1470289632548</v>
      </c>
      <c r="C544" s="2" t="n">
        <f aca="false">MAX(A544,B544)</f>
        <v>29.1470289632548</v>
      </c>
      <c r="E544" s="2" t="n">
        <v>6.69218818769423</v>
      </c>
    </row>
    <row r="545" customFormat="false" ht="13" hidden="false" customHeight="false" outlineLevel="0" collapsed="false">
      <c r="A545" s="2" t="n">
        <v>3.91419285607822</v>
      </c>
      <c r="B545" s="2" t="n">
        <v>0</v>
      </c>
      <c r="C545" s="2" t="n">
        <f aca="false">MAX(A545,B545)</f>
        <v>3.91419285607822</v>
      </c>
      <c r="E545" s="2" t="n">
        <v>6.69128526735466</v>
      </c>
    </row>
    <row r="546" customFormat="false" ht="13" hidden="false" customHeight="false" outlineLevel="0" collapsed="false">
      <c r="A546" s="2" t="n">
        <v>0</v>
      </c>
      <c r="B546" s="2" t="n">
        <v>28.956997052905</v>
      </c>
      <c r="C546" s="2" t="n">
        <f aca="false">MAX(A546,B546)</f>
        <v>28.956997052905</v>
      </c>
      <c r="E546" s="2" t="n">
        <v>6.67293531823248</v>
      </c>
    </row>
    <row r="547" customFormat="false" ht="13" hidden="false" customHeight="false" outlineLevel="0" collapsed="false">
      <c r="A547" s="2" t="n">
        <v>0</v>
      </c>
      <c r="B547" s="2" t="n">
        <v>31.0409837692682</v>
      </c>
      <c r="C547" s="2" t="n">
        <f aca="false">MAX(A547,B547)</f>
        <v>31.0409837692682</v>
      </c>
      <c r="E547" s="2" t="n">
        <v>6.67250204392173</v>
      </c>
    </row>
    <row r="548" customFormat="false" ht="13" hidden="false" customHeight="false" outlineLevel="0" collapsed="false">
      <c r="A548" s="2" t="n">
        <v>3.70917769939285</v>
      </c>
      <c r="B548" s="2" t="n">
        <v>0</v>
      </c>
      <c r="C548" s="2" t="n">
        <f aca="false">MAX(A548,B548)</f>
        <v>3.70917769939285</v>
      </c>
      <c r="E548" s="2" t="n">
        <v>6.66465218279626</v>
      </c>
    </row>
    <row r="549" customFormat="false" ht="13" hidden="false" customHeight="false" outlineLevel="0" collapsed="false">
      <c r="A549" s="2" t="n">
        <v>2.41703183485311</v>
      </c>
      <c r="B549" s="2" t="n">
        <v>0</v>
      </c>
      <c r="C549" s="2" t="n">
        <f aca="false">MAX(A549,B549)</f>
        <v>2.41703183485311</v>
      </c>
      <c r="E549" s="2" t="n">
        <v>6.64073713172229</v>
      </c>
    </row>
    <row r="550" customFormat="false" ht="13" hidden="false" customHeight="false" outlineLevel="0" collapsed="false">
      <c r="A550" s="2" t="n">
        <v>3.51378431864794</v>
      </c>
      <c r="B550" s="2" t="n">
        <v>0</v>
      </c>
      <c r="C550" s="2" t="n">
        <f aca="false">MAX(A550,B550)</f>
        <v>3.51378431864794</v>
      </c>
      <c r="E550" s="2" t="n">
        <v>6.59799702062071</v>
      </c>
    </row>
    <row r="551" customFormat="false" ht="13" hidden="false" customHeight="false" outlineLevel="0" collapsed="false">
      <c r="A551" s="2" t="n">
        <v>0</v>
      </c>
      <c r="B551" s="2" t="n">
        <v>28.0426053470551</v>
      </c>
      <c r="C551" s="2" t="n">
        <f aca="false">MAX(A551,B551)</f>
        <v>28.0426053470551</v>
      </c>
      <c r="E551" s="2" t="n">
        <v>6.58580972067784</v>
      </c>
    </row>
    <row r="552" customFormat="false" ht="13" hidden="false" customHeight="false" outlineLevel="0" collapsed="false">
      <c r="A552" s="2" t="n">
        <v>0</v>
      </c>
      <c r="B552" s="2" t="n">
        <v>29.1932123172863</v>
      </c>
      <c r="C552" s="2" t="n">
        <f aca="false">MAX(A552,B552)</f>
        <v>29.1932123172863</v>
      </c>
      <c r="E552" s="2" t="n">
        <v>6.56557214480018</v>
      </c>
    </row>
    <row r="553" customFormat="false" ht="13" hidden="false" customHeight="false" outlineLevel="0" collapsed="false">
      <c r="A553" s="2" t="n">
        <v>0</v>
      </c>
      <c r="B553" s="2" t="n">
        <v>29.8813905750341</v>
      </c>
      <c r="C553" s="2" t="n">
        <f aca="false">MAX(A553,B553)</f>
        <v>29.8813905750341</v>
      </c>
      <c r="E553" s="2" t="n">
        <v>6.53933673201891</v>
      </c>
    </row>
    <row r="554" customFormat="false" ht="13" hidden="false" customHeight="false" outlineLevel="0" collapsed="false">
      <c r="A554" s="2" t="n">
        <v>2.84800859427241</v>
      </c>
      <c r="B554" s="2" t="n">
        <v>0</v>
      </c>
      <c r="C554" s="2" t="n">
        <f aca="false">MAX(A554,B554)</f>
        <v>2.84800859427241</v>
      </c>
      <c r="E554" s="2" t="n">
        <v>6.53664399380256</v>
      </c>
    </row>
    <row r="555" customFormat="false" ht="13" hidden="false" customHeight="false" outlineLevel="0" collapsed="false">
      <c r="A555" s="2" t="n">
        <v>4.3188745812239</v>
      </c>
      <c r="B555" s="2" t="n">
        <v>0</v>
      </c>
      <c r="C555" s="2" t="n">
        <f aca="false">MAX(A555,B555)</f>
        <v>4.3188745812239</v>
      </c>
      <c r="E555" s="2" t="n">
        <v>6.53120290522556</v>
      </c>
    </row>
    <row r="556" customFormat="false" ht="13" hidden="false" customHeight="false" outlineLevel="0" collapsed="false">
      <c r="A556" s="2" t="n">
        <v>3.44283563139504</v>
      </c>
      <c r="B556" s="2" t="n">
        <v>0</v>
      </c>
      <c r="C556" s="2" t="n">
        <f aca="false">MAX(A556,B556)</f>
        <v>3.44283563139504</v>
      </c>
      <c r="E556" s="2" t="n">
        <v>6.52383677624687</v>
      </c>
    </row>
    <row r="557" customFormat="false" ht="13" hidden="false" customHeight="false" outlineLevel="0" collapsed="false">
      <c r="A557" s="2" t="n">
        <v>5.36692194693683</v>
      </c>
      <c r="B557" s="2" t="n">
        <v>0</v>
      </c>
      <c r="C557" s="2" t="n">
        <f aca="false">MAX(A557,B557)</f>
        <v>5.36692194693683</v>
      </c>
      <c r="E557" s="2" t="n">
        <v>6.50102051607223</v>
      </c>
    </row>
    <row r="558" customFormat="false" ht="13" hidden="false" customHeight="false" outlineLevel="0" collapsed="false">
      <c r="A558" s="2" t="n">
        <v>4.36666048911241</v>
      </c>
      <c r="B558" s="2" t="n">
        <v>0</v>
      </c>
      <c r="C558" s="2" t="n">
        <f aca="false">MAX(A558,B558)</f>
        <v>4.36666048911241</v>
      </c>
      <c r="E558" s="2" t="n">
        <v>6.49480285996015</v>
      </c>
    </row>
    <row r="559" customFormat="false" ht="13" hidden="false" customHeight="false" outlineLevel="0" collapsed="false">
      <c r="A559" s="2" t="n">
        <v>5.96809575997861</v>
      </c>
      <c r="B559" s="2" t="n">
        <v>0</v>
      </c>
      <c r="C559" s="2" t="n">
        <f aca="false">MAX(A559,B559)</f>
        <v>5.96809575997861</v>
      </c>
      <c r="E559" s="2" t="n">
        <v>6.49439556789844</v>
      </c>
    </row>
    <row r="560" customFormat="false" ht="13" hidden="false" customHeight="false" outlineLevel="0" collapsed="false">
      <c r="A560" s="2" t="n">
        <v>0</v>
      </c>
      <c r="B560" s="2" t="n">
        <v>25.0663725264532</v>
      </c>
      <c r="C560" s="2" t="n">
        <f aca="false">MAX(A560,B560)</f>
        <v>25.0663725264532</v>
      </c>
      <c r="E560" s="2" t="n">
        <v>6.39911991601633</v>
      </c>
    </row>
    <row r="561" customFormat="false" ht="13" hidden="false" customHeight="false" outlineLevel="0" collapsed="false">
      <c r="A561" s="2" t="n">
        <v>0</v>
      </c>
      <c r="B561" s="2" t="n">
        <v>25.1703289251758</v>
      </c>
      <c r="C561" s="2" t="n">
        <f aca="false">MAX(A561,B561)</f>
        <v>25.1703289251758</v>
      </c>
      <c r="E561" s="2" t="n">
        <v>6.39092974960317</v>
      </c>
    </row>
    <row r="562" customFormat="false" ht="13" hidden="false" customHeight="false" outlineLevel="0" collapsed="false">
      <c r="A562" s="2" t="n">
        <v>2.33209100947113</v>
      </c>
      <c r="B562" s="2" t="n">
        <v>0</v>
      </c>
      <c r="C562" s="2" t="n">
        <f aca="false">MAX(A562,B562)</f>
        <v>2.33209100947113</v>
      </c>
      <c r="E562" s="2" t="n">
        <v>6.39062964001226</v>
      </c>
    </row>
    <row r="563" customFormat="false" ht="13" hidden="false" customHeight="false" outlineLevel="0" collapsed="false">
      <c r="A563" s="2" t="n">
        <v>4.0446900685763</v>
      </c>
      <c r="B563" s="2" t="n">
        <v>0</v>
      </c>
      <c r="C563" s="2" t="n">
        <f aca="false">MAX(A563,B563)</f>
        <v>4.0446900685763</v>
      </c>
      <c r="E563" s="2" t="n">
        <v>6.36177462934552</v>
      </c>
    </row>
    <row r="564" customFormat="false" ht="13" hidden="false" customHeight="false" outlineLevel="0" collapsed="false">
      <c r="A564" s="2" t="n">
        <v>5.73155676026033</v>
      </c>
      <c r="B564" s="2" t="n">
        <v>0</v>
      </c>
      <c r="C564" s="2" t="n">
        <f aca="false">MAX(A564,B564)</f>
        <v>5.73155676026033</v>
      </c>
      <c r="E564" s="2" t="n">
        <v>6.35962273007073</v>
      </c>
    </row>
    <row r="565" customFormat="false" ht="13" hidden="false" customHeight="false" outlineLevel="0" collapsed="false">
      <c r="A565" s="2" t="n">
        <v>0</v>
      </c>
      <c r="B565" s="2" t="n">
        <v>19.963171586286</v>
      </c>
      <c r="C565" s="2" t="n">
        <f aca="false">MAX(A565,B565)</f>
        <v>19.963171586286</v>
      </c>
      <c r="E565" s="2" t="n">
        <v>6.28223541903617</v>
      </c>
    </row>
    <row r="566" customFormat="false" ht="13" hidden="false" customHeight="false" outlineLevel="0" collapsed="false">
      <c r="A566" s="2" t="n">
        <v>0</v>
      </c>
      <c r="B566" s="2" t="n">
        <v>19.9735641988494</v>
      </c>
      <c r="C566" s="2" t="n">
        <f aca="false">MAX(A566,B566)</f>
        <v>19.9735641988494</v>
      </c>
      <c r="E566" s="2" t="n">
        <v>6.27733641510048</v>
      </c>
    </row>
    <row r="567" customFormat="false" ht="13" hidden="false" customHeight="false" outlineLevel="0" collapsed="false">
      <c r="A567" s="2" t="n">
        <v>2.53881823781501</v>
      </c>
      <c r="B567" s="2" t="n">
        <v>0</v>
      </c>
      <c r="C567" s="2" t="n">
        <f aca="false">MAX(A567,B567)</f>
        <v>2.53881823781501</v>
      </c>
      <c r="E567" s="2" t="n">
        <v>6.27521230290384</v>
      </c>
    </row>
    <row r="568" customFormat="false" ht="13" hidden="false" customHeight="false" outlineLevel="0" collapsed="false">
      <c r="A568" s="2" t="n">
        <v>0</v>
      </c>
      <c r="B568" s="2" t="n">
        <v>21.4447050160824</v>
      </c>
      <c r="C568" s="2" t="n">
        <f aca="false">MAX(A568,B568)</f>
        <v>21.4447050160824</v>
      </c>
      <c r="E568" s="2" t="n">
        <v>6.26010567450089</v>
      </c>
    </row>
    <row r="569" customFormat="false" ht="13" hidden="false" customHeight="false" outlineLevel="0" collapsed="false">
      <c r="A569" s="2" t="n">
        <v>2.89618324745936</v>
      </c>
      <c r="B569" s="2" t="n">
        <v>0</v>
      </c>
      <c r="C569" s="2" t="n">
        <f aca="false">MAX(A569,B569)</f>
        <v>2.89618324745936</v>
      </c>
      <c r="E569" s="2" t="n">
        <v>6.25071046741346</v>
      </c>
    </row>
    <row r="570" customFormat="false" ht="13" hidden="false" customHeight="false" outlineLevel="0" collapsed="false">
      <c r="A570" s="2" t="n">
        <v>4.4286062902911</v>
      </c>
      <c r="B570" s="2" t="n">
        <v>0</v>
      </c>
      <c r="C570" s="2" t="n">
        <f aca="false">MAX(A570,B570)</f>
        <v>4.4286062902911</v>
      </c>
      <c r="E570" s="2" t="n">
        <v>6.24168542917505</v>
      </c>
    </row>
    <row r="571" customFormat="false" ht="13" hidden="false" customHeight="false" outlineLevel="0" collapsed="false">
      <c r="A571" s="2" t="n">
        <v>0</v>
      </c>
      <c r="B571" s="2" t="n">
        <v>21.330001472714</v>
      </c>
      <c r="C571" s="2" t="n">
        <f aca="false">MAX(A571,B571)</f>
        <v>21.330001472714</v>
      </c>
      <c r="E571" s="2" t="n">
        <v>6.20177556234364</v>
      </c>
    </row>
    <row r="572" customFormat="false" ht="13" hidden="false" customHeight="false" outlineLevel="0" collapsed="false">
      <c r="A572" s="2" t="n">
        <v>5.50783398452563</v>
      </c>
      <c r="B572" s="2" t="n">
        <v>0</v>
      </c>
      <c r="C572" s="2" t="n">
        <f aca="false">MAX(A572,B572)</f>
        <v>5.50783398452563</v>
      </c>
      <c r="E572" s="2" t="n">
        <v>6.17132957041827</v>
      </c>
    </row>
    <row r="573" customFormat="false" ht="13" hidden="false" customHeight="false" outlineLevel="0" collapsed="false">
      <c r="A573" s="2" t="n">
        <v>5.28951731565383</v>
      </c>
      <c r="B573" s="2" t="n">
        <v>0</v>
      </c>
      <c r="C573" s="2" t="n">
        <f aca="false">MAX(A573,B573)</f>
        <v>5.28951731565383</v>
      </c>
      <c r="E573" s="2" t="n">
        <v>6.16154418473201</v>
      </c>
    </row>
    <row r="574" customFormat="false" ht="13" hidden="false" customHeight="false" outlineLevel="0" collapsed="false">
      <c r="A574" s="2" t="n">
        <v>0</v>
      </c>
      <c r="B574" s="2" t="n">
        <v>19.4142108539824</v>
      </c>
      <c r="C574" s="2" t="n">
        <f aca="false">MAX(A574,B574)</f>
        <v>19.4142108539824</v>
      </c>
      <c r="E574" s="2" t="n">
        <v>6.14354311937018</v>
      </c>
    </row>
    <row r="575" customFormat="false" ht="13" hidden="false" customHeight="false" outlineLevel="0" collapsed="false">
      <c r="A575" s="2" t="n">
        <v>5.60120127618552</v>
      </c>
      <c r="B575" s="2" t="n">
        <v>0</v>
      </c>
      <c r="C575" s="2" t="n">
        <f aca="false">MAX(A575,B575)</f>
        <v>5.60120127618552</v>
      </c>
      <c r="E575" s="2" t="n">
        <v>6.12910863716661</v>
      </c>
    </row>
    <row r="576" customFormat="false" ht="13" hidden="false" customHeight="false" outlineLevel="0" collapsed="false">
      <c r="A576" s="2" t="n">
        <v>0</v>
      </c>
      <c r="B576" s="2" t="n">
        <v>18.9764466877874</v>
      </c>
      <c r="C576" s="2" t="n">
        <f aca="false">MAX(A576,B576)</f>
        <v>18.9764466877874</v>
      </c>
      <c r="E576" s="2" t="n">
        <v>6.12784678229468</v>
      </c>
    </row>
    <row r="577" customFormat="false" ht="13" hidden="false" customHeight="false" outlineLevel="0" collapsed="false">
      <c r="A577" s="2" t="n">
        <v>5.76510771259405</v>
      </c>
      <c r="B577" s="2" t="n">
        <v>0</v>
      </c>
      <c r="C577" s="2" t="n">
        <f aca="false">MAX(A577,B577)</f>
        <v>5.76510771259405</v>
      </c>
      <c r="E577" s="2" t="n">
        <v>6.12316752871607</v>
      </c>
    </row>
    <row r="578" customFormat="false" ht="13" hidden="false" customHeight="false" outlineLevel="0" collapsed="false">
      <c r="A578" s="2" t="n">
        <v>0</v>
      </c>
      <c r="B578" s="2" t="n">
        <v>19.8543207423219</v>
      </c>
      <c r="C578" s="2" t="n">
        <f aca="false">MAX(A578,B578)</f>
        <v>19.8543207423219</v>
      </c>
      <c r="E578" s="2" t="n">
        <v>6.11797609958222</v>
      </c>
    </row>
    <row r="579" customFormat="false" ht="13" hidden="false" customHeight="false" outlineLevel="0" collapsed="false">
      <c r="A579" s="2" t="n">
        <v>5.89920643093922</v>
      </c>
      <c r="B579" s="2" t="n">
        <v>0</v>
      </c>
      <c r="C579" s="2" t="n">
        <f aca="false">MAX(A579,B579)</f>
        <v>5.89920643093922</v>
      </c>
      <c r="E579" s="2" t="n">
        <v>6.08639220872217</v>
      </c>
    </row>
    <row r="580" customFormat="false" ht="13" hidden="false" customHeight="false" outlineLevel="0" collapsed="false">
      <c r="A580" s="2" t="n">
        <v>0</v>
      </c>
      <c r="B580" s="2" t="n">
        <v>20.4266526475906</v>
      </c>
      <c r="C580" s="2" t="n">
        <f aca="false">MAX(A580,B580)</f>
        <v>20.4266526475906</v>
      </c>
      <c r="E580" s="2" t="n">
        <v>6.0832439975961</v>
      </c>
    </row>
    <row r="581" customFormat="false" ht="13" hidden="false" customHeight="false" outlineLevel="0" collapsed="false">
      <c r="A581" s="2" t="n">
        <v>6.00126005781533</v>
      </c>
      <c r="B581" s="2" t="n">
        <v>0</v>
      </c>
      <c r="C581" s="2" t="n">
        <f aca="false">MAX(A581,B581)</f>
        <v>6.00126005781533</v>
      </c>
      <c r="E581" s="2" t="n">
        <v>6.06185455412827</v>
      </c>
    </row>
    <row r="582" customFormat="false" ht="13" hidden="false" customHeight="false" outlineLevel="0" collapsed="false">
      <c r="A582" s="2" t="n">
        <v>0</v>
      </c>
      <c r="B582" s="2" t="n">
        <v>21.0840839972997</v>
      </c>
      <c r="C582" s="2" t="n">
        <f aca="false">MAX(A582,B582)</f>
        <v>21.0840839972997</v>
      </c>
      <c r="E582" s="2" t="n">
        <v>6.00126005781533</v>
      </c>
    </row>
    <row r="583" customFormat="false" ht="13" hidden="false" customHeight="false" outlineLevel="0" collapsed="false">
      <c r="A583" s="2" t="n">
        <v>0</v>
      </c>
      <c r="B583" s="2" t="n">
        <v>21.4214813142028</v>
      </c>
      <c r="C583" s="2" t="n">
        <f aca="false">MAX(A583,B583)</f>
        <v>21.4214813142028</v>
      </c>
      <c r="E583" s="2" t="n">
        <v>5.97253275083671</v>
      </c>
    </row>
    <row r="584" customFormat="false" ht="13" hidden="false" customHeight="false" outlineLevel="0" collapsed="false">
      <c r="A584" s="2" t="n">
        <v>6.12784678229468</v>
      </c>
      <c r="B584" s="2" t="n">
        <v>0</v>
      </c>
      <c r="C584" s="2" t="n">
        <f aca="false">MAX(A584,B584)</f>
        <v>6.12784678229468</v>
      </c>
      <c r="E584" s="2" t="n">
        <v>5.97016395381434</v>
      </c>
    </row>
    <row r="585" customFormat="false" ht="13" hidden="false" customHeight="false" outlineLevel="0" collapsed="false">
      <c r="A585" s="2" t="n">
        <v>7.94499650750629</v>
      </c>
      <c r="B585" s="2" t="n">
        <v>0</v>
      </c>
      <c r="C585" s="2" t="n">
        <f aca="false">MAX(A585,B585)</f>
        <v>7.94499650750629</v>
      </c>
      <c r="E585" s="2" t="n">
        <v>5.96809575997861</v>
      </c>
    </row>
    <row r="586" customFormat="false" ht="13" hidden="false" customHeight="false" outlineLevel="0" collapsed="false">
      <c r="A586" s="2" t="n">
        <v>0</v>
      </c>
      <c r="B586" s="2" t="n">
        <v>21.3089934605115</v>
      </c>
      <c r="C586" s="2" t="n">
        <f aca="false">MAX(A586,B586)</f>
        <v>21.3089934605115</v>
      </c>
      <c r="E586" s="2" t="n">
        <v>5.96654914038787</v>
      </c>
    </row>
    <row r="587" customFormat="false" ht="13" hidden="false" customHeight="false" outlineLevel="0" collapsed="false">
      <c r="A587" s="2" t="n">
        <v>7.65873150724929</v>
      </c>
      <c r="B587" s="2" t="n">
        <v>0</v>
      </c>
      <c r="C587" s="2" t="n">
        <f aca="false">MAX(A587,B587)</f>
        <v>7.65873150724929</v>
      </c>
      <c r="E587" s="2" t="n">
        <v>5.96463415822448</v>
      </c>
    </row>
    <row r="588" customFormat="false" ht="13" hidden="false" customHeight="false" outlineLevel="0" collapsed="false">
      <c r="A588" s="2" t="n">
        <v>8.42170051967173</v>
      </c>
      <c r="B588" s="2" t="n">
        <v>0</v>
      </c>
      <c r="C588" s="2" t="n">
        <f aca="false">MAX(A588,B588)</f>
        <v>8.42170051967173</v>
      </c>
      <c r="E588" s="2" t="n">
        <v>5.96203659094456</v>
      </c>
    </row>
    <row r="589" customFormat="false" ht="13" hidden="false" customHeight="false" outlineLevel="0" collapsed="false">
      <c r="A589" s="2" t="n">
        <v>6.86270505205619</v>
      </c>
      <c r="B589" s="2" t="n">
        <v>0</v>
      </c>
      <c r="C589" s="2" t="n">
        <f aca="false">MAX(A589,B589)</f>
        <v>6.86270505205619</v>
      </c>
      <c r="E589" s="2" t="n">
        <v>5.94805174790395</v>
      </c>
    </row>
    <row r="590" customFormat="false" ht="13" hidden="false" customHeight="false" outlineLevel="0" collapsed="false">
      <c r="A590" s="2" t="n">
        <v>0</v>
      </c>
      <c r="B590" s="2" t="n">
        <v>15.7511369707123</v>
      </c>
      <c r="C590" s="2" t="n">
        <f aca="false">MAX(A590,B590)</f>
        <v>15.7511369707123</v>
      </c>
      <c r="E590" s="2" t="n">
        <v>5.94226765532471</v>
      </c>
    </row>
    <row r="591" customFormat="false" ht="13" hidden="false" customHeight="false" outlineLevel="0" collapsed="false">
      <c r="A591" s="2" t="n">
        <v>5.3595057593534</v>
      </c>
      <c r="B591" s="2" t="n">
        <v>0</v>
      </c>
      <c r="C591" s="2" t="n">
        <f aca="false">MAX(A591,B591)</f>
        <v>5.3595057593534</v>
      </c>
      <c r="E591" s="2" t="n">
        <v>5.9418310797771</v>
      </c>
    </row>
    <row r="592" customFormat="false" ht="13" hidden="false" customHeight="false" outlineLevel="0" collapsed="false">
      <c r="A592" s="2" t="n">
        <v>6.95590062054487</v>
      </c>
      <c r="B592" s="2" t="n">
        <v>0</v>
      </c>
      <c r="C592" s="2" t="n">
        <f aca="false">MAX(A592,B592)</f>
        <v>6.95590062054487</v>
      </c>
      <c r="E592" s="2" t="n">
        <v>5.94179856548689</v>
      </c>
    </row>
    <row r="593" customFormat="false" ht="13" hidden="false" customHeight="false" outlineLevel="0" collapsed="false">
      <c r="A593" s="2" t="n">
        <v>5.74504311795226</v>
      </c>
      <c r="B593" s="2" t="n">
        <v>0</v>
      </c>
      <c r="C593" s="2" t="n">
        <f aca="false">MAX(A593,B593)</f>
        <v>5.74504311795226</v>
      </c>
      <c r="E593" s="2" t="n">
        <v>5.93195280681823</v>
      </c>
    </row>
    <row r="594" customFormat="false" ht="13" hidden="false" customHeight="false" outlineLevel="0" collapsed="false">
      <c r="A594" s="2" t="n">
        <v>7.16554039457446</v>
      </c>
      <c r="B594" s="2" t="n">
        <v>0</v>
      </c>
      <c r="C594" s="2" t="n">
        <f aca="false">MAX(A594,B594)</f>
        <v>7.16554039457446</v>
      </c>
      <c r="E594" s="2" t="n">
        <v>5.92219332472578</v>
      </c>
    </row>
    <row r="595" customFormat="false" ht="13" hidden="false" customHeight="false" outlineLevel="0" collapsed="false">
      <c r="A595" s="2" t="n">
        <v>0</v>
      </c>
      <c r="B595" s="2" t="n">
        <v>12.2098172899558</v>
      </c>
      <c r="C595" s="2" t="n">
        <f aca="false">MAX(A595,B595)</f>
        <v>12.2098172899558</v>
      </c>
      <c r="E595" s="2" t="n">
        <v>5.91516669099815</v>
      </c>
    </row>
    <row r="596" customFormat="false" ht="13" hidden="false" customHeight="false" outlineLevel="0" collapsed="false">
      <c r="A596" s="2" t="n">
        <v>6.20177556234364</v>
      </c>
      <c r="B596" s="2" t="n">
        <v>0</v>
      </c>
      <c r="C596" s="2" t="n">
        <f aca="false">MAX(A596,B596)</f>
        <v>6.20177556234364</v>
      </c>
      <c r="E596" s="2" t="n">
        <v>5.90502021520956</v>
      </c>
    </row>
    <row r="597" customFormat="false" ht="13" hidden="false" customHeight="false" outlineLevel="0" collapsed="false">
      <c r="A597" s="2" t="n">
        <v>8.2443189996726</v>
      </c>
      <c r="B597" s="2" t="n">
        <v>0</v>
      </c>
      <c r="C597" s="2" t="n">
        <f aca="false">MAX(A597,B597)</f>
        <v>8.2443189996726</v>
      </c>
      <c r="E597" s="2" t="n">
        <v>5.89920643093922</v>
      </c>
    </row>
    <row r="598" customFormat="false" ht="13" hidden="false" customHeight="false" outlineLevel="0" collapsed="false">
      <c r="A598" s="2" t="n">
        <v>0</v>
      </c>
      <c r="B598" s="2" t="n">
        <v>10.3810030724527</v>
      </c>
      <c r="C598" s="2" t="n">
        <f aca="false">MAX(A598,B598)</f>
        <v>10.3810030724527</v>
      </c>
      <c r="E598" s="2" t="n">
        <v>5.88305169446148</v>
      </c>
    </row>
    <row r="599" customFormat="false" ht="13" hidden="false" customHeight="false" outlineLevel="0" collapsed="false">
      <c r="A599" s="2" t="n">
        <v>0</v>
      </c>
      <c r="B599" s="2" t="n">
        <v>9.1344988116972</v>
      </c>
      <c r="C599" s="2" t="n">
        <f aca="false">MAX(A599,B599)</f>
        <v>9.1344988116972</v>
      </c>
      <c r="E599" s="2" t="n">
        <v>5.85247373643854</v>
      </c>
    </row>
    <row r="600" customFormat="false" ht="13" hidden="false" customHeight="false" outlineLevel="0" collapsed="false">
      <c r="A600" s="2" t="n">
        <v>0</v>
      </c>
      <c r="B600" s="2" t="n">
        <v>8.70905857850562</v>
      </c>
      <c r="C600" s="2" t="n">
        <f aca="false">MAX(A600,B600)</f>
        <v>8.70905857850562</v>
      </c>
      <c r="E600" s="2" t="n">
        <v>5.84935291061228</v>
      </c>
    </row>
    <row r="601" customFormat="false" ht="13" hidden="false" customHeight="false" outlineLevel="0" collapsed="false">
      <c r="A601" s="2" t="n">
        <v>2.53904885043778</v>
      </c>
      <c r="B601" s="2" t="n">
        <v>0</v>
      </c>
      <c r="C601" s="2" t="n">
        <f aca="false">MAX(A601,B601)</f>
        <v>2.53904885043778</v>
      </c>
      <c r="E601" s="2" t="n">
        <v>5.84178062057461</v>
      </c>
    </row>
    <row r="602" customFormat="false" ht="13" hidden="false" customHeight="false" outlineLevel="0" collapsed="false">
      <c r="A602" s="2" t="n">
        <v>0</v>
      </c>
      <c r="B602" s="2" t="n">
        <v>9.18044271158578</v>
      </c>
      <c r="C602" s="2" t="n">
        <f aca="false">MAX(A602,B602)</f>
        <v>9.18044271158578</v>
      </c>
      <c r="E602" s="2" t="n">
        <v>5.80944922443211</v>
      </c>
    </row>
    <row r="603" customFormat="false" ht="13" hidden="false" customHeight="false" outlineLevel="0" collapsed="false">
      <c r="A603" s="2" t="n">
        <v>0</v>
      </c>
      <c r="B603" s="2" t="n">
        <v>8.6958712094854</v>
      </c>
      <c r="C603" s="2" t="n">
        <f aca="false">MAX(A603,B603)</f>
        <v>8.6958712094854</v>
      </c>
      <c r="E603" s="2" t="n">
        <v>5.80619667972974</v>
      </c>
    </row>
    <row r="604" customFormat="false" ht="13" hidden="false" customHeight="false" outlineLevel="0" collapsed="false">
      <c r="A604" s="2" t="n">
        <v>1.86419003378023</v>
      </c>
      <c r="B604" s="2" t="n">
        <v>0</v>
      </c>
      <c r="C604" s="2" t="n">
        <f aca="false">MAX(A604,B604)</f>
        <v>1.86419003378023</v>
      </c>
      <c r="E604" s="2" t="n">
        <v>5.79045315383831</v>
      </c>
    </row>
    <row r="605" customFormat="false" ht="13" hidden="false" customHeight="false" outlineLevel="0" collapsed="false">
      <c r="A605" s="2" t="n">
        <v>3.42241038323027</v>
      </c>
      <c r="B605" s="2" t="n">
        <v>0</v>
      </c>
      <c r="C605" s="2" t="n">
        <f aca="false">MAX(A605,B605)</f>
        <v>3.42241038323027</v>
      </c>
      <c r="E605" s="2" t="n">
        <v>5.77665872716521</v>
      </c>
    </row>
    <row r="606" customFormat="false" ht="13" hidden="false" customHeight="false" outlineLevel="0" collapsed="false">
      <c r="A606" s="2" t="n">
        <v>0</v>
      </c>
      <c r="B606" s="2" t="n">
        <v>6.79224854853931</v>
      </c>
      <c r="C606" s="2" t="n">
        <f aca="false">MAX(A606,B606)</f>
        <v>6.79224854853931</v>
      </c>
      <c r="E606" s="2" t="n">
        <v>5.76510771259405</v>
      </c>
    </row>
    <row r="607" customFormat="false" ht="13" hidden="false" customHeight="false" outlineLevel="0" collapsed="false">
      <c r="A607" s="2" t="n">
        <v>1.89685938203775</v>
      </c>
      <c r="B607" s="2" t="n">
        <v>0</v>
      </c>
      <c r="C607" s="2" t="n">
        <f aca="false">MAX(A607,B607)</f>
        <v>1.89685938203775</v>
      </c>
      <c r="E607" s="2" t="n">
        <v>5.76458286290279</v>
      </c>
    </row>
    <row r="608" customFormat="false" ht="13" hidden="false" customHeight="false" outlineLevel="0" collapsed="false">
      <c r="A608" s="2" t="n">
        <v>0</v>
      </c>
      <c r="B608" s="2" t="n">
        <v>6.58580972067784</v>
      </c>
      <c r="C608" s="2" t="n">
        <f aca="false">MAX(A608,B608)</f>
        <v>6.58580972067784</v>
      </c>
      <c r="E608" s="2" t="n">
        <v>5.76040635799706</v>
      </c>
    </row>
    <row r="609" customFormat="false" ht="13" hidden="false" customHeight="false" outlineLevel="0" collapsed="false">
      <c r="A609" s="2" t="n">
        <v>2.22652925113016</v>
      </c>
      <c r="B609" s="2" t="n">
        <v>0</v>
      </c>
      <c r="C609" s="2" t="n">
        <f aca="false">MAX(A609,B609)</f>
        <v>2.22652925113016</v>
      </c>
      <c r="E609" s="2" t="n">
        <v>5.74697519784479</v>
      </c>
    </row>
    <row r="610" customFormat="false" ht="13" hidden="false" customHeight="false" outlineLevel="0" collapsed="false">
      <c r="A610" s="2" t="n">
        <v>0</v>
      </c>
      <c r="B610" s="2" t="n">
        <v>6.36177462934552</v>
      </c>
      <c r="C610" s="2" t="n">
        <f aca="false">MAX(A610,B610)</f>
        <v>6.36177462934552</v>
      </c>
      <c r="E610" s="2" t="n">
        <v>5.74504311795226</v>
      </c>
    </row>
    <row r="611" customFormat="false" ht="13" hidden="false" customHeight="false" outlineLevel="0" collapsed="false">
      <c r="A611" s="2" t="n">
        <v>0</v>
      </c>
      <c r="B611" s="2" t="n">
        <v>8.16569512438707</v>
      </c>
      <c r="C611" s="2" t="n">
        <f aca="false">MAX(A611,B611)</f>
        <v>8.16569512438707</v>
      </c>
      <c r="E611" s="2" t="n">
        <v>5.74244780067667</v>
      </c>
    </row>
    <row r="612" customFormat="false" ht="13" hidden="false" customHeight="false" outlineLevel="0" collapsed="false">
      <c r="A612" s="2" t="n">
        <v>0</v>
      </c>
      <c r="B612" s="2" t="n">
        <v>7.34265911077569</v>
      </c>
      <c r="C612" s="2" t="n">
        <f aca="false">MAX(A612,B612)</f>
        <v>7.34265911077569</v>
      </c>
      <c r="E612" s="2" t="n">
        <v>5.74064902988602</v>
      </c>
    </row>
    <row r="613" customFormat="false" ht="13" hidden="false" customHeight="false" outlineLevel="0" collapsed="false">
      <c r="A613" s="2" t="n">
        <v>2.21443637922448</v>
      </c>
      <c r="B613" s="2" t="n">
        <v>0</v>
      </c>
      <c r="C613" s="2" t="n">
        <f aca="false">MAX(A613,B613)</f>
        <v>2.21443637922448</v>
      </c>
      <c r="E613" s="2" t="n">
        <v>5.73155676026033</v>
      </c>
    </row>
    <row r="614" customFormat="false" ht="13" hidden="false" customHeight="false" outlineLevel="0" collapsed="false">
      <c r="A614" s="2" t="n">
        <v>2.76518732914792</v>
      </c>
      <c r="B614" s="2" t="n">
        <v>0</v>
      </c>
      <c r="C614" s="2" t="n">
        <f aca="false">MAX(A614,B614)</f>
        <v>2.76518732914792</v>
      </c>
      <c r="E614" s="2" t="n">
        <v>5.70417229932252</v>
      </c>
    </row>
    <row r="615" customFormat="false" ht="13" hidden="false" customHeight="false" outlineLevel="0" collapsed="false">
      <c r="A615" s="2" t="n">
        <v>0</v>
      </c>
      <c r="B615" s="2" t="n">
        <v>7.25402009734421</v>
      </c>
      <c r="C615" s="2" t="n">
        <f aca="false">MAX(A615,B615)</f>
        <v>7.25402009734421</v>
      </c>
      <c r="E615" s="2" t="n">
        <v>5.69254585215845</v>
      </c>
    </row>
    <row r="616" customFormat="false" ht="13" hidden="false" customHeight="false" outlineLevel="0" collapsed="false">
      <c r="A616" s="2" t="n">
        <v>0</v>
      </c>
      <c r="B616" s="2" t="n">
        <v>8.11053468150635</v>
      </c>
      <c r="C616" s="2" t="n">
        <f aca="false">MAX(A616,B616)</f>
        <v>8.11053468150635</v>
      </c>
      <c r="E616" s="2" t="n">
        <v>5.68347290541459</v>
      </c>
    </row>
    <row r="617" customFormat="false" ht="13" hidden="false" customHeight="false" outlineLevel="0" collapsed="false">
      <c r="A617" s="2" t="n">
        <v>0</v>
      </c>
      <c r="B617" s="2" t="n">
        <v>8.9576431261363</v>
      </c>
      <c r="C617" s="2" t="n">
        <f aca="false">MAX(A617,B617)</f>
        <v>8.9576431261363</v>
      </c>
      <c r="E617" s="2" t="n">
        <v>5.65829520955791</v>
      </c>
    </row>
    <row r="618" customFormat="false" ht="13" hidden="false" customHeight="false" outlineLevel="0" collapsed="false">
      <c r="A618" s="2" t="n">
        <v>0</v>
      </c>
      <c r="B618" s="2" t="n">
        <v>9.57206806665715</v>
      </c>
      <c r="C618" s="2" t="n">
        <f aca="false">MAX(A618,B618)</f>
        <v>9.57206806665715</v>
      </c>
      <c r="E618" s="2" t="n">
        <v>5.654656855638</v>
      </c>
    </row>
    <row r="619" customFormat="false" ht="13" hidden="false" customHeight="false" outlineLevel="0" collapsed="false">
      <c r="A619" s="2" t="n">
        <v>1.76774813417933</v>
      </c>
      <c r="B619" s="2" t="n">
        <v>0</v>
      </c>
      <c r="C619" s="2" t="n">
        <f aca="false">MAX(A619,B619)</f>
        <v>1.76774813417933</v>
      </c>
      <c r="E619" s="2" t="n">
        <v>5.62481359988661</v>
      </c>
    </row>
    <row r="620" customFormat="false" ht="13" hidden="false" customHeight="false" outlineLevel="0" collapsed="false">
      <c r="A620" s="2" t="n">
        <v>3.86335000402903</v>
      </c>
      <c r="B620" s="2" t="n">
        <v>0</v>
      </c>
      <c r="C620" s="2" t="n">
        <f aca="false">MAX(A620,B620)</f>
        <v>3.86335000402903</v>
      </c>
      <c r="E620" s="2" t="n">
        <v>5.61141865881731</v>
      </c>
    </row>
    <row r="621" customFormat="false" ht="13" hidden="false" customHeight="false" outlineLevel="0" collapsed="false">
      <c r="A621" s="2" t="n">
        <v>3.32694455459318</v>
      </c>
      <c r="B621" s="2" t="n">
        <v>0</v>
      </c>
      <c r="C621" s="2" t="n">
        <f aca="false">MAX(A621,B621)</f>
        <v>3.32694455459318</v>
      </c>
      <c r="E621" s="2" t="n">
        <v>5.60767409260507</v>
      </c>
    </row>
    <row r="622" customFormat="false" ht="13" hidden="false" customHeight="false" outlineLevel="0" collapsed="false">
      <c r="A622" s="2" t="n">
        <v>4.52980464645111</v>
      </c>
      <c r="B622" s="2" t="n">
        <v>0</v>
      </c>
      <c r="C622" s="2" t="n">
        <f aca="false">MAX(A622,B622)</f>
        <v>4.52980464645111</v>
      </c>
      <c r="E622" s="2" t="n">
        <v>5.60120127618552</v>
      </c>
    </row>
    <row r="623" customFormat="false" ht="13" hidden="false" customHeight="false" outlineLevel="0" collapsed="false">
      <c r="A623" s="2" t="n">
        <v>6.39092974960317</v>
      </c>
      <c r="B623" s="2" t="n">
        <v>0</v>
      </c>
      <c r="C623" s="2" t="n">
        <f aca="false">MAX(A623,B623)</f>
        <v>6.39092974960317</v>
      </c>
      <c r="E623" s="2" t="n">
        <v>5.59754533206845</v>
      </c>
    </row>
    <row r="624" customFormat="false" ht="13" hidden="false" customHeight="false" outlineLevel="0" collapsed="false">
      <c r="A624" s="2" t="n">
        <v>6.17132957041827</v>
      </c>
      <c r="B624" s="2" t="n">
        <v>0</v>
      </c>
      <c r="C624" s="2" t="n">
        <f aca="false">MAX(A624,B624)</f>
        <v>6.17132957041827</v>
      </c>
      <c r="E624" s="2" t="n">
        <v>5.57607372585423</v>
      </c>
    </row>
    <row r="625" customFormat="false" ht="13" hidden="false" customHeight="false" outlineLevel="0" collapsed="false">
      <c r="A625" s="2" t="n">
        <v>7.40517048882794</v>
      </c>
      <c r="B625" s="2" t="n">
        <v>0</v>
      </c>
      <c r="C625" s="2" t="n">
        <f aca="false">MAX(A625,B625)</f>
        <v>7.40517048882794</v>
      </c>
      <c r="E625" s="2" t="n">
        <v>5.56622564507484</v>
      </c>
    </row>
    <row r="626" customFormat="false" ht="13" hidden="false" customHeight="false" outlineLevel="0" collapsed="false">
      <c r="A626" s="2" t="n">
        <v>8.22899234646809</v>
      </c>
      <c r="B626" s="2" t="n">
        <v>0</v>
      </c>
      <c r="C626" s="2" t="n">
        <f aca="false">MAX(A626,B626)</f>
        <v>8.22899234646809</v>
      </c>
      <c r="E626" s="2" t="n">
        <v>5.53412184574682</v>
      </c>
    </row>
    <row r="627" customFormat="false" ht="13" hidden="false" customHeight="false" outlineLevel="0" collapsed="false">
      <c r="A627" s="2" t="n">
        <v>0</v>
      </c>
      <c r="B627" s="2" t="n">
        <v>2.19701017541502</v>
      </c>
      <c r="C627" s="2" t="n">
        <f aca="false">MAX(A627,B627)</f>
        <v>2.19701017541502</v>
      </c>
      <c r="E627" s="2" t="n">
        <v>5.53263495849211</v>
      </c>
    </row>
    <row r="628" customFormat="false" ht="13" hidden="false" customHeight="false" outlineLevel="0" collapsed="false">
      <c r="A628" s="2" t="n">
        <v>0</v>
      </c>
      <c r="B628" s="2" t="n">
        <v>3.62544590558798</v>
      </c>
      <c r="C628" s="2" t="n">
        <f aca="false">MAX(A628,B628)</f>
        <v>3.62544590558798</v>
      </c>
      <c r="E628" s="2" t="n">
        <v>5.52308506455489</v>
      </c>
    </row>
    <row r="629" customFormat="false" ht="13" hidden="false" customHeight="false" outlineLevel="0" collapsed="false">
      <c r="A629" s="2" t="n">
        <v>7.85897130009084</v>
      </c>
      <c r="B629" s="2" t="n">
        <v>0</v>
      </c>
      <c r="C629" s="2" t="n">
        <f aca="false">MAX(A629,B629)</f>
        <v>7.85897130009084</v>
      </c>
      <c r="E629" s="2" t="n">
        <v>5.51055660511085</v>
      </c>
    </row>
    <row r="630" customFormat="false" ht="13" hidden="false" customHeight="false" outlineLevel="0" collapsed="false">
      <c r="A630" s="2" t="n">
        <v>6.67293531823248</v>
      </c>
      <c r="B630" s="2" t="n">
        <v>0</v>
      </c>
      <c r="C630" s="2" t="n">
        <f aca="false">MAX(A630,B630)</f>
        <v>6.67293531823248</v>
      </c>
      <c r="E630" s="2" t="n">
        <v>5.50813330527012</v>
      </c>
    </row>
    <row r="631" customFormat="false" ht="13" hidden="false" customHeight="false" outlineLevel="0" collapsed="false">
      <c r="A631" s="2" t="n">
        <v>0</v>
      </c>
      <c r="B631" s="2" t="n">
        <v>1.84025407500712</v>
      </c>
      <c r="C631" s="2" t="n">
        <f aca="false">MAX(A631,B631)</f>
        <v>1.84025407500712</v>
      </c>
      <c r="E631" s="2" t="n">
        <v>5.50783398452563</v>
      </c>
    </row>
    <row r="632" customFormat="false" ht="13" hidden="false" customHeight="false" outlineLevel="0" collapsed="false">
      <c r="A632" s="2" t="n">
        <v>0</v>
      </c>
      <c r="B632" s="2" t="n">
        <v>1.83796550161833</v>
      </c>
      <c r="C632" s="2" t="n">
        <f aca="false">MAX(A632,B632)</f>
        <v>1.83796550161833</v>
      </c>
      <c r="E632" s="2" t="n">
        <v>5.44741065045463</v>
      </c>
    </row>
    <row r="633" customFormat="false" ht="13" hidden="false" customHeight="false" outlineLevel="0" collapsed="false">
      <c r="A633" s="2" t="n">
        <v>0</v>
      </c>
      <c r="B633" s="2" t="n">
        <v>2.8495636086144</v>
      </c>
      <c r="C633" s="2" t="n">
        <f aca="false">MAX(A633,B633)</f>
        <v>2.8495636086144</v>
      </c>
      <c r="E633" s="2" t="n">
        <v>5.43860052606459</v>
      </c>
    </row>
    <row r="634" customFormat="false" ht="13" hidden="false" customHeight="false" outlineLevel="0" collapsed="false">
      <c r="A634" s="2" t="n">
        <v>0</v>
      </c>
      <c r="B634" s="2" t="n">
        <v>3.01218398597428</v>
      </c>
      <c r="C634" s="2" t="n">
        <f aca="false">MAX(A634,B634)</f>
        <v>3.01218398597428</v>
      </c>
      <c r="E634" s="2" t="n">
        <v>5.43455474544609</v>
      </c>
    </row>
    <row r="635" customFormat="false" ht="13" hidden="false" customHeight="false" outlineLevel="0" collapsed="false">
      <c r="A635" s="2" t="n">
        <v>2.15609985387982</v>
      </c>
      <c r="B635" s="2" t="n">
        <v>0</v>
      </c>
      <c r="C635" s="2" t="n">
        <f aca="false">MAX(A635,B635)</f>
        <v>2.15609985387982</v>
      </c>
      <c r="E635" s="2" t="n">
        <v>5.42246580820827</v>
      </c>
    </row>
    <row r="636" customFormat="false" ht="13" hidden="false" customHeight="false" outlineLevel="0" collapsed="false">
      <c r="A636" s="2" t="n">
        <v>3.72859823119961</v>
      </c>
      <c r="B636" s="2" t="n">
        <v>0</v>
      </c>
      <c r="C636" s="2" t="n">
        <f aca="false">MAX(A636,B636)</f>
        <v>3.72859823119961</v>
      </c>
      <c r="E636" s="2" t="n">
        <v>5.40645180103252</v>
      </c>
    </row>
    <row r="637" customFormat="false" ht="13" hidden="false" customHeight="false" outlineLevel="0" collapsed="false">
      <c r="A637" s="2" t="n">
        <v>0</v>
      </c>
      <c r="B637" s="2" t="n">
        <v>4.01454846513525</v>
      </c>
      <c r="C637" s="2" t="n">
        <f aca="false">MAX(A637,B637)</f>
        <v>4.01454846513525</v>
      </c>
      <c r="E637" s="2" t="n">
        <v>5.40640459421343</v>
      </c>
    </row>
    <row r="638" customFormat="false" ht="13" hidden="false" customHeight="false" outlineLevel="0" collapsed="false">
      <c r="A638" s="2" t="n">
        <v>0</v>
      </c>
      <c r="B638" s="2" t="n">
        <v>6.12910863716661</v>
      </c>
      <c r="C638" s="2" t="n">
        <f aca="false">MAX(A638,B638)</f>
        <v>6.12910863716661</v>
      </c>
      <c r="E638" s="2" t="n">
        <v>5.37484927145511</v>
      </c>
    </row>
    <row r="639" customFormat="false" ht="13" hidden="false" customHeight="false" outlineLevel="0" collapsed="false">
      <c r="A639" s="2" t="n">
        <v>0</v>
      </c>
      <c r="B639" s="2" t="n">
        <v>7.00931252767464</v>
      </c>
      <c r="C639" s="2" t="n">
        <f aca="false">MAX(A639,B639)</f>
        <v>7.00931252767464</v>
      </c>
      <c r="E639" s="2" t="n">
        <v>5.36895574579805</v>
      </c>
    </row>
    <row r="640" customFormat="false" ht="13" hidden="false" customHeight="false" outlineLevel="0" collapsed="false">
      <c r="A640" s="2" t="n">
        <v>0</v>
      </c>
      <c r="B640" s="2" t="n">
        <v>9.16875387593188</v>
      </c>
      <c r="C640" s="2" t="n">
        <f aca="false">MAX(A640,B640)</f>
        <v>9.16875387593188</v>
      </c>
      <c r="E640" s="2" t="n">
        <v>5.36692194693683</v>
      </c>
    </row>
    <row r="641" customFormat="false" ht="13" hidden="false" customHeight="false" outlineLevel="0" collapsed="false">
      <c r="A641" s="2" t="n">
        <v>0</v>
      </c>
      <c r="B641" s="2" t="n">
        <v>11.2144403347621</v>
      </c>
      <c r="C641" s="2" t="n">
        <f aca="false">MAX(A641,B641)</f>
        <v>11.2144403347621</v>
      </c>
      <c r="E641" s="2" t="n">
        <v>5.3595057593534</v>
      </c>
    </row>
    <row r="642" customFormat="false" ht="13" hidden="false" customHeight="false" outlineLevel="0" collapsed="false">
      <c r="A642" s="2" t="n">
        <v>3.81849225675182</v>
      </c>
      <c r="B642" s="2" t="n">
        <v>0</v>
      </c>
      <c r="C642" s="2" t="n">
        <f aca="false">MAX(A642,B642)</f>
        <v>3.81849225675182</v>
      </c>
      <c r="E642" s="2" t="n">
        <v>5.33669480918275</v>
      </c>
    </row>
    <row r="643" customFormat="false" ht="13" hidden="false" customHeight="false" outlineLevel="0" collapsed="false">
      <c r="A643" s="2" t="n">
        <v>0</v>
      </c>
      <c r="B643" s="2" t="n">
        <v>13.1462001710554</v>
      </c>
      <c r="C643" s="2" t="n">
        <f aca="false">MAX(A643,B643)</f>
        <v>13.1462001710554</v>
      </c>
      <c r="E643" s="2" t="n">
        <v>5.31178270201116</v>
      </c>
    </row>
    <row r="644" customFormat="false" ht="13" hidden="false" customHeight="false" outlineLevel="0" collapsed="false">
      <c r="A644" s="2" t="n">
        <v>0</v>
      </c>
      <c r="B644" s="2" t="n">
        <v>14.2311469877779</v>
      </c>
      <c r="C644" s="2" t="n">
        <f aca="false">MAX(A644,B644)</f>
        <v>14.2311469877779</v>
      </c>
      <c r="E644" s="2" t="n">
        <v>5.30969876172804</v>
      </c>
    </row>
    <row r="645" customFormat="false" ht="13" hidden="false" customHeight="false" outlineLevel="0" collapsed="false">
      <c r="A645" s="2" t="n">
        <v>3.73000156467992</v>
      </c>
      <c r="B645" s="2" t="n">
        <v>0</v>
      </c>
      <c r="C645" s="2" t="n">
        <f aca="false">MAX(A645,B645)</f>
        <v>3.73000156467992</v>
      </c>
      <c r="E645" s="2" t="n">
        <v>5.28951731565383</v>
      </c>
    </row>
    <row r="646" customFormat="false" ht="13" hidden="false" customHeight="false" outlineLevel="0" collapsed="false">
      <c r="A646" s="2" t="n">
        <v>4.9370858544396</v>
      </c>
      <c r="B646" s="2" t="n">
        <v>0</v>
      </c>
      <c r="C646" s="2" t="n">
        <f aca="false">MAX(A646,B646)</f>
        <v>4.9370858544396</v>
      </c>
      <c r="E646" s="2" t="n">
        <v>5.27238027126235</v>
      </c>
    </row>
    <row r="647" customFormat="false" ht="13" hidden="false" customHeight="false" outlineLevel="0" collapsed="false">
      <c r="A647" s="2" t="n">
        <v>0</v>
      </c>
      <c r="B647" s="2" t="n">
        <v>13.1407505458808</v>
      </c>
      <c r="C647" s="2" t="n">
        <f aca="false">MAX(A647,B647)</f>
        <v>13.1407505458808</v>
      </c>
      <c r="E647" s="2" t="n">
        <v>5.26869749771365</v>
      </c>
    </row>
    <row r="648" customFormat="false" ht="13" hidden="false" customHeight="false" outlineLevel="0" collapsed="false">
      <c r="A648" s="2" t="n">
        <v>0</v>
      </c>
      <c r="B648" s="2" t="n">
        <v>11.4529651790807</v>
      </c>
      <c r="C648" s="2" t="n">
        <f aca="false">MAX(A648,B648)</f>
        <v>11.4529651790807</v>
      </c>
      <c r="E648" s="2" t="n">
        <v>5.25950072851401</v>
      </c>
    </row>
    <row r="649" customFormat="false" ht="13" hidden="false" customHeight="false" outlineLevel="0" collapsed="false">
      <c r="A649" s="2" t="n">
        <v>0</v>
      </c>
      <c r="B649" s="2" t="n">
        <v>13.5357259231945</v>
      </c>
      <c r="C649" s="2" t="n">
        <f aca="false">MAX(A649,B649)</f>
        <v>13.5357259231945</v>
      </c>
      <c r="E649" s="2" t="n">
        <v>5.22832407827292</v>
      </c>
    </row>
    <row r="650" customFormat="false" ht="13" hidden="false" customHeight="false" outlineLevel="0" collapsed="false">
      <c r="A650" s="2" t="n">
        <v>0</v>
      </c>
      <c r="B650" s="2" t="n">
        <v>14.4457688346502</v>
      </c>
      <c r="C650" s="2" t="n">
        <f aca="false">MAX(A650,B650)</f>
        <v>14.4457688346502</v>
      </c>
      <c r="E650" s="2" t="n">
        <v>5.22292559741085</v>
      </c>
    </row>
    <row r="651" customFormat="false" ht="13" hidden="false" customHeight="false" outlineLevel="0" collapsed="false">
      <c r="A651" s="2" t="n">
        <v>0</v>
      </c>
      <c r="B651" s="2" t="n">
        <v>15.5477111820907</v>
      </c>
      <c r="C651" s="2" t="n">
        <f aca="false">MAX(A651,B651)</f>
        <v>15.5477111820907</v>
      </c>
      <c r="E651" s="2" t="n">
        <v>5.21818589001452</v>
      </c>
    </row>
    <row r="652" customFormat="false" ht="13" hidden="false" customHeight="false" outlineLevel="0" collapsed="false">
      <c r="A652" s="2" t="n">
        <v>2.01608541448422</v>
      </c>
      <c r="B652" s="2" t="n">
        <v>0</v>
      </c>
      <c r="C652" s="2" t="n">
        <f aca="false">MAX(A652,B652)</f>
        <v>2.01608541448422</v>
      </c>
      <c r="E652" s="2" t="n">
        <v>5.21666829386404</v>
      </c>
    </row>
    <row r="653" customFormat="false" ht="13" hidden="false" customHeight="false" outlineLevel="0" collapsed="false">
      <c r="A653" s="2" t="n">
        <v>0</v>
      </c>
      <c r="B653" s="2" t="n">
        <v>15.4363023590984</v>
      </c>
      <c r="C653" s="2" t="n">
        <f aca="false">MAX(A653,B653)</f>
        <v>15.4363023590984</v>
      </c>
      <c r="E653" s="2" t="n">
        <v>5.21366695464209</v>
      </c>
    </row>
    <row r="654" customFormat="false" ht="13" hidden="false" customHeight="false" outlineLevel="0" collapsed="false">
      <c r="A654" s="2" t="n">
        <v>0</v>
      </c>
      <c r="B654" s="2" t="n">
        <v>16.4797382659233</v>
      </c>
      <c r="C654" s="2" t="n">
        <f aca="false">MAX(A654,B654)</f>
        <v>16.4797382659233</v>
      </c>
      <c r="E654" s="2" t="n">
        <v>5.2088183639155</v>
      </c>
    </row>
    <row r="655" customFormat="false" ht="13" hidden="false" customHeight="false" outlineLevel="0" collapsed="false">
      <c r="A655" s="2" t="n">
        <v>2.08051914955695</v>
      </c>
      <c r="B655" s="2" t="n">
        <v>0</v>
      </c>
      <c r="C655" s="2" t="n">
        <f aca="false">MAX(A655,B655)</f>
        <v>2.08051914955695</v>
      </c>
      <c r="E655" s="2" t="n">
        <v>5.2034054930632</v>
      </c>
    </row>
    <row r="656" customFormat="false" ht="13" hidden="false" customHeight="false" outlineLevel="0" collapsed="false">
      <c r="A656" s="2" t="n">
        <v>3.86609471458928</v>
      </c>
      <c r="B656" s="2" t="n">
        <v>0</v>
      </c>
      <c r="C656" s="2" t="n">
        <f aca="false">MAX(A656,B656)</f>
        <v>3.86609471458928</v>
      </c>
      <c r="E656" s="2" t="n">
        <v>5.19559868528322</v>
      </c>
    </row>
    <row r="657" customFormat="false" ht="13" hidden="false" customHeight="false" outlineLevel="0" collapsed="false">
      <c r="A657" s="2" t="n">
        <v>0</v>
      </c>
      <c r="B657" s="2" t="n">
        <v>16.2829985421885</v>
      </c>
      <c r="C657" s="2" t="n">
        <f aca="false">MAX(A657,B657)</f>
        <v>16.2829985421885</v>
      </c>
      <c r="E657" s="2" t="n">
        <v>5.18869553355773</v>
      </c>
    </row>
    <row r="658" customFormat="false" ht="13" hidden="false" customHeight="false" outlineLevel="0" collapsed="false">
      <c r="A658" s="2" t="n">
        <v>0</v>
      </c>
      <c r="B658" s="2" t="n">
        <v>16.807926246084</v>
      </c>
      <c r="C658" s="2" t="n">
        <f aca="false">MAX(A658,B658)</f>
        <v>16.807926246084</v>
      </c>
      <c r="E658" s="2" t="n">
        <v>5.17295136737261</v>
      </c>
    </row>
    <row r="659" customFormat="false" ht="13" hidden="false" customHeight="false" outlineLevel="0" collapsed="false">
      <c r="A659" s="2" t="n">
        <v>3.98931300958782</v>
      </c>
      <c r="B659" s="2" t="n">
        <v>0</v>
      </c>
      <c r="C659" s="2" t="n">
        <f aca="false">MAX(A659,B659)</f>
        <v>3.98931300958782</v>
      </c>
      <c r="E659" s="2" t="n">
        <v>5.12791086178117</v>
      </c>
    </row>
    <row r="660" customFormat="false" ht="13" hidden="false" customHeight="false" outlineLevel="0" collapsed="false">
      <c r="A660" s="2" t="n">
        <v>5.70417229932252</v>
      </c>
      <c r="B660" s="2" t="n">
        <v>0</v>
      </c>
      <c r="C660" s="2" t="n">
        <f aca="false">MAX(A660,B660)</f>
        <v>5.70417229932252</v>
      </c>
      <c r="E660" s="2" t="n">
        <v>5.10404095125026</v>
      </c>
    </row>
    <row r="661" customFormat="false" ht="13" hidden="false" customHeight="false" outlineLevel="0" collapsed="false">
      <c r="A661" s="2" t="n">
        <v>0</v>
      </c>
      <c r="B661" s="2" t="n">
        <v>18.3230353151206</v>
      </c>
      <c r="C661" s="2" t="n">
        <f aca="false">MAX(A661,B661)</f>
        <v>18.3230353151206</v>
      </c>
      <c r="E661" s="2" t="n">
        <v>5.0798647363724</v>
      </c>
    </row>
    <row r="662" customFormat="false" ht="13" hidden="false" customHeight="false" outlineLevel="0" collapsed="false">
      <c r="A662" s="2" t="n">
        <v>7.00156925690499</v>
      </c>
      <c r="B662" s="2" t="n">
        <v>0</v>
      </c>
      <c r="C662" s="2" t="n">
        <f aca="false">MAX(A662,B662)</f>
        <v>7.00156925690499</v>
      </c>
      <c r="E662" s="2" t="n">
        <v>5.05775366481726</v>
      </c>
    </row>
    <row r="663" customFormat="false" ht="13" hidden="false" customHeight="false" outlineLevel="0" collapsed="false">
      <c r="A663" s="2" t="n">
        <v>8.47269858730226</v>
      </c>
      <c r="B663" s="2" t="n">
        <v>0</v>
      </c>
      <c r="C663" s="2" t="n">
        <f aca="false">MAX(A663,B663)</f>
        <v>8.47269858730226</v>
      </c>
      <c r="E663" s="2" t="n">
        <v>5.02680021715213</v>
      </c>
    </row>
    <row r="664" customFormat="false" ht="13" hidden="false" customHeight="false" outlineLevel="0" collapsed="false">
      <c r="A664" s="2" t="n">
        <v>9.04709392322582</v>
      </c>
      <c r="B664" s="2" t="n">
        <v>0</v>
      </c>
      <c r="C664" s="2" t="n">
        <f aca="false">MAX(A664,B664)</f>
        <v>9.04709392322582</v>
      </c>
      <c r="E664" s="2" t="n">
        <v>5.01059415816008</v>
      </c>
    </row>
    <row r="665" customFormat="false" ht="13" hidden="false" customHeight="false" outlineLevel="0" collapsed="false">
      <c r="A665" s="2" t="n">
        <v>9.6313571271279</v>
      </c>
      <c r="B665" s="2" t="n">
        <v>0</v>
      </c>
      <c r="C665" s="2" t="n">
        <f aca="false">MAX(A665,B665)</f>
        <v>9.6313571271279</v>
      </c>
      <c r="E665" s="2" t="n">
        <v>5.00378357143745</v>
      </c>
    </row>
    <row r="666" customFormat="false" ht="13" hidden="false" customHeight="false" outlineLevel="0" collapsed="false">
      <c r="A666" s="2" t="n">
        <v>0</v>
      </c>
      <c r="B666" s="2" t="n">
        <v>16.5602426120061</v>
      </c>
      <c r="C666" s="2" t="n">
        <f aca="false">MAX(A666,B666)</f>
        <v>16.5602426120061</v>
      </c>
      <c r="E666" s="2" t="n">
        <v>4.98111118998196</v>
      </c>
    </row>
    <row r="667" customFormat="false" ht="13" hidden="false" customHeight="false" outlineLevel="0" collapsed="false">
      <c r="A667" s="2" t="n">
        <v>9.62246585416176</v>
      </c>
      <c r="B667" s="2" t="n">
        <v>0</v>
      </c>
      <c r="C667" s="2" t="n">
        <f aca="false">MAX(A667,B667)</f>
        <v>9.62246585416176</v>
      </c>
      <c r="E667" s="2" t="n">
        <v>4.96367650018669</v>
      </c>
    </row>
    <row r="668" customFormat="false" ht="13" hidden="false" customHeight="false" outlineLevel="0" collapsed="false">
      <c r="A668" s="2" t="n">
        <v>10.6931647327316</v>
      </c>
      <c r="B668" s="2" t="n">
        <v>0</v>
      </c>
      <c r="C668" s="2" t="n">
        <f aca="false">MAX(A668,B668)</f>
        <v>10.6931647327316</v>
      </c>
      <c r="E668" s="2" t="n">
        <v>4.9370858544396</v>
      </c>
    </row>
    <row r="669" customFormat="false" ht="13" hidden="false" customHeight="false" outlineLevel="0" collapsed="false">
      <c r="A669" s="2" t="n">
        <v>0</v>
      </c>
      <c r="B669" s="2" t="n">
        <v>14.2626711425305</v>
      </c>
      <c r="C669" s="2" t="n">
        <f aca="false">MAX(A669,B669)</f>
        <v>14.2626711425305</v>
      </c>
      <c r="E669" s="2" t="n">
        <v>4.87780552479359</v>
      </c>
    </row>
    <row r="670" customFormat="false" ht="13" hidden="false" customHeight="false" outlineLevel="0" collapsed="false">
      <c r="A670" s="2" t="n">
        <v>0</v>
      </c>
      <c r="B670" s="2" t="n">
        <v>14.9841188870286</v>
      </c>
      <c r="C670" s="2" t="n">
        <f aca="false">MAX(A670,B670)</f>
        <v>14.9841188870286</v>
      </c>
      <c r="E670" s="2" t="n">
        <v>4.87610170230137</v>
      </c>
    </row>
    <row r="671" customFormat="false" ht="13" hidden="false" customHeight="false" outlineLevel="0" collapsed="false">
      <c r="A671" s="2" t="n">
        <v>0</v>
      </c>
      <c r="B671" s="2" t="n">
        <v>16.0355420086795</v>
      </c>
      <c r="C671" s="2" t="n">
        <f aca="false">MAX(A671,B671)</f>
        <v>16.0355420086795</v>
      </c>
      <c r="E671" s="2" t="n">
        <v>4.87570369707206</v>
      </c>
    </row>
    <row r="672" customFormat="false" ht="13" hidden="false" customHeight="false" outlineLevel="0" collapsed="false">
      <c r="A672" s="2" t="n">
        <v>7.67350346452713</v>
      </c>
      <c r="B672" s="2" t="n">
        <v>0</v>
      </c>
      <c r="C672" s="2" t="n">
        <f aca="false">MAX(A672,B672)</f>
        <v>7.67350346452713</v>
      </c>
      <c r="E672" s="2" t="n">
        <v>4.85992359327963</v>
      </c>
    </row>
    <row r="673" customFormat="false" ht="13" hidden="false" customHeight="false" outlineLevel="0" collapsed="false">
      <c r="A673" s="2" t="n">
        <v>8.41825022643616</v>
      </c>
      <c r="B673" s="2" t="n">
        <v>0</v>
      </c>
      <c r="C673" s="2" t="n">
        <f aca="false">MAX(A673,B673)</f>
        <v>8.41825022643616</v>
      </c>
      <c r="E673" s="2" t="n">
        <v>4.83304698293265</v>
      </c>
    </row>
    <row r="674" customFormat="false" ht="13" hidden="false" customHeight="false" outlineLevel="0" collapsed="false">
      <c r="A674" s="2" t="n">
        <v>10.6189292536884</v>
      </c>
      <c r="B674" s="2" t="n">
        <v>0</v>
      </c>
      <c r="C674" s="2" t="n">
        <f aca="false">MAX(A674,B674)</f>
        <v>10.6189292536884</v>
      </c>
      <c r="E674" s="2" t="n">
        <v>4.82740884741884</v>
      </c>
    </row>
    <row r="675" customFormat="false" ht="13" hidden="false" customHeight="false" outlineLevel="0" collapsed="false">
      <c r="A675" s="2" t="n">
        <v>0</v>
      </c>
      <c r="B675" s="2" t="n">
        <v>15.5393061697366</v>
      </c>
      <c r="C675" s="2" t="n">
        <f aca="false">MAX(A675,B675)</f>
        <v>15.5393061697366</v>
      </c>
      <c r="E675" s="2" t="n">
        <v>4.76842098570133</v>
      </c>
    </row>
    <row r="676" customFormat="false" ht="13" hidden="false" customHeight="false" outlineLevel="0" collapsed="false">
      <c r="A676" s="2" t="n">
        <v>8.11062972123693</v>
      </c>
      <c r="B676" s="2" t="n">
        <v>0</v>
      </c>
      <c r="C676" s="2" t="n">
        <f aca="false">MAX(A676,B676)</f>
        <v>8.11062972123693</v>
      </c>
      <c r="E676" s="2" t="n">
        <v>4.75624320174808</v>
      </c>
    </row>
    <row r="677" customFormat="false" ht="13" hidden="false" customHeight="false" outlineLevel="0" collapsed="false">
      <c r="A677" s="2" t="n">
        <v>0</v>
      </c>
      <c r="B677" s="2" t="n">
        <v>11.7545055570943</v>
      </c>
      <c r="C677" s="2" t="n">
        <f aca="false">MAX(A677,B677)</f>
        <v>11.7545055570943</v>
      </c>
      <c r="E677" s="2" t="n">
        <v>4.75541810418372</v>
      </c>
    </row>
    <row r="678" customFormat="false" ht="13" hidden="false" customHeight="false" outlineLevel="0" collapsed="false">
      <c r="A678" s="2" t="n">
        <v>0</v>
      </c>
      <c r="B678" s="2" t="n">
        <v>13.4285766583994</v>
      </c>
      <c r="C678" s="2" t="n">
        <f aca="false">MAX(A678,B678)</f>
        <v>13.4285766583994</v>
      </c>
      <c r="E678" s="2" t="n">
        <v>4.74458337168645</v>
      </c>
    </row>
    <row r="679" customFormat="false" ht="13" hidden="false" customHeight="false" outlineLevel="0" collapsed="false">
      <c r="A679" s="2" t="n">
        <v>0</v>
      </c>
      <c r="B679" s="2" t="n">
        <v>14.7743670034805</v>
      </c>
      <c r="C679" s="2" t="n">
        <f aca="false">MAX(A679,B679)</f>
        <v>14.7743670034805</v>
      </c>
      <c r="E679" s="2" t="n">
        <v>4.72677078200741</v>
      </c>
    </row>
    <row r="680" customFormat="false" ht="13" hidden="false" customHeight="false" outlineLevel="0" collapsed="false">
      <c r="A680" s="2" t="n">
        <v>6.64073713172229</v>
      </c>
      <c r="B680" s="2" t="n">
        <v>0</v>
      </c>
      <c r="C680" s="2" t="n">
        <f aca="false">MAX(A680,B680)</f>
        <v>6.64073713172229</v>
      </c>
      <c r="E680" s="2" t="n">
        <v>4.71618384870487</v>
      </c>
    </row>
    <row r="681" customFormat="false" ht="13" hidden="false" customHeight="false" outlineLevel="0" collapsed="false">
      <c r="A681" s="2" t="n">
        <v>0</v>
      </c>
      <c r="B681" s="2" t="n">
        <v>16.6061930232651</v>
      </c>
      <c r="C681" s="2" t="n">
        <f aca="false">MAX(A681,B681)</f>
        <v>16.6061930232651</v>
      </c>
      <c r="E681" s="2" t="n">
        <v>4.68725324538502</v>
      </c>
    </row>
    <row r="682" customFormat="false" ht="13" hidden="false" customHeight="false" outlineLevel="0" collapsed="false">
      <c r="A682" s="2" t="n">
        <v>0</v>
      </c>
      <c r="B682" s="2" t="n">
        <v>17.3119569710085</v>
      </c>
      <c r="C682" s="2" t="n">
        <f aca="false">MAX(A682,B682)</f>
        <v>17.3119569710085</v>
      </c>
      <c r="E682" s="2" t="n">
        <v>4.6773199111087</v>
      </c>
    </row>
    <row r="683" customFormat="false" ht="13" hidden="false" customHeight="false" outlineLevel="0" collapsed="false">
      <c r="A683" s="2" t="n">
        <v>6.59799702062071</v>
      </c>
      <c r="B683" s="2" t="n">
        <v>0</v>
      </c>
      <c r="C683" s="2" t="n">
        <f aca="false">MAX(A683,B683)</f>
        <v>6.59799702062071</v>
      </c>
      <c r="E683" s="2" t="n">
        <v>4.66085416405622</v>
      </c>
    </row>
    <row r="684" customFormat="false" ht="13" hidden="false" customHeight="false" outlineLevel="0" collapsed="false">
      <c r="A684" s="2" t="n">
        <v>0</v>
      </c>
      <c r="B684" s="2" t="n">
        <v>18.9111856171965</v>
      </c>
      <c r="C684" s="2" t="n">
        <f aca="false">MAX(A684,B684)</f>
        <v>18.9111856171965</v>
      </c>
      <c r="E684" s="2" t="n">
        <v>4.65986366293317</v>
      </c>
    </row>
    <row r="685" customFormat="false" ht="13" hidden="false" customHeight="false" outlineLevel="0" collapsed="false">
      <c r="A685" s="2" t="n">
        <v>0</v>
      </c>
      <c r="B685" s="2" t="n">
        <v>20.5572669801569</v>
      </c>
      <c r="C685" s="2" t="n">
        <f aca="false">MAX(A685,B685)</f>
        <v>20.5572669801569</v>
      </c>
      <c r="E685" s="2" t="n">
        <v>4.64619216192131</v>
      </c>
    </row>
    <row r="686" customFormat="false" ht="13" hidden="false" customHeight="false" outlineLevel="0" collapsed="false">
      <c r="A686" s="2" t="n">
        <v>7.68154291607141</v>
      </c>
      <c r="B686" s="2" t="n">
        <v>0</v>
      </c>
      <c r="C686" s="2" t="n">
        <f aca="false">MAX(A686,B686)</f>
        <v>7.68154291607141</v>
      </c>
      <c r="E686" s="2" t="n">
        <v>4.63732867040318</v>
      </c>
    </row>
    <row r="687" customFormat="false" ht="13" hidden="false" customHeight="false" outlineLevel="0" collapsed="false">
      <c r="A687" s="2" t="n">
        <v>8.28358208772761</v>
      </c>
      <c r="B687" s="2" t="n">
        <v>0</v>
      </c>
      <c r="C687" s="2" t="n">
        <f aca="false">MAX(A687,B687)</f>
        <v>8.28358208772761</v>
      </c>
      <c r="E687" s="2" t="n">
        <v>4.62721223738868</v>
      </c>
    </row>
    <row r="688" customFormat="false" ht="13" hidden="false" customHeight="false" outlineLevel="0" collapsed="false">
      <c r="A688" s="2" t="n">
        <v>0</v>
      </c>
      <c r="B688" s="2" t="n">
        <v>19.9988453366987</v>
      </c>
      <c r="C688" s="2" t="n">
        <f aca="false">MAX(A688,B688)</f>
        <v>19.9988453366987</v>
      </c>
      <c r="E688" s="2" t="n">
        <v>4.60255462656947</v>
      </c>
    </row>
    <row r="689" customFormat="false" ht="13" hidden="false" customHeight="false" outlineLevel="0" collapsed="false">
      <c r="A689" s="2" t="n">
        <v>0</v>
      </c>
      <c r="B689" s="2" t="n">
        <v>21.8494805373182</v>
      </c>
      <c r="C689" s="2" t="n">
        <f aca="false">MAX(A689,B689)</f>
        <v>21.8494805373182</v>
      </c>
      <c r="E689" s="2" t="n">
        <v>4.59836089210251</v>
      </c>
    </row>
    <row r="690" customFormat="false" ht="13" hidden="false" customHeight="false" outlineLevel="0" collapsed="false">
      <c r="A690" s="2" t="n">
        <v>0</v>
      </c>
      <c r="B690" s="2" t="n">
        <v>23.8402881821836</v>
      </c>
      <c r="C690" s="2" t="n">
        <f aca="false">MAX(A690,B690)</f>
        <v>23.8402881821836</v>
      </c>
      <c r="E690" s="2" t="n">
        <v>4.58739679736198</v>
      </c>
    </row>
    <row r="691" customFormat="false" ht="13" hidden="false" customHeight="false" outlineLevel="0" collapsed="false">
      <c r="A691" s="2" t="n">
        <v>7.4005435598973</v>
      </c>
      <c r="B691" s="2" t="n">
        <v>0</v>
      </c>
      <c r="C691" s="2" t="n">
        <f aca="false">MAX(A691,B691)</f>
        <v>7.4005435598973</v>
      </c>
      <c r="E691" s="2" t="n">
        <v>4.58739663676289</v>
      </c>
    </row>
    <row r="692" customFormat="false" ht="13" hidden="false" customHeight="false" outlineLevel="0" collapsed="false">
      <c r="A692" s="2" t="n">
        <v>0</v>
      </c>
      <c r="B692" s="2" t="n">
        <v>23.0713953985637</v>
      </c>
      <c r="C692" s="2" t="n">
        <f aca="false">MAX(A692,B692)</f>
        <v>23.0713953985637</v>
      </c>
      <c r="E692" s="2" t="n">
        <v>4.58459516146061</v>
      </c>
    </row>
    <row r="693" customFormat="false" ht="13" hidden="false" customHeight="false" outlineLevel="0" collapsed="false">
      <c r="A693" s="2" t="n">
        <v>0</v>
      </c>
      <c r="B693" s="2" t="n">
        <v>24.1476463054313</v>
      </c>
      <c r="C693" s="2" t="n">
        <f aca="false">MAX(A693,B693)</f>
        <v>24.1476463054313</v>
      </c>
      <c r="E693" s="2" t="n">
        <v>4.58269631301664</v>
      </c>
    </row>
    <row r="694" customFormat="false" ht="13" hidden="false" customHeight="false" outlineLevel="0" collapsed="false">
      <c r="A694" s="2" t="n">
        <v>0</v>
      </c>
      <c r="B694" s="2" t="n">
        <v>23.4859141936741</v>
      </c>
      <c r="C694" s="2" t="n">
        <f aca="false">MAX(A694,B694)</f>
        <v>23.4859141936741</v>
      </c>
      <c r="E694" s="2" t="n">
        <v>4.57573518550066</v>
      </c>
    </row>
    <row r="695" customFormat="false" ht="13" hidden="false" customHeight="false" outlineLevel="0" collapsed="false">
      <c r="A695" s="2" t="n">
        <v>3.1746453839246</v>
      </c>
      <c r="B695" s="2" t="n">
        <v>0</v>
      </c>
      <c r="C695" s="2" t="n">
        <f aca="false">MAX(A695,B695)</f>
        <v>3.1746453839246</v>
      </c>
      <c r="E695" s="2" t="n">
        <v>4.56296558281093</v>
      </c>
    </row>
    <row r="696" customFormat="false" ht="13" hidden="false" customHeight="false" outlineLevel="0" collapsed="false">
      <c r="A696" s="2" t="n">
        <v>4.85992359327963</v>
      </c>
      <c r="B696" s="2" t="n">
        <v>0</v>
      </c>
      <c r="C696" s="2" t="n">
        <f aca="false">MAX(A696,B696)</f>
        <v>4.85992359327963</v>
      </c>
      <c r="E696" s="2" t="n">
        <v>4.54921035535321</v>
      </c>
    </row>
    <row r="697" customFormat="false" ht="13" hidden="false" customHeight="false" outlineLevel="0" collapsed="false">
      <c r="A697" s="2" t="n">
        <v>0</v>
      </c>
      <c r="B697" s="2" t="n">
        <v>23.1537367894781</v>
      </c>
      <c r="C697" s="2" t="n">
        <f aca="false">MAX(A697,B697)</f>
        <v>23.1537367894781</v>
      </c>
      <c r="E697" s="2" t="n">
        <v>4.52980464645111</v>
      </c>
    </row>
    <row r="698" customFormat="false" ht="13" hidden="false" customHeight="false" outlineLevel="0" collapsed="false">
      <c r="A698" s="2" t="n">
        <v>5.12791086178117</v>
      </c>
      <c r="B698" s="2" t="n">
        <v>0</v>
      </c>
      <c r="C698" s="2" t="n">
        <f aca="false">MAX(A698,B698)</f>
        <v>5.12791086178117</v>
      </c>
      <c r="E698" s="2" t="n">
        <v>4.52368452472453</v>
      </c>
    </row>
    <row r="699" customFormat="false" ht="13" hidden="false" customHeight="false" outlineLevel="0" collapsed="false">
      <c r="A699" s="2" t="n">
        <v>3.20887354636523</v>
      </c>
      <c r="B699" s="2" t="n">
        <v>0</v>
      </c>
      <c r="C699" s="2" t="n">
        <f aca="false">MAX(A699,B699)</f>
        <v>3.20887354636523</v>
      </c>
      <c r="E699" s="2" t="n">
        <v>4.49546488588845</v>
      </c>
    </row>
    <row r="700" customFormat="false" ht="13" hidden="false" customHeight="false" outlineLevel="0" collapsed="false">
      <c r="A700" s="2" t="n">
        <v>0</v>
      </c>
      <c r="B700" s="2" t="n">
        <v>20.3998475539513</v>
      </c>
      <c r="C700" s="2" t="n">
        <f aca="false">MAX(A700,B700)</f>
        <v>20.3998475539513</v>
      </c>
      <c r="E700" s="2" t="n">
        <v>4.48281481868511</v>
      </c>
    </row>
    <row r="701" customFormat="false" ht="13" hidden="false" customHeight="false" outlineLevel="0" collapsed="false">
      <c r="A701" s="2" t="n">
        <v>0</v>
      </c>
      <c r="B701" s="2" t="n">
        <v>21.4815962763846</v>
      </c>
      <c r="C701" s="2" t="n">
        <f aca="false">MAX(A701,B701)</f>
        <v>21.4815962763846</v>
      </c>
      <c r="E701" s="2" t="n">
        <v>4.47164218515468</v>
      </c>
    </row>
    <row r="702" customFormat="false" ht="13" hidden="false" customHeight="false" outlineLevel="0" collapsed="false">
      <c r="A702" s="2" t="n">
        <v>2.98565447562066</v>
      </c>
      <c r="B702" s="2" t="n">
        <v>0</v>
      </c>
      <c r="C702" s="2" t="n">
        <f aca="false">MAX(A702,B702)</f>
        <v>2.98565447562066</v>
      </c>
      <c r="E702" s="2" t="n">
        <v>4.44983057084118</v>
      </c>
    </row>
    <row r="703" customFormat="false" ht="13" hidden="false" customHeight="false" outlineLevel="0" collapsed="false">
      <c r="A703" s="2" t="n">
        <v>0</v>
      </c>
      <c r="B703" s="2" t="n">
        <v>22.0477735152123</v>
      </c>
      <c r="C703" s="2" t="n">
        <f aca="false">MAX(A703,B703)</f>
        <v>22.0477735152123</v>
      </c>
      <c r="E703" s="2" t="n">
        <v>4.44618544331391</v>
      </c>
    </row>
    <row r="704" customFormat="false" ht="13" hidden="false" customHeight="false" outlineLevel="0" collapsed="false">
      <c r="A704" s="2" t="n">
        <v>0</v>
      </c>
      <c r="B704" s="2" t="n">
        <v>22.2586738151425</v>
      </c>
      <c r="C704" s="2" t="n">
        <f aca="false">MAX(A704,B704)</f>
        <v>22.2586738151425</v>
      </c>
      <c r="E704" s="2" t="n">
        <v>4.43963747198239</v>
      </c>
    </row>
    <row r="705" customFormat="false" ht="13" hidden="false" customHeight="false" outlineLevel="0" collapsed="false">
      <c r="A705" s="2" t="n">
        <v>2.03865820702981</v>
      </c>
      <c r="B705" s="2" t="n">
        <v>0</v>
      </c>
      <c r="C705" s="2" t="n">
        <f aca="false">MAX(A705,B705)</f>
        <v>2.03865820702981</v>
      </c>
      <c r="E705" s="2" t="n">
        <v>4.4286062902911</v>
      </c>
    </row>
    <row r="706" customFormat="false" ht="13" hidden="false" customHeight="false" outlineLevel="0" collapsed="false">
      <c r="A706" s="2" t="n">
        <v>2.03433822839406</v>
      </c>
      <c r="B706" s="2" t="n">
        <v>0</v>
      </c>
      <c r="C706" s="2" t="n">
        <f aca="false">MAX(A706,B706)</f>
        <v>2.03433822839406</v>
      </c>
      <c r="E706" s="2" t="n">
        <v>4.41825427986476</v>
      </c>
    </row>
    <row r="707" customFormat="false" ht="13" hidden="false" customHeight="false" outlineLevel="0" collapsed="false">
      <c r="A707" s="2" t="n">
        <v>0</v>
      </c>
      <c r="B707" s="2" t="n">
        <v>19.0451378785177</v>
      </c>
      <c r="C707" s="2" t="n">
        <f aca="false">MAX(A707,B707)</f>
        <v>19.0451378785177</v>
      </c>
      <c r="E707" s="2" t="n">
        <v>4.41444240201349</v>
      </c>
    </row>
    <row r="708" customFormat="false" ht="13" hidden="false" customHeight="false" outlineLevel="0" collapsed="false">
      <c r="A708" s="2" t="n">
        <v>1.84140455809029</v>
      </c>
      <c r="B708" s="2" t="n">
        <v>0</v>
      </c>
      <c r="C708" s="2" t="n">
        <f aca="false">MAX(A708,B708)</f>
        <v>1.84140455809029</v>
      </c>
      <c r="E708" s="2" t="n">
        <v>4.40577566021182</v>
      </c>
    </row>
    <row r="709" customFormat="false" ht="13" hidden="false" customHeight="false" outlineLevel="0" collapsed="false">
      <c r="A709" s="2" t="n">
        <v>0</v>
      </c>
      <c r="B709" s="2" t="n">
        <v>19.4281551049046</v>
      </c>
      <c r="C709" s="2" t="n">
        <f aca="false">MAX(A709,B709)</f>
        <v>19.4281551049046</v>
      </c>
      <c r="E709" s="2" t="n">
        <v>4.40510213947914</v>
      </c>
    </row>
    <row r="710" customFormat="false" ht="13" hidden="false" customHeight="false" outlineLevel="0" collapsed="false">
      <c r="A710" s="2" t="n">
        <v>2.03982850473176</v>
      </c>
      <c r="B710" s="2" t="n">
        <v>0</v>
      </c>
      <c r="C710" s="2" t="n">
        <f aca="false">MAX(A710,B710)</f>
        <v>2.03982850473176</v>
      </c>
      <c r="E710" s="2" t="n">
        <v>4.40353531883966</v>
      </c>
    </row>
    <row r="711" customFormat="false" ht="13" hidden="false" customHeight="false" outlineLevel="0" collapsed="false">
      <c r="A711" s="2" t="n">
        <v>2.16327920871026</v>
      </c>
      <c r="B711" s="2" t="n">
        <v>0</v>
      </c>
      <c r="C711" s="2" t="n">
        <f aca="false">MAX(A711,B711)</f>
        <v>2.16327920871026</v>
      </c>
      <c r="E711" s="2" t="n">
        <v>4.38894383962759</v>
      </c>
    </row>
    <row r="712" customFormat="false" ht="13" hidden="false" customHeight="false" outlineLevel="0" collapsed="false">
      <c r="A712" s="2" t="n">
        <v>0</v>
      </c>
      <c r="B712" s="2" t="n">
        <v>17.6184728052606</v>
      </c>
      <c r="C712" s="2" t="n">
        <f aca="false">MAX(A712,B712)</f>
        <v>17.6184728052606</v>
      </c>
      <c r="E712" s="2" t="n">
        <v>4.37575984472312</v>
      </c>
    </row>
    <row r="713" customFormat="false" ht="13" hidden="false" customHeight="false" outlineLevel="0" collapsed="false">
      <c r="A713" s="2" t="n">
        <v>0</v>
      </c>
      <c r="B713" s="2" t="n">
        <v>19.0055238092335</v>
      </c>
      <c r="C713" s="2" t="n">
        <f aca="false">MAX(A713,B713)</f>
        <v>19.0055238092335</v>
      </c>
      <c r="E713" s="2" t="n">
        <v>4.36810901743206</v>
      </c>
    </row>
    <row r="714" customFormat="false" ht="13" hidden="false" customHeight="false" outlineLevel="0" collapsed="false">
      <c r="A714" s="2" t="n">
        <v>0</v>
      </c>
      <c r="B714" s="2" t="n">
        <v>18.3755918425983</v>
      </c>
      <c r="C714" s="2" t="n">
        <f aca="false">MAX(A714,B714)</f>
        <v>18.3755918425983</v>
      </c>
      <c r="E714" s="2" t="n">
        <v>4.36670257126023</v>
      </c>
    </row>
    <row r="715" customFormat="false" ht="13" hidden="false" customHeight="false" outlineLevel="0" collapsed="false">
      <c r="A715" s="2" t="n">
        <v>0</v>
      </c>
      <c r="B715" s="2" t="n">
        <v>20.2829290947641</v>
      </c>
      <c r="C715" s="2" t="n">
        <f aca="false">MAX(A715,B715)</f>
        <v>20.2829290947641</v>
      </c>
      <c r="E715" s="2" t="n">
        <v>4.36666048911241</v>
      </c>
    </row>
    <row r="716" customFormat="false" ht="13" hidden="false" customHeight="false" outlineLevel="0" collapsed="false">
      <c r="A716" s="2" t="n">
        <v>1.89825327295557</v>
      </c>
      <c r="B716" s="2" t="n">
        <v>0</v>
      </c>
      <c r="C716" s="2" t="n">
        <f aca="false">MAX(A716,B716)</f>
        <v>1.89825327295557</v>
      </c>
      <c r="E716" s="2" t="n">
        <v>4.34642040225799</v>
      </c>
    </row>
    <row r="717" customFormat="false" ht="13" hidden="false" customHeight="false" outlineLevel="0" collapsed="false">
      <c r="A717" s="2" t="n">
        <v>0</v>
      </c>
      <c r="B717" s="2" t="n">
        <v>22.1573088063084</v>
      </c>
      <c r="C717" s="2" t="n">
        <f aca="false">MAX(A717,B717)</f>
        <v>22.1573088063084</v>
      </c>
      <c r="E717" s="2" t="n">
        <v>4.33414799497239</v>
      </c>
    </row>
    <row r="718" customFormat="false" ht="13" hidden="false" customHeight="false" outlineLevel="0" collapsed="false">
      <c r="A718" s="2" t="n">
        <v>0</v>
      </c>
      <c r="B718" s="2" t="n">
        <v>23.1255647517295</v>
      </c>
      <c r="C718" s="2" t="n">
        <f aca="false">MAX(A718,B718)</f>
        <v>23.1255647517295</v>
      </c>
      <c r="E718" s="2" t="n">
        <v>4.3188745812239</v>
      </c>
    </row>
    <row r="719" customFormat="false" ht="13" hidden="false" customHeight="false" outlineLevel="0" collapsed="false">
      <c r="A719" s="2" t="n">
        <v>2.21956770624172</v>
      </c>
      <c r="B719" s="2" t="n">
        <v>0</v>
      </c>
      <c r="C719" s="2" t="n">
        <f aca="false">MAX(A719,B719)</f>
        <v>2.21956770624172</v>
      </c>
      <c r="E719" s="2" t="n">
        <v>4.30677589879858</v>
      </c>
    </row>
    <row r="720" customFormat="false" ht="13" hidden="false" customHeight="false" outlineLevel="0" collapsed="false">
      <c r="A720" s="2" t="n">
        <v>3.57432841574973</v>
      </c>
      <c r="B720" s="2" t="n">
        <v>0</v>
      </c>
      <c r="C720" s="2" t="n">
        <f aca="false">MAX(A720,B720)</f>
        <v>3.57432841574973</v>
      </c>
      <c r="E720" s="2" t="n">
        <v>4.30103632761011</v>
      </c>
    </row>
    <row r="721" customFormat="false" ht="13" hidden="false" customHeight="false" outlineLevel="0" collapsed="false">
      <c r="A721" s="2" t="n">
        <v>3.1885739561418</v>
      </c>
      <c r="B721" s="2" t="n">
        <v>0</v>
      </c>
      <c r="C721" s="2" t="n">
        <f aca="false">MAX(A721,B721)</f>
        <v>3.1885739561418</v>
      </c>
      <c r="E721" s="2" t="n">
        <v>4.2960986364482</v>
      </c>
    </row>
    <row r="722" customFormat="false" ht="13" hidden="false" customHeight="false" outlineLevel="0" collapsed="false">
      <c r="A722" s="2" t="n">
        <v>0</v>
      </c>
      <c r="B722" s="2" t="n">
        <v>20.3674127863833</v>
      </c>
      <c r="C722" s="2" t="n">
        <f aca="false">MAX(A722,B722)</f>
        <v>20.3674127863833</v>
      </c>
      <c r="E722" s="2" t="n">
        <v>4.29037234794598</v>
      </c>
    </row>
    <row r="723" customFormat="false" ht="13" hidden="false" customHeight="false" outlineLevel="0" collapsed="false">
      <c r="A723" s="2" t="n">
        <v>2.38113533268006</v>
      </c>
      <c r="B723" s="2" t="n">
        <v>0</v>
      </c>
      <c r="C723" s="2" t="n">
        <f aca="false">MAX(A723,B723)</f>
        <v>2.38113533268006</v>
      </c>
      <c r="E723" s="2" t="n">
        <v>4.28487979021384</v>
      </c>
    </row>
    <row r="724" customFormat="false" ht="13" hidden="false" customHeight="false" outlineLevel="0" collapsed="false">
      <c r="A724" s="2" t="n">
        <v>0</v>
      </c>
      <c r="B724" s="2" t="n">
        <v>18.9747503231597</v>
      </c>
      <c r="C724" s="2" t="n">
        <f aca="false">MAX(A724,B724)</f>
        <v>18.9747503231597</v>
      </c>
      <c r="E724" s="2" t="n">
        <v>4.25849406403495</v>
      </c>
    </row>
    <row r="725" customFormat="false" ht="13" hidden="false" customHeight="false" outlineLevel="0" collapsed="false">
      <c r="A725" s="2" t="n">
        <v>0</v>
      </c>
      <c r="B725" s="2" t="n">
        <v>20.7380177616603</v>
      </c>
      <c r="C725" s="2" t="n">
        <f aca="false">MAX(A725,B725)</f>
        <v>20.7380177616603</v>
      </c>
      <c r="E725" s="2" t="n">
        <v>4.24534449566409</v>
      </c>
    </row>
    <row r="726" customFormat="false" ht="13" hidden="false" customHeight="false" outlineLevel="0" collapsed="false">
      <c r="A726" s="2" t="n">
        <v>0</v>
      </c>
      <c r="B726" s="2" t="n">
        <v>21.8237382159007</v>
      </c>
      <c r="C726" s="2" t="n">
        <f aca="false">MAX(A726,B726)</f>
        <v>21.8237382159007</v>
      </c>
      <c r="E726" s="2" t="n">
        <v>4.22779492928649</v>
      </c>
    </row>
    <row r="727" customFormat="false" ht="13" hidden="false" customHeight="false" outlineLevel="0" collapsed="false">
      <c r="A727" s="2" t="n">
        <v>0</v>
      </c>
      <c r="B727" s="2" t="n">
        <v>23.5466003005677</v>
      </c>
      <c r="C727" s="2" t="n">
        <f aca="false">MAX(A727,B727)</f>
        <v>23.5466003005677</v>
      </c>
      <c r="E727" s="2" t="n">
        <v>4.22557065530509</v>
      </c>
    </row>
    <row r="728" customFormat="false" ht="13" hidden="false" customHeight="false" outlineLevel="0" collapsed="false">
      <c r="A728" s="2" t="n">
        <v>0</v>
      </c>
      <c r="B728" s="2" t="n">
        <v>25.3248837101495</v>
      </c>
      <c r="C728" s="2" t="n">
        <f aca="false">MAX(A728,B728)</f>
        <v>25.3248837101495</v>
      </c>
      <c r="E728" s="2" t="n">
        <v>4.21623501641361</v>
      </c>
    </row>
    <row r="729" customFormat="false" ht="13" hidden="false" customHeight="false" outlineLevel="0" collapsed="false">
      <c r="A729" s="2" t="n">
        <v>1.80362216037747</v>
      </c>
      <c r="B729" s="2" t="n">
        <v>0</v>
      </c>
      <c r="C729" s="2" t="n">
        <f aca="false">MAX(A729,B729)</f>
        <v>1.80362216037747</v>
      </c>
      <c r="E729" s="2" t="n">
        <v>4.18766243987966</v>
      </c>
    </row>
    <row r="730" customFormat="false" ht="13" hidden="false" customHeight="false" outlineLevel="0" collapsed="false">
      <c r="A730" s="2" t="n">
        <v>1.97890056715278</v>
      </c>
      <c r="B730" s="2" t="n">
        <v>0</v>
      </c>
      <c r="C730" s="2" t="n">
        <f aca="false">MAX(A730,B730)</f>
        <v>1.97890056715278</v>
      </c>
      <c r="E730" s="2" t="n">
        <v>4.17095832261839</v>
      </c>
    </row>
    <row r="731" customFormat="false" ht="13" hidden="false" customHeight="false" outlineLevel="0" collapsed="false">
      <c r="A731" s="2" t="n">
        <v>0</v>
      </c>
      <c r="B731" s="2" t="n">
        <v>21.8494755732996</v>
      </c>
      <c r="C731" s="2" t="n">
        <f aca="false">MAX(A731,B731)</f>
        <v>21.8494755732996</v>
      </c>
      <c r="E731" s="2" t="n">
        <v>4.15024524972245</v>
      </c>
    </row>
    <row r="732" customFormat="false" ht="13" hidden="false" customHeight="false" outlineLevel="0" collapsed="false">
      <c r="A732" s="2" t="n">
        <v>2.58425915261159</v>
      </c>
      <c r="B732" s="2" t="n">
        <v>0</v>
      </c>
      <c r="C732" s="2" t="n">
        <f aca="false">MAX(A732,B732)</f>
        <v>2.58425915261159</v>
      </c>
      <c r="E732" s="2" t="n">
        <v>4.13895831337302</v>
      </c>
    </row>
    <row r="733" customFormat="false" ht="13" hidden="false" customHeight="false" outlineLevel="0" collapsed="false">
      <c r="A733" s="2" t="n">
        <v>0</v>
      </c>
      <c r="B733" s="2" t="n">
        <v>22.8538639034281</v>
      </c>
      <c r="C733" s="2" t="n">
        <f aca="false">MAX(A733,B733)</f>
        <v>22.8538639034281</v>
      </c>
      <c r="E733" s="2" t="n">
        <v>4.13617954937809</v>
      </c>
    </row>
    <row r="734" customFormat="false" ht="13" hidden="false" customHeight="false" outlineLevel="0" collapsed="false">
      <c r="A734" s="2" t="n">
        <v>0</v>
      </c>
      <c r="B734" s="2" t="n">
        <v>24.5801264345613</v>
      </c>
      <c r="C734" s="2" t="n">
        <f aca="false">MAX(A734,B734)</f>
        <v>24.5801264345613</v>
      </c>
      <c r="E734" s="2" t="n">
        <v>4.13180844098156</v>
      </c>
    </row>
    <row r="735" customFormat="false" ht="13" hidden="false" customHeight="false" outlineLevel="0" collapsed="false">
      <c r="A735" s="2" t="n">
        <v>0</v>
      </c>
      <c r="B735" s="2" t="n">
        <v>25.0353283385062</v>
      </c>
      <c r="C735" s="2" t="n">
        <f aca="false">MAX(A735,B735)</f>
        <v>25.0353283385062</v>
      </c>
      <c r="E735" s="2" t="n">
        <v>4.12879836997865</v>
      </c>
    </row>
    <row r="736" customFormat="false" ht="13" hidden="false" customHeight="false" outlineLevel="0" collapsed="false">
      <c r="A736" s="2" t="n">
        <v>1.96483994977643</v>
      </c>
      <c r="B736" s="2" t="n">
        <v>0</v>
      </c>
      <c r="C736" s="2" t="n">
        <f aca="false">MAX(A736,B736)</f>
        <v>1.96483994977643</v>
      </c>
      <c r="E736" s="2" t="n">
        <v>4.11762611162737</v>
      </c>
    </row>
    <row r="737" customFormat="false" ht="13" hidden="false" customHeight="false" outlineLevel="0" collapsed="false">
      <c r="A737" s="2" t="n">
        <v>3.65824876114289</v>
      </c>
      <c r="B737" s="2" t="n">
        <v>0</v>
      </c>
      <c r="C737" s="2" t="n">
        <f aca="false">MAX(A737,B737)</f>
        <v>3.65824876114289</v>
      </c>
      <c r="E737" s="2" t="n">
        <v>4.11327727056153</v>
      </c>
    </row>
    <row r="738" customFormat="false" ht="13" hidden="false" customHeight="false" outlineLevel="0" collapsed="false">
      <c r="A738" s="2" t="n">
        <v>0</v>
      </c>
      <c r="B738" s="2" t="n">
        <v>25.6391512919133</v>
      </c>
      <c r="C738" s="2" t="n">
        <f aca="false">MAX(A738,B738)</f>
        <v>25.6391512919133</v>
      </c>
      <c r="E738" s="2" t="n">
        <v>4.08987409779701</v>
      </c>
    </row>
    <row r="739" customFormat="false" ht="13" hidden="false" customHeight="false" outlineLevel="0" collapsed="false">
      <c r="A739" s="2" t="n">
        <v>0</v>
      </c>
      <c r="B739" s="2" t="n">
        <v>24.3258958446008</v>
      </c>
      <c r="C739" s="2" t="n">
        <f aca="false">MAX(A739,B739)</f>
        <v>24.3258958446008</v>
      </c>
      <c r="E739" s="2" t="n">
        <v>4.08550720338315</v>
      </c>
    </row>
    <row r="740" customFormat="false" ht="13" hidden="false" customHeight="false" outlineLevel="0" collapsed="false">
      <c r="A740" s="2" t="n">
        <v>2.22117146215805</v>
      </c>
      <c r="B740" s="2" t="n">
        <v>0</v>
      </c>
      <c r="C740" s="2" t="n">
        <f aca="false">MAX(A740,B740)</f>
        <v>2.22117146215805</v>
      </c>
      <c r="E740" s="2" t="n">
        <v>4.07559729253796</v>
      </c>
    </row>
    <row r="741" customFormat="false" ht="13" hidden="false" customHeight="false" outlineLevel="0" collapsed="false">
      <c r="A741" s="2" t="n">
        <v>4.40577566021182</v>
      </c>
      <c r="B741" s="2" t="n">
        <v>0</v>
      </c>
      <c r="C741" s="2" t="n">
        <f aca="false">MAX(A741,B741)</f>
        <v>4.40577566021182</v>
      </c>
      <c r="E741" s="2" t="n">
        <v>4.06925819182379</v>
      </c>
    </row>
    <row r="742" customFormat="false" ht="13" hidden="false" customHeight="false" outlineLevel="0" collapsed="false">
      <c r="A742" s="2" t="n">
        <v>0</v>
      </c>
      <c r="B742" s="2" t="n">
        <v>21.1671042695318</v>
      </c>
      <c r="C742" s="2" t="n">
        <f aca="false">MAX(A742,B742)</f>
        <v>21.1671042695318</v>
      </c>
      <c r="E742" s="2" t="n">
        <v>4.04760124028957</v>
      </c>
    </row>
    <row r="743" customFormat="false" ht="13" hidden="false" customHeight="false" outlineLevel="0" collapsed="false">
      <c r="A743" s="2" t="n">
        <v>5.37484927145511</v>
      </c>
      <c r="B743" s="2" t="n">
        <v>0</v>
      </c>
      <c r="C743" s="2" t="n">
        <f aca="false">MAX(A743,B743)</f>
        <v>5.37484927145511</v>
      </c>
      <c r="E743" s="2" t="n">
        <v>4.0446900685763</v>
      </c>
    </row>
    <row r="744" customFormat="false" ht="13" hidden="false" customHeight="false" outlineLevel="0" collapsed="false">
      <c r="A744" s="2" t="n">
        <v>0</v>
      </c>
      <c r="B744" s="2" t="n">
        <v>21.6812385967158</v>
      </c>
      <c r="C744" s="2" t="n">
        <f aca="false">MAX(A744,B744)</f>
        <v>21.6812385967158</v>
      </c>
      <c r="E744" s="2" t="n">
        <v>4.02019959245883</v>
      </c>
    </row>
    <row r="745" customFormat="false" ht="13" hidden="false" customHeight="false" outlineLevel="0" collapsed="false">
      <c r="A745" s="2" t="n">
        <v>2.35390332829854</v>
      </c>
      <c r="B745" s="2" t="n">
        <v>0</v>
      </c>
      <c r="C745" s="2" t="n">
        <f aca="false">MAX(A745,B745)</f>
        <v>2.35390332829854</v>
      </c>
      <c r="E745" s="2" t="n">
        <v>4.01454846513525</v>
      </c>
    </row>
    <row r="746" customFormat="false" ht="13" hidden="false" customHeight="false" outlineLevel="0" collapsed="false">
      <c r="A746" s="2" t="n">
        <v>0</v>
      </c>
      <c r="B746" s="2" t="n">
        <v>18.5320134056167</v>
      </c>
      <c r="C746" s="2" t="n">
        <f aca="false">MAX(A746,B746)</f>
        <v>18.5320134056167</v>
      </c>
      <c r="E746" s="2" t="n">
        <v>4.01113877182866</v>
      </c>
    </row>
    <row r="747" customFormat="false" ht="13" hidden="false" customHeight="false" outlineLevel="0" collapsed="false">
      <c r="A747" s="2" t="n">
        <v>2.04199988109167</v>
      </c>
      <c r="B747" s="2" t="n">
        <v>0</v>
      </c>
      <c r="C747" s="2" t="n">
        <f aca="false">MAX(A747,B747)</f>
        <v>2.04199988109167</v>
      </c>
      <c r="E747" s="2" t="n">
        <v>4.01018395361211</v>
      </c>
    </row>
    <row r="748" customFormat="false" ht="13" hidden="false" customHeight="false" outlineLevel="0" collapsed="false">
      <c r="A748" s="2" t="n">
        <v>0</v>
      </c>
      <c r="B748" s="2" t="n">
        <v>18.4136944276032</v>
      </c>
      <c r="C748" s="2" t="n">
        <f aca="false">MAX(A748,B748)</f>
        <v>18.4136944276032</v>
      </c>
      <c r="E748" s="2" t="n">
        <v>3.99071224458004</v>
      </c>
    </row>
    <row r="749" customFormat="false" ht="13" hidden="false" customHeight="false" outlineLevel="0" collapsed="false">
      <c r="A749" s="2" t="n">
        <v>2.88331835675115</v>
      </c>
      <c r="B749" s="2" t="n">
        <v>0</v>
      </c>
      <c r="C749" s="2" t="n">
        <f aca="false">MAX(A749,B749)</f>
        <v>2.88331835675115</v>
      </c>
      <c r="E749" s="2" t="n">
        <v>3.98937814061492</v>
      </c>
    </row>
    <row r="750" customFormat="false" ht="13" hidden="false" customHeight="false" outlineLevel="0" collapsed="false">
      <c r="A750" s="2" t="n">
        <v>0</v>
      </c>
      <c r="B750" s="2" t="n">
        <v>17.9599152211302</v>
      </c>
      <c r="C750" s="2" t="n">
        <f aca="false">MAX(A750,B750)</f>
        <v>17.9599152211302</v>
      </c>
      <c r="E750" s="2" t="n">
        <v>3.98931300958782</v>
      </c>
    </row>
    <row r="751" customFormat="false" ht="13" hidden="false" customHeight="false" outlineLevel="0" collapsed="false">
      <c r="A751" s="2" t="n">
        <v>0</v>
      </c>
      <c r="B751" s="2" t="n">
        <v>17.0601364320532</v>
      </c>
      <c r="C751" s="2" t="n">
        <f aca="false">MAX(A751,B751)</f>
        <v>17.0601364320532</v>
      </c>
      <c r="E751" s="2" t="n">
        <v>3.97333994723556</v>
      </c>
    </row>
    <row r="752" customFormat="false" ht="13" hidden="false" customHeight="false" outlineLevel="0" collapsed="false">
      <c r="A752" s="2" t="n">
        <v>2.07994583340997</v>
      </c>
      <c r="B752" s="2" t="n">
        <v>0</v>
      </c>
      <c r="C752" s="2" t="n">
        <f aca="false">MAX(A752,B752)</f>
        <v>2.07994583340997</v>
      </c>
      <c r="E752" s="2" t="n">
        <v>3.97055425046074</v>
      </c>
    </row>
    <row r="753" customFormat="false" ht="13" hidden="false" customHeight="false" outlineLevel="0" collapsed="false">
      <c r="A753" s="2" t="n">
        <v>2.20378885880086</v>
      </c>
      <c r="B753" s="2" t="n">
        <v>0</v>
      </c>
      <c r="C753" s="2" t="n">
        <f aca="false">MAX(A753,B753)</f>
        <v>2.20378885880086</v>
      </c>
      <c r="E753" s="2" t="n">
        <v>3.96653722033591</v>
      </c>
    </row>
    <row r="754" customFormat="false" ht="13" hidden="false" customHeight="false" outlineLevel="0" collapsed="false">
      <c r="A754" s="2" t="n">
        <v>0</v>
      </c>
      <c r="B754" s="2" t="n">
        <v>15.8745989948068</v>
      </c>
      <c r="C754" s="2" t="n">
        <f aca="false">MAX(A754,B754)</f>
        <v>15.8745989948068</v>
      </c>
      <c r="E754" s="2" t="n">
        <v>3.95757211765533</v>
      </c>
    </row>
    <row r="755" customFormat="false" ht="13" hidden="false" customHeight="false" outlineLevel="0" collapsed="false">
      <c r="A755" s="2" t="n">
        <v>3.92435365900485</v>
      </c>
      <c r="B755" s="2" t="n">
        <v>0</v>
      </c>
      <c r="C755" s="2" t="n">
        <f aca="false">MAX(A755,B755)</f>
        <v>3.92435365900485</v>
      </c>
      <c r="E755" s="2" t="n">
        <v>3.95596075668526</v>
      </c>
    </row>
    <row r="756" customFormat="false" ht="13" hidden="false" customHeight="false" outlineLevel="0" collapsed="false">
      <c r="A756" s="2" t="n">
        <v>5.01059415816008</v>
      </c>
      <c r="B756" s="2" t="n">
        <v>0</v>
      </c>
      <c r="C756" s="2" t="n">
        <f aca="false">MAX(A756,B756)</f>
        <v>5.01059415816008</v>
      </c>
      <c r="E756" s="2" t="n">
        <v>3.92435365900485</v>
      </c>
    </row>
    <row r="757" customFormat="false" ht="13" hidden="false" customHeight="false" outlineLevel="0" collapsed="false">
      <c r="A757" s="2" t="n">
        <v>6.53933673201891</v>
      </c>
      <c r="B757" s="2" t="n">
        <v>0</v>
      </c>
      <c r="C757" s="2" t="n">
        <f aca="false">MAX(A757,B757)</f>
        <v>6.53933673201891</v>
      </c>
      <c r="E757" s="2" t="n">
        <v>3.91419285607822</v>
      </c>
    </row>
    <row r="758" customFormat="false" ht="13" hidden="false" customHeight="false" outlineLevel="0" collapsed="false">
      <c r="A758" s="2" t="n">
        <v>0</v>
      </c>
      <c r="B758" s="2" t="n">
        <v>14.1723876439216</v>
      </c>
      <c r="C758" s="2" t="n">
        <f aca="false">MAX(A758,B758)</f>
        <v>14.1723876439216</v>
      </c>
      <c r="E758" s="2" t="n">
        <v>3.90260304468904</v>
      </c>
    </row>
    <row r="759" customFormat="false" ht="13" hidden="false" customHeight="false" outlineLevel="0" collapsed="false">
      <c r="A759" s="2" t="n">
        <v>6.12316752871607</v>
      </c>
      <c r="B759" s="2" t="n">
        <v>0</v>
      </c>
      <c r="C759" s="2" t="n">
        <f aca="false">MAX(A759,B759)</f>
        <v>6.12316752871607</v>
      </c>
      <c r="E759" s="2" t="n">
        <v>3.89533105706569</v>
      </c>
    </row>
    <row r="760" customFormat="false" ht="13" hidden="false" customHeight="false" outlineLevel="0" collapsed="false">
      <c r="A760" s="2" t="n">
        <v>0</v>
      </c>
      <c r="B760" s="2" t="n">
        <v>15.7133706187121</v>
      </c>
      <c r="C760" s="2" t="n">
        <f aca="false">MAX(A760,B760)</f>
        <v>15.7133706187121</v>
      </c>
      <c r="E760" s="2" t="n">
        <v>3.89451662799205</v>
      </c>
    </row>
    <row r="761" customFormat="false" ht="13" hidden="false" customHeight="false" outlineLevel="0" collapsed="false">
      <c r="A761" s="2" t="n">
        <v>7.74160616421909</v>
      </c>
      <c r="B761" s="2" t="n">
        <v>0</v>
      </c>
      <c r="C761" s="2" t="n">
        <f aca="false">MAX(A761,B761)</f>
        <v>7.74160616421909</v>
      </c>
      <c r="E761" s="2" t="n">
        <v>3.89072804205739</v>
      </c>
    </row>
    <row r="762" customFormat="false" ht="13" hidden="false" customHeight="false" outlineLevel="0" collapsed="false">
      <c r="A762" s="2" t="n">
        <v>0</v>
      </c>
      <c r="B762" s="2" t="n">
        <v>14.6484982482658</v>
      </c>
      <c r="C762" s="2" t="n">
        <f aca="false">MAX(A762,B762)</f>
        <v>14.6484982482658</v>
      </c>
      <c r="E762" s="2" t="n">
        <v>3.88396826003154</v>
      </c>
    </row>
    <row r="763" customFormat="false" ht="13" hidden="false" customHeight="false" outlineLevel="0" collapsed="false">
      <c r="A763" s="2" t="n">
        <v>6.82299741623854</v>
      </c>
      <c r="B763" s="2" t="n">
        <v>0</v>
      </c>
      <c r="C763" s="2" t="n">
        <f aca="false">MAX(A763,B763)</f>
        <v>6.82299741623854</v>
      </c>
      <c r="E763" s="2" t="n">
        <v>3.88026404941229</v>
      </c>
    </row>
    <row r="764" customFormat="false" ht="13" hidden="false" customHeight="false" outlineLevel="0" collapsed="false">
      <c r="A764" s="2" t="n">
        <v>0</v>
      </c>
      <c r="B764" s="2" t="n">
        <v>14.6212895216721</v>
      </c>
      <c r="C764" s="2" t="n">
        <f aca="false">MAX(A764,B764)</f>
        <v>14.6212895216721</v>
      </c>
      <c r="E764" s="2" t="n">
        <v>3.87999878092552</v>
      </c>
    </row>
    <row r="765" customFormat="false" ht="13" hidden="false" customHeight="false" outlineLevel="0" collapsed="false">
      <c r="A765" s="2" t="n">
        <v>5.74697519784479</v>
      </c>
      <c r="B765" s="2" t="n">
        <v>0</v>
      </c>
      <c r="C765" s="2" t="n">
        <f aca="false">MAX(A765,B765)</f>
        <v>5.74697519784479</v>
      </c>
      <c r="E765" s="2" t="n">
        <v>3.8796372783454</v>
      </c>
    </row>
    <row r="766" customFormat="false" ht="13" hidden="false" customHeight="false" outlineLevel="0" collapsed="false">
      <c r="A766" s="2" t="n">
        <v>7.6726224516683</v>
      </c>
      <c r="B766" s="2" t="n">
        <v>0</v>
      </c>
      <c r="C766" s="2" t="n">
        <f aca="false">MAX(A766,B766)</f>
        <v>7.6726224516683</v>
      </c>
      <c r="E766" s="2" t="n">
        <v>3.87323900344052</v>
      </c>
    </row>
    <row r="767" customFormat="false" ht="13" hidden="false" customHeight="false" outlineLevel="0" collapsed="false">
      <c r="A767" s="2" t="n">
        <v>0</v>
      </c>
      <c r="B767" s="2" t="n">
        <v>14.1402355528884</v>
      </c>
      <c r="C767" s="2" t="n">
        <f aca="false">MAX(A767,B767)</f>
        <v>14.1402355528884</v>
      </c>
      <c r="E767" s="2" t="n">
        <v>3.86609471458928</v>
      </c>
    </row>
    <row r="768" customFormat="false" ht="13" hidden="false" customHeight="false" outlineLevel="0" collapsed="false">
      <c r="A768" s="2" t="n">
        <v>7.31125359606335</v>
      </c>
      <c r="B768" s="2" t="n">
        <v>0</v>
      </c>
      <c r="C768" s="2" t="n">
        <f aca="false">MAX(A768,B768)</f>
        <v>7.31125359606335</v>
      </c>
      <c r="E768" s="2" t="n">
        <v>3.86593767057597</v>
      </c>
    </row>
    <row r="769" customFormat="false" ht="13" hidden="false" customHeight="false" outlineLevel="0" collapsed="false">
      <c r="A769" s="2" t="n">
        <v>0</v>
      </c>
      <c r="B769" s="2" t="n">
        <v>15.0919906574003</v>
      </c>
      <c r="C769" s="2" t="n">
        <f aca="false">MAX(A769,B769)</f>
        <v>15.0919906574003</v>
      </c>
      <c r="E769" s="2" t="n">
        <v>3.86335000402903</v>
      </c>
    </row>
    <row r="770" customFormat="false" ht="13" hidden="false" customHeight="false" outlineLevel="0" collapsed="false">
      <c r="A770" s="2" t="n">
        <v>0</v>
      </c>
      <c r="B770" s="2" t="n">
        <v>15.779091487835</v>
      </c>
      <c r="C770" s="2" t="n">
        <f aca="false">MAX(A770,B770)</f>
        <v>15.779091487835</v>
      </c>
      <c r="E770" s="2" t="n">
        <v>3.84739648234716</v>
      </c>
    </row>
    <row r="771" customFormat="false" ht="13" hidden="false" customHeight="false" outlineLevel="0" collapsed="false">
      <c r="A771" s="2" t="n">
        <v>0</v>
      </c>
      <c r="B771" s="2" t="n">
        <v>17.9297268779746</v>
      </c>
      <c r="C771" s="2" t="n">
        <f aca="false">MAX(A771,B771)</f>
        <v>17.9297268779746</v>
      </c>
      <c r="E771" s="2" t="n">
        <v>3.82422810721164</v>
      </c>
    </row>
    <row r="772" customFormat="false" ht="13" hidden="false" customHeight="false" outlineLevel="0" collapsed="false">
      <c r="A772" s="2" t="n">
        <v>0</v>
      </c>
      <c r="B772" s="2" t="n">
        <v>19.3745997422952</v>
      </c>
      <c r="C772" s="2" t="n">
        <f aca="false">MAX(A772,B772)</f>
        <v>19.3745997422952</v>
      </c>
      <c r="E772" s="2" t="n">
        <v>3.81849225675182</v>
      </c>
    </row>
    <row r="773" customFormat="false" ht="13" hidden="false" customHeight="false" outlineLevel="0" collapsed="false">
      <c r="A773" s="2" t="n">
        <v>6.83166135896806</v>
      </c>
      <c r="B773" s="2" t="n">
        <v>0</v>
      </c>
      <c r="C773" s="2" t="n">
        <f aca="false">MAX(A773,B773)</f>
        <v>6.83166135896806</v>
      </c>
      <c r="E773" s="2" t="n">
        <v>3.81837678933624</v>
      </c>
    </row>
    <row r="774" customFormat="false" ht="13" hidden="false" customHeight="false" outlineLevel="0" collapsed="false">
      <c r="A774" s="2" t="n">
        <v>0</v>
      </c>
      <c r="B774" s="2" t="n">
        <v>20.7510776762679</v>
      </c>
      <c r="C774" s="2" t="n">
        <f aca="false">MAX(A774,B774)</f>
        <v>20.7510776762679</v>
      </c>
      <c r="E774" s="2" t="n">
        <v>3.80793497296662</v>
      </c>
    </row>
    <row r="775" customFormat="false" ht="13" hidden="false" customHeight="false" outlineLevel="0" collapsed="false">
      <c r="A775" s="2" t="n">
        <v>7.52376635211908</v>
      </c>
      <c r="B775" s="2" t="n">
        <v>0</v>
      </c>
      <c r="C775" s="2" t="n">
        <f aca="false">MAX(A775,B775)</f>
        <v>7.52376635211908</v>
      </c>
      <c r="E775" s="2" t="n">
        <v>3.79663732543838</v>
      </c>
    </row>
    <row r="776" customFormat="false" ht="13" hidden="false" customHeight="false" outlineLevel="0" collapsed="false">
      <c r="A776" s="2" t="n">
        <v>0</v>
      </c>
      <c r="B776" s="2" t="n">
        <v>21.1365987703516</v>
      </c>
      <c r="C776" s="2" t="n">
        <f aca="false">MAX(A776,B776)</f>
        <v>21.1365987703516</v>
      </c>
      <c r="E776" s="2" t="n">
        <v>3.79375242338256</v>
      </c>
    </row>
    <row r="777" customFormat="false" ht="13" hidden="false" customHeight="false" outlineLevel="0" collapsed="false">
      <c r="A777" s="2" t="n">
        <v>0</v>
      </c>
      <c r="B777" s="2" t="n">
        <v>23.1617198158299</v>
      </c>
      <c r="C777" s="2" t="n">
        <f aca="false">MAX(A777,B777)</f>
        <v>23.1617198158299</v>
      </c>
      <c r="E777" s="2" t="n">
        <v>3.76938761907172</v>
      </c>
    </row>
    <row r="778" customFormat="false" ht="13" hidden="false" customHeight="false" outlineLevel="0" collapsed="false">
      <c r="A778" s="2" t="n">
        <v>0</v>
      </c>
      <c r="B778" s="2" t="n">
        <v>24.590687198807</v>
      </c>
      <c r="C778" s="2" t="n">
        <f aca="false">MAX(A778,B778)</f>
        <v>24.590687198807</v>
      </c>
      <c r="E778" s="2" t="n">
        <v>3.76351852757193</v>
      </c>
    </row>
    <row r="779" customFormat="false" ht="13" hidden="false" customHeight="false" outlineLevel="0" collapsed="false">
      <c r="A779" s="2" t="n">
        <v>0</v>
      </c>
      <c r="B779" s="2" t="n">
        <v>25.8540195212821</v>
      </c>
      <c r="C779" s="2" t="n">
        <f aca="false">MAX(A779,B779)</f>
        <v>25.8540195212821</v>
      </c>
      <c r="E779" s="2" t="n">
        <v>3.76070670225126</v>
      </c>
    </row>
    <row r="780" customFormat="false" ht="13" hidden="false" customHeight="false" outlineLevel="0" collapsed="false">
      <c r="A780" s="2" t="n">
        <v>6.96502625541962</v>
      </c>
      <c r="B780" s="2" t="n">
        <v>0</v>
      </c>
      <c r="C780" s="2" t="n">
        <f aca="false">MAX(A780,B780)</f>
        <v>6.96502625541962</v>
      </c>
      <c r="E780" s="2" t="n">
        <v>3.74040309694351</v>
      </c>
    </row>
    <row r="781" customFormat="false" ht="13" hidden="false" customHeight="false" outlineLevel="0" collapsed="false">
      <c r="A781" s="2" t="n">
        <v>0</v>
      </c>
      <c r="B781" s="2" t="n">
        <v>26.7208089237112</v>
      </c>
      <c r="C781" s="2" t="n">
        <f aca="false">MAX(A781,B781)</f>
        <v>26.7208089237112</v>
      </c>
      <c r="E781" s="2" t="n">
        <v>3.73000156467992</v>
      </c>
    </row>
    <row r="782" customFormat="false" ht="13" hidden="false" customHeight="false" outlineLevel="0" collapsed="false">
      <c r="A782" s="2" t="n">
        <v>0</v>
      </c>
      <c r="B782" s="2" t="n">
        <v>27.0564576604224</v>
      </c>
      <c r="C782" s="2" t="n">
        <f aca="false">MAX(A782,B782)</f>
        <v>27.0564576604224</v>
      </c>
      <c r="E782" s="2" t="n">
        <v>3.72859823119961</v>
      </c>
    </row>
    <row r="783" customFormat="false" ht="13" hidden="false" customHeight="false" outlineLevel="0" collapsed="false">
      <c r="A783" s="2" t="n">
        <v>6.98041585666863</v>
      </c>
      <c r="B783" s="2" t="n">
        <v>0</v>
      </c>
      <c r="C783" s="2" t="n">
        <f aca="false">MAX(A783,B783)</f>
        <v>6.98041585666863</v>
      </c>
      <c r="E783" s="2" t="n">
        <v>3.71925535468768</v>
      </c>
    </row>
    <row r="784" customFormat="false" ht="13" hidden="false" customHeight="false" outlineLevel="0" collapsed="false">
      <c r="A784" s="2" t="n">
        <v>0</v>
      </c>
      <c r="B784" s="2" t="n">
        <v>27.6613480203328</v>
      </c>
      <c r="C784" s="2" t="n">
        <f aca="false">MAX(A784,B784)</f>
        <v>27.6613480203328</v>
      </c>
      <c r="E784" s="2" t="n">
        <v>3.70917769939285</v>
      </c>
    </row>
    <row r="785" customFormat="false" ht="13" hidden="false" customHeight="false" outlineLevel="0" collapsed="false">
      <c r="A785" s="2" t="n">
        <v>7.62607104160179</v>
      </c>
      <c r="B785" s="2" t="n">
        <v>0</v>
      </c>
      <c r="C785" s="2" t="n">
        <f aca="false">MAX(A785,B785)</f>
        <v>7.62607104160179</v>
      </c>
      <c r="E785" s="2" t="n">
        <v>3.69826581284292</v>
      </c>
    </row>
    <row r="786" customFormat="false" ht="13" hidden="false" customHeight="false" outlineLevel="0" collapsed="false">
      <c r="A786" s="2" t="n">
        <v>6.76842327030715</v>
      </c>
      <c r="B786" s="2" t="n">
        <v>0</v>
      </c>
      <c r="C786" s="2" t="n">
        <f aca="false">MAX(A786,B786)</f>
        <v>6.76842327030715</v>
      </c>
      <c r="E786" s="2" t="n">
        <v>3.69620069283224</v>
      </c>
    </row>
    <row r="787" customFormat="false" ht="13" hidden="false" customHeight="false" outlineLevel="0" collapsed="false">
      <c r="A787" s="2" t="n">
        <v>4.24534449566409</v>
      </c>
      <c r="B787" s="2" t="n">
        <v>0</v>
      </c>
      <c r="C787" s="2" t="n">
        <f aca="false">MAX(A787,B787)</f>
        <v>4.24534449566409</v>
      </c>
      <c r="E787" s="2" t="n">
        <v>3.69600916166235</v>
      </c>
    </row>
    <row r="788" customFormat="false" ht="13" hidden="false" customHeight="false" outlineLevel="0" collapsed="false">
      <c r="A788" s="2" t="n">
        <v>0</v>
      </c>
      <c r="B788" s="2" t="n">
        <v>21.5035312596782</v>
      </c>
      <c r="C788" s="2" t="n">
        <f aca="false">MAX(A788,B788)</f>
        <v>21.5035312596782</v>
      </c>
      <c r="E788" s="2" t="n">
        <v>3.67846969697309</v>
      </c>
    </row>
    <row r="789" customFormat="false" ht="13" hidden="false" customHeight="false" outlineLevel="0" collapsed="false">
      <c r="A789" s="2" t="n">
        <v>0</v>
      </c>
      <c r="B789" s="2" t="n">
        <v>22.650345518776</v>
      </c>
      <c r="C789" s="2" t="n">
        <f aca="false">MAX(A789,B789)</f>
        <v>22.650345518776</v>
      </c>
      <c r="E789" s="2" t="n">
        <v>3.67549057368427</v>
      </c>
    </row>
    <row r="790" customFormat="false" ht="13" hidden="false" customHeight="false" outlineLevel="0" collapsed="false">
      <c r="A790" s="2" t="n">
        <v>0</v>
      </c>
      <c r="B790" s="2" t="n">
        <v>23.2305466833491</v>
      </c>
      <c r="C790" s="2" t="n">
        <f aca="false">MAX(A790,B790)</f>
        <v>23.2305466833491</v>
      </c>
      <c r="E790" s="2" t="n">
        <v>3.67517388690809</v>
      </c>
    </row>
    <row r="791" customFormat="false" ht="13" hidden="false" customHeight="false" outlineLevel="0" collapsed="false">
      <c r="A791" s="2" t="n">
        <v>2.2341857650581</v>
      </c>
      <c r="B791" s="2" t="n">
        <v>0</v>
      </c>
      <c r="C791" s="2" t="n">
        <f aca="false">MAX(A791,B791)</f>
        <v>2.2341857650581</v>
      </c>
      <c r="E791" s="2" t="n">
        <v>3.65824876114289</v>
      </c>
    </row>
    <row r="792" customFormat="false" ht="13" hidden="false" customHeight="false" outlineLevel="0" collapsed="false">
      <c r="A792" s="2" t="n">
        <v>4.11327727056153</v>
      </c>
      <c r="B792" s="2" t="n">
        <v>0</v>
      </c>
      <c r="C792" s="2" t="n">
        <f aca="false">MAX(A792,B792)</f>
        <v>4.11327727056153</v>
      </c>
      <c r="E792" s="2" t="n">
        <v>3.64684850744237</v>
      </c>
    </row>
    <row r="793" customFormat="false" ht="13" hidden="false" customHeight="false" outlineLevel="0" collapsed="false">
      <c r="A793" s="2" t="n">
        <v>0</v>
      </c>
      <c r="B793" s="2" t="n">
        <v>21.3446835843108</v>
      </c>
      <c r="C793" s="2" t="n">
        <f aca="false">MAX(A793,B793)</f>
        <v>21.3446835843108</v>
      </c>
      <c r="E793" s="2" t="n">
        <v>3.64377460569608</v>
      </c>
    </row>
    <row r="794" customFormat="false" ht="13" hidden="false" customHeight="false" outlineLevel="0" collapsed="false">
      <c r="A794" s="2" t="n">
        <v>4.12879836997865</v>
      </c>
      <c r="B794" s="2" t="n">
        <v>0</v>
      </c>
      <c r="C794" s="2" t="n">
        <f aca="false">MAX(A794,B794)</f>
        <v>4.12879836997865</v>
      </c>
      <c r="E794" s="2" t="n">
        <v>3.62544590558798</v>
      </c>
    </row>
    <row r="795" customFormat="false" ht="13" hidden="false" customHeight="false" outlineLevel="0" collapsed="false">
      <c r="A795" s="2" t="n">
        <v>0</v>
      </c>
      <c r="B795" s="2" t="n">
        <v>20.4492287609797</v>
      </c>
      <c r="C795" s="2" t="n">
        <f aca="false">MAX(A795,B795)</f>
        <v>20.4492287609797</v>
      </c>
      <c r="E795" s="2" t="n">
        <v>3.57432841574973</v>
      </c>
    </row>
    <row r="796" customFormat="false" ht="13" hidden="false" customHeight="false" outlineLevel="0" collapsed="false">
      <c r="A796" s="2" t="n">
        <v>4.71618384870487</v>
      </c>
      <c r="B796" s="2" t="n">
        <v>0</v>
      </c>
      <c r="C796" s="2" t="n">
        <f aca="false">MAX(A796,B796)</f>
        <v>4.71618384870487</v>
      </c>
      <c r="E796" s="2" t="n">
        <v>3.56633315603639</v>
      </c>
    </row>
    <row r="797" customFormat="false" ht="13" hidden="false" customHeight="false" outlineLevel="0" collapsed="false">
      <c r="A797" s="2" t="n">
        <v>0</v>
      </c>
      <c r="B797" s="2" t="n">
        <v>21.3155075543464</v>
      </c>
      <c r="C797" s="2" t="n">
        <f aca="false">MAX(A797,B797)</f>
        <v>21.3155075543464</v>
      </c>
      <c r="E797" s="2" t="n">
        <v>3.54655171575732</v>
      </c>
    </row>
    <row r="798" customFormat="false" ht="13" hidden="false" customHeight="false" outlineLevel="0" collapsed="false">
      <c r="A798" s="2" t="n">
        <v>0</v>
      </c>
      <c r="B798" s="2" t="n">
        <v>23.3453162588276</v>
      </c>
      <c r="C798" s="2" t="n">
        <f aca="false">MAX(A798,B798)</f>
        <v>23.3453162588276</v>
      </c>
      <c r="E798" s="2" t="n">
        <v>3.51812855438175</v>
      </c>
    </row>
    <row r="799" customFormat="false" ht="13" hidden="false" customHeight="false" outlineLevel="0" collapsed="false">
      <c r="A799" s="2" t="n">
        <v>0</v>
      </c>
      <c r="B799" s="2" t="n">
        <v>24.140535283007</v>
      </c>
      <c r="C799" s="2" t="n">
        <f aca="false">MAX(A799,B799)</f>
        <v>24.140535283007</v>
      </c>
      <c r="E799" s="2" t="n">
        <v>3.51378431864794</v>
      </c>
    </row>
    <row r="800" customFormat="false" ht="13" hidden="false" customHeight="false" outlineLevel="0" collapsed="false">
      <c r="A800" s="2" t="n">
        <v>2.32054973850688</v>
      </c>
      <c r="B800" s="2" t="n">
        <v>0</v>
      </c>
      <c r="C800" s="2" t="n">
        <f aca="false">MAX(A800,B800)</f>
        <v>2.32054973850688</v>
      </c>
      <c r="E800" s="2" t="n">
        <v>3.50294217848045</v>
      </c>
    </row>
    <row r="801" customFormat="false" ht="13" hidden="false" customHeight="false" outlineLevel="0" collapsed="false">
      <c r="A801" s="2" t="n">
        <v>0</v>
      </c>
      <c r="B801" s="2" t="n">
        <v>22.5070078008949</v>
      </c>
      <c r="C801" s="2" t="n">
        <f aca="false">MAX(A801,B801)</f>
        <v>22.5070078008949</v>
      </c>
      <c r="E801" s="2" t="n">
        <v>3.5021829696818</v>
      </c>
    </row>
    <row r="802" customFormat="false" ht="13" hidden="false" customHeight="false" outlineLevel="0" collapsed="false">
      <c r="A802" s="2" t="n">
        <v>0</v>
      </c>
      <c r="B802" s="2" t="n">
        <v>23.4050094504413</v>
      </c>
      <c r="C802" s="2" t="n">
        <f aca="false">MAX(A802,B802)</f>
        <v>23.4050094504413</v>
      </c>
      <c r="E802" s="2" t="n">
        <v>3.48599307318511</v>
      </c>
    </row>
    <row r="803" customFormat="false" ht="13" hidden="false" customHeight="false" outlineLevel="0" collapsed="false">
      <c r="A803" s="2" t="n">
        <v>2.09625274485325</v>
      </c>
      <c r="B803" s="2" t="n">
        <v>0</v>
      </c>
      <c r="C803" s="2" t="n">
        <f aca="false">MAX(A803,B803)</f>
        <v>2.09625274485325</v>
      </c>
      <c r="E803" s="2" t="n">
        <v>3.47448450641991</v>
      </c>
    </row>
    <row r="804" customFormat="false" ht="13" hidden="false" customHeight="false" outlineLevel="0" collapsed="false">
      <c r="A804" s="2" t="n">
        <v>3.45392823039663</v>
      </c>
      <c r="B804" s="2" t="n">
        <v>0</v>
      </c>
      <c r="C804" s="2" t="n">
        <f aca="false">MAX(A804,B804)</f>
        <v>3.45392823039663</v>
      </c>
      <c r="E804" s="2" t="n">
        <v>3.47156727007484</v>
      </c>
    </row>
    <row r="805" customFormat="false" ht="13" hidden="false" customHeight="false" outlineLevel="0" collapsed="false">
      <c r="A805" s="2" t="n">
        <v>0</v>
      </c>
      <c r="B805" s="2" t="n">
        <v>23.8065472053315</v>
      </c>
      <c r="C805" s="2" t="n">
        <f aca="false">MAX(A805,B805)</f>
        <v>23.8065472053315</v>
      </c>
      <c r="E805" s="2" t="n">
        <v>3.4635880523339</v>
      </c>
    </row>
    <row r="806" customFormat="false" ht="13" hidden="false" customHeight="false" outlineLevel="0" collapsed="false">
      <c r="A806" s="2" t="n">
        <v>4.59836089210251</v>
      </c>
      <c r="B806" s="2" t="n">
        <v>0</v>
      </c>
      <c r="C806" s="2" t="n">
        <f aca="false">MAX(A806,B806)</f>
        <v>4.59836089210251</v>
      </c>
      <c r="E806" s="2" t="n">
        <v>3.45392823039663</v>
      </c>
    </row>
    <row r="807" customFormat="false" ht="13" hidden="false" customHeight="false" outlineLevel="0" collapsed="false">
      <c r="A807" s="2" t="n">
        <v>2.0012169733709</v>
      </c>
      <c r="B807" s="2" t="n">
        <v>0</v>
      </c>
      <c r="C807" s="2" t="n">
        <f aca="false">MAX(A807,B807)</f>
        <v>2.0012169733709</v>
      </c>
      <c r="E807" s="2" t="n">
        <v>3.44283563139504</v>
      </c>
    </row>
    <row r="808" customFormat="false" ht="13" hidden="false" customHeight="false" outlineLevel="0" collapsed="false">
      <c r="A808" s="2" t="n">
        <v>0</v>
      </c>
      <c r="B808" s="2" t="n">
        <v>19.1215611555731</v>
      </c>
      <c r="C808" s="2" t="n">
        <f aca="false">MAX(A808,B808)</f>
        <v>19.1215611555731</v>
      </c>
      <c r="E808" s="2" t="n">
        <v>3.4340139564072</v>
      </c>
    </row>
    <row r="809" customFormat="false" ht="13" hidden="false" customHeight="false" outlineLevel="0" collapsed="false">
      <c r="A809" s="2" t="n">
        <v>0</v>
      </c>
      <c r="B809" s="2" t="n">
        <v>20.5566793841972</v>
      </c>
      <c r="C809" s="2" t="n">
        <f aca="false">MAX(A809,B809)</f>
        <v>20.5566793841972</v>
      </c>
      <c r="E809" s="2" t="n">
        <v>3.42241038323027</v>
      </c>
    </row>
    <row r="810" customFormat="false" ht="13" hidden="false" customHeight="false" outlineLevel="0" collapsed="false">
      <c r="A810" s="2" t="n">
        <v>2.22576680645432</v>
      </c>
      <c r="B810" s="2" t="n">
        <v>0</v>
      </c>
      <c r="C810" s="2" t="n">
        <f aca="false">MAX(A810,B810)</f>
        <v>2.22576680645432</v>
      </c>
      <c r="E810" s="2" t="n">
        <v>3.39912672290012</v>
      </c>
    </row>
    <row r="811" customFormat="false" ht="13" hidden="false" customHeight="false" outlineLevel="0" collapsed="false">
      <c r="A811" s="2" t="n">
        <v>1.8923631036314</v>
      </c>
      <c r="B811" s="2" t="n">
        <v>0</v>
      </c>
      <c r="C811" s="2" t="n">
        <f aca="false">MAX(A811,B811)</f>
        <v>1.8923631036314</v>
      </c>
      <c r="E811" s="2" t="n">
        <v>3.3977108620839</v>
      </c>
    </row>
    <row r="812" customFormat="false" ht="13" hidden="false" customHeight="false" outlineLevel="0" collapsed="false">
      <c r="A812" s="2" t="n">
        <v>0</v>
      </c>
      <c r="B812" s="2" t="n">
        <v>19.0018664132136</v>
      </c>
      <c r="C812" s="2" t="n">
        <f aca="false">MAX(A812,B812)</f>
        <v>19.0018664132136</v>
      </c>
      <c r="E812" s="2" t="n">
        <v>3.38376116170986</v>
      </c>
    </row>
    <row r="813" customFormat="false" ht="13" hidden="false" customHeight="false" outlineLevel="0" collapsed="false">
      <c r="A813" s="2" t="n">
        <v>0</v>
      </c>
      <c r="B813" s="2" t="n">
        <v>20.7101473808565</v>
      </c>
      <c r="C813" s="2" t="n">
        <f aca="false">MAX(A813,B813)</f>
        <v>20.7101473808565</v>
      </c>
      <c r="E813" s="2" t="n">
        <v>3.36215687966609</v>
      </c>
    </row>
    <row r="814" customFormat="false" ht="13" hidden="false" customHeight="false" outlineLevel="0" collapsed="false">
      <c r="A814" s="2" t="n">
        <v>2.9262060600779</v>
      </c>
      <c r="B814" s="2" t="n">
        <v>0</v>
      </c>
      <c r="C814" s="2" t="n">
        <f aca="false">MAX(A814,B814)</f>
        <v>2.9262060600779</v>
      </c>
      <c r="E814" s="2" t="n">
        <v>3.35146267720984</v>
      </c>
    </row>
    <row r="815" customFormat="false" ht="13" hidden="false" customHeight="false" outlineLevel="0" collapsed="false">
      <c r="A815" s="2" t="n">
        <v>4.36810901743206</v>
      </c>
      <c r="B815" s="2" t="n">
        <v>0</v>
      </c>
      <c r="C815" s="2" t="n">
        <f aca="false">MAX(A815,B815)</f>
        <v>4.36810901743206</v>
      </c>
      <c r="E815" s="2" t="n">
        <v>3.33160954370806</v>
      </c>
    </row>
    <row r="816" customFormat="false" ht="13" hidden="false" customHeight="false" outlineLevel="0" collapsed="false">
      <c r="A816" s="2" t="n">
        <v>6.24168542917505</v>
      </c>
      <c r="B816" s="2" t="n">
        <v>0</v>
      </c>
      <c r="C816" s="2" t="n">
        <f aca="false">MAX(A816,B816)</f>
        <v>6.24168542917505</v>
      </c>
      <c r="E816" s="2" t="n">
        <v>3.32960813280317</v>
      </c>
    </row>
    <row r="817" customFormat="false" ht="13" hidden="false" customHeight="false" outlineLevel="0" collapsed="false">
      <c r="A817" s="2" t="n">
        <v>0</v>
      </c>
      <c r="B817" s="2" t="n">
        <v>21.3486842902501</v>
      </c>
      <c r="C817" s="2" t="n">
        <f aca="false">MAX(A817,B817)</f>
        <v>21.3486842902501</v>
      </c>
      <c r="E817" s="2" t="n">
        <v>3.32694455459318</v>
      </c>
    </row>
    <row r="818" customFormat="false" ht="13" hidden="false" customHeight="false" outlineLevel="0" collapsed="false">
      <c r="A818" s="2" t="n">
        <v>0</v>
      </c>
      <c r="B818" s="2" t="n">
        <v>22.6606745894151</v>
      </c>
      <c r="C818" s="2" t="n">
        <f aca="false">MAX(A818,B818)</f>
        <v>22.6606745894151</v>
      </c>
      <c r="E818" s="2" t="n">
        <v>3.30394703370066</v>
      </c>
    </row>
    <row r="819" customFormat="false" ht="13" hidden="false" customHeight="false" outlineLevel="0" collapsed="false">
      <c r="A819" s="2" t="n">
        <v>0</v>
      </c>
      <c r="B819" s="2" t="n">
        <v>24.2797522597033</v>
      </c>
      <c r="C819" s="2" t="n">
        <f aca="false">MAX(A819,B819)</f>
        <v>24.2797522597033</v>
      </c>
      <c r="E819" s="2" t="n">
        <v>3.27656155954162</v>
      </c>
    </row>
    <row r="820" customFormat="false" ht="13" hidden="false" customHeight="false" outlineLevel="0" collapsed="false">
      <c r="A820" s="2" t="n">
        <v>3.74040309694351</v>
      </c>
      <c r="B820" s="2" t="n">
        <v>0</v>
      </c>
      <c r="C820" s="2" t="n">
        <f aca="false">MAX(A820,B820)</f>
        <v>3.74040309694351</v>
      </c>
      <c r="E820" s="2" t="n">
        <v>3.2565360195714</v>
      </c>
    </row>
    <row r="821" customFormat="false" ht="13" hidden="false" customHeight="false" outlineLevel="0" collapsed="false">
      <c r="A821" s="2" t="n">
        <v>2.01974888181621</v>
      </c>
      <c r="B821" s="2" t="n">
        <v>0</v>
      </c>
      <c r="C821" s="2" t="n">
        <f aca="false">MAX(A821,B821)</f>
        <v>2.01974888181621</v>
      </c>
      <c r="E821" s="2" t="n">
        <v>3.2538370271094</v>
      </c>
    </row>
    <row r="822" customFormat="false" ht="13" hidden="false" customHeight="false" outlineLevel="0" collapsed="false">
      <c r="A822" s="2" t="n">
        <v>0</v>
      </c>
      <c r="B822" s="2" t="n">
        <v>18.6633442710152</v>
      </c>
      <c r="C822" s="2" t="n">
        <f aca="false">MAX(A822,B822)</f>
        <v>18.6633442710152</v>
      </c>
      <c r="E822" s="2" t="n">
        <v>3.2511791168638</v>
      </c>
    </row>
    <row r="823" customFormat="false" ht="13" hidden="false" customHeight="false" outlineLevel="0" collapsed="false">
      <c r="A823" s="2" t="n">
        <v>0</v>
      </c>
      <c r="B823" s="2" t="n">
        <v>19.0833558079623</v>
      </c>
      <c r="C823" s="2" t="n">
        <f aca="false">MAX(A823,B823)</f>
        <v>19.0833558079623</v>
      </c>
      <c r="E823" s="2" t="n">
        <v>3.24998484841036</v>
      </c>
    </row>
    <row r="824" customFormat="false" ht="13" hidden="false" customHeight="false" outlineLevel="0" collapsed="false">
      <c r="A824" s="2" t="n">
        <v>2.05943181702605</v>
      </c>
      <c r="B824" s="2" t="n">
        <v>0</v>
      </c>
      <c r="C824" s="2" t="n">
        <f aca="false">MAX(A824,B824)</f>
        <v>2.05943181702605</v>
      </c>
      <c r="E824" s="2" t="n">
        <v>3.24197382927184</v>
      </c>
    </row>
    <row r="825" customFormat="false" ht="13" hidden="false" customHeight="false" outlineLevel="0" collapsed="false">
      <c r="A825" s="2" t="n">
        <v>3.2538370271094</v>
      </c>
      <c r="B825" s="2" t="n">
        <v>0</v>
      </c>
      <c r="C825" s="2" t="n">
        <f aca="false">MAX(A825,B825)</f>
        <v>3.2538370271094</v>
      </c>
      <c r="E825" s="2" t="n">
        <v>3.23369772608926</v>
      </c>
    </row>
    <row r="826" customFormat="false" ht="13" hidden="false" customHeight="false" outlineLevel="0" collapsed="false">
      <c r="A826" s="2" t="n">
        <v>0</v>
      </c>
      <c r="B826" s="2" t="n">
        <v>19.0740434066479</v>
      </c>
      <c r="C826" s="2" t="n">
        <f aca="false">MAX(A826,B826)</f>
        <v>19.0740434066479</v>
      </c>
      <c r="E826" s="2" t="n">
        <v>3.21402390399326</v>
      </c>
    </row>
    <row r="827" customFormat="false" ht="13" hidden="false" customHeight="false" outlineLevel="0" collapsed="false">
      <c r="A827" s="2" t="n">
        <v>0</v>
      </c>
      <c r="B827" s="2" t="n">
        <v>20.5573472967631</v>
      </c>
      <c r="C827" s="2" t="n">
        <f aca="false">MAX(A827,B827)</f>
        <v>20.5573472967631</v>
      </c>
      <c r="E827" s="2" t="n">
        <v>3.20887354636523</v>
      </c>
    </row>
    <row r="828" customFormat="false" ht="13" hidden="false" customHeight="false" outlineLevel="0" collapsed="false">
      <c r="A828" s="2" t="n">
        <v>0</v>
      </c>
      <c r="B828" s="2" t="n">
        <v>21.7389749271367</v>
      </c>
      <c r="C828" s="2" t="n">
        <f aca="false">MAX(A828,B828)</f>
        <v>21.7389749271367</v>
      </c>
      <c r="E828" s="2" t="n">
        <v>3.1885739561418</v>
      </c>
    </row>
    <row r="829" customFormat="false" ht="13" hidden="false" customHeight="false" outlineLevel="0" collapsed="false">
      <c r="A829" s="2" t="n">
        <v>0</v>
      </c>
      <c r="B829" s="2" t="n">
        <v>22.5984197450799</v>
      </c>
      <c r="C829" s="2" t="n">
        <f aca="false">MAX(A829,B829)</f>
        <v>22.5984197450799</v>
      </c>
      <c r="E829" s="2" t="n">
        <v>3.1746453839246</v>
      </c>
    </row>
    <row r="830" customFormat="false" ht="13" hidden="false" customHeight="false" outlineLevel="0" collapsed="false">
      <c r="A830" s="2" t="n">
        <v>0</v>
      </c>
      <c r="B830" s="2" t="n">
        <v>23.0668387183393</v>
      </c>
      <c r="C830" s="2" t="n">
        <f aca="false">MAX(A830,B830)</f>
        <v>23.0668387183393</v>
      </c>
      <c r="E830" s="2" t="n">
        <v>3.17029031034782</v>
      </c>
    </row>
    <row r="831" customFormat="false" ht="13" hidden="false" customHeight="false" outlineLevel="0" collapsed="false">
      <c r="A831" s="2" t="n">
        <v>0</v>
      </c>
      <c r="B831" s="2" t="n">
        <v>23.3241397445925</v>
      </c>
      <c r="C831" s="2" t="n">
        <f aca="false">MAX(A831,B831)</f>
        <v>23.3241397445925</v>
      </c>
      <c r="E831" s="2" t="n">
        <v>3.16657449158038</v>
      </c>
    </row>
    <row r="832" customFormat="false" ht="13" hidden="false" customHeight="false" outlineLevel="0" collapsed="false">
      <c r="A832" s="2" t="n">
        <v>1.87939828075923</v>
      </c>
      <c r="B832" s="2" t="n">
        <v>0</v>
      </c>
      <c r="C832" s="2" t="n">
        <f aca="false">MAX(A832,B832)</f>
        <v>1.87939828075923</v>
      </c>
      <c r="E832" s="2" t="n">
        <v>3.16331834291981</v>
      </c>
    </row>
    <row r="833" customFormat="false" ht="13" hidden="false" customHeight="false" outlineLevel="0" collapsed="false">
      <c r="A833" s="2" t="n">
        <v>2.17617883642606</v>
      </c>
      <c r="B833" s="2" t="n">
        <v>0</v>
      </c>
      <c r="C833" s="2" t="n">
        <f aca="false">MAX(A833,B833)</f>
        <v>2.17617883642606</v>
      </c>
      <c r="E833" s="2" t="n">
        <v>3.12954931400941</v>
      </c>
    </row>
    <row r="834" customFormat="false" ht="13" hidden="false" customHeight="false" outlineLevel="0" collapsed="false">
      <c r="A834" s="2" t="n">
        <v>0</v>
      </c>
      <c r="B834" s="2" t="n">
        <v>18.0217953160557</v>
      </c>
      <c r="C834" s="2" t="n">
        <f aca="false">MAX(A834,B834)</f>
        <v>18.0217953160557</v>
      </c>
      <c r="E834" s="2" t="n">
        <v>3.12011457624402</v>
      </c>
    </row>
    <row r="835" customFormat="false" ht="13" hidden="false" customHeight="false" outlineLevel="0" collapsed="false">
      <c r="A835" s="2" t="n">
        <v>2.73323553123453</v>
      </c>
      <c r="B835" s="2" t="n">
        <v>0</v>
      </c>
      <c r="C835" s="2" t="n">
        <f aca="false">MAX(A835,B835)</f>
        <v>2.73323553123453</v>
      </c>
      <c r="E835" s="2" t="n">
        <v>3.08611147820579</v>
      </c>
    </row>
    <row r="836" customFormat="false" ht="13" hidden="false" customHeight="false" outlineLevel="0" collapsed="false">
      <c r="A836" s="2" t="n">
        <v>4.58739679736198</v>
      </c>
      <c r="B836" s="2" t="n">
        <v>0</v>
      </c>
      <c r="C836" s="2" t="n">
        <f aca="false">MAX(A836,B836)</f>
        <v>4.58739679736198</v>
      </c>
      <c r="E836" s="2" t="n">
        <v>3.08146671931166</v>
      </c>
    </row>
    <row r="837" customFormat="false" ht="13" hidden="false" customHeight="false" outlineLevel="0" collapsed="false">
      <c r="A837" s="2" t="n">
        <v>0</v>
      </c>
      <c r="B837" s="2" t="n">
        <v>16.8842632758174</v>
      </c>
      <c r="C837" s="2" t="n">
        <f aca="false">MAX(A837,B837)</f>
        <v>16.8842632758174</v>
      </c>
      <c r="E837" s="2" t="n">
        <v>3.07115736170431</v>
      </c>
    </row>
    <row r="838" customFormat="false" ht="13" hidden="false" customHeight="false" outlineLevel="0" collapsed="false">
      <c r="A838" s="2" t="n">
        <v>3.95757211765533</v>
      </c>
      <c r="B838" s="2" t="n">
        <v>0</v>
      </c>
      <c r="C838" s="2" t="n">
        <f aca="false">MAX(A838,B838)</f>
        <v>3.95757211765533</v>
      </c>
      <c r="E838" s="2" t="n">
        <v>3.07068687039219</v>
      </c>
    </row>
    <row r="839" customFormat="false" ht="13" hidden="false" customHeight="false" outlineLevel="0" collapsed="false">
      <c r="A839" s="2" t="n">
        <v>5.18869553355773</v>
      </c>
      <c r="B839" s="2" t="n">
        <v>0</v>
      </c>
      <c r="C839" s="2" t="n">
        <f aca="false">MAX(A839,B839)</f>
        <v>5.18869553355773</v>
      </c>
      <c r="E839" s="2" t="n">
        <v>3.06190212383328</v>
      </c>
    </row>
    <row r="840" customFormat="false" ht="13" hidden="false" customHeight="false" outlineLevel="0" collapsed="false">
      <c r="A840" s="2" t="n">
        <v>0</v>
      </c>
      <c r="B840" s="2" t="n">
        <v>17.3536252029842</v>
      </c>
      <c r="C840" s="2" t="n">
        <f aca="false">MAX(A840,B840)</f>
        <v>17.3536252029842</v>
      </c>
      <c r="E840" s="2" t="n">
        <v>3.05907541999397</v>
      </c>
    </row>
    <row r="841" customFormat="false" ht="13" hidden="false" customHeight="false" outlineLevel="0" collapsed="false">
      <c r="A841" s="2" t="n">
        <v>0</v>
      </c>
      <c r="B841" s="2" t="n">
        <v>17.4940224835282</v>
      </c>
      <c r="C841" s="2" t="n">
        <f aca="false">MAX(A841,B841)</f>
        <v>17.4940224835282</v>
      </c>
      <c r="E841" s="2" t="n">
        <v>3.03748914427533</v>
      </c>
    </row>
    <row r="842" customFormat="false" ht="13" hidden="false" customHeight="false" outlineLevel="0" collapsed="false">
      <c r="A842" s="2" t="n">
        <v>0</v>
      </c>
      <c r="B842" s="2" t="n">
        <v>15.9310042570427</v>
      </c>
      <c r="C842" s="2" t="n">
        <f aca="false">MAX(A842,B842)</f>
        <v>15.9310042570427</v>
      </c>
      <c r="E842" s="2" t="n">
        <v>3.0205288102884</v>
      </c>
    </row>
    <row r="843" customFormat="false" ht="13" hidden="false" customHeight="false" outlineLevel="0" collapsed="false">
      <c r="A843" s="2" t="n">
        <v>2.22397032854951</v>
      </c>
      <c r="B843" s="2" t="n">
        <v>0</v>
      </c>
      <c r="C843" s="2" t="n">
        <f aca="false">MAX(A843,B843)</f>
        <v>2.22397032854951</v>
      </c>
      <c r="E843" s="2" t="n">
        <v>3.01481680130669</v>
      </c>
    </row>
    <row r="844" customFormat="false" ht="13" hidden="false" customHeight="false" outlineLevel="0" collapsed="false">
      <c r="A844" s="2" t="n">
        <v>0</v>
      </c>
      <c r="B844" s="2" t="n">
        <v>13.9962810641517</v>
      </c>
      <c r="C844" s="2" t="n">
        <f aca="false">MAX(A844,B844)</f>
        <v>13.9962810641517</v>
      </c>
      <c r="E844" s="2" t="n">
        <v>3.01224086034756</v>
      </c>
    </row>
    <row r="845" customFormat="false" ht="13" hidden="false" customHeight="false" outlineLevel="0" collapsed="false">
      <c r="A845" s="2" t="n">
        <v>0</v>
      </c>
      <c r="B845" s="2" t="n">
        <v>15.2271753512885</v>
      </c>
      <c r="C845" s="2" t="n">
        <f aca="false">MAX(A845,B845)</f>
        <v>15.2271753512885</v>
      </c>
      <c r="E845" s="2" t="n">
        <v>3.01218398597428</v>
      </c>
    </row>
    <row r="846" customFormat="false" ht="13" hidden="false" customHeight="false" outlineLevel="0" collapsed="false">
      <c r="A846" s="2" t="n">
        <v>0</v>
      </c>
      <c r="B846" s="2" t="n">
        <v>16.6120750404874</v>
      </c>
      <c r="C846" s="2" t="n">
        <f aca="false">MAX(A846,B846)</f>
        <v>16.6120750404874</v>
      </c>
      <c r="E846" s="2" t="n">
        <v>2.98565447562066</v>
      </c>
    </row>
    <row r="847" customFormat="false" ht="13" hidden="false" customHeight="false" outlineLevel="0" collapsed="false">
      <c r="A847" s="2" t="n">
        <v>0</v>
      </c>
      <c r="B847" s="2" t="n">
        <v>17.154105526094</v>
      </c>
      <c r="C847" s="2" t="n">
        <f aca="false">MAX(A847,B847)</f>
        <v>17.154105526094</v>
      </c>
      <c r="E847" s="2" t="n">
        <v>2.96422314396074</v>
      </c>
    </row>
    <row r="848" customFormat="false" ht="13" hidden="false" customHeight="false" outlineLevel="0" collapsed="false">
      <c r="A848" s="2" t="n">
        <v>0</v>
      </c>
      <c r="B848" s="2" t="n">
        <v>18.816816644693</v>
      </c>
      <c r="C848" s="2" t="n">
        <f aca="false">MAX(A848,B848)</f>
        <v>18.816816644693</v>
      </c>
      <c r="E848" s="2" t="n">
        <v>2.94209926797994</v>
      </c>
    </row>
    <row r="849" customFormat="false" ht="13" hidden="false" customHeight="false" outlineLevel="0" collapsed="false">
      <c r="A849" s="2" t="n">
        <v>0</v>
      </c>
      <c r="B849" s="2" t="n">
        <v>20.5823169297557</v>
      </c>
      <c r="C849" s="2" t="n">
        <f aca="false">MAX(A849,B849)</f>
        <v>20.5823169297557</v>
      </c>
      <c r="E849" s="2" t="n">
        <v>2.9262060600779</v>
      </c>
    </row>
    <row r="850" customFormat="false" ht="13" hidden="false" customHeight="false" outlineLevel="0" collapsed="false">
      <c r="A850" s="2" t="n">
        <v>0</v>
      </c>
      <c r="B850" s="2" t="n">
        <v>22.1661819309188</v>
      </c>
      <c r="C850" s="2" t="n">
        <f aca="false">MAX(A850,B850)</f>
        <v>22.1661819309188</v>
      </c>
      <c r="E850" s="2" t="n">
        <v>2.92098744171548</v>
      </c>
    </row>
    <row r="851" customFormat="false" ht="13" hidden="false" customHeight="false" outlineLevel="0" collapsed="false">
      <c r="A851" s="2" t="n">
        <v>2.21826018476258</v>
      </c>
      <c r="B851" s="2" t="n">
        <v>0</v>
      </c>
      <c r="C851" s="2" t="n">
        <f aca="false">MAX(A851,B851)</f>
        <v>2.21826018476258</v>
      </c>
      <c r="E851" s="2" t="n">
        <v>2.91962597834208</v>
      </c>
    </row>
    <row r="852" customFormat="false" ht="13" hidden="false" customHeight="false" outlineLevel="0" collapsed="false">
      <c r="A852" s="2" t="n">
        <v>4.01113877182866</v>
      </c>
      <c r="B852" s="2" t="n">
        <v>0</v>
      </c>
      <c r="C852" s="2" t="n">
        <f aca="false">MAX(A852,B852)</f>
        <v>4.01113877182866</v>
      </c>
      <c r="E852" s="2" t="n">
        <v>2.90446033954089</v>
      </c>
    </row>
    <row r="853" customFormat="false" ht="13" hidden="false" customHeight="false" outlineLevel="0" collapsed="false">
      <c r="A853" s="2" t="n">
        <v>0</v>
      </c>
      <c r="B853" s="2" t="n">
        <v>23.6513598776291</v>
      </c>
      <c r="C853" s="2" t="n">
        <f aca="false">MAX(A853,B853)</f>
        <v>23.6513598776291</v>
      </c>
      <c r="E853" s="2" t="n">
        <v>2.89835550102373</v>
      </c>
    </row>
    <row r="854" customFormat="false" ht="13" hidden="false" customHeight="false" outlineLevel="0" collapsed="false">
      <c r="A854" s="2" t="n">
        <v>3.96653722033591</v>
      </c>
      <c r="B854" s="2" t="n">
        <v>0</v>
      </c>
      <c r="C854" s="2" t="n">
        <f aca="false">MAX(A854,B854)</f>
        <v>3.96653722033591</v>
      </c>
      <c r="E854" s="2" t="n">
        <v>2.89755619628477</v>
      </c>
    </row>
    <row r="855" customFormat="false" ht="13" hidden="false" customHeight="false" outlineLevel="0" collapsed="false">
      <c r="A855" s="2" t="n">
        <v>4.28487979021384</v>
      </c>
      <c r="B855" s="2" t="n">
        <v>0</v>
      </c>
      <c r="C855" s="2" t="n">
        <f aca="false">MAX(A855,B855)</f>
        <v>4.28487979021384</v>
      </c>
      <c r="E855" s="2" t="n">
        <v>2.89618324745936</v>
      </c>
    </row>
    <row r="856" customFormat="false" ht="13" hidden="false" customHeight="false" outlineLevel="0" collapsed="false">
      <c r="A856" s="2" t="n">
        <v>2.71782969293611</v>
      </c>
      <c r="B856" s="2" t="n">
        <v>0</v>
      </c>
      <c r="C856" s="2" t="n">
        <f aca="false">MAX(A856,B856)</f>
        <v>2.71782969293611</v>
      </c>
      <c r="E856" s="2" t="n">
        <v>2.88331835675115</v>
      </c>
    </row>
    <row r="857" customFormat="false" ht="13" hidden="false" customHeight="false" outlineLevel="0" collapsed="false">
      <c r="A857" s="2" t="n">
        <v>0</v>
      </c>
      <c r="B857" s="2" t="n">
        <v>18.3810969271287</v>
      </c>
      <c r="C857" s="2" t="n">
        <f aca="false">MAX(A857,B857)</f>
        <v>18.3810969271287</v>
      </c>
      <c r="E857" s="2" t="n">
        <v>2.8495636086144</v>
      </c>
    </row>
    <row r="858" customFormat="false" ht="13" hidden="false" customHeight="false" outlineLevel="0" collapsed="false">
      <c r="A858" s="2" t="n">
        <v>0</v>
      </c>
      <c r="B858" s="2" t="n">
        <v>19.1446699202096</v>
      </c>
      <c r="C858" s="2" t="n">
        <f aca="false">MAX(A858,B858)</f>
        <v>19.1446699202096</v>
      </c>
      <c r="E858" s="2" t="n">
        <v>2.84800859427241</v>
      </c>
    </row>
    <row r="859" customFormat="false" ht="13" hidden="false" customHeight="false" outlineLevel="0" collapsed="false">
      <c r="A859" s="2" t="n">
        <v>0</v>
      </c>
      <c r="B859" s="2" t="n">
        <v>20.2000364923397</v>
      </c>
      <c r="C859" s="2" t="n">
        <f aca="false">MAX(A859,B859)</f>
        <v>20.2000364923397</v>
      </c>
      <c r="E859" s="2" t="n">
        <v>2.84190937838798</v>
      </c>
    </row>
    <row r="860" customFormat="false" ht="13" hidden="false" customHeight="false" outlineLevel="0" collapsed="false">
      <c r="A860" s="2" t="n">
        <v>2.30673861541061</v>
      </c>
      <c r="B860" s="2" t="n">
        <v>0</v>
      </c>
      <c r="C860" s="2" t="n">
        <f aca="false">MAX(A860,B860)</f>
        <v>2.30673861541061</v>
      </c>
      <c r="E860" s="2" t="n">
        <v>2.8078200347054</v>
      </c>
    </row>
    <row r="861" customFormat="false" ht="13" hidden="false" customHeight="false" outlineLevel="0" collapsed="false">
      <c r="A861" s="2" t="n">
        <v>0</v>
      </c>
      <c r="B861" s="2" t="n">
        <v>21.9312669123814</v>
      </c>
      <c r="C861" s="2" t="n">
        <f aca="false">MAX(A861,B861)</f>
        <v>21.9312669123814</v>
      </c>
      <c r="E861" s="2" t="n">
        <v>2.79440584288108</v>
      </c>
    </row>
    <row r="862" customFormat="false" ht="13" hidden="false" customHeight="false" outlineLevel="0" collapsed="false">
      <c r="A862" s="2" t="n">
        <v>3.2565360195714</v>
      </c>
      <c r="B862" s="2" t="n">
        <v>0</v>
      </c>
      <c r="C862" s="2" t="n">
        <f aca="false">MAX(A862,B862)</f>
        <v>3.2565360195714</v>
      </c>
      <c r="E862" s="2" t="n">
        <v>2.78980233714691</v>
      </c>
    </row>
    <row r="863" customFormat="false" ht="13" hidden="false" customHeight="false" outlineLevel="0" collapsed="false">
      <c r="A863" s="2" t="n">
        <v>5.2088183639155</v>
      </c>
      <c r="B863" s="2" t="n">
        <v>0</v>
      </c>
      <c r="C863" s="2" t="n">
        <f aca="false">MAX(A863,B863)</f>
        <v>5.2088183639155</v>
      </c>
      <c r="E863" s="2" t="n">
        <v>2.77097578324627</v>
      </c>
    </row>
    <row r="864" customFormat="false" ht="13" hidden="false" customHeight="false" outlineLevel="0" collapsed="false">
      <c r="A864" s="2" t="n">
        <v>0</v>
      </c>
      <c r="B864" s="2" t="n">
        <v>22.7939248965992</v>
      </c>
      <c r="C864" s="2" t="n">
        <f aca="false">MAX(A864,B864)</f>
        <v>22.7939248965992</v>
      </c>
      <c r="E864" s="2" t="n">
        <v>2.76518732914792</v>
      </c>
    </row>
    <row r="865" customFormat="false" ht="13" hidden="false" customHeight="false" outlineLevel="0" collapsed="false">
      <c r="A865" s="2" t="n">
        <v>6.76990824469249</v>
      </c>
      <c r="B865" s="2" t="n">
        <v>0</v>
      </c>
      <c r="C865" s="2" t="n">
        <f aca="false">MAX(A865,B865)</f>
        <v>6.76990824469249</v>
      </c>
      <c r="E865" s="2" t="n">
        <v>2.7506509050189</v>
      </c>
    </row>
    <row r="866" customFormat="false" ht="13" hidden="false" customHeight="false" outlineLevel="0" collapsed="false">
      <c r="A866" s="2" t="n">
        <v>7.70771667963038</v>
      </c>
      <c r="B866" s="2" t="n">
        <v>0</v>
      </c>
      <c r="C866" s="2" t="n">
        <f aca="false">MAX(A866,B866)</f>
        <v>7.70771667963038</v>
      </c>
      <c r="E866" s="2" t="n">
        <v>2.7354764230127</v>
      </c>
    </row>
    <row r="867" customFormat="false" ht="13" hidden="false" customHeight="false" outlineLevel="0" collapsed="false">
      <c r="A867" s="2" t="n">
        <v>0</v>
      </c>
      <c r="B867" s="2" t="n">
        <v>23.1086240208476</v>
      </c>
      <c r="C867" s="2" t="n">
        <f aca="false">MAX(A867,B867)</f>
        <v>23.1086240208476</v>
      </c>
      <c r="E867" s="2" t="n">
        <v>2.73323553123453</v>
      </c>
    </row>
    <row r="868" customFormat="false" ht="13" hidden="false" customHeight="false" outlineLevel="0" collapsed="false">
      <c r="A868" s="2" t="n">
        <v>0</v>
      </c>
      <c r="B868" s="2" t="n">
        <v>25.0075369565386</v>
      </c>
      <c r="C868" s="2" t="n">
        <f aca="false">MAX(A868,B868)</f>
        <v>25.0075369565386</v>
      </c>
      <c r="E868" s="2" t="n">
        <v>2.73010017770247</v>
      </c>
    </row>
    <row r="869" customFormat="false" ht="13" hidden="false" customHeight="false" outlineLevel="0" collapsed="false">
      <c r="A869" s="2" t="n">
        <v>9.14676853729361</v>
      </c>
      <c r="B869" s="2" t="n">
        <v>0</v>
      </c>
      <c r="C869" s="2" t="n">
        <f aca="false">MAX(A869,B869)</f>
        <v>9.14676853729361</v>
      </c>
      <c r="E869" s="2" t="n">
        <v>2.71782969293611</v>
      </c>
    </row>
    <row r="870" customFormat="false" ht="13" hidden="false" customHeight="false" outlineLevel="0" collapsed="false">
      <c r="A870" s="2" t="n">
        <v>0</v>
      </c>
      <c r="B870" s="2" t="n">
        <v>26.0853032841139</v>
      </c>
      <c r="C870" s="2" t="n">
        <f aca="false">MAX(A870,B870)</f>
        <v>26.0853032841139</v>
      </c>
      <c r="E870" s="2" t="n">
        <v>2.64323768895866</v>
      </c>
    </row>
    <row r="871" customFormat="false" ht="13" hidden="false" customHeight="false" outlineLevel="0" collapsed="false">
      <c r="A871" s="2" t="n">
        <v>0</v>
      </c>
      <c r="B871" s="2" t="n">
        <v>27.753684218451</v>
      </c>
      <c r="C871" s="2" t="n">
        <f aca="false">MAX(A871,B871)</f>
        <v>27.753684218451</v>
      </c>
      <c r="E871" s="2" t="n">
        <v>2.64248197859121</v>
      </c>
    </row>
    <row r="872" customFormat="false" ht="13" hidden="false" customHeight="false" outlineLevel="0" collapsed="false">
      <c r="A872" s="2" t="n">
        <v>9.0754226581862</v>
      </c>
      <c r="B872" s="2" t="n">
        <v>0</v>
      </c>
      <c r="C872" s="2" t="n">
        <f aca="false">MAX(A872,B872)</f>
        <v>9.0754226581862</v>
      </c>
      <c r="E872" s="2" t="n">
        <v>2.6102128262786</v>
      </c>
    </row>
    <row r="873" customFormat="false" ht="13" hidden="false" customHeight="false" outlineLevel="0" collapsed="false">
      <c r="A873" s="2" t="n">
        <v>0</v>
      </c>
      <c r="B873" s="2" t="n">
        <v>25.1899814179001</v>
      </c>
      <c r="C873" s="2" t="n">
        <f aca="false">MAX(A873,B873)</f>
        <v>25.1899814179001</v>
      </c>
      <c r="E873" s="2" t="n">
        <v>2.60978834942716</v>
      </c>
    </row>
    <row r="874" customFormat="false" ht="13" hidden="false" customHeight="false" outlineLevel="0" collapsed="false">
      <c r="A874" s="2" t="n">
        <v>0</v>
      </c>
      <c r="B874" s="2" t="n">
        <v>26.9204425277635</v>
      </c>
      <c r="C874" s="2" t="n">
        <f aca="false">MAX(A874,B874)</f>
        <v>26.9204425277635</v>
      </c>
      <c r="E874" s="2" t="n">
        <v>2.60550277281165</v>
      </c>
    </row>
    <row r="875" customFormat="false" ht="13" hidden="false" customHeight="false" outlineLevel="0" collapsed="false">
      <c r="A875" s="2" t="n">
        <v>6.49480285996015</v>
      </c>
      <c r="B875" s="2" t="n">
        <v>0</v>
      </c>
      <c r="C875" s="2" t="n">
        <f aca="false">MAX(A875,B875)</f>
        <v>6.49480285996015</v>
      </c>
      <c r="E875" s="2" t="n">
        <v>2.58425915261159</v>
      </c>
    </row>
    <row r="876" customFormat="false" ht="13" hidden="false" customHeight="false" outlineLevel="0" collapsed="false">
      <c r="A876" s="2" t="n">
        <v>0</v>
      </c>
      <c r="B876" s="2" t="n">
        <v>27.9942722172746</v>
      </c>
      <c r="C876" s="2" t="n">
        <f aca="false">MAX(A876,B876)</f>
        <v>27.9942722172746</v>
      </c>
      <c r="E876" s="2" t="n">
        <v>2.56141286266151</v>
      </c>
    </row>
    <row r="877" customFormat="false" ht="13" hidden="false" customHeight="false" outlineLevel="0" collapsed="false">
      <c r="A877" s="2" t="n">
        <v>6.83793653854252</v>
      </c>
      <c r="B877" s="2" t="n">
        <v>0</v>
      </c>
      <c r="C877" s="2" t="n">
        <f aca="false">MAX(A877,B877)</f>
        <v>6.83793653854252</v>
      </c>
      <c r="E877" s="2" t="n">
        <v>2.55508286552836</v>
      </c>
    </row>
    <row r="878" customFormat="false" ht="13" hidden="false" customHeight="false" outlineLevel="0" collapsed="false">
      <c r="A878" s="2" t="n">
        <v>8.45593412264464</v>
      </c>
      <c r="B878" s="2" t="n">
        <v>0</v>
      </c>
      <c r="C878" s="2" t="n">
        <f aca="false">MAX(A878,B878)</f>
        <v>8.45593412264464</v>
      </c>
      <c r="E878" s="2" t="n">
        <v>2.53904885043778</v>
      </c>
    </row>
    <row r="879" customFormat="false" ht="13" hidden="false" customHeight="false" outlineLevel="0" collapsed="false">
      <c r="A879" s="2" t="n">
        <v>10.0854584762949</v>
      </c>
      <c r="B879" s="2" t="n">
        <v>0</v>
      </c>
      <c r="C879" s="2" t="n">
        <f aca="false">MAX(A879,B879)</f>
        <v>10.0854584762949</v>
      </c>
      <c r="E879" s="2" t="n">
        <v>2.53881823781501</v>
      </c>
    </row>
    <row r="880" customFormat="false" ht="13" hidden="false" customHeight="false" outlineLevel="0" collapsed="false">
      <c r="A880" s="2" t="n">
        <v>12.2117205215619</v>
      </c>
      <c r="B880" s="2" t="n">
        <v>0</v>
      </c>
      <c r="C880" s="2" t="n">
        <f aca="false">MAX(A880,B880)</f>
        <v>12.2117205215619</v>
      </c>
      <c r="E880" s="2" t="n">
        <v>2.50061297262965</v>
      </c>
    </row>
    <row r="881" customFormat="false" ht="13" hidden="false" customHeight="false" outlineLevel="0" collapsed="false">
      <c r="A881" s="2" t="n">
        <v>0</v>
      </c>
      <c r="B881" s="2" t="n">
        <v>25.9994389141898</v>
      </c>
      <c r="C881" s="2" t="n">
        <f aca="false">MAX(A881,B881)</f>
        <v>25.9994389141898</v>
      </c>
      <c r="E881" s="2" t="n">
        <v>2.49476583288907</v>
      </c>
    </row>
    <row r="882" customFormat="false" ht="13" hidden="false" customHeight="false" outlineLevel="0" collapsed="false">
      <c r="A882" s="2" t="n">
        <v>8.08289784775229</v>
      </c>
      <c r="B882" s="2" t="n">
        <v>0</v>
      </c>
      <c r="C882" s="2" t="n">
        <f aca="false">MAX(A882,B882)</f>
        <v>8.08289784775229</v>
      </c>
      <c r="E882" s="2" t="n">
        <v>2.44567164118699</v>
      </c>
    </row>
    <row r="883" customFormat="false" ht="13" hidden="false" customHeight="false" outlineLevel="0" collapsed="false">
      <c r="A883" s="2" t="n">
        <v>8.36295729815799</v>
      </c>
      <c r="B883" s="2" t="n">
        <v>0</v>
      </c>
      <c r="C883" s="2" t="n">
        <f aca="false">MAX(A883,B883)</f>
        <v>8.36295729815799</v>
      </c>
      <c r="E883" s="2" t="n">
        <v>2.42388439058186</v>
      </c>
    </row>
    <row r="884" customFormat="false" ht="13" hidden="false" customHeight="false" outlineLevel="0" collapsed="false">
      <c r="A884" s="2" t="n">
        <v>9.79178525436464</v>
      </c>
      <c r="B884" s="2" t="n">
        <v>0</v>
      </c>
      <c r="C884" s="2" t="n">
        <f aca="false">MAX(A884,B884)</f>
        <v>9.79178525436464</v>
      </c>
      <c r="E884" s="2" t="n">
        <v>2.41988942994718</v>
      </c>
    </row>
    <row r="885" customFormat="false" ht="13" hidden="false" customHeight="false" outlineLevel="0" collapsed="false">
      <c r="A885" s="2" t="n">
        <v>0</v>
      </c>
      <c r="B885" s="2" t="n">
        <v>20.9228616429907</v>
      </c>
      <c r="C885" s="2" t="n">
        <f aca="false">MAX(A885,B885)</f>
        <v>20.9228616429907</v>
      </c>
      <c r="E885" s="2" t="n">
        <v>2.41703183485311</v>
      </c>
    </row>
    <row r="886" customFormat="false" ht="13" hidden="false" customHeight="false" outlineLevel="0" collapsed="false">
      <c r="A886" s="2" t="n">
        <v>10.5560593507493</v>
      </c>
      <c r="B886" s="2" t="n">
        <v>0</v>
      </c>
      <c r="C886" s="2" t="n">
        <f aca="false">MAX(A886,B886)</f>
        <v>10.5560593507493</v>
      </c>
      <c r="E886" s="2" t="n">
        <v>2.39884118483252</v>
      </c>
    </row>
    <row r="887" customFormat="false" ht="13" hidden="false" customHeight="false" outlineLevel="0" collapsed="false">
      <c r="A887" s="2" t="n">
        <v>11.5079657577446</v>
      </c>
      <c r="B887" s="2" t="n">
        <v>0</v>
      </c>
      <c r="C887" s="2" t="n">
        <f aca="false">MAX(A887,B887)</f>
        <v>11.5079657577446</v>
      </c>
      <c r="E887" s="2" t="n">
        <v>2.38113533268006</v>
      </c>
    </row>
    <row r="888" customFormat="false" ht="13" hidden="false" customHeight="false" outlineLevel="0" collapsed="false">
      <c r="A888" s="2" t="n">
        <v>13.5941075600437</v>
      </c>
      <c r="B888" s="2" t="n">
        <v>0</v>
      </c>
      <c r="C888" s="2" t="n">
        <f aca="false">MAX(A888,B888)</f>
        <v>13.5941075600437</v>
      </c>
      <c r="E888" s="2" t="n">
        <v>2.36254600347897</v>
      </c>
    </row>
    <row r="889" customFormat="false" ht="13" hidden="false" customHeight="false" outlineLevel="0" collapsed="false">
      <c r="A889" s="2" t="n">
        <v>13.5613493895645</v>
      </c>
      <c r="B889" s="2" t="n">
        <v>0</v>
      </c>
      <c r="C889" s="2" t="n">
        <f aca="false">MAX(A889,B889)</f>
        <v>13.5613493895645</v>
      </c>
      <c r="E889" s="2" t="n">
        <v>2.35752933770925</v>
      </c>
    </row>
    <row r="890" customFormat="false" ht="13" hidden="false" customHeight="false" outlineLevel="0" collapsed="false">
      <c r="A890" s="2" t="n">
        <v>15.293008911163</v>
      </c>
      <c r="B890" s="2" t="n">
        <v>0</v>
      </c>
      <c r="C890" s="2" t="n">
        <f aca="false">MAX(A890,B890)</f>
        <v>15.293008911163</v>
      </c>
      <c r="E890" s="2" t="n">
        <v>2.35390332829854</v>
      </c>
    </row>
    <row r="891" customFormat="false" ht="13" hidden="false" customHeight="false" outlineLevel="0" collapsed="false">
      <c r="A891" s="2" t="n">
        <v>14.4937521535433</v>
      </c>
      <c r="B891" s="2" t="n">
        <v>0</v>
      </c>
      <c r="C891" s="2" t="n">
        <f aca="false">MAX(A891,B891)</f>
        <v>14.4937521535433</v>
      </c>
      <c r="E891" s="2" t="n">
        <v>2.35294820625131</v>
      </c>
    </row>
    <row r="892" customFormat="false" ht="13" hidden="false" customHeight="false" outlineLevel="0" collapsed="false">
      <c r="A892" s="2" t="n">
        <v>0</v>
      </c>
      <c r="B892" s="2" t="n">
        <v>12.7314000302771</v>
      </c>
      <c r="C892" s="2" t="n">
        <f aca="false">MAX(A892,B892)</f>
        <v>12.7314000302771</v>
      </c>
      <c r="E892" s="2" t="n">
        <v>2.34489893038216</v>
      </c>
    </row>
    <row r="893" customFormat="false" ht="13" hidden="false" customHeight="false" outlineLevel="0" collapsed="false">
      <c r="A893" s="2" t="n">
        <v>12.8497609541656</v>
      </c>
      <c r="B893" s="2" t="n">
        <v>0</v>
      </c>
      <c r="C893" s="2" t="n">
        <f aca="false">MAX(A893,B893)</f>
        <v>12.8497609541656</v>
      </c>
      <c r="E893" s="2" t="n">
        <v>2.33209100947113</v>
      </c>
    </row>
    <row r="894" customFormat="false" ht="13" hidden="false" customHeight="false" outlineLevel="0" collapsed="false">
      <c r="A894" s="2" t="n">
        <v>15.0077714873599</v>
      </c>
      <c r="B894" s="2" t="n">
        <v>0</v>
      </c>
      <c r="C894" s="2" t="n">
        <f aca="false">MAX(A894,B894)</f>
        <v>15.0077714873599</v>
      </c>
      <c r="E894" s="2" t="n">
        <v>2.32255505693058</v>
      </c>
    </row>
    <row r="895" customFormat="false" ht="13" hidden="false" customHeight="false" outlineLevel="0" collapsed="false">
      <c r="A895" s="2" t="n">
        <v>16.6440800971244</v>
      </c>
      <c r="B895" s="2" t="n">
        <v>0</v>
      </c>
      <c r="C895" s="2" t="n">
        <f aca="false">MAX(A895,B895)</f>
        <v>16.6440800971244</v>
      </c>
      <c r="E895" s="2" t="n">
        <v>2.32054973850688</v>
      </c>
    </row>
    <row r="896" customFormat="false" ht="13" hidden="false" customHeight="false" outlineLevel="0" collapsed="false">
      <c r="A896" s="2" t="n">
        <v>17.8398780828176</v>
      </c>
      <c r="B896" s="2" t="n">
        <v>0</v>
      </c>
      <c r="C896" s="2" t="n">
        <f aca="false">MAX(A896,B896)</f>
        <v>17.8398780828176</v>
      </c>
      <c r="E896" s="2" t="n">
        <v>2.30856824633474</v>
      </c>
    </row>
    <row r="897" customFormat="false" ht="13" hidden="false" customHeight="false" outlineLevel="0" collapsed="false">
      <c r="A897" s="2" t="n">
        <v>0</v>
      </c>
      <c r="B897" s="2" t="n">
        <v>13.1875488568448</v>
      </c>
      <c r="C897" s="2" t="n">
        <f aca="false">MAX(A897,B897)</f>
        <v>13.1875488568448</v>
      </c>
      <c r="E897" s="2" t="n">
        <v>2.30673861541061</v>
      </c>
    </row>
    <row r="898" customFormat="false" ht="13" hidden="false" customHeight="false" outlineLevel="0" collapsed="false">
      <c r="A898" s="2" t="n">
        <v>0</v>
      </c>
      <c r="B898" s="2" t="n">
        <v>14.0889276131278</v>
      </c>
      <c r="C898" s="2" t="n">
        <f aca="false">MAX(A898,B898)</f>
        <v>14.0889276131278</v>
      </c>
      <c r="E898" s="2" t="n">
        <v>2.30638207219954</v>
      </c>
    </row>
    <row r="899" customFormat="false" ht="13" hidden="false" customHeight="false" outlineLevel="0" collapsed="false">
      <c r="A899" s="2" t="n">
        <v>18.0262375459852</v>
      </c>
      <c r="B899" s="2" t="n">
        <v>0</v>
      </c>
      <c r="C899" s="2" t="n">
        <f aca="false">MAX(A899,B899)</f>
        <v>18.0262375459852</v>
      </c>
      <c r="E899" s="2" t="n">
        <v>2.28920452179023</v>
      </c>
    </row>
    <row r="900" customFormat="false" ht="13" hidden="false" customHeight="false" outlineLevel="0" collapsed="false">
      <c r="A900" s="2" t="n">
        <v>18.3271115984707</v>
      </c>
      <c r="B900" s="2" t="n">
        <v>0</v>
      </c>
      <c r="C900" s="2" t="n">
        <f aca="false">MAX(A900,B900)</f>
        <v>18.3271115984707</v>
      </c>
      <c r="E900" s="2" t="n">
        <v>2.28221337456</v>
      </c>
    </row>
    <row r="901" customFormat="false" ht="13" hidden="false" customHeight="false" outlineLevel="0" collapsed="false">
      <c r="A901" s="2" t="n">
        <v>19.7565279653932</v>
      </c>
      <c r="B901" s="2" t="n">
        <v>0</v>
      </c>
      <c r="C901" s="2" t="n">
        <f aca="false">MAX(A901,B901)</f>
        <v>19.7565279653932</v>
      </c>
      <c r="E901" s="2" t="n">
        <v>2.28061232977785</v>
      </c>
    </row>
    <row r="902" customFormat="false" ht="13" hidden="false" customHeight="false" outlineLevel="0" collapsed="false">
      <c r="A902" s="2" t="n">
        <v>19.5602985285343</v>
      </c>
      <c r="B902" s="2" t="n">
        <v>0</v>
      </c>
      <c r="C902" s="2" t="n">
        <f aca="false">MAX(A902,B902)</f>
        <v>19.5602985285343</v>
      </c>
      <c r="E902" s="2" t="n">
        <v>2.26877944624249</v>
      </c>
    </row>
    <row r="903" customFormat="false" ht="13" hidden="false" customHeight="false" outlineLevel="0" collapsed="false">
      <c r="A903" s="2" t="n">
        <v>21.3335155933529</v>
      </c>
      <c r="B903" s="2" t="n">
        <v>0</v>
      </c>
      <c r="C903" s="2" t="n">
        <f aca="false">MAX(A903,B903)</f>
        <v>21.3335155933529</v>
      </c>
      <c r="E903" s="2" t="n">
        <v>2.23913657364596</v>
      </c>
    </row>
    <row r="904" customFormat="false" ht="13" hidden="false" customHeight="false" outlineLevel="0" collapsed="false">
      <c r="A904" s="2" t="n">
        <v>22.3311415209536</v>
      </c>
      <c r="B904" s="2" t="n">
        <v>0</v>
      </c>
      <c r="C904" s="2" t="n">
        <f aca="false">MAX(A904,B904)</f>
        <v>22.3311415209536</v>
      </c>
      <c r="E904" s="2" t="n">
        <v>2.23627156169368</v>
      </c>
    </row>
    <row r="905" customFormat="false" ht="13" hidden="false" customHeight="false" outlineLevel="0" collapsed="false">
      <c r="A905" s="2" t="n">
        <v>24.2380349377164</v>
      </c>
      <c r="B905" s="2" t="n">
        <v>0</v>
      </c>
      <c r="C905" s="2" t="n">
        <f aca="false">MAX(A905,B905)</f>
        <v>24.2380349377164</v>
      </c>
      <c r="E905" s="2" t="n">
        <v>2.2341857650581</v>
      </c>
    </row>
    <row r="906" customFormat="false" ht="13" hidden="false" customHeight="false" outlineLevel="0" collapsed="false">
      <c r="A906" s="2" t="n">
        <v>0</v>
      </c>
      <c r="B906" s="2" t="n">
        <v>9.42768076026391</v>
      </c>
      <c r="C906" s="2" t="n">
        <f aca="false">MAX(A906,B906)</f>
        <v>9.42768076026391</v>
      </c>
      <c r="E906" s="2" t="n">
        <v>2.22970038265703</v>
      </c>
    </row>
    <row r="907" customFormat="false" ht="13" hidden="false" customHeight="false" outlineLevel="0" collapsed="false">
      <c r="A907" s="2" t="n">
        <v>0</v>
      </c>
      <c r="B907" s="2" t="n">
        <v>11.4049989156324</v>
      </c>
      <c r="C907" s="2" t="n">
        <f aca="false">MAX(A907,B907)</f>
        <v>11.4049989156324</v>
      </c>
      <c r="E907" s="2" t="n">
        <v>2.22652925113016</v>
      </c>
    </row>
    <row r="908" customFormat="false" ht="13" hidden="false" customHeight="false" outlineLevel="0" collapsed="false">
      <c r="A908" s="2" t="n">
        <v>24.3569333521875</v>
      </c>
      <c r="B908" s="2" t="n">
        <v>0</v>
      </c>
      <c r="C908" s="2" t="n">
        <f aca="false">MAX(A908,B908)</f>
        <v>24.3569333521875</v>
      </c>
      <c r="E908" s="2" t="n">
        <v>2.22576680645432</v>
      </c>
    </row>
    <row r="909" customFormat="false" ht="13" hidden="false" customHeight="false" outlineLevel="0" collapsed="false">
      <c r="A909" s="2" t="n">
        <v>20.8623969881797</v>
      </c>
      <c r="B909" s="2" t="n">
        <v>0</v>
      </c>
      <c r="C909" s="2" t="n">
        <f aca="false">MAX(A909,B909)</f>
        <v>20.8623969881797</v>
      </c>
      <c r="E909" s="2" t="n">
        <v>2.22397032854951</v>
      </c>
    </row>
    <row r="910" customFormat="false" ht="13" hidden="false" customHeight="false" outlineLevel="0" collapsed="false">
      <c r="A910" s="2" t="n">
        <v>0</v>
      </c>
      <c r="B910" s="2" t="n">
        <v>5.25950072851401</v>
      </c>
      <c r="C910" s="2" t="n">
        <f aca="false">MAX(A910,B910)</f>
        <v>5.25950072851401</v>
      </c>
      <c r="E910" s="2" t="n">
        <v>2.22341733199346</v>
      </c>
    </row>
    <row r="911" customFormat="false" ht="13" hidden="false" customHeight="false" outlineLevel="0" collapsed="false">
      <c r="A911" s="2" t="n">
        <v>21.8080299136258</v>
      </c>
      <c r="B911" s="2" t="n">
        <v>0</v>
      </c>
      <c r="C911" s="2" t="n">
        <f aca="false">MAX(A911,B911)</f>
        <v>21.8080299136258</v>
      </c>
      <c r="E911" s="2" t="n">
        <v>2.22117146215805</v>
      </c>
    </row>
    <row r="912" customFormat="false" ht="13" hidden="false" customHeight="false" outlineLevel="0" collapsed="false">
      <c r="A912" s="2" t="n">
        <v>21.1339824155283</v>
      </c>
      <c r="B912" s="2" t="n">
        <v>0</v>
      </c>
      <c r="C912" s="2" t="n">
        <f aca="false">MAX(A912,B912)</f>
        <v>21.1339824155283</v>
      </c>
      <c r="E912" s="2" t="n">
        <v>2.21956770624172</v>
      </c>
    </row>
    <row r="913" customFormat="false" ht="13" hidden="false" customHeight="false" outlineLevel="0" collapsed="false">
      <c r="A913" s="2" t="n">
        <v>22.0138340045747</v>
      </c>
      <c r="B913" s="2" t="n">
        <v>0</v>
      </c>
      <c r="C913" s="2" t="n">
        <f aca="false">MAX(A913,B913)</f>
        <v>22.0138340045747</v>
      </c>
      <c r="E913" s="2" t="n">
        <v>2.21826018476258</v>
      </c>
    </row>
    <row r="914" customFormat="false" ht="13" hidden="false" customHeight="false" outlineLevel="0" collapsed="false">
      <c r="A914" s="2" t="n">
        <v>0</v>
      </c>
      <c r="B914" s="2" t="n">
        <v>2.32255505693058</v>
      </c>
      <c r="C914" s="2" t="n">
        <f aca="false">MAX(A914,B914)</f>
        <v>2.32255505693058</v>
      </c>
      <c r="E914" s="2" t="n">
        <v>2.21446653638941</v>
      </c>
    </row>
    <row r="915" customFormat="false" ht="13" hidden="false" customHeight="false" outlineLevel="0" collapsed="false">
      <c r="A915" s="2" t="n">
        <v>0</v>
      </c>
      <c r="B915" s="2" t="n">
        <v>3.76938761907172</v>
      </c>
      <c r="C915" s="2" t="n">
        <f aca="false">MAX(A915,B915)</f>
        <v>3.76938761907172</v>
      </c>
      <c r="E915" s="2" t="n">
        <v>2.21443637922448</v>
      </c>
    </row>
    <row r="916" customFormat="false" ht="13" hidden="false" customHeight="false" outlineLevel="0" collapsed="false">
      <c r="A916" s="2" t="n">
        <v>22.4064391747852</v>
      </c>
      <c r="B916" s="2" t="n">
        <v>0</v>
      </c>
      <c r="C916" s="2" t="n">
        <f aca="false">MAX(A916,B916)</f>
        <v>22.4064391747852</v>
      </c>
      <c r="E916" s="2" t="n">
        <v>2.21221436806218</v>
      </c>
    </row>
    <row r="917" customFormat="false" ht="13" hidden="false" customHeight="false" outlineLevel="0" collapsed="false">
      <c r="A917" s="2" t="n">
        <v>0</v>
      </c>
      <c r="B917" s="2" t="n">
        <v>4.82740884741884</v>
      </c>
      <c r="C917" s="2" t="n">
        <f aca="false">MAX(A917,B917)</f>
        <v>4.82740884741884</v>
      </c>
      <c r="E917" s="2" t="n">
        <v>2.20378885880086</v>
      </c>
    </row>
    <row r="918" customFormat="false" ht="13" hidden="false" customHeight="false" outlineLevel="0" collapsed="false">
      <c r="A918" s="2" t="n">
        <v>0</v>
      </c>
      <c r="B918" s="2" t="n">
        <v>3.33160954370806</v>
      </c>
      <c r="C918" s="2" t="n">
        <f aca="false">MAX(A918,B918)</f>
        <v>3.33160954370806</v>
      </c>
      <c r="E918" s="2" t="n">
        <v>2.19733183307494</v>
      </c>
    </row>
    <row r="919" customFormat="false" ht="13" hidden="false" customHeight="false" outlineLevel="0" collapsed="false">
      <c r="A919" s="2" t="n">
        <v>17.7177933904453</v>
      </c>
      <c r="B919" s="2" t="n">
        <v>0</v>
      </c>
      <c r="C919" s="2" t="n">
        <f aca="false">MAX(A919,B919)</f>
        <v>17.7177933904453</v>
      </c>
      <c r="E919" s="2" t="n">
        <v>2.19701017541502</v>
      </c>
    </row>
    <row r="920" customFormat="false" ht="13" hidden="false" customHeight="false" outlineLevel="0" collapsed="false">
      <c r="A920" s="2" t="n">
        <v>19.8224731758618</v>
      </c>
      <c r="B920" s="2" t="n">
        <v>0</v>
      </c>
      <c r="C920" s="2" t="n">
        <f aca="false">MAX(A920,B920)</f>
        <v>19.8224731758618</v>
      </c>
      <c r="E920" s="2" t="n">
        <v>2.1813090476553</v>
      </c>
    </row>
    <row r="921" customFormat="false" ht="13" hidden="false" customHeight="false" outlineLevel="0" collapsed="false">
      <c r="A921" s="2" t="n">
        <v>21.9996608046333</v>
      </c>
      <c r="B921" s="2" t="n">
        <v>0</v>
      </c>
      <c r="C921" s="2" t="n">
        <f aca="false">MAX(A921,B921)</f>
        <v>21.9996608046333</v>
      </c>
      <c r="E921" s="2" t="n">
        <v>2.17924163298721</v>
      </c>
    </row>
    <row r="922" customFormat="false" ht="13" hidden="false" customHeight="false" outlineLevel="0" collapsed="false">
      <c r="A922" s="2" t="n">
        <v>22.2205344734111</v>
      </c>
      <c r="B922" s="2" t="n">
        <v>0</v>
      </c>
      <c r="C922" s="2" t="n">
        <f aca="false">MAX(A922,B922)</f>
        <v>22.2205344734111</v>
      </c>
      <c r="E922" s="2" t="n">
        <v>2.1774379348235</v>
      </c>
    </row>
    <row r="923" customFormat="false" ht="13" hidden="false" customHeight="false" outlineLevel="0" collapsed="false">
      <c r="A923" s="2" t="n">
        <v>0</v>
      </c>
      <c r="B923" s="2" t="n">
        <v>1.86108775976709</v>
      </c>
      <c r="C923" s="2" t="n">
        <f aca="false">MAX(A923,B923)</f>
        <v>1.86108775976709</v>
      </c>
      <c r="E923" s="2" t="n">
        <v>2.17637220727147</v>
      </c>
    </row>
    <row r="924" customFormat="false" ht="13" hidden="false" customHeight="false" outlineLevel="0" collapsed="false">
      <c r="A924" s="2" t="n">
        <v>0</v>
      </c>
      <c r="B924" s="2" t="n">
        <v>3.01224086034756</v>
      </c>
      <c r="C924" s="2" t="n">
        <f aca="false">MAX(A924,B924)</f>
        <v>3.01224086034756</v>
      </c>
      <c r="E924" s="2" t="n">
        <v>2.17617883642606</v>
      </c>
    </row>
    <row r="925" customFormat="false" ht="13" hidden="false" customHeight="false" outlineLevel="0" collapsed="false">
      <c r="A925" s="2" t="n">
        <v>21.4260582560653</v>
      </c>
      <c r="B925" s="2" t="n">
        <v>0</v>
      </c>
      <c r="C925" s="2" t="n">
        <f aca="false">MAX(A925,B925)</f>
        <v>21.4260582560653</v>
      </c>
      <c r="E925" s="2" t="n">
        <v>2.16638419496849</v>
      </c>
    </row>
    <row r="926" customFormat="false" ht="13" hidden="false" customHeight="false" outlineLevel="0" collapsed="false">
      <c r="A926" s="2" t="n">
        <v>21.6535218563802</v>
      </c>
      <c r="B926" s="2" t="n">
        <v>0</v>
      </c>
      <c r="C926" s="2" t="n">
        <f aca="false">MAX(A926,B926)</f>
        <v>21.6535218563802</v>
      </c>
      <c r="E926" s="2" t="n">
        <v>2.16610367041994</v>
      </c>
    </row>
    <row r="927" customFormat="false" ht="13" hidden="false" customHeight="false" outlineLevel="0" collapsed="false">
      <c r="A927" s="2" t="n">
        <v>23.5615097163809</v>
      </c>
      <c r="B927" s="2" t="n">
        <v>0</v>
      </c>
      <c r="C927" s="2" t="n">
        <f aca="false">MAX(A927,B927)</f>
        <v>23.5615097163809</v>
      </c>
      <c r="E927" s="2" t="n">
        <v>2.16484228557601</v>
      </c>
    </row>
    <row r="928" customFormat="false" ht="13" hidden="false" customHeight="false" outlineLevel="0" collapsed="false">
      <c r="A928" s="2" t="n">
        <v>0</v>
      </c>
      <c r="B928" s="2" t="n">
        <v>1.83263023558902</v>
      </c>
      <c r="C928" s="2" t="n">
        <f aca="false">MAX(A928,B928)</f>
        <v>1.83263023558902</v>
      </c>
      <c r="E928" s="2" t="n">
        <v>2.16327920871026</v>
      </c>
    </row>
    <row r="929" customFormat="false" ht="13" hidden="false" customHeight="false" outlineLevel="0" collapsed="false">
      <c r="A929" s="2" t="n">
        <v>22.4662726041627</v>
      </c>
      <c r="B929" s="2" t="n">
        <v>0</v>
      </c>
      <c r="C929" s="2" t="n">
        <f aca="false">MAX(A929,B929)</f>
        <v>22.4662726041627</v>
      </c>
      <c r="E929" s="2" t="n">
        <v>2.15609985387982</v>
      </c>
    </row>
    <row r="930" customFormat="false" ht="13" hidden="false" customHeight="false" outlineLevel="0" collapsed="false">
      <c r="A930" s="2" t="n">
        <v>0</v>
      </c>
      <c r="B930" s="2" t="n">
        <v>1.89139792286142</v>
      </c>
      <c r="C930" s="2" t="n">
        <f aca="false">MAX(A930,B930)</f>
        <v>1.89139792286142</v>
      </c>
      <c r="E930" s="2" t="n">
        <v>2.14442173017869</v>
      </c>
    </row>
    <row r="931" customFormat="false" ht="13" hidden="false" customHeight="false" outlineLevel="0" collapsed="false">
      <c r="A931" s="2" t="n">
        <v>23.4403600875304</v>
      </c>
      <c r="B931" s="2" t="n">
        <v>0</v>
      </c>
      <c r="C931" s="2" t="n">
        <f aca="false">MAX(A931,B931)</f>
        <v>23.4403600875304</v>
      </c>
      <c r="E931" s="2" t="n">
        <v>2.1400382798339</v>
      </c>
    </row>
    <row r="932" customFormat="false" ht="13" hidden="false" customHeight="false" outlineLevel="0" collapsed="false">
      <c r="A932" s="2" t="n">
        <v>24.8440972535803</v>
      </c>
      <c r="B932" s="2" t="n">
        <v>0</v>
      </c>
      <c r="C932" s="2" t="n">
        <f aca="false">MAX(A932,B932)</f>
        <v>24.8440972535803</v>
      </c>
      <c r="E932" s="2" t="n">
        <v>2.13533997310697</v>
      </c>
    </row>
    <row r="933" customFormat="false" ht="13" hidden="false" customHeight="false" outlineLevel="0" collapsed="false">
      <c r="A933" s="2" t="n">
        <v>0</v>
      </c>
      <c r="B933" s="2" t="n">
        <v>2.30856824633474</v>
      </c>
      <c r="C933" s="2" t="n">
        <f aca="false">MAX(A933,B933)</f>
        <v>2.30856824633474</v>
      </c>
      <c r="E933" s="2" t="n">
        <v>2.13194428063798</v>
      </c>
    </row>
    <row r="934" customFormat="false" ht="13" hidden="false" customHeight="false" outlineLevel="0" collapsed="false">
      <c r="A934" s="2" t="n">
        <v>23.1038254119924</v>
      </c>
      <c r="B934" s="2" t="n">
        <v>0</v>
      </c>
      <c r="C934" s="2" t="n">
        <f aca="false">MAX(A934,B934)</f>
        <v>23.1038254119924</v>
      </c>
      <c r="E934" s="2" t="n">
        <v>2.11734474788818</v>
      </c>
    </row>
    <row r="935" customFormat="false" ht="13" hidden="false" customHeight="false" outlineLevel="0" collapsed="false">
      <c r="A935" s="2" t="n">
        <v>0</v>
      </c>
      <c r="B935" s="2" t="n">
        <v>1.80099353936612</v>
      </c>
      <c r="C935" s="2" t="n">
        <f aca="false">MAX(A935,B935)</f>
        <v>1.80099353936612</v>
      </c>
      <c r="E935" s="2" t="n">
        <v>2.10589569279642</v>
      </c>
    </row>
    <row r="936" customFormat="false" ht="13" hidden="false" customHeight="false" outlineLevel="0" collapsed="false">
      <c r="A936" s="2" t="n">
        <v>0</v>
      </c>
      <c r="B936" s="2" t="n">
        <v>3.48599307318511</v>
      </c>
      <c r="C936" s="2" t="n">
        <f aca="false">MAX(A936,B936)</f>
        <v>3.48599307318511</v>
      </c>
      <c r="E936" s="2" t="n">
        <v>2.10159612899316</v>
      </c>
    </row>
    <row r="937" customFormat="false" ht="13" hidden="false" customHeight="false" outlineLevel="0" collapsed="false">
      <c r="A937" s="2" t="n">
        <v>24.1899790896912</v>
      </c>
      <c r="B937" s="2" t="n">
        <v>0</v>
      </c>
      <c r="C937" s="2" t="n">
        <f aca="false">MAX(A937,B937)</f>
        <v>24.1899790896912</v>
      </c>
      <c r="E937" s="2" t="n">
        <v>2.09625274485325</v>
      </c>
    </row>
    <row r="938" customFormat="false" ht="13" hidden="false" customHeight="false" outlineLevel="0" collapsed="false">
      <c r="A938" s="2" t="n">
        <v>25.1617170903174</v>
      </c>
      <c r="B938" s="2" t="n">
        <v>0</v>
      </c>
      <c r="C938" s="2" t="n">
        <f aca="false">MAX(A938,B938)</f>
        <v>25.1617170903174</v>
      </c>
      <c r="E938" s="2" t="n">
        <v>2.09267439743962</v>
      </c>
    </row>
    <row r="939" customFormat="false" ht="13" hidden="false" customHeight="false" outlineLevel="0" collapsed="false">
      <c r="A939" s="2" t="n">
        <v>0</v>
      </c>
      <c r="B939" s="2" t="n">
        <v>3.51812855438175</v>
      </c>
      <c r="C939" s="2" t="n">
        <f aca="false">MAX(A939,B939)</f>
        <v>3.51812855438175</v>
      </c>
      <c r="E939" s="2" t="n">
        <v>2.0920769682451</v>
      </c>
    </row>
    <row r="940" customFormat="false" ht="13" hidden="false" customHeight="false" outlineLevel="0" collapsed="false">
      <c r="A940" s="2" t="n">
        <v>0</v>
      </c>
      <c r="B940" s="2" t="n">
        <v>4.01018395361211</v>
      </c>
      <c r="C940" s="2" t="n">
        <f aca="false">MAX(A940,B940)</f>
        <v>4.01018395361211</v>
      </c>
      <c r="E940" s="2" t="n">
        <v>2.08051914955695</v>
      </c>
    </row>
    <row r="941" customFormat="false" ht="13" hidden="false" customHeight="false" outlineLevel="0" collapsed="false">
      <c r="A941" s="2" t="n">
        <v>25.1234421470356</v>
      </c>
      <c r="B941" s="2" t="n">
        <v>0</v>
      </c>
      <c r="C941" s="2" t="n">
        <f aca="false">MAX(A941,B941)</f>
        <v>25.1234421470356</v>
      </c>
      <c r="E941" s="2" t="n">
        <v>2.08034358808527</v>
      </c>
    </row>
    <row r="942" customFormat="false" ht="13" hidden="false" customHeight="false" outlineLevel="0" collapsed="false">
      <c r="A942" s="2" t="n">
        <v>0</v>
      </c>
      <c r="B942" s="2" t="n">
        <v>5.654656855638</v>
      </c>
      <c r="C942" s="2" t="n">
        <f aca="false">MAX(A942,B942)</f>
        <v>5.654656855638</v>
      </c>
      <c r="E942" s="2" t="n">
        <v>2.07994583340997</v>
      </c>
    </row>
    <row r="943" customFormat="false" ht="13" hidden="false" customHeight="false" outlineLevel="0" collapsed="false">
      <c r="A943" s="2" t="n">
        <v>0</v>
      </c>
      <c r="B943" s="2" t="n">
        <v>4.68725324538502</v>
      </c>
      <c r="C943" s="2" t="n">
        <f aca="false">MAX(A943,B943)</f>
        <v>4.68725324538502</v>
      </c>
      <c r="E943" s="2" t="n">
        <v>2.06564970393669</v>
      </c>
    </row>
    <row r="944" customFormat="false" ht="13" hidden="false" customHeight="false" outlineLevel="0" collapsed="false">
      <c r="A944" s="2" t="n">
        <v>22.8937944092208</v>
      </c>
      <c r="B944" s="2" t="n">
        <v>0</v>
      </c>
      <c r="C944" s="2" t="n">
        <f aca="false">MAX(A944,B944)</f>
        <v>22.8937944092208</v>
      </c>
      <c r="E944" s="2" t="n">
        <v>2.05943181702605</v>
      </c>
    </row>
    <row r="945" customFormat="false" ht="13" hidden="false" customHeight="false" outlineLevel="0" collapsed="false">
      <c r="A945" s="2" t="n">
        <v>24.1972744183981</v>
      </c>
      <c r="B945" s="2" t="n">
        <v>0</v>
      </c>
      <c r="C945" s="2" t="n">
        <f aca="false">MAX(A945,B945)</f>
        <v>24.1972744183981</v>
      </c>
      <c r="E945" s="2" t="n">
        <v>2.0567950511786</v>
      </c>
    </row>
    <row r="946" customFormat="false" ht="13" hidden="false" customHeight="false" outlineLevel="0" collapsed="false">
      <c r="A946" s="2" t="n">
        <v>0</v>
      </c>
      <c r="B946" s="2" t="n">
        <v>2.02984879268479</v>
      </c>
      <c r="C946" s="2" t="n">
        <f aca="false">MAX(A946,B946)</f>
        <v>2.02984879268479</v>
      </c>
      <c r="E946" s="2" t="n">
        <v>2.05264845129523</v>
      </c>
    </row>
    <row r="947" customFormat="false" ht="13" hidden="false" customHeight="false" outlineLevel="0" collapsed="false">
      <c r="A947" s="2" t="n">
        <v>0</v>
      </c>
      <c r="B947" s="2" t="n">
        <v>3.69620069283224</v>
      </c>
      <c r="C947" s="2" t="n">
        <f aca="false">MAX(A947,B947)</f>
        <v>3.69620069283224</v>
      </c>
      <c r="E947" s="2" t="n">
        <v>2.04199988109167</v>
      </c>
    </row>
    <row r="948" customFormat="false" ht="13" hidden="false" customHeight="false" outlineLevel="0" collapsed="false">
      <c r="A948" s="2" t="n">
        <v>17.3682130639476</v>
      </c>
      <c r="B948" s="2" t="n">
        <v>0</v>
      </c>
      <c r="C948" s="2" t="n">
        <f aca="false">MAX(A948,B948)</f>
        <v>17.3682130639476</v>
      </c>
      <c r="E948" s="2" t="n">
        <v>2.03982850473176</v>
      </c>
    </row>
    <row r="949" customFormat="false" ht="13" hidden="false" customHeight="false" outlineLevel="0" collapsed="false">
      <c r="A949" s="2" t="n">
        <v>17.7024063205255</v>
      </c>
      <c r="B949" s="2" t="n">
        <v>0</v>
      </c>
      <c r="C949" s="2" t="n">
        <f aca="false">MAX(A949,B949)</f>
        <v>17.7024063205255</v>
      </c>
      <c r="E949" s="2" t="n">
        <v>2.03865820702981</v>
      </c>
    </row>
    <row r="950" customFormat="false" ht="13" hidden="false" customHeight="false" outlineLevel="0" collapsed="false">
      <c r="A950" s="2" t="n">
        <v>18.9719898383637</v>
      </c>
      <c r="B950" s="2" t="n">
        <v>0</v>
      </c>
      <c r="C950" s="2" t="n">
        <f aca="false">MAX(A950,B950)</f>
        <v>18.9719898383637</v>
      </c>
      <c r="E950" s="2" t="n">
        <v>2.0344511174103</v>
      </c>
    </row>
    <row r="951" customFormat="false" ht="13" hidden="false" customHeight="false" outlineLevel="0" collapsed="false">
      <c r="A951" s="2" t="n">
        <v>0</v>
      </c>
      <c r="B951" s="2" t="n">
        <v>2.21446653638941</v>
      </c>
      <c r="C951" s="2" t="n">
        <f aca="false">MAX(A951,B951)</f>
        <v>2.21446653638941</v>
      </c>
      <c r="E951" s="2" t="n">
        <v>2.03433822839406</v>
      </c>
    </row>
    <row r="952" customFormat="false" ht="13" hidden="false" customHeight="false" outlineLevel="0" collapsed="false">
      <c r="A952" s="2" t="n">
        <v>18.6463716558393</v>
      </c>
      <c r="B952" s="2" t="n">
        <v>0</v>
      </c>
      <c r="C952" s="2" t="n">
        <f aca="false">MAX(A952,B952)</f>
        <v>18.6463716558393</v>
      </c>
      <c r="E952" s="2" t="n">
        <v>2.02984879268479</v>
      </c>
    </row>
    <row r="953" customFormat="false" ht="13" hidden="false" customHeight="false" outlineLevel="0" collapsed="false">
      <c r="A953" s="2" t="n">
        <v>0</v>
      </c>
      <c r="B953" s="2" t="n">
        <v>1.80533627311661</v>
      </c>
      <c r="C953" s="2" t="n">
        <f aca="false">MAX(A953,B953)</f>
        <v>1.80533627311661</v>
      </c>
      <c r="E953" s="2" t="n">
        <v>2.0237351321498</v>
      </c>
    </row>
    <row r="954" customFormat="false" ht="13" hidden="false" customHeight="false" outlineLevel="0" collapsed="false">
      <c r="A954" s="2" t="n">
        <v>18.229951629286</v>
      </c>
      <c r="B954" s="2" t="n">
        <v>0</v>
      </c>
      <c r="C954" s="2" t="n">
        <f aca="false">MAX(A954,B954)</f>
        <v>18.229951629286</v>
      </c>
      <c r="E954" s="2" t="n">
        <v>2.01974888181621</v>
      </c>
    </row>
    <row r="955" customFormat="false" ht="13" hidden="false" customHeight="false" outlineLevel="0" collapsed="false">
      <c r="A955" s="2" t="n">
        <v>0</v>
      </c>
      <c r="B955" s="2" t="n">
        <v>3.16657449158038</v>
      </c>
      <c r="C955" s="2" t="n">
        <f aca="false">MAX(A955,B955)</f>
        <v>3.16657449158038</v>
      </c>
      <c r="E955" s="2" t="n">
        <v>2.01608541448422</v>
      </c>
    </row>
    <row r="956" customFormat="false" ht="13" hidden="false" customHeight="false" outlineLevel="0" collapsed="false">
      <c r="A956" s="2" t="n">
        <v>0</v>
      </c>
      <c r="B956" s="2" t="n">
        <v>4.66085416405622</v>
      </c>
      <c r="C956" s="2" t="n">
        <f aca="false">MAX(A956,B956)</f>
        <v>4.66085416405622</v>
      </c>
      <c r="E956" s="2" t="n">
        <v>2.00464778678997</v>
      </c>
    </row>
    <row r="957" customFormat="false" ht="13" hidden="false" customHeight="false" outlineLevel="0" collapsed="false">
      <c r="A957" s="2" t="n">
        <v>19.1916120764181</v>
      </c>
      <c r="B957" s="2" t="n">
        <v>0</v>
      </c>
      <c r="C957" s="2" t="n">
        <f aca="false">MAX(A957,B957)</f>
        <v>19.1916120764181</v>
      </c>
      <c r="E957" s="2" t="n">
        <v>2.0012169733709</v>
      </c>
    </row>
    <row r="958" customFormat="false" ht="13" hidden="false" customHeight="false" outlineLevel="0" collapsed="false">
      <c r="A958" s="2" t="n">
        <v>0</v>
      </c>
      <c r="B958" s="2" t="n">
        <v>4.13180844098156</v>
      </c>
      <c r="C958" s="2" t="n">
        <f aca="false">MAX(A958,B958)</f>
        <v>4.13180844098156</v>
      </c>
      <c r="E958" s="2" t="n">
        <v>1.9993650491474</v>
      </c>
    </row>
    <row r="959" customFormat="false" ht="13" hidden="false" customHeight="false" outlineLevel="0" collapsed="false">
      <c r="A959" s="2" t="n">
        <v>17.8694776548034</v>
      </c>
      <c r="B959" s="2" t="n">
        <v>0</v>
      </c>
      <c r="C959" s="2" t="n">
        <f aca="false">MAX(A959,B959)</f>
        <v>17.8694776548034</v>
      </c>
      <c r="E959" s="2" t="n">
        <v>1.99592737705098</v>
      </c>
    </row>
    <row r="960" customFormat="false" ht="13" hidden="false" customHeight="false" outlineLevel="0" collapsed="false">
      <c r="A960" s="2" t="n">
        <v>19.7043723667889</v>
      </c>
      <c r="B960" s="2" t="n">
        <v>0</v>
      </c>
      <c r="C960" s="2" t="n">
        <f aca="false">MAX(A960,B960)</f>
        <v>19.7043723667889</v>
      </c>
      <c r="E960" s="2" t="n">
        <v>1.99312157468194</v>
      </c>
    </row>
    <row r="961" customFormat="false" ht="13" hidden="false" customHeight="false" outlineLevel="0" collapsed="false">
      <c r="A961" s="2" t="n">
        <v>19.6639303253385</v>
      </c>
      <c r="B961" s="2" t="n">
        <v>0</v>
      </c>
      <c r="C961" s="2" t="n">
        <f aca="false">MAX(A961,B961)</f>
        <v>19.6639303253385</v>
      </c>
      <c r="E961" s="2" t="n">
        <v>1.99149484566516</v>
      </c>
    </row>
    <row r="962" customFormat="false" ht="13" hidden="false" customHeight="false" outlineLevel="0" collapsed="false">
      <c r="A962" s="2" t="n">
        <v>20.6479030216165</v>
      </c>
      <c r="B962" s="2" t="n">
        <v>0</v>
      </c>
      <c r="C962" s="2" t="n">
        <f aca="false">MAX(A962,B962)</f>
        <v>20.6479030216165</v>
      </c>
      <c r="E962" s="2" t="n">
        <v>1.98457529308007</v>
      </c>
    </row>
    <row r="963" customFormat="false" ht="13" hidden="false" customHeight="false" outlineLevel="0" collapsed="false">
      <c r="A963" s="2" t="n">
        <v>21.9105584668073</v>
      </c>
      <c r="B963" s="2" t="n">
        <v>0</v>
      </c>
      <c r="C963" s="2" t="n">
        <f aca="false">MAX(A963,B963)</f>
        <v>21.9105584668073</v>
      </c>
      <c r="E963" s="2" t="n">
        <v>1.98172651779032</v>
      </c>
    </row>
    <row r="964" customFormat="false" ht="13" hidden="false" customHeight="false" outlineLevel="0" collapsed="false">
      <c r="A964" s="2" t="n">
        <v>0</v>
      </c>
      <c r="B964" s="2" t="n">
        <v>1.84248269551608</v>
      </c>
      <c r="C964" s="2" t="n">
        <f aca="false">MAX(A964,B964)</f>
        <v>1.84248269551608</v>
      </c>
      <c r="E964" s="2" t="n">
        <v>1.97890056715278</v>
      </c>
    </row>
    <row r="965" customFormat="false" ht="13" hidden="false" customHeight="false" outlineLevel="0" collapsed="false">
      <c r="A965" s="2" t="n">
        <v>0</v>
      </c>
      <c r="B965" s="2" t="n">
        <v>2.91962597834208</v>
      </c>
      <c r="C965" s="2" t="n">
        <f aca="false">MAX(A965,B965)</f>
        <v>2.91962597834208</v>
      </c>
      <c r="E965" s="2" t="n">
        <v>1.96640138281691</v>
      </c>
    </row>
    <row r="966" customFormat="false" ht="13" hidden="false" customHeight="false" outlineLevel="0" collapsed="false">
      <c r="A966" s="2" t="n">
        <v>0</v>
      </c>
      <c r="B966" s="2" t="n">
        <v>4.62721223738868</v>
      </c>
      <c r="C966" s="2" t="n">
        <f aca="false">MAX(A966,B966)</f>
        <v>4.62721223738868</v>
      </c>
      <c r="E966" s="2" t="n">
        <v>1.96483994977643</v>
      </c>
    </row>
    <row r="967" customFormat="false" ht="13" hidden="false" customHeight="false" outlineLevel="0" collapsed="false">
      <c r="A967" s="2" t="n">
        <v>22.165085781679</v>
      </c>
      <c r="B967" s="2" t="n">
        <v>0</v>
      </c>
      <c r="C967" s="2" t="n">
        <f aca="false">MAX(A967,B967)</f>
        <v>22.165085781679</v>
      </c>
      <c r="E967" s="2" t="n">
        <v>1.95762999886711</v>
      </c>
    </row>
    <row r="968" customFormat="false" ht="13" hidden="false" customHeight="false" outlineLevel="0" collapsed="false">
      <c r="A968" s="2" t="n">
        <v>0</v>
      </c>
      <c r="B968" s="2" t="n">
        <v>6.14354311937018</v>
      </c>
      <c r="C968" s="2" t="n">
        <f aca="false">MAX(A968,B968)</f>
        <v>6.14354311937018</v>
      </c>
      <c r="E968" s="2" t="n">
        <v>1.94163215148865</v>
      </c>
    </row>
    <row r="969" customFormat="false" ht="13" hidden="false" customHeight="false" outlineLevel="0" collapsed="false">
      <c r="A969" s="2" t="n">
        <v>23.059006551525</v>
      </c>
      <c r="B969" s="2" t="n">
        <v>0</v>
      </c>
      <c r="C969" s="2" t="n">
        <f aca="false">MAX(A969,B969)</f>
        <v>23.059006551525</v>
      </c>
      <c r="E969" s="2" t="n">
        <v>1.93044364561274</v>
      </c>
    </row>
    <row r="970" customFormat="false" ht="13" hidden="false" customHeight="false" outlineLevel="0" collapsed="false">
      <c r="A970" s="2" t="n">
        <v>23.2808043377668</v>
      </c>
      <c r="B970" s="2" t="n">
        <v>0</v>
      </c>
      <c r="C970" s="2" t="n">
        <f aca="false">MAX(A970,B970)</f>
        <v>23.2808043377668</v>
      </c>
      <c r="E970" s="2" t="n">
        <v>1.9222762646159</v>
      </c>
    </row>
    <row r="971" customFormat="false" ht="13" hidden="false" customHeight="false" outlineLevel="0" collapsed="false">
      <c r="A971" s="2" t="n">
        <v>24.7316034021524</v>
      </c>
      <c r="B971" s="2" t="n">
        <v>0</v>
      </c>
      <c r="C971" s="2" t="n">
        <f aca="false">MAX(A971,B971)</f>
        <v>24.7316034021524</v>
      </c>
      <c r="E971" s="2" t="n">
        <v>1.92016248107666</v>
      </c>
    </row>
    <row r="972" customFormat="false" ht="13" hidden="false" customHeight="false" outlineLevel="0" collapsed="false">
      <c r="A972" s="2" t="n">
        <v>26.4622251327387</v>
      </c>
      <c r="B972" s="2" t="n">
        <v>0</v>
      </c>
      <c r="C972" s="2" t="n">
        <f aca="false">MAX(A972,B972)</f>
        <v>26.4622251327387</v>
      </c>
      <c r="E972" s="2" t="n">
        <v>1.91858440732813</v>
      </c>
    </row>
    <row r="973" customFormat="false" ht="13" hidden="false" customHeight="false" outlineLevel="0" collapsed="false">
      <c r="A973" s="2" t="n">
        <v>0</v>
      </c>
      <c r="B973" s="2" t="n">
        <v>4.22557065530509</v>
      </c>
      <c r="C973" s="2" t="n">
        <f aca="false">MAX(A973,B973)</f>
        <v>4.22557065530509</v>
      </c>
      <c r="E973" s="2" t="n">
        <v>1.91407284290563</v>
      </c>
    </row>
    <row r="974" customFormat="false" ht="13" hidden="false" customHeight="false" outlineLevel="0" collapsed="false">
      <c r="A974" s="2" t="n">
        <v>25.8394970320019</v>
      </c>
      <c r="B974" s="2" t="n">
        <v>0</v>
      </c>
      <c r="C974" s="2" t="n">
        <f aca="false">MAX(A974,B974)</f>
        <v>25.8394970320019</v>
      </c>
      <c r="E974" s="2" t="n">
        <v>1.9119448589181</v>
      </c>
    </row>
    <row r="975" customFormat="false" ht="13" hidden="false" customHeight="false" outlineLevel="0" collapsed="false">
      <c r="A975" s="2" t="n">
        <v>27.7687654377423</v>
      </c>
      <c r="B975" s="2" t="n">
        <v>0</v>
      </c>
      <c r="C975" s="2" t="n">
        <f aca="false">MAX(A975,B975)</f>
        <v>27.7687654377423</v>
      </c>
      <c r="E975" s="2" t="n">
        <v>1.89825327295557</v>
      </c>
    </row>
    <row r="976" customFormat="false" ht="13" hidden="false" customHeight="false" outlineLevel="0" collapsed="false">
      <c r="A976" s="2" t="n">
        <v>0</v>
      </c>
      <c r="B976" s="2" t="n">
        <v>3.64377460569608</v>
      </c>
      <c r="C976" s="2" t="n">
        <f aca="false">MAX(A976,B976)</f>
        <v>3.64377460569608</v>
      </c>
      <c r="E976" s="2" t="n">
        <v>1.89685938203775</v>
      </c>
    </row>
    <row r="977" customFormat="false" ht="13" hidden="false" customHeight="false" outlineLevel="0" collapsed="false">
      <c r="A977" s="2" t="n">
        <v>0</v>
      </c>
      <c r="B977" s="2" t="n">
        <v>4.13617954937809</v>
      </c>
      <c r="C977" s="2" t="n">
        <f aca="false">MAX(A977,B977)</f>
        <v>4.13617954937809</v>
      </c>
      <c r="E977" s="2" t="n">
        <v>1.8923631036314</v>
      </c>
    </row>
    <row r="978" customFormat="false" ht="13" hidden="false" customHeight="false" outlineLevel="0" collapsed="false">
      <c r="A978" s="2" t="n">
        <v>0</v>
      </c>
      <c r="B978" s="2" t="n">
        <v>3.35146267720984</v>
      </c>
      <c r="C978" s="2" t="n">
        <f aca="false">MAX(A978,B978)</f>
        <v>3.35146267720984</v>
      </c>
      <c r="E978" s="2" t="n">
        <v>1.89139792286142</v>
      </c>
    </row>
    <row r="979" customFormat="false" ht="13" hidden="false" customHeight="false" outlineLevel="0" collapsed="false">
      <c r="A979" s="2" t="n">
        <v>0</v>
      </c>
      <c r="B979" s="2" t="n">
        <v>5.40645180103252</v>
      </c>
      <c r="C979" s="2" t="n">
        <f aca="false">MAX(A979,B979)</f>
        <v>5.40645180103252</v>
      </c>
      <c r="E979" s="2" t="n">
        <v>1.88839794185196</v>
      </c>
    </row>
    <row r="980" customFormat="false" ht="13" hidden="false" customHeight="false" outlineLevel="0" collapsed="false">
      <c r="A980" s="2" t="n">
        <v>0</v>
      </c>
      <c r="B980" s="2" t="n">
        <v>7.41686975167681</v>
      </c>
      <c r="C980" s="2" t="n">
        <f aca="false">MAX(A980,B980)</f>
        <v>7.41686975167681</v>
      </c>
      <c r="E980" s="2" t="n">
        <v>1.88124634173664</v>
      </c>
    </row>
    <row r="981" customFormat="false" ht="13" hidden="false" customHeight="false" outlineLevel="0" collapsed="false">
      <c r="A981" s="2" t="n">
        <v>0</v>
      </c>
      <c r="B981" s="2" t="n">
        <v>7.68205265985193</v>
      </c>
      <c r="C981" s="2" t="n">
        <f aca="false">MAX(A981,B981)</f>
        <v>7.68205265985193</v>
      </c>
      <c r="E981" s="2" t="n">
        <v>1.87939828075923</v>
      </c>
    </row>
    <row r="982" customFormat="false" ht="13" hidden="false" customHeight="false" outlineLevel="0" collapsed="false">
      <c r="A982" s="2" t="n">
        <v>0</v>
      </c>
      <c r="B982" s="2" t="n">
        <v>9.16761344984252</v>
      </c>
      <c r="C982" s="2" t="n">
        <f aca="false">MAX(A982,B982)</f>
        <v>9.16761344984252</v>
      </c>
      <c r="E982" s="2" t="n">
        <v>1.8788488311925</v>
      </c>
    </row>
    <row r="983" customFormat="false" ht="13" hidden="false" customHeight="false" outlineLevel="0" collapsed="false">
      <c r="A983" s="2" t="n">
        <v>0</v>
      </c>
      <c r="B983" s="2" t="n">
        <v>6.95133377476304</v>
      </c>
      <c r="C983" s="2" t="n">
        <f aca="false">MAX(A983,B983)</f>
        <v>6.95133377476304</v>
      </c>
      <c r="E983" s="2" t="n">
        <v>1.87847876565229</v>
      </c>
    </row>
    <row r="984" customFormat="false" ht="13" hidden="false" customHeight="false" outlineLevel="0" collapsed="false">
      <c r="A984" s="2" t="n">
        <v>18.5305777521844</v>
      </c>
      <c r="B984" s="2" t="n">
        <v>0</v>
      </c>
      <c r="C984" s="2" t="n">
        <f aca="false">MAX(A984,B984)</f>
        <v>18.5305777521844</v>
      </c>
      <c r="E984" s="2" t="n">
        <v>1.87669399055574</v>
      </c>
    </row>
    <row r="985" customFormat="false" ht="13" hidden="false" customHeight="false" outlineLevel="0" collapsed="false">
      <c r="A985" s="2" t="n">
        <v>0</v>
      </c>
      <c r="B985" s="2" t="n">
        <v>8.59993379043158</v>
      </c>
      <c r="C985" s="2" t="n">
        <f aca="false">MAX(A985,B985)</f>
        <v>8.59993379043158</v>
      </c>
      <c r="E985" s="2" t="n">
        <v>1.87643641986739</v>
      </c>
    </row>
    <row r="986" customFormat="false" ht="13" hidden="false" customHeight="false" outlineLevel="0" collapsed="false">
      <c r="A986" s="2" t="n">
        <v>19.2017189280036</v>
      </c>
      <c r="B986" s="2" t="n">
        <v>0</v>
      </c>
      <c r="C986" s="2" t="n">
        <f aca="false">MAX(A986,B986)</f>
        <v>19.2017189280036</v>
      </c>
      <c r="E986" s="2" t="n">
        <v>1.86497709255627</v>
      </c>
    </row>
    <row r="987" customFormat="false" ht="13" hidden="false" customHeight="false" outlineLevel="0" collapsed="false">
      <c r="A987" s="2" t="n">
        <v>0</v>
      </c>
      <c r="B987" s="2" t="n">
        <v>7.59335101887655</v>
      </c>
      <c r="C987" s="2" t="n">
        <f aca="false">MAX(A987,B987)</f>
        <v>7.59335101887655</v>
      </c>
      <c r="E987" s="2" t="n">
        <v>1.86419003378023</v>
      </c>
    </row>
    <row r="988" customFormat="false" ht="13" hidden="false" customHeight="false" outlineLevel="0" collapsed="false">
      <c r="A988" s="2" t="n">
        <v>18.0531243031639</v>
      </c>
      <c r="B988" s="2" t="n">
        <v>0</v>
      </c>
      <c r="C988" s="2" t="n">
        <f aca="false">MAX(A988,B988)</f>
        <v>18.0531243031639</v>
      </c>
      <c r="E988" s="2" t="n">
        <v>1.86108775976709</v>
      </c>
    </row>
    <row r="989" customFormat="false" ht="13" hidden="false" customHeight="false" outlineLevel="0" collapsed="false">
      <c r="A989" s="2" t="n">
        <v>18.8517063209788</v>
      </c>
      <c r="B989" s="2" t="n">
        <v>0</v>
      </c>
      <c r="C989" s="2" t="n">
        <f aca="false">MAX(A989,B989)</f>
        <v>18.8517063209788</v>
      </c>
      <c r="E989" s="2" t="n">
        <v>1.84248269551608</v>
      </c>
    </row>
    <row r="990" customFormat="false" ht="13" hidden="false" customHeight="false" outlineLevel="0" collapsed="false">
      <c r="A990" s="2" t="n">
        <v>0</v>
      </c>
      <c r="B990" s="2" t="n">
        <v>6.49439556789844</v>
      </c>
      <c r="C990" s="2" t="n">
        <f aca="false">MAX(A990,B990)</f>
        <v>6.49439556789844</v>
      </c>
      <c r="E990" s="2" t="n">
        <v>1.84140455809029</v>
      </c>
    </row>
    <row r="991" customFormat="false" ht="13" hidden="false" customHeight="false" outlineLevel="0" collapsed="false">
      <c r="A991" s="2" t="n">
        <v>0</v>
      </c>
      <c r="B991" s="2" t="n">
        <v>6.28223541903617</v>
      </c>
      <c r="C991" s="2" t="n">
        <f aca="false">MAX(A991,B991)</f>
        <v>6.28223541903617</v>
      </c>
      <c r="E991" s="2" t="n">
        <v>1.84025407500712</v>
      </c>
    </row>
    <row r="992" customFormat="false" ht="13" hidden="false" customHeight="false" outlineLevel="0" collapsed="false">
      <c r="A992" s="2" t="n">
        <v>18.3200330384577</v>
      </c>
      <c r="B992" s="2" t="n">
        <v>0</v>
      </c>
      <c r="C992" s="2" t="n">
        <f aca="false">MAX(A992,B992)</f>
        <v>18.3200330384577</v>
      </c>
      <c r="E992" s="2" t="n">
        <v>1.83796550161833</v>
      </c>
    </row>
    <row r="993" customFormat="false" ht="13" hidden="false" customHeight="false" outlineLevel="0" collapsed="false">
      <c r="A993" s="2" t="n">
        <v>0</v>
      </c>
      <c r="B993" s="2" t="n">
        <v>7.24862979894397</v>
      </c>
      <c r="C993" s="2" t="n">
        <f aca="false">MAX(A993,B993)</f>
        <v>7.24862979894397</v>
      </c>
      <c r="E993" s="2" t="n">
        <v>1.83415564367988</v>
      </c>
    </row>
    <row r="994" customFormat="false" ht="13" hidden="false" customHeight="false" outlineLevel="0" collapsed="false">
      <c r="A994" s="2" t="n">
        <v>18.0142017137991</v>
      </c>
      <c r="B994" s="2" t="n">
        <v>0</v>
      </c>
      <c r="C994" s="2" t="n">
        <f aca="false">MAX(A994,B994)</f>
        <v>18.0142017137991</v>
      </c>
      <c r="E994" s="2" t="n">
        <v>1.83263023558902</v>
      </c>
    </row>
    <row r="995" customFormat="false" ht="13" hidden="false" customHeight="false" outlineLevel="0" collapsed="false">
      <c r="A995" s="2" t="n">
        <v>18.0494159779778</v>
      </c>
      <c r="B995" s="2" t="n">
        <v>0</v>
      </c>
      <c r="C995" s="2" t="n">
        <f aca="false">MAX(A995,B995)</f>
        <v>18.0494159779778</v>
      </c>
      <c r="E995" s="2" t="n">
        <v>1.80533627311661</v>
      </c>
    </row>
    <row r="996" customFormat="false" ht="13" hidden="false" customHeight="false" outlineLevel="0" collapsed="false">
      <c r="A996" s="2" t="n">
        <v>0</v>
      </c>
      <c r="B996" s="2" t="n">
        <v>5.97016395381434</v>
      </c>
      <c r="C996" s="2" t="n">
        <f aca="false">MAX(A996,B996)</f>
        <v>5.97016395381434</v>
      </c>
      <c r="E996" s="2" t="n">
        <v>1.80362216037747</v>
      </c>
    </row>
    <row r="997" customFormat="false" ht="13" hidden="false" customHeight="false" outlineLevel="0" collapsed="false">
      <c r="A997" s="2" t="n">
        <v>19.7836825112763</v>
      </c>
      <c r="B997" s="2" t="n">
        <v>0</v>
      </c>
      <c r="C997" s="2" t="n">
        <f aca="false">MAX(A997,B997)</f>
        <v>19.7836825112763</v>
      </c>
      <c r="E997" s="2" t="n">
        <v>1.80099353936612</v>
      </c>
    </row>
    <row r="998" customFormat="false" ht="13" hidden="false" customHeight="false" outlineLevel="0" collapsed="false">
      <c r="A998" s="2" t="n">
        <v>20.4667407446543</v>
      </c>
      <c r="B998" s="2" t="n">
        <v>0</v>
      </c>
      <c r="C998" s="2" t="n">
        <f aca="false">MAX(A998,B998)</f>
        <v>20.4667407446543</v>
      </c>
      <c r="E998" s="2" t="n">
        <v>1.79655227686862</v>
      </c>
    </row>
    <row r="999" customFormat="false" ht="13" hidden="false" customHeight="false" outlineLevel="0" collapsed="false">
      <c r="A999" s="2" t="n">
        <v>0</v>
      </c>
      <c r="B999" s="2" t="n">
        <v>5.94226765532471</v>
      </c>
      <c r="C999" s="2" t="n">
        <f aca="false">MAX(A999,B999)</f>
        <v>5.94226765532471</v>
      </c>
      <c r="E999" s="2" t="n">
        <v>1.7833455726759</v>
      </c>
    </row>
    <row r="1000" customFormat="false" ht="13" hidden="false" customHeight="false" outlineLevel="0" collapsed="false">
      <c r="A1000" s="2" t="n">
        <v>0</v>
      </c>
      <c r="B1000" s="2" t="n">
        <v>7.12587952272679</v>
      </c>
      <c r="C1000" s="2" t="n">
        <f aca="false">MAX(A1000,B1000)</f>
        <v>7.12587952272679</v>
      </c>
      <c r="E1000" s="2" t="n">
        <v>1.77164247733845</v>
      </c>
    </row>
    <row r="1001" customFormat="false" ht="13" hidden="false" customHeight="false" outlineLevel="0" collapsed="false">
      <c r="A1001" s="2" t="n">
        <v>16.7653345038291</v>
      </c>
      <c r="B1001" s="2" t="n">
        <v>0</v>
      </c>
      <c r="C1001" s="2" t="n">
        <f aca="false">MAX(A1001,B1001)</f>
        <v>16.7653345038291</v>
      </c>
      <c r="E1001" s="2" t="n">
        <v>1.76774813417933</v>
      </c>
    </row>
    <row r="1002" customFormat="false" ht="13" hidden="false" customHeight="false" outlineLevel="0" collapsed="false">
      <c r="A1002" s="2" t="n">
        <v>18.6556994904634</v>
      </c>
      <c r="B1002" s="2" t="n">
        <v>0</v>
      </c>
      <c r="C1002" s="2" t="n">
        <f aca="false">MAX(A1002,B1002)</f>
        <v>18.6556994904634</v>
      </c>
      <c r="E1002" s="2" t="n">
        <v>1.75130573038723</v>
      </c>
    </row>
    <row r="1003" customFormat="false" ht="13" hidden="false" customHeight="false" outlineLevel="0" collapsed="false">
      <c r="A1003" s="2" t="n">
        <v>0</v>
      </c>
      <c r="B1003" s="2" t="n">
        <v>3.71925535468768</v>
      </c>
      <c r="C1003" s="2" t="n">
        <f aca="false">MAX(A1003,B1003)</f>
        <v>3.71925535468768</v>
      </c>
      <c r="E1003" s="2" t="n">
        <v>1.75123064126046</v>
      </c>
    </row>
    <row r="1004" customFormat="false" ht="13" hidden="false" customHeight="false" outlineLevel="0" collapsed="false">
      <c r="A1004" s="2" t="n">
        <v>18.2192811853877</v>
      </c>
      <c r="B1004" s="2" t="n">
        <v>0</v>
      </c>
      <c r="C1004" s="2" t="n">
        <f aca="false">MAX(A1004,B1004)</f>
        <v>18.2192811853877</v>
      </c>
    </row>
    <row r="1005" customFormat="false" ht="13" hidden="false" customHeight="false" outlineLevel="0" collapsed="false">
      <c r="C1005" s="2" t="n">
        <f aca="false">MAX(A1005,B1005)</f>
        <v>0</v>
      </c>
      <c r="E1005" s="2" t="n">
        <v>0</v>
      </c>
    </row>
    <row r="1006" customFormat="false" ht="13" hidden="false" customHeight="false" outlineLevel="0" collapsed="false">
      <c r="A1006" s="2" t="n">
        <v>4069.54023079982</v>
      </c>
      <c r="B1006" s="2" t="n">
        <v>6162.21541512863</v>
      </c>
      <c r="C1006" s="2" t="n">
        <f aca="false">MAX(A1006,B1006)</f>
        <v>6162.21541512863</v>
      </c>
      <c r="E1006" s="2" t="n">
        <v>6162.21541512863</v>
      </c>
    </row>
    <row r="1007" customFormat="false" ht="13" hidden="false" customHeight="false" outlineLevel="0" collapsed="false">
      <c r="C1007" s="2" t="n">
        <f aca="false">MAX(A1007,B1007)</f>
        <v>0</v>
      </c>
      <c r="E1007" s="2" t="n">
        <v>0</v>
      </c>
    </row>
    <row r="1008" customFormat="false" ht="13" hidden="false" customHeight="false" outlineLevel="0" collapsed="false">
      <c r="C1008" s="2" t="n">
        <f aca="false">MAX(A1008,B1008)</f>
        <v>0</v>
      </c>
      <c r="E1008" s="2" t="n">
        <v>0</v>
      </c>
    </row>
    <row r="1009" customFormat="false" ht="13" hidden="false" customHeight="false" outlineLevel="0" collapsed="false">
      <c r="A1009" s="2" t="n">
        <v>477346.159622406</v>
      </c>
      <c r="B1009" s="2" t="n">
        <v>380408.828348334</v>
      </c>
      <c r="C1009" s="2" t="n">
        <f aca="false">MAX(A1009,B1009)</f>
        <v>477346.159622406</v>
      </c>
      <c r="E1009" s="2" t="n">
        <v>477346.159622406</v>
      </c>
    </row>
    <row r="1010" customFormat="false" ht="13" hidden="false" customHeight="false" outlineLevel="0" collapsed="false">
      <c r="C1010" s="2" t="n">
        <f aca="false">MAX(A1010,B1010)</f>
        <v>0</v>
      </c>
      <c r="E1010" s="2" t="n">
        <v>0</v>
      </c>
    </row>
    <row r="1011" customFormat="false" ht="13" hidden="false" customHeight="false" outlineLevel="0" collapsed="false">
      <c r="C1011" s="2" t="n">
        <f aca="false">MAX(A1011,B1011)</f>
        <v>0</v>
      </c>
      <c r="E1011" s="2" t="n">
        <v>0</v>
      </c>
    </row>
    <row r="1012" customFormat="false" ht="13" hidden="false" customHeight="false" outlineLevel="0" collapsed="false">
      <c r="C1012" s="2" t="n">
        <f aca="false">MAX(A1012,B1012)</f>
        <v>0</v>
      </c>
      <c r="E1012" s="2" t="n">
        <v>0</v>
      </c>
    </row>
    <row r="1013" customFormat="false" ht="13" hidden="false" customHeight="false" outlineLevel="0" collapsed="false">
      <c r="C1013" s="2" t="n">
        <f aca="false">MAX(A1013,B1013)</f>
        <v>0</v>
      </c>
      <c r="E1013" s="2" t="n">
        <v>0</v>
      </c>
    </row>
    <row r="1014" customFormat="false" ht="13" hidden="false" customHeight="false" outlineLevel="0" collapsed="false">
      <c r="C1014" s="2" t="n">
        <f aca="false">MAX(A1014,B1014)</f>
        <v>0</v>
      </c>
      <c r="E1014" s="2" t="n">
        <v>0</v>
      </c>
    </row>
    <row r="1015" customFormat="false" ht="13" hidden="false" customHeight="false" outlineLevel="0" collapsed="false">
      <c r="A1015" s="2" t="s">
        <v>22</v>
      </c>
      <c r="C1015" s="2" t="n">
        <f aca="false">MAX(A1015,B1015)</f>
        <v>0</v>
      </c>
      <c r="E1015" s="2" t="n">
        <v>0</v>
      </c>
    </row>
    <row r="1016" customFormat="false" ht="13" hidden="false" customHeight="false" outlineLevel="0" collapsed="false">
      <c r="C1016" s="2" t="n">
        <f aca="false">MAX(A1016,B1016)</f>
        <v>0</v>
      </c>
      <c r="E1016" s="2" t="n">
        <v>0</v>
      </c>
    </row>
    <row r="1017" customFormat="false" ht="13" hidden="false" customHeight="false" outlineLevel="0" collapsed="false">
      <c r="C1017" s="2" t="n">
        <f aca="false">MAX(A1017,B1017)</f>
        <v>0</v>
      </c>
      <c r="E1017" s="2" t="n">
        <v>0</v>
      </c>
    </row>
    <row r="1018" customFormat="false" ht="13" hidden="false" customHeight="false" outlineLevel="0" collapsed="false">
      <c r="A1018" s="2" t="s">
        <v>22</v>
      </c>
      <c r="C1018" s="2" t="n">
        <f aca="false">MAX(A1018,B1018)</f>
        <v>0</v>
      </c>
      <c r="E1018" s="2" t="n">
        <v>0</v>
      </c>
    </row>
    <row r="1019" customFormat="false" ht="13" hidden="false" customHeight="false" outlineLevel="0" collapsed="false">
      <c r="C1019" s="2" t="n">
        <f aca="false">MAX(A1019,B1019)</f>
        <v>0</v>
      </c>
      <c r="E1019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39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N1" activeCellId="0" sqref="N1:N16384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1" t="s">
        <v>23</v>
      </c>
      <c r="B1" s="11"/>
      <c r="C1" s="11"/>
      <c r="D1" s="11"/>
      <c r="E1" s="12"/>
      <c r="F1" s="13" t="s">
        <v>24</v>
      </c>
      <c r="G1" s="2" t="n">
        <v>0</v>
      </c>
      <c r="R1" s="14"/>
      <c r="S1" s="14"/>
      <c r="V1" s="14"/>
      <c r="W1" s="14"/>
      <c r="AK1" s="14"/>
      <c r="AL1" s="14"/>
      <c r="AM1" s="11"/>
      <c r="AN1" s="11"/>
      <c r="AO1" s="11"/>
      <c r="AP1" s="11"/>
      <c r="AQ1" s="14"/>
      <c r="AR1" s="11"/>
      <c r="AS1" s="14"/>
      <c r="AT1" s="14"/>
    </row>
    <row r="2" customFormat="false" ht="13" hidden="false" customHeight="false" outlineLevel="0" collapsed="false">
      <c r="A2" s="15" t="s">
        <v>25</v>
      </c>
      <c r="B2" s="15"/>
      <c r="C2" s="15"/>
      <c r="D2" s="16" t="n">
        <v>0.95</v>
      </c>
      <c r="E2" s="13"/>
      <c r="F2" s="2" t="s">
        <v>26</v>
      </c>
      <c r="G2" s="2" t="e">
        <f aca="false">IF(RESET=1,0,G2+1)</f>
        <v>#N/A</v>
      </c>
      <c r="R2" s="14"/>
      <c r="S2" s="14"/>
      <c r="V2" s="14"/>
      <c r="W2" s="14"/>
      <c r="AK2" s="14"/>
      <c r="AL2" s="14"/>
      <c r="AM2" s="15"/>
      <c r="AN2" s="15"/>
      <c r="AO2" s="15"/>
      <c r="AP2" s="15"/>
      <c r="AQ2" s="14"/>
      <c r="AR2" s="15"/>
      <c r="AS2" s="14"/>
      <c r="AT2" s="14"/>
    </row>
    <row r="3" customFormat="false" ht="13" hidden="false" customHeight="false" outlineLevel="0" collapsed="false">
      <c r="A3" s="15" t="s">
        <v>27</v>
      </c>
      <c r="B3" s="15"/>
      <c r="C3" s="15"/>
      <c r="D3" s="16" t="n">
        <v>2</v>
      </c>
      <c r="E3" s="13"/>
      <c r="F3" s="15" t="s">
        <v>28</v>
      </c>
      <c r="G3" s="2" t="n">
        <v>4</v>
      </c>
      <c r="R3" s="14"/>
      <c r="S3" s="14"/>
      <c r="V3" s="14"/>
      <c r="W3" s="14"/>
      <c r="AK3" s="14"/>
      <c r="AL3" s="14"/>
      <c r="AM3" s="15"/>
      <c r="AN3" s="15"/>
      <c r="AO3" s="15"/>
      <c r="AP3" s="15"/>
      <c r="AQ3" s="14"/>
      <c r="AR3" s="15"/>
      <c r="AS3" s="14"/>
      <c r="AT3" s="14"/>
    </row>
    <row r="4" customFormat="false" ht="13" hidden="false" customHeight="false" outlineLevel="0" collapsed="false">
      <c r="A4" s="15" t="s">
        <v>29</v>
      </c>
      <c r="B4" s="15"/>
      <c r="C4" s="15"/>
      <c r="D4" s="16" t="n">
        <v>2</v>
      </c>
      <c r="E4" s="13"/>
      <c r="F4" s="13"/>
      <c r="G4" s="15"/>
      <c r="R4" s="14"/>
      <c r="S4" s="14"/>
      <c r="V4" s="14"/>
      <c r="W4" s="14"/>
      <c r="AK4" s="14"/>
      <c r="AL4" s="14"/>
      <c r="AM4" s="15"/>
      <c r="AN4" s="15"/>
      <c r="AO4" s="15"/>
      <c r="AP4" s="15"/>
      <c r="AQ4" s="14"/>
      <c r="AR4" s="15"/>
      <c r="AS4" s="14"/>
      <c r="AT4" s="14"/>
    </row>
    <row r="5" customFormat="false" ht="13" hidden="false" customHeight="false" outlineLevel="0" collapsed="false">
      <c r="A5" s="15" t="s">
        <v>30</v>
      </c>
      <c r="B5" s="15"/>
      <c r="C5" s="15"/>
      <c r="D5" s="16" t="n">
        <v>0.5</v>
      </c>
      <c r="E5" s="13"/>
      <c r="F5" s="13"/>
      <c r="G5" s="15"/>
      <c r="R5" s="14"/>
      <c r="S5" s="14"/>
      <c r="V5" s="14"/>
      <c r="W5" s="14"/>
      <c r="AK5" s="14"/>
      <c r="AL5" s="14"/>
      <c r="AM5" s="15"/>
      <c r="AN5" s="15"/>
      <c r="AO5" s="15"/>
      <c r="AP5" s="15"/>
      <c r="AQ5" s="14"/>
      <c r="AR5" s="15"/>
      <c r="AS5" s="14"/>
      <c r="AT5" s="14"/>
    </row>
    <row r="6" customFormat="false" ht="13" hidden="false" customHeight="false" outlineLevel="0" collapsed="false">
      <c r="A6" s="15" t="s">
        <v>31</v>
      </c>
      <c r="B6" s="15"/>
      <c r="C6" s="15"/>
      <c r="D6" s="17" t="n">
        <v>0</v>
      </c>
      <c r="E6" s="13"/>
      <c r="F6" s="13"/>
      <c r="G6" s="15"/>
      <c r="R6" s="14"/>
      <c r="S6" s="14"/>
      <c r="V6" s="14"/>
      <c r="W6" s="14"/>
      <c r="AK6" s="14"/>
      <c r="AL6" s="14"/>
      <c r="AM6" s="15"/>
      <c r="AN6" s="15"/>
      <c r="AO6" s="15"/>
      <c r="AP6" s="15"/>
      <c r="AQ6" s="14"/>
      <c r="AR6" s="15"/>
      <c r="AS6" s="14"/>
      <c r="AT6" s="14"/>
    </row>
    <row r="7" customFormat="false" ht="13" hidden="false" customHeight="false" outlineLevel="0" collapsed="false">
      <c r="A7" s="15" t="s">
        <v>28</v>
      </c>
      <c r="B7" s="15"/>
      <c r="C7" s="15"/>
      <c r="D7" s="2" t="n">
        <f aca="false">Power</f>
        <v>4</v>
      </c>
      <c r="E7" s="13"/>
      <c r="F7" s="13"/>
      <c r="G7" s="15"/>
      <c r="R7" s="14"/>
      <c r="S7" s="14"/>
      <c r="V7" s="14"/>
      <c r="W7" s="14"/>
      <c r="AK7" s="14"/>
      <c r="AL7" s="14"/>
      <c r="AM7" s="15"/>
      <c r="AN7" s="15"/>
      <c r="AO7" s="15"/>
      <c r="AP7" s="15"/>
      <c r="AQ7" s="14"/>
      <c r="AR7" s="15"/>
      <c r="AS7" s="14"/>
      <c r="AT7" s="14"/>
    </row>
    <row r="8" customFormat="false" ht="13" hidden="false" customHeight="false" outlineLevel="0" collapsed="false">
      <c r="A8" s="15" t="s">
        <v>32</v>
      </c>
      <c r="B8" s="15"/>
      <c r="C8" s="15"/>
      <c r="D8" s="17" t="n">
        <v>0.5</v>
      </c>
      <c r="E8" s="13"/>
      <c r="F8" s="13"/>
      <c r="G8" s="15"/>
      <c r="R8" s="14"/>
      <c r="S8" s="14"/>
      <c r="V8" s="14"/>
      <c r="W8" s="14"/>
      <c r="AK8" s="14"/>
      <c r="AL8" s="14"/>
      <c r="AM8" s="15"/>
      <c r="AN8" s="15"/>
      <c r="AO8" s="15"/>
      <c r="AP8" s="15"/>
      <c r="AQ8" s="14"/>
      <c r="AR8" s="15"/>
      <c r="AS8" s="14"/>
      <c r="AT8" s="14"/>
    </row>
    <row r="9" customFormat="false" ht="13" hidden="false" customHeight="false" outlineLevel="0" collapsed="false">
      <c r="E9" s="13"/>
      <c r="F9" s="13"/>
      <c r="G9" s="15"/>
      <c r="R9" s="14"/>
      <c r="S9" s="14"/>
      <c r="V9" s="14"/>
      <c r="W9" s="14"/>
      <c r="AK9" s="14"/>
      <c r="AL9" s="14"/>
      <c r="AM9" s="15"/>
      <c r="AN9" s="15"/>
      <c r="AO9" s="15"/>
      <c r="AP9" s="15"/>
      <c r="AQ9" s="14"/>
      <c r="AR9" s="15"/>
      <c r="AS9" s="14"/>
      <c r="AT9" s="14"/>
    </row>
    <row r="10" customFormat="false" ht="13" hidden="false" customHeight="false" outlineLevel="0" collapsed="false">
      <c r="A10" s="15" t="s">
        <v>33</v>
      </c>
      <c r="B10" s="15"/>
      <c r="C10" s="15"/>
      <c r="D10" s="18" t="n">
        <f aca="false">AVERAGE(H18:H1017)</f>
        <v>0.521</v>
      </c>
      <c r="E10" s="13"/>
      <c r="F10" s="13"/>
      <c r="G10" s="15"/>
      <c r="R10" s="14"/>
      <c r="S10" s="14"/>
      <c r="V10" s="14"/>
      <c r="W10" s="14"/>
      <c r="AK10" s="14"/>
      <c r="AL10" s="14"/>
      <c r="AM10" s="15"/>
      <c r="AN10" s="15"/>
      <c r="AO10" s="15"/>
      <c r="AP10" s="15"/>
      <c r="AQ10" s="14"/>
      <c r="AR10" s="15"/>
      <c r="AS10" s="14"/>
      <c r="AT10" s="14"/>
    </row>
    <row r="11" customFormat="false" ht="13" hidden="false" customHeight="false" outlineLevel="0" collapsed="false">
      <c r="A11" s="15" t="s">
        <v>34</v>
      </c>
      <c r="B11" s="15"/>
      <c r="C11" s="15"/>
      <c r="D11" s="19" t="n">
        <f aca="false">AVERAGE(B18:B1017)</f>
        <v>0.49</v>
      </c>
      <c r="E11" s="13"/>
      <c r="F11" s="13"/>
      <c r="G11" s="15"/>
      <c r="R11" s="14"/>
      <c r="S11" s="14"/>
      <c r="V11" s="14"/>
      <c r="W11" s="14"/>
      <c r="AK11" s="14"/>
      <c r="AL11" s="14"/>
      <c r="AM11" s="15"/>
      <c r="AN11" s="15"/>
      <c r="AO11" s="15"/>
      <c r="AP11" s="15"/>
      <c r="AQ11" s="14"/>
      <c r="AR11" s="15"/>
      <c r="AS11" s="14"/>
      <c r="AT11" s="14"/>
    </row>
    <row r="12" customFormat="false" ht="13" hidden="false" customHeight="false" outlineLevel="0" collapsed="false">
      <c r="E12" s="13"/>
      <c r="F12" s="13"/>
      <c r="R12" s="14"/>
      <c r="S12" s="14"/>
      <c r="V12" s="14"/>
      <c r="W12" s="14"/>
      <c r="AK12" s="14"/>
      <c r="AL12" s="14"/>
      <c r="AQ12" s="14"/>
      <c r="AS12" s="14"/>
      <c r="AT12" s="14"/>
    </row>
    <row r="13" customFormat="false" ht="13" hidden="false" customHeight="false" outlineLevel="0" collapsed="false">
      <c r="A13" s="15"/>
      <c r="B13" s="20"/>
      <c r="C13" s="20"/>
      <c r="D13" s="20"/>
      <c r="E13" s="20"/>
      <c r="F13" s="15"/>
      <c r="R13" s="14"/>
      <c r="S13" s="14"/>
      <c r="V13" s="14"/>
      <c r="W13" s="14"/>
      <c r="AK13" s="14"/>
      <c r="AL13" s="14"/>
      <c r="AM13" s="20"/>
      <c r="AN13" s="20"/>
      <c r="AO13" s="20"/>
      <c r="AP13" s="20"/>
      <c r="AQ13" s="14"/>
      <c r="AR13" s="20"/>
      <c r="AS13" s="14"/>
      <c r="AT13" s="14"/>
    </row>
    <row r="14" customFormat="false" ht="13" hidden="false" customHeight="false" outlineLevel="0" collapsed="false">
      <c r="A14" s="21"/>
      <c r="B14" s="21"/>
      <c r="C14" s="22"/>
      <c r="D14" s="21"/>
      <c r="E14" s="21" t="s">
        <v>35</v>
      </c>
      <c r="F14" s="21" t="s">
        <v>35</v>
      </c>
      <c r="G14" s="23" t="s">
        <v>36</v>
      </c>
      <c r="H14" s="21"/>
      <c r="I14" s="21" t="s">
        <v>18</v>
      </c>
      <c r="J14" s="21" t="s">
        <v>18</v>
      </c>
      <c r="K14" s="21" t="s">
        <v>18</v>
      </c>
      <c r="L14" s="21" t="s">
        <v>19</v>
      </c>
      <c r="M14" s="21" t="s">
        <v>19</v>
      </c>
      <c r="N14" s="21" t="s">
        <v>19</v>
      </c>
      <c r="O14" s="21"/>
      <c r="P14" s="21"/>
      <c r="Q14" s="21"/>
      <c r="R14" s="24" t="s">
        <v>37</v>
      </c>
      <c r="S14" s="24" t="s">
        <v>37</v>
      </c>
      <c r="T14" s="21" t="s">
        <v>37</v>
      </c>
      <c r="U14" s="21" t="s">
        <v>37</v>
      </c>
      <c r="V14" s="24" t="s">
        <v>38</v>
      </c>
      <c r="W14" s="24" t="s">
        <v>39</v>
      </c>
      <c r="X14" s="21" t="s">
        <v>40</v>
      </c>
      <c r="Y14" s="21" t="s">
        <v>41</v>
      </c>
      <c r="Z14" s="21" t="s">
        <v>40</v>
      </c>
      <c r="AA14" s="21" t="s">
        <v>41</v>
      </c>
      <c r="AB14" s="21" t="s">
        <v>40</v>
      </c>
      <c r="AC14" s="21" t="s">
        <v>41</v>
      </c>
      <c r="AD14" s="21" t="s">
        <v>40</v>
      </c>
      <c r="AE14" s="21" t="s">
        <v>41</v>
      </c>
      <c r="AF14" s="21" t="s">
        <v>42</v>
      </c>
      <c r="AG14" s="21" t="s">
        <v>42</v>
      </c>
      <c r="AH14" s="21" t="s">
        <v>42</v>
      </c>
      <c r="AI14" s="21" t="s">
        <v>42</v>
      </c>
      <c r="AJ14" s="21"/>
      <c r="AK14" s="21"/>
      <c r="AL14" s="21"/>
      <c r="AM14" s="21" t="s">
        <v>43</v>
      </c>
      <c r="AN14" s="21" t="s">
        <v>43</v>
      </c>
      <c r="AO14" s="21" t="s">
        <v>44</v>
      </c>
      <c r="AP14" s="21" t="s">
        <v>44</v>
      </c>
      <c r="AQ14" s="21" t="s">
        <v>45</v>
      </c>
      <c r="AR14" s="21" t="s">
        <v>46</v>
      </c>
      <c r="AS14" s="21" t="s">
        <v>47</v>
      </c>
      <c r="AT14" s="21" t="s">
        <v>47</v>
      </c>
    </row>
    <row r="15" customFormat="false" ht="13" hidden="false" customHeight="false" outlineLevel="0" collapsed="false">
      <c r="A15" s="25" t="s">
        <v>48</v>
      </c>
      <c r="B15" s="25" t="s">
        <v>49</v>
      </c>
      <c r="C15" s="26" t="s">
        <v>50</v>
      </c>
      <c r="D15" s="25" t="s">
        <v>50</v>
      </c>
      <c r="E15" s="27" t="s">
        <v>18</v>
      </c>
      <c r="F15" s="27" t="s">
        <v>19</v>
      </c>
      <c r="G15" s="25" t="s">
        <v>51</v>
      </c>
      <c r="H15" s="25" t="s">
        <v>52</v>
      </c>
      <c r="I15" s="25" t="s">
        <v>53</v>
      </c>
      <c r="J15" s="25" t="s">
        <v>54</v>
      </c>
      <c r="K15" s="25" t="s">
        <v>20</v>
      </c>
      <c r="L15" s="25" t="s">
        <v>53</v>
      </c>
      <c r="M15" s="25" t="s">
        <v>54</v>
      </c>
      <c r="N15" s="25" t="s">
        <v>20</v>
      </c>
      <c r="O15" s="25" t="s">
        <v>48</v>
      </c>
      <c r="P15" s="28" t="s">
        <v>45</v>
      </c>
      <c r="Q15" s="28" t="s">
        <v>46</v>
      </c>
      <c r="R15" s="29" t="s">
        <v>55</v>
      </c>
      <c r="S15" s="29" t="s">
        <v>55</v>
      </c>
      <c r="T15" s="28" t="s">
        <v>55</v>
      </c>
      <c r="U15" s="28" t="s">
        <v>55</v>
      </c>
      <c r="V15" s="29" t="s">
        <v>18</v>
      </c>
      <c r="W15" s="29" t="s">
        <v>19</v>
      </c>
      <c r="X15" s="28" t="s">
        <v>18</v>
      </c>
      <c r="Y15" s="28" t="s">
        <v>18</v>
      </c>
      <c r="Z15" s="28" t="s">
        <v>19</v>
      </c>
      <c r="AA15" s="28" t="s">
        <v>19</v>
      </c>
      <c r="AB15" s="28" t="s">
        <v>18</v>
      </c>
      <c r="AC15" s="28" t="s">
        <v>18</v>
      </c>
      <c r="AD15" s="28" t="s">
        <v>19</v>
      </c>
      <c r="AE15" s="28" t="s">
        <v>19</v>
      </c>
      <c r="AF15" s="21" t="s">
        <v>18</v>
      </c>
      <c r="AG15" s="21" t="s">
        <v>18</v>
      </c>
      <c r="AH15" s="22" t="s">
        <v>19</v>
      </c>
      <c r="AI15" s="22" t="s">
        <v>19</v>
      </c>
      <c r="AJ15" s="27" t="s">
        <v>56</v>
      </c>
      <c r="AK15" s="28" t="s">
        <v>57</v>
      </c>
      <c r="AL15" s="28" t="s">
        <v>57</v>
      </c>
      <c r="AM15" s="25" t="s">
        <v>58</v>
      </c>
      <c r="AN15" s="25" t="s">
        <v>58</v>
      </c>
      <c r="AO15" s="25" t="s">
        <v>4</v>
      </c>
      <c r="AP15" s="25" t="s">
        <v>4</v>
      </c>
      <c r="AQ15" s="28" t="s">
        <v>59</v>
      </c>
      <c r="AR15" s="25" t="s">
        <v>59</v>
      </c>
      <c r="AS15" s="28" t="s">
        <v>60</v>
      </c>
      <c r="AT15" s="28" t="s">
        <v>61</v>
      </c>
    </row>
    <row r="16" customFormat="false" ht="14" hidden="false" customHeight="false" outlineLevel="0" collapsed="false">
      <c r="A16" s="30" t="s">
        <v>62</v>
      </c>
      <c r="B16" s="30"/>
      <c r="C16" s="31" t="s">
        <v>63</v>
      </c>
      <c r="D16" s="30" t="s">
        <v>21</v>
      </c>
      <c r="E16" s="32" t="s">
        <v>20</v>
      </c>
      <c r="F16" s="32" t="s">
        <v>20</v>
      </c>
      <c r="G16" s="30" t="s">
        <v>64</v>
      </c>
      <c r="H16" s="30" t="s">
        <v>65</v>
      </c>
      <c r="I16" s="30" t="s">
        <v>21</v>
      </c>
      <c r="J16" s="30" t="s">
        <v>21</v>
      </c>
      <c r="K16" s="30" t="s">
        <v>21</v>
      </c>
      <c r="L16" s="30" t="s">
        <v>21</v>
      </c>
      <c r="M16" s="30" t="s">
        <v>21</v>
      </c>
      <c r="N16" s="30" t="s">
        <v>21</v>
      </c>
      <c r="O16" s="30" t="s">
        <v>62</v>
      </c>
      <c r="P16" s="32" t="s">
        <v>62</v>
      </c>
      <c r="Q16" s="32" t="s">
        <v>62</v>
      </c>
      <c r="R16" s="33" t="s">
        <v>66</v>
      </c>
      <c r="S16" s="33" t="s">
        <v>67</v>
      </c>
      <c r="T16" s="32" t="s">
        <v>68</v>
      </c>
      <c r="U16" s="32" t="s">
        <v>69</v>
      </c>
      <c r="V16" s="33" t="s">
        <v>20</v>
      </c>
      <c r="W16" s="33" t="s">
        <v>20</v>
      </c>
      <c r="X16" s="32" t="s">
        <v>20</v>
      </c>
      <c r="Y16" s="32" t="s">
        <v>20</v>
      </c>
      <c r="Z16" s="32" t="s">
        <v>20</v>
      </c>
      <c r="AA16" s="32" t="s">
        <v>20</v>
      </c>
      <c r="AB16" s="32" t="s">
        <v>70</v>
      </c>
      <c r="AC16" s="32" t="s">
        <v>70</v>
      </c>
      <c r="AD16" s="32" t="s">
        <v>70</v>
      </c>
      <c r="AE16" s="32" t="s">
        <v>70</v>
      </c>
      <c r="AF16" s="34" t="s">
        <v>40</v>
      </c>
      <c r="AG16" s="34" t="s">
        <v>41</v>
      </c>
      <c r="AH16" s="34" t="s">
        <v>40</v>
      </c>
      <c r="AI16" s="34" t="s">
        <v>41</v>
      </c>
      <c r="AJ16" s="28" t="s">
        <v>71</v>
      </c>
      <c r="AK16" s="32" t="s">
        <v>72</v>
      </c>
      <c r="AL16" s="32" t="s">
        <v>73</v>
      </c>
      <c r="AM16" s="30" t="s">
        <v>60</v>
      </c>
      <c r="AN16" s="30" t="s">
        <v>61</v>
      </c>
      <c r="AO16" s="30" t="s">
        <v>60</v>
      </c>
      <c r="AP16" s="30" t="s">
        <v>61</v>
      </c>
      <c r="AQ16" s="32" t="s">
        <v>74</v>
      </c>
      <c r="AR16" s="30" t="s">
        <v>74</v>
      </c>
      <c r="AS16" s="32" t="s">
        <v>75</v>
      </c>
      <c r="AT16" s="32" t="s">
        <v>75</v>
      </c>
    </row>
    <row r="17" customFormat="false" ht="13" hidden="false" customHeight="false" outlineLevel="0" collapsed="false">
      <c r="A17" s="15"/>
      <c r="B17" s="21" t="s">
        <v>76</v>
      </c>
      <c r="C17" s="13"/>
      <c r="G17" s="15"/>
      <c r="H17" s="2" t="s">
        <v>46</v>
      </c>
      <c r="O17" s="15"/>
      <c r="R17" s="14"/>
      <c r="S17" s="14"/>
      <c r="V17" s="14"/>
      <c r="W17" s="14"/>
      <c r="AF17" s="35"/>
      <c r="AG17" s="35"/>
      <c r="AH17" s="35"/>
      <c r="AI17" s="35"/>
      <c r="AJ17" s="35"/>
      <c r="AK17" s="14" t="n">
        <v>0</v>
      </c>
      <c r="AL17" s="14" t="n">
        <v>0</v>
      </c>
      <c r="AM17" s="28" t="n">
        <v>0</v>
      </c>
      <c r="AN17" s="28" t="n">
        <v>0</v>
      </c>
      <c r="AO17" s="28"/>
      <c r="AP17" s="28"/>
      <c r="AQ17" s="36" t="s">
        <v>77</v>
      </c>
      <c r="AR17" s="28" t="s">
        <v>78</v>
      </c>
      <c r="AS17" s="14"/>
      <c r="AT17" s="14"/>
    </row>
    <row r="18" customFormat="false" ht="13" hidden="false" customHeight="false" outlineLevel="0" collapsed="false">
      <c r="A18" s="16" t="n">
        <v>1</v>
      </c>
      <c r="B18" s="37" t="n">
        <f aca="true">IF(RAND()&lt;$D$8,1,0)</f>
        <v>0</v>
      </c>
      <c r="C18" s="20" t="n">
        <v>0</v>
      </c>
      <c r="D18" s="38" t="n">
        <v>0</v>
      </c>
      <c r="E18" s="39" t="n">
        <f aca="false">MAX($E$3,AS17)</f>
        <v>0</v>
      </c>
      <c r="F18" s="39" t="n">
        <f aca="false">MAX($E$3,AT17)</f>
        <v>0</v>
      </c>
      <c r="G18" s="40" t="n">
        <v>0.5</v>
      </c>
      <c r="H18" s="38" t="n">
        <v>0</v>
      </c>
      <c r="I18" s="38" t="n">
        <f aca="true">IF((H18=1),0,$D$3+$D$5*(RAND()-0.5))</f>
        <v>2.16570624560479</v>
      </c>
      <c r="J18" s="38" t="n">
        <f aca="false">I18</f>
        <v>2.16570624560479</v>
      </c>
      <c r="K18" s="38" t="n">
        <f aca="false">IF((H18=0),J18-D18,0)</f>
        <v>2.16570624560479</v>
      </c>
      <c r="L18" s="38" t="n">
        <f aca="true">IF(($H18=0),0,$D$4+$D$5*(RAND()-0.5))</f>
        <v>0</v>
      </c>
      <c r="M18" s="38" t="n">
        <f aca="false">L18</f>
        <v>0</v>
      </c>
      <c r="N18" s="38" t="n">
        <f aca="false">IF((H18=1),M18-D18,0)</f>
        <v>0</v>
      </c>
      <c r="O18" s="16" t="n">
        <v>1</v>
      </c>
      <c r="P18" s="41" t="n">
        <f aca="false">IF((Arterial=0),P17+1,P17)</f>
        <v>1</v>
      </c>
      <c r="Q18" s="41" t="n">
        <f aca="false">IF((Arterial=1),Q17+1,Q17)</f>
        <v>0</v>
      </c>
      <c r="R18" s="42" t="e">
        <f aca="false">IF((RESET=1),0,R18+K18)</f>
        <v>#N/A</v>
      </c>
      <c r="S18" s="14" t="n">
        <f aca="false">IF(RESET=1,0,S18+N18)</f>
        <v>0</v>
      </c>
      <c r="T18" s="2" t="e">
        <f aca="false">IF(RESET=1,0,T18+IF(H18=0,1,0))</f>
        <v>#N/A</v>
      </c>
      <c r="U18" s="2" t="n">
        <f aca="false">IF(RESET=1,0,U18+H18)</f>
        <v>0</v>
      </c>
      <c r="V18" s="14" t="e">
        <f aca="false">R18/(T18+0.00001)</f>
        <v>#N/A</v>
      </c>
      <c r="W18" s="14" t="n">
        <f aca="false">S18/(U18+0.0001)</f>
        <v>0</v>
      </c>
      <c r="X18" s="39" t="n">
        <f aca="false">IF(Informed=1,K18,0)</f>
        <v>0</v>
      </c>
      <c r="Y18" s="39" t="n">
        <f aca="false">IF(Informed=0,K18,0)</f>
        <v>2.16570624560479</v>
      </c>
      <c r="Z18" s="39" t="n">
        <f aca="false">IF(Informed=1,N18,0)</f>
        <v>0</v>
      </c>
      <c r="AA18" s="39" t="n">
        <f aca="false">IF(Informed=0,N18,0)</f>
        <v>0</v>
      </c>
      <c r="AB18" s="43" t="n">
        <f aca="false">IF(Arterial=0,IF(Informed=1,1,0),0)</f>
        <v>0</v>
      </c>
      <c r="AC18" s="43" t="n">
        <f aca="false">IF(Arterial=0,IF(Informed=0,1,0),0)</f>
        <v>1</v>
      </c>
      <c r="AD18" s="43" t="n">
        <f aca="false">IF(Arterial=1,IF(Informed=1,1,0),0)</f>
        <v>0</v>
      </c>
      <c r="AE18" s="43" t="n">
        <f aca="false">IF(Arterial=1,IF(Informed=0,1,0),0)</f>
        <v>0</v>
      </c>
      <c r="AF18" s="35" t="n">
        <f aca="false">IF(AB18=1,(X18-G$1030)^2,0)</f>
        <v>0</v>
      </c>
      <c r="AG18" s="35" t="n">
        <f aca="false">IF(AC18=1,(Y18-H$1030)^2,0)</f>
        <v>76.7039478598377</v>
      </c>
      <c r="AH18" s="35" t="n">
        <f aca="false">IF(AD18=1,(Z18-I$1030)^2,0)</f>
        <v>0</v>
      </c>
      <c r="AI18" s="35" t="n">
        <f aca="false">IF(AE18=1,(AA18-J$1030)^2,0)</f>
        <v>0</v>
      </c>
      <c r="AJ18" s="37" t="n">
        <f aca="true">IF(RAND()&lt;$D$6,1,0)</f>
        <v>0</v>
      </c>
      <c r="AK18" s="14" t="n">
        <f aca="false">AK17+IF((AJ18=1),IF((H18=0),1,0),0)</f>
        <v>0</v>
      </c>
      <c r="AL18" s="14" t="n">
        <f aca="false">AL17+IF((AJ18=1),IF((H18=1),1,0),0)</f>
        <v>0</v>
      </c>
      <c r="AM18" s="37" t="n">
        <f aca="false">IF(AK18=0,9999,IF($H18=0,IF($AJ18&lt;1,AM17+1,0),AM17))</f>
        <v>9999</v>
      </c>
      <c r="AN18" s="37" t="n">
        <f aca="false">IF(AL18=0,9999,IF($H18=1,IF($AJ18&lt;1,AN17+1,0),AN17))</f>
        <v>9999</v>
      </c>
      <c r="AO18" s="37" t="n">
        <f aca="false">IF($A18-AM18&gt;0,1/(1+AM18),0)</f>
        <v>0</v>
      </c>
      <c r="AP18" s="37" t="n">
        <f aca="false">IF($A18-AN18&gt;0,1/(1+AN18),0)</f>
        <v>0</v>
      </c>
      <c r="AQ18" s="7" t="n">
        <f aca="false">IF(AK18=0,0,MAX(MIN(1,AO18^Power),0))</f>
        <v>0</v>
      </c>
      <c r="AR18" s="7" t="n">
        <f aca="false">IF(AL18=0,0,MAX(MIN(1,AP18^Power),0))</f>
        <v>0</v>
      </c>
      <c r="AS18" s="7" t="n">
        <f aca="false">IF($AJ18=1,IF($H18=0,K18,AS17),AS17)</f>
        <v>0</v>
      </c>
      <c r="AT18" s="7" t="n">
        <f aca="false">IF($AJ18=1,IF($H18=1,N18,AT17),AT17)</f>
        <v>0</v>
      </c>
    </row>
    <row r="19" customFormat="false" ht="13" hidden="false" customHeight="false" outlineLevel="0" collapsed="false">
      <c r="A19" s="16" t="n">
        <v>2</v>
      </c>
      <c r="B19" s="37" t="n">
        <f aca="true">IF(RAND()&lt;$D$8,1,0)</f>
        <v>1</v>
      </c>
      <c r="C19" s="20" t="n">
        <f aca="true">-LN(RAND())/$D$2</f>
        <v>0.00461964056393502</v>
      </c>
      <c r="D19" s="38" t="n">
        <f aca="false">D18+C19</f>
        <v>0.00461964056393502</v>
      </c>
      <c r="E19" s="39" t="n">
        <f aca="false">MAX($E$3,AS18)</f>
        <v>0</v>
      </c>
      <c r="F19" s="39" t="n">
        <f aca="false">MAX($E$3,AT18)</f>
        <v>0</v>
      </c>
      <c r="G19" s="40" t="n">
        <v>0.5</v>
      </c>
      <c r="H19" s="38" t="n">
        <f aca="true">IF((B19=1),(IF((F19&lt;E19),1,(IF((F19=E19),(IF(RAND()&lt;G19,1,0)),0)))),(IF((RAND()&lt;G19),1,0)))</f>
        <v>0</v>
      </c>
      <c r="I19" s="38" t="n">
        <f aca="true">IF((H19=1),0,$D$3+$D$5*(RAND()-0.5))</f>
        <v>1.79838899010009</v>
      </c>
      <c r="J19" s="38" t="n">
        <f aca="false">I19+MAX(D19,J18)</f>
        <v>3.96409523570488</v>
      </c>
      <c r="K19" s="38" t="n">
        <f aca="false">IF((H19=0),J19-D19,0)</f>
        <v>3.95947559514095</v>
      </c>
      <c r="L19" s="38" t="n">
        <f aca="true">IF(($H19=0),0,$D$4+$D$5*(RAND()-0.5))</f>
        <v>0</v>
      </c>
      <c r="M19" s="38" t="n">
        <f aca="false">L19+MAX(D19,M18)</f>
        <v>0.00461964056393502</v>
      </c>
      <c r="N19" s="38" t="n">
        <f aca="false">IF((H19=1),M19-D19,0)</f>
        <v>0</v>
      </c>
      <c r="O19" s="16" t="n">
        <v>2</v>
      </c>
      <c r="P19" s="41" t="n">
        <f aca="false">IF((Arterial=0),P18+1,P18)</f>
        <v>2</v>
      </c>
      <c r="Q19" s="41" t="n">
        <f aca="false">IF((Arterial=1),Q18+1,Q18)</f>
        <v>0</v>
      </c>
      <c r="R19" s="42" t="e">
        <f aca="false">IF((RESET=1),0,R19+K19)</f>
        <v>#N/A</v>
      </c>
      <c r="S19" s="14" t="n">
        <f aca="false">IF(RESET=1,0,S19+N19)</f>
        <v>89.8838271342252</v>
      </c>
      <c r="T19" s="2" t="e">
        <f aca="false">IF(RESET=1,0,T19+IF(H19=0,1,0))</f>
        <v>#N/A</v>
      </c>
      <c r="U19" s="2" t="n">
        <f aca="false">IF(RESET=1,0,U19+H19)</f>
        <v>45</v>
      </c>
      <c r="V19" s="14" t="e">
        <f aca="false">R19/(T19+0.00001)</f>
        <v>#N/A</v>
      </c>
      <c r="W19" s="14" t="n">
        <f aca="false">S19/(U19+0.0001)</f>
        <v>1.99741394206291</v>
      </c>
      <c r="X19" s="39" t="n">
        <f aca="false">IF(Informed=1,K19,0)</f>
        <v>3.95947559514095</v>
      </c>
      <c r="Y19" s="39" t="n">
        <f aca="false">IF(Informed=0,K19,0)</f>
        <v>0</v>
      </c>
      <c r="Z19" s="39" t="n">
        <f aca="false">IF(Informed=1,N19,0)</f>
        <v>0</v>
      </c>
      <c r="AA19" s="39" t="n">
        <f aca="false">IF(Informed=0,N19,0)</f>
        <v>0</v>
      </c>
      <c r="AB19" s="43" t="n">
        <f aca="false">IF(Arterial=0,IF(Informed=1,1,0),0)</f>
        <v>1</v>
      </c>
      <c r="AC19" s="43" t="n">
        <f aca="false">IF(Arterial=0,IF(Informed=0,1,0),0)</f>
        <v>0</v>
      </c>
      <c r="AD19" s="43" t="n">
        <f aca="false">IF(Arterial=1,IF(Informed=1,1,0),0)</f>
        <v>0</v>
      </c>
      <c r="AE19" s="43" t="n">
        <f aca="false">IF(Arterial=1,IF(Informed=0,1,0),0)</f>
        <v>0</v>
      </c>
      <c r="AF19" s="35" t="n">
        <f aca="false">IF(AB19=1,(X19-G$1030)^2,0)</f>
        <v>45.565235770669</v>
      </c>
      <c r="AG19" s="35" t="n">
        <f aca="false">IF(AC19=1,(Y19-H$1030)^2,0)</f>
        <v>0</v>
      </c>
      <c r="AH19" s="35" t="n">
        <f aca="false">IF(AD19=1,(Z19-I$1030)^2,0)</f>
        <v>0</v>
      </c>
      <c r="AI19" s="35" t="n">
        <f aca="false">IF(AE19=1,(AA19-J$1030)^2,0)</f>
        <v>0</v>
      </c>
      <c r="AJ19" s="37" t="n">
        <f aca="true">IF(RAND()&lt;$D$6,1,0)</f>
        <v>0</v>
      </c>
      <c r="AK19" s="14" t="n">
        <f aca="false">AK18+IF((AJ19=1),IF((H19=0),1,0),0)</f>
        <v>0</v>
      </c>
      <c r="AL19" s="14" t="n">
        <f aca="false">AL18+IF((AJ19=1),IF((H19=1),1,0),0)</f>
        <v>0</v>
      </c>
      <c r="AM19" s="37" t="n">
        <f aca="false">IF(AK19=0,9999,IF($H19=0,IF($AJ19&lt;1,AM18+1,0),AM18))</f>
        <v>9999</v>
      </c>
      <c r="AN19" s="37" t="n">
        <f aca="false">IF(AL19=0,9999,IF($H19=1,IF($AJ19&lt;1,AN18+1,0),AN18))</f>
        <v>9999</v>
      </c>
      <c r="AO19" s="37" t="n">
        <f aca="false">IF($A19-AM19&gt;0,1/(1+AM19),0)</f>
        <v>0</v>
      </c>
      <c r="AP19" s="37" t="n">
        <f aca="false">IF($A19-AN19&gt;0,1/(1+AN19),0)</f>
        <v>0</v>
      </c>
      <c r="AQ19" s="7" t="n">
        <f aca="false">IF(AK19=0,0,MAX(MIN(1,AO19^Power),0))</f>
        <v>0</v>
      </c>
      <c r="AR19" s="7" t="n">
        <f aca="false">IF(AL19=0,0,MAX(MIN(1,AP19^Power),0))</f>
        <v>0</v>
      </c>
      <c r="AS19" s="7" t="n">
        <f aca="false">IF($AJ19=1,IF($H19=0,K19,AS18),AS18)</f>
        <v>0</v>
      </c>
      <c r="AT19" s="7" t="n">
        <f aca="false">IF($AJ19=1,IF($H19=1,N19,AT18),AT18)</f>
        <v>0</v>
      </c>
    </row>
    <row r="20" customFormat="false" ht="13" hidden="false" customHeight="false" outlineLevel="0" collapsed="false">
      <c r="A20" s="16" t="n">
        <v>3</v>
      </c>
      <c r="B20" s="37" t="n">
        <f aca="true">IF(RAND()&lt;$D$8,1,0)</f>
        <v>1</v>
      </c>
      <c r="C20" s="20" t="n">
        <f aca="true">-LN(RAND())/$D$2</f>
        <v>2.22573798900229</v>
      </c>
      <c r="D20" s="38" t="n">
        <f aca="false">D19+C20</f>
        <v>2.23035762956623</v>
      </c>
      <c r="E20" s="39" t="n">
        <f aca="false">MAX($E$3,AS19)</f>
        <v>0</v>
      </c>
      <c r="F20" s="39" t="n">
        <f aca="false">MAX($E$3,AT19)</f>
        <v>0</v>
      </c>
      <c r="G20" s="40" t="n">
        <v>0.5</v>
      </c>
      <c r="H20" s="38" t="n">
        <f aca="true">IF((B20=1),(IF((F20&lt;E20),1,(IF((F20=E20),(IF(RAND()&lt;G20,1,0)),0)))),(IF((RAND()&lt;G20),1,0)))</f>
        <v>0</v>
      </c>
      <c r="I20" s="38" t="n">
        <f aca="true">IF((H20=1),0,$D$3+$D$5*(RAND()-0.5))</f>
        <v>1.75627435474843</v>
      </c>
      <c r="J20" s="38" t="n">
        <f aca="false">I20+MAX(D20,J19)</f>
        <v>5.72036959045331</v>
      </c>
      <c r="K20" s="38" t="n">
        <f aca="false">IF((H20=0),J20-D20,0)</f>
        <v>3.49001196088709</v>
      </c>
      <c r="L20" s="38" t="n">
        <f aca="true">IF(($H20=0),0,$D$4+$D$5*(RAND()-0.5))</f>
        <v>0</v>
      </c>
      <c r="M20" s="38" t="n">
        <f aca="false">L20+MAX(D20,M19)</f>
        <v>2.23035762956623</v>
      </c>
      <c r="N20" s="38" t="n">
        <f aca="false">IF((H20=1),M20-D20,0)</f>
        <v>0</v>
      </c>
      <c r="O20" s="16" t="n">
        <v>3</v>
      </c>
      <c r="P20" s="41" t="n">
        <f aca="false">IF((Arterial=0),P19+1,P19)</f>
        <v>3</v>
      </c>
      <c r="Q20" s="41" t="n">
        <f aca="false">IF((Arterial=1),Q19+1,Q19)</f>
        <v>0</v>
      </c>
      <c r="R20" s="42" t="e">
        <f aca="false">IF((RESET=1),0,R20+K20)</f>
        <v>#N/A</v>
      </c>
      <c r="S20" s="14" t="n">
        <f aca="false">IF(RESET=1,0,S20+N20)</f>
        <v>100.576286593642</v>
      </c>
      <c r="T20" s="2" t="e">
        <f aca="false">IF(RESET=1,0,T20+IF(H20=0,1,0))</f>
        <v>#N/A</v>
      </c>
      <c r="U20" s="2" t="n">
        <f aca="false">IF(RESET=1,0,U20+H20)</f>
        <v>38</v>
      </c>
      <c r="V20" s="14" t="e">
        <f aca="false">R20/(T20+0.00001)</f>
        <v>#N/A</v>
      </c>
      <c r="W20" s="14" t="n">
        <f aca="false">S20/(U20+0.0001)</f>
        <v>2.64673741894474</v>
      </c>
      <c r="X20" s="39" t="n">
        <f aca="false">IF(Informed=1,K20,0)</f>
        <v>3.49001196088709</v>
      </c>
      <c r="Y20" s="39" t="n">
        <f aca="false">IF(Informed=0,K20,0)</f>
        <v>0</v>
      </c>
      <c r="Z20" s="39" t="n">
        <f aca="false">IF(Informed=1,N20,0)</f>
        <v>0</v>
      </c>
      <c r="AA20" s="39" t="n">
        <f aca="false">IF(Informed=0,N20,0)</f>
        <v>0</v>
      </c>
      <c r="AB20" s="43" t="n">
        <f aca="false">IF(Arterial=0,IF(Informed=1,1,0),0)</f>
        <v>1</v>
      </c>
      <c r="AC20" s="43" t="n">
        <f aca="false">IF(Arterial=0,IF(Informed=0,1,0),0)</f>
        <v>0</v>
      </c>
      <c r="AD20" s="43" t="n">
        <f aca="false">IF(Arterial=1,IF(Informed=1,1,0),0)</f>
        <v>0</v>
      </c>
      <c r="AE20" s="43" t="n">
        <f aca="false">IF(Arterial=1,IF(Informed=0,1,0),0)</f>
        <v>0</v>
      </c>
      <c r="AF20" s="35" t="n">
        <f aca="false">IF(AB20=1,(X20-G$1030)^2,0)</f>
        <v>52.1235812074366</v>
      </c>
      <c r="AG20" s="35" t="n">
        <f aca="false">IF(AC20=1,(Y20-H$1030)^2,0)</f>
        <v>0</v>
      </c>
      <c r="AH20" s="35" t="n">
        <f aca="false">IF(AD20=1,(Z20-I$1030)^2,0)</f>
        <v>0</v>
      </c>
      <c r="AI20" s="35" t="n">
        <f aca="false">IF(AE20=1,(AA20-J$1030)^2,0)</f>
        <v>0</v>
      </c>
      <c r="AJ20" s="37" t="n">
        <f aca="true">IF(RAND()&lt;$D$6,1,0)</f>
        <v>0</v>
      </c>
      <c r="AK20" s="14" t="n">
        <f aca="false">AK19+IF((AJ20=1),IF((H20=0),1,0),0)</f>
        <v>0</v>
      </c>
      <c r="AL20" s="14" t="n">
        <f aca="false">AL19+IF((AJ20=1),IF((H20=1),1,0),0)</f>
        <v>0</v>
      </c>
      <c r="AM20" s="37" t="n">
        <f aca="false">IF(AK20=0,9999,IF($H20=0,IF($AJ20&lt;1,AM19+1,0),AM19))</f>
        <v>9999</v>
      </c>
      <c r="AN20" s="37" t="n">
        <f aca="false">IF(AL20=0,9999,IF($H20=1,IF($AJ20&lt;1,AN19+1,0),AN19))</f>
        <v>9999</v>
      </c>
      <c r="AO20" s="37" t="n">
        <f aca="false">IF($A20-AM20&gt;0,1/(1+AM20),0)</f>
        <v>0</v>
      </c>
      <c r="AP20" s="37" t="n">
        <f aca="false">IF($A20-AN20&gt;0,1/(1+AN20),0)</f>
        <v>0</v>
      </c>
      <c r="AQ20" s="7" t="n">
        <f aca="false">IF(AK20=0,0,MAX(MIN(1,AO20^Power),0))</f>
        <v>0</v>
      </c>
      <c r="AR20" s="7" t="n">
        <f aca="false">IF(AL20=0,0,MAX(MIN(1,AP20^Power),0))</f>
        <v>0</v>
      </c>
      <c r="AS20" s="7" t="n">
        <f aca="false">IF($AJ20=1,IF($H20=0,K20,AS19),AS19)</f>
        <v>0</v>
      </c>
      <c r="AT20" s="7" t="n">
        <f aca="false">IF($AJ20=1,IF($H20=1,N20,AT19),AT19)</f>
        <v>0</v>
      </c>
    </row>
    <row r="21" customFormat="false" ht="13" hidden="false" customHeight="false" outlineLevel="0" collapsed="false">
      <c r="A21" s="16" t="n">
        <v>4</v>
      </c>
      <c r="B21" s="37" t="n">
        <f aca="true">IF(RAND()&lt;$D$8,1,0)</f>
        <v>1</v>
      </c>
      <c r="C21" s="20" t="n">
        <f aca="true">-LN(RAND())/$D$2</f>
        <v>3.44652959035201</v>
      </c>
      <c r="D21" s="38" t="n">
        <f aca="false">D20+C21</f>
        <v>5.67688721991824</v>
      </c>
      <c r="E21" s="39" t="n">
        <f aca="false">MAX($E$3,AS20)</f>
        <v>0</v>
      </c>
      <c r="F21" s="39" t="n">
        <f aca="false">MAX($E$3,AT20)</f>
        <v>0</v>
      </c>
      <c r="G21" s="40" t="n">
        <v>0.5</v>
      </c>
      <c r="H21" s="38" t="n">
        <f aca="true">IF((B21=1),(IF((F21&lt;E21),1,(IF((F21=E21),(IF(RAND()&lt;G21,1,0)),0)))),(IF((RAND()&lt;G21),1,0)))</f>
        <v>1</v>
      </c>
      <c r="I21" s="38" t="n">
        <f aca="true">IF((H21=1),0,$D$3+$D$5*(RAND()-0.5))</f>
        <v>0</v>
      </c>
      <c r="J21" s="38" t="n">
        <f aca="false">I21+MAX(D21,J20)</f>
        <v>5.72036959045331</v>
      </c>
      <c r="K21" s="38" t="n">
        <f aca="false">IF((H21=0),J21-D21,0)</f>
        <v>0</v>
      </c>
      <c r="L21" s="38" t="n">
        <f aca="true">IF(($H21=0),0,$D$4+$D$5*(RAND()-0.5))</f>
        <v>2.10021188524451</v>
      </c>
      <c r="M21" s="38" t="n">
        <f aca="false">L21+MAX(D21,M20)</f>
        <v>7.77709910516275</v>
      </c>
      <c r="N21" s="38" t="n">
        <f aca="false">IF((H21=1),M21-D21,0)</f>
        <v>2.10021188524451</v>
      </c>
      <c r="O21" s="16" t="n">
        <v>4</v>
      </c>
      <c r="P21" s="41" t="n">
        <f aca="false">IF((Arterial=0),P20+1,P20)</f>
        <v>3</v>
      </c>
      <c r="Q21" s="41" t="n">
        <f aca="false">IF((Arterial=1),Q20+1,Q20)</f>
        <v>1</v>
      </c>
      <c r="R21" s="42" t="n">
        <f aca="false">IF((RESET=1),0,R21+K21)</f>
        <v>139.281166368043</v>
      </c>
      <c r="S21" s="14" t="e">
        <f aca="false">IF(RESET=1,0,S21+N21)</f>
        <v>#N/A</v>
      </c>
      <c r="T21" s="2" t="n">
        <f aca="false">IF(RESET=1,0,T21+IF(H21=0,1,0))</f>
        <v>39</v>
      </c>
      <c r="U21" s="2" t="e">
        <f aca="false">IF(RESET=1,0,U21+H21)</f>
        <v>#N/A</v>
      </c>
      <c r="V21" s="14" t="n">
        <f aca="false">R21/(T21+0.00001)</f>
        <v>3.57131104243418</v>
      </c>
      <c r="W21" s="14" t="e">
        <f aca="false">S21/(U21+0.0001)</f>
        <v>#N/A</v>
      </c>
      <c r="X21" s="39" t="n">
        <f aca="false">IF(Informed=1,K21,0)</f>
        <v>0</v>
      </c>
      <c r="Y21" s="39" t="n">
        <f aca="false">IF(Informed=0,K21,0)</f>
        <v>0</v>
      </c>
      <c r="Z21" s="39" t="n">
        <f aca="false">IF(Informed=1,N21,0)</f>
        <v>2.10021188524451</v>
      </c>
      <c r="AA21" s="39" t="n">
        <f aca="false">IF(Informed=0,N21,0)</f>
        <v>0</v>
      </c>
      <c r="AB21" s="43" t="n">
        <f aca="false">IF(Arterial=0,IF(Informed=1,1,0),0)</f>
        <v>0</v>
      </c>
      <c r="AC21" s="43" t="n">
        <f aca="false">IF(Arterial=0,IF(Informed=0,1,0),0)</f>
        <v>0</v>
      </c>
      <c r="AD21" s="43" t="n">
        <f aca="false">IF(Arterial=1,IF(Informed=1,1,0),0)</f>
        <v>1</v>
      </c>
      <c r="AE21" s="43" t="n">
        <f aca="false">IF(Arterial=1,IF(Informed=0,1,0),0)</f>
        <v>0</v>
      </c>
      <c r="AF21" s="35" t="n">
        <f aca="false">IF(AB21=1,(X21-G$1030)^2,0)</f>
        <v>0</v>
      </c>
      <c r="AG21" s="35" t="n">
        <f aca="false">IF(AC21=1,(Y21-H$1030)^2,0)</f>
        <v>0</v>
      </c>
      <c r="AH21" s="35" t="n">
        <f aca="false">IF(AD21=1,(Z21-I$1030)^2,0)</f>
        <v>690.355808957153</v>
      </c>
      <c r="AI21" s="35" t="n">
        <f aca="false">IF(AE21=1,(AA21-J$1030)^2,0)</f>
        <v>0</v>
      </c>
      <c r="AJ21" s="37" t="n">
        <f aca="true">IF(RAND()&lt;$D$6,1,0)</f>
        <v>0</v>
      </c>
      <c r="AK21" s="14" t="n">
        <f aca="false">AK20+IF((AJ21=1),IF((H21=0),1,0),0)</f>
        <v>0</v>
      </c>
      <c r="AL21" s="14" t="n">
        <f aca="false">AL20+IF((AJ21=1),IF((H21=1),1,0),0)</f>
        <v>0</v>
      </c>
      <c r="AM21" s="37" t="n">
        <f aca="false">IF(AK21=0,9999,IF($H21=0,IF($AJ21&lt;1,AM20+1,0),AM20))</f>
        <v>9999</v>
      </c>
      <c r="AN21" s="37" t="n">
        <f aca="false">IF(AL21=0,9999,IF($H21=1,IF($AJ21&lt;1,AN20+1,0),AN20))</f>
        <v>9999</v>
      </c>
      <c r="AO21" s="37" t="n">
        <f aca="false">IF($A21-AM21&gt;0,1/(1+AM21),0)</f>
        <v>0</v>
      </c>
      <c r="AP21" s="37" t="n">
        <f aca="false">IF($A21-AN21&gt;0,1/(1+AN21),0)</f>
        <v>0</v>
      </c>
      <c r="AQ21" s="7" t="n">
        <f aca="false">IF(AK21=0,0,MAX(MIN(1,AO21^Power),0))</f>
        <v>0</v>
      </c>
      <c r="AR21" s="7" t="n">
        <f aca="false">IF(AL21=0,0,MAX(MIN(1,AP21^Power),0))</f>
        <v>0</v>
      </c>
      <c r="AS21" s="7" t="n">
        <f aca="false">IF($AJ21=1,IF($H21=0,K21,AS20),AS20)</f>
        <v>0</v>
      </c>
      <c r="AT21" s="7" t="n">
        <f aca="false">IF($AJ21=1,IF($H21=1,N21,AT20),AT20)</f>
        <v>0</v>
      </c>
    </row>
    <row r="22" customFormat="false" ht="13" hidden="false" customHeight="false" outlineLevel="0" collapsed="false">
      <c r="A22" s="16" t="n">
        <v>5</v>
      </c>
      <c r="B22" s="37" t="n">
        <f aca="true">IF(RAND()&lt;$D$8,1,0)</f>
        <v>1</v>
      </c>
      <c r="C22" s="20" t="n">
        <f aca="true">-LN(RAND())/$D$2</f>
        <v>0.562833169879741</v>
      </c>
      <c r="D22" s="38" t="n">
        <f aca="false">D21+C22</f>
        <v>6.23972038979798</v>
      </c>
      <c r="E22" s="39" t="n">
        <f aca="false">MAX($E$3,AS21)</f>
        <v>0</v>
      </c>
      <c r="F22" s="39" t="n">
        <f aca="false">MAX($E$3,AT21)</f>
        <v>0</v>
      </c>
      <c r="G22" s="40" t="n">
        <v>0.5</v>
      </c>
      <c r="H22" s="38" t="n">
        <f aca="true">IF((B22=1),(IF((F22&lt;E22),1,(IF((F22=E22),(IF(RAND()&lt;G22,1,0)),0)))),(IF((RAND()&lt;G22),1,0)))</f>
        <v>0</v>
      </c>
      <c r="I22" s="38" t="n">
        <f aca="true">IF((H22=1),0,$D$3+$D$5*(RAND()-0.5))</f>
        <v>1.98884687591362</v>
      </c>
      <c r="J22" s="38" t="n">
        <f aca="false">I22+MAX(D22,J21)</f>
        <v>8.22856726571159</v>
      </c>
      <c r="K22" s="38" t="n">
        <f aca="false">IF((H22=0),J22-D22,0)</f>
        <v>1.98884687591362</v>
      </c>
      <c r="L22" s="38" t="n">
        <f aca="true">IF(($H22=0),0,$D$4+$D$5*(RAND()-0.5))</f>
        <v>0</v>
      </c>
      <c r="M22" s="38" t="n">
        <f aca="false">L22+MAX(D22,M21)</f>
        <v>7.77709910516275</v>
      </c>
      <c r="N22" s="38" t="n">
        <f aca="false">IF((H22=1),M22-D22,0)</f>
        <v>0</v>
      </c>
      <c r="O22" s="16" t="n">
        <v>5</v>
      </c>
      <c r="P22" s="41" t="n">
        <f aca="false">IF((Arterial=0),P21+1,P21)</f>
        <v>4</v>
      </c>
      <c r="Q22" s="41" t="n">
        <f aca="false">IF((Arterial=1),Q21+1,Q21)</f>
        <v>1</v>
      </c>
      <c r="R22" s="42" t="e">
        <f aca="false">IF((RESET=1),0,R22+K22)</f>
        <v>#N/A</v>
      </c>
      <c r="S22" s="14" t="n">
        <f aca="false">IF(RESET=1,0,S22+N22)</f>
        <v>119.968949987177</v>
      </c>
      <c r="T22" s="2" t="e">
        <f aca="false">IF(RESET=1,0,T22+IF(H22=0,1,0))</f>
        <v>#N/A</v>
      </c>
      <c r="U22" s="2" t="n">
        <f aca="false">IF(RESET=1,0,U22+H22)</f>
        <v>39</v>
      </c>
      <c r="V22" s="14" t="e">
        <f aca="false">R22/(T22+0.00001)</f>
        <v>#N/A</v>
      </c>
      <c r="W22" s="14" t="n">
        <f aca="false">S22/(U22+0.0001)</f>
        <v>3.07611903526342</v>
      </c>
      <c r="X22" s="39" t="n">
        <f aca="false">IF(Informed=1,K22,0)</f>
        <v>1.98884687591362</v>
      </c>
      <c r="Y22" s="39" t="n">
        <f aca="false">IF(Informed=0,K22,0)</f>
        <v>0</v>
      </c>
      <c r="Z22" s="39" t="n">
        <f aca="false">IF(Informed=1,N22,0)</f>
        <v>0</v>
      </c>
      <c r="AA22" s="39" t="n">
        <f aca="false">IF(Informed=0,N22,0)</f>
        <v>0</v>
      </c>
      <c r="AB22" s="43" t="n">
        <f aca="false">IF(Arterial=0,IF(Informed=1,1,0),0)</f>
        <v>1</v>
      </c>
      <c r="AC22" s="43" t="n">
        <f aca="false">IF(Arterial=0,IF(Informed=0,1,0),0)</f>
        <v>0</v>
      </c>
      <c r="AD22" s="43" t="n">
        <f aca="false">IF(Arterial=1,IF(Informed=1,1,0),0)</f>
        <v>0</v>
      </c>
      <c r="AE22" s="43" t="n">
        <f aca="false">IF(Arterial=1,IF(Informed=0,1,0),0)</f>
        <v>0</v>
      </c>
      <c r="AF22" s="35" t="n">
        <f aca="false">IF(AB22=1,(X22-G$1030)^2,0)</f>
        <v>76.0528997118481</v>
      </c>
      <c r="AG22" s="35" t="n">
        <f aca="false">IF(AC22=1,(Y22-H$1030)^2,0)</f>
        <v>0</v>
      </c>
      <c r="AH22" s="35" t="n">
        <f aca="false">IF(AD22=1,(Z22-I$1030)^2,0)</f>
        <v>0</v>
      </c>
      <c r="AI22" s="35" t="n">
        <f aca="false">IF(AE22=1,(AA22-J$1030)^2,0)</f>
        <v>0</v>
      </c>
      <c r="AJ22" s="37" t="n">
        <f aca="true">IF(RAND()&lt;$D$6,1,0)</f>
        <v>0</v>
      </c>
      <c r="AK22" s="14" t="n">
        <f aca="false">AK21+IF((AJ22=1),IF((H22=0),1,0),0)</f>
        <v>0</v>
      </c>
      <c r="AL22" s="14" t="n">
        <f aca="false">AL21+IF((AJ22=1),IF((H22=1),1,0),0)</f>
        <v>0</v>
      </c>
      <c r="AM22" s="37" t="n">
        <f aca="false">IF(AK22=0,9999,IF($H22=0,IF($AJ22&lt;1,AM21+1,0),AM21))</f>
        <v>9999</v>
      </c>
      <c r="AN22" s="37" t="n">
        <f aca="false">IF(AL22=0,9999,IF($H22=1,IF($AJ22&lt;1,AN21+1,0),AN21))</f>
        <v>9999</v>
      </c>
      <c r="AO22" s="37" t="n">
        <f aca="false">IF($A22-AM22&gt;0,1/(1+AM22),0)</f>
        <v>0</v>
      </c>
      <c r="AP22" s="37" t="n">
        <f aca="false">IF($A22-AN22&gt;0,1/(1+AN22),0)</f>
        <v>0</v>
      </c>
      <c r="AQ22" s="7" t="n">
        <f aca="false">IF(AK22=0,0,MAX(MIN(1,AO22^Power),0))</f>
        <v>0</v>
      </c>
      <c r="AR22" s="7" t="n">
        <f aca="false">IF(AL22=0,0,MAX(MIN(1,AP22^Power),0))</f>
        <v>0</v>
      </c>
      <c r="AS22" s="7" t="n">
        <f aca="false">IF($AJ22=1,IF($H22=0,K22,AS21),AS21)</f>
        <v>0</v>
      </c>
      <c r="AT22" s="7" t="n">
        <f aca="false">IF($AJ22=1,IF($H22=1,N22,AT21),AT21)</f>
        <v>0</v>
      </c>
    </row>
    <row r="23" customFormat="false" ht="13" hidden="false" customHeight="false" outlineLevel="0" collapsed="false">
      <c r="A23" s="16" t="n">
        <v>6</v>
      </c>
      <c r="B23" s="37" t="n">
        <f aca="true">IF(RAND()&lt;$D$8,1,0)</f>
        <v>1</v>
      </c>
      <c r="C23" s="20" t="n">
        <f aca="true">-LN(RAND())/$D$2</f>
        <v>3.74776536155057</v>
      </c>
      <c r="D23" s="38" t="n">
        <f aca="false">D22+C23</f>
        <v>9.98748575134854</v>
      </c>
      <c r="E23" s="39" t="n">
        <f aca="false">MAX($E$3,AS22)</f>
        <v>0</v>
      </c>
      <c r="F23" s="39" t="n">
        <f aca="false">MAX($E$3,AT22)</f>
        <v>0</v>
      </c>
      <c r="G23" s="40" t="n">
        <v>0.5</v>
      </c>
      <c r="H23" s="38" t="n">
        <f aca="true">IF((B23=1),(IF((F23&lt;E23),1,(IF((F23=E23),(IF(RAND()&lt;G23,1,0)),0)))),(IF((RAND()&lt;G23),1,0)))</f>
        <v>0</v>
      </c>
      <c r="I23" s="38" t="n">
        <f aca="true">IF((H23=1),0,$D$3+$D$5*(RAND()-0.5))</f>
        <v>1.82135461518309</v>
      </c>
      <c r="J23" s="38" t="n">
        <f aca="false">I23+MAX(D23,J22)</f>
        <v>11.8088403665316</v>
      </c>
      <c r="K23" s="38" t="n">
        <f aca="false">IF((H23=0),J23-D23,0)</f>
        <v>1.82135461518309</v>
      </c>
      <c r="L23" s="38" t="n">
        <f aca="true">IF(($H23=0),0,$D$4+$D$5*(RAND()-0.5))</f>
        <v>0</v>
      </c>
      <c r="M23" s="38" t="n">
        <f aca="false">L23+MAX(D23,M22)</f>
        <v>9.98748575134854</v>
      </c>
      <c r="N23" s="38" t="n">
        <f aca="false">IF((H23=1),M23-D23,0)</f>
        <v>0</v>
      </c>
      <c r="O23" s="16" t="n">
        <v>6</v>
      </c>
      <c r="P23" s="41" t="n">
        <f aca="false">IF((Arterial=0),P22+1,P22)</f>
        <v>5</v>
      </c>
      <c r="Q23" s="41" t="n">
        <f aca="false">IF((Arterial=1),Q22+1,Q22)</f>
        <v>1</v>
      </c>
      <c r="R23" s="42" t="e">
        <f aca="false">IF((RESET=1),0,R23+K23)</f>
        <v>#N/A</v>
      </c>
      <c r="S23" s="14" t="n">
        <f aca="false">IF(RESET=1,0,S23+N23)</f>
        <v>127.803554986052</v>
      </c>
      <c r="T23" s="2" t="e">
        <f aca="false">IF(RESET=1,0,T23+IF(H23=0,1,0))</f>
        <v>#N/A</v>
      </c>
      <c r="U23" s="2" t="n">
        <f aca="false">IF(RESET=1,0,U23+H23)</f>
        <v>38</v>
      </c>
      <c r="V23" s="14" t="e">
        <f aca="false">R23/(T23+0.00001)</f>
        <v>#N/A</v>
      </c>
      <c r="W23" s="14" t="n">
        <f aca="false">S23/(U23+0.0001)</f>
        <v>3.36324259636295</v>
      </c>
      <c r="X23" s="39" t="n">
        <f aca="false">IF(Informed=1,K23,0)</f>
        <v>1.82135461518309</v>
      </c>
      <c r="Y23" s="39" t="n">
        <f aca="false">IF(Informed=0,K23,0)</f>
        <v>0</v>
      </c>
      <c r="Z23" s="39" t="n">
        <f aca="false">IF(Informed=1,N23,0)</f>
        <v>0</v>
      </c>
      <c r="AA23" s="39" t="n">
        <f aca="false">IF(Informed=0,N23,0)</f>
        <v>0</v>
      </c>
      <c r="AB23" s="43" t="n">
        <f aca="false">IF(Arterial=0,IF(Informed=1,1,0),0)</f>
        <v>1</v>
      </c>
      <c r="AC23" s="43" t="n">
        <f aca="false">IF(Arterial=0,IF(Informed=0,1,0),0)</f>
        <v>0</v>
      </c>
      <c r="AD23" s="43" t="n">
        <f aca="false">IF(Arterial=1,IF(Informed=1,1,0),0)</f>
        <v>0</v>
      </c>
      <c r="AE23" s="43" t="n">
        <f aca="false">IF(Arterial=1,IF(Informed=0,1,0),0)</f>
        <v>0</v>
      </c>
      <c r="AF23" s="35" t="n">
        <f aca="false">IF(AB23=1,(X23-G$1030)^2,0)</f>
        <v>79.0022968910895</v>
      </c>
      <c r="AG23" s="35" t="n">
        <f aca="false">IF(AC23=1,(Y23-H$1030)^2,0)</f>
        <v>0</v>
      </c>
      <c r="AH23" s="35" t="n">
        <f aca="false">IF(AD23=1,(Z23-I$1030)^2,0)</f>
        <v>0</v>
      </c>
      <c r="AI23" s="35" t="n">
        <f aca="false">IF(AE23=1,(AA23-J$1030)^2,0)</f>
        <v>0</v>
      </c>
      <c r="AJ23" s="37" t="n">
        <f aca="true">IF(RAND()&lt;$D$6,1,0)</f>
        <v>0</v>
      </c>
      <c r="AK23" s="14" t="n">
        <f aca="false">AK22+IF((AJ23=1),IF((H23=0),1,0),0)</f>
        <v>0</v>
      </c>
      <c r="AL23" s="14" t="n">
        <f aca="false">AL22+IF((AJ23=1),IF((H23=1),1,0),0)</f>
        <v>0</v>
      </c>
      <c r="AM23" s="37" t="n">
        <f aca="false">IF(AK23=0,9999,IF($H23=0,IF($AJ23&lt;1,AM22+1,0),AM22))</f>
        <v>9999</v>
      </c>
      <c r="AN23" s="37" t="n">
        <f aca="false">IF(AL23=0,9999,IF($H23=1,IF($AJ23&lt;1,AN22+1,0),AN22))</f>
        <v>9999</v>
      </c>
      <c r="AO23" s="37" t="n">
        <f aca="false">IF($A23-AM23&gt;0,1/(1+AM23),0)</f>
        <v>0</v>
      </c>
      <c r="AP23" s="37" t="n">
        <f aca="false">IF($A23-AN23&gt;0,1/(1+AN23),0)</f>
        <v>0</v>
      </c>
      <c r="AQ23" s="7" t="n">
        <f aca="false">IF(AK23=0,0,MAX(MIN(1,AO23^Power),0))</f>
        <v>0</v>
      </c>
      <c r="AR23" s="7" t="n">
        <f aca="false">IF(AL23=0,0,MAX(MIN(1,AP23^Power),0))</f>
        <v>0</v>
      </c>
      <c r="AS23" s="7" t="n">
        <f aca="false">IF($AJ23=1,IF($H23=0,K23,AS22),AS22)</f>
        <v>0</v>
      </c>
      <c r="AT23" s="7" t="n">
        <f aca="false">IF($AJ23=1,IF($H23=1,N23,AT22),AT22)</f>
        <v>0</v>
      </c>
    </row>
    <row r="24" customFormat="false" ht="13" hidden="false" customHeight="false" outlineLevel="0" collapsed="false">
      <c r="A24" s="16" t="n">
        <v>7</v>
      </c>
      <c r="B24" s="37" t="n">
        <f aca="true">IF(RAND()&lt;$D$8,1,0)</f>
        <v>0</v>
      </c>
      <c r="C24" s="20" t="n">
        <f aca="true">-LN(RAND())/$D$2</f>
        <v>0.222371804408398</v>
      </c>
      <c r="D24" s="38" t="n">
        <f aca="false">D23+C24</f>
        <v>10.2098575557569</v>
      </c>
      <c r="E24" s="39" t="n">
        <f aca="false">MAX($E$3,AS23)</f>
        <v>0</v>
      </c>
      <c r="F24" s="39" t="n">
        <f aca="false">MAX($E$3,AT23)</f>
        <v>0</v>
      </c>
      <c r="G24" s="40" t="n">
        <v>0.5</v>
      </c>
      <c r="H24" s="38" t="n">
        <f aca="true">IF((B24=1),(IF((F24&lt;E24),1,(IF((F24=E24),(IF(RAND()&lt;G24,1,0)),0)))),(IF((RAND()&lt;G24),1,0)))</f>
        <v>1</v>
      </c>
      <c r="I24" s="38" t="n">
        <f aca="true">IF((H24=1),0,$D$3+$D$5*(RAND()-0.5))</f>
        <v>0</v>
      </c>
      <c r="J24" s="38" t="n">
        <f aca="false">I24+MAX(D24,J23)</f>
        <v>11.8088403665316</v>
      </c>
      <c r="K24" s="38" t="n">
        <f aca="false">IF((H24=0),J24-D24,0)</f>
        <v>0</v>
      </c>
      <c r="L24" s="38" t="n">
        <f aca="true">IF(($H24=0),0,$D$4+$D$5*(RAND()-0.5))</f>
        <v>2.16732528275126</v>
      </c>
      <c r="M24" s="38" t="n">
        <f aca="false">L24+MAX(D24,M23)</f>
        <v>12.3771828385082</v>
      </c>
      <c r="N24" s="38" t="n">
        <f aca="false">IF((H24=1),M24-D24,0)</f>
        <v>2.16732528275126</v>
      </c>
      <c r="O24" s="16" t="n">
        <v>7</v>
      </c>
      <c r="P24" s="41" t="n">
        <f aca="false">IF((Arterial=0),P23+1,P23)</f>
        <v>5</v>
      </c>
      <c r="Q24" s="41" t="n">
        <f aca="false">IF((Arterial=1),Q23+1,Q23)</f>
        <v>2</v>
      </c>
      <c r="R24" s="42" t="n">
        <f aca="false">IF((RESET=1),0,R24+K24)</f>
        <v>157.750033173361</v>
      </c>
      <c r="S24" s="14" t="e">
        <f aca="false">IF(RESET=1,0,S24+N24)</f>
        <v>#N/A</v>
      </c>
      <c r="T24" s="2" t="n">
        <f aca="false">IF(RESET=1,0,T24+IF(H24=0,1,0))</f>
        <v>36</v>
      </c>
      <c r="U24" s="2" t="e">
        <f aca="false">IF(RESET=1,0,U24+H24)</f>
        <v>#N/A</v>
      </c>
      <c r="V24" s="14" t="n">
        <f aca="false">R24/(T24+0.00001)</f>
        <v>4.38194414871997</v>
      </c>
      <c r="W24" s="14" t="e">
        <f aca="false">S24/(U24+0.0001)</f>
        <v>#N/A</v>
      </c>
      <c r="X24" s="39" t="n">
        <f aca="false">IF(Informed=1,K24,0)</f>
        <v>0</v>
      </c>
      <c r="Y24" s="39" t="n">
        <f aca="false">IF(Informed=0,K24,0)</f>
        <v>0</v>
      </c>
      <c r="Z24" s="39" t="n">
        <f aca="false">IF(Informed=1,N24,0)</f>
        <v>0</v>
      </c>
      <c r="AA24" s="39" t="n">
        <f aca="false">IF(Informed=0,N24,0)</f>
        <v>2.16732528275126</v>
      </c>
      <c r="AB24" s="43" t="n">
        <f aca="false">IF(Arterial=0,IF(Informed=1,1,0),0)</f>
        <v>0</v>
      </c>
      <c r="AC24" s="43" t="n">
        <f aca="false">IF(Arterial=0,IF(Informed=0,1,0),0)</f>
        <v>0</v>
      </c>
      <c r="AD24" s="43" t="n">
        <f aca="false">IF(Arterial=1,IF(Informed=1,1,0),0)</f>
        <v>0</v>
      </c>
      <c r="AE24" s="43" t="n">
        <f aca="false">IF(Arterial=1,IF(Informed=0,1,0),0)</f>
        <v>1</v>
      </c>
      <c r="AF24" s="35" t="n">
        <f aca="false">IF(AB24=1,(X24-G$1030)^2,0)</f>
        <v>0</v>
      </c>
      <c r="AG24" s="35" t="n">
        <f aca="false">IF(AC24=1,(Y24-H$1030)^2,0)</f>
        <v>0</v>
      </c>
      <c r="AH24" s="35" t="n">
        <f aca="false">IF(AD24=1,(Z24-I$1030)^2,0)</f>
        <v>0</v>
      </c>
      <c r="AI24" s="35" t="n">
        <f aca="false">IF(AE24=1,(AA24-J$1030)^2,0)</f>
        <v>750.592853273329</v>
      </c>
      <c r="AJ24" s="37" t="n">
        <f aca="true">IF(RAND()&lt;$D$6,1,0)</f>
        <v>0</v>
      </c>
      <c r="AK24" s="14" t="n">
        <f aca="false">AK23+IF((AJ24=1),IF((H24=0),1,0),0)</f>
        <v>0</v>
      </c>
      <c r="AL24" s="14" t="n">
        <f aca="false">AL23+IF((AJ24=1),IF((H24=1),1,0),0)</f>
        <v>0</v>
      </c>
      <c r="AM24" s="37" t="n">
        <f aca="false">IF(AK24=0,9999,IF($H24=0,IF($AJ24&lt;1,AM23+1,0),AM23))</f>
        <v>9999</v>
      </c>
      <c r="AN24" s="37" t="n">
        <f aca="false">IF(AL24=0,9999,IF($H24=1,IF($AJ24&lt;1,AN23+1,0),AN23))</f>
        <v>9999</v>
      </c>
      <c r="AO24" s="37" t="n">
        <f aca="false">IF($A24-AM24&gt;0,1/(1+AM24),0)</f>
        <v>0</v>
      </c>
      <c r="AP24" s="37" t="n">
        <f aca="false">IF($A24-AN24&gt;0,1/(1+AN24),0)</f>
        <v>0</v>
      </c>
      <c r="AQ24" s="7" t="n">
        <f aca="false">IF(AK24=0,0,MAX(MIN(1,AO24^Power),0))</f>
        <v>0</v>
      </c>
      <c r="AR24" s="7" t="n">
        <f aca="false">IF(AL24=0,0,MAX(MIN(1,AP24^Power),0))</f>
        <v>0</v>
      </c>
      <c r="AS24" s="7" t="n">
        <f aca="false">IF($AJ24=1,IF($H24=0,K24,AS23),AS23)</f>
        <v>0</v>
      </c>
      <c r="AT24" s="7" t="n">
        <f aca="false">IF($AJ24=1,IF($H24=1,N24,AT23),AT23)</f>
        <v>0</v>
      </c>
    </row>
    <row r="25" customFormat="false" ht="13" hidden="false" customHeight="false" outlineLevel="0" collapsed="false">
      <c r="A25" s="16" t="n">
        <v>8</v>
      </c>
      <c r="B25" s="37" t="n">
        <f aca="true">IF(RAND()&lt;$D$8,1,0)</f>
        <v>0</v>
      </c>
      <c r="C25" s="20" t="n">
        <f aca="true">-LN(RAND())/$D$2</f>
        <v>0.719262387256267</v>
      </c>
      <c r="D25" s="38" t="n">
        <f aca="false">D24+C25</f>
        <v>10.9291199430132</v>
      </c>
      <c r="E25" s="39" t="n">
        <f aca="false">MAX($E$3,AS24)</f>
        <v>0</v>
      </c>
      <c r="F25" s="39" t="n">
        <f aca="false">MAX($E$3,AT24)</f>
        <v>0</v>
      </c>
      <c r="G25" s="40" t="n">
        <v>0.5</v>
      </c>
      <c r="H25" s="38" t="n">
        <f aca="true">IF((B25=1),(IF((F25&lt;E25),1,(IF((F25=E25),(IF(RAND()&lt;G25,1,0)),0)))),(IF((RAND()&lt;G25),1,0)))</f>
        <v>1</v>
      </c>
      <c r="I25" s="38" t="n">
        <f aca="true">IF((H25=1),0,$D$3+$D$5*(RAND()-0.5))</f>
        <v>0</v>
      </c>
      <c r="J25" s="38" t="n">
        <f aca="false">I25+MAX(D25,J24)</f>
        <v>11.8088403665316</v>
      </c>
      <c r="K25" s="38" t="n">
        <f aca="false">IF((H25=0),J25-D25,0)</f>
        <v>0</v>
      </c>
      <c r="L25" s="38" t="n">
        <f aca="true">IF(($H25=0),0,$D$4+$D$5*(RAND()-0.5))</f>
        <v>2.24006275592461</v>
      </c>
      <c r="M25" s="38" t="n">
        <f aca="false">L25+MAX(D25,M24)</f>
        <v>14.6172455944328</v>
      </c>
      <c r="N25" s="38" t="n">
        <f aca="false">IF((H25=1),M25-D25,0)</f>
        <v>3.6881256514196</v>
      </c>
      <c r="O25" s="16" t="n">
        <v>8</v>
      </c>
      <c r="P25" s="41" t="n">
        <f aca="false">IF((Arterial=0),P24+1,P24)</f>
        <v>5</v>
      </c>
      <c r="Q25" s="41" t="n">
        <f aca="false">IF((Arterial=1),Q24+1,Q24)</f>
        <v>3</v>
      </c>
      <c r="R25" s="42" t="n">
        <f aca="false">IF((RESET=1),0,R25+K25)</f>
        <v>145.32090183487</v>
      </c>
      <c r="S25" s="14" t="e">
        <f aca="false">IF(RESET=1,0,S25+N25)</f>
        <v>#N/A</v>
      </c>
      <c r="T25" s="2" t="n">
        <f aca="false">IF(RESET=1,0,T25+IF(H25=0,1,0))</f>
        <v>34</v>
      </c>
      <c r="U25" s="2" t="e">
        <f aca="false">IF(RESET=1,0,U25+H25)</f>
        <v>#N/A</v>
      </c>
      <c r="V25" s="14" t="n">
        <f aca="false">R25/(T25+0.00001)</f>
        <v>4.27414291451297</v>
      </c>
      <c r="W25" s="14" t="e">
        <f aca="false">S25/(U25+0.0001)</f>
        <v>#N/A</v>
      </c>
      <c r="X25" s="39" t="n">
        <f aca="false">IF(Informed=1,K25,0)</f>
        <v>0</v>
      </c>
      <c r="Y25" s="39" t="n">
        <f aca="false">IF(Informed=0,K25,0)</f>
        <v>0</v>
      </c>
      <c r="Z25" s="39" t="n">
        <f aca="false">IF(Informed=1,N25,0)</f>
        <v>0</v>
      </c>
      <c r="AA25" s="39" t="n">
        <f aca="false">IF(Informed=0,N25,0)</f>
        <v>3.6881256514196</v>
      </c>
      <c r="AB25" s="43" t="n">
        <f aca="false">IF(Arterial=0,IF(Informed=1,1,0),0)</f>
        <v>0</v>
      </c>
      <c r="AC25" s="43" t="n">
        <f aca="false">IF(Arterial=0,IF(Informed=0,1,0),0)</f>
        <v>0</v>
      </c>
      <c r="AD25" s="43" t="n">
        <f aca="false">IF(Arterial=1,IF(Informed=1,1,0),0)</f>
        <v>0</v>
      </c>
      <c r="AE25" s="43" t="n">
        <f aca="false">IF(Arterial=1,IF(Informed=0,1,0),0)</f>
        <v>1</v>
      </c>
      <c r="AF25" s="35" t="n">
        <f aca="false">IF(AB25=1,(X25-G$1030)^2,0)</f>
        <v>0</v>
      </c>
      <c r="AG25" s="35" t="n">
        <f aca="false">IF(AC25=1,(Y25-H$1030)^2,0)</f>
        <v>0</v>
      </c>
      <c r="AH25" s="35" t="n">
        <f aca="false">IF(AD25=1,(Z25-I$1030)^2,0)</f>
        <v>0</v>
      </c>
      <c r="AI25" s="35" t="n">
        <f aca="false">IF(AE25=1,(AA25-J$1030)^2,0)</f>
        <v>669.575104603672</v>
      </c>
      <c r="AJ25" s="37" t="n">
        <f aca="true">IF(RAND()&lt;$D$6,1,0)</f>
        <v>0</v>
      </c>
      <c r="AK25" s="14" t="n">
        <f aca="false">AK24+IF((AJ25=1),IF((H25=0),1,0),0)</f>
        <v>0</v>
      </c>
      <c r="AL25" s="14" t="n">
        <f aca="false">AL24+IF((AJ25=1),IF((H25=1),1,0),0)</f>
        <v>0</v>
      </c>
      <c r="AM25" s="37" t="n">
        <f aca="false">IF(AK25=0,9999,IF($H25=0,IF($AJ25&lt;1,AM24+1,0),AM24))</f>
        <v>9999</v>
      </c>
      <c r="AN25" s="37" t="n">
        <f aca="false">IF(AL25=0,9999,IF($H25=1,IF($AJ25&lt;1,AN24+1,0),AN24))</f>
        <v>9999</v>
      </c>
      <c r="AO25" s="37" t="n">
        <f aca="false">IF($A25-AM25&gt;0,1/(1+AM25),0)</f>
        <v>0</v>
      </c>
      <c r="AP25" s="37" t="n">
        <f aca="false">IF($A25-AN25&gt;0,1/(1+AN25),0)</f>
        <v>0</v>
      </c>
      <c r="AQ25" s="7" t="n">
        <f aca="false">IF(AK25=0,0,MAX(MIN(1,AO25^Power),0))</f>
        <v>0</v>
      </c>
      <c r="AR25" s="7" t="n">
        <f aca="false">IF(AL25=0,0,MAX(MIN(1,AP25^Power),0))</f>
        <v>0</v>
      </c>
      <c r="AS25" s="7" t="n">
        <f aca="false">IF($AJ25=1,IF($H25=0,K25,AS24),AS24)</f>
        <v>0</v>
      </c>
      <c r="AT25" s="7" t="n">
        <f aca="false">IF($AJ25=1,IF($H25=1,N25,AT24),AT24)</f>
        <v>0</v>
      </c>
    </row>
    <row r="26" customFormat="false" ht="13" hidden="false" customHeight="false" outlineLevel="0" collapsed="false">
      <c r="A26" s="16" t="n">
        <v>9</v>
      </c>
      <c r="B26" s="37" t="n">
        <f aca="true">IF(RAND()&lt;$D$8,1,0)</f>
        <v>0</v>
      </c>
      <c r="C26" s="20" t="n">
        <f aca="true">-LN(RAND())/$D$2</f>
        <v>0.884876795504894</v>
      </c>
      <c r="D26" s="38" t="n">
        <f aca="false">D25+C26</f>
        <v>11.8139967385181</v>
      </c>
      <c r="E26" s="39" t="n">
        <f aca="false">MAX($E$3,AS25)</f>
        <v>0</v>
      </c>
      <c r="F26" s="39" t="n">
        <f aca="false">MAX($E$3,AT25)</f>
        <v>0</v>
      </c>
      <c r="G26" s="40" t="n">
        <v>0.5</v>
      </c>
      <c r="H26" s="38" t="n">
        <f aca="true">IF((B26=1),(IF((F26&lt;E26),1,(IF((F26=E26),(IF(RAND()&lt;G26,1,0)),0)))),(IF((RAND()&lt;G26),1,0)))</f>
        <v>1</v>
      </c>
      <c r="I26" s="38" t="n">
        <f aca="true">IF((H26=1),0,$D$3+$D$5*(RAND()-0.5))</f>
        <v>0</v>
      </c>
      <c r="J26" s="38" t="n">
        <f aca="false">I26+MAX(D26,J25)</f>
        <v>11.8139967385181</v>
      </c>
      <c r="K26" s="38" t="n">
        <f aca="false">IF((H26=0),J26-D26,0)</f>
        <v>0</v>
      </c>
      <c r="L26" s="38" t="n">
        <f aca="true">IF(($H26=0),0,$D$4+$D$5*(RAND()-0.5))</f>
        <v>2.16515655771402</v>
      </c>
      <c r="M26" s="38" t="n">
        <f aca="false">L26+MAX(D26,M25)</f>
        <v>16.7824021521468</v>
      </c>
      <c r="N26" s="38" t="n">
        <f aca="false">IF((H26=1),M26-D26,0)</f>
        <v>4.96840541362873</v>
      </c>
      <c r="O26" s="16" t="n">
        <v>9</v>
      </c>
      <c r="P26" s="41" t="n">
        <f aca="false">IF((Arterial=0),P25+1,P25)</f>
        <v>5</v>
      </c>
      <c r="Q26" s="41" t="n">
        <f aca="false">IF((Arterial=1),Q25+1,Q25)</f>
        <v>4</v>
      </c>
      <c r="R26" s="42" t="n">
        <f aca="false">IF((RESET=1),0,R26+K26)</f>
        <v>188.092056113067</v>
      </c>
      <c r="S26" s="14" t="e">
        <f aca="false">IF(RESET=1,0,S26+N26)</f>
        <v>#N/A</v>
      </c>
      <c r="T26" s="2" t="n">
        <f aca="false">IF(RESET=1,0,T26+IF(H26=0,1,0))</f>
        <v>39</v>
      </c>
      <c r="U26" s="2" t="e">
        <f aca="false">IF(RESET=1,0,U26+H26)</f>
        <v>#N/A</v>
      </c>
      <c r="V26" s="14" t="n">
        <f aca="false">R26/(T26+0.00001)</f>
        <v>4.82287199703455</v>
      </c>
      <c r="W26" s="14" t="e">
        <f aca="false">S26/(U26+0.0001)</f>
        <v>#N/A</v>
      </c>
      <c r="X26" s="39" t="n">
        <f aca="false">IF(Informed=1,K26,0)</f>
        <v>0</v>
      </c>
      <c r="Y26" s="39" t="n">
        <f aca="false">IF(Informed=0,K26,0)</f>
        <v>0</v>
      </c>
      <c r="Z26" s="39" t="n">
        <f aca="false">IF(Informed=1,N26,0)</f>
        <v>0</v>
      </c>
      <c r="AA26" s="39" t="n">
        <f aca="false">IF(Informed=0,N26,0)</f>
        <v>4.96840541362873</v>
      </c>
      <c r="AB26" s="43" t="n">
        <f aca="false">IF(Arterial=0,IF(Informed=1,1,0),0)</f>
        <v>0</v>
      </c>
      <c r="AC26" s="43" t="n">
        <f aca="false">IF(Arterial=0,IF(Informed=0,1,0),0)</f>
        <v>0</v>
      </c>
      <c r="AD26" s="43" t="n">
        <f aca="false">IF(Arterial=1,IF(Informed=1,1,0),0)</f>
        <v>0</v>
      </c>
      <c r="AE26" s="43" t="n">
        <f aca="false">IF(Arterial=1,IF(Informed=0,1,0),0)</f>
        <v>1</v>
      </c>
      <c r="AF26" s="35" t="n">
        <f aca="false">IF(AB26=1,(X26-G$1030)^2,0)</f>
        <v>0</v>
      </c>
      <c r="AG26" s="35" t="n">
        <f aca="false">IF(AC26=1,(Y26-H$1030)^2,0)</f>
        <v>0</v>
      </c>
      <c r="AH26" s="35" t="n">
        <f aca="false">IF(AD26=1,(Z26-I$1030)^2,0)</f>
        <v>0</v>
      </c>
      <c r="AI26" s="35" t="n">
        <f aca="false">IF(AE26=1,(AA26-J$1030)^2,0)</f>
        <v>604.956800228471</v>
      </c>
      <c r="AJ26" s="37" t="n">
        <f aca="true">IF(RAND()&lt;$D$6,1,0)</f>
        <v>0</v>
      </c>
      <c r="AK26" s="14" t="n">
        <f aca="false">AK25+IF((AJ26=1),IF((H26=0),1,0),0)</f>
        <v>0</v>
      </c>
      <c r="AL26" s="14" t="n">
        <f aca="false">AL25+IF((AJ26=1),IF((H26=1),1,0),0)</f>
        <v>0</v>
      </c>
      <c r="AM26" s="37" t="n">
        <f aca="false">IF(AK26=0,9999,IF($H26=0,IF($AJ26&lt;1,AM25+1,0),AM25))</f>
        <v>9999</v>
      </c>
      <c r="AN26" s="37" t="n">
        <f aca="false">IF(AL26=0,9999,IF($H26=1,IF($AJ26&lt;1,AN25+1,0),AN25))</f>
        <v>9999</v>
      </c>
      <c r="AO26" s="37" t="n">
        <f aca="false">IF($A26-AM26&gt;0,1/(1+AM26),0)</f>
        <v>0</v>
      </c>
      <c r="AP26" s="37" t="n">
        <f aca="false">IF($A26-AN26&gt;0,1/(1+AN26),0)</f>
        <v>0</v>
      </c>
      <c r="AQ26" s="7" t="n">
        <f aca="false">IF(AK26=0,0,MAX(MIN(1,AO26^Power),0))</f>
        <v>0</v>
      </c>
      <c r="AR26" s="7" t="n">
        <f aca="false">IF(AL26=0,0,MAX(MIN(1,AP26^Power),0))</f>
        <v>0</v>
      </c>
      <c r="AS26" s="7" t="n">
        <f aca="false">IF($AJ26=1,IF($H26=0,K26,AS25),AS25)</f>
        <v>0</v>
      </c>
      <c r="AT26" s="7" t="n">
        <f aca="false">IF($AJ26=1,IF($H26=1,N26,AT25),AT25)</f>
        <v>0</v>
      </c>
    </row>
    <row r="27" customFormat="false" ht="13" hidden="false" customHeight="false" outlineLevel="0" collapsed="false">
      <c r="A27" s="16" t="n">
        <v>10</v>
      </c>
      <c r="B27" s="37" t="n">
        <f aca="true">IF(RAND()&lt;$D$8,1,0)</f>
        <v>1</v>
      </c>
      <c r="C27" s="20" t="n">
        <f aca="true">-LN(RAND())/$D$2</f>
        <v>0.654841711176074</v>
      </c>
      <c r="D27" s="38" t="n">
        <f aca="false">D26+C27</f>
        <v>12.4688384496942</v>
      </c>
      <c r="E27" s="39" t="n">
        <f aca="false">MAX($E$3,AS26)</f>
        <v>0</v>
      </c>
      <c r="F27" s="39" t="n">
        <f aca="false">MAX($E$3,AT26)</f>
        <v>0</v>
      </c>
      <c r="G27" s="40" t="n">
        <v>0.5</v>
      </c>
      <c r="H27" s="38" t="n">
        <f aca="true">IF((B27=1),(IF((F27&lt;E27),1,(IF((F27=E27),(IF(RAND()&lt;G27,1,0)),0)))),(IF((RAND()&lt;G27),1,0)))</f>
        <v>0</v>
      </c>
      <c r="I27" s="38" t="n">
        <f aca="true">IF((H27=1),0,$D$3+$D$5*(RAND()-0.5))</f>
        <v>2.06501709890261</v>
      </c>
      <c r="J27" s="38" t="n">
        <f aca="false">I27+MAX(D27,J26)</f>
        <v>14.5338555485968</v>
      </c>
      <c r="K27" s="38" t="n">
        <f aca="false">IF((H27=0),J27-D27,0)</f>
        <v>2.06501709890261</v>
      </c>
      <c r="L27" s="38" t="n">
        <f aca="true">IF(($H27=0),0,$D$4+$D$5*(RAND()-0.5))</f>
        <v>0</v>
      </c>
      <c r="M27" s="38" t="n">
        <f aca="false">L27+MAX(D27,M26)</f>
        <v>16.7824021521468</v>
      </c>
      <c r="N27" s="38" t="n">
        <f aca="false">IF((H27=1),M27-D27,0)</f>
        <v>0</v>
      </c>
      <c r="O27" s="16" t="n">
        <v>10</v>
      </c>
      <c r="P27" s="41" t="n">
        <f aca="false">IF((Arterial=0),P26+1,P26)</f>
        <v>6</v>
      </c>
      <c r="Q27" s="41" t="n">
        <f aca="false">IF((Arterial=1),Q26+1,Q26)</f>
        <v>4</v>
      </c>
      <c r="R27" s="42" t="e">
        <f aca="false">IF((RESET=1),0,R27+K27)</f>
        <v>#N/A</v>
      </c>
      <c r="S27" s="14" t="n">
        <f aca="false">IF(RESET=1,0,S27+N27)</f>
        <v>191.016947623499</v>
      </c>
      <c r="T27" s="2" t="e">
        <f aca="false">IF(RESET=1,0,T27+IF(H27=0,1,0))</f>
        <v>#N/A</v>
      </c>
      <c r="U27" s="2" t="n">
        <f aca="false">IF(RESET=1,0,U27+H27)</f>
        <v>38</v>
      </c>
      <c r="V27" s="14" t="e">
        <f aca="false">R27/(T27+0.00001)</f>
        <v>#N/A</v>
      </c>
      <c r="W27" s="14" t="n">
        <f aca="false">S27/(U27+0.0001)</f>
        <v>5.0267485512801</v>
      </c>
      <c r="X27" s="39" t="n">
        <f aca="false">IF(Informed=1,K27,0)</f>
        <v>2.06501709890261</v>
      </c>
      <c r="Y27" s="39" t="n">
        <f aca="false">IF(Informed=0,K27,0)</f>
        <v>0</v>
      </c>
      <c r="Z27" s="39" t="n">
        <f aca="false">IF(Informed=1,N27,0)</f>
        <v>0</v>
      </c>
      <c r="AA27" s="39" t="n">
        <f aca="false">IF(Informed=0,N27,0)</f>
        <v>0</v>
      </c>
      <c r="AB27" s="43" t="n">
        <f aca="false">IF(Arterial=0,IF(Informed=1,1,0),0)</f>
        <v>1</v>
      </c>
      <c r="AC27" s="43" t="n">
        <f aca="false">IF(Arterial=0,IF(Informed=0,1,0),0)</f>
        <v>0</v>
      </c>
      <c r="AD27" s="43" t="n">
        <f aca="false">IF(Arterial=1,IF(Informed=1,1,0),0)</f>
        <v>0</v>
      </c>
      <c r="AE27" s="43" t="n">
        <f aca="false">IF(Arterial=1,IF(Informed=0,1,0),0)</f>
        <v>0</v>
      </c>
      <c r="AF27" s="35" t="n">
        <f aca="false">IF(AB27=1,(X27-G$1030)^2,0)</f>
        <v>74.7301662751437</v>
      </c>
      <c r="AG27" s="35" t="n">
        <f aca="false">IF(AC27=1,(Y27-H$1030)^2,0)</f>
        <v>0</v>
      </c>
      <c r="AH27" s="35" t="n">
        <f aca="false">IF(AD27=1,(Z27-I$1030)^2,0)</f>
        <v>0</v>
      </c>
      <c r="AI27" s="35" t="n">
        <f aca="false">IF(AE27=1,(AA27-J$1030)^2,0)</f>
        <v>0</v>
      </c>
      <c r="AJ27" s="37" t="n">
        <f aca="true">IF(RAND()&lt;$D$6,1,0)</f>
        <v>0</v>
      </c>
      <c r="AK27" s="14" t="n">
        <f aca="false">AK26+IF((AJ27=1),IF((H27=0),1,0),0)</f>
        <v>0</v>
      </c>
      <c r="AL27" s="14" t="n">
        <f aca="false">AL26+IF((AJ27=1),IF((H27=1),1,0),0)</f>
        <v>0</v>
      </c>
      <c r="AM27" s="37" t="n">
        <f aca="false">IF(AK27=0,9999,IF($H27=0,IF($AJ27&lt;1,AM26+1,0),AM26))</f>
        <v>9999</v>
      </c>
      <c r="AN27" s="37" t="n">
        <f aca="false">IF(AL27=0,9999,IF($H27=1,IF($AJ27&lt;1,AN26+1,0),AN26))</f>
        <v>9999</v>
      </c>
      <c r="AO27" s="37" t="n">
        <f aca="false">IF($A27-AM27&gt;0,1/(1+AM27),0)</f>
        <v>0</v>
      </c>
      <c r="AP27" s="37" t="n">
        <f aca="false">IF($A27-AN27&gt;0,1/(1+AN27),0)</f>
        <v>0</v>
      </c>
      <c r="AQ27" s="7" t="n">
        <f aca="false">IF(AK27=0,0,MAX(MIN(1,AO27^Power),0))</f>
        <v>0</v>
      </c>
      <c r="AR27" s="7" t="n">
        <f aca="false">IF(AL27=0,0,MAX(MIN(1,AP27^Power),0))</f>
        <v>0</v>
      </c>
      <c r="AS27" s="7" t="n">
        <f aca="false">IF($AJ27=1,IF($H27=0,K27,AS26),AS26)</f>
        <v>0</v>
      </c>
      <c r="AT27" s="7" t="n">
        <f aca="false">IF($AJ27=1,IF($H27=1,N27,AT26),AT26)</f>
        <v>0</v>
      </c>
    </row>
    <row r="28" customFormat="false" ht="13" hidden="false" customHeight="false" outlineLevel="0" collapsed="false">
      <c r="A28" s="16" t="n">
        <v>11</v>
      </c>
      <c r="B28" s="37" t="n">
        <f aca="true">IF(RAND()&lt;$D$8,1,0)</f>
        <v>0</v>
      </c>
      <c r="C28" s="20" t="n">
        <f aca="true">-LN(RAND())/$D$2</f>
        <v>2.63350142262053</v>
      </c>
      <c r="D28" s="38" t="n">
        <f aca="false">D27+C28</f>
        <v>15.1023398723147</v>
      </c>
      <c r="E28" s="39" t="n">
        <f aca="false">MAX($E$3,AS27)</f>
        <v>0</v>
      </c>
      <c r="F28" s="39" t="n">
        <f aca="false">MAX($E$3,AT27)</f>
        <v>0</v>
      </c>
      <c r="G28" s="40" t="n">
        <v>0.5</v>
      </c>
      <c r="H28" s="38" t="n">
        <f aca="true">IF((B28=1),(IF((F28&lt;E28),1,(IF((F28=E28),(IF(RAND()&lt;G28,1,0)),0)))),(IF((RAND()&lt;G28),1,0)))</f>
        <v>0</v>
      </c>
      <c r="I28" s="38" t="n">
        <f aca="true">IF((H28=1),0,$D$3+$D$5*(RAND()-0.5))</f>
        <v>1.77868261414015</v>
      </c>
      <c r="J28" s="38" t="n">
        <f aca="false">I28+MAX(D28,J27)</f>
        <v>16.8810224864549</v>
      </c>
      <c r="K28" s="38" t="n">
        <f aca="false">IF((H28=0),J28-D28,0)</f>
        <v>1.77868261414015</v>
      </c>
      <c r="L28" s="38" t="n">
        <f aca="true">IF(($H28=0),0,$D$4+$D$5*(RAND()-0.5))</f>
        <v>0</v>
      </c>
      <c r="M28" s="38" t="n">
        <f aca="false">L28+MAX(D28,M27)</f>
        <v>16.7824021521468</v>
      </c>
      <c r="N28" s="38" t="n">
        <f aca="false">IF((H28=1),M28-D28,0)</f>
        <v>0</v>
      </c>
      <c r="O28" s="16" t="n">
        <v>11</v>
      </c>
      <c r="P28" s="41" t="n">
        <f aca="false">IF((Arterial=0),P27+1,P27)</f>
        <v>7</v>
      </c>
      <c r="Q28" s="41" t="n">
        <f aca="false">IF((Arterial=1),Q27+1,Q27)</f>
        <v>4</v>
      </c>
      <c r="R28" s="42" t="e">
        <f aca="false">IF((RESET=1),0,R28+K28)</f>
        <v>#N/A</v>
      </c>
      <c r="S28" s="14" t="n">
        <f aca="false">IF(RESET=1,0,S28+N28)</f>
        <v>190.828099042165</v>
      </c>
      <c r="T28" s="2" t="e">
        <f aca="false">IF(RESET=1,0,T28+IF(H28=0,1,0))</f>
        <v>#N/A</v>
      </c>
      <c r="U28" s="2" t="n">
        <f aca="false">IF(RESET=1,0,U28+H28)</f>
        <v>40</v>
      </c>
      <c r="V28" s="14" t="e">
        <f aca="false">R28/(T28+0.00001)</f>
        <v>#N/A</v>
      </c>
      <c r="W28" s="14" t="n">
        <f aca="false">S28/(U28+0.0001)</f>
        <v>4.77069054932774</v>
      </c>
      <c r="X28" s="39" t="n">
        <f aca="false">IF(Informed=1,K28,0)</f>
        <v>0</v>
      </c>
      <c r="Y28" s="39" t="n">
        <f aca="false">IF(Informed=0,K28,0)</f>
        <v>1.77868261414015</v>
      </c>
      <c r="Z28" s="39" t="n">
        <f aca="false">IF(Informed=1,N28,0)</f>
        <v>0</v>
      </c>
      <c r="AA28" s="39" t="n">
        <f aca="false">IF(Informed=0,N28,0)</f>
        <v>0</v>
      </c>
      <c r="AB28" s="43" t="n">
        <f aca="false">IF(Arterial=0,IF(Informed=1,1,0),0)</f>
        <v>0</v>
      </c>
      <c r="AC28" s="43" t="n">
        <f aca="false">IF(Arterial=0,IF(Informed=0,1,0),0)</f>
        <v>1</v>
      </c>
      <c r="AD28" s="43" t="n">
        <f aca="false">IF(Arterial=1,IF(Informed=1,1,0),0)</f>
        <v>0</v>
      </c>
      <c r="AE28" s="43" t="n">
        <f aca="false">IF(Arterial=1,IF(Informed=0,1,0),0)</f>
        <v>0</v>
      </c>
      <c r="AF28" s="35" t="n">
        <f aca="false">IF(AB28=1,(X28-G$1030)^2,0)</f>
        <v>0</v>
      </c>
      <c r="AG28" s="35" t="n">
        <f aca="false">IF(AC28=1,(Y28-H$1030)^2,0)</f>
        <v>83.6329022335776</v>
      </c>
      <c r="AH28" s="35" t="n">
        <f aca="false">IF(AD28=1,(Z28-I$1030)^2,0)</f>
        <v>0</v>
      </c>
      <c r="AI28" s="35" t="n">
        <f aca="false">IF(AE28=1,(AA28-J$1030)^2,0)</f>
        <v>0</v>
      </c>
      <c r="AJ28" s="37" t="n">
        <f aca="true">IF(RAND()&lt;$D$6,1,0)</f>
        <v>0</v>
      </c>
      <c r="AK28" s="14" t="n">
        <f aca="false">AK27+IF((AJ28=1),IF((H28=0),1,0),0)</f>
        <v>0</v>
      </c>
      <c r="AL28" s="14" t="n">
        <f aca="false">AL27+IF((AJ28=1),IF((H28=1),1,0),0)</f>
        <v>0</v>
      </c>
      <c r="AM28" s="37" t="n">
        <f aca="false">IF(AK28=0,9999,IF($H28=0,IF($AJ28&lt;1,AM27+1,0),AM27))</f>
        <v>9999</v>
      </c>
      <c r="AN28" s="37" t="n">
        <f aca="false">IF(AL28=0,9999,IF($H28=1,IF($AJ28&lt;1,AN27+1,0),AN27))</f>
        <v>9999</v>
      </c>
      <c r="AO28" s="37" t="n">
        <f aca="false">IF($A28-AM28&gt;0,1/(1+AM28),0)</f>
        <v>0</v>
      </c>
      <c r="AP28" s="37" t="n">
        <f aca="false">IF($A28-AN28&gt;0,1/(1+AN28),0)</f>
        <v>0</v>
      </c>
      <c r="AQ28" s="7" t="n">
        <f aca="false">IF(AK28=0,0,MAX(MIN(1,AO28^Power),0))</f>
        <v>0</v>
      </c>
      <c r="AR28" s="7" t="n">
        <f aca="false">IF(AL28=0,0,MAX(MIN(1,AP28^Power),0))</f>
        <v>0</v>
      </c>
      <c r="AS28" s="7" t="n">
        <f aca="false">IF($AJ28=1,IF($H28=0,K28,AS27),AS27)</f>
        <v>0</v>
      </c>
      <c r="AT28" s="7" t="n">
        <f aca="false">IF($AJ28=1,IF($H28=1,N28,AT27),AT27)</f>
        <v>0</v>
      </c>
    </row>
    <row r="29" customFormat="false" ht="13" hidden="false" customHeight="false" outlineLevel="0" collapsed="false">
      <c r="A29" s="16" t="n">
        <v>12</v>
      </c>
      <c r="B29" s="37" t="n">
        <f aca="true">IF(RAND()&lt;$D$8,1,0)</f>
        <v>1</v>
      </c>
      <c r="C29" s="20" t="n">
        <f aca="true">-LN(RAND())/$D$2</f>
        <v>0.478969095370923</v>
      </c>
      <c r="D29" s="38" t="n">
        <f aca="false">D28+C29</f>
        <v>15.5813089676856</v>
      </c>
      <c r="E29" s="39" t="n">
        <f aca="false">MAX($E$3,AS28)</f>
        <v>0</v>
      </c>
      <c r="F29" s="39" t="n">
        <f aca="false">MAX($E$3,AT28)</f>
        <v>0</v>
      </c>
      <c r="G29" s="40" t="n">
        <v>0.5</v>
      </c>
      <c r="H29" s="38" t="n">
        <f aca="true">IF((B29=1),(IF((F29&lt;E29),1,(IF((F29=E29),(IF(RAND()&lt;G29,1,0)),0)))),(IF((RAND()&lt;G29),1,0)))</f>
        <v>1</v>
      </c>
      <c r="I29" s="38" t="n">
        <f aca="true">IF((H29=1),0,$D$3+$D$5*(RAND()-0.5))</f>
        <v>0</v>
      </c>
      <c r="J29" s="38" t="n">
        <f aca="false">I29+MAX(D29,J28)</f>
        <v>16.8810224864549</v>
      </c>
      <c r="K29" s="38" t="n">
        <f aca="false">IF((H29=0),J29-D29,0)</f>
        <v>0</v>
      </c>
      <c r="L29" s="38" t="n">
        <f aca="true">IF(($H29=0),0,$D$4+$D$5*(RAND()-0.5))</f>
        <v>1.83160778463545</v>
      </c>
      <c r="M29" s="38" t="n">
        <f aca="false">L29+MAX(D29,M28)</f>
        <v>18.6140099367823</v>
      </c>
      <c r="N29" s="38" t="n">
        <f aca="false">IF((H29=1),M29-D29,0)</f>
        <v>3.03270096909665</v>
      </c>
      <c r="O29" s="16" t="n">
        <v>12</v>
      </c>
      <c r="P29" s="41" t="n">
        <f aca="false">IF((Arterial=0),P28+1,P28)</f>
        <v>7</v>
      </c>
      <c r="Q29" s="41" t="n">
        <f aca="false">IF((Arterial=1),Q28+1,Q28)</f>
        <v>5</v>
      </c>
      <c r="R29" s="42" t="n">
        <f aca="false">IF((RESET=1),0,R29+K29)</f>
        <v>225.259928302271</v>
      </c>
      <c r="S29" s="14" t="e">
        <f aca="false">IF(RESET=1,0,S29+N29)</f>
        <v>#N/A</v>
      </c>
      <c r="T29" s="2" t="n">
        <f aca="false">IF(RESET=1,0,T29+IF(H29=0,1,0))</f>
        <v>41</v>
      </c>
      <c r="U29" s="2" t="e">
        <f aca="false">IF(RESET=1,0,U29+H29)</f>
        <v>#N/A</v>
      </c>
      <c r="V29" s="14" t="n">
        <f aca="false">R29/(T29+0.00001)</f>
        <v>5.49414325270339</v>
      </c>
      <c r="W29" s="14" t="e">
        <f aca="false">S29/(U29+0.0001)</f>
        <v>#N/A</v>
      </c>
      <c r="X29" s="39" t="n">
        <f aca="false">IF(Informed=1,K29,0)</f>
        <v>0</v>
      </c>
      <c r="Y29" s="39" t="n">
        <f aca="false">IF(Informed=0,K29,0)</f>
        <v>0</v>
      </c>
      <c r="Z29" s="39" t="n">
        <f aca="false">IF(Informed=1,N29,0)</f>
        <v>3.03270096909665</v>
      </c>
      <c r="AA29" s="39" t="n">
        <f aca="false">IF(Informed=0,N29,0)</f>
        <v>0</v>
      </c>
      <c r="AB29" s="43" t="n">
        <f aca="false">IF(Arterial=0,IF(Informed=1,1,0),0)</f>
        <v>0</v>
      </c>
      <c r="AC29" s="43" t="n">
        <f aca="false">IF(Arterial=0,IF(Informed=0,1,0),0)</f>
        <v>0</v>
      </c>
      <c r="AD29" s="43" t="n">
        <f aca="false">IF(Arterial=1,IF(Informed=1,1,0),0)</f>
        <v>1</v>
      </c>
      <c r="AE29" s="43" t="n">
        <f aca="false">IF(Arterial=1,IF(Informed=0,1,0),0)</f>
        <v>0</v>
      </c>
      <c r="AF29" s="35" t="n">
        <f aca="false">IF(AB29=1,(X29-G$1030)^2,0)</f>
        <v>0</v>
      </c>
      <c r="AG29" s="35" t="n">
        <f aca="false">IF(AC29=1,(Y29-H$1030)^2,0)</f>
        <v>0</v>
      </c>
      <c r="AH29" s="35" t="n">
        <f aca="false">IF(AD29=1,(Z29-I$1030)^2,0)</f>
        <v>642.22374676059</v>
      </c>
      <c r="AI29" s="35" t="n">
        <f aca="false">IF(AE29=1,(AA29-J$1030)^2,0)</f>
        <v>0</v>
      </c>
      <c r="AJ29" s="37" t="n">
        <f aca="true">IF(RAND()&lt;$D$6,1,0)</f>
        <v>0</v>
      </c>
      <c r="AK29" s="14" t="n">
        <f aca="false">AK28+IF((AJ29=1),IF((H29=0),1,0),0)</f>
        <v>0</v>
      </c>
      <c r="AL29" s="14" t="n">
        <f aca="false">AL28+IF((AJ29=1),IF((H29=1),1,0),0)</f>
        <v>0</v>
      </c>
      <c r="AM29" s="37" t="n">
        <f aca="false">IF(AK29=0,9999,IF($H29=0,IF($AJ29&lt;1,AM28+1,0),AM28))</f>
        <v>9999</v>
      </c>
      <c r="AN29" s="37" t="n">
        <f aca="false">IF(AL29=0,9999,IF($H29=1,IF($AJ29&lt;1,AN28+1,0),AN28))</f>
        <v>9999</v>
      </c>
      <c r="AO29" s="37" t="n">
        <f aca="false">IF($A29-AM29&gt;0,1/(1+AM29),0)</f>
        <v>0</v>
      </c>
      <c r="AP29" s="37" t="n">
        <f aca="false">IF($A29-AN29&gt;0,1/(1+AN29),0)</f>
        <v>0</v>
      </c>
      <c r="AQ29" s="7" t="n">
        <f aca="false">IF(AK29=0,0,MAX(MIN(1,AO29^Power),0))</f>
        <v>0</v>
      </c>
      <c r="AR29" s="7" t="n">
        <f aca="false">IF(AL29=0,0,MAX(MIN(1,AP29^Power),0))</f>
        <v>0</v>
      </c>
      <c r="AS29" s="7" t="n">
        <f aca="false">IF($AJ29=1,IF($H29=0,K29,AS28),AS28)</f>
        <v>0</v>
      </c>
      <c r="AT29" s="7" t="n">
        <f aca="false">IF($AJ29=1,IF($H29=1,N29,AT28),AT28)</f>
        <v>0</v>
      </c>
    </row>
    <row r="30" customFormat="false" ht="13" hidden="false" customHeight="false" outlineLevel="0" collapsed="false">
      <c r="A30" s="16" t="n">
        <v>13</v>
      </c>
      <c r="B30" s="37" t="n">
        <f aca="true">IF(RAND()&lt;$D$8,1,0)</f>
        <v>1</v>
      </c>
      <c r="C30" s="20" t="n">
        <f aca="true">-LN(RAND())/$D$2</f>
        <v>0.231896608031651</v>
      </c>
      <c r="D30" s="38" t="n">
        <f aca="false">D29+C30</f>
        <v>15.8132055757173</v>
      </c>
      <c r="E30" s="39" t="n">
        <f aca="false">MAX($E$3,AS29)</f>
        <v>0</v>
      </c>
      <c r="F30" s="39" t="n">
        <f aca="false">MAX($E$3,AT29)</f>
        <v>0</v>
      </c>
      <c r="G30" s="40" t="n">
        <v>0.5</v>
      </c>
      <c r="H30" s="38" t="n">
        <f aca="true">IF((B30=1),(IF((F30&lt;E30),1,(IF((F30=E30),(IF(RAND()&lt;G30,1,0)),0)))),(IF((RAND()&lt;G30),1,0)))</f>
        <v>1</v>
      </c>
      <c r="I30" s="38" t="n">
        <f aca="true">IF((H30=1),0,$D$3+$D$5*(RAND()-0.5))</f>
        <v>0</v>
      </c>
      <c r="J30" s="38" t="n">
        <f aca="false">I30+MAX(D30,J29)</f>
        <v>16.8810224864549</v>
      </c>
      <c r="K30" s="38" t="n">
        <f aca="false">IF((H30=0),J30-D30,0)</f>
        <v>0</v>
      </c>
      <c r="L30" s="38" t="n">
        <f aca="true">IF(($H30=0),0,$D$4+$D$5*(RAND()-0.5))</f>
        <v>1.94594055965222</v>
      </c>
      <c r="M30" s="38" t="n">
        <f aca="false">L30+MAX(D30,M29)</f>
        <v>20.5599504964345</v>
      </c>
      <c r="N30" s="38" t="n">
        <f aca="false">IF((H30=1),M30-D30,0)</f>
        <v>4.74674492071722</v>
      </c>
      <c r="O30" s="16" t="n">
        <v>13</v>
      </c>
      <c r="P30" s="41" t="n">
        <f aca="false">IF((Arterial=0),P29+1,P29)</f>
        <v>7</v>
      </c>
      <c r="Q30" s="41" t="n">
        <f aca="false">IF((Arterial=1),Q29+1,Q29)</f>
        <v>6</v>
      </c>
      <c r="R30" s="42" t="n">
        <f aca="false">IF((RESET=1),0,R30+K30)</f>
        <v>251.283575985368</v>
      </c>
      <c r="S30" s="14" t="e">
        <f aca="false">IF(RESET=1,0,S30+N30)</f>
        <v>#N/A</v>
      </c>
      <c r="T30" s="2" t="n">
        <f aca="false">IF(RESET=1,0,T30+IF(H30=0,1,0))</f>
        <v>47</v>
      </c>
      <c r="U30" s="2" t="e">
        <f aca="false">IF(RESET=1,0,U30+H30)</f>
        <v>#N/A</v>
      </c>
      <c r="V30" s="14" t="n">
        <f aca="false">R30/(T30+0.00001)</f>
        <v>5.34645792597422</v>
      </c>
      <c r="W30" s="14" t="e">
        <f aca="false">S30/(U30+0.0001)</f>
        <v>#N/A</v>
      </c>
      <c r="X30" s="39" t="n">
        <f aca="false">IF(Informed=1,K30,0)</f>
        <v>0</v>
      </c>
      <c r="Y30" s="39" t="n">
        <f aca="false">IF(Informed=0,K30,0)</f>
        <v>0</v>
      </c>
      <c r="Z30" s="39" t="n">
        <f aca="false">IF(Informed=1,N30,0)</f>
        <v>4.74674492071722</v>
      </c>
      <c r="AA30" s="39" t="n">
        <f aca="false">IF(Informed=0,N30,0)</f>
        <v>0</v>
      </c>
      <c r="AB30" s="43" t="n">
        <f aca="false">IF(Arterial=0,IF(Informed=1,1,0),0)</f>
        <v>0</v>
      </c>
      <c r="AC30" s="43" t="n">
        <f aca="false">IF(Arterial=0,IF(Informed=0,1,0),0)</f>
        <v>0</v>
      </c>
      <c r="AD30" s="43" t="n">
        <f aca="false">IF(Arterial=1,IF(Informed=1,1,0),0)</f>
        <v>1</v>
      </c>
      <c r="AE30" s="43" t="n">
        <f aca="false">IF(Arterial=1,IF(Informed=0,1,0),0)</f>
        <v>0</v>
      </c>
      <c r="AF30" s="35" t="n">
        <f aca="false">IF(AB30=1,(X30-G$1030)^2,0)</f>
        <v>0</v>
      </c>
      <c r="AG30" s="35" t="n">
        <f aca="false">IF(AC30=1,(Y30-H$1030)^2,0)</f>
        <v>0</v>
      </c>
      <c r="AH30" s="35" t="n">
        <f aca="false">IF(AD30=1,(Z30-I$1030)^2,0)</f>
        <v>558.286631023826</v>
      </c>
      <c r="AI30" s="35" t="n">
        <f aca="false">IF(AE30=1,(AA30-J$1030)^2,0)</f>
        <v>0</v>
      </c>
      <c r="AJ30" s="37" t="n">
        <f aca="true">IF(RAND()&lt;$D$6,1,0)</f>
        <v>0</v>
      </c>
      <c r="AK30" s="14" t="n">
        <f aca="false">AK29+IF((AJ30=1),IF((H30=0),1,0),0)</f>
        <v>0</v>
      </c>
      <c r="AL30" s="14" t="n">
        <f aca="false">AL29+IF((AJ30=1),IF((H30=1),1,0),0)</f>
        <v>0</v>
      </c>
      <c r="AM30" s="37" t="n">
        <f aca="false">IF(AK30=0,9999,IF($H30=0,IF($AJ30&lt;1,AM29+1,0),AM29))</f>
        <v>9999</v>
      </c>
      <c r="AN30" s="37" t="n">
        <f aca="false">IF(AL30=0,9999,IF($H30=1,IF($AJ30&lt;1,AN29+1,0),AN29))</f>
        <v>9999</v>
      </c>
      <c r="AO30" s="37" t="n">
        <f aca="false">IF($A30-AM30&gt;0,1/(1+AM30),0)</f>
        <v>0</v>
      </c>
      <c r="AP30" s="37" t="n">
        <f aca="false">IF($A30-AN30&gt;0,1/(1+AN30),0)</f>
        <v>0</v>
      </c>
      <c r="AQ30" s="7" t="n">
        <f aca="false">IF(AK30=0,0,MAX(MIN(1,AO30^Power),0))</f>
        <v>0</v>
      </c>
      <c r="AR30" s="7" t="n">
        <f aca="false">IF(AL30=0,0,MAX(MIN(1,AP30^Power),0))</f>
        <v>0</v>
      </c>
      <c r="AS30" s="7" t="n">
        <f aca="false">IF($AJ30=1,IF($H30=0,K30,AS29),AS29)</f>
        <v>0</v>
      </c>
      <c r="AT30" s="7" t="n">
        <f aca="false">IF($AJ30=1,IF($H30=1,N30,AT29),AT29)</f>
        <v>0</v>
      </c>
    </row>
    <row r="31" customFormat="false" ht="13" hidden="false" customHeight="false" outlineLevel="0" collapsed="false">
      <c r="A31" s="16" t="n">
        <v>14</v>
      </c>
      <c r="B31" s="37" t="n">
        <f aca="true">IF(RAND()&lt;$D$8,1,0)</f>
        <v>1</v>
      </c>
      <c r="C31" s="20" t="n">
        <f aca="true">-LN(RAND())/$D$2</f>
        <v>4.20242585426087</v>
      </c>
      <c r="D31" s="38" t="n">
        <f aca="false">D30+C31</f>
        <v>20.0156314299781</v>
      </c>
      <c r="E31" s="39" t="n">
        <f aca="false">MAX($E$3,AS30)</f>
        <v>0</v>
      </c>
      <c r="F31" s="39" t="n">
        <f aca="false">MAX($E$3,AT30)</f>
        <v>0</v>
      </c>
      <c r="G31" s="40" t="n">
        <v>0.5</v>
      </c>
      <c r="H31" s="38" t="n">
        <f aca="true">IF((B31=1),(IF((F31&lt;E31),1,(IF((F31=E31),(IF(RAND()&lt;G31,1,0)),0)))),(IF((RAND()&lt;G31),1,0)))</f>
        <v>0</v>
      </c>
      <c r="I31" s="38" t="n">
        <f aca="true">IF((H31=1),0,$D$3+$D$5*(RAND()-0.5))</f>
        <v>2.1701533616416</v>
      </c>
      <c r="J31" s="38" t="n">
        <f aca="false">I31+MAX(D31,J30)</f>
        <v>22.1857847916197</v>
      </c>
      <c r="K31" s="38" t="n">
        <f aca="false">IF((H31=0),J31-D31,0)</f>
        <v>2.1701533616416</v>
      </c>
      <c r="L31" s="38" t="n">
        <f aca="true">IF(($H31=0),0,$D$4+$D$5*(RAND()-0.5))</f>
        <v>0</v>
      </c>
      <c r="M31" s="38" t="n">
        <f aca="false">L31+MAX(D31,M30)</f>
        <v>20.5599504964345</v>
      </c>
      <c r="N31" s="38" t="n">
        <f aca="false">IF((H31=1),M31-D31,0)</f>
        <v>0</v>
      </c>
      <c r="O31" s="16" t="n">
        <v>14</v>
      </c>
      <c r="P31" s="41" t="n">
        <f aca="false">IF((Arterial=0),P30+1,P30)</f>
        <v>8</v>
      </c>
      <c r="Q31" s="41" t="n">
        <f aca="false">IF((Arterial=1),Q30+1,Q30)</f>
        <v>6</v>
      </c>
      <c r="R31" s="42" t="e">
        <f aca="false">IF((RESET=1),0,R31+K31)</f>
        <v>#N/A</v>
      </c>
      <c r="S31" s="14" t="n">
        <f aca="false">IF(RESET=1,0,S31+N31)</f>
        <v>219.771899656819</v>
      </c>
      <c r="T31" s="2" t="e">
        <f aca="false">IF(RESET=1,0,T31+IF(H31=0,1,0))</f>
        <v>#N/A</v>
      </c>
      <c r="U31" s="2" t="n">
        <f aca="false">IF(RESET=1,0,U31+H31)</f>
        <v>41</v>
      </c>
      <c r="V31" s="14" t="e">
        <f aca="false">R31/(T31+0.00001)</f>
        <v>#N/A</v>
      </c>
      <c r="W31" s="14" t="n">
        <f aca="false">S31/(U31+0.0001)</f>
        <v>5.36027716168543</v>
      </c>
      <c r="X31" s="39" t="n">
        <f aca="false">IF(Informed=1,K31,0)</f>
        <v>2.1701533616416</v>
      </c>
      <c r="Y31" s="39" t="n">
        <f aca="false">IF(Informed=0,K31,0)</f>
        <v>0</v>
      </c>
      <c r="Z31" s="39" t="n">
        <f aca="false">IF(Informed=1,N31,0)</f>
        <v>0</v>
      </c>
      <c r="AA31" s="39" t="n">
        <f aca="false">IF(Informed=0,N31,0)</f>
        <v>0</v>
      </c>
      <c r="AB31" s="43" t="n">
        <f aca="false">IF(Arterial=0,IF(Informed=1,1,0),0)</f>
        <v>1</v>
      </c>
      <c r="AC31" s="43" t="n">
        <f aca="false">IF(Arterial=0,IF(Informed=0,1,0),0)</f>
        <v>0</v>
      </c>
      <c r="AD31" s="43" t="n">
        <f aca="false">IF(Arterial=1,IF(Informed=1,1,0),0)</f>
        <v>0</v>
      </c>
      <c r="AE31" s="43" t="n">
        <f aca="false">IF(Arterial=1,IF(Informed=0,1,0),0)</f>
        <v>0</v>
      </c>
      <c r="AF31" s="35" t="n">
        <f aca="false">IF(AB31=1,(X31-G$1030)^2,0)</f>
        <v>72.9234851784726</v>
      </c>
      <c r="AG31" s="35" t="n">
        <f aca="false">IF(AC31=1,(Y31-H$1030)^2,0)</f>
        <v>0</v>
      </c>
      <c r="AH31" s="35" t="n">
        <f aca="false">IF(AD31=1,(Z31-I$1030)^2,0)</f>
        <v>0</v>
      </c>
      <c r="AI31" s="35" t="n">
        <f aca="false">IF(AE31=1,(AA31-J$1030)^2,0)</f>
        <v>0</v>
      </c>
      <c r="AJ31" s="37" t="n">
        <f aca="true">IF(RAND()&lt;$D$6,1,0)</f>
        <v>0</v>
      </c>
      <c r="AK31" s="14" t="n">
        <f aca="false">AK30+IF((AJ31=1),IF((H31=0),1,0),0)</f>
        <v>0</v>
      </c>
      <c r="AL31" s="14" t="n">
        <f aca="false">AL30+IF((AJ31=1),IF((H31=1),1,0),0)</f>
        <v>0</v>
      </c>
      <c r="AM31" s="37" t="n">
        <f aca="false">IF(AK31=0,9999,IF($H31=0,IF($AJ31&lt;1,AM30+1,0),AM30))</f>
        <v>9999</v>
      </c>
      <c r="AN31" s="37" t="n">
        <f aca="false">IF(AL31=0,9999,IF($H31=1,IF($AJ31&lt;1,AN30+1,0),AN30))</f>
        <v>9999</v>
      </c>
      <c r="AO31" s="37" t="n">
        <f aca="false">IF($A31-AM31&gt;0,1/(1+AM31),0)</f>
        <v>0</v>
      </c>
      <c r="AP31" s="37" t="n">
        <f aca="false">IF($A31-AN31&gt;0,1/(1+AN31),0)</f>
        <v>0</v>
      </c>
      <c r="AQ31" s="7" t="n">
        <f aca="false">IF(AK31=0,0,MAX(MIN(1,AO31^Power),0))</f>
        <v>0</v>
      </c>
      <c r="AR31" s="7" t="n">
        <f aca="false">IF(AL31=0,0,MAX(MIN(1,AP31^Power),0))</f>
        <v>0</v>
      </c>
      <c r="AS31" s="7" t="n">
        <f aca="false">IF($AJ31=1,IF($H31=0,K31,AS30),AS30)</f>
        <v>0</v>
      </c>
      <c r="AT31" s="7" t="n">
        <f aca="false">IF($AJ31=1,IF($H31=1,N31,AT30),AT30)</f>
        <v>0</v>
      </c>
    </row>
    <row r="32" customFormat="false" ht="13" hidden="false" customHeight="false" outlineLevel="0" collapsed="false">
      <c r="A32" s="16" t="n">
        <v>15</v>
      </c>
      <c r="B32" s="37" t="n">
        <f aca="true">IF(RAND()&lt;$D$8,1,0)</f>
        <v>1</v>
      </c>
      <c r="C32" s="20" t="n">
        <f aca="true">-LN(RAND())/$D$2</f>
        <v>1.60579496772329</v>
      </c>
      <c r="D32" s="38" t="n">
        <f aca="false">D31+C32</f>
        <v>21.6214263977014</v>
      </c>
      <c r="E32" s="39" t="n">
        <f aca="false">MAX($E$3,AS31)</f>
        <v>0</v>
      </c>
      <c r="F32" s="39" t="n">
        <f aca="false">MAX($E$3,AT31)</f>
        <v>0</v>
      </c>
      <c r="G32" s="40" t="n">
        <v>0.5</v>
      </c>
      <c r="H32" s="38" t="n">
        <f aca="true">IF((B32=1),(IF((F32&lt;E32),1,(IF((F32=E32),(IF(RAND()&lt;G32,1,0)),0)))),(IF((RAND()&lt;G32),1,0)))</f>
        <v>0</v>
      </c>
      <c r="I32" s="38" t="n">
        <f aca="true">IF((H32=1),0,$D$3+$D$5*(RAND()-0.5))</f>
        <v>1.86157778704161</v>
      </c>
      <c r="J32" s="38" t="n">
        <f aca="false">I32+MAX(D32,J31)</f>
        <v>24.0473625786614</v>
      </c>
      <c r="K32" s="38" t="n">
        <f aca="false">IF((H32=0),J32-D32,0)</f>
        <v>2.42593618095992</v>
      </c>
      <c r="L32" s="38" t="n">
        <f aca="true">IF(($H32=0),0,$D$4+$D$5*(RAND()-0.5))</f>
        <v>0</v>
      </c>
      <c r="M32" s="38" t="n">
        <f aca="false">L32+MAX(D32,M31)</f>
        <v>21.6214263977014</v>
      </c>
      <c r="N32" s="38" t="n">
        <f aca="false">IF((H32=1),M32-D32,0)</f>
        <v>0</v>
      </c>
      <c r="O32" s="16" t="n">
        <v>15</v>
      </c>
      <c r="P32" s="41" t="n">
        <f aca="false">IF((Arterial=0),P31+1,P31)</f>
        <v>9</v>
      </c>
      <c r="Q32" s="41" t="n">
        <f aca="false">IF((Arterial=1),Q31+1,Q31)</f>
        <v>6</v>
      </c>
      <c r="R32" s="42" t="e">
        <f aca="false">IF((RESET=1),0,R32+K32)</f>
        <v>#N/A</v>
      </c>
      <c r="S32" s="14" t="n">
        <f aca="false">IF(RESET=1,0,S32+N32)</f>
        <v>201.296932635641</v>
      </c>
      <c r="T32" s="2" t="e">
        <f aca="false">IF(RESET=1,0,T32+IF(H32=0,1,0))</f>
        <v>#N/A</v>
      </c>
      <c r="U32" s="2" t="n">
        <f aca="false">IF(RESET=1,0,U32+H32)</f>
        <v>36</v>
      </c>
      <c r="V32" s="14" t="e">
        <f aca="false">R32/(T32+0.00001)</f>
        <v>#N/A</v>
      </c>
      <c r="W32" s="14" t="n">
        <f aca="false">S32/(U32+0.0001)</f>
        <v>5.59156592997356</v>
      </c>
      <c r="X32" s="39" t="n">
        <f aca="false">IF(Informed=1,K32,0)</f>
        <v>2.42593618095992</v>
      </c>
      <c r="Y32" s="39" t="n">
        <f aca="false">IF(Informed=0,K32,0)</f>
        <v>0</v>
      </c>
      <c r="Z32" s="39" t="n">
        <f aca="false">IF(Informed=1,N32,0)</f>
        <v>0</v>
      </c>
      <c r="AA32" s="39" t="n">
        <f aca="false">IF(Informed=0,N32,0)</f>
        <v>0</v>
      </c>
      <c r="AB32" s="43" t="n">
        <f aca="false">IF(Arterial=0,IF(Informed=1,1,0),0)</f>
        <v>1</v>
      </c>
      <c r="AC32" s="43" t="n">
        <f aca="false">IF(Arterial=0,IF(Informed=0,1,0),0)</f>
        <v>0</v>
      </c>
      <c r="AD32" s="43" t="n">
        <f aca="false">IF(Arterial=1,IF(Informed=1,1,0),0)</f>
        <v>0</v>
      </c>
      <c r="AE32" s="43" t="n">
        <f aca="false">IF(Arterial=1,IF(Informed=0,1,0),0)</f>
        <v>0</v>
      </c>
      <c r="AF32" s="35" t="n">
        <f aca="false">IF(AB32=1,(X32-G$1030)^2,0)</f>
        <v>68.6203825301704</v>
      </c>
      <c r="AG32" s="35" t="n">
        <f aca="false">IF(AC32=1,(Y32-H$1030)^2,0)</f>
        <v>0</v>
      </c>
      <c r="AH32" s="35" t="n">
        <f aca="false">IF(AD32=1,(Z32-I$1030)^2,0)</f>
        <v>0</v>
      </c>
      <c r="AI32" s="35" t="n">
        <f aca="false">IF(AE32=1,(AA32-J$1030)^2,0)</f>
        <v>0</v>
      </c>
      <c r="AJ32" s="37" t="n">
        <f aca="true">IF(RAND()&lt;$D$6,1,0)</f>
        <v>0</v>
      </c>
      <c r="AK32" s="14" t="n">
        <f aca="false">AK31+IF((AJ32=1),IF((H32=0),1,0),0)</f>
        <v>0</v>
      </c>
      <c r="AL32" s="14" t="n">
        <f aca="false">AL31+IF((AJ32=1),IF((H32=1),1,0),0)</f>
        <v>0</v>
      </c>
      <c r="AM32" s="37" t="n">
        <f aca="false">IF(AK32=0,9999,IF($H32=0,IF($AJ32&lt;1,AM31+1,0),AM31))</f>
        <v>9999</v>
      </c>
      <c r="AN32" s="37" t="n">
        <f aca="false">IF(AL32=0,9999,IF($H32=1,IF($AJ32&lt;1,AN31+1,0),AN31))</f>
        <v>9999</v>
      </c>
      <c r="AO32" s="37" t="n">
        <f aca="false">IF($A32-AM32&gt;0,1/(1+AM32),0)</f>
        <v>0</v>
      </c>
      <c r="AP32" s="37" t="n">
        <f aca="false">IF($A32-AN32&gt;0,1/(1+AN32),0)</f>
        <v>0</v>
      </c>
      <c r="AQ32" s="7" t="n">
        <f aca="false">IF(AK32=0,0,MAX(MIN(1,AO32^Power),0))</f>
        <v>0</v>
      </c>
      <c r="AR32" s="7" t="n">
        <f aca="false">IF(AL32=0,0,MAX(MIN(1,AP32^Power),0))</f>
        <v>0</v>
      </c>
      <c r="AS32" s="7" t="n">
        <f aca="false">IF($AJ32=1,IF($H32=0,K32,AS31),AS31)</f>
        <v>0</v>
      </c>
      <c r="AT32" s="7" t="n">
        <f aca="false">IF($AJ32=1,IF($H32=1,N32,AT31),AT31)</f>
        <v>0</v>
      </c>
    </row>
    <row r="33" customFormat="false" ht="13" hidden="false" customHeight="false" outlineLevel="0" collapsed="false">
      <c r="A33" s="16" t="n">
        <v>16</v>
      </c>
      <c r="B33" s="37" t="n">
        <f aca="true">IF(RAND()&lt;$D$8,1,0)</f>
        <v>1</v>
      </c>
      <c r="C33" s="20" t="n">
        <f aca="true">-LN(RAND())/$D$2</f>
        <v>1.29816259830668</v>
      </c>
      <c r="D33" s="38" t="n">
        <f aca="false">D32+C33</f>
        <v>22.9195889960081</v>
      </c>
      <c r="E33" s="39" t="n">
        <f aca="false">MAX($E$3,AS32)</f>
        <v>0</v>
      </c>
      <c r="F33" s="39" t="n">
        <f aca="false">MAX($E$3,AT32)</f>
        <v>0</v>
      </c>
      <c r="G33" s="40" t="n">
        <v>0.5</v>
      </c>
      <c r="H33" s="38" t="n">
        <f aca="true">IF((B33=1),(IF((F33&lt;E33),1,(IF((F33=E33),(IF(RAND()&lt;G33,1,0)),0)))),(IF((RAND()&lt;G33),1,0)))</f>
        <v>1</v>
      </c>
      <c r="I33" s="38" t="n">
        <f aca="true">IF((H33=1),0,$D$3+$D$5*(RAND()-0.5))</f>
        <v>0</v>
      </c>
      <c r="J33" s="38" t="n">
        <f aca="false">I33+MAX(D33,J32)</f>
        <v>24.0473625786614</v>
      </c>
      <c r="K33" s="38" t="n">
        <f aca="false">IF((H33=0),J33-D33,0)</f>
        <v>0</v>
      </c>
      <c r="L33" s="38" t="n">
        <f aca="true">IF(($H33=0),0,$D$4+$D$5*(RAND()-0.5))</f>
        <v>1.85149931612452</v>
      </c>
      <c r="M33" s="38" t="n">
        <f aca="false">L33+MAX(D33,M32)</f>
        <v>24.7710883121326</v>
      </c>
      <c r="N33" s="38" t="n">
        <f aca="false">IF((H33=1),M33-D33,0)</f>
        <v>1.85149931612452</v>
      </c>
      <c r="O33" s="16" t="n">
        <v>16</v>
      </c>
      <c r="P33" s="41" t="n">
        <f aca="false">IF((Arterial=0),P32+1,P32)</f>
        <v>9</v>
      </c>
      <c r="Q33" s="41" t="n">
        <f aca="false">IF((Arterial=1),Q32+1,Q32)</f>
        <v>7</v>
      </c>
      <c r="R33" s="42" t="n">
        <f aca="false">IF((RESET=1),0,R33+K33)</f>
        <v>243.200527330045</v>
      </c>
      <c r="S33" s="14" t="e">
        <f aca="false">IF(RESET=1,0,S33+N33)</f>
        <v>#N/A</v>
      </c>
      <c r="T33" s="2" t="n">
        <f aca="false">IF(RESET=1,0,T33+IF(H33=0,1,0))</f>
        <v>46</v>
      </c>
      <c r="U33" s="2" t="e">
        <f aca="false">IF(RESET=1,0,U33+H33)</f>
        <v>#N/A</v>
      </c>
      <c r="V33" s="14" t="n">
        <f aca="false">R33/(T33+0.00001)</f>
        <v>5.28696683609514</v>
      </c>
      <c r="W33" s="14" t="e">
        <f aca="false">S33/(U33+0.0001)</f>
        <v>#N/A</v>
      </c>
      <c r="X33" s="39" t="n">
        <f aca="false">IF(Informed=1,K33,0)</f>
        <v>0</v>
      </c>
      <c r="Y33" s="39" t="n">
        <f aca="false">IF(Informed=0,K33,0)</f>
        <v>0</v>
      </c>
      <c r="Z33" s="39" t="n">
        <f aca="false">IF(Informed=1,N33,0)</f>
        <v>1.85149931612452</v>
      </c>
      <c r="AA33" s="39" t="n">
        <f aca="false">IF(Informed=0,N33,0)</f>
        <v>0</v>
      </c>
      <c r="AB33" s="43" t="n">
        <f aca="false">IF(Arterial=0,IF(Informed=1,1,0),0)</f>
        <v>0</v>
      </c>
      <c r="AC33" s="43" t="n">
        <f aca="false">IF(Arterial=0,IF(Informed=0,1,0),0)</f>
        <v>0</v>
      </c>
      <c r="AD33" s="43" t="n">
        <f aca="false">IF(Arterial=1,IF(Informed=1,1,0),0)</f>
        <v>1</v>
      </c>
      <c r="AE33" s="43" t="n">
        <f aca="false">IF(Arterial=1,IF(Informed=0,1,0),0)</f>
        <v>0</v>
      </c>
      <c r="AF33" s="35" t="n">
        <f aca="false">IF(AB33=1,(X33-G$1030)^2,0)</f>
        <v>0</v>
      </c>
      <c r="AG33" s="35" t="n">
        <f aca="false">IF(AC33=1,(Y33-H$1030)^2,0)</f>
        <v>0</v>
      </c>
      <c r="AH33" s="35" t="n">
        <f aca="false">IF(AD33=1,(Z33-I$1030)^2,0)</f>
        <v>703.487324831402</v>
      </c>
      <c r="AI33" s="35" t="n">
        <f aca="false">IF(AE33=1,(AA33-J$1030)^2,0)</f>
        <v>0</v>
      </c>
      <c r="AJ33" s="37" t="n">
        <f aca="true">IF(RAND()&lt;$D$6,1,0)</f>
        <v>0</v>
      </c>
      <c r="AK33" s="14" t="n">
        <f aca="false">AK32+IF((AJ33=1),IF((H33=0),1,0),0)</f>
        <v>0</v>
      </c>
      <c r="AL33" s="14" t="n">
        <f aca="false">AL32+IF((AJ33=1),IF((H33=1),1,0),0)</f>
        <v>0</v>
      </c>
      <c r="AM33" s="37" t="n">
        <f aca="false">IF(AK33=0,9999,IF($H33=0,IF($AJ33&lt;1,AM32+1,0),AM32))</f>
        <v>9999</v>
      </c>
      <c r="AN33" s="37" t="n">
        <f aca="false">IF(AL33=0,9999,IF($H33=1,IF($AJ33&lt;1,AN32+1,0),AN32))</f>
        <v>9999</v>
      </c>
      <c r="AO33" s="37" t="n">
        <f aca="false">IF($A33-AM33&gt;0,1/(1+AM33),0)</f>
        <v>0</v>
      </c>
      <c r="AP33" s="37" t="n">
        <f aca="false">IF($A33-AN33&gt;0,1/(1+AN33),0)</f>
        <v>0</v>
      </c>
      <c r="AQ33" s="7" t="n">
        <f aca="false">IF(AK33=0,0,MAX(MIN(1,AO33^Power),0))</f>
        <v>0</v>
      </c>
      <c r="AR33" s="7" t="n">
        <f aca="false">IF(AL33=0,0,MAX(MIN(1,AP33^Power),0))</f>
        <v>0</v>
      </c>
      <c r="AS33" s="7" t="n">
        <f aca="false">IF($AJ33=1,IF($H33=0,K33,AS32),AS32)</f>
        <v>0</v>
      </c>
      <c r="AT33" s="7" t="n">
        <f aca="false">IF($AJ33=1,IF($H33=1,N33,AT32),AT32)</f>
        <v>0</v>
      </c>
    </row>
    <row r="34" customFormat="false" ht="13" hidden="false" customHeight="false" outlineLevel="0" collapsed="false">
      <c r="A34" s="16" t="n">
        <v>17</v>
      </c>
      <c r="B34" s="37" t="n">
        <f aca="true">IF(RAND()&lt;$D$8,1,0)</f>
        <v>1</v>
      </c>
      <c r="C34" s="20" t="n">
        <f aca="true">-LN(RAND())/$D$2</f>
        <v>0.384512819610643</v>
      </c>
      <c r="D34" s="38" t="n">
        <f aca="false">D33+C34</f>
        <v>23.3041018156188</v>
      </c>
      <c r="E34" s="39" t="n">
        <f aca="false">MAX($E$3,AS33)</f>
        <v>0</v>
      </c>
      <c r="F34" s="39" t="n">
        <f aca="false">MAX($E$3,AT33)</f>
        <v>0</v>
      </c>
      <c r="G34" s="40" t="n">
        <v>0.5</v>
      </c>
      <c r="H34" s="38" t="n">
        <f aca="true">IF((B34=1),(IF((F34&lt;E34),1,(IF((F34=E34),(IF(RAND()&lt;G34,1,0)),0)))),(IF((RAND()&lt;G34),1,0)))</f>
        <v>0</v>
      </c>
      <c r="I34" s="38" t="n">
        <f aca="true">IF((H34=1),0,$D$3+$D$5*(RAND()-0.5))</f>
        <v>1.92581093092279</v>
      </c>
      <c r="J34" s="38" t="n">
        <f aca="false">I34+MAX(D34,J33)</f>
        <v>25.9731735095842</v>
      </c>
      <c r="K34" s="38" t="n">
        <f aca="false">IF((H34=0),J34-D34,0)</f>
        <v>2.6690716939654</v>
      </c>
      <c r="L34" s="38" t="n">
        <f aca="true">IF(($H34=0),0,$D$4+$D$5*(RAND()-0.5))</f>
        <v>0</v>
      </c>
      <c r="M34" s="38" t="n">
        <f aca="false">L34+MAX(D34,M33)</f>
        <v>24.7710883121326</v>
      </c>
      <c r="N34" s="38" t="n">
        <f aca="false">IF((H34=1),M34-D34,0)</f>
        <v>0</v>
      </c>
      <c r="O34" s="16" t="n">
        <v>17</v>
      </c>
      <c r="P34" s="41" t="n">
        <f aca="false">IF((Arterial=0),P33+1,P33)</f>
        <v>10</v>
      </c>
      <c r="Q34" s="41" t="n">
        <f aca="false">IF((Arterial=1),Q33+1,Q33)</f>
        <v>7</v>
      </c>
      <c r="R34" s="42" t="e">
        <f aca="false">IF((RESET=1),0,R34+K34)</f>
        <v>#N/A</v>
      </c>
      <c r="S34" s="14" t="n">
        <f aca="false">IF(RESET=1,0,S34+N34)</f>
        <v>141.65319763256</v>
      </c>
      <c r="T34" s="2" t="e">
        <f aca="false">IF(RESET=1,0,T34+IF(H34=0,1,0))</f>
        <v>#N/A</v>
      </c>
      <c r="U34" s="2" t="n">
        <f aca="false">IF(RESET=1,0,U34+H34)</f>
        <v>29</v>
      </c>
      <c r="V34" s="14" t="e">
        <f aca="false">R34/(T34+0.00001)</f>
        <v>#N/A</v>
      </c>
      <c r="W34" s="14" t="n">
        <f aca="false">S34/(U34+0.0001)</f>
        <v>4.8845761784463</v>
      </c>
      <c r="X34" s="39" t="n">
        <f aca="false">IF(Informed=1,K34,0)</f>
        <v>2.6690716939654</v>
      </c>
      <c r="Y34" s="39" t="n">
        <f aca="false">IF(Informed=0,K34,0)</f>
        <v>0</v>
      </c>
      <c r="Z34" s="39" t="n">
        <f aca="false">IF(Informed=1,N34,0)</f>
        <v>0</v>
      </c>
      <c r="AA34" s="39" t="n">
        <f aca="false">IF(Informed=0,N34,0)</f>
        <v>0</v>
      </c>
      <c r="AB34" s="43" t="n">
        <f aca="false">IF(Arterial=0,IF(Informed=1,1,0),0)</f>
        <v>1</v>
      </c>
      <c r="AC34" s="43" t="n">
        <f aca="false">IF(Arterial=0,IF(Informed=0,1,0),0)</f>
        <v>0</v>
      </c>
      <c r="AD34" s="43" t="n">
        <f aca="false">IF(Arterial=1,IF(Informed=1,1,0),0)</f>
        <v>0</v>
      </c>
      <c r="AE34" s="43" t="n">
        <f aca="false">IF(Arterial=1,IF(Informed=0,1,0),0)</f>
        <v>0</v>
      </c>
      <c r="AF34" s="35" t="n">
        <f aca="false">IF(AB34=1,(X34-G$1030)^2,0)</f>
        <v>64.6513536567307</v>
      </c>
      <c r="AG34" s="35" t="n">
        <f aca="false">IF(AC34=1,(Y34-H$1030)^2,0)</f>
        <v>0</v>
      </c>
      <c r="AH34" s="35" t="n">
        <f aca="false">IF(AD34=1,(Z34-I$1030)^2,0)</f>
        <v>0</v>
      </c>
      <c r="AI34" s="35" t="n">
        <f aca="false">IF(AE34=1,(AA34-J$1030)^2,0)</f>
        <v>0</v>
      </c>
      <c r="AJ34" s="37" t="n">
        <f aca="true">IF(RAND()&lt;$D$6,1,0)</f>
        <v>0</v>
      </c>
      <c r="AK34" s="14" t="n">
        <f aca="false">AK33+IF((AJ34=1),IF((H34=0),1,0),0)</f>
        <v>0</v>
      </c>
      <c r="AL34" s="14" t="n">
        <f aca="false">AL33+IF((AJ34=1),IF((H34=1),1,0),0)</f>
        <v>0</v>
      </c>
      <c r="AM34" s="37" t="n">
        <f aca="false">IF(AK34=0,9999,IF($H34=0,IF($AJ34&lt;1,AM33+1,0),AM33))</f>
        <v>9999</v>
      </c>
      <c r="AN34" s="37" t="n">
        <f aca="false">IF(AL34=0,9999,IF($H34=1,IF($AJ34&lt;1,AN33+1,0),AN33))</f>
        <v>9999</v>
      </c>
      <c r="AO34" s="37" t="n">
        <f aca="false">IF($A34-AM34&gt;0,1/(1+AM34),0)</f>
        <v>0</v>
      </c>
      <c r="AP34" s="37" t="n">
        <f aca="false">IF($A34-AN34&gt;0,1/(1+AN34),0)</f>
        <v>0</v>
      </c>
      <c r="AQ34" s="7" t="n">
        <f aca="false">IF(AK34=0,0,MAX(MIN(1,AO34^Power),0))</f>
        <v>0</v>
      </c>
      <c r="AR34" s="7" t="n">
        <f aca="false">IF(AL34=0,0,MAX(MIN(1,AP34^Power),0))</f>
        <v>0</v>
      </c>
      <c r="AS34" s="7" t="n">
        <f aca="false">IF($AJ34=1,IF($H34=0,K34,AS33),AS33)</f>
        <v>0</v>
      </c>
      <c r="AT34" s="7" t="n">
        <f aca="false">IF($AJ34=1,IF($H34=1,N34,AT33),AT33)</f>
        <v>0</v>
      </c>
    </row>
    <row r="35" customFormat="false" ht="13" hidden="false" customHeight="false" outlineLevel="0" collapsed="false">
      <c r="A35" s="16" t="n">
        <v>18</v>
      </c>
      <c r="B35" s="37" t="n">
        <f aca="true">IF(RAND()&lt;$D$8,1,0)</f>
        <v>0</v>
      </c>
      <c r="C35" s="20" t="n">
        <f aca="true">-LN(RAND())/$D$2</f>
        <v>0.150924206268035</v>
      </c>
      <c r="D35" s="38" t="n">
        <f aca="false">D34+C35</f>
        <v>23.4550260218868</v>
      </c>
      <c r="E35" s="39" t="n">
        <f aca="false">MAX($E$3,AS34)</f>
        <v>0</v>
      </c>
      <c r="F35" s="39" t="n">
        <f aca="false">MAX($E$3,AT34)</f>
        <v>0</v>
      </c>
      <c r="G35" s="40" t="n">
        <v>0.5</v>
      </c>
      <c r="H35" s="38" t="n">
        <f aca="true">IF((B35=1),(IF((F35&lt;E35),1,(IF((F35=E35),(IF(RAND()&lt;G35,1,0)),0)))),(IF((RAND()&lt;G35),1,0)))</f>
        <v>1</v>
      </c>
      <c r="I35" s="38" t="n">
        <f aca="true">IF((H35=1),0,$D$3+$D$5*(RAND()-0.5))</f>
        <v>0</v>
      </c>
      <c r="J35" s="38" t="n">
        <f aca="false">I35+MAX(D35,J34)</f>
        <v>25.9731735095842</v>
      </c>
      <c r="K35" s="38" t="n">
        <f aca="false">IF((H35=0),J35-D35,0)</f>
        <v>0</v>
      </c>
      <c r="L35" s="38" t="n">
        <f aca="true">IF(($H35=0),0,$D$4+$D$5*(RAND()-0.5))</f>
        <v>1.96242018746179</v>
      </c>
      <c r="M35" s="38" t="n">
        <f aca="false">L35+MAX(D35,M34)</f>
        <v>26.7335084995944</v>
      </c>
      <c r="N35" s="38" t="n">
        <f aca="false">IF((H35=1),M35-D35,0)</f>
        <v>3.27848247770764</v>
      </c>
      <c r="O35" s="16" t="n">
        <v>18</v>
      </c>
      <c r="P35" s="41" t="n">
        <f aca="false">IF((Arterial=0),P34+1,P34)</f>
        <v>10</v>
      </c>
      <c r="Q35" s="41" t="n">
        <f aca="false">IF((Arterial=1),Q34+1,Q34)</f>
        <v>8</v>
      </c>
      <c r="R35" s="42" t="n">
        <f aca="false">IF((RESET=1),0,R35+K35)</f>
        <v>231.499841170753</v>
      </c>
      <c r="S35" s="14" t="e">
        <f aca="false">IF(RESET=1,0,S35+N35)</f>
        <v>#N/A</v>
      </c>
      <c r="T35" s="2" t="n">
        <f aca="false">IF(RESET=1,0,T35+IF(H35=0,1,0))</f>
        <v>39</v>
      </c>
      <c r="U35" s="2" t="e">
        <f aca="false">IF(RESET=1,0,U35+H35)</f>
        <v>#N/A</v>
      </c>
      <c r="V35" s="14" t="n">
        <f aca="false">R35/(T35+0.00001)</f>
        <v>5.9358918413291</v>
      </c>
      <c r="W35" s="14" t="e">
        <f aca="false">S35/(U35+0.0001)</f>
        <v>#N/A</v>
      </c>
      <c r="X35" s="39" t="n">
        <f aca="false">IF(Informed=1,K35,0)</f>
        <v>0</v>
      </c>
      <c r="Y35" s="39" t="n">
        <f aca="false">IF(Informed=0,K35,0)</f>
        <v>0</v>
      </c>
      <c r="Z35" s="39" t="n">
        <f aca="false">IF(Informed=1,N35,0)</f>
        <v>0</v>
      </c>
      <c r="AA35" s="39" t="n">
        <f aca="false">IF(Informed=0,N35,0)</f>
        <v>3.27848247770764</v>
      </c>
      <c r="AB35" s="43" t="n">
        <f aca="false">IF(Arterial=0,IF(Informed=1,1,0),0)</f>
        <v>0</v>
      </c>
      <c r="AC35" s="43" t="n">
        <f aca="false">IF(Arterial=0,IF(Informed=0,1,0),0)</f>
        <v>0</v>
      </c>
      <c r="AD35" s="43" t="n">
        <f aca="false">IF(Arterial=1,IF(Informed=1,1,0),0)</f>
        <v>0</v>
      </c>
      <c r="AE35" s="43" t="n">
        <f aca="false">IF(Arterial=1,IF(Informed=0,1,0),0)</f>
        <v>1</v>
      </c>
      <c r="AF35" s="35" t="n">
        <f aca="false">IF(AB35=1,(X35-G$1030)^2,0)</f>
        <v>0</v>
      </c>
      <c r="AG35" s="35" t="n">
        <f aca="false">IF(AC35=1,(Y35-H$1030)^2,0)</f>
        <v>0</v>
      </c>
      <c r="AH35" s="35" t="n">
        <f aca="false">IF(AD35=1,(Z35-I$1030)^2,0)</f>
        <v>0</v>
      </c>
      <c r="AI35" s="35" t="n">
        <f aca="false">IF(AE35=1,(AA35-J$1030)^2,0)</f>
        <v>690.942888010619</v>
      </c>
      <c r="AJ35" s="37" t="n">
        <f aca="true">IF(RAND()&lt;$D$6,1,0)</f>
        <v>0</v>
      </c>
      <c r="AK35" s="14" t="n">
        <f aca="false">AK34+IF((AJ35=1),IF((H35=0),1,0),0)</f>
        <v>0</v>
      </c>
      <c r="AL35" s="14" t="n">
        <f aca="false">AL34+IF((AJ35=1),IF((H35=1),1,0),0)</f>
        <v>0</v>
      </c>
      <c r="AM35" s="37" t="n">
        <f aca="false">IF(AK35=0,9999,IF($H35=0,IF($AJ35&lt;1,AM34+1,0),AM34))</f>
        <v>9999</v>
      </c>
      <c r="AN35" s="37" t="n">
        <f aca="false">IF(AL35=0,9999,IF($H35=1,IF($AJ35&lt;1,AN34+1,0),AN34))</f>
        <v>9999</v>
      </c>
      <c r="AO35" s="37" t="n">
        <f aca="false">IF($A35-AM35&gt;0,1/(1+AM35),0)</f>
        <v>0</v>
      </c>
      <c r="AP35" s="37" t="n">
        <f aca="false">IF($A35-AN35&gt;0,1/(1+AN35),0)</f>
        <v>0</v>
      </c>
      <c r="AQ35" s="7" t="n">
        <f aca="false">IF(AK35=0,0,MAX(MIN(1,AO35^Power),0))</f>
        <v>0</v>
      </c>
      <c r="AR35" s="7" t="n">
        <f aca="false">IF(AL35=0,0,MAX(MIN(1,AP35^Power),0))</f>
        <v>0</v>
      </c>
      <c r="AS35" s="7" t="n">
        <f aca="false">IF($AJ35=1,IF($H35=0,K35,AS34),AS34)</f>
        <v>0</v>
      </c>
      <c r="AT35" s="7" t="n">
        <f aca="false">IF($AJ35=1,IF($H35=1,N35,AT34),AT34)</f>
        <v>0</v>
      </c>
    </row>
    <row r="36" customFormat="false" ht="13" hidden="false" customHeight="false" outlineLevel="0" collapsed="false">
      <c r="A36" s="16" t="n">
        <v>19</v>
      </c>
      <c r="B36" s="37" t="n">
        <f aca="true">IF(RAND()&lt;$D$8,1,0)</f>
        <v>1</v>
      </c>
      <c r="C36" s="20" t="n">
        <f aca="true">-LN(RAND())/$D$2</f>
        <v>1.38730624152753</v>
      </c>
      <c r="D36" s="38" t="n">
        <f aca="false">D35+C36</f>
        <v>24.8423322634143</v>
      </c>
      <c r="E36" s="39" t="n">
        <f aca="false">MAX($E$3,AS35)</f>
        <v>0</v>
      </c>
      <c r="F36" s="39" t="n">
        <f aca="false">MAX($E$3,AT35)</f>
        <v>0</v>
      </c>
      <c r="G36" s="40" t="n">
        <v>0.5</v>
      </c>
      <c r="H36" s="38" t="n">
        <f aca="true">IF((B36=1),(IF((F36&lt;E36),1,(IF((F36=E36),(IF(RAND()&lt;G36,1,0)),0)))),(IF((RAND()&lt;G36),1,0)))</f>
        <v>0</v>
      </c>
      <c r="I36" s="38" t="n">
        <f aca="true">IF((H36=1),0,$D$3+$D$5*(RAND()-0.5))</f>
        <v>1.78443991311644</v>
      </c>
      <c r="J36" s="38" t="n">
        <f aca="false">I36+MAX(D36,J35)</f>
        <v>27.7576134227006</v>
      </c>
      <c r="K36" s="38" t="n">
        <f aca="false">IF((H36=0),J36-D36,0)</f>
        <v>2.91528115928627</v>
      </c>
      <c r="L36" s="38" t="n">
        <f aca="true">IF(($H36=0),0,$D$4+$D$5*(RAND()-0.5))</f>
        <v>0</v>
      </c>
      <c r="M36" s="38" t="n">
        <f aca="false">L36+MAX(D36,M35)</f>
        <v>26.7335084995944</v>
      </c>
      <c r="N36" s="38" t="n">
        <f aca="false">IF((H36=1),M36-D36,0)</f>
        <v>0</v>
      </c>
      <c r="O36" s="16" t="n">
        <v>19</v>
      </c>
      <c r="P36" s="41" t="n">
        <f aca="false">IF((Arterial=0),P35+1,P35)</f>
        <v>11</v>
      </c>
      <c r="Q36" s="41" t="n">
        <f aca="false">IF((Arterial=1),Q35+1,Q35)</f>
        <v>8</v>
      </c>
      <c r="R36" s="42" t="e">
        <f aca="false">IF((RESET=1),0,R36+K36)</f>
        <v>#N/A</v>
      </c>
      <c r="S36" s="14" t="n">
        <f aca="false">IF(RESET=1,0,S36+N36)</f>
        <v>198.91275060572</v>
      </c>
      <c r="T36" s="2" t="e">
        <f aca="false">IF(RESET=1,0,T36+IF(H36=0,1,0))</f>
        <v>#N/A</v>
      </c>
      <c r="U36" s="2" t="n">
        <f aca="false">IF(RESET=1,0,U36+H36)</f>
        <v>39</v>
      </c>
      <c r="V36" s="14" t="e">
        <f aca="false">R36/(T36+0.00001)</f>
        <v>#N/A</v>
      </c>
      <c r="W36" s="14" t="n">
        <f aca="false">S36/(U36+0.0001)</f>
        <v>5.10031386088036</v>
      </c>
      <c r="X36" s="39" t="n">
        <f aca="false">IF(Informed=1,K36,0)</f>
        <v>2.91528115928627</v>
      </c>
      <c r="Y36" s="39" t="n">
        <f aca="false">IF(Informed=0,K36,0)</f>
        <v>0</v>
      </c>
      <c r="Z36" s="39" t="n">
        <f aca="false">IF(Informed=1,N36,0)</f>
        <v>0</v>
      </c>
      <c r="AA36" s="39" t="n">
        <f aca="false">IF(Informed=0,N36,0)</f>
        <v>0</v>
      </c>
      <c r="AB36" s="43" t="n">
        <f aca="false">IF(Arterial=0,IF(Informed=1,1,0),0)</f>
        <v>1</v>
      </c>
      <c r="AC36" s="43" t="n">
        <f aca="false">IF(Arterial=0,IF(Informed=0,1,0),0)</f>
        <v>0</v>
      </c>
      <c r="AD36" s="43" t="n">
        <f aca="false">IF(Arterial=1,IF(Informed=1,1,0),0)</f>
        <v>0</v>
      </c>
      <c r="AE36" s="43" t="n">
        <f aca="false">IF(Arterial=1,IF(Informed=0,1,0),0)</f>
        <v>0</v>
      </c>
      <c r="AF36" s="35" t="n">
        <f aca="false">IF(AB36=1,(X36-G$1030)^2,0)</f>
        <v>60.7526258795592</v>
      </c>
      <c r="AG36" s="35" t="n">
        <f aca="false">IF(AC36=1,(Y36-H$1030)^2,0)</f>
        <v>0</v>
      </c>
      <c r="AH36" s="35" t="n">
        <f aca="false">IF(AD36=1,(Z36-I$1030)^2,0)</f>
        <v>0</v>
      </c>
      <c r="AI36" s="35" t="n">
        <f aca="false">IF(AE36=1,(AA36-J$1030)^2,0)</f>
        <v>0</v>
      </c>
      <c r="AJ36" s="37" t="n">
        <f aca="true">IF(RAND()&lt;$D$6,1,0)</f>
        <v>0</v>
      </c>
      <c r="AK36" s="14" t="n">
        <f aca="false">AK35+IF((AJ36=1),IF((H36=0),1,0),0)</f>
        <v>0</v>
      </c>
      <c r="AL36" s="14" t="n">
        <f aca="false">AL35+IF((AJ36=1),IF((H36=1),1,0),0)</f>
        <v>0</v>
      </c>
      <c r="AM36" s="37" t="n">
        <f aca="false">IF(AK36=0,9999,IF($H36=0,IF($AJ36&lt;1,AM35+1,0),AM35))</f>
        <v>9999</v>
      </c>
      <c r="AN36" s="37" t="n">
        <f aca="false">IF(AL36=0,9999,IF($H36=1,IF($AJ36&lt;1,AN35+1,0),AN35))</f>
        <v>9999</v>
      </c>
      <c r="AO36" s="37" t="n">
        <f aca="false">IF($A36-AM36&gt;0,1/(1+AM36),0)</f>
        <v>0</v>
      </c>
      <c r="AP36" s="37" t="n">
        <f aca="false">IF($A36-AN36&gt;0,1/(1+AN36),0)</f>
        <v>0</v>
      </c>
      <c r="AQ36" s="7" t="n">
        <f aca="false">IF(AK36=0,0,MAX(MIN(1,AO36^Power),0))</f>
        <v>0</v>
      </c>
      <c r="AR36" s="7" t="n">
        <f aca="false">IF(AL36=0,0,MAX(MIN(1,AP36^Power),0))</f>
        <v>0</v>
      </c>
      <c r="AS36" s="7" t="n">
        <f aca="false">IF($AJ36=1,IF($H36=0,K36,AS35),AS35)</f>
        <v>0</v>
      </c>
      <c r="AT36" s="7" t="n">
        <f aca="false">IF($AJ36=1,IF($H36=1,N36,AT35),AT35)</f>
        <v>0</v>
      </c>
    </row>
    <row r="37" customFormat="false" ht="13" hidden="false" customHeight="false" outlineLevel="0" collapsed="false">
      <c r="A37" s="16" t="n">
        <v>20</v>
      </c>
      <c r="B37" s="37" t="n">
        <f aca="true">IF(RAND()&lt;$D$8,1,0)</f>
        <v>1</v>
      </c>
      <c r="C37" s="20" t="n">
        <f aca="true">-LN(RAND())/$D$2</f>
        <v>0.981060674192272</v>
      </c>
      <c r="D37" s="38" t="n">
        <f aca="false">D36+C37</f>
        <v>25.8233929376066</v>
      </c>
      <c r="E37" s="39" t="n">
        <f aca="false">MAX($E$3,AS36)</f>
        <v>0</v>
      </c>
      <c r="F37" s="39" t="n">
        <f aca="false">MAX($E$3,AT36)</f>
        <v>0</v>
      </c>
      <c r="G37" s="40" t="n">
        <v>0.5</v>
      </c>
      <c r="H37" s="38" t="n">
        <f aca="true">IF((B37=1),(IF((F37&lt;E37),1,(IF((F37=E37),(IF(RAND()&lt;G37,1,0)),0)))),(IF((RAND()&lt;G37),1,0)))</f>
        <v>0</v>
      </c>
      <c r="I37" s="38" t="n">
        <f aca="true">IF((H37=1),0,$D$3+$D$5*(RAND()-0.5))</f>
        <v>1.83895396623184</v>
      </c>
      <c r="J37" s="38" t="n">
        <f aca="false">I37+MAX(D37,J36)</f>
        <v>29.5965673889324</v>
      </c>
      <c r="K37" s="38" t="n">
        <f aca="false">IF((H37=0),J37-D37,0)</f>
        <v>3.77317445132584</v>
      </c>
      <c r="L37" s="38" t="n">
        <f aca="true">IF(($H37=0),0,$D$4+$D$5*(RAND()-0.5))</f>
        <v>0</v>
      </c>
      <c r="M37" s="38" t="n">
        <f aca="false">L37+MAX(D37,M36)</f>
        <v>26.7335084995944</v>
      </c>
      <c r="N37" s="38" t="n">
        <f aca="false">IF((H37=1),M37-D37,0)</f>
        <v>0</v>
      </c>
      <c r="O37" s="16" t="n">
        <v>20</v>
      </c>
      <c r="P37" s="41" t="n">
        <f aca="false">IF((Arterial=0),P36+1,P36)</f>
        <v>12</v>
      </c>
      <c r="Q37" s="41" t="n">
        <f aca="false">IF((Arterial=1),Q36+1,Q36)</f>
        <v>8</v>
      </c>
      <c r="R37" s="42" t="e">
        <f aca="false">IF((RESET=1),0,R37+K37)</f>
        <v>#N/A</v>
      </c>
      <c r="S37" s="14" t="n">
        <f aca="false">IF(RESET=1,0,S37+N37)</f>
        <v>217.959139020386</v>
      </c>
      <c r="T37" s="2" t="e">
        <f aca="false">IF(RESET=1,0,T37+IF(H37=0,1,0))</f>
        <v>#N/A</v>
      </c>
      <c r="U37" s="2" t="n">
        <f aca="false">IF(RESET=1,0,U37+H37)</f>
        <v>37</v>
      </c>
      <c r="V37" s="14" t="e">
        <f aca="false">R37/(T37+0.00001)</f>
        <v>#N/A</v>
      </c>
      <c r="W37" s="14" t="n">
        <f aca="false">S37/(U37+0.0001)</f>
        <v>5.89077162008713</v>
      </c>
      <c r="X37" s="39" t="n">
        <f aca="false">IF(Informed=1,K37,0)</f>
        <v>3.77317445132584</v>
      </c>
      <c r="Y37" s="39" t="n">
        <f aca="false">IF(Informed=0,K37,0)</f>
        <v>0</v>
      </c>
      <c r="Z37" s="39" t="n">
        <f aca="false">IF(Informed=1,N37,0)</f>
        <v>0</v>
      </c>
      <c r="AA37" s="39" t="n">
        <f aca="false">IF(Informed=0,N37,0)</f>
        <v>0</v>
      </c>
      <c r="AB37" s="43" t="n">
        <f aca="false">IF(Arterial=0,IF(Informed=1,1,0),0)</f>
        <v>1</v>
      </c>
      <c r="AC37" s="43" t="n">
        <f aca="false">IF(Arterial=0,IF(Informed=0,1,0),0)</f>
        <v>0</v>
      </c>
      <c r="AD37" s="43" t="n">
        <f aca="false">IF(Arterial=1,IF(Informed=1,1,0),0)</f>
        <v>0</v>
      </c>
      <c r="AE37" s="43" t="n">
        <f aca="false">IF(Arterial=1,IF(Informed=0,1,0),0)</f>
        <v>0</v>
      </c>
      <c r="AF37" s="35" t="n">
        <f aca="false">IF(AB37=1,(X37-G$1030)^2,0)</f>
        <v>48.1150848349605</v>
      </c>
      <c r="AG37" s="35" t="n">
        <f aca="false">IF(AC37=1,(Y37-H$1030)^2,0)</f>
        <v>0</v>
      </c>
      <c r="AH37" s="35" t="n">
        <f aca="false">IF(AD37=1,(Z37-I$1030)^2,0)</f>
        <v>0</v>
      </c>
      <c r="AI37" s="35" t="n">
        <f aca="false">IF(AE37=1,(AA37-J$1030)^2,0)</f>
        <v>0</v>
      </c>
      <c r="AJ37" s="37" t="n">
        <f aca="true">IF(RAND()&lt;$D$6,1,0)</f>
        <v>0</v>
      </c>
      <c r="AK37" s="14" t="n">
        <f aca="false">AK36+IF((AJ37=1),IF((H37=0),1,0),0)</f>
        <v>0</v>
      </c>
      <c r="AL37" s="14" t="n">
        <f aca="false">AL36+IF((AJ37=1),IF((H37=1),1,0),0)</f>
        <v>0</v>
      </c>
      <c r="AM37" s="37" t="n">
        <f aca="false">IF(AK37=0,9999,IF($H37=0,IF($AJ37&lt;1,AM36+1,0),AM36))</f>
        <v>9999</v>
      </c>
      <c r="AN37" s="37" t="n">
        <f aca="false">IF(AL37=0,9999,IF($H37=1,IF($AJ37&lt;1,AN36+1,0),AN36))</f>
        <v>9999</v>
      </c>
      <c r="AO37" s="37" t="n">
        <f aca="false">IF($A37-AM37&gt;0,1/(1+AM37),0)</f>
        <v>0</v>
      </c>
      <c r="AP37" s="37" t="n">
        <f aca="false">IF($A37-AN37&gt;0,1/(1+AN37),0)</f>
        <v>0</v>
      </c>
      <c r="AQ37" s="7" t="n">
        <f aca="false">IF(AK37=0,0,MAX(MIN(1,AO37^Power),0))</f>
        <v>0</v>
      </c>
      <c r="AR37" s="7" t="n">
        <f aca="false">IF(AL37=0,0,MAX(MIN(1,AP37^Power),0))</f>
        <v>0</v>
      </c>
      <c r="AS37" s="7" t="n">
        <f aca="false">IF($AJ37=1,IF($H37=0,K37,AS36),AS36)</f>
        <v>0</v>
      </c>
      <c r="AT37" s="7" t="n">
        <f aca="false">IF($AJ37=1,IF($H37=1,N37,AT36),AT36)</f>
        <v>0</v>
      </c>
    </row>
    <row r="38" customFormat="false" ht="13" hidden="false" customHeight="false" outlineLevel="0" collapsed="false">
      <c r="A38" s="16" t="n">
        <v>21</v>
      </c>
      <c r="B38" s="37" t="n">
        <f aca="true">IF(RAND()&lt;$D$8,1,0)</f>
        <v>1</v>
      </c>
      <c r="C38" s="20" t="n">
        <f aca="true">-LN(RAND())/$D$2</f>
        <v>0.977098310572671</v>
      </c>
      <c r="D38" s="38" t="n">
        <f aca="false">D37+C38</f>
        <v>26.8004912481793</v>
      </c>
      <c r="E38" s="39" t="n">
        <f aca="false">MAX($E$3,AS37)</f>
        <v>0</v>
      </c>
      <c r="F38" s="39" t="n">
        <f aca="false">MAX($E$3,AT37)</f>
        <v>0</v>
      </c>
      <c r="G38" s="40" t="n">
        <v>0.5</v>
      </c>
      <c r="H38" s="38" t="n">
        <f aca="true">IF((B38=1),(IF((F38&lt;E38),1,(IF((F38=E38),(IF(RAND()&lt;G38,1,0)),0)))),(IF((RAND()&lt;G38),1,0)))</f>
        <v>1</v>
      </c>
      <c r="I38" s="38" t="n">
        <f aca="true">IF((H38=1),0,$D$3+$D$5*(RAND()-0.5))</f>
        <v>0</v>
      </c>
      <c r="J38" s="38" t="n">
        <f aca="false">I38+MAX(D38,J37)</f>
        <v>29.5965673889324</v>
      </c>
      <c r="K38" s="38" t="n">
        <f aca="false">IF((H38=0),J38-D38,0)</f>
        <v>0</v>
      </c>
      <c r="L38" s="38" t="n">
        <f aca="true">IF(($H38=0),0,$D$4+$D$5*(RAND()-0.5))</f>
        <v>2.17641726628335</v>
      </c>
      <c r="M38" s="38" t="n">
        <f aca="false">L38+MAX(D38,M37)</f>
        <v>28.9769085144626</v>
      </c>
      <c r="N38" s="38" t="n">
        <f aca="false">IF((H38=1),M38-D38,0)</f>
        <v>2.17641726628335</v>
      </c>
      <c r="O38" s="16" t="n">
        <v>21</v>
      </c>
      <c r="P38" s="41" t="n">
        <f aca="false">IF((Arterial=0),P37+1,P37)</f>
        <v>12</v>
      </c>
      <c r="Q38" s="41" t="n">
        <f aca="false">IF((Arterial=1),Q37+1,Q37)</f>
        <v>9</v>
      </c>
      <c r="R38" s="42" t="n">
        <f aca="false">IF((RESET=1),0,R38+K38)</f>
        <v>244.20291082333</v>
      </c>
      <c r="S38" s="14" t="e">
        <f aca="false">IF(RESET=1,0,S38+N38)</f>
        <v>#N/A</v>
      </c>
      <c r="T38" s="2" t="n">
        <f aca="false">IF(RESET=1,0,T38+IF(H38=0,1,0))</f>
        <v>37</v>
      </c>
      <c r="U38" s="2" t="e">
        <f aca="false">IF(RESET=1,0,U38+H38)</f>
        <v>#N/A</v>
      </c>
      <c r="V38" s="14" t="n">
        <f aca="false">R38/(T38+0.00001)</f>
        <v>6.60007688709624</v>
      </c>
      <c r="W38" s="14" t="e">
        <f aca="false">S38/(U38+0.0001)</f>
        <v>#N/A</v>
      </c>
      <c r="X38" s="39" t="n">
        <f aca="false">IF(Informed=1,K38,0)</f>
        <v>0</v>
      </c>
      <c r="Y38" s="39" t="n">
        <f aca="false">IF(Informed=0,K38,0)</f>
        <v>0</v>
      </c>
      <c r="Z38" s="39" t="n">
        <f aca="false">IF(Informed=1,N38,0)</f>
        <v>2.17641726628335</v>
      </c>
      <c r="AA38" s="39" t="n">
        <f aca="false">IF(Informed=0,N38,0)</f>
        <v>0</v>
      </c>
      <c r="AB38" s="43" t="n">
        <f aca="false">IF(Arterial=0,IF(Informed=1,1,0),0)</f>
        <v>0</v>
      </c>
      <c r="AC38" s="43" t="n">
        <f aca="false">IF(Arterial=0,IF(Informed=0,1,0),0)</f>
        <v>0</v>
      </c>
      <c r="AD38" s="43" t="n">
        <f aca="false">IF(Arterial=1,IF(Informed=1,1,0),0)</f>
        <v>1</v>
      </c>
      <c r="AE38" s="43" t="n">
        <f aca="false">IF(Arterial=1,IF(Informed=0,1,0),0)</f>
        <v>0</v>
      </c>
      <c r="AF38" s="35" t="n">
        <f aca="false">IF(AB38=1,(X38-G$1030)^2,0)</f>
        <v>0</v>
      </c>
      <c r="AG38" s="35" t="n">
        <f aca="false">IF(AC38=1,(Y38-H$1030)^2,0)</f>
        <v>0</v>
      </c>
      <c r="AH38" s="35" t="n">
        <f aca="false">IF(AD38=1,(Z38-I$1030)^2,0)</f>
        <v>686.357080916542</v>
      </c>
      <c r="AI38" s="35" t="n">
        <f aca="false">IF(AE38=1,(AA38-J$1030)^2,0)</f>
        <v>0</v>
      </c>
      <c r="AJ38" s="37" t="n">
        <f aca="true">IF(RAND()&lt;$D$6,1,0)</f>
        <v>0</v>
      </c>
      <c r="AK38" s="14" t="n">
        <f aca="false">AK37+IF((AJ38=1),IF((H38=0),1,0),0)</f>
        <v>0</v>
      </c>
      <c r="AL38" s="14" t="n">
        <f aca="false">AL37+IF((AJ38=1),IF((H38=1),1,0),0)</f>
        <v>0</v>
      </c>
      <c r="AM38" s="37" t="n">
        <f aca="false">IF(AK38=0,9999,IF($H38=0,IF($AJ38&lt;1,AM37+1,0),AM37))</f>
        <v>9999</v>
      </c>
      <c r="AN38" s="37" t="n">
        <f aca="false">IF(AL38=0,9999,IF($H38=1,IF($AJ38&lt;1,AN37+1,0),AN37))</f>
        <v>9999</v>
      </c>
      <c r="AO38" s="37" t="n">
        <f aca="false">IF($A38-AM38&gt;0,1/(1+AM38),0)</f>
        <v>0</v>
      </c>
      <c r="AP38" s="37" t="n">
        <f aca="false">IF($A38-AN38&gt;0,1/(1+AN38),0)</f>
        <v>0</v>
      </c>
      <c r="AQ38" s="7" t="n">
        <f aca="false">IF(AK38=0,0,MAX(MIN(1,AO38^Power),0))</f>
        <v>0</v>
      </c>
      <c r="AR38" s="7" t="n">
        <f aca="false">IF(AL38=0,0,MAX(MIN(1,AP38^Power),0))</f>
        <v>0</v>
      </c>
      <c r="AS38" s="7" t="n">
        <f aca="false">IF($AJ38=1,IF($H38=0,K38,AS37),AS37)</f>
        <v>0</v>
      </c>
      <c r="AT38" s="7" t="n">
        <f aca="false">IF($AJ38=1,IF($H38=1,N38,AT37),AT37)</f>
        <v>0</v>
      </c>
    </row>
    <row r="39" customFormat="false" ht="13" hidden="false" customHeight="false" outlineLevel="0" collapsed="false">
      <c r="A39" s="16" t="n">
        <v>22</v>
      </c>
      <c r="B39" s="37" t="n">
        <f aca="true">IF(RAND()&lt;$D$8,1,0)</f>
        <v>0</v>
      </c>
      <c r="C39" s="20" t="n">
        <f aca="true">-LN(RAND())/$D$2</f>
        <v>0.898208477927663</v>
      </c>
      <c r="D39" s="38" t="n">
        <f aca="false">D38+C39</f>
        <v>27.6986997261069</v>
      </c>
      <c r="E39" s="39" t="n">
        <f aca="false">MAX($E$3,AS38)</f>
        <v>0</v>
      </c>
      <c r="F39" s="39" t="n">
        <f aca="false">MAX($E$3,AT38)</f>
        <v>0</v>
      </c>
      <c r="G39" s="40" t="n">
        <v>0.5</v>
      </c>
      <c r="H39" s="38" t="n">
        <f aca="true">IF((B39=1),(IF((F39&lt;E39),1,(IF((F39=E39),(IF(RAND()&lt;G39,1,0)),0)))),(IF((RAND()&lt;G39),1,0)))</f>
        <v>0</v>
      </c>
      <c r="I39" s="38" t="n">
        <f aca="true">IF((H39=1),0,$D$3+$D$5*(RAND()-0.5))</f>
        <v>2.06678070667458</v>
      </c>
      <c r="J39" s="38" t="n">
        <f aca="false">I39+MAX(D39,J38)</f>
        <v>31.663348095607</v>
      </c>
      <c r="K39" s="38" t="n">
        <f aca="false">IF((H39=0),J39-D39,0)</f>
        <v>3.96464836950009</v>
      </c>
      <c r="L39" s="38" t="n">
        <f aca="true">IF(($H39=0),0,$D$4+$D$5*(RAND()-0.5))</f>
        <v>0</v>
      </c>
      <c r="M39" s="38" t="n">
        <f aca="false">L39+MAX(D39,M38)</f>
        <v>28.9769085144626</v>
      </c>
      <c r="N39" s="38" t="n">
        <f aca="false">IF((H39=1),M39-D39,0)</f>
        <v>0</v>
      </c>
      <c r="O39" s="16" t="n">
        <v>22</v>
      </c>
      <c r="P39" s="41" t="n">
        <f aca="false">IF((Arterial=0),P38+1,P38)</f>
        <v>13</v>
      </c>
      <c r="Q39" s="41" t="n">
        <f aca="false">IF((Arterial=1),Q38+1,Q38)</f>
        <v>9</v>
      </c>
      <c r="R39" s="42" t="e">
        <f aca="false">IF((RESET=1),0,R39+K39)</f>
        <v>#N/A</v>
      </c>
      <c r="S39" s="14" t="n">
        <f aca="false">IF(RESET=1,0,S39+N39)</f>
        <v>230.57743684649</v>
      </c>
      <c r="T39" s="2" t="e">
        <f aca="false">IF(RESET=1,0,T39+IF(H39=0,1,0))</f>
        <v>#N/A</v>
      </c>
      <c r="U39" s="2" t="n">
        <f aca="false">IF(RESET=1,0,U39+H39)</f>
        <v>46</v>
      </c>
      <c r="V39" s="14" t="e">
        <f aca="false">R39/(T39+0.00001)</f>
        <v>#N/A</v>
      </c>
      <c r="W39" s="14" t="n">
        <f aca="false">S39/(U39+0.0001)</f>
        <v>5.0125420780931</v>
      </c>
      <c r="X39" s="39" t="n">
        <f aca="false">IF(Informed=1,K39,0)</f>
        <v>0</v>
      </c>
      <c r="Y39" s="39" t="n">
        <f aca="false">IF(Informed=0,K39,0)</f>
        <v>3.96464836950009</v>
      </c>
      <c r="Z39" s="39" t="n">
        <f aca="false">IF(Informed=1,N39,0)</f>
        <v>0</v>
      </c>
      <c r="AA39" s="39" t="n">
        <f aca="false">IF(Informed=0,N39,0)</f>
        <v>0</v>
      </c>
      <c r="AB39" s="43" t="n">
        <f aca="false">IF(Arterial=0,IF(Informed=1,1,0),0)</f>
        <v>0</v>
      </c>
      <c r="AC39" s="43" t="n">
        <f aca="false">IF(Arterial=0,IF(Informed=0,1,0),0)</f>
        <v>1</v>
      </c>
      <c r="AD39" s="43" t="n">
        <f aca="false">IF(Arterial=1,IF(Informed=1,1,0),0)</f>
        <v>0</v>
      </c>
      <c r="AE39" s="43" t="n">
        <f aca="false">IF(Arterial=1,IF(Informed=0,1,0),0)</f>
        <v>0</v>
      </c>
      <c r="AF39" s="35" t="n">
        <f aca="false">IF(AB39=1,(X39-G$1030)^2,0)</f>
        <v>0</v>
      </c>
      <c r="AG39" s="35" t="n">
        <f aca="false">IF(AC39=1,(Y39-H$1030)^2,0)</f>
        <v>48.4295861315536</v>
      </c>
      <c r="AH39" s="35" t="n">
        <f aca="false">IF(AD39=1,(Z39-I$1030)^2,0)</f>
        <v>0</v>
      </c>
      <c r="AI39" s="35" t="n">
        <f aca="false">IF(AE39=1,(AA39-J$1030)^2,0)</f>
        <v>0</v>
      </c>
      <c r="AJ39" s="37" t="n">
        <f aca="true">IF(RAND()&lt;$D$6,1,0)</f>
        <v>0</v>
      </c>
      <c r="AK39" s="14" t="n">
        <f aca="false">AK38+IF((AJ39=1),IF((H39=0),1,0),0)</f>
        <v>0</v>
      </c>
      <c r="AL39" s="14" t="n">
        <f aca="false">AL38+IF((AJ39=1),IF((H39=1),1,0),0)</f>
        <v>0</v>
      </c>
      <c r="AM39" s="37" t="n">
        <f aca="false">IF(AK39=0,9999,IF($H39=0,IF($AJ39&lt;1,AM38+1,0),AM38))</f>
        <v>9999</v>
      </c>
      <c r="AN39" s="37" t="n">
        <f aca="false">IF(AL39=0,9999,IF($H39=1,IF($AJ39&lt;1,AN38+1,0),AN38))</f>
        <v>9999</v>
      </c>
      <c r="AO39" s="37" t="n">
        <f aca="false">IF($A39-AM39&gt;0,1/(1+AM39),0)</f>
        <v>0</v>
      </c>
      <c r="AP39" s="37" t="n">
        <f aca="false">IF($A39-AN39&gt;0,1/(1+AN39),0)</f>
        <v>0</v>
      </c>
      <c r="AQ39" s="7" t="n">
        <f aca="false">IF(AK39=0,0,MAX(MIN(1,AO39^Power),0))</f>
        <v>0</v>
      </c>
      <c r="AR39" s="7" t="n">
        <f aca="false">IF(AL39=0,0,MAX(MIN(1,AP39^Power),0))</f>
        <v>0</v>
      </c>
      <c r="AS39" s="7" t="n">
        <f aca="false">IF($AJ39=1,IF($H39=0,K39,AS38),AS38)</f>
        <v>0</v>
      </c>
      <c r="AT39" s="7" t="n">
        <f aca="false">IF($AJ39=1,IF($H39=1,N39,AT38),AT38)</f>
        <v>0</v>
      </c>
    </row>
    <row r="40" customFormat="false" ht="13" hidden="false" customHeight="false" outlineLevel="0" collapsed="false">
      <c r="A40" s="16" t="n">
        <v>23</v>
      </c>
      <c r="B40" s="37" t="n">
        <f aca="true">IF(RAND()&lt;$D$8,1,0)</f>
        <v>0</v>
      </c>
      <c r="C40" s="20" t="n">
        <f aca="true">-LN(RAND())/$D$2</f>
        <v>0.0996628044385958</v>
      </c>
      <c r="D40" s="38" t="n">
        <f aca="false">D39+C40</f>
        <v>27.7983625305455</v>
      </c>
      <c r="E40" s="39" t="n">
        <f aca="false">MAX($E$3,AS39)</f>
        <v>0</v>
      </c>
      <c r="F40" s="39" t="n">
        <f aca="false">MAX($E$3,AT39)</f>
        <v>0</v>
      </c>
      <c r="G40" s="40" t="n">
        <v>0.5</v>
      </c>
      <c r="H40" s="38" t="n">
        <f aca="true">IF((B40=1),(IF((F40&lt;E40),1,(IF((F40=E40),(IF(RAND()&lt;G40,1,0)),0)))),(IF((RAND()&lt;G40),1,0)))</f>
        <v>0</v>
      </c>
      <c r="I40" s="38" t="n">
        <f aca="true">IF((H40=1),0,$D$3+$D$5*(RAND()-0.5))</f>
        <v>2.06220717134028</v>
      </c>
      <c r="J40" s="38" t="n">
        <f aca="false">I40+MAX(D40,J39)</f>
        <v>33.7255552669473</v>
      </c>
      <c r="K40" s="38" t="n">
        <f aca="false">IF((H40=0),J40-D40,0)</f>
        <v>5.92719273640178</v>
      </c>
      <c r="L40" s="38" t="n">
        <f aca="true">IF(($H40=0),0,$D$4+$D$5*(RAND()-0.5))</f>
        <v>0</v>
      </c>
      <c r="M40" s="38" t="n">
        <f aca="false">L40+MAX(D40,M39)</f>
        <v>28.9769085144626</v>
      </c>
      <c r="N40" s="38" t="n">
        <f aca="false">IF((H40=1),M40-D40,0)</f>
        <v>0</v>
      </c>
      <c r="O40" s="16" t="n">
        <v>23</v>
      </c>
      <c r="P40" s="41" t="n">
        <f aca="false">IF((Arterial=0),P39+1,P39)</f>
        <v>14</v>
      </c>
      <c r="Q40" s="41" t="n">
        <f aca="false">IF((Arterial=1),Q39+1,Q39)</f>
        <v>9</v>
      </c>
      <c r="R40" s="42" t="e">
        <f aca="false">IF((RESET=1),0,R40+K40)</f>
        <v>#N/A</v>
      </c>
      <c r="S40" s="14" t="n">
        <f aca="false">IF(RESET=1,0,S40+N40)</f>
        <v>265.037432175138</v>
      </c>
      <c r="T40" s="2" t="e">
        <f aca="false">IF(RESET=1,0,T40+IF(H40=0,1,0))</f>
        <v>#N/A</v>
      </c>
      <c r="U40" s="2" t="n">
        <f aca="false">IF(RESET=1,0,U40+H40)</f>
        <v>47</v>
      </c>
      <c r="V40" s="14" t="e">
        <f aca="false">R40/(T40+0.00001)</f>
        <v>#N/A</v>
      </c>
      <c r="W40" s="14" t="n">
        <f aca="false">S40/(U40+0.0001)</f>
        <v>5.63908230355123</v>
      </c>
      <c r="X40" s="39" t="n">
        <f aca="false">IF(Informed=1,K40,0)</f>
        <v>0</v>
      </c>
      <c r="Y40" s="39" t="n">
        <f aca="false">IF(Informed=0,K40,0)</f>
        <v>5.92719273640178</v>
      </c>
      <c r="Z40" s="39" t="n">
        <f aca="false">IF(Informed=1,N40,0)</f>
        <v>0</v>
      </c>
      <c r="AA40" s="39" t="n">
        <f aca="false">IF(Informed=0,N40,0)</f>
        <v>0</v>
      </c>
      <c r="AB40" s="43" t="n">
        <f aca="false">IF(Arterial=0,IF(Informed=1,1,0),0)</f>
        <v>0</v>
      </c>
      <c r="AC40" s="43" t="n">
        <f aca="false">IF(Arterial=0,IF(Informed=0,1,0),0)</f>
        <v>1</v>
      </c>
      <c r="AD40" s="43" t="n">
        <f aca="false">IF(Arterial=1,IF(Informed=1,1,0),0)</f>
        <v>0</v>
      </c>
      <c r="AE40" s="43" t="n">
        <f aca="false">IF(Arterial=1,IF(Informed=0,1,0),0)</f>
        <v>0</v>
      </c>
      <c r="AF40" s="35" t="n">
        <f aca="false">IF(AB40=1,(X40-G$1030)^2,0)</f>
        <v>0</v>
      </c>
      <c r="AG40" s="35" t="n">
        <f aca="false">IF(AC40=1,(Y40-H$1030)^2,0)</f>
        <v>24.9659367541397</v>
      </c>
      <c r="AH40" s="35" t="n">
        <f aca="false">IF(AD40=1,(Z40-I$1030)^2,0)</f>
        <v>0</v>
      </c>
      <c r="AI40" s="35" t="n">
        <f aca="false">IF(AE40=1,(AA40-J$1030)^2,0)</f>
        <v>0</v>
      </c>
      <c r="AJ40" s="37" t="n">
        <f aca="true">IF(RAND()&lt;$D$6,1,0)</f>
        <v>0</v>
      </c>
      <c r="AK40" s="14" t="n">
        <f aca="false">AK39+IF((AJ40=1),IF((H40=0),1,0),0)</f>
        <v>0</v>
      </c>
      <c r="AL40" s="14" t="n">
        <f aca="false">AL39+IF((AJ40=1),IF((H40=1),1,0),0)</f>
        <v>0</v>
      </c>
      <c r="AM40" s="37" t="n">
        <f aca="false">IF(AK40=0,9999,IF($H40=0,IF($AJ40&lt;1,AM39+1,0),AM39))</f>
        <v>9999</v>
      </c>
      <c r="AN40" s="37" t="n">
        <f aca="false">IF(AL40=0,9999,IF($H40=1,IF($AJ40&lt;1,AN39+1,0),AN39))</f>
        <v>9999</v>
      </c>
      <c r="AO40" s="37" t="n">
        <f aca="false">IF($A40-AM40&gt;0,1/(1+AM40),0)</f>
        <v>0</v>
      </c>
      <c r="AP40" s="37" t="n">
        <f aca="false">IF($A40-AN40&gt;0,1/(1+AN40),0)</f>
        <v>0</v>
      </c>
      <c r="AQ40" s="7" t="n">
        <f aca="false">IF(AK40=0,0,MAX(MIN(1,AO40^Power),0))</f>
        <v>0</v>
      </c>
      <c r="AR40" s="7" t="n">
        <f aca="false">IF(AL40=0,0,MAX(MIN(1,AP40^Power),0))</f>
        <v>0</v>
      </c>
      <c r="AS40" s="7" t="n">
        <f aca="false">IF($AJ40=1,IF($H40=0,K40,AS39),AS39)</f>
        <v>0</v>
      </c>
      <c r="AT40" s="7" t="n">
        <f aca="false">IF($AJ40=1,IF($H40=1,N40,AT39),AT39)</f>
        <v>0</v>
      </c>
    </row>
    <row r="41" customFormat="false" ht="13" hidden="false" customHeight="false" outlineLevel="0" collapsed="false">
      <c r="A41" s="16" t="n">
        <v>24</v>
      </c>
      <c r="B41" s="37" t="n">
        <f aca="true">IF(RAND()&lt;$D$8,1,0)</f>
        <v>0</v>
      </c>
      <c r="C41" s="20" t="n">
        <f aca="true">-LN(RAND())/$D$2</f>
        <v>0.437093052134402</v>
      </c>
      <c r="D41" s="38" t="n">
        <f aca="false">D40+C41</f>
        <v>28.2354555826799</v>
      </c>
      <c r="E41" s="39" t="n">
        <f aca="false">MAX($E$3,AS40)</f>
        <v>0</v>
      </c>
      <c r="F41" s="39" t="n">
        <f aca="false">MAX($E$3,AT40)</f>
        <v>0</v>
      </c>
      <c r="G41" s="40" t="n">
        <v>0.5</v>
      </c>
      <c r="H41" s="38" t="n">
        <f aca="true">IF((B41=1),(IF((F41&lt;E41),1,(IF((F41=E41),(IF(RAND()&lt;G41,1,0)),0)))),(IF((RAND()&lt;G41),1,0)))</f>
        <v>1</v>
      </c>
      <c r="I41" s="38" t="n">
        <f aca="true">IF((H41=1),0,$D$3+$D$5*(RAND()-0.5))</f>
        <v>0</v>
      </c>
      <c r="J41" s="38" t="n">
        <f aca="false">I41+MAX(D41,J40)</f>
        <v>33.7255552669473</v>
      </c>
      <c r="K41" s="38" t="n">
        <f aca="false">IF((H41=0),J41-D41,0)</f>
        <v>0</v>
      </c>
      <c r="L41" s="38" t="n">
        <f aca="true">IF(($H41=0),0,$D$4+$D$5*(RAND()-0.5))</f>
        <v>1.78736239196039</v>
      </c>
      <c r="M41" s="38" t="n">
        <f aca="false">L41+MAX(D41,M40)</f>
        <v>30.764270906423</v>
      </c>
      <c r="N41" s="38" t="n">
        <f aca="false">IF((H41=1),M41-D41,0)</f>
        <v>2.52881532374309</v>
      </c>
      <c r="O41" s="16" t="n">
        <v>24</v>
      </c>
      <c r="P41" s="41" t="n">
        <f aca="false">IF((Arterial=0),P40+1,P40)</f>
        <v>14</v>
      </c>
      <c r="Q41" s="41" t="n">
        <f aca="false">IF((Arterial=1),Q40+1,Q40)</f>
        <v>10</v>
      </c>
      <c r="R41" s="42" t="n">
        <f aca="false">IF((RESET=1),0,R41+K41)</f>
        <v>252.612574779233</v>
      </c>
      <c r="S41" s="14" t="e">
        <f aca="false">IF(RESET=1,0,S41+N41)</f>
        <v>#N/A</v>
      </c>
      <c r="T41" s="2" t="n">
        <f aca="false">IF(RESET=1,0,T41+IF(H41=0,1,0))</f>
        <v>38</v>
      </c>
      <c r="U41" s="2" t="e">
        <f aca="false">IF(RESET=1,0,U41+H41)</f>
        <v>#N/A</v>
      </c>
      <c r="V41" s="14" t="n">
        <f aca="false">R41/(T41+0.00001)</f>
        <v>6.6476975869015</v>
      </c>
      <c r="W41" s="14" t="e">
        <f aca="false">S41/(U41+0.0001)</f>
        <v>#N/A</v>
      </c>
      <c r="X41" s="39" t="n">
        <f aca="false">IF(Informed=1,K41,0)</f>
        <v>0</v>
      </c>
      <c r="Y41" s="39" t="n">
        <f aca="false">IF(Informed=0,K41,0)</f>
        <v>0</v>
      </c>
      <c r="Z41" s="39" t="n">
        <f aca="false">IF(Informed=1,N41,0)</f>
        <v>0</v>
      </c>
      <c r="AA41" s="39" t="n">
        <f aca="false">IF(Informed=0,N41,0)</f>
        <v>2.52881532374309</v>
      </c>
      <c r="AB41" s="43" t="n">
        <f aca="false">IF(Arterial=0,IF(Informed=1,1,0),0)</f>
        <v>0</v>
      </c>
      <c r="AC41" s="43" t="n">
        <f aca="false">IF(Arterial=0,IF(Informed=0,1,0),0)</f>
        <v>0</v>
      </c>
      <c r="AD41" s="43" t="n">
        <f aca="false">IF(Arterial=1,IF(Informed=1,1,0),0)</f>
        <v>0</v>
      </c>
      <c r="AE41" s="43" t="n">
        <f aca="false">IF(Arterial=1,IF(Informed=0,1,0),0)</f>
        <v>1</v>
      </c>
      <c r="AF41" s="35" t="n">
        <f aca="false">IF(AB41=1,(X41-G$1030)^2,0)</f>
        <v>0</v>
      </c>
      <c r="AG41" s="35" t="n">
        <f aca="false">IF(AC41=1,(Y41-H$1030)^2,0)</f>
        <v>0</v>
      </c>
      <c r="AH41" s="35" t="n">
        <f aca="false">IF(AD41=1,(Z41-I$1030)^2,0)</f>
        <v>0</v>
      </c>
      <c r="AI41" s="35" t="n">
        <f aca="false">IF(AE41=1,(AA41-J$1030)^2,0)</f>
        <v>730.916079377461</v>
      </c>
      <c r="AJ41" s="37" t="n">
        <f aca="true">IF(RAND()&lt;$D$6,1,0)</f>
        <v>0</v>
      </c>
      <c r="AK41" s="14" t="n">
        <f aca="false">AK40+IF((AJ41=1),IF((H41=0),1,0),0)</f>
        <v>0</v>
      </c>
      <c r="AL41" s="14" t="n">
        <f aca="false">AL40+IF((AJ41=1),IF((H41=1),1,0),0)</f>
        <v>0</v>
      </c>
      <c r="AM41" s="37" t="n">
        <f aca="false">IF(AK41=0,9999,IF($H41=0,IF($AJ41&lt;1,AM40+1,0),AM40))</f>
        <v>9999</v>
      </c>
      <c r="AN41" s="37" t="n">
        <f aca="false">IF(AL41=0,9999,IF($H41=1,IF($AJ41&lt;1,AN40+1,0),AN40))</f>
        <v>9999</v>
      </c>
      <c r="AO41" s="37" t="n">
        <f aca="false">IF($A41-AM41&gt;0,1/(1+AM41),0)</f>
        <v>0</v>
      </c>
      <c r="AP41" s="37" t="n">
        <f aca="false">IF($A41-AN41&gt;0,1/(1+AN41),0)</f>
        <v>0</v>
      </c>
      <c r="AQ41" s="7" t="n">
        <f aca="false">IF(AK41=0,0,MAX(MIN(1,AO41^Power),0))</f>
        <v>0</v>
      </c>
      <c r="AR41" s="7" t="n">
        <f aca="false">IF(AL41=0,0,MAX(MIN(1,AP41^Power),0))</f>
        <v>0</v>
      </c>
      <c r="AS41" s="7" t="n">
        <f aca="false">IF($AJ41=1,IF($H41=0,K41,AS40),AS40)</f>
        <v>0</v>
      </c>
      <c r="AT41" s="7" t="n">
        <f aca="false">IF($AJ41=1,IF($H41=1,N41,AT40),AT40)</f>
        <v>0</v>
      </c>
    </row>
    <row r="42" customFormat="false" ht="13" hidden="false" customHeight="false" outlineLevel="0" collapsed="false">
      <c r="A42" s="16" t="n">
        <v>25</v>
      </c>
      <c r="B42" s="37" t="n">
        <f aca="true">IF(RAND()&lt;$D$8,1,0)</f>
        <v>1</v>
      </c>
      <c r="C42" s="20" t="n">
        <f aca="true">-LN(RAND())/$D$2</f>
        <v>0.58388164643366</v>
      </c>
      <c r="D42" s="38" t="n">
        <f aca="false">D41+C42</f>
        <v>28.8193372291136</v>
      </c>
      <c r="E42" s="39" t="n">
        <f aca="false">MAX($E$3,AS41)</f>
        <v>0</v>
      </c>
      <c r="F42" s="39" t="n">
        <f aca="false">MAX($E$3,AT41)</f>
        <v>0</v>
      </c>
      <c r="G42" s="40" t="n">
        <v>0.5</v>
      </c>
      <c r="H42" s="38" t="n">
        <f aca="true">IF((B42=1),(IF((F42&lt;E42),1,(IF((F42=E42),(IF(RAND()&lt;G42,1,0)),0)))),(IF((RAND()&lt;G42),1,0)))</f>
        <v>0</v>
      </c>
      <c r="I42" s="38" t="n">
        <f aca="true">IF((H42=1),0,$D$3+$D$5*(RAND()-0.5))</f>
        <v>1.81561118948445</v>
      </c>
      <c r="J42" s="38" t="n">
        <f aca="false">I42+MAX(D42,J41)</f>
        <v>35.5411664564317</v>
      </c>
      <c r="K42" s="38" t="n">
        <f aca="false">IF((H42=0),J42-D42,0)</f>
        <v>6.72182922731816</v>
      </c>
      <c r="L42" s="38" t="n">
        <f aca="true">IF(($H42=0),0,$D$4+$D$5*(RAND()-0.5))</f>
        <v>0</v>
      </c>
      <c r="M42" s="38" t="n">
        <f aca="false">L42+MAX(D42,M41)</f>
        <v>30.764270906423</v>
      </c>
      <c r="N42" s="38" t="n">
        <f aca="false">IF((H42=1),M42-D42,0)</f>
        <v>0</v>
      </c>
      <c r="O42" s="16" t="n">
        <v>25</v>
      </c>
      <c r="P42" s="41" t="n">
        <f aca="false">IF((Arterial=0),P41+1,P41)</f>
        <v>15</v>
      </c>
      <c r="Q42" s="41" t="n">
        <f aca="false">IF((Arterial=1),Q41+1,Q41)</f>
        <v>10</v>
      </c>
      <c r="R42" s="42" t="e">
        <f aca="false">IF((RESET=1),0,R42+K42)</f>
        <v>#N/A</v>
      </c>
      <c r="S42" s="14" t="n">
        <f aca="false">IF(RESET=1,0,S42+N42)</f>
        <v>283.297210011662</v>
      </c>
      <c r="T42" s="2" t="e">
        <f aca="false">IF(RESET=1,0,T42+IF(H42=0,1,0))</f>
        <v>#N/A</v>
      </c>
      <c r="U42" s="2" t="n">
        <f aca="false">IF(RESET=1,0,U42+H42)</f>
        <v>48</v>
      </c>
      <c r="V42" s="14" t="e">
        <f aca="false">R42/(T42+0.00001)</f>
        <v>#N/A</v>
      </c>
      <c r="W42" s="14" t="n">
        <f aca="false">S42/(U42+0.0001)</f>
        <v>5.90201291271605</v>
      </c>
      <c r="X42" s="39" t="n">
        <f aca="false">IF(Informed=1,K42,0)</f>
        <v>6.72182922731816</v>
      </c>
      <c r="Y42" s="39" t="n">
        <f aca="false">IF(Informed=0,K42,0)</f>
        <v>0</v>
      </c>
      <c r="Z42" s="39" t="n">
        <f aca="false">IF(Informed=1,N42,0)</f>
        <v>0</v>
      </c>
      <c r="AA42" s="39" t="n">
        <f aca="false">IF(Informed=0,N42,0)</f>
        <v>0</v>
      </c>
      <c r="AB42" s="43" t="n">
        <f aca="false">IF(Arterial=0,IF(Informed=1,1,0),0)</f>
        <v>1</v>
      </c>
      <c r="AC42" s="43" t="n">
        <f aca="false">IF(Arterial=0,IF(Informed=0,1,0),0)</f>
        <v>0</v>
      </c>
      <c r="AD42" s="43" t="n">
        <f aca="false">IF(Arterial=1,IF(Informed=1,1,0),0)</f>
        <v>0</v>
      </c>
      <c r="AE42" s="43" t="n">
        <f aca="false">IF(Arterial=1,IF(Informed=0,1,0),0)</f>
        <v>0</v>
      </c>
      <c r="AF42" s="35" t="n">
        <f aca="false">IF(AB42=1,(X42-G$1030)^2,0)</f>
        <v>15.9029397621301</v>
      </c>
      <c r="AG42" s="35" t="n">
        <f aca="false">IF(AC42=1,(Y42-H$1030)^2,0)</f>
        <v>0</v>
      </c>
      <c r="AH42" s="35" t="n">
        <f aca="false">IF(AD42=1,(Z42-I$1030)^2,0)</f>
        <v>0</v>
      </c>
      <c r="AI42" s="35" t="n">
        <f aca="false">IF(AE42=1,(AA42-J$1030)^2,0)</f>
        <v>0</v>
      </c>
      <c r="AJ42" s="37" t="n">
        <f aca="true">IF(RAND()&lt;$D$6,1,0)</f>
        <v>0</v>
      </c>
      <c r="AK42" s="14" t="n">
        <f aca="false">AK41+IF((AJ42=1),IF((H42=0),1,0),0)</f>
        <v>0</v>
      </c>
      <c r="AL42" s="14" t="n">
        <f aca="false">AL41+IF((AJ42=1),IF((H42=1),1,0),0)</f>
        <v>0</v>
      </c>
      <c r="AM42" s="37" t="n">
        <f aca="false">IF(AK42=0,9999,IF($H42=0,IF($AJ42&lt;1,AM41+1,0),AM41))</f>
        <v>9999</v>
      </c>
      <c r="AN42" s="37" t="n">
        <f aca="false">IF(AL42=0,9999,IF($H42=1,IF($AJ42&lt;1,AN41+1,0),AN41))</f>
        <v>9999</v>
      </c>
      <c r="AO42" s="37" t="n">
        <f aca="false">IF($A42-AM42&gt;0,1/(1+AM42),0)</f>
        <v>0</v>
      </c>
      <c r="AP42" s="37" t="n">
        <f aca="false">IF($A42-AN42&gt;0,1/(1+AN42),0)</f>
        <v>0</v>
      </c>
      <c r="AQ42" s="7" t="n">
        <f aca="false">IF(AK42=0,0,MAX(MIN(1,AO42^Power),0))</f>
        <v>0</v>
      </c>
      <c r="AR42" s="7" t="n">
        <f aca="false">IF(AL42=0,0,MAX(MIN(1,AP42^Power),0))</f>
        <v>0</v>
      </c>
      <c r="AS42" s="7" t="n">
        <f aca="false">IF($AJ42=1,IF($H42=0,K42,AS41),AS41)</f>
        <v>0</v>
      </c>
      <c r="AT42" s="7" t="n">
        <f aca="false">IF($AJ42=1,IF($H42=1,N42,AT41),AT41)</f>
        <v>0</v>
      </c>
    </row>
    <row r="43" customFormat="false" ht="13" hidden="false" customHeight="false" outlineLevel="0" collapsed="false">
      <c r="A43" s="16" t="n">
        <v>26</v>
      </c>
      <c r="B43" s="37" t="n">
        <f aca="true">IF(RAND()&lt;$D$8,1,0)</f>
        <v>0</v>
      </c>
      <c r="C43" s="20" t="n">
        <f aca="true">-LN(RAND())/$D$2</f>
        <v>1.84166042688122</v>
      </c>
      <c r="D43" s="38" t="n">
        <f aca="false">D42+C43</f>
        <v>30.6609976559948</v>
      </c>
      <c r="E43" s="39" t="n">
        <f aca="false">MAX($E$3,AS42)</f>
        <v>0</v>
      </c>
      <c r="F43" s="39" t="n">
        <f aca="false">MAX($E$3,AT42)</f>
        <v>0</v>
      </c>
      <c r="G43" s="40" t="n">
        <v>0.5</v>
      </c>
      <c r="H43" s="38" t="n">
        <f aca="true">IF((B43=1),(IF((F43&lt;E43),1,(IF((F43=E43),(IF(RAND()&lt;G43,1,0)),0)))),(IF((RAND()&lt;G43),1,0)))</f>
        <v>1</v>
      </c>
      <c r="I43" s="38" t="n">
        <f aca="true">IF((H43=1),0,$D$3+$D$5*(RAND()-0.5))</f>
        <v>0</v>
      </c>
      <c r="J43" s="38" t="n">
        <f aca="false">I43+MAX(D43,J42)</f>
        <v>35.5411664564317</v>
      </c>
      <c r="K43" s="38" t="n">
        <f aca="false">IF((H43=0),J43-D43,0)</f>
        <v>0</v>
      </c>
      <c r="L43" s="38" t="n">
        <f aca="true">IF(($H43=0),0,$D$4+$D$5*(RAND()-0.5))</f>
        <v>1.86752815751361</v>
      </c>
      <c r="M43" s="38" t="n">
        <f aca="false">L43+MAX(D43,M42)</f>
        <v>32.6317990639366</v>
      </c>
      <c r="N43" s="38" t="n">
        <f aca="false">IF((H43=1),M43-D43,0)</f>
        <v>1.97080140794181</v>
      </c>
      <c r="O43" s="16" t="n">
        <v>26</v>
      </c>
      <c r="P43" s="41" t="n">
        <f aca="false">IF((Arterial=0),P42+1,P42)</f>
        <v>15</v>
      </c>
      <c r="Q43" s="41" t="n">
        <f aca="false">IF((Arterial=1),Q42+1,Q42)</f>
        <v>11</v>
      </c>
      <c r="R43" s="42" t="n">
        <f aca="false">IF((RESET=1),0,R43+K43)</f>
        <v>222.566178905429</v>
      </c>
      <c r="S43" s="14" t="e">
        <f aca="false">IF(RESET=1,0,S43+N43)</f>
        <v>#N/A</v>
      </c>
      <c r="T43" s="2" t="n">
        <f aca="false">IF(RESET=1,0,T43+IF(H43=0,1,0))</f>
        <v>38</v>
      </c>
      <c r="U43" s="2" t="e">
        <f aca="false">IF(RESET=1,0,U43+H43)</f>
        <v>#N/A</v>
      </c>
      <c r="V43" s="14" t="n">
        <f aca="false">R43/(T43+0.00001)</f>
        <v>5.85700316672097</v>
      </c>
      <c r="W43" s="14" t="e">
        <f aca="false">S43/(U43+0.0001)</f>
        <v>#N/A</v>
      </c>
      <c r="X43" s="39" t="n">
        <f aca="false">IF(Informed=1,K43,0)</f>
        <v>0</v>
      </c>
      <c r="Y43" s="39" t="n">
        <f aca="false">IF(Informed=0,K43,0)</f>
        <v>0</v>
      </c>
      <c r="Z43" s="39" t="n">
        <f aca="false">IF(Informed=1,N43,0)</f>
        <v>0</v>
      </c>
      <c r="AA43" s="39" t="n">
        <f aca="false">IF(Informed=0,N43,0)</f>
        <v>1.97080140794181</v>
      </c>
      <c r="AB43" s="43" t="n">
        <f aca="false">IF(Arterial=0,IF(Informed=1,1,0),0)</f>
        <v>0</v>
      </c>
      <c r="AC43" s="43" t="n">
        <f aca="false">IF(Arterial=0,IF(Informed=0,1,0),0)</f>
        <v>0</v>
      </c>
      <c r="AD43" s="43" t="n">
        <f aca="false">IF(Arterial=1,IF(Informed=1,1,0),0)</f>
        <v>0</v>
      </c>
      <c r="AE43" s="43" t="n">
        <f aca="false">IF(Arterial=1,IF(Informed=0,1,0),0)</f>
        <v>1</v>
      </c>
      <c r="AF43" s="35" t="n">
        <f aca="false">IF(AB43=1,(X43-G$1030)^2,0)</f>
        <v>0</v>
      </c>
      <c r="AG43" s="35" t="n">
        <f aca="false">IF(AC43=1,(Y43-H$1030)^2,0)</f>
        <v>0</v>
      </c>
      <c r="AH43" s="35" t="n">
        <f aca="false">IF(AD43=1,(Z43-I$1030)^2,0)</f>
        <v>0</v>
      </c>
      <c r="AI43" s="35" t="n">
        <f aca="false">IF(AE43=1,(AA43-J$1030)^2,0)</f>
        <v>761.39978433564</v>
      </c>
      <c r="AJ43" s="37" t="n">
        <f aca="true">IF(RAND()&lt;$D$6,1,0)</f>
        <v>0</v>
      </c>
      <c r="AK43" s="14" t="n">
        <f aca="false">AK42+IF((AJ43=1),IF((H43=0),1,0),0)</f>
        <v>0</v>
      </c>
      <c r="AL43" s="14" t="n">
        <f aca="false">AL42+IF((AJ43=1),IF((H43=1),1,0),0)</f>
        <v>0</v>
      </c>
      <c r="AM43" s="37" t="n">
        <f aca="false">IF(AK43=0,9999,IF($H43=0,IF($AJ43&lt;1,AM42+1,0),AM42))</f>
        <v>9999</v>
      </c>
      <c r="AN43" s="37" t="n">
        <f aca="false">IF(AL43=0,9999,IF($H43=1,IF($AJ43&lt;1,AN42+1,0),AN42))</f>
        <v>9999</v>
      </c>
      <c r="AO43" s="37" t="n">
        <f aca="false">IF($A43-AM43&gt;0,1/(1+AM43),0)</f>
        <v>0</v>
      </c>
      <c r="AP43" s="37" t="n">
        <f aca="false">IF($A43-AN43&gt;0,1/(1+AN43),0)</f>
        <v>0</v>
      </c>
      <c r="AQ43" s="7" t="n">
        <f aca="false">IF(AK43=0,0,MAX(MIN(1,AO43^Power),0))</f>
        <v>0</v>
      </c>
      <c r="AR43" s="7" t="n">
        <f aca="false">IF(AL43=0,0,MAX(MIN(1,AP43^Power),0))</f>
        <v>0</v>
      </c>
      <c r="AS43" s="7" t="n">
        <f aca="false">IF($AJ43=1,IF($H43=0,K43,AS42),AS42)</f>
        <v>0</v>
      </c>
      <c r="AT43" s="7" t="n">
        <f aca="false">IF($AJ43=1,IF($H43=1,N43,AT42),AT42)</f>
        <v>0</v>
      </c>
    </row>
    <row r="44" customFormat="false" ht="13" hidden="false" customHeight="false" outlineLevel="0" collapsed="false">
      <c r="A44" s="16" t="n">
        <v>27</v>
      </c>
      <c r="B44" s="37" t="n">
        <f aca="true">IF(RAND()&lt;$D$8,1,0)</f>
        <v>1</v>
      </c>
      <c r="C44" s="20" t="n">
        <f aca="true">-LN(RAND())/$D$2</f>
        <v>0.877783985912631</v>
      </c>
      <c r="D44" s="38" t="n">
        <f aca="false">D43+C44</f>
        <v>31.5387816419074</v>
      </c>
      <c r="E44" s="39" t="n">
        <f aca="false">MAX($E$3,AS43)</f>
        <v>0</v>
      </c>
      <c r="F44" s="39" t="n">
        <f aca="false">MAX($E$3,AT43)</f>
        <v>0</v>
      </c>
      <c r="G44" s="40" t="n">
        <v>0.5</v>
      </c>
      <c r="H44" s="38" t="n">
        <f aca="true">IF((B44=1),(IF((F44&lt;E44),1,(IF((F44=E44),(IF(RAND()&lt;G44,1,0)),0)))),(IF((RAND()&lt;G44),1,0)))</f>
        <v>0</v>
      </c>
      <c r="I44" s="38" t="n">
        <f aca="true">IF((H44=1),0,$D$3+$D$5*(RAND()-0.5))</f>
        <v>2.05178602124157</v>
      </c>
      <c r="J44" s="38" t="n">
        <f aca="false">I44+MAX(D44,J43)</f>
        <v>37.5929524776733</v>
      </c>
      <c r="K44" s="38" t="n">
        <f aca="false">IF((H44=0),J44-D44,0)</f>
        <v>6.05417083576588</v>
      </c>
      <c r="L44" s="38" t="n">
        <f aca="true">IF(($H44=0),0,$D$4+$D$5*(RAND()-0.5))</f>
        <v>0</v>
      </c>
      <c r="M44" s="38" t="n">
        <f aca="false">L44+MAX(D44,M43)</f>
        <v>32.6317990639366</v>
      </c>
      <c r="N44" s="38" t="n">
        <f aca="false">IF((H44=1),M44-D44,0)</f>
        <v>0</v>
      </c>
      <c r="O44" s="16" t="n">
        <v>27</v>
      </c>
      <c r="P44" s="41" t="n">
        <f aca="false">IF((Arterial=0),P43+1,P43)</f>
        <v>16</v>
      </c>
      <c r="Q44" s="41" t="n">
        <f aca="false">IF((Arterial=1),Q43+1,Q43)</f>
        <v>11</v>
      </c>
      <c r="R44" s="42" t="e">
        <f aca="false">IF((RESET=1),0,R44+K44)</f>
        <v>#N/A</v>
      </c>
      <c r="S44" s="14" t="n">
        <f aca="false">IF(RESET=1,0,S44+N44)</f>
        <v>233.173673620944</v>
      </c>
      <c r="T44" s="2" t="e">
        <f aca="false">IF(RESET=1,0,T44+IF(H44=0,1,0))</f>
        <v>#N/A</v>
      </c>
      <c r="U44" s="2" t="n">
        <f aca="false">IF(RESET=1,0,U44+H44)</f>
        <v>39</v>
      </c>
      <c r="V44" s="14" t="e">
        <f aca="false">R44/(T44+0.00001)</f>
        <v>#N/A</v>
      </c>
      <c r="W44" s="14" t="n">
        <f aca="false">S44/(U44+0.0001)</f>
        <v>5.97879681387853</v>
      </c>
      <c r="X44" s="39" t="n">
        <f aca="false">IF(Informed=1,K44,0)</f>
        <v>6.05417083576588</v>
      </c>
      <c r="Y44" s="39" t="n">
        <f aca="false">IF(Informed=0,K44,0)</f>
        <v>0</v>
      </c>
      <c r="Z44" s="39" t="n">
        <f aca="false">IF(Informed=1,N44,0)</f>
        <v>0</v>
      </c>
      <c r="AA44" s="39" t="n">
        <f aca="false">IF(Informed=0,N44,0)</f>
        <v>0</v>
      </c>
      <c r="AB44" s="43" t="n">
        <f aca="false">IF(Arterial=0,IF(Informed=1,1,0),0)</f>
        <v>1</v>
      </c>
      <c r="AC44" s="43" t="n">
        <f aca="false">IF(Arterial=0,IF(Informed=0,1,0),0)</f>
        <v>0</v>
      </c>
      <c r="AD44" s="43" t="n">
        <f aca="false">IF(Arterial=1,IF(Informed=1,1,0),0)</f>
        <v>0</v>
      </c>
      <c r="AE44" s="43" t="n">
        <f aca="false">IF(Arterial=1,IF(Informed=0,1,0),0)</f>
        <v>0</v>
      </c>
      <c r="AF44" s="35" t="n">
        <f aca="false">IF(AB44=1,(X44-G$1030)^2,0)</f>
        <v>21.6737492074358</v>
      </c>
      <c r="AG44" s="35" t="n">
        <f aca="false">IF(AC44=1,(Y44-H$1030)^2,0)</f>
        <v>0</v>
      </c>
      <c r="AH44" s="35" t="n">
        <f aca="false">IF(AD44=1,(Z44-I$1030)^2,0)</f>
        <v>0</v>
      </c>
      <c r="AI44" s="35" t="n">
        <f aca="false">IF(AE44=1,(AA44-J$1030)^2,0)</f>
        <v>0</v>
      </c>
      <c r="AJ44" s="37" t="n">
        <f aca="true">IF(RAND()&lt;$D$6,1,0)</f>
        <v>0</v>
      </c>
      <c r="AK44" s="14" t="n">
        <f aca="false">AK43+IF((AJ44=1),IF((H44=0),1,0),0)</f>
        <v>0</v>
      </c>
      <c r="AL44" s="14" t="n">
        <f aca="false">AL43+IF((AJ44=1),IF((H44=1),1,0),0)</f>
        <v>0</v>
      </c>
      <c r="AM44" s="37" t="n">
        <f aca="false">IF(AK44=0,9999,IF($H44=0,IF($AJ44&lt;1,AM43+1,0),AM43))</f>
        <v>9999</v>
      </c>
      <c r="AN44" s="37" t="n">
        <f aca="false">IF(AL44=0,9999,IF($H44=1,IF($AJ44&lt;1,AN43+1,0),AN43))</f>
        <v>9999</v>
      </c>
      <c r="AO44" s="37" t="n">
        <f aca="false">IF($A44-AM44&gt;0,1/(1+AM44),0)</f>
        <v>0</v>
      </c>
      <c r="AP44" s="37" t="n">
        <f aca="false">IF($A44-AN44&gt;0,1/(1+AN44),0)</f>
        <v>0</v>
      </c>
      <c r="AQ44" s="7" t="n">
        <f aca="false">IF(AK44=0,0,MAX(MIN(1,AO44^Power),0))</f>
        <v>0</v>
      </c>
      <c r="AR44" s="7" t="n">
        <f aca="false">IF(AL44=0,0,MAX(MIN(1,AP44^Power),0))</f>
        <v>0</v>
      </c>
      <c r="AS44" s="7" t="n">
        <f aca="false">IF($AJ44=1,IF($H44=0,K44,AS43),AS43)</f>
        <v>0</v>
      </c>
      <c r="AT44" s="7" t="n">
        <f aca="false">IF($AJ44=1,IF($H44=1,N44,AT43),AT43)</f>
        <v>0</v>
      </c>
    </row>
    <row r="45" customFormat="false" ht="13" hidden="false" customHeight="false" outlineLevel="0" collapsed="false">
      <c r="A45" s="16" t="n">
        <v>28</v>
      </c>
      <c r="B45" s="37" t="n">
        <f aca="true">IF(RAND()&lt;$D$8,1,0)</f>
        <v>0</v>
      </c>
      <c r="C45" s="20" t="n">
        <f aca="true">-LN(RAND())/$D$2</f>
        <v>0.440109538861737</v>
      </c>
      <c r="D45" s="38" t="n">
        <f aca="false">D44+C45</f>
        <v>31.9788911807692</v>
      </c>
      <c r="E45" s="39" t="n">
        <f aca="false">MAX($E$3,AS44)</f>
        <v>0</v>
      </c>
      <c r="F45" s="39" t="n">
        <f aca="false">MAX($E$3,AT44)</f>
        <v>0</v>
      </c>
      <c r="G45" s="40" t="n">
        <v>0.5</v>
      </c>
      <c r="H45" s="38" t="n">
        <f aca="true">IF((B45=1),(IF((F45&lt;E45),1,(IF((F45=E45),(IF(RAND()&lt;G45,1,0)),0)))),(IF((RAND()&lt;G45),1,0)))</f>
        <v>0</v>
      </c>
      <c r="I45" s="38" t="n">
        <f aca="true">IF((H45=1),0,$D$3+$D$5*(RAND()-0.5))</f>
        <v>2.1890433442401</v>
      </c>
      <c r="J45" s="38" t="n">
        <f aca="false">I45+MAX(D45,J44)</f>
        <v>39.7819958219134</v>
      </c>
      <c r="K45" s="38" t="n">
        <f aca="false">IF((H45=0),J45-D45,0)</f>
        <v>7.80310464114425</v>
      </c>
      <c r="L45" s="38" t="n">
        <f aca="true">IF(($H45=0),0,$D$4+$D$5*(RAND()-0.5))</f>
        <v>0</v>
      </c>
      <c r="M45" s="38" t="n">
        <f aca="false">L45+MAX(D45,M44)</f>
        <v>32.6317990639366</v>
      </c>
      <c r="N45" s="38" t="n">
        <f aca="false">IF((H45=1),M45-D45,0)</f>
        <v>0</v>
      </c>
      <c r="O45" s="16" t="n">
        <v>28</v>
      </c>
      <c r="P45" s="41" t="n">
        <f aca="false">IF((Arterial=0),P44+1,P44)</f>
        <v>17</v>
      </c>
      <c r="Q45" s="41" t="n">
        <f aca="false">IF((Arterial=1),Q44+1,Q44)</f>
        <v>11</v>
      </c>
      <c r="R45" s="42" t="e">
        <f aca="false">IF((RESET=1),0,R45+K45)</f>
        <v>#N/A</v>
      </c>
      <c r="S45" s="14" t="n">
        <f aca="false">IF(RESET=1,0,S45+N45)</f>
        <v>247.369448476097</v>
      </c>
      <c r="T45" s="2" t="e">
        <f aca="false">IF(RESET=1,0,T45+IF(H45=0,1,0))</f>
        <v>#N/A</v>
      </c>
      <c r="U45" s="2" t="n">
        <f aca="false">IF(RESET=1,0,U45+H45)</f>
        <v>44</v>
      </c>
      <c r="V45" s="14" t="e">
        <f aca="false">R45/(T45+0.00001)</f>
        <v>#N/A</v>
      </c>
      <c r="W45" s="14" t="n">
        <f aca="false">S45/(U45+0.0001)</f>
        <v>5.62202014259278</v>
      </c>
      <c r="X45" s="39" t="n">
        <f aca="false">IF(Informed=1,K45,0)</f>
        <v>0</v>
      </c>
      <c r="Y45" s="39" t="n">
        <f aca="false">IF(Informed=0,K45,0)</f>
        <v>7.80310464114425</v>
      </c>
      <c r="Z45" s="39" t="n">
        <f aca="false">IF(Informed=1,N45,0)</f>
        <v>0</v>
      </c>
      <c r="AA45" s="39" t="n">
        <f aca="false">IF(Informed=0,N45,0)</f>
        <v>0</v>
      </c>
      <c r="AB45" s="43" t="n">
        <f aca="false">IF(Arterial=0,IF(Informed=1,1,0),0)</f>
        <v>0</v>
      </c>
      <c r="AC45" s="43" t="n">
        <f aca="false">IF(Arterial=0,IF(Informed=0,1,0),0)</f>
        <v>1</v>
      </c>
      <c r="AD45" s="43" t="n">
        <f aca="false">IF(Arterial=1,IF(Informed=1,1,0),0)</f>
        <v>0</v>
      </c>
      <c r="AE45" s="43" t="n">
        <f aca="false">IF(Arterial=1,IF(Informed=0,1,0),0)</f>
        <v>0</v>
      </c>
      <c r="AF45" s="35" t="n">
        <f aca="false">IF(AB45=1,(X45-G$1030)^2,0)</f>
        <v>0</v>
      </c>
      <c r="AG45" s="35" t="n">
        <f aca="false">IF(AC45=1,(Y45-H$1030)^2,0)</f>
        <v>9.73864746698137</v>
      </c>
      <c r="AH45" s="35" t="n">
        <f aca="false">IF(AD45=1,(Z45-I$1030)^2,0)</f>
        <v>0</v>
      </c>
      <c r="AI45" s="35" t="n">
        <f aca="false">IF(AE45=1,(AA45-J$1030)^2,0)</f>
        <v>0</v>
      </c>
      <c r="AJ45" s="37" t="n">
        <f aca="true">IF(RAND()&lt;$D$6,1,0)</f>
        <v>0</v>
      </c>
      <c r="AK45" s="14" t="n">
        <f aca="false">AK44+IF((AJ45=1),IF((H45=0),1,0),0)</f>
        <v>0</v>
      </c>
      <c r="AL45" s="14" t="n">
        <f aca="false">AL44+IF((AJ45=1),IF((H45=1),1,0),0)</f>
        <v>0</v>
      </c>
      <c r="AM45" s="37" t="n">
        <f aca="false">IF(AK45=0,9999,IF($H45=0,IF($AJ45&lt;1,AM44+1,0),AM44))</f>
        <v>9999</v>
      </c>
      <c r="AN45" s="37" t="n">
        <f aca="false">IF(AL45=0,9999,IF($H45=1,IF($AJ45&lt;1,AN44+1,0),AN44))</f>
        <v>9999</v>
      </c>
      <c r="AO45" s="37" t="n">
        <f aca="false">IF($A45-AM45&gt;0,1/(1+AM45),0)</f>
        <v>0</v>
      </c>
      <c r="AP45" s="37" t="n">
        <f aca="false">IF($A45-AN45&gt;0,1/(1+AN45),0)</f>
        <v>0</v>
      </c>
      <c r="AQ45" s="7" t="n">
        <f aca="false">IF(AK45=0,0,MAX(MIN(1,AO45^Power),0))</f>
        <v>0</v>
      </c>
      <c r="AR45" s="7" t="n">
        <f aca="false">IF(AL45=0,0,MAX(MIN(1,AP45^Power),0))</f>
        <v>0</v>
      </c>
      <c r="AS45" s="7" t="n">
        <f aca="false">IF($AJ45=1,IF($H45=0,K45,AS44),AS44)</f>
        <v>0</v>
      </c>
      <c r="AT45" s="7" t="n">
        <f aca="false">IF($AJ45=1,IF($H45=1,N45,AT44),AT44)</f>
        <v>0</v>
      </c>
    </row>
    <row r="46" customFormat="false" ht="13" hidden="false" customHeight="false" outlineLevel="0" collapsed="false">
      <c r="A46" s="16" t="n">
        <v>29</v>
      </c>
      <c r="B46" s="37" t="n">
        <f aca="true">IF(RAND()&lt;$D$8,1,0)</f>
        <v>1</v>
      </c>
      <c r="C46" s="20" t="n">
        <f aca="true">-LN(RAND())/$D$2</f>
        <v>0.354138577442014</v>
      </c>
      <c r="D46" s="38" t="n">
        <f aca="false">D45+C46</f>
        <v>32.3330297582112</v>
      </c>
      <c r="E46" s="39" t="n">
        <f aca="false">MAX($E$3,AS45)</f>
        <v>0</v>
      </c>
      <c r="F46" s="39" t="n">
        <f aca="false">MAX($E$3,AT45)</f>
        <v>0</v>
      </c>
      <c r="G46" s="40" t="n">
        <v>0.5</v>
      </c>
      <c r="H46" s="38" t="n">
        <f aca="true">IF((B46=1),(IF((F46&lt;E46),1,(IF((F46=E46),(IF(RAND()&lt;G46,1,0)),0)))),(IF((RAND()&lt;G46),1,0)))</f>
        <v>0</v>
      </c>
      <c r="I46" s="38" t="n">
        <f aca="true">IF((H46=1),0,$D$3+$D$5*(RAND()-0.5))</f>
        <v>2.16169044661707</v>
      </c>
      <c r="J46" s="38" t="n">
        <f aca="false">I46+MAX(D46,J45)</f>
        <v>41.9436862685305</v>
      </c>
      <c r="K46" s="38" t="n">
        <f aca="false">IF((H46=0),J46-D46,0)</f>
        <v>9.6106565103193</v>
      </c>
      <c r="L46" s="38" t="n">
        <f aca="true">IF(($H46=0),0,$D$4+$D$5*(RAND()-0.5))</f>
        <v>0</v>
      </c>
      <c r="M46" s="38" t="n">
        <f aca="false">L46+MAX(D46,M45)</f>
        <v>32.6317990639366</v>
      </c>
      <c r="N46" s="38" t="n">
        <f aca="false">IF((H46=1),M46-D46,0)</f>
        <v>0</v>
      </c>
      <c r="O46" s="16" t="n">
        <v>29</v>
      </c>
      <c r="P46" s="41" t="n">
        <f aca="false">IF((Arterial=0),P45+1,P45)</f>
        <v>18</v>
      </c>
      <c r="Q46" s="41" t="n">
        <f aca="false">IF((Arterial=1),Q45+1,Q45)</f>
        <v>11</v>
      </c>
      <c r="R46" s="42" t="e">
        <f aca="false">IF((RESET=1),0,R46+K46)</f>
        <v>#N/A</v>
      </c>
      <c r="S46" s="14" t="n">
        <f aca="false">IF(RESET=1,0,S46+N46)</f>
        <v>226.795853951692</v>
      </c>
      <c r="T46" s="2" t="e">
        <f aca="false">IF(RESET=1,0,T46+IF(H46=0,1,0))</f>
        <v>#N/A</v>
      </c>
      <c r="U46" s="2" t="n">
        <f aca="false">IF(RESET=1,0,U46+H46)</f>
        <v>38</v>
      </c>
      <c r="V46" s="14" t="e">
        <f aca="false">R46/(T46+0.00001)</f>
        <v>#N/A</v>
      </c>
      <c r="W46" s="14" t="n">
        <f aca="false">S46/(U46+0.0001)</f>
        <v>5.96829624005441</v>
      </c>
      <c r="X46" s="39" t="n">
        <f aca="false">IF(Informed=1,K46,0)</f>
        <v>9.6106565103193</v>
      </c>
      <c r="Y46" s="39" t="n">
        <f aca="false">IF(Informed=0,K46,0)</f>
        <v>0</v>
      </c>
      <c r="Z46" s="39" t="n">
        <f aca="false">IF(Informed=1,N46,0)</f>
        <v>0</v>
      </c>
      <c r="AA46" s="39" t="n">
        <f aca="false">IF(Informed=0,N46,0)</f>
        <v>0</v>
      </c>
      <c r="AB46" s="43" t="n">
        <f aca="false">IF(Arterial=0,IF(Informed=1,1,0),0)</f>
        <v>1</v>
      </c>
      <c r="AC46" s="43" t="n">
        <f aca="false">IF(Arterial=0,IF(Informed=0,1,0),0)</f>
        <v>0</v>
      </c>
      <c r="AD46" s="43" t="n">
        <f aca="false">IF(Arterial=1,IF(Informed=1,1,0),0)</f>
        <v>0</v>
      </c>
      <c r="AE46" s="43" t="n">
        <f aca="false">IF(Arterial=1,IF(Informed=0,1,0),0)</f>
        <v>0</v>
      </c>
      <c r="AF46" s="35" t="n">
        <f aca="false">IF(AB46=1,(X46-G$1030)^2,0)</f>
        <v>1.207848766219</v>
      </c>
      <c r="AG46" s="35" t="n">
        <f aca="false">IF(AC46=1,(Y46-H$1030)^2,0)</f>
        <v>0</v>
      </c>
      <c r="AH46" s="35" t="n">
        <f aca="false">IF(AD46=1,(Z46-I$1030)^2,0)</f>
        <v>0</v>
      </c>
      <c r="AI46" s="35" t="n">
        <f aca="false">IF(AE46=1,(AA46-J$1030)^2,0)</f>
        <v>0</v>
      </c>
      <c r="AJ46" s="37" t="n">
        <f aca="true">IF(RAND()&lt;$D$6,1,0)</f>
        <v>0</v>
      </c>
      <c r="AK46" s="14" t="n">
        <f aca="false">AK45+IF((AJ46=1),IF((H46=0),1,0),0)</f>
        <v>0</v>
      </c>
      <c r="AL46" s="14" t="n">
        <f aca="false">AL45+IF((AJ46=1),IF((H46=1),1,0),0)</f>
        <v>0</v>
      </c>
      <c r="AM46" s="37" t="n">
        <f aca="false">IF(AK46=0,9999,IF($H46=0,IF($AJ46&lt;1,AM45+1,0),AM45))</f>
        <v>9999</v>
      </c>
      <c r="AN46" s="37" t="n">
        <f aca="false">IF(AL46=0,9999,IF($H46=1,IF($AJ46&lt;1,AN45+1,0),AN45))</f>
        <v>9999</v>
      </c>
      <c r="AO46" s="37" t="n">
        <f aca="false">IF($A46-AM46&gt;0,1/(1+AM46),0)</f>
        <v>0</v>
      </c>
      <c r="AP46" s="37" t="n">
        <f aca="false">IF($A46-AN46&gt;0,1/(1+AN46),0)</f>
        <v>0</v>
      </c>
      <c r="AQ46" s="7" t="n">
        <f aca="false">IF(AK46=0,0,MAX(MIN(1,AO46^Power),0))</f>
        <v>0</v>
      </c>
      <c r="AR46" s="7" t="n">
        <f aca="false">IF(AL46=0,0,MAX(MIN(1,AP46^Power),0))</f>
        <v>0</v>
      </c>
      <c r="AS46" s="7" t="n">
        <f aca="false">IF($AJ46=1,IF($H46=0,K46,AS45),AS45)</f>
        <v>0</v>
      </c>
      <c r="AT46" s="7" t="n">
        <f aca="false">IF($AJ46=1,IF($H46=1,N46,AT45),AT45)</f>
        <v>0</v>
      </c>
    </row>
    <row r="47" customFormat="false" ht="13" hidden="false" customHeight="false" outlineLevel="0" collapsed="false">
      <c r="A47" s="16" t="n">
        <v>30</v>
      </c>
      <c r="B47" s="37" t="n">
        <f aca="true">IF(RAND()&lt;$D$8,1,0)</f>
        <v>1</v>
      </c>
      <c r="C47" s="20" t="n">
        <f aca="true">-LN(RAND())/$D$2</f>
        <v>1.51022436892748</v>
      </c>
      <c r="D47" s="38" t="n">
        <f aca="false">D46+C47</f>
        <v>33.8432541271387</v>
      </c>
      <c r="E47" s="39" t="n">
        <f aca="false">MAX($E$3,AS46)</f>
        <v>0</v>
      </c>
      <c r="F47" s="39" t="n">
        <f aca="false">MAX($E$3,AT46)</f>
        <v>0</v>
      </c>
      <c r="G47" s="40" t="n">
        <v>0.5</v>
      </c>
      <c r="H47" s="38" t="n">
        <f aca="true">IF((B47=1),(IF((F47&lt;E47),1,(IF((F47=E47),(IF(RAND()&lt;G47,1,0)),0)))),(IF((RAND()&lt;G47),1,0)))</f>
        <v>1</v>
      </c>
      <c r="I47" s="38" t="n">
        <f aca="true">IF((H47=1),0,$D$3+$D$5*(RAND()-0.5))</f>
        <v>0</v>
      </c>
      <c r="J47" s="38" t="n">
        <f aca="false">I47+MAX(D47,J46)</f>
        <v>41.9436862685305</v>
      </c>
      <c r="K47" s="38" t="n">
        <f aca="false">IF((H47=0),J47-D47,0)</f>
        <v>0</v>
      </c>
      <c r="L47" s="38" t="n">
        <f aca="true">IF(($H47=0),0,$D$4+$D$5*(RAND()-0.5))</f>
        <v>2.11118803645524</v>
      </c>
      <c r="M47" s="38" t="n">
        <f aca="false">L47+MAX(D47,M46)</f>
        <v>35.9544421635939</v>
      </c>
      <c r="N47" s="38" t="n">
        <f aca="false">IF((H47=1),M47-D47,0)</f>
        <v>2.11118803645524</v>
      </c>
      <c r="O47" s="16" t="n">
        <v>30</v>
      </c>
      <c r="P47" s="41" t="n">
        <f aca="false">IF((Arterial=0),P46+1,P46)</f>
        <v>18</v>
      </c>
      <c r="Q47" s="41" t="n">
        <f aca="false">IF((Arterial=1),Q46+1,Q46)</f>
        <v>12</v>
      </c>
      <c r="R47" s="42" t="n">
        <f aca="false">IF((RESET=1),0,R47+K47)</f>
        <v>234.202164894568</v>
      </c>
      <c r="S47" s="14" t="e">
        <f aca="false">IF(RESET=1,0,S47+N47)</f>
        <v>#N/A</v>
      </c>
      <c r="T47" s="2" t="n">
        <f aca="false">IF(RESET=1,0,T47+IF(H47=0,1,0))</f>
        <v>40</v>
      </c>
      <c r="U47" s="2" t="e">
        <f aca="false">IF(RESET=1,0,U47+H47)</f>
        <v>#N/A</v>
      </c>
      <c r="V47" s="14" t="n">
        <f aca="false">R47/(T47+0.00001)</f>
        <v>5.85505265860103</v>
      </c>
      <c r="W47" s="14" t="e">
        <f aca="false">S47/(U47+0.0001)</f>
        <v>#N/A</v>
      </c>
      <c r="X47" s="39" t="n">
        <f aca="false">IF(Informed=1,K47,0)</f>
        <v>0</v>
      </c>
      <c r="Y47" s="39" t="n">
        <f aca="false">IF(Informed=0,K47,0)</f>
        <v>0</v>
      </c>
      <c r="Z47" s="39" t="n">
        <f aca="false">IF(Informed=1,N47,0)</f>
        <v>2.11118803645524</v>
      </c>
      <c r="AA47" s="39" t="n">
        <f aca="false">IF(Informed=0,N47,0)</f>
        <v>0</v>
      </c>
      <c r="AB47" s="43" t="n">
        <f aca="false">IF(Arterial=0,IF(Informed=1,1,0),0)</f>
        <v>0</v>
      </c>
      <c r="AC47" s="43" t="n">
        <f aca="false">IF(Arterial=0,IF(Informed=0,1,0),0)</f>
        <v>0</v>
      </c>
      <c r="AD47" s="43" t="n">
        <f aca="false">IF(Arterial=1,IF(Informed=1,1,0),0)</f>
        <v>1</v>
      </c>
      <c r="AE47" s="43" t="n">
        <f aca="false">IF(Arterial=1,IF(Informed=0,1,0),0)</f>
        <v>0</v>
      </c>
      <c r="AF47" s="35" t="n">
        <f aca="false">IF(AB47=1,(X47-G$1030)^2,0)</f>
        <v>0</v>
      </c>
      <c r="AG47" s="35" t="n">
        <f aca="false">IF(AC47=1,(Y47-H$1030)^2,0)</f>
        <v>0</v>
      </c>
      <c r="AH47" s="35" t="n">
        <f aca="false">IF(AD47=1,(Z47-I$1030)^2,0)</f>
        <v>689.779140964963</v>
      </c>
      <c r="AI47" s="35" t="n">
        <f aca="false">IF(AE47=1,(AA47-J$1030)^2,0)</f>
        <v>0</v>
      </c>
      <c r="AJ47" s="37" t="n">
        <f aca="true">IF(RAND()&lt;$D$6,1,0)</f>
        <v>0</v>
      </c>
      <c r="AK47" s="14" t="n">
        <f aca="false">AK46+IF((AJ47=1),IF((H47=0),1,0),0)</f>
        <v>0</v>
      </c>
      <c r="AL47" s="14" t="n">
        <f aca="false">AL46+IF((AJ47=1),IF((H47=1),1,0),0)</f>
        <v>0</v>
      </c>
      <c r="AM47" s="37" t="n">
        <f aca="false">IF(AK47=0,9999,IF($H47=0,IF($AJ47&lt;1,AM46+1,0),AM46))</f>
        <v>9999</v>
      </c>
      <c r="AN47" s="37" t="n">
        <f aca="false">IF(AL47=0,9999,IF($H47=1,IF($AJ47&lt;1,AN46+1,0),AN46))</f>
        <v>9999</v>
      </c>
      <c r="AO47" s="37" t="n">
        <f aca="false">IF($A47-AM47&gt;0,1/(1+AM47),0)</f>
        <v>0</v>
      </c>
      <c r="AP47" s="37" t="n">
        <f aca="false">IF($A47-AN47&gt;0,1/(1+AN47),0)</f>
        <v>0</v>
      </c>
      <c r="AQ47" s="7" t="n">
        <f aca="false">IF(AK47=0,0,MAX(MIN(1,AO47^Power),0))</f>
        <v>0</v>
      </c>
      <c r="AR47" s="7" t="n">
        <f aca="false">IF(AL47=0,0,MAX(MIN(1,AP47^Power),0))</f>
        <v>0</v>
      </c>
      <c r="AS47" s="7" t="n">
        <f aca="false">IF($AJ47=1,IF($H47=0,K47,AS46),AS46)</f>
        <v>0</v>
      </c>
      <c r="AT47" s="7" t="n">
        <f aca="false">IF($AJ47=1,IF($H47=1,N47,AT46),AT46)</f>
        <v>0</v>
      </c>
    </row>
    <row r="48" customFormat="false" ht="13" hidden="false" customHeight="false" outlineLevel="0" collapsed="false">
      <c r="A48" s="16" t="n">
        <v>31</v>
      </c>
      <c r="B48" s="37" t="n">
        <f aca="true">IF(RAND()&lt;$D$8,1,0)</f>
        <v>1</v>
      </c>
      <c r="C48" s="20" t="n">
        <f aca="true">-LN(RAND())/$D$2</f>
        <v>0.660692700731614</v>
      </c>
      <c r="D48" s="38" t="n">
        <f aca="false">D47+C48</f>
        <v>34.5039468278703</v>
      </c>
      <c r="E48" s="39" t="n">
        <f aca="false">MAX($E$3,AS47)</f>
        <v>0</v>
      </c>
      <c r="F48" s="39" t="n">
        <f aca="false">MAX($E$3,AT47)</f>
        <v>0</v>
      </c>
      <c r="G48" s="40" t="n">
        <v>0.5</v>
      </c>
      <c r="H48" s="38" t="n">
        <f aca="true">IF((B48=1),(IF((F48&lt;E48),1,(IF((F48=E48),(IF(RAND()&lt;G48,1,0)),0)))),(IF((RAND()&lt;G48),1,0)))</f>
        <v>0</v>
      </c>
      <c r="I48" s="38" t="n">
        <f aca="true">IF((H48=1),0,$D$3+$D$5*(RAND()-0.5))</f>
        <v>2.20246979950996</v>
      </c>
      <c r="J48" s="38" t="n">
        <f aca="false">I48+MAX(D48,J47)</f>
        <v>44.1461560680404</v>
      </c>
      <c r="K48" s="38" t="n">
        <f aca="false">IF((H48=0),J48-D48,0)</f>
        <v>9.64220924017016</v>
      </c>
      <c r="L48" s="38" t="n">
        <f aca="true">IF(($H48=0),0,$D$4+$D$5*(RAND()-0.5))</f>
        <v>0</v>
      </c>
      <c r="M48" s="38" t="n">
        <f aca="false">L48+MAX(D48,M47)</f>
        <v>35.9544421635939</v>
      </c>
      <c r="N48" s="38" t="n">
        <f aca="false">IF((H48=1),M48-D48,0)</f>
        <v>0</v>
      </c>
      <c r="O48" s="16" t="n">
        <v>31</v>
      </c>
      <c r="P48" s="41" t="n">
        <f aca="false">IF((Arterial=0),P47+1,P47)</f>
        <v>19</v>
      </c>
      <c r="Q48" s="41" t="n">
        <f aca="false">IF((Arterial=1),Q47+1,Q47)</f>
        <v>12</v>
      </c>
      <c r="R48" s="42" t="e">
        <f aca="false">IF((RESET=1),0,R48+K48)</f>
        <v>#N/A</v>
      </c>
      <c r="S48" s="14" t="n">
        <f aca="false">IF(RESET=1,0,S48+N48)</f>
        <v>252.377577044225</v>
      </c>
      <c r="T48" s="2" t="e">
        <f aca="false">IF(RESET=1,0,T48+IF(H48=0,1,0))</f>
        <v>#N/A</v>
      </c>
      <c r="U48" s="2" t="n">
        <f aca="false">IF(RESET=1,0,U48+H48)</f>
        <v>44</v>
      </c>
      <c r="V48" s="14" t="e">
        <f aca="false">R48/(T48+0.00001)</f>
        <v>#N/A</v>
      </c>
      <c r="W48" s="14" t="n">
        <f aca="false">S48/(U48+0.0001)</f>
        <v>5.73584098773015</v>
      </c>
      <c r="X48" s="39" t="n">
        <f aca="false">IF(Informed=1,K48,0)</f>
        <v>9.64220924017016</v>
      </c>
      <c r="Y48" s="39" t="n">
        <f aca="false">IF(Informed=0,K48,0)</f>
        <v>0</v>
      </c>
      <c r="Z48" s="39" t="n">
        <f aca="false">IF(Informed=1,N48,0)</f>
        <v>0</v>
      </c>
      <c r="AA48" s="39" t="n">
        <f aca="false">IF(Informed=0,N48,0)</f>
        <v>0</v>
      </c>
      <c r="AB48" s="43" t="n">
        <f aca="false">IF(Arterial=0,IF(Informed=1,1,0),0)</f>
        <v>1</v>
      </c>
      <c r="AC48" s="43" t="n">
        <f aca="false">IF(Arterial=0,IF(Informed=0,1,0),0)</f>
        <v>0</v>
      </c>
      <c r="AD48" s="43" t="n">
        <f aca="false">IF(Arterial=1,IF(Informed=1,1,0),0)</f>
        <v>0</v>
      </c>
      <c r="AE48" s="43" t="n">
        <f aca="false">IF(Arterial=1,IF(Informed=0,1,0),0)</f>
        <v>0</v>
      </c>
      <c r="AF48" s="35" t="n">
        <f aca="false">IF(AB48=1,(X48-G$1030)^2,0)</f>
        <v>1.13949006939414</v>
      </c>
      <c r="AG48" s="35" t="n">
        <f aca="false">IF(AC48=1,(Y48-H$1030)^2,0)</f>
        <v>0</v>
      </c>
      <c r="AH48" s="35" t="n">
        <f aca="false">IF(AD48=1,(Z48-I$1030)^2,0)</f>
        <v>0</v>
      </c>
      <c r="AI48" s="35" t="n">
        <f aca="false">IF(AE48=1,(AA48-J$1030)^2,0)</f>
        <v>0</v>
      </c>
      <c r="AJ48" s="37" t="n">
        <f aca="true">IF(RAND()&lt;$D$6,1,0)</f>
        <v>0</v>
      </c>
      <c r="AK48" s="14" t="n">
        <f aca="false">AK47+IF((AJ48=1),IF((H48=0),1,0),0)</f>
        <v>0</v>
      </c>
      <c r="AL48" s="14" t="n">
        <f aca="false">AL47+IF((AJ48=1),IF((H48=1),1,0),0)</f>
        <v>0</v>
      </c>
      <c r="AM48" s="37" t="n">
        <f aca="false">IF(AK48=0,9999,IF($H48=0,IF($AJ48&lt;1,AM47+1,0),AM47))</f>
        <v>9999</v>
      </c>
      <c r="AN48" s="37" t="n">
        <f aca="false">IF(AL48=0,9999,IF($H48=1,IF($AJ48&lt;1,AN47+1,0),AN47))</f>
        <v>9999</v>
      </c>
      <c r="AO48" s="37" t="n">
        <f aca="false">IF($A48-AM48&gt;0,1/(1+AM48),0)</f>
        <v>0</v>
      </c>
      <c r="AP48" s="37" t="n">
        <f aca="false">IF($A48-AN48&gt;0,1/(1+AN48),0)</f>
        <v>0</v>
      </c>
      <c r="AQ48" s="7" t="n">
        <f aca="false">IF(AK48=0,0,MAX(MIN(1,AO48^Power),0))</f>
        <v>0</v>
      </c>
      <c r="AR48" s="7" t="n">
        <f aca="false">IF(AL48=0,0,MAX(MIN(1,AP48^Power),0))</f>
        <v>0</v>
      </c>
      <c r="AS48" s="7" t="n">
        <f aca="false">IF($AJ48=1,IF($H48=0,K48,AS47),AS47)</f>
        <v>0</v>
      </c>
      <c r="AT48" s="7" t="n">
        <f aca="false">IF($AJ48=1,IF($H48=1,N48,AT47),AT47)</f>
        <v>0</v>
      </c>
    </row>
    <row r="49" customFormat="false" ht="13" hidden="false" customHeight="false" outlineLevel="0" collapsed="false">
      <c r="A49" s="16" t="n">
        <v>32</v>
      </c>
      <c r="B49" s="37" t="n">
        <f aca="true">IF(RAND()&lt;$D$8,1,0)</f>
        <v>1</v>
      </c>
      <c r="C49" s="20" t="n">
        <f aca="true">-LN(RAND())/$D$2</f>
        <v>2.8362779987307</v>
      </c>
      <c r="D49" s="38" t="n">
        <f aca="false">D48+C49</f>
        <v>37.340224826601</v>
      </c>
      <c r="E49" s="39" t="n">
        <f aca="false">MAX($E$3,AS48)</f>
        <v>0</v>
      </c>
      <c r="F49" s="39" t="n">
        <f aca="false">MAX($E$3,AT48)</f>
        <v>0</v>
      </c>
      <c r="G49" s="40" t="n">
        <v>0.5</v>
      </c>
      <c r="H49" s="38" t="n">
        <f aca="true">IF((B49=1),(IF((F49&lt;E49),1,(IF((F49=E49),(IF(RAND()&lt;G49,1,0)),0)))),(IF((RAND()&lt;G49),1,0)))</f>
        <v>1</v>
      </c>
      <c r="I49" s="38" t="n">
        <f aca="true">IF((H49=1),0,$D$3+$D$5*(RAND()-0.5))</f>
        <v>0</v>
      </c>
      <c r="J49" s="38" t="n">
        <f aca="false">I49+MAX(D49,J48)</f>
        <v>44.1461560680404</v>
      </c>
      <c r="K49" s="38" t="n">
        <f aca="false">IF((H49=0),J49-D49,0)</f>
        <v>0</v>
      </c>
      <c r="L49" s="38" t="n">
        <f aca="true">IF(($H49=0),0,$D$4+$D$5*(RAND()-0.5))</f>
        <v>1.79417189248434</v>
      </c>
      <c r="M49" s="38" t="n">
        <f aca="false">L49+MAX(D49,M48)</f>
        <v>39.1343967190853</v>
      </c>
      <c r="N49" s="38" t="n">
        <f aca="false">IF((H49=1),M49-D49,0)</f>
        <v>1.79417189248434</v>
      </c>
      <c r="O49" s="16" t="n">
        <v>32</v>
      </c>
      <c r="P49" s="41" t="n">
        <f aca="false">IF((Arterial=0),P48+1,P48)</f>
        <v>19</v>
      </c>
      <c r="Q49" s="41" t="n">
        <f aca="false">IF((Arterial=1),Q48+1,Q48)</f>
        <v>13</v>
      </c>
      <c r="R49" s="42" t="n">
        <f aca="false">IF((RESET=1),0,R49+K49)</f>
        <v>311.042524521184</v>
      </c>
      <c r="S49" s="14" t="e">
        <f aca="false">IF(RESET=1,0,S49+N49)</f>
        <v>#N/A</v>
      </c>
      <c r="T49" s="2" t="n">
        <f aca="false">IF(RESET=1,0,T49+IF(H49=0,1,0))</f>
        <v>52</v>
      </c>
      <c r="U49" s="2" t="e">
        <f aca="false">IF(RESET=1,0,U49+H49)</f>
        <v>#N/A</v>
      </c>
      <c r="V49" s="14" t="n">
        <f aca="false">R49/(T49+0.00001)</f>
        <v>5.98158585971779</v>
      </c>
      <c r="W49" s="14" t="e">
        <f aca="false">S49/(U49+0.0001)</f>
        <v>#N/A</v>
      </c>
      <c r="X49" s="39" t="n">
        <f aca="false">IF(Informed=1,K49,0)</f>
        <v>0</v>
      </c>
      <c r="Y49" s="39" t="n">
        <f aca="false">IF(Informed=0,K49,0)</f>
        <v>0</v>
      </c>
      <c r="Z49" s="39" t="n">
        <f aca="false">IF(Informed=1,N49,0)</f>
        <v>1.79417189248434</v>
      </c>
      <c r="AA49" s="39" t="n">
        <f aca="false">IF(Informed=0,N49,0)</f>
        <v>0</v>
      </c>
      <c r="AB49" s="43" t="n">
        <f aca="false">IF(Arterial=0,IF(Informed=1,1,0),0)</f>
        <v>0</v>
      </c>
      <c r="AC49" s="43" t="n">
        <f aca="false">IF(Arterial=0,IF(Informed=0,1,0),0)</f>
        <v>0</v>
      </c>
      <c r="AD49" s="43" t="n">
        <f aca="false">IF(Arterial=1,IF(Informed=1,1,0),0)</f>
        <v>1</v>
      </c>
      <c r="AE49" s="43" t="n">
        <f aca="false">IF(Arterial=1,IF(Informed=0,1,0),0)</f>
        <v>0</v>
      </c>
      <c r="AF49" s="35" t="n">
        <f aca="false">IF(AB49=1,(X49-G$1030)^2,0)</f>
        <v>0</v>
      </c>
      <c r="AG49" s="35" t="n">
        <f aca="false">IF(AC49=1,(Y49-H$1030)^2,0)</f>
        <v>0</v>
      </c>
      <c r="AH49" s="35" t="n">
        <f aca="false">IF(AD49=1,(Z49-I$1030)^2,0)</f>
        <v>706.531640243397</v>
      </c>
      <c r="AI49" s="35" t="n">
        <f aca="false">IF(AE49=1,(AA49-J$1030)^2,0)</f>
        <v>0</v>
      </c>
      <c r="AJ49" s="37" t="n">
        <f aca="true">IF(RAND()&lt;$D$6,1,0)</f>
        <v>0</v>
      </c>
      <c r="AK49" s="14" t="n">
        <f aca="false">AK48+IF((AJ49=1),IF((H49=0),1,0),0)</f>
        <v>0</v>
      </c>
      <c r="AL49" s="14" t="n">
        <f aca="false">AL48+IF((AJ49=1),IF((H49=1),1,0),0)</f>
        <v>0</v>
      </c>
      <c r="AM49" s="37" t="n">
        <f aca="false">IF(AK49=0,9999,IF($H49=0,IF($AJ49&lt;1,AM48+1,0),AM48))</f>
        <v>9999</v>
      </c>
      <c r="AN49" s="37" t="n">
        <f aca="false">IF(AL49=0,9999,IF($H49=1,IF($AJ49&lt;1,AN48+1,0),AN48))</f>
        <v>9999</v>
      </c>
      <c r="AO49" s="37" t="n">
        <f aca="false">IF($A49-AM49&gt;0,1/(1+AM49),0)</f>
        <v>0</v>
      </c>
      <c r="AP49" s="37" t="n">
        <f aca="false">IF($A49-AN49&gt;0,1/(1+AN49),0)</f>
        <v>0</v>
      </c>
      <c r="AQ49" s="7" t="n">
        <f aca="false">IF(AK49=0,0,MAX(MIN(1,AO49^Power),0))</f>
        <v>0</v>
      </c>
      <c r="AR49" s="7" t="n">
        <f aca="false">IF(AL49=0,0,MAX(MIN(1,AP49^Power),0))</f>
        <v>0</v>
      </c>
      <c r="AS49" s="7" t="n">
        <f aca="false">IF($AJ49=1,IF($H49=0,K49,AS48),AS48)</f>
        <v>0</v>
      </c>
      <c r="AT49" s="7" t="n">
        <f aca="false">IF($AJ49=1,IF($H49=1,N49,AT48),AT48)</f>
        <v>0</v>
      </c>
    </row>
    <row r="50" customFormat="false" ht="13" hidden="false" customHeight="false" outlineLevel="0" collapsed="false">
      <c r="A50" s="16" t="n">
        <v>33</v>
      </c>
      <c r="B50" s="37" t="n">
        <f aca="true">IF(RAND()&lt;$D$8,1,0)</f>
        <v>1</v>
      </c>
      <c r="C50" s="20" t="n">
        <f aca="true">-LN(RAND())/$D$2</f>
        <v>5.47647855899766</v>
      </c>
      <c r="D50" s="38" t="n">
        <f aca="false">D49+C50</f>
        <v>42.8167033855986</v>
      </c>
      <c r="E50" s="39" t="n">
        <f aca="false">MAX($E$3,AS49)</f>
        <v>0</v>
      </c>
      <c r="F50" s="39" t="n">
        <f aca="false">MAX($E$3,AT49)</f>
        <v>0</v>
      </c>
      <c r="G50" s="40" t="n">
        <v>0.5</v>
      </c>
      <c r="H50" s="38" t="n">
        <f aca="true">IF((B50=1),(IF((F50&lt;E50),1,(IF((F50=E50),(IF(RAND()&lt;G50,1,0)),0)))),(IF((RAND()&lt;G50),1,0)))</f>
        <v>0</v>
      </c>
      <c r="I50" s="38" t="n">
        <f aca="true">IF((H50=1),0,$D$3+$D$5*(RAND()-0.5))</f>
        <v>2.08510751967769</v>
      </c>
      <c r="J50" s="38" t="n">
        <f aca="false">I50+MAX(D50,J49)</f>
        <v>46.2312635877181</v>
      </c>
      <c r="K50" s="38" t="n">
        <f aca="false">IF((H50=0),J50-D50,0)</f>
        <v>3.41456020211948</v>
      </c>
      <c r="L50" s="38" t="n">
        <f aca="true">IF(($H50=0),0,$D$4+$D$5*(RAND()-0.5))</f>
        <v>0</v>
      </c>
      <c r="M50" s="38" t="n">
        <f aca="false">L50+MAX(D50,M49)</f>
        <v>42.8167033855986</v>
      </c>
      <c r="N50" s="38" t="n">
        <f aca="false">IF((H50=1),M50-D50,0)</f>
        <v>0</v>
      </c>
      <c r="O50" s="16" t="n">
        <v>33</v>
      </c>
      <c r="P50" s="41" t="n">
        <f aca="false">IF((Arterial=0),P49+1,P49)</f>
        <v>20</v>
      </c>
      <c r="Q50" s="41" t="n">
        <f aca="false">IF((Arterial=1),Q49+1,Q49)</f>
        <v>13</v>
      </c>
      <c r="R50" s="42" t="e">
        <f aca="false">IF((RESET=1),0,R50+K50)</f>
        <v>#N/A</v>
      </c>
      <c r="S50" s="14" t="n">
        <f aca="false">IF(RESET=1,0,S50+N50)</f>
        <v>278.198026399648</v>
      </c>
      <c r="T50" s="2" t="e">
        <f aca="false">IF(RESET=1,0,T50+IF(H50=0,1,0))</f>
        <v>#N/A</v>
      </c>
      <c r="U50" s="2" t="n">
        <f aca="false">IF(RESET=1,0,U50+H50)</f>
        <v>43</v>
      </c>
      <c r="V50" s="14" t="e">
        <f aca="false">R50/(T50+0.00001)</f>
        <v>#N/A</v>
      </c>
      <c r="W50" s="14" t="n">
        <f aca="false">S50/(U50+0.0001)</f>
        <v>6.46970649834879</v>
      </c>
      <c r="X50" s="39" t="n">
        <f aca="false">IF(Informed=1,K50,0)</f>
        <v>3.41456020211948</v>
      </c>
      <c r="Y50" s="39" t="n">
        <f aca="false">IF(Informed=0,K50,0)</f>
        <v>0</v>
      </c>
      <c r="Z50" s="39" t="n">
        <f aca="false">IF(Informed=1,N50,0)</f>
        <v>0</v>
      </c>
      <c r="AA50" s="39" t="n">
        <f aca="false">IF(Informed=0,N50,0)</f>
        <v>0</v>
      </c>
      <c r="AB50" s="43" t="n">
        <f aca="false">IF(Arterial=0,IF(Informed=1,1,0),0)</f>
        <v>1</v>
      </c>
      <c r="AC50" s="43" t="n">
        <f aca="false">IF(Arterial=0,IF(Informed=0,1,0),0)</f>
        <v>0</v>
      </c>
      <c r="AD50" s="43" t="n">
        <f aca="false">IF(Arterial=1,IF(Informed=1,1,0),0)</f>
        <v>0</v>
      </c>
      <c r="AE50" s="43" t="n">
        <f aca="false">IF(Arterial=1,IF(Informed=0,1,0),0)</f>
        <v>0</v>
      </c>
      <c r="AF50" s="35" t="n">
        <f aca="false">IF(AB50=1,(X50-G$1030)^2,0)</f>
        <v>53.2187472125546</v>
      </c>
      <c r="AG50" s="35" t="n">
        <f aca="false">IF(AC50=1,(Y50-H$1030)^2,0)</f>
        <v>0</v>
      </c>
      <c r="AH50" s="35" t="n">
        <f aca="false">IF(AD50=1,(Z50-I$1030)^2,0)</f>
        <v>0</v>
      </c>
      <c r="AI50" s="35" t="n">
        <f aca="false">IF(AE50=1,(AA50-J$1030)^2,0)</f>
        <v>0</v>
      </c>
      <c r="AJ50" s="37" t="n">
        <f aca="true">IF(RAND()&lt;$D$6,1,0)</f>
        <v>0</v>
      </c>
      <c r="AK50" s="14" t="n">
        <f aca="false">AK49+IF((AJ50=1),IF((H50=0),1,0),0)</f>
        <v>0</v>
      </c>
      <c r="AL50" s="14" t="n">
        <f aca="false">AL49+IF((AJ50=1),IF((H50=1),1,0),0)</f>
        <v>0</v>
      </c>
      <c r="AM50" s="37" t="n">
        <f aca="false">IF(AK50=0,9999,IF($H50=0,IF($AJ50&lt;1,AM49+1,0),AM49))</f>
        <v>9999</v>
      </c>
      <c r="AN50" s="37" t="n">
        <f aca="false">IF(AL50=0,9999,IF($H50=1,IF($AJ50&lt;1,AN49+1,0),AN49))</f>
        <v>9999</v>
      </c>
      <c r="AO50" s="37" t="n">
        <f aca="false">IF($A50-AM50&gt;0,1/(1+AM50),0)</f>
        <v>0</v>
      </c>
      <c r="AP50" s="37" t="n">
        <f aca="false">IF($A50-AN50&gt;0,1/(1+AN50),0)</f>
        <v>0</v>
      </c>
      <c r="AQ50" s="7" t="n">
        <f aca="false">IF(AK50=0,0,MAX(MIN(1,AO50^Power),0))</f>
        <v>0</v>
      </c>
      <c r="AR50" s="7" t="n">
        <f aca="false">IF(AL50=0,0,MAX(MIN(1,AP50^Power),0))</f>
        <v>0</v>
      </c>
      <c r="AS50" s="7" t="n">
        <f aca="false">IF($AJ50=1,IF($H50=0,K50,AS49),AS49)</f>
        <v>0</v>
      </c>
      <c r="AT50" s="7" t="n">
        <f aca="false">IF($AJ50=1,IF($H50=1,N50,AT49),AT49)</f>
        <v>0</v>
      </c>
    </row>
    <row r="51" customFormat="false" ht="13" hidden="false" customHeight="false" outlineLevel="0" collapsed="false">
      <c r="A51" s="16" t="n">
        <v>34</v>
      </c>
      <c r="B51" s="37" t="n">
        <f aca="true">IF(RAND()&lt;$D$8,1,0)</f>
        <v>1</v>
      </c>
      <c r="C51" s="20" t="n">
        <f aca="true">-LN(RAND())/$D$2</f>
        <v>0.547910214417387</v>
      </c>
      <c r="D51" s="38" t="n">
        <f aca="false">D50+C51</f>
        <v>43.364613600016</v>
      </c>
      <c r="E51" s="39" t="n">
        <f aca="false">MAX($E$3,AS50)</f>
        <v>0</v>
      </c>
      <c r="F51" s="39" t="n">
        <f aca="false">MAX($E$3,AT50)</f>
        <v>0</v>
      </c>
      <c r="G51" s="40" t="n">
        <v>0.5</v>
      </c>
      <c r="H51" s="38" t="n">
        <f aca="true">IF((B51=1),(IF((F51&lt;E51),1,(IF((F51=E51),(IF(RAND()&lt;G51,1,0)),0)))),(IF((RAND()&lt;G51),1,0)))</f>
        <v>1</v>
      </c>
      <c r="I51" s="38" t="n">
        <f aca="true">IF((H51=1),0,$D$3+$D$5*(RAND()-0.5))</f>
        <v>0</v>
      </c>
      <c r="J51" s="38" t="n">
        <f aca="false">I51+MAX(D51,J50)</f>
        <v>46.2312635877181</v>
      </c>
      <c r="K51" s="38" t="n">
        <f aca="false">IF((H51=0),J51-D51,0)</f>
        <v>0</v>
      </c>
      <c r="L51" s="38" t="n">
        <f aca="true">IF(($H51=0),0,$D$4+$D$5*(RAND()-0.5))</f>
        <v>2.03150957346615</v>
      </c>
      <c r="M51" s="38" t="n">
        <f aca="false">L51+MAX(D51,M50)</f>
        <v>45.3961231734822</v>
      </c>
      <c r="N51" s="38" t="n">
        <f aca="false">IF((H51=1),M51-D51,0)</f>
        <v>2.03150957346615</v>
      </c>
      <c r="O51" s="16" t="n">
        <v>34</v>
      </c>
      <c r="P51" s="41" t="n">
        <f aca="false">IF((Arterial=0),P50+1,P50)</f>
        <v>20</v>
      </c>
      <c r="Q51" s="41" t="n">
        <f aca="false">IF((Arterial=1),Q50+1,Q50)</f>
        <v>14</v>
      </c>
      <c r="R51" s="42" t="n">
        <f aca="false">IF((RESET=1),0,R51+K51)</f>
        <v>263.855971998764</v>
      </c>
      <c r="S51" s="14" t="e">
        <f aca="false">IF(RESET=1,0,S51+N51)</f>
        <v>#N/A</v>
      </c>
      <c r="T51" s="2" t="n">
        <f aca="false">IF(RESET=1,0,T51+IF(H51=0,1,0))</f>
        <v>36</v>
      </c>
      <c r="U51" s="2" t="e">
        <f aca="false">IF(RESET=1,0,U51+H51)</f>
        <v>#N/A</v>
      </c>
      <c r="V51" s="14" t="n">
        <f aca="false">R51/(T51+0.00001)</f>
        <v>7.32933051959607</v>
      </c>
      <c r="W51" s="14" t="e">
        <f aca="false">S51/(U51+0.0001)</f>
        <v>#N/A</v>
      </c>
      <c r="X51" s="39" t="n">
        <f aca="false">IF(Informed=1,K51,0)</f>
        <v>0</v>
      </c>
      <c r="Y51" s="39" t="n">
        <f aca="false">IF(Informed=0,K51,0)</f>
        <v>0</v>
      </c>
      <c r="Z51" s="39" t="n">
        <f aca="false">IF(Informed=1,N51,0)</f>
        <v>2.03150957346615</v>
      </c>
      <c r="AA51" s="39" t="n">
        <f aca="false">IF(Informed=0,N51,0)</f>
        <v>0</v>
      </c>
      <c r="AB51" s="43" t="n">
        <f aca="false">IF(Arterial=0,IF(Informed=1,1,0),0)</f>
        <v>0</v>
      </c>
      <c r="AC51" s="43" t="n">
        <f aca="false">IF(Arterial=0,IF(Informed=0,1,0),0)</f>
        <v>0</v>
      </c>
      <c r="AD51" s="43" t="n">
        <f aca="false">IF(Arterial=1,IF(Informed=1,1,0),0)</f>
        <v>1</v>
      </c>
      <c r="AE51" s="43" t="n">
        <f aca="false">IF(Arterial=1,IF(Informed=0,1,0),0)</f>
        <v>0</v>
      </c>
      <c r="AF51" s="35" t="n">
        <f aca="false">IF(AB51=1,(X51-G$1030)^2,0)</f>
        <v>0</v>
      </c>
      <c r="AG51" s="35" t="n">
        <f aca="false">IF(AC51=1,(Y51-H$1030)^2,0)</f>
        <v>0</v>
      </c>
      <c r="AH51" s="35" t="n">
        <f aca="false">IF(AD51=1,(Z51-I$1030)^2,0)</f>
        <v>693.970783634564</v>
      </c>
      <c r="AI51" s="35" t="n">
        <f aca="false">IF(AE51=1,(AA51-J$1030)^2,0)</f>
        <v>0</v>
      </c>
      <c r="AJ51" s="37" t="n">
        <f aca="true">IF(RAND()&lt;$D$6,1,0)</f>
        <v>0</v>
      </c>
      <c r="AK51" s="14" t="n">
        <f aca="false">AK50+IF((AJ51=1),IF((H51=0),1,0),0)</f>
        <v>0</v>
      </c>
      <c r="AL51" s="14" t="n">
        <f aca="false">AL50+IF((AJ51=1),IF((H51=1),1,0),0)</f>
        <v>0</v>
      </c>
      <c r="AM51" s="37" t="n">
        <f aca="false">IF(AK51=0,9999,IF($H51=0,IF($AJ51&lt;1,AM50+1,0),AM50))</f>
        <v>9999</v>
      </c>
      <c r="AN51" s="37" t="n">
        <f aca="false">IF(AL51=0,9999,IF($H51=1,IF($AJ51&lt;1,AN50+1,0),AN50))</f>
        <v>9999</v>
      </c>
      <c r="AO51" s="37" t="n">
        <f aca="false">IF($A51-AM51&gt;0,1/(1+AM51),0)</f>
        <v>0</v>
      </c>
      <c r="AP51" s="37" t="n">
        <f aca="false">IF($A51-AN51&gt;0,1/(1+AN51),0)</f>
        <v>0</v>
      </c>
      <c r="AQ51" s="7" t="n">
        <f aca="false">IF(AK51=0,0,MAX(MIN(1,AO51^Power),0))</f>
        <v>0</v>
      </c>
      <c r="AR51" s="7" t="n">
        <f aca="false">IF(AL51=0,0,MAX(MIN(1,AP51^Power),0))</f>
        <v>0</v>
      </c>
      <c r="AS51" s="7" t="n">
        <f aca="false">IF($AJ51=1,IF($H51=0,K51,AS50),AS50)</f>
        <v>0</v>
      </c>
      <c r="AT51" s="7" t="n">
        <f aca="false">IF($AJ51=1,IF($H51=1,N51,AT50),AT50)</f>
        <v>0</v>
      </c>
    </row>
    <row r="52" customFormat="false" ht="13" hidden="false" customHeight="false" outlineLevel="0" collapsed="false">
      <c r="A52" s="16" t="n">
        <v>35</v>
      </c>
      <c r="B52" s="37" t="n">
        <f aca="true">IF(RAND()&lt;$D$8,1,0)</f>
        <v>0</v>
      </c>
      <c r="C52" s="20" t="n">
        <f aca="true">-LN(RAND())/$D$2</f>
        <v>0.419952021036658</v>
      </c>
      <c r="D52" s="38" t="n">
        <f aca="false">D51+C52</f>
        <v>43.7845656210527</v>
      </c>
      <c r="E52" s="39" t="n">
        <f aca="false">MAX($E$3,AS51)</f>
        <v>0</v>
      </c>
      <c r="F52" s="39" t="n">
        <f aca="false">MAX($E$3,AT51)</f>
        <v>0</v>
      </c>
      <c r="G52" s="40" t="n">
        <v>0.5</v>
      </c>
      <c r="H52" s="38" t="n">
        <f aca="true">IF((B52=1),(IF((F52&lt;E52),1,(IF((F52=E52),(IF(RAND()&lt;G52,1,0)),0)))),(IF((RAND()&lt;G52),1,0)))</f>
        <v>0</v>
      </c>
      <c r="I52" s="38" t="n">
        <f aca="true">IF((H52=1),0,$D$3+$D$5*(RAND()-0.5))</f>
        <v>1.751489591347</v>
      </c>
      <c r="J52" s="38" t="n">
        <f aca="false">I52+MAX(D52,J51)</f>
        <v>47.9827531790651</v>
      </c>
      <c r="K52" s="38" t="n">
        <f aca="false">IF((H52=0),J52-D52,0)</f>
        <v>4.19818755801244</v>
      </c>
      <c r="L52" s="38" t="n">
        <f aca="true">IF(($H52=0),0,$D$4+$D$5*(RAND()-0.5))</f>
        <v>0</v>
      </c>
      <c r="M52" s="38" t="n">
        <f aca="false">L52+MAX(D52,M51)</f>
        <v>45.3961231734822</v>
      </c>
      <c r="N52" s="38" t="n">
        <f aca="false">IF((H52=1),M52-D52,0)</f>
        <v>0</v>
      </c>
      <c r="O52" s="16" t="n">
        <v>35</v>
      </c>
      <c r="P52" s="41" t="n">
        <f aca="false">IF((Arterial=0),P51+1,P51)</f>
        <v>21</v>
      </c>
      <c r="Q52" s="41" t="n">
        <f aca="false">IF((Arterial=1),Q51+1,Q51)</f>
        <v>14</v>
      </c>
      <c r="R52" s="42" t="e">
        <f aca="false">IF((RESET=1),0,R52+K52)</f>
        <v>#N/A</v>
      </c>
      <c r="S52" s="14" t="n">
        <f aca="false">IF(RESET=1,0,S52+N52)</f>
        <v>244.391850470409</v>
      </c>
      <c r="T52" s="2" t="e">
        <f aca="false">IF(RESET=1,0,T52+IF(H52=0,1,0))</f>
        <v>#N/A</v>
      </c>
      <c r="U52" s="2" t="n">
        <f aca="false">IF(RESET=1,0,U52+H52)</f>
        <v>38</v>
      </c>
      <c r="V52" s="14" t="e">
        <f aca="false">R52/(T52+0.00001)</f>
        <v>#N/A</v>
      </c>
      <c r="W52" s="14" t="n">
        <f aca="false">S52/(U52+0.0001)</f>
        <v>6.43134756146454</v>
      </c>
      <c r="X52" s="39" t="n">
        <f aca="false">IF(Informed=1,K52,0)</f>
        <v>0</v>
      </c>
      <c r="Y52" s="39" t="n">
        <f aca="false">IF(Informed=0,K52,0)</f>
        <v>4.19818755801244</v>
      </c>
      <c r="Z52" s="39" t="n">
        <f aca="false">IF(Informed=1,N52,0)</f>
        <v>0</v>
      </c>
      <c r="AA52" s="39" t="n">
        <f aca="false">IF(Informed=0,N52,0)</f>
        <v>0</v>
      </c>
      <c r="AB52" s="43" t="n">
        <f aca="false">IF(Arterial=0,IF(Informed=1,1,0),0)</f>
        <v>0</v>
      </c>
      <c r="AC52" s="43" t="n">
        <f aca="false">IF(Arterial=0,IF(Informed=0,1,0),0)</f>
        <v>1</v>
      </c>
      <c r="AD52" s="43" t="n">
        <f aca="false">IF(Arterial=1,IF(Informed=1,1,0),0)</f>
        <v>0</v>
      </c>
      <c r="AE52" s="43" t="n">
        <f aca="false">IF(Arterial=1,IF(Informed=0,1,0),0)</f>
        <v>0</v>
      </c>
      <c r="AF52" s="35" t="n">
        <f aca="false">IF(AB52=1,(X52-G$1030)^2,0)</f>
        <v>0</v>
      </c>
      <c r="AG52" s="35" t="n">
        <f aca="false">IF(AC52=1,(Y52-H$1030)^2,0)</f>
        <v>45.2336643241516</v>
      </c>
      <c r="AH52" s="35" t="n">
        <f aca="false">IF(AD52=1,(Z52-I$1030)^2,0)</f>
        <v>0</v>
      </c>
      <c r="AI52" s="35" t="n">
        <f aca="false">IF(AE52=1,(AA52-J$1030)^2,0)</f>
        <v>0</v>
      </c>
      <c r="AJ52" s="37" t="n">
        <f aca="true">IF(RAND()&lt;$D$6,1,0)</f>
        <v>0</v>
      </c>
      <c r="AK52" s="14" t="n">
        <f aca="false">AK51+IF((AJ52=1),IF((H52=0),1,0),0)</f>
        <v>0</v>
      </c>
      <c r="AL52" s="14" t="n">
        <f aca="false">AL51+IF((AJ52=1),IF((H52=1),1,0),0)</f>
        <v>0</v>
      </c>
      <c r="AM52" s="37" t="n">
        <f aca="false">IF(AK52=0,9999,IF($H52=0,IF($AJ52&lt;1,AM51+1,0),AM51))</f>
        <v>9999</v>
      </c>
      <c r="AN52" s="37" t="n">
        <f aca="false">IF(AL52=0,9999,IF($H52=1,IF($AJ52&lt;1,AN51+1,0),AN51))</f>
        <v>9999</v>
      </c>
      <c r="AO52" s="37" t="n">
        <f aca="false">IF($A52-AM52&gt;0,1/(1+AM52),0)</f>
        <v>0</v>
      </c>
      <c r="AP52" s="37" t="n">
        <f aca="false">IF($A52-AN52&gt;0,1/(1+AN52),0)</f>
        <v>0</v>
      </c>
      <c r="AQ52" s="7" t="n">
        <f aca="false">IF(AK52=0,0,MAX(MIN(1,AO52^Power),0))</f>
        <v>0</v>
      </c>
      <c r="AR52" s="7" t="n">
        <f aca="false">IF(AL52=0,0,MAX(MIN(1,AP52^Power),0))</f>
        <v>0</v>
      </c>
      <c r="AS52" s="7" t="n">
        <f aca="false">IF($AJ52=1,IF($H52=0,K52,AS51),AS51)</f>
        <v>0</v>
      </c>
      <c r="AT52" s="7" t="n">
        <f aca="false">IF($AJ52=1,IF($H52=1,N52,AT51),AT51)</f>
        <v>0</v>
      </c>
    </row>
    <row r="53" customFormat="false" ht="13" hidden="false" customHeight="false" outlineLevel="0" collapsed="false">
      <c r="A53" s="16" t="n">
        <v>36</v>
      </c>
      <c r="B53" s="37" t="n">
        <f aca="true">IF(RAND()&lt;$D$8,1,0)</f>
        <v>1</v>
      </c>
      <c r="C53" s="20" t="n">
        <f aca="true">-LN(RAND())/$D$2</f>
        <v>0.344607405070283</v>
      </c>
      <c r="D53" s="38" t="n">
        <f aca="false">D52+C53</f>
        <v>44.129173026123</v>
      </c>
      <c r="E53" s="39" t="n">
        <f aca="false">MAX($E$3,AS52)</f>
        <v>0</v>
      </c>
      <c r="F53" s="39" t="n">
        <f aca="false">MAX($E$3,AT52)</f>
        <v>0</v>
      </c>
      <c r="G53" s="40" t="n">
        <v>0.5</v>
      </c>
      <c r="H53" s="38" t="n">
        <f aca="true">IF((B53=1),(IF((F53&lt;E53),1,(IF((F53=E53),(IF(RAND()&lt;G53,1,0)),0)))),(IF((RAND()&lt;G53),1,0)))</f>
        <v>0</v>
      </c>
      <c r="I53" s="38" t="n">
        <f aca="true">IF((H53=1),0,$D$3+$D$5*(RAND()-0.5))</f>
        <v>2.12467030955872</v>
      </c>
      <c r="J53" s="38" t="n">
        <f aca="false">I53+MAX(D53,J52)</f>
        <v>50.1074234886239</v>
      </c>
      <c r="K53" s="38" t="n">
        <f aca="false">IF((H53=0),J53-D53,0)</f>
        <v>5.97825046250088</v>
      </c>
      <c r="L53" s="38" t="n">
        <f aca="true">IF(($H53=0),0,$D$4+$D$5*(RAND()-0.5))</f>
        <v>0</v>
      </c>
      <c r="M53" s="38" t="n">
        <f aca="false">L53+MAX(D53,M52)</f>
        <v>45.3961231734822</v>
      </c>
      <c r="N53" s="38" t="n">
        <f aca="false">IF((H53=1),M53-D53,0)</f>
        <v>0</v>
      </c>
      <c r="O53" s="16" t="n">
        <v>36</v>
      </c>
      <c r="P53" s="41" t="n">
        <f aca="false">IF((Arterial=0),P52+1,P52)</f>
        <v>22</v>
      </c>
      <c r="Q53" s="41" t="n">
        <f aca="false">IF((Arterial=1),Q52+1,Q52)</f>
        <v>14</v>
      </c>
      <c r="R53" s="42" t="e">
        <f aca="false">IF((RESET=1),0,R53+K53)</f>
        <v>#N/A</v>
      </c>
      <c r="S53" s="14" t="n">
        <f aca="false">IF(RESET=1,0,S53+N53)</f>
        <v>326.924558080763</v>
      </c>
      <c r="T53" s="2" t="e">
        <f aca="false">IF(RESET=1,0,T53+IF(H53=0,1,0))</f>
        <v>#N/A</v>
      </c>
      <c r="U53" s="2" t="n">
        <f aca="false">IF(RESET=1,0,U53+H53)</f>
        <v>46</v>
      </c>
      <c r="V53" s="14" t="e">
        <f aca="false">R53/(T53+0.00001)</f>
        <v>#N/A</v>
      </c>
      <c r="W53" s="14" t="n">
        <f aca="false">S53/(U53+0.0001)</f>
        <v>7.10704016036405</v>
      </c>
      <c r="X53" s="39" t="n">
        <f aca="false">IF(Informed=1,K53,0)</f>
        <v>5.97825046250088</v>
      </c>
      <c r="Y53" s="39" t="n">
        <f aca="false">IF(Informed=0,K53,0)</f>
        <v>0</v>
      </c>
      <c r="Z53" s="39" t="n">
        <f aca="false">IF(Informed=1,N53,0)</f>
        <v>0</v>
      </c>
      <c r="AA53" s="39" t="n">
        <f aca="false">IF(Informed=0,N53,0)</f>
        <v>0</v>
      </c>
      <c r="AB53" s="43" t="n">
        <f aca="false">IF(Arterial=0,IF(Informed=1,1,0),0)</f>
        <v>1</v>
      </c>
      <c r="AC53" s="43" t="n">
        <f aca="false">IF(Arterial=0,IF(Informed=0,1,0),0)</f>
        <v>0</v>
      </c>
      <c r="AD53" s="43" t="n">
        <f aca="false">IF(Arterial=1,IF(Informed=1,1,0),0)</f>
        <v>0</v>
      </c>
      <c r="AE53" s="43" t="n">
        <f aca="false">IF(Arterial=1,IF(Informed=0,1,0),0)</f>
        <v>0</v>
      </c>
      <c r="AF53" s="35" t="n">
        <f aca="false">IF(AB53=1,(X53-G$1030)^2,0)</f>
        <v>22.3864088305174</v>
      </c>
      <c r="AG53" s="35" t="n">
        <f aca="false">IF(AC53=1,(Y53-H$1030)^2,0)</f>
        <v>0</v>
      </c>
      <c r="AH53" s="35" t="n">
        <f aca="false">IF(AD53=1,(Z53-I$1030)^2,0)</f>
        <v>0</v>
      </c>
      <c r="AI53" s="35" t="n">
        <f aca="false">IF(AE53=1,(AA53-J$1030)^2,0)</f>
        <v>0</v>
      </c>
      <c r="AJ53" s="37" t="n">
        <f aca="true">IF(RAND()&lt;$D$6,1,0)</f>
        <v>0</v>
      </c>
      <c r="AK53" s="14" t="n">
        <f aca="false">AK52+IF((AJ53=1),IF((H53=0),1,0),0)</f>
        <v>0</v>
      </c>
      <c r="AL53" s="14" t="n">
        <f aca="false">AL52+IF((AJ53=1),IF((H53=1),1,0),0)</f>
        <v>0</v>
      </c>
      <c r="AM53" s="37" t="n">
        <f aca="false">IF(AK53=0,9999,IF($H53=0,IF($AJ53&lt;1,AM52+1,0),AM52))</f>
        <v>9999</v>
      </c>
      <c r="AN53" s="37" t="n">
        <f aca="false">IF(AL53=0,9999,IF($H53=1,IF($AJ53&lt;1,AN52+1,0),AN52))</f>
        <v>9999</v>
      </c>
      <c r="AO53" s="37" t="n">
        <f aca="false">IF($A53-AM53&gt;0,1/(1+AM53),0)</f>
        <v>0</v>
      </c>
      <c r="AP53" s="37" t="n">
        <f aca="false">IF($A53-AN53&gt;0,1/(1+AN53),0)</f>
        <v>0</v>
      </c>
      <c r="AQ53" s="7" t="n">
        <f aca="false">IF(AK53=0,0,MAX(MIN(1,AO53^Power),0))</f>
        <v>0</v>
      </c>
      <c r="AR53" s="7" t="n">
        <f aca="false">IF(AL53=0,0,MAX(MIN(1,AP53^Power),0))</f>
        <v>0</v>
      </c>
      <c r="AS53" s="7" t="n">
        <f aca="false">IF($AJ53=1,IF($H53=0,K53,AS52),AS52)</f>
        <v>0</v>
      </c>
      <c r="AT53" s="7" t="n">
        <f aca="false">IF($AJ53=1,IF($H53=1,N53,AT52),AT52)</f>
        <v>0</v>
      </c>
    </row>
    <row r="54" customFormat="false" ht="13" hidden="false" customHeight="false" outlineLevel="0" collapsed="false">
      <c r="A54" s="16" t="n">
        <v>37</v>
      </c>
      <c r="B54" s="37" t="n">
        <f aca="true">IF(RAND()&lt;$D$8,1,0)</f>
        <v>0</v>
      </c>
      <c r="C54" s="20" t="n">
        <f aca="true">-LN(RAND())/$D$2</f>
        <v>1.51633463152985</v>
      </c>
      <c r="D54" s="38" t="n">
        <f aca="false">D53+C54</f>
        <v>45.6455076576528</v>
      </c>
      <c r="E54" s="39" t="n">
        <f aca="false">MAX($E$3,AS53)</f>
        <v>0</v>
      </c>
      <c r="F54" s="39" t="n">
        <f aca="false">MAX($E$3,AT53)</f>
        <v>0</v>
      </c>
      <c r="G54" s="40" t="n">
        <v>0.5</v>
      </c>
      <c r="H54" s="38" t="n">
        <f aca="true">IF((B54=1),(IF((F54&lt;E54),1,(IF((F54=E54),(IF(RAND()&lt;G54,1,0)),0)))),(IF((RAND()&lt;G54),1,0)))</f>
        <v>0</v>
      </c>
      <c r="I54" s="38" t="n">
        <f aca="true">IF((H54=1),0,$D$3+$D$5*(RAND()-0.5))</f>
        <v>2.01076440679099</v>
      </c>
      <c r="J54" s="38" t="n">
        <f aca="false">I54+MAX(D54,J53)</f>
        <v>52.1181878954148</v>
      </c>
      <c r="K54" s="38" t="n">
        <f aca="false">IF((H54=0),J54-D54,0)</f>
        <v>6.47268023776201</v>
      </c>
      <c r="L54" s="38" t="n">
        <f aca="true">IF(($H54=0),0,$D$4+$D$5*(RAND()-0.5))</f>
        <v>0</v>
      </c>
      <c r="M54" s="38" t="n">
        <f aca="false">L54+MAX(D54,M53)</f>
        <v>45.6455076576528</v>
      </c>
      <c r="N54" s="38" t="n">
        <f aca="false">IF((H54=1),M54-D54,0)</f>
        <v>0</v>
      </c>
      <c r="O54" s="16" t="n">
        <v>37</v>
      </c>
      <c r="P54" s="41" t="n">
        <f aca="false">IF((Arterial=0),P53+1,P53)</f>
        <v>23</v>
      </c>
      <c r="Q54" s="41" t="n">
        <f aca="false">IF((Arterial=1),Q53+1,Q53)</f>
        <v>14</v>
      </c>
      <c r="R54" s="42" t="e">
        <f aca="false">IF((RESET=1),0,R54+K54)</f>
        <v>#N/A</v>
      </c>
      <c r="S54" s="14" t="n">
        <f aca="false">IF(RESET=1,0,S54+N54)</f>
        <v>324.941821226757</v>
      </c>
      <c r="T54" s="2" t="e">
        <f aca="false">IF(RESET=1,0,T54+IF(H54=0,1,0))</f>
        <v>#N/A</v>
      </c>
      <c r="U54" s="2" t="n">
        <f aca="false">IF(RESET=1,0,U54+H54)</f>
        <v>38</v>
      </c>
      <c r="V54" s="14" t="e">
        <f aca="false">R54/(T54+0.00001)</f>
        <v>#N/A</v>
      </c>
      <c r="W54" s="14" t="n">
        <f aca="false">S54/(U54+0.0001)</f>
        <v>8.55107805576187</v>
      </c>
      <c r="X54" s="39" t="n">
        <f aca="false">IF(Informed=1,K54,0)</f>
        <v>0</v>
      </c>
      <c r="Y54" s="39" t="n">
        <f aca="false">IF(Informed=0,K54,0)</f>
        <v>6.47268023776201</v>
      </c>
      <c r="Z54" s="39" t="n">
        <f aca="false">IF(Informed=1,N54,0)</f>
        <v>0</v>
      </c>
      <c r="AA54" s="39" t="n">
        <f aca="false">IF(Informed=0,N54,0)</f>
        <v>0</v>
      </c>
      <c r="AB54" s="43" t="n">
        <f aca="false">IF(Arterial=0,IF(Informed=1,1,0),0)</f>
        <v>0</v>
      </c>
      <c r="AC54" s="43" t="n">
        <f aca="false">IF(Arterial=0,IF(Informed=0,1,0),0)</f>
        <v>1</v>
      </c>
      <c r="AD54" s="43" t="n">
        <f aca="false">IF(Arterial=1,IF(Informed=1,1,0),0)</f>
        <v>0</v>
      </c>
      <c r="AE54" s="43" t="n">
        <f aca="false">IF(Arterial=1,IF(Informed=0,1,0),0)</f>
        <v>0</v>
      </c>
      <c r="AF54" s="35" t="n">
        <f aca="false">IF(AB54=1,(X54-G$1030)^2,0)</f>
        <v>0</v>
      </c>
      <c r="AG54" s="35" t="n">
        <f aca="false">IF(AC54=1,(Y54-H$1030)^2,0)</f>
        <v>19.8123358363787</v>
      </c>
      <c r="AH54" s="35" t="n">
        <f aca="false">IF(AD54=1,(Z54-I$1030)^2,0)</f>
        <v>0</v>
      </c>
      <c r="AI54" s="35" t="n">
        <f aca="false">IF(AE54=1,(AA54-J$1030)^2,0)</f>
        <v>0</v>
      </c>
      <c r="AJ54" s="37" t="n">
        <f aca="true">IF(RAND()&lt;$D$6,1,0)</f>
        <v>0</v>
      </c>
      <c r="AK54" s="14" t="n">
        <f aca="false">AK53+IF((AJ54=1),IF((H54=0),1,0),0)</f>
        <v>0</v>
      </c>
      <c r="AL54" s="14" t="n">
        <f aca="false">AL53+IF((AJ54=1),IF((H54=1),1,0),0)</f>
        <v>0</v>
      </c>
      <c r="AM54" s="37" t="n">
        <f aca="false">IF(AK54=0,9999,IF($H54=0,IF($AJ54&lt;1,AM53+1,0),AM53))</f>
        <v>9999</v>
      </c>
      <c r="AN54" s="37" t="n">
        <f aca="false">IF(AL54=0,9999,IF($H54=1,IF($AJ54&lt;1,AN53+1,0),AN53))</f>
        <v>9999</v>
      </c>
      <c r="AO54" s="37" t="n">
        <f aca="false">IF($A54-AM54&gt;0,1/(1+AM54),0)</f>
        <v>0</v>
      </c>
      <c r="AP54" s="37" t="n">
        <f aca="false">IF($A54-AN54&gt;0,1/(1+AN54),0)</f>
        <v>0</v>
      </c>
      <c r="AQ54" s="7" t="n">
        <f aca="false">IF(AK54=0,0,MAX(MIN(1,AO54^Power),0))</f>
        <v>0</v>
      </c>
      <c r="AR54" s="7" t="n">
        <f aca="false">IF(AL54=0,0,MAX(MIN(1,AP54^Power),0))</f>
        <v>0</v>
      </c>
      <c r="AS54" s="7" t="n">
        <f aca="false">IF($AJ54=1,IF($H54=0,K54,AS53),AS53)</f>
        <v>0</v>
      </c>
      <c r="AT54" s="7" t="n">
        <f aca="false">IF($AJ54=1,IF($H54=1,N54,AT53),AT53)</f>
        <v>0</v>
      </c>
    </row>
    <row r="55" customFormat="false" ht="13" hidden="false" customHeight="false" outlineLevel="0" collapsed="false">
      <c r="A55" s="16" t="n">
        <v>38</v>
      </c>
      <c r="B55" s="37" t="n">
        <f aca="true">IF(RAND()&lt;$D$8,1,0)</f>
        <v>0</v>
      </c>
      <c r="C55" s="20" t="n">
        <f aca="true">-LN(RAND())/$D$2</f>
        <v>3.4426095688236</v>
      </c>
      <c r="D55" s="38" t="n">
        <f aca="false">D54+C55</f>
        <v>49.0881172264764</v>
      </c>
      <c r="E55" s="39" t="n">
        <f aca="false">MAX($E$3,AS54)</f>
        <v>0</v>
      </c>
      <c r="F55" s="39" t="n">
        <f aca="false">MAX($E$3,AT54)</f>
        <v>0</v>
      </c>
      <c r="G55" s="40" t="n">
        <v>0.5</v>
      </c>
      <c r="H55" s="38" t="n">
        <f aca="true">IF((B55=1),(IF((F55&lt;E55),1,(IF((F55=E55),(IF(RAND()&lt;G55,1,0)),0)))),(IF((RAND()&lt;G55),1,0)))</f>
        <v>0</v>
      </c>
      <c r="I55" s="38" t="n">
        <f aca="true">IF((H55=1),0,$D$3+$D$5*(RAND()-0.5))</f>
        <v>2.20813220061053</v>
      </c>
      <c r="J55" s="38" t="n">
        <f aca="false">I55+MAX(D55,J54)</f>
        <v>54.3263200960254</v>
      </c>
      <c r="K55" s="38" t="n">
        <f aca="false">IF((H55=0),J55-D55,0)</f>
        <v>5.23820286954894</v>
      </c>
      <c r="L55" s="38" t="n">
        <f aca="true">IF(($H55=0),0,$D$4+$D$5*(RAND()-0.5))</f>
        <v>0</v>
      </c>
      <c r="M55" s="38" t="n">
        <f aca="false">L55+MAX(D55,M54)</f>
        <v>49.0881172264764</v>
      </c>
      <c r="N55" s="38" t="n">
        <f aca="false">IF((H55=1),M55-D55,0)</f>
        <v>0</v>
      </c>
      <c r="O55" s="16" t="n">
        <v>38</v>
      </c>
      <c r="P55" s="41" t="n">
        <f aca="false">IF((Arterial=0),P54+1,P54)</f>
        <v>24</v>
      </c>
      <c r="Q55" s="41" t="n">
        <f aca="false">IF((Arterial=1),Q54+1,Q54)</f>
        <v>14</v>
      </c>
      <c r="R55" s="42" t="e">
        <f aca="false">IF((RESET=1),0,R55+K55)</f>
        <v>#N/A</v>
      </c>
      <c r="S55" s="14" t="n">
        <f aca="false">IF(RESET=1,0,S55+N55)</f>
        <v>313.052887186881</v>
      </c>
      <c r="T55" s="2" t="e">
        <f aca="false">IF(RESET=1,0,T55+IF(H55=0,1,0))</f>
        <v>#N/A</v>
      </c>
      <c r="U55" s="2" t="n">
        <f aca="false">IF(RESET=1,0,U55+H55)</f>
        <v>41</v>
      </c>
      <c r="V55" s="14" t="e">
        <f aca="false">R55/(T55+0.00001)</f>
        <v>#N/A</v>
      </c>
      <c r="W55" s="14" t="n">
        <f aca="false">S55/(U55+0.0001)</f>
        <v>7.63541764988088</v>
      </c>
      <c r="X55" s="39" t="n">
        <f aca="false">IF(Informed=1,K55,0)</f>
        <v>0</v>
      </c>
      <c r="Y55" s="39" t="n">
        <f aca="false">IF(Informed=0,K55,0)</f>
        <v>5.23820286954894</v>
      </c>
      <c r="Z55" s="39" t="n">
        <f aca="false">IF(Informed=1,N55,0)</f>
        <v>0</v>
      </c>
      <c r="AA55" s="39" t="n">
        <f aca="false">IF(Informed=0,N55,0)</f>
        <v>0</v>
      </c>
      <c r="AB55" s="43" t="n">
        <f aca="false">IF(Arterial=0,IF(Informed=1,1,0),0)</f>
        <v>0</v>
      </c>
      <c r="AC55" s="43" t="n">
        <f aca="false">IF(Arterial=0,IF(Informed=0,1,0),0)</f>
        <v>1</v>
      </c>
      <c r="AD55" s="43" t="n">
        <f aca="false">IF(Arterial=1,IF(Informed=1,1,0),0)</f>
        <v>0</v>
      </c>
      <c r="AE55" s="43" t="n">
        <f aca="false">IF(Arterial=1,IF(Informed=0,1,0),0)</f>
        <v>0</v>
      </c>
      <c r="AF55" s="35" t="n">
        <f aca="false">IF(AB55=1,(X55-G$1030)^2,0)</f>
        <v>0</v>
      </c>
      <c r="AG55" s="35" t="n">
        <f aca="false">IF(AC55=1,(Y55-H$1030)^2,0)</f>
        <v>32.3258470130814</v>
      </c>
      <c r="AH55" s="35" t="n">
        <f aca="false">IF(AD55=1,(Z55-I$1030)^2,0)</f>
        <v>0</v>
      </c>
      <c r="AI55" s="35" t="n">
        <f aca="false">IF(AE55=1,(AA55-J$1030)^2,0)</f>
        <v>0</v>
      </c>
      <c r="AJ55" s="37" t="n">
        <f aca="true">IF(RAND()&lt;$D$6,1,0)</f>
        <v>0</v>
      </c>
      <c r="AK55" s="14" t="n">
        <f aca="false">AK54+IF((AJ55=1),IF((H55=0),1,0),0)</f>
        <v>0</v>
      </c>
      <c r="AL55" s="14" t="n">
        <f aca="false">AL54+IF((AJ55=1),IF((H55=1),1,0),0)</f>
        <v>0</v>
      </c>
      <c r="AM55" s="37" t="n">
        <f aca="false">IF(AK55=0,9999,IF($H55=0,IF($AJ55&lt;1,AM54+1,0),AM54))</f>
        <v>9999</v>
      </c>
      <c r="AN55" s="37" t="n">
        <f aca="false">IF(AL55=0,9999,IF($H55=1,IF($AJ55&lt;1,AN54+1,0),AN54))</f>
        <v>9999</v>
      </c>
      <c r="AO55" s="37" t="n">
        <f aca="false">IF($A55-AM55&gt;0,1/(1+AM55),0)</f>
        <v>0</v>
      </c>
      <c r="AP55" s="37" t="n">
        <f aca="false">IF($A55-AN55&gt;0,1/(1+AN55),0)</f>
        <v>0</v>
      </c>
      <c r="AQ55" s="7" t="n">
        <f aca="false">IF(AK55=0,0,MAX(MIN(1,AO55^Power),0))</f>
        <v>0</v>
      </c>
      <c r="AR55" s="7" t="n">
        <f aca="false">IF(AL55=0,0,MAX(MIN(1,AP55^Power),0))</f>
        <v>0</v>
      </c>
      <c r="AS55" s="7" t="n">
        <f aca="false">IF($AJ55=1,IF($H55=0,K55,AS54),AS54)</f>
        <v>0</v>
      </c>
      <c r="AT55" s="7" t="n">
        <f aca="false">IF($AJ55=1,IF($H55=1,N55,AT54),AT54)</f>
        <v>0</v>
      </c>
    </row>
    <row r="56" customFormat="false" ht="13" hidden="false" customHeight="false" outlineLevel="0" collapsed="false">
      <c r="A56" s="16" t="n">
        <v>39</v>
      </c>
      <c r="B56" s="37" t="n">
        <f aca="true">IF(RAND()&lt;$D$8,1,0)</f>
        <v>1</v>
      </c>
      <c r="C56" s="20" t="n">
        <f aca="true">-LN(RAND())/$D$2</f>
        <v>1.92674629927979</v>
      </c>
      <c r="D56" s="38" t="n">
        <f aca="false">D55+C56</f>
        <v>51.0148635257562</v>
      </c>
      <c r="E56" s="39" t="n">
        <f aca="false">MAX($E$3,AS55)</f>
        <v>0</v>
      </c>
      <c r="F56" s="39" t="n">
        <f aca="false">MAX($E$3,AT55)</f>
        <v>0</v>
      </c>
      <c r="G56" s="40" t="n">
        <v>0.5</v>
      </c>
      <c r="H56" s="38" t="n">
        <f aca="true">IF((B56=1),(IF((F56&lt;E56),1,(IF((F56=E56),(IF(RAND()&lt;G56,1,0)),0)))),(IF((RAND()&lt;G56),1,0)))</f>
        <v>0</v>
      </c>
      <c r="I56" s="38" t="n">
        <f aca="true">IF((H56=1),0,$D$3+$D$5*(RAND()-0.5))</f>
        <v>2.00243929072511</v>
      </c>
      <c r="J56" s="38" t="n">
        <f aca="false">I56+MAX(D56,J55)</f>
        <v>56.3287593867505</v>
      </c>
      <c r="K56" s="38" t="n">
        <f aca="false">IF((H56=0),J56-D56,0)</f>
        <v>5.31389586099427</v>
      </c>
      <c r="L56" s="38" t="n">
        <f aca="true">IF(($H56=0),0,$D$4+$D$5*(RAND()-0.5))</f>
        <v>0</v>
      </c>
      <c r="M56" s="38" t="n">
        <f aca="false">L56+MAX(D56,M55)</f>
        <v>51.0148635257562</v>
      </c>
      <c r="N56" s="38" t="n">
        <f aca="false">IF((H56=1),M56-D56,0)</f>
        <v>0</v>
      </c>
      <c r="O56" s="16" t="n">
        <v>39</v>
      </c>
      <c r="P56" s="41" t="n">
        <f aca="false">IF((Arterial=0),P55+1,P55)</f>
        <v>25</v>
      </c>
      <c r="Q56" s="41" t="n">
        <f aca="false">IF((Arterial=1),Q55+1,Q55)</f>
        <v>14</v>
      </c>
      <c r="R56" s="42" t="e">
        <f aca="false">IF((RESET=1),0,R56+K56)</f>
        <v>#N/A</v>
      </c>
      <c r="S56" s="14" t="n">
        <f aca="false">IF(RESET=1,0,S56+N56)</f>
        <v>301.629025575559</v>
      </c>
      <c r="T56" s="2" t="e">
        <f aca="false">IF(RESET=1,0,T56+IF(H56=0,1,0))</f>
        <v>#N/A</v>
      </c>
      <c r="U56" s="2" t="n">
        <f aca="false">IF(RESET=1,0,U56+H56)</f>
        <v>41</v>
      </c>
      <c r="V56" s="14" t="e">
        <f aca="false">R56/(T56+0.00001)</f>
        <v>#N/A</v>
      </c>
      <c r="W56" s="14" t="n">
        <f aca="false">S56/(U56+0.0001)</f>
        <v>7.3567875584586</v>
      </c>
      <c r="X56" s="39" t="n">
        <f aca="false">IF(Informed=1,K56,0)</f>
        <v>5.31389586099427</v>
      </c>
      <c r="Y56" s="39" t="n">
        <f aca="false">IF(Informed=0,K56,0)</f>
        <v>0</v>
      </c>
      <c r="Z56" s="39" t="n">
        <f aca="false">IF(Informed=1,N56,0)</f>
        <v>0</v>
      </c>
      <c r="AA56" s="39" t="n">
        <f aca="false">IF(Informed=0,N56,0)</f>
        <v>0</v>
      </c>
      <c r="AB56" s="43" t="n">
        <f aca="false">IF(Arterial=0,IF(Informed=1,1,0),0)</f>
        <v>1</v>
      </c>
      <c r="AC56" s="43" t="n">
        <f aca="false">IF(Arterial=0,IF(Informed=0,1,0),0)</f>
        <v>0</v>
      </c>
      <c r="AD56" s="43" t="n">
        <f aca="false">IF(Arterial=1,IF(Informed=1,1,0),0)</f>
        <v>0</v>
      </c>
      <c r="AE56" s="43" t="n">
        <f aca="false">IF(Arterial=1,IF(Informed=0,1,0),0)</f>
        <v>0</v>
      </c>
      <c r="AF56" s="35" t="n">
        <f aca="false">IF(AB56=1,(X56-G$1030)^2,0)</f>
        <v>29.1144675007787</v>
      </c>
      <c r="AG56" s="35" t="n">
        <f aca="false">IF(AC56=1,(Y56-H$1030)^2,0)</f>
        <v>0</v>
      </c>
      <c r="AH56" s="35" t="n">
        <f aca="false">IF(AD56=1,(Z56-I$1030)^2,0)</f>
        <v>0</v>
      </c>
      <c r="AI56" s="35" t="n">
        <f aca="false">IF(AE56=1,(AA56-J$1030)^2,0)</f>
        <v>0</v>
      </c>
      <c r="AJ56" s="37" t="n">
        <f aca="true">IF(RAND()&lt;$D$6,1,0)</f>
        <v>0</v>
      </c>
      <c r="AK56" s="14" t="n">
        <f aca="false">AK55+IF((AJ56=1),IF((H56=0),1,0),0)</f>
        <v>0</v>
      </c>
      <c r="AL56" s="14" t="n">
        <f aca="false">AL55+IF((AJ56=1),IF((H56=1),1,0),0)</f>
        <v>0</v>
      </c>
      <c r="AM56" s="37" t="n">
        <f aca="false">IF(AK56=0,9999,IF($H56=0,IF($AJ56&lt;1,AM55+1,0),AM55))</f>
        <v>9999</v>
      </c>
      <c r="AN56" s="37" t="n">
        <f aca="false">IF(AL56=0,9999,IF($H56=1,IF($AJ56&lt;1,AN55+1,0),AN55))</f>
        <v>9999</v>
      </c>
      <c r="AO56" s="37" t="n">
        <f aca="false">IF($A56-AM56&gt;0,1/(1+AM56),0)</f>
        <v>0</v>
      </c>
      <c r="AP56" s="37" t="n">
        <f aca="false">IF($A56-AN56&gt;0,1/(1+AN56),0)</f>
        <v>0</v>
      </c>
      <c r="AQ56" s="7" t="n">
        <f aca="false">IF(AK56=0,0,MAX(MIN(1,AO56^Power),0))</f>
        <v>0</v>
      </c>
      <c r="AR56" s="7" t="n">
        <f aca="false">IF(AL56=0,0,MAX(MIN(1,AP56^Power),0))</f>
        <v>0</v>
      </c>
      <c r="AS56" s="7" t="n">
        <f aca="false">IF($AJ56=1,IF($H56=0,K56,AS55),AS55)</f>
        <v>0</v>
      </c>
      <c r="AT56" s="7" t="n">
        <f aca="false">IF($AJ56=1,IF($H56=1,N56,AT55),AT55)</f>
        <v>0</v>
      </c>
    </row>
    <row r="57" customFormat="false" ht="13" hidden="false" customHeight="false" outlineLevel="0" collapsed="false">
      <c r="A57" s="16" t="n">
        <v>40</v>
      </c>
      <c r="B57" s="37" t="n">
        <f aca="true">IF(RAND()&lt;$D$8,1,0)</f>
        <v>1</v>
      </c>
      <c r="C57" s="20" t="n">
        <f aca="true">-LN(RAND())/$D$2</f>
        <v>0.00624986931153781</v>
      </c>
      <c r="D57" s="38" t="n">
        <f aca="false">D56+C57</f>
        <v>51.0211133950677</v>
      </c>
      <c r="E57" s="39" t="n">
        <f aca="false">MAX($E$3,AS56)</f>
        <v>0</v>
      </c>
      <c r="F57" s="39" t="n">
        <f aca="false">MAX($E$3,AT56)</f>
        <v>0</v>
      </c>
      <c r="G57" s="40" t="n">
        <v>0.5</v>
      </c>
      <c r="H57" s="38" t="n">
        <f aca="true">IF((B57=1),(IF((F57&lt;E57),1,(IF((F57=E57),(IF(RAND()&lt;G57,1,0)),0)))),(IF((RAND()&lt;G57),1,0)))</f>
        <v>1</v>
      </c>
      <c r="I57" s="38" t="n">
        <f aca="true">IF((H57=1),0,$D$3+$D$5*(RAND()-0.5))</f>
        <v>0</v>
      </c>
      <c r="J57" s="38" t="n">
        <f aca="false">I57+MAX(D57,J56)</f>
        <v>56.3287593867505</v>
      </c>
      <c r="K57" s="38" t="n">
        <f aca="false">IF((H57=0),J57-D57,0)</f>
        <v>0</v>
      </c>
      <c r="L57" s="38" t="n">
        <f aca="true">IF(($H57=0),0,$D$4+$D$5*(RAND()-0.5))</f>
        <v>2.23268549073978</v>
      </c>
      <c r="M57" s="38" t="n">
        <f aca="false">L57+MAX(D57,M56)</f>
        <v>53.2537988858075</v>
      </c>
      <c r="N57" s="38" t="n">
        <f aca="false">IF((H57=1),M57-D57,0)</f>
        <v>2.23268549073978</v>
      </c>
      <c r="O57" s="16" t="n">
        <v>40</v>
      </c>
      <c r="P57" s="41" t="n">
        <f aca="false">IF((Arterial=0),P56+1,P56)</f>
        <v>25</v>
      </c>
      <c r="Q57" s="41" t="n">
        <f aca="false">IF((Arterial=1),Q56+1,Q56)</f>
        <v>15</v>
      </c>
      <c r="R57" s="42" t="n">
        <f aca="false">IF((RESET=1),0,R57+K57)</f>
        <v>207.19752833581</v>
      </c>
      <c r="S57" s="14" t="e">
        <f aca="false">IF(RESET=1,0,S57+N57)</f>
        <v>#N/A</v>
      </c>
      <c r="T57" s="2" t="n">
        <f aca="false">IF(RESET=1,0,T57+IF(H57=0,1,0))</f>
        <v>35</v>
      </c>
      <c r="U57" s="2" t="e">
        <f aca="false">IF(RESET=1,0,U57+H57)</f>
        <v>#N/A</v>
      </c>
      <c r="V57" s="14" t="n">
        <f aca="false">R57/(T57+0.00001)</f>
        <v>5.91992768961522</v>
      </c>
      <c r="W57" s="14" t="e">
        <f aca="false">S57/(U57+0.0001)</f>
        <v>#N/A</v>
      </c>
      <c r="X57" s="39" t="n">
        <f aca="false">IF(Informed=1,K57,0)</f>
        <v>0</v>
      </c>
      <c r="Y57" s="39" t="n">
        <f aca="false">IF(Informed=0,K57,0)</f>
        <v>0</v>
      </c>
      <c r="Z57" s="39" t="n">
        <f aca="false">IF(Informed=1,N57,0)</f>
        <v>2.23268549073978</v>
      </c>
      <c r="AA57" s="39" t="n">
        <f aca="false">IF(Informed=0,N57,0)</f>
        <v>0</v>
      </c>
      <c r="AB57" s="43" t="n">
        <f aca="false">IF(Arterial=0,IF(Informed=1,1,0),0)</f>
        <v>0</v>
      </c>
      <c r="AC57" s="43" t="n">
        <f aca="false">IF(Arterial=0,IF(Informed=0,1,0),0)</f>
        <v>0</v>
      </c>
      <c r="AD57" s="43" t="n">
        <f aca="false">IF(Arterial=1,IF(Informed=1,1,0),0)</f>
        <v>1</v>
      </c>
      <c r="AE57" s="43" t="n">
        <f aca="false">IF(Arterial=1,IF(Informed=0,1,0),0)</f>
        <v>0</v>
      </c>
      <c r="AF57" s="35" t="n">
        <f aca="false">IF(AB57=1,(X57-G$1030)^2,0)</f>
        <v>0</v>
      </c>
      <c r="AG57" s="35" t="n">
        <f aca="false">IF(AC57=1,(Y57-H$1030)^2,0)</f>
        <v>0</v>
      </c>
      <c r="AH57" s="35" t="n">
        <f aca="false">IF(AD57=1,(Z57-I$1030)^2,0)</f>
        <v>683.411970154005</v>
      </c>
      <c r="AI57" s="35" t="n">
        <f aca="false">IF(AE57=1,(AA57-J$1030)^2,0)</f>
        <v>0</v>
      </c>
      <c r="AJ57" s="37" t="n">
        <f aca="true">IF(RAND()&lt;$D$6,1,0)</f>
        <v>0</v>
      </c>
      <c r="AK57" s="14" t="n">
        <f aca="false">AK56+IF((AJ57=1),IF((H57=0),1,0),0)</f>
        <v>0</v>
      </c>
      <c r="AL57" s="14" t="n">
        <f aca="false">AL56+IF((AJ57=1),IF((H57=1),1,0),0)</f>
        <v>0</v>
      </c>
      <c r="AM57" s="37" t="n">
        <f aca="false">IF(AK57=0,9999,IF($H57=0,IF($AJ57&lt;1,AM56+1,0),AM56))</f>
        <v>9999</v>
      </c>
      <c r="AN57" s="37" t="n">
        <f aca="false">IF(AL57=0,9999,IF($H57=1,IF($AJ57&lt;1,AN56+1,0),AN56))</f>
        <v>9999</v>
      </c>
      <c r="AO57" s="37" t="n">
        <f aca="false">IF($A57-AM57&gt;0,1/(1+AM57),0)</f>
        <v>0</v>
      </c>
      <c r="AP57" s="37" t="n">
        <f aca="false">IF($A57-AN57&gt;0,1/(1+AN57),0)</f>
        <v>0</v>
      </c>
      <c r="AQ57" s="7" t="n">
        <f aca="false">IF(AK57=0,0,MAX(MIN(1,AO57^Power),0))</f>
        <v>0</v>
      </c>
      <c r="AR57" s="7" t="n">
        <f aca="false">IF(AL57=0,0,MAX(MIN(1,AP57^Power),0))</f>
        <v>0</v>
      </c>
      <c r="AS57" s="7" t="n">
        <f aca="false">IF($AJ57=1,IF($H57=0,K57,AS56),AS56)</f>
        <v>0</v>
      </c>
      <c r="AT57" s="7" t="n">
        <f aca="false">IF($AJ57=1,IF($H57=1,N57,AT56),AT56)</f>
        <v>0</v>
      </c>
    </row>
    <row r="58" customFormat="false" ht="13" hidden="false" customHeight="false" outlineLevel="0" collapsed="false">
      <c r="A58" s="16" t="n">
        <v>41</v>
      </c>
      <c r="B58" s="37" t="n">
        <f aca="true">IF(RAND()&lt;$D$8,1,0)</f>
        <v>1</v>
      </c>
      <c r="C58" s="20" t="n">
        <f aca="true">-LN(RAND())/$D$2</f>
        <v>1.35866941940563</v>
      </c>
      <c r="D58" s="38" t="n">
        <f aca="false">D57+C58</f>
        <v>52.3797828144734</v>
      </c>
      <c r="E58" s="39" t="n">
        <f aca="false">MAX($E$3,AS57)</f>
        <v>0</v>
      </c>
      <c r="F58" s="39" t="n">
        <f aca="false">MAX($E$3,AT57)</f>
        <v>0</v>
      </c>
      <c r="G58" s="40" t="n">
        <v>0.5</v>
      </c>
      <c r="H58" s="38" t="n">
        <f aca="true">IF((B58=1),(IF((F58&lt;E58),1,(IF((F58=E58),(IF(RAND()&lt;G58,1,0)),0)))),(IF((RAND()&lt;G58),1,0)))</f>
        <v>1</v>
      </c>
      <c r="I58" s="38" t="n">
        <f aca="true">IF((H58=1),0,$D$3+$D$5*(RAND()-0.5))</f>
        <v>0</v>
      </c>
      <c r="J58" s="38" t="n">
        <f aca="false">I58+MAX(D58,J57)</f>
        <v>56.3287593867505</v>
      </c>
      <c r="K58" s="38" t="n">
        <f aca="false">IF((H58=0),J58-D58,0)</f>
        <v>0</v>
      </c>
      <c r="L58" s="38" t="n">
        <f aca="true">IF(($H58=0),0,$D$4+$D$5*(RAND()-0.5))</f>
        <v>1.98277102420979</v>
      </c>
      <c r="M58" s="38" t="n">
        <f aca="false">L58+MAX(D58,M57)</f>
        <v>55.2365699100173</v>
      </c>
      <c r="N58" s="38" t="n">
        <f aca="false">IF((H58=1),M58-D58,0)</f>
        <v>2.85678709554395</v>
      </c>
      <c r="O58" s="16" t="n">
        <v>41</v>
      </c>
      <c r="P58" s="41" t="n">
        <f aca="false">IF((Arterial=0),P57+1,P57)</f>
        <v>25</v>
      </c>
      <c r="Q58" s="41" t="n">
        <f aca="false">IF((Arterial=1),Q57+1,Q57)</f>
        <v>16</v>
      </c>
      <c r="R58" s="42" t="n">
        <f aca="false">IF((RESET=1),0,R58+K58)</f>
        <v>234.572815598153</v>
      </c>
      <c r="S58" s="14" t="e">
        <f aca="false">IF(RESET=1,0,S58+N58)</f>
        <v>#N/A</v>
      </c>
      <c r="T58" s="2" t="n">
        <f aca="false">IF(RESET=1,0,T58+IF(H58=0,1,0))</f>
        <v>40</v>
      </c>
      <c r="U58" s="2" t="e">
        <f aca="false">IF(RESET=1,0,U58+H58)</f>
        <v>#N/A</v>
      </c>
      <c r="V58" s="14" t="n">
        <f aca="false">R58/(T58+0.00001)</f>
        <v>5.8643189238741</v>
      </c>
      <c r="W58" s="14" t="e">
        <f aca="false">S58/(U58+0.0001)</f>
        <v>#N/A</v>
      </c>
      <c r="X58" s="39" t="n">
        <f aca="false">IF(Informed=1,K58,0)</f>
        <v>0</v>
      </c>
      <c r="Y58" s="39" t="n">
        <f aca="false">IF(Informed=0,K58,0)</f>
        <v>0</v>
      </c>
      <c r="Z58" s="39" t="n">
        <f aca="false">IF(Informed=1,N58,0)</f>
        <v>2.85678709554395</v>
      </c>
      <c r="AA58" s="39" t="n">
        <f aca="false">IF(Informed=0,N58,0)</f>
        <v>0</v>
      </c>
      <c r="AB58" s="43" t="n">
        <f aca="false">IF(Arterial=0,IF(Informed=1,1,0),0)</f>
        <v>0</v>
      </c>
      <c r="AC58" s="43" t="n">
        <f aca="false">IF(Arterial=0,IF(Informed=0,1,0),0)</f>
        <v>0</v>
      </c>
      <c r="AD58" s="43" t="n">
        <f aca="false">IF(Arterial=1,IF(Informed=1,1,0),0)</f>
        <v>1</v>
      </c>
      <c r="AE58" s="43" t="n">
        <f aca="false">IF(Arterial=1,IF(Informed=0,1,0),0)</f>
        <v>0</v>
      </c>
      <c r="AF58" s="35" t="n">
        <f aca="false">IF(AB58=1,(X58-G$1030)^2,0)</f>
        <v>0</v>
      </c>
      <c r="AG58" s="35" t="n">
        <f aca="false">IF(AC58=1,(Y58-H$1030)^2,0)</f>
        <v>0</v>
      </c>
      <c r="AH58" s="35" t="n">
        <f aca="false">IF(AD58=1,(Z58-I$1030)^2,0)</f>
        <v>651.170758301688</v>
      </c>
      <c r="AI58" s="35" t="n">
        <f aca="false">IF(AE58=1,(AA58-J$1030)^2,0)</f>
        <v>0</v>
      </c>
      <c r="AJ58" s="37" t="n">
        <f aca="true">IF(RAND()&lt;$D$6,1,0)</f>
        <v>0</v>
      </c>
      <c r="AK58" s="14" t="n">
        <f aca="false">AK57+IF((AJ58=1),IF((H58=0),1,0),0)</f>
        <v>0</v>
      </c>
      <c r="AL58" s="14" t="n">
        <f aca="false">AL57+IF((AJ58=1),IF((H58=1),1,0),0)</f>
        <v>0</v>
      </c>
      <c r="AM58" s="37" t="n">
        <f aca="false">IF(AK58=0,9999,IF($H58=0,IF($AJ58&lt;1,AM57+1,0),AM57))</f>
        <v>9999</v>
      </c>
      <c r="AN58" s="37" t="n">
        <f aca="false">IF(AL58=0,9999,IF($H58=1,IF($AJ58&lt;1,AN57+1,0),AN57))</f>
        <v>9999</v>
      </c>
      <c r="AO58" s="37" t="n">
        <f aca="false">IF($A58-AM58&gt;0,1/(1+AM58),0)</f>
        <v>0</v>
      </c>
      <c r="AP58" s="37" t="n">
        <f aca="false">IF($A58-AN58&gt;0,1/(1+AN58),0)</f>
        <v>0</v>
      </c>
      <c r="AQ58" s="7" t="n">
        <f aca="false">IF(AK58=0,0,MAX(MIN(1,AO58^Power),0))</f>
        <v>0</v>
      </c>
      <c r="AR58" s="7" t="n">
        <f aca="false">IF(AL58=0,0,MAX(MIN(1,AP58^Power),0))</f>
        <v>0</v>
      </c>
      <c r="AS58" s="7" t="n">
        <f aca="false">IF($AJ58=1,IF($H58=0,K58,AS57),AS57)</f>
        <v>0</v>
      </c>
      <c r="AT58" s="7" t="n">
        <f aca="false">IF($AJ58=1,IF($H58=1,N58,AT57),AT57)</f>
        <v>0</v>
      </c>
    </row>
    <row r="59" customFormat="false" ht="13" hidden="false" customHeight="false" outlineLevel="0" collapsed="false">
      <c r="A59" s="16" t="n">
        <v>42</v>
      </c>
      <c r="B59" s="37" t="n">
        <f aca="true">IF(RAND()&lt;$D$8,1,0)</f>
        <v>0</v>
      </c>
      <c r="C59" s="20" t="n">
        <f aca="true">-LN(RAND())/$D$2</f>
        <v>0.363792521789562</v>
      </c>
      <c r="D59" s="38" t="n">
        <f aca="false">D58+C59</f>
        <v>52.7435753362629</v>
      </c>
      <c r="E59" s="39" t="n">
        <f aca="false">MAX($E$3,AS58)</f>
        <v>0</v>
      </c>
      <c r="F59" s="39" t="n">
        <f aca="false">MAX($E$3,AT58)</f>
        <v>0</v>
      </c>
      <c r="G59" s="40" t="n">
        <v>0.5</v>
      </c>
      <c r="H59" s="38" t="n">
        <f aca="true">IF((B59=1),(IF((F59&lt;E59),1,(IF((F59=E59),(IF(RAND()&lt;G59,1,0)),0)))),(IF((RAND()&lt;G59),1,0)))</f>
        <v>1</v>
      </c>
      <c r="I59" s="38" t="n">
        <f aca="true">IF((H59=1),0,$D$3+$D$5*(RAND()-0.5))</f>
        <v>0</v>
      </c>
      <c r="J59" s="38" t="n">
        <f aca="false">I59+MAX(D59,J58)</f>
        <v>56.3287593867505</v>
      </c>
      <c r="K59" s="38" t="n">
        <f aca="false">IF((H59=0),J59-D59,0)</f>
        <v>0</v>
      </c>
      <c r="L59" s="38" t="n">
        <f aca="true">IF(($H59=0),0,$D$4+$D$5*(RAND()-0.5))</f>
        <v>2.2335613069857</v>
      </c>
      <c r="M59" s="38" t="n">
        <f aca="false">L59+MAX(D59,M58)</f>
        <v>57.470131217003</v>
      </c>
      <c r="N59" s="38" t="n">
        <f aca="false">IF((H59=1),M59-D59,0)</f>
        <v>4.72655588074009</v>
      </c>
      <c r="O59" s="16" t="n">
        <v>42</v>
      </c>
      <c r="P59" s="41" t="n">
        <f aca="false">IF((Arterial=0),P58+1,P58)</f>
        <v>25</v>
      </c>
      <c r="Q59" s="41" t="n">
        <f aca="false">IF((Arterial=1),Q58+1,Q58)</f>
        <v>17</v>
      </c>
      <c r="R59" s="42" t="n">
        <f aca="false">IF((RESET=1),0,R59+K59)</f>
        <v>259.748613818576</v>
      </c>
      <c r="S59" s="14" t="e">
        <f aca="false">IF(RESET=1,0,S59+N59)</f>
        <v>#N/A</v>
      </c>
      <c r="T59" s="2" t="n">
        <f aca="false">IF(RESET=1,0,T59+IF(H59=0,1,0))</f>
        <v>39</v>
      </c>
      <c r="U59" s="2" t="e">
        <f aca="false">IF(RESET=1,0,U59+H59)</f>
        <v>#N/A</v>
      </c>
      <c r="V59" s="14" t="n">
        <f aca="false">R59/(T59+0.00001)</f>
        <v>6.66021915939448</v>
      </c>
      <c r="W59" s="14" t="e">
        <f aca="false">S59/(U59+0.0001)</f>
        <v>#N/A</v>
      </c>
      <c r="X59" s="39" t="n">
        <f aca="false">IF(Informed=1,K59,0)</f>
        <v>0</v>
      </c>
      <c r="Y59" s="39" t="n">
        <f aca="false">IF(Informed=0,K59,0)</f>
        <v>0</v>
      </c>
      <c r="Z59" s="39" t="n">
        <f aca="false">IF(Informed=1,N59,0)</f>
        <v>0</v>
      </c>
      <c r="AA59" s="39" t="n">
        <f aca="false">IF(Informed=0,N59,0)</f>
        <v>4.72655588074009</v>
      </c>
      <c r="AB59" s="43" t="n">
        <f aca="false">IF(Arterial=0,IF(Informed=1,1,0),0)</f>
        <v>0</v>
      </c>
      <c r="AC59" s="43" t="n">
        <f aca="false">IF(Arterial=0,IF(Informed=0,1,0),0)</f>
        <v>0</v>
      </c>
      <c r="AD59" s="43" t="n">
        <f aca="false">IF(Arterial=1,IF(Informed=1,1,0),0)</f>
        <v>0</v>
      </c>
      <c r="AE59" s="43" t="n">
        <f aca="false">IF(Arterial=1,IF(Informed=0,1,0),0)</f>
        <v>1</v>
      </c>
      <c r="AF59" s="35" t="n">
        <f aca="false">IF(AB59=1,(X59-G$1030)^2,0)</f>
        <v>0</v>
      </c>
      <c r="AG59" s="35" t="n">
        <f aca="false">IF(AC59=1,(Y59-H$1030)^2,0)</f>
        <v>0</v>
      </c>
      <c r="AH59" s="35" t="n">
        <f aca="false">IF(AD59=1,(Z59-I$1030)^2,0)</f>
        <v>0</v>
      </c>
      <c r="AI59" s="35" t="n">
        <f aca="false">IF(AE59=1,(AA59-J$1030)^2,0)</f>
        <v>616.912290561204</v>
      </c>
      <c r="AJ59" s="37" t="n">
        <f aca="true">IF(RAND()&lt;$D$6,1,0)</f>
        <v>0</v>
      </c>
      <c r="AK59" s="14" t="n">
        <f aca="false">AK58+IF((AJ59=1),IF((H59=0),1,0),0)</f>
        <v>0</v>
      </c>
      <c r="AL59" s="14" t="n">
        <f aca="false">AL58+IF((AJ59=1),IF((H59=1),1,0),0)</f>
        <v>0</v>
      </c>
      <c r="AM59" s="37" t="n">
        <f aca="false">IF(AK59=0,9999,IF($H59=0,IF($AJ59&lt;1,AM58+1,0),AM58))</f>
        <v>9999</v>
      </c>
      <c r="AN59" s="37" t="n">
        <f aca="false">IF(AL59=0,9999,IF($H59=1,IF($AJ59&lt;1,AN58+1,0),AN58))</f>
        <v>9999</v>
      </c>
      <c r="AO59" s="37" t="n">
        <f aca="false">IF($A59-AM59&gt;0,1/(1+AM59),0)</f>
        <v>0</v>
      </c>
      <c r="AP59" s="37" t="n">
        <f aca="false">IF($A59-AN59&gt;0,1/(1+AN59),0)</f>
        <v>0</v>
      </c>
      <c r="AQ59" s="7" t="n">
        <f aca="false">IF(AK59=0,0,MAX(MIN(1,AO59^Power),0))</f>
        <v>0</v>
      </c>
      <c r="AR59" s="7" t="n">
        <f aca="false">IF(AL59=0,0,MAX(MIN(1,AP59^Power),0))</f>
        <v>0</v>
      </c>
      <c r="AS59" s="7" t="n">
        <f aca="false">IF($AJ59=1,IF($H59=0,K59,AS58),AS58)</f>
        <v>0</v>
      </c>
      <c r="AT59" s="7" t="n">
        <f aca="false">IF($AJ59=1,IF($H59=1,N59,AT58),AT58)</f>
        <v>0</v>
      </c>
    </row>
    <row r="60" customFormat="false" ht="13" hidden="false" customHeight="false" outlineLevel="0" collapsed="false">
      <c r="A60" s="16" t="n">
        <v>43</v>
      </c>
      <c r="B60" s="37" t="n">
        <f aca="true">IF(RAND()&lt;$D$8,1,0)</f>
        <v>1</v>
      </c>
      <c r="C60" s="20" t="n">
        <f aca="true">-LN(RAND())/$D$2</f>
        <v>0.00579915805849692</v>
      </c>
      <c r="D60" s="38" t="n">
        <f aca="false">D59+C60</f>
        <v>52.7493744943214</v>
      </c>
      <c r="E60" s="39" t="n">
        <f aca="false">MAX($E$3,AS59)</f>
        <v>0</v>
      </c>
      <c r="F60" s="39" t="n">
        <f aca="false">MAX($E$3,AT59)</f>
        <v>0</v>
      </c>
      <c r="G60" s="40" t="n">
        <v>0.5</v>
      </c>
      <c r="H60" s="38" t="n">
        <f aca="true">IF((B60=1),(IF((F60&lt;E60),1,(IF((F60=E60),(IF(RAND()&lt;G60,1,0)),0)))),(IF((RAND()&lt;G60),1,0)))</f>
        <v>1</v>
      </c>
      <c r="I60" s="38" t="n">
        <f aca="true">IF((H60=1),0,$D$3+$D$5*(RAND()-0.5))</f>
        <v>0</v>
      </c>
      <c r="J60" s="38" t="n">
        <f aca="false">I60+MAX(D60,J59)</f>
        <v>56.3287593867505</v>
      </c>
      <c r="K60" s="38" t="n">
        <f aca="false">IF((H60=0),J60-D60,0)</f>
        <v>0</v>
      </c>
      <c r="L60" s="38" t="n">
        <f aca="true">IF(($H60=0),0,$D$4+$D$5*(RAND()-0.5))</f>
        <v>1.94251770336385</v>
      </c>
      <c r="M60" s="38" t="n">
        <f aca="false">L60+MAX(D60,M59)</f>
        <v>59.4126489203669</v>
      </c>
      <c r="N60" s="38" t="n">
        <f aca="false">IF((H60=1),M60-D60,0)</f>
        <v>6.66327442604544</v>
      </c>
      <c r="O60" s="16" t="n">
        <v>43</v>
      </c>
      <c r="P60" s="41" t="n">
        <f aca="false">IF((Arterial=0),P59+1,P59)</f>
        <v>25</v>
      </c>
      <c r="Q60" s="41" t="n">
        <f aca="false">IF((Arterial=1),Q59+1,Q59)</f>
        <v>18</v>
      </c>
      <c r="R60" s="42" t="n">
        <f aca="false">IF((RESET=1),0,R60+K60)</f>
        <v>274.447548414388</v>
      </c>
      <c r="S60" s="14" t="e">
        <f aca="false">IF(RESET=1,0,S60+N60)</f>
        <v>#N/A</v>
      </c>
      <c r="T60" s="2" t="n">
        <f aca="false">IF(RESET=1,0,T60+IF(H60=0,1,0))</f>
        <v>39</v>
      </c>
      <c r="U60" s="2" t="e">
        <f aca="false">IF(RESET=1,0,U60+H60)</f>
        <v>#N/A</v>
      </c>
      <c r="V60" s="14" t="n">
        <f aca="false">R60/(T60+0.00001)</f>
        <v>7.03711482162154</v>
      </c>
      <c r="W60" s="14" t="e">
        <f aca="false">S60/(U60+0.0001)</f>
        <v>#N/A</v>
      </c>
      <c r="X60" s="39" t="n">
        <f aca="false">IF(Informed=1,K60,0)</f>
        <v>0</v>
      </c>
      <c r="Y60" s="39" t="n">
        <f aca="false">IF(Informed=0,K60,0)</f>
        <v>0</v>
      </c>
      <c r="Z60" s="39" t="n">
        <f aca="false">IF(Informed=1,N60,0)</f>
        <v>6.66327442604544</v>
      </c>
      <c r="AA60" s="39" t="n">
        <f aca="false">IF(Informed=0,N60,0)</f>
        <v>0</v>
      </c>
      <c r="AB60" s="43" t="n">
        <f aca="false">IF(Arterial=0,IF(Informed=1,1,0),0)</f>
        <v>0</v>
      </c>
      <c r="AC60" s="43" t="n">
        <f aca="false">IF(Arterial=0,IF(Informed=0,1,0),0)</f>
        <v>0</v>
      </c>
      <c r="AD60" s="43" t="n">
        <f aca="false">IF(Arterial=1,IF(Informed=1,1,0),0)</f>
        <v>1</v>
      </c>
      <c r="AE60" s="43" t="n">
        <f aca="false">IF(Arterial=1,IF(Informed=0,1,0),0)</f>
        <v>0</v>
      </c>
      <c r="AF60" s="35" t="n">
        <f aca="false">IF(AB60=1,(X60-G$1030)^2,0)</f>
        <v>0</v>
      </c>
      <c r="AG60" s="35" t="n">
        <f aca="false">IF(AC60=1,(Y60-H$1030)^2,0)</f>
        <v>0</v>
      </c>
      <c r="AH60" s="35" t="n">
        <f aca="false">IF(AD60=1,(Z60-I$1030)^2,0)</f>
        <v>471.391853578162</v>
      </c>
      <c r="AI60" s="35" t="n">
        <f aca="false">IF(AE60=1,(AA60-J$1030)^2,0)</f>
        <v>0</v>
      </c>
      <c r="AJ60" s="37" t="n">
        <f aca="true">IF(RAND()&lt;$D$6,1,0)</f>
        <v>0</v>
      </c>
      <c r="AK60" s="14" t="n">
        <f aca="false">AK59+IF((AJ60=1),IF((H60=0),1,0),0)</f>
        <v>0</v>
      </c>
      <c r="AL60" s="14" t="n">
        <f aca="false">AL59+IF((AJ60=1),IF((H60=1),1,0),0)</f>
        <v>0</v>
      </c>
      <c r="AM60" s="37" t="n">
        <f aca="false">IF(AK60=0,9999,IF($H60=0,IF($AJ60&lt;1,AM59+1,0),AM59))</f>
        <v>9999</v>
      </c>
      <c r="AN60" s="37" t="n">
        <f aca="false">IF(AL60=0,9999,IF($H60=1,IF($AJ60&lt;1,AN59+1,0),AN59))</f>
        <v>9999</v>
      </c>
      <c r="AO60" s="37" t="n">
        <f aca="false">IF($A60-AM60&gt;0,1/(1+AM60),0)</f>
        <v>0</v>
      </c>
      <c r="AP60" s="37" t="n">
        <f aca="false">IF($A60-AN60&gt;0,1/(1+AN60),0)</f>
        <v>0</v>
      </c>
      <c r="AQ60" s="7" t="n">
        <f aca="false">IF(AK60=0,0,MAX(MIN(1,AO60^Power),0))</f>
        <v>0</v>
      </c>
      <c r="AR60" s="7" t="n">
        <f aca="false">IF(AL60=0,0,MAX(MIN(1,AP60^Power),0))</f>
        <v>0</v>
      </c>
      <c r="AS60" s="7" t="n">
        <f aca="false">IF($AJ60=1,IF($H60=0,K60,AS59),AS59)</f>
        <v>0</v>
      </c>
      <c r="AT60" s="7" t="n">
        <f aca="false">IF($AJ60=1,IF($H60=1,N60,AT59),AT59)</f>
        <v>0</v>
      </c>
    </row>
    <row r="61" customFormat="false" ht="13" hidden="false" customHeight="false" outlineLevel="0" collapsed="false">
      <c r="A61" s="16" t="n">
        <v>44</v>
      </c>
      <c r="B61" s="37" t="n">
        <f aca="true">IF(RAND()&lt;$D$8,1,0)</f>
        <v>0</v>
      </c>
      <c r="C61" s="20" t="n">
        <f aca="true">-LN(RAND())/$D$2</f>
        <v>1.00676258930275</v>
      </c>
      <c r="D61" s="38" t="n">
        <f aca="false">D60+C61</f>
        <v>53.7561370836242</v>
      </c>
      <c r="E61" s="39" t="n">
        <f aca="false">MAX($E$3,AS60)</f>
        <v>0</v>
      </c>
      <c r="F61" s="39" t="n">
        <f aca="false">MAX($E$3,AT60)</f>
        <v>0</v>
      </c>
      <c r="G61" s="40" t="n">
        <v>0.5</v>
      </c>
      <c r="H61" s="38" t="n">
        <f aca="true">IF((B61=1),(IF((F61&lt;E61),1,(IF((F61=E61),(IF(RAND()&lt;G61,1,0)),0)))),(IF((RAND()&lt;G61),1,0)))</f>
        <v>0</v>
      </c>
      <c r="I61" s="38" t="n">
        <f aca="true">IF((H61=1),0,$D$3+$D$5*(RAND()-0.5))</f>
        <v>1.92880393639688</v>
      </c>
      <c r="J61" s="38" t="n">
        <f aca="false">I61+MAX(D61,J60)</f>
        <v>58.2575633231474</v>
      </c>
      <c r="K61" s="38" t="n">
        <f aca="false">IF((H61=0),J61-D61,0)</f>
        <v>4.50142623952318</v>
      </c>
      <c r="L61" s="38" t="n">
        <f aca="true">IF(($H61=0),0,$D$4+$D$5*(RAND()-0.5))</f>
        <v>0</v>
      </c>
      <c r="M61" s="38" t="n">
        <f aca="false">L61+MAX(D61,M60)</f>
        <v>59.4126489203669</v>
      </c>
      <c r="N61" s="38" t="n">
        <f aca="false">IF((H61=1),M61-D61,0)</f>
        <v>0</v>
      </c>
      <c r="O61" s="16" t="n">
        <v>44</v>
      </c>
      <c r="P61" s="41" t="n">
        <f aca="false">IF((Arterial=0),P60+1,P60)</f>
        <v>26</v>
      </c>
      <c r="Q61" s="41" t="n">
        <f aca="false">IF((Arterial=1),Q60+1,Q60)</f>
        <v>18</v>
      </c>
      <c r="R61" s="42" t="e">
        <f aca="false">IF((RESET=1),0,R61+K61)</f>
        <v>#N/A</v>
      </c>
      <c r="S61" s="14" t="n">
        <f aca="false">IF(RESET=1,0,S61+N61)</f>
        <v>323.339371204238</v>
      </c>
      <c r="T61" s="2" t="e">
        <f aca="false">IF(RESET=1,0,T61+IF(H61=0,1,0))</f>
        <v>#N/A</v>
      </c>
      <c r="U61" s="2" t="n">
        <f aca="false">IF(RESET=1,0,U61+H61)</f>
        <v>37</v>
      </c>
      <c r="V61" s="14" t="e">
        <f aca="false">R61/(T61+0.00001)</f>
        <v>#N/A</v>
      </c>
      <c r="W61" s="14" t="n">
        <f aca="false">S61/(U61+0.0001)</f>
        <v>8.73887830584884</v>
      </c>
      <c r="X61" s="39" t="n">
        <f aca="false">IF(Informed=1,K61,0)</f>
        <v>0</v>
      </c>
      <c r="Y61" s="39" t="n">
        <f aca="false">IF(Informed=0,K61,0)</f>
        <v>4.50142623952318</v>
      </c>
      <c r="Z61" s="39" t="n">
        <f aca="false">IF(Informed=1,N61,0)</f>
        <v>0</v>
      </c>
      <c r="AA61" s="39" t="n">
        <f aca="false">IF(Informed=0,N61,0)</f>
        <v>0</v>
      </c>
      <c r="AB61" s="43" t="n">
        <f aca="false">IF(Arterial=0,IF(Informed=1,1,0),0)</f>
        <v>0</v>
      </c>
      <c r="AC61" s="43" t="n">
        <f aca="false">IF(Arterial=0,IF(Informed=0,1,0),0)</f>
        <v>1</v>
      </c>
      <c r="AD61" s="43" t="n">
        <f aca="false">IF(Arterial=1,IF(Informed=1,1,0),0)</f>
        <v>0</v>
      </c>
      <c r="AE61" s="43" t="n">
        <f aca="false">IF(Arterial=1,IF(Informed=0,1,0),0)</f>
        <v>0</v>
      </c>
      <c r="AF61" s="35" t="n">
        <f aca="false">IF(AB61=1,(X61-G$1030)^2,0)</f>
        <v>0</v>
      </c>
      <c r="AG61" s="35" t="n">
        <f aca="false">IF(AC61=1,(Y61-H$1030)^2,0)</f>
        <v>41.2466952686995</v>
      </c>
      <c r="AH61" s="35" t="n">
        <f aca="false">IF(AD61=1,(Z61-I$1030)^2,0)</f>
        <v>0</v>
      </c>
      <c r="AI61" s="35" t="n">
        <f aca="false">IF(AE61=1,(AA61-J$1030)^2,0)</f>
        <v>0</v>
      </c>
      <c r="AJ61" s="37" t="n">
        <f aca="true">IF(RAND()&lt;$D$6,1,0)</f>
        <v>0</v>
      </c>
      <c r="AK61" s="14" t="n">
        <f aca="false">AK60+IF((AJ61=1),IF((H61=0),1,0),0)</f>
        <v>0</v>
      </c>
      <c r="AL61" s="14" t="n">
        <f aca="false">AL60+IF((AJ61=1),IF((H61=1),1,0),0)</f>
        <v>0</v>
      </c>
      <c r="AM61" s="37" t="n">
        <f aca="false">IF(AK61=0,9999,IF($H61=0,IF($AJ61&lt;1,AM60+1,0),AM60))</f>
        <v>9999</v>
      </c>
      <c r="AN61" s="37" t="n">
        <f aca="false">IF(AL61=0,9999,IF($H61=1,IF($AJ61&lt;1,AN60+1,0),AN60))</f>
        <v>9999</v>
      </c>
      <c r="AO61" s="37" t="n">
        <f aca="false">IF($A61-AM61&gt;0,1/(1+AM61),0)</f>
        <v>0</v>
      </c>
      <c r="AP61" s="37" t="n">
        <f aca="false">IF($A61-AN61&gt;0,1/(1+AN61),0)</f>
        <v>0</v>
      </c>
      <c r="AQ61" s="7" t="n">
        <f aca="false">IF(AK61=0,0,MAX(MIN(1,AO61^Power),0))</f>
        <v>0</v>
      </c>
      <c r="AR61" s="7" t="n">
        <f aca="false">IF(AL61=0,0,MAX(MIN(1,AP61^Power),0))</f>
        <v>0</v>
      </c>
      <c r="AS61" s="7" t="n">
        <f aca="false">IF($AJ61=1,IF($H61=0,K61,AS60),AS60)</f>
        <v>0</v>
      </c>
      <c r="AT61" s="7" t="n">
        <f aca="false">IF($AJ61=1,IF($H61=1,N61,AT60),AT60)</f>
        <v>0</v>
      </c>
    </row>
    <row r="62" customFormat="false" ht="13" hidden="false" customHeight="false" outlineLevel="0" collapsed="false">
      <c r="A62" s="16" t="n">
        <v>45</v>
      </c>
      <c r="B62" s="37" t="n">
        <f aca="true">IF(RAND()&lt;$D$8,1,0)</f>
        <v>1</v>
      </c>
      <c r="C62" s="20" t="n">
        <f aca="true">-LN(RAND())/$D$2</f>
        <v>1.05630176345366</v>
      </c>
      <c r="D62" s="38" t="n">
        <f aca="false">D61+C62</f>
        <v>54.8124388470778</v>
      </c>
      <c r="E62" s="39" t="n">
        <f aca="false">MAX($E$3,AS61)</f>
        <v>0</v>
      </c>
      <c r="F62" s="39" t="n">
        <f aca="false">MAX($E$3,AT61)</f>
        <v>0</v>
      </c>
      <c r="G62" s="40" t="n">
        <v>0.5</v>
      </c>
      <c r="H62" s="38" t="n">
        <f aca="true">IF((B62=1),(IF((F62&lt;E62),1,(IF((F62=E62),(IF(RAND()&lt;G62,1,0)),0)))),(IF((RAND()&lt;G62),1,0)))</f>
        <v>1</v>
      </c>
      <c r="I62" s="38" t="n">
        <f aca="true">IF((H62=1),0,$D$3+$D$5*(RAND()-0.5))</f>
        <v>0</v>
      </c>
      <c r="J62" s="38" t="n">
        <f aca="false">I62+MAX(D62,J61)</f>
        <v>58.2575633231474</v>
      </c>
      <c r="K62" s="38" t="n">
        <f aca="false">IF((H62=0),J62-D62,0)</f>
        <v>0</v>
      </c>
      <c r="L62" s="38" t="n">
        <f aca="true">IF(($H62=0),0,$D$4+$D$5*(RAND()-0.5))</f>
        <v>1.85823135047873</v>
      </c>
      <c r="M62" s="38" t="n">
        <f aca="false">L62+MAX(D62,M61)</f>
        <v>61.2708802708456</v>
      </c>
      <c r="N62" s="38" t="n">
        <f aca="false">IF((H62=1),M62-D62,0)</f>
        <v>6.45844142376777</v>
      </c>
      <c r="O62" s="16" t="n">
        <v>45</v>
      </c>
      <c r="P62" s="41" t="n">
        <f aca="false">IF((Arterial=0),P61+1,P61)</f>
        <v>26</v>
      </c>
      <c r="Q62" s="41" t="n">
        <f aca="false">IF((Arterial=1),Q61+1,Q61)</f>
        <v>19</v>
      </c>
      <c r="R62" s="42" t="n">
        <f aca="false">IF((RESET=1),0,R62+K62)</f>
        <v>305.745325600441</v>
      </c>
      <c r="S62" s="14" t="e">
        <f aca="false">IF(RESET=1,0,S62+N62)</f>
        <v>#N/A</v>
      </c>
      <c r="T62" s="2" t="n">
        <f aca="false">IF(RESET=1,0,T62+IF(H62=0,1,0))</f>
        <v>44</v>
      </c>
      <c r="U62" s="2" t="e">
        <f aca="false">IF(RESET=1,0,U62+H62)</f>
        <v>#N/A</v>
      </c>
      <c r="V62" s="14" t="n">
        <f aca="false">R62/(T62+0.00001)</f>
        <v>6.94875582074733</v>
      </c>
      <c r="W62" s="14" t="e">
        <f aca="false">S62/(U62+0.0001)</f>
        <v>#N/A</v>
      </c>
      <c r="X62" s="39" t="n">
        <f aca="false">IF(Informed=1,K62,0)</f>
        <v>0</v>
      </c>
      <c r="Y62" s="39" t="n">
        <f aca="false">IF(Informed=0,K62,0)</f>
        <v>0</v>
      </c>
      <c r="Z62" s="39" t="n">
        <f aca="false">IF(Informed=1,N62,0)</f>
        <v>6.45844142376777</v>
      </c>
      <c r="AA62" s="39" t="n">
        <f aca="false">IF(Informed=0,N62,0)</f>
        <v>0</v>
      </c>
      <c r="AB62" s="43" t="n">
        <f aca="false">IF(Arterial=0,IF(Informed=1,1,0),0)</f>
        <v>0</v>
      </c>
      <c r="AC62" s="43" t="n">
        <f aca="false">IF(Arterial=0,IF(Informed=0,1,0),0)</f>
        <v>0</v>
      </c>
      <c r="AD62" s="43" t="n">
        <f aca="false">IF(Arterial=1,IF(Informed=1,1,0),0)</f>
        <v>1</v>
      </c>
      <c r="AE62" s="43" t="n">
        <f aca="false">IF(Arterial=1,IF(Informed=0,1,0),0)</f>
        <v>0</v>
      </c>
      <c r="AF62" s="35" t="n">
        <f aca="false">IF(AB62=1,(X62-G$1030)^2,0)</f>
        <v>0</v>
      </c>
      <c r="AG62" s="35" t="n">
        <f aca="false">IF(AC62=1,(Y62-H$1030)^2,0)</f>
        <v>0</v>
      </c>
      <c r="AH62" s="35" t="n">
        <f aca="false">IF(AD62=1,(Z62-I$1030)^2,0)</f>
        <v>480.328298325273</v>
      </c>
      <c r="AI62" s="35" t="n">
        <f aca="false">IF(AE62=1,(AA62-J$1030)^2,0)</f>
        <v>0</v>
      </c>
      <c r="AJ62" s="37" t="n">
        <f aca="true">IF(RAND()&lt;$D$6,1,0)</f>
        <v>0</v>
      </c>
      <c r="AK62" s="14" t="n">
        <f aca="false">AK61+IF((AJ62=1),IF((H62=0),1,0),0)</f>
        <v>0</v>
      </c>
      <c r="AL62" s="14" t="n">
        <f aca="false">AL61+IF((AJ62=1),IF((H62=1),1,0),0)</f>
        <v>0</v>
      </c>
      <c r="AM62" s="37" t="n">
        <f aca="false">IF(AK62=0,9999,IF($H62=0,IF($AJ62&lt;1,AM61+1,0),AM61))</f>
        <v>9999</v>
      </c>
      <c r="AN62" s="37" t="n">
        <f aca="false">IF(AL62=0,9999,IF($H62=1,IF($AJ62&lt;1,AN61+1,0),AN61))</f>
        <v>9999</v>
      </c>
      <c r="AO62" s="37" t="n">
        <f aca="false">IF($A62-AM62&gt;0,1/(1+AM62),0)</f>
        <v>0</v>
      </c>
      <c r="AP62" s="37" t="n">
        <f aca="false">IF($A62-AN62&gt;0,1/(1+AN62),0)</f>
        <v>0</v>
      </c>
      <c r="AQ62" s="7" t="n">
        <f aca="false">IF(AK62=0,0,MAX(MIN(1,AO62^Power),0))</f>
        <v>0</v>
      </c>
      <c r="AR62" s="7" t="n">
        <f aca="false">IF(AL62=0,0,MAX(MIN(1,AP62^Power),0))</f>
        <v>0</v>
      </c>
      <c r="AS62" s="7" t="n">
        <f aca="false">IF($AJ62=1,IF($H62=0,K62,AS61),AS61)</f>
        <v>0</v>
      </c>
      <c r="AT62" s="7" t="n">
        <f aca="false">IF($AJ62=1,IF($H62=1,N62,AT61),AT61)</f>
        <v>0</v>
      </c>
    </row>
    <row r="63" customFormat="false" ht="13" hidden="false" customHeight="false" outlineLevel="0" collapsed="false">
      <c r="A63" s="16" t="n">
        <v>46</v>
      </c>
      <c r="B63" s="37" t="n">
        <f aca="true">IF(RAND()&lt;$D$8,1,0)</f>
        <v>1</v>
      </c>
      <c r="C63" s="20" t="n">
        <f aca="true">-LN(RAND())/$D$2</f>
        <v>0.138961991612381</v>
      </c>
      <c r="D63" s="38" t="n">
        <f aca="false">D62+C63</f>
        <v>54.9514008386902</v>
      </c>
      <c r="E63" s="39" t="n">
        <f aca="false">MAX($E$3,AS62)</f>
        <v>0</v>
      </c>
      <c r="F63" s="39" t="n">
        <f aca="false">MAX($E$3,AT62)</f>
        <v>0</v>
      </c>
      <c r="G63" s="40" t="n">
        <v>0.5</v>
      </c>
      <c r="H63" s="38" t="n">
        <f aca="true">IF((B63=1),(IF((F63&lt;E63),1,(IF((F63=E63),(IF(RAND()&lt;G63,1,0)),0)))),(IF((RAND()&lt;G63),1,0)))</f>
        <v>1</v>
      </c>
      <c r="I63" s="38" t="n">
        <f aca="true">IF((H63=1),0,$D$3+$D$5*(RAND()-0.5))</f>
        <v>0</v>
      </c>
      <c r="J63" s="38" t="n">
        <f aca="false">I63+MAX(D63,J62)</f>
        <v>58.2575633231474</v>
      </c>
      <c r="K63" s="38" t="n">
        <f aca="false">IF((H63=0),J63-D63,0)</f>
        <v>0</v>
      </c>
      <c r="L63" s="38" t="n">
        <f aca="true">IF(($H63=0),0,$D$4+$D$5*(RAND()-0.5))</f>
        <v>1.91031240376729</v>
      </c>
      <c r="M63" s="38" t="n">
        <f aca="false">L63+MAX(D63,M62)</f>
        <v>63.1811926746129</v>
      </c>
      <c r="N63" s="38" t="n">
        <f aca="false">IF((H63=1),M63-D63,0)</f>
        <v>8.22979183592268</v>
      </c>
      <c r="O63" s="16" t="n">
        <v>46</v>
      </c>
      <c r="P63" s="41" t="n">
        <f aca="false">IF((Arterial=0),P62+1,P62)</f>
        <v>26</v>
      </c>
      <c r="Q63" s="41" t="n">
        <f aca="false">IF((Arterial=1),Q62+1,Q62)</f>
        <v>20</v>
      </c>
      <c r="R63" s="42" t="n">
        <f aca="false">IF((RESET=1),0,R63+K63)</f>
        <v>279.986785929095</v>
      </c>
      <c r="S63" s="14" t="e">
        <f aca="false">IF(RESET=1,0,S63+N63)</f>
        <v>#N/A</v>
      </c>
      <c r="T63" s="2" t="n">
        <f aca="false">IF(RESET=1,0,T63+IF(H63=0,1,0))</f>
        <v>39</v>
      </c>
      <c r="U63" s="2" t="e">
        <f aca="false">IF(RESET=1,0,U63+H63)</f>
        <v>#N/A</v>
      </c>
      <c r="V63" s="14" t="n">
        <f aca="false">R63/(T63+0.00001)</f>
        <v>7.17914651634947</v>
      </c>
      <c r="W63" s="14" t="e">
        <f aca="false">S63/(U63+0.0001)</f>
        <v>#N/A</v>
      </c>
      <c r="X63" s="39" t="n">
        <f aca="false">IF(Informed=1,K63,0)</f>
        <v>0</v>
      </c>
      <c r="Y63" s="39" t="n">
        <f aca="false">IF(Informed=0,K63,0)</f>
        <v>0</v>
      </c>
      <c r="Z63" s="39" t="n">
        <f aca="false">IF(Informed=1,N63,0)</f>
        <v>8.22979183592268</v>
      </c>
      <c r="AA63" s="39" t="n">
        <f aca="false">IF(Informed=0,N63,0)</f>
        <v>0</v>
      </c>
      <c r="AB63" s="43" t="n">
        <f aca="false">IF(Arterial=0,IF(Informed=1,1,0),0)</f>
        <v>0</v>
      </c>
      <c r="AC63" s="43" t="n">
        <f aca="false">IF(Arterial=0,IF(Informed=0,1,0),0)</f>
        <v>0</v>
      </c>
      <c r="AD63" s="43" t="n">
        <f aca="false">IF(Arterial=1,IF(Informed=1,1,0),0)</f>
        <v>1</v>
      </c>
      <c r="AE63" s="43" t="n">
        <f aca="false">IF(Arterial=1,IF(Informed=0,1,0),0)</f>
        <v>0</v>
      </c>
      <c r="AF63" s="35" t="n">
        <f aca="false">IF(AB63=1,(X63-G$1030)^2,0)</f>
        <v>0</v>
      </c>
      <c r="AG63" s="35" t="n">
        <f aca="false">IF(AC63=1,(Y63-H$1030)^2,0)</f>
        <v>0</v>
      </c>
      <c r="AH63" s="35" t="n">
        <f aca="false">IF(AD63=1,(Z63-I$1030)^2,0)</f>
        <v>405.822755752001</v>
      </c>
      <c r="AI63" s="35" t="n">
        <f aca="false">IF(AE63=1,(AA63-J$1030)^2,0)</f>
        <v>0</v>
      </c>
      <c r="AJ63" s="37" t="n">
        <f aca="true">IF(RAND()&lt;$D$6,1,0)</f>
        <v>0</v>
      </c>
      <c r="AK63" s="14" t="n">
        <f aca="false">AK62+IF((AJ63=1),IF((H63=0),1,0),0)</f>
        <v>0</v>
      </c>
      <c r="AL63" s="14" t="n">
        <f aca="false">AL62+IF((AJ63=1),IF((H63=1),1,0),0)</f>
        <v>0</v>
      </c>
      <c r="AM63" s="37" t="n">
        <f aca="false">IF(AK63=0,9999,IF($H63=0,IF($AJ63&lt;1,AM62+1,0),AM62))</f>
        <v>9999</v>
      </c>
      <c r="AN63" s="37" t="n">
        <f aca="false">IF(AL63=0,9999,IF($H63=1,IF($AJ63&lt;1,AN62+1,0),AN62))</f>
        <v>9999</v>
      </c>
      <c r="AO63" s="37" t="n">
        <f aca="false">IF($A63-AM63&gt;0,1/(1+AM63),0)</f>
        <v>0</v>
      </c>
      <c r="AP63" s="37" t="n">
        <f aca="false">IF($A63-AN63&gt;0,1/(1+AN63),0)</f>
        <v>0</v>
      </c>
      <c r="AQ63" s="7" t="n">
        <f aca="false">IF(AK63=0,0,MAX(MIN(1,AO63^Power),0))</f>
        <v>0</v>
      </c>
      <c r="AR63" s="7" t="n">
        <f aca="false">IF(AL63=0,0,MAX(MIN(1,AP63^Power),0))</f>
        <v>0</v>
      </c>
      <c r="AS63" s="7" t="n">
        <f aca="false">IF($AJ63=1,IF($H63=0,K63,AS62),AS62)</f>
        <v>0</v>
      </c>
      <c r="AT63" s="7" t="n">
        <f aca="false">IF($AJ63=1,IF($H63=1,N63,AT62),AT62)</f>
        <v>0</v>
      </c>
    </row>
    <row r="64" customFormat="false" ht="13" hidden="false" customHeight="false" outlineLevel="0" collapsed="false">
      <c r="A64" s="16" t="n">
        <v>47</v>
      </c>
      <c r="B64" s="37" t="n">
        <f aca="true">IF(RAND()&lt;$D$8,1,0)</f>
        <v>1</v>
      </c>
      <c r="C64" s="20" t="n">
        <f aca="true">-LN(RAND())/$D$2</f>
        <v>0.464356867164088</v>
      </c>
      <c r="D64" s="38" t="n">
        <f aca="false">D63+C64</f>
        <v>55.4157577058543</v>
      </c>
      <c r="E64" s="39" t="n">
        <f aca="false">MAX($E$3,AS63)</f>
        <v>0</v>
      </c>
      <c r="F64" s="39" t="n">
        <f aca="false">MAX($E$3,AT63)</f>
        <v>0</v>
      </c>
      <c r="G64" s="40" t="n">
        <v>0.5</v>
      </c>
      <c r="H64" s="38" t="n">
        <f aca="true">IF((B64=1),(IF((F64&lt;E64),1,(IF((F64=E64),(IF(RAND()&lt;G64,1,0)),0)))),(IF((RAND()&lt;G64),1,0)))</f>
        <v>1</v>
      </c>
      <c r="I64" s="38" t="n">
        <f aca="true">IF((H64=1),0,$D$3+$D$5*(RAND()-0.5))</f>
        <v>0</v>
      </c>
      <c r="J64" s="38" t="n">
        <f aca="false">I64+MAX(D64,J63)</f>
        <v>58.2575633231474</v>
      </c>
      <c r="K64" s="38" t="n">
        <f aca="false">IF((H64=0),J64-D64,0)</f>
        <v>0</v>
      </c>
      <c r="L64" s="38" t="n">
        <f aca="true">IF(($H64=0),0,$D$4+$D$5*(RAND()-0.5))</f>
        <v>1.90101855611993</v>
      </c>
      <c r="M64" s="38" t="n">
        <f aca="false">L64+MAX(D64,M63)</f>
        <v>65.0822112307328</v>
      </c>
      <c r="N64" s="38" t="n">
        <f aca="false">IF((H64=1),M64-D64,0)</f>
        <v>9.66645352487852</v>
      </c>
      <c r="O64" s="16" t="n">
        <v>47</v>
      </c>
      <c r="P64" s="41" t="n">
        <f aca="false">IF((Arterial=0),P63+1,P63)</f>
        <v>26</v>
      </c>
      <c r="Q64" s="41" t="n">
        <f aca="false">IF((Arterial=1),Q63+1,Q63)</f>
        <v>21</v>
      </c>
      <c r="R64" s="42" t="n">
        <f aca="false">IF((RESET=1),0,R64+K64)</f>
        <v>270.504749424107</v>
      </c>
      <c r="S64" s="14" t="e">
        <f aca="false">IF(RESET=1,0,S64+N64)</f>
        <v>#N/A</v>
      </c>
      <c r="T64" s="2" t="n">
        <f aca="false">IF(RESET=1,0,T64+IF(H64=0,1,0))</f>
        <v>42</v>
      </c>
      <c r="U64" s="2" t="e">
        <f aca="false">IF(RESET=1,0,U64+H64)</f>
        <v>#N/A</v>
      </c>
      <c r="V64" s="14" t="n">
        <f aca="false">R64/(T64+0.00001)</f>
        <v>6.44058773852927</v>
      </c>
      <c r="W64" s="14" t="e">
        <f aca="false">S64/(U64+0.0001)</f>
        <v>#N/A</v>
      </c>
      <c r="X64" s="39" t="n">
        <f aca="false">IF(Informed=1,K64,0)</f>
        <v>0</v>
      </c>
      <c r="Y64" s="39" t="n">
        <f aca="false">IF(Informed=0,K64,0)</f>
        <v>0</v>
      </c>
      <c r="Z64" s="39" t="n">
        <f aca="false">IF(Informed=1,N64,0)</f>
        <v>9.66645352487852</v>
      </c>
      <c r="AA64" s="39" t="n">
        <f aca="false">IF(Informed=0,N64,0)</f>
        <v>0</v>
      </c>
      <c r="AB64" s="43" t="n">
        <f aca="false">IF(Arterial=0,IF(Informed=1,1,0),0)</f>
        <v>0</v>
      </c>
      <c r="AC64" s="43" t="n">
        <f aca="false">IF(Arterial=0,IF(Informed=0,1,0),0)</f>
        <v>0</v>
      </c>
      <c r="AD64" s="43" t="n">
        <f aca="false">IF(Arterial=1,IF(Informed=1,1,0),0)</f>
        <v>1</v>
      </c>
      <c r="AE64" s="43" t="n">
        <f aca="false">IF(Arterial=1,IF(Informed=0,1,0),0)</f>
        <v>0</v>
      </c>
      <c r="AF64" s="35" t="n">
        <f aca="false">IF(AB64=1,(X64-G$1030)^2,0)</f>
        <v>0</v>
      </c>
      <c r="AG64" s="35" t="n">
        <f aca="false">IF(AC64=1,(Y64-H$1030)^2,0)</f>
        <v>0</v>
      </c>
      <c r="AH64" s="35" t="n">
        <f aca="false">IF(AD64=1,(Z64-I$1030)^2,0)</f>
        <v>350.00352968223</v>
      </c>
      <c r="AI64" s="35" t="n">
        <f aca="false">IF(AE64=1,(AA64-J$1030)^2,0)</f>
        <v>0</v>
      </c>
      <c r="AJ64" s="37" t="n">
        <f aca="true">IF(RAND()&lt;$D$6,1,0)</f>
        <v>0</v>
      </c>
      <c r="AK64" s="14" t="n">
        <f aca="false">AK63+IF((AJ64=1),IF((H64=0),1,0),0)</f>
        <v>0</v>
      </c>
      <c r="AL64" s="14" t="n">
        <f aca="false">AL63+IF((AJ64=1),IF((H64=1),1,0),0)</f>
        <v>0</v>
      </c>
      <c r="AM64" s="37" t="n">
        <f aca="false">IF(AK64=0,9999,IF($H64=0,IF($AJ64&lt;1,AM63+1,0),AM63))</f>
        <v>9999</v>
      </c>
      <c r="AN64" s="37" t="n">
        <f aca="false">IF(AL64=0,9999,IF($H64=1,IF($AJ64&lt;1,AN63+1,0),AN63))</f>
        <v>9999</v>
      </c>
      <c r="AO64" s="37" t="n">
        <f aca="false">IF($A64-AM64&gt;0,1/(1+AM64),0)</f>
        <v>0</v>
      </c>
      <c r="AP64" s="37" t="n">
        <f aca="false">IF($A64-AN64&gt;0,1/(1+AN64),0)</f>
        <v>0</v>
      </c>
      <c r="AQ64" s="7" t="n">
        <f aca="false">IF(AK64=0,0,MAX(MIN(1,AO64^Power),0))</f>
        <v>0</v>
      </c>
      <c r="AR64" s="7" t="n">
        <f aca="false">IF(AL64=0,0,MAX(MIN(1,AP64^Power),0))</f>
        <v>0</v>
      </c>
      <c r="AS64" s="7" t="n">
        <f aca="false">IF($AJ64=1,IF($H64=0,K64,AS63),AS63)</f>
        <v>0</v>
      </c>
      <c r="AT64" s="7" t="n">
        <f aca="false">IF($AJ64=1,IF($H64=1,N64,AT63),AT63)</f>
        <v>0</v>
      </c>
    </row>
    <row r="65" customFormat="false" ht="13" hidden="false" customHeight="false" outlineLevel="0" collapsed="false">
      <c r="A65" s="16" t="n">
        <v>48</v>
      </c>
      <c r="B65" s="37" t="n">
        <f aca="true">IF(RAND()&lt;$D$8,1,0)</f>
        <v>0</v>
      </c>
      <c r="C65" s="20" t="n">
        <f aca="true">-LN(RAND())/$D$2</f>
        <v>0.323522719358418</v>
      </c>
      <c r="D65" s="38" t="n">
        <f aca="false">D64+C65</f>
        <v>55.7392804252127</v>
      </c>
      <c r="E65" s="39" t="n">
        <f aca="false">MAX($E$3,AS64)</f>
        <v>0</v>
      </c>
      <c r="F65" s="39" t="n">
        <f aca="false">MAX($E$3,AT64)</f>
        <v>0</v>
      </c>
      <c r="G65" s="40" t="n">
        <v>0.5</v>
      </c>
      <c r="H65" s="38" t="n">
        <f aca="true">IF((B65=1),(IF((F65&lt;E65),1,(IF((F65=E65),(IF(RAND()&lt;G65,1,0)),0)))),(IF((RAND()&lt;G65),1,0)))</f>
        <v>1</v>
      </c>
      <c r="I65" s="38" t="n">
        <f aca="true">IF((H65=1),0,$D$3+$D$5*(RAND()-0.5))</f>
        <v>0</v>
      </c>
      <c r="J65" s="38" t="n">
        <f aca="false">I65+MAX(D65,J64)</f>
        <v>58.2575633231474</v>
      </c>
      <c r="K65" s="38" t="n">
        <f aca="false">IF((H65=0),J65-D65,0)</f>
        <v>0</v>
      </c>
      <c r="L65" s="38" t="n">
        <f aca="true">IF(($H65=0),0,$D$4+$D$5*(RAND()-0.5))</f>
        <v>1.78923752585308</v>
      </c>
      <c r="M65" s="38" t="n">
        <f aca="false">L65+MAX(D65,M64)</f>
        <v>66.8714487565859</v>
      </c>
      <c r="N65" s="38" t="n">
        <f aca="false">IF((H65=1),M65-D65,0)</f>
        <v>11.1321683313732</v>
      </c>
      <c r="O65" s="16" t="n">
        <v>48</v>
      </c>
      <c r="P65" s="41" t="n">
        <f aca="false">IF((Arterial=0),P64+1,P64)</f>
        <v>26</v>
      </c>
      <c r="Q65" s="41" t="n">
        <f aca="false">IF((Arterial=1),Q64+1,Q64)</f>
        <v>22</v>
      </c>
      <c r="R65" s="42" t="n">
        <f aca="false">IF((RESET=1),0,R65+K65)</f>
        <v>274.497164129728</v>
      </c>
      <c r="S65" s="14" t="e">
        <f aca="false">IF(RESET=1,0,S65+N65)</f>
        <v>#N/A</v>
      </c>
      <c r="T65" s="2" t="n">
        <f aca="false">IF(RESET=1,0,T65+IF(H65=0,1,0))</f>
        <v>37</v>
      </c>
      <c r="U65" s="2" t="e">
        <f aca="false">IF(RESET=1,0,U65+H65)</f>
        <v>#N/A</v>
      </c>
      <c r="V65" s="14" t="n">
        <f aca="false">R65/(T65+0.00001)</f>
        <v>7.41884026868447</v>
      </c>
      <c r="W65" s="14" t="e">
        <f aca="false">S65/(U65+0.0001)</f>
        <v>#N/A</v>
      </c>
      <c r="X65" s="39" t="n">
        <f aca="false">IF(Informed=1,K65,0)</f>
        <v>0</v>
      </c>
      <c r="Y65" s="39" t="n">
        <f aca="false">IF(Informed=0,K65,0)</f>
        <v>0</v>
      </c>
      <c r="Z65" s="39" t="n">
        <f aca="false">IF(Informed=1,N65,0)</f>
        <v>0</v>
      </c>
      <c r="AA65" s="39" t="n">
        <f aca="false">IF(Informed=0,N65,0)</f>
        <v>11.1321683313732</v>
      </c>
      <c r="AB65" s="43" t="n">
        <f aca="false">IF(Arterial=0,IF(Informed=1,1,0),0)</f>
        <v>0</v>
      </c>
      <c r="AC65" s="43" t="n">
        <f aca="false">IF(Arterial=0,IF(Informed=0,1,0),0)</f>
        <v>0</v>
      </c>
      <c r="AD65" s="43" t="n">
        <f aca="false">IF(Arterial=1,IF(Informed=1,1,0),0)</f>
        <v>0</v>
      </c>
      <c r="AE65" s="43" t="n">
        <f aca="false">IF(Arterial=1,IF(Informed=0,1,0),0)</f>
        <v>1</v>
      </c>
      <c r="AF65" s="35" t="n">
        <f aca="false">IF(AB65=1,(X65-G$1030)^2,0)</f>
        <v>0</v>
      </c>
      <c r="AG65" s="35" t="n">
        <f aca="false">IF(AC65=1,(Y65-H$1030)^2,0)</f>
        <v>0</v>
      </c>
      <c r="AH65" s="35" t="n">
        <f aca="false">IF(AD65=1,(Z65-I$1030)^2,0)</f>
        <v>0</v>
      </c>
      <c r="AI65" s="35" t="n">
        <f aca="false">IF(AE65=1,(AA65-J$1030)^2,0)</f>
        <v>339.742555882942</v>
      </c>
      <c r="AJ65" s="37" t="n">
        <f aca="true">IF(RAND()&lt;$D$6,1,0)</f>
        <v>0</v>
      </c>
      <c r="AK65" s="14" t="n">
        <f aca="false">AK64+IF((AJ65=1),IF((H65=0),1,0),0)</f>
        <v>0</v>
      </c>
      <c r="AL65" s="14" t="n">
        <f aca="false">AL64+IF((AJ65=1),IF((H65=1),1,0),0)</f>
        <v>0</v>
      </c>
      <c r="AM65" s="37" t="n">
        <f aca="false">IF(AK65=0,9999,IF($H65=0,IF($AJ65&lt;1,AM64+1,0),AM64))</f>
        <v>9999</v>
      </c>
      <c r="AN65" s="37" t="n">
        <f aca="false">IF(AL65=0,9999,IF($H65=1,IF($AJ65&lt;1,AN64+1,0),AN64))</f>
        <v>9999</v>
      </c>
      <c r="AO65" s="37" t="n">
        <f aca="false">IF($A65-AM65&gt;0,1/(1+AM65),0)</f>
        <v>0</v>
      </c>
      <c r="AP65" s="37" t="n">
        <f aca="false">IF($A65-AN65&gt;0,1/(1+AN65),0)</f>
        <v>0</v>
      </c>
      <c r="AQ65" s="7" t="n">
        <f aca="false">IF(AK65=0,0,MAX(MIN(1,AO65^Power),0))</f>
        <v>0</v>
      </c>
      <c r="AR65" s="7" t="n">
        <f aca="false">IF(AL65=0,0,MAX(MIN(1,AP65^Power),0))</f>
        <v>0</v>
      </c>
      <c r="AS65" s="7" t="n">
        <f aca="false">IF($AJ65=1,IF($H65=0,K65,AS64),AS64)</f>
        <v>0</v>
      </c>
      <c r="AT65" s="7" t="n">
        <f aca="false">IF($AJ65=1,IF($H65=1,N65,AT64),AT64)</f>
        <v>0</v>
      </c>
    </row>
    <row r="66" customFormat="false" ht="13" hidden="false" customHeight="false" outlineLevel="0" collapsed="false">
      <c r="A66" s="16" t="n">
        <v>49</v>
      </c>
      <c r="B66" s="37" t="n">
        <f aca="true">IF(RAND()&lt;$D$8,1,0)</f>
        <v>0</v>
      </c>
      <c r="C66" s="20" t="n">
        <f aca="true">-LN(RAND())/$D$2</f>
        <v>0.0804561512937179</v>
      </c>
      <c r="D66" s="38" t="n">
        <f aca="false">D65+C66</f>
        <v>55.8197365765064</v>
      </c>
      <c r="E66" s="39" t="n">
        <f aca="false">MAX($E$3,AS65)</f>
        <v>0</v>
      </c>
      <c r="F66" s="39" t="n">
        <f aca="false">MAX($E$3,AT65)</f>
        <v>0</v>
      </c>
      <c r="G66" s="40" t="n">
        <v>0.5</v>
      </c>
      <c r="H66" s="38" t="n">
        <f aca="true">IF((B66=1),(IF((F66&lt;E66),1,(IF((F66=E66),(IF(RAND()&lt;G66,1,0)),0)))),(IF((RAND()&lt;G66),1,0)))</f>
        <v>1</v>
      </c>
      <c r="I66" s="38" t="n">
        <f aca="true">IF((H66=1),0,$D$3+$D$5*(RAND()-0.5))</f>
        <v>0</v>
      </c>
      <c r="J66" s="38" t="n">
        <f aca="false">I66+MAX(D66,J65)</f>
        <v>58.2575633231474</v>
      </c>
      <c r="K66" s="38" t="n">
        <f aca="false">IF((H66=0),J66-D66,0)</f>
        <v>0</v>
      </c>
      <c r="L66" s="38" t="n">
        <f aca="true">IF(($H66=0),0,$D$4+$D$5*(RAND()-0.5))</f>
        <v>2.05905425748317</v>
      </c>
      <c r="M66" s="38" t="n">
        <f aca="false">L66+MAX(D66,M65)</f>
        <v>68.9305030140691</v>
      </c>
      <c r="N66" s="38" t="n">
        <f aca="false">IF((H66=1),M66-D66,0)</f>
        <v>13.1107664375626</v>
      </c>
      <c r="O66" s="16" t="n">
        <v>49</v>
      </c>
      <c r="P66" s="41" t="n">
        <f aca="false">IF((Arterial=0),P65+1,P65)</f>
        <v>26</v>
      </c>
      <c r="Q66" s="41" t="n">
        <f aca="false">IF((Arterial=1),Q65+1,Q65)</f>
        <v>23</v>
      </c>
      <c r="R66" s="42" t="n">
        <f aca="false">IF((RESET=1),0,R66+K66)</f>
        <v>303.258841634632</v>
      </c>
      <c r="S66" s="14" t="e">
        <f aca="false">IF(RESET=1,0,S66+N66)</f>
        <v>#N/A</v>
      </c>
      <c r="T66" s="2" t="n">
        <f aca="false">IF(RESET=1,0,T66+IF(H66=0,1,0))</f>
        <v>41</v>
      </c>
      <c r="U66" s="2" t="e">
        <f aca="false">IF(RESET=1,0,U66+H66)</f>
        <v>#N/A</v>
      </c>
      <c r="V66" s="14" t="n">
        <f aca="false">R66/(T66+0.00001)</f>
        <v>7.39655530900192</v>
      </c>
      <c r="W66" s="14" t="e">
        <f aca="false">S66/(U66+0.0001)</f>
        <v>#N/A</v>
      </c>
      <c r="X66" s="39" t="n">
        <f aca="false">IF(Informed=1,K66,0)</f>
        <v>0</v>
      </c>
      <c r="Y66" s="39" t="n">
        <f aca="false">IF(Informed=0,K66,0)</f>
        <v>0</v>
      </c>
      <c r="Z66" s="39" t="n">
        <f aca="false">IF(Informed=1,N66,0)</f>
        <v>0</v>
      </c>
      <c r="AA66" s="39" t="n">
        <f aca="false">IF(Informed=0,N66,0)</f>
        <v>13.1107664375626</v>
      </c>
      <c r="AB66" s="43" t="n">
        <f aca="false">IF(Arterial=0,IF(Informed=1,1,0),0)</f>
        <v>0</v>
      </c>
      <c r="AC66" s="43" t="n">
        <f aca="false">IF(Arterial=0,IF(Informed=0,1,0),0)</f>
        <v>0</v>
      </c>
      <c r="AD66" s="43" t="n">
        <f aca="false">IF(Arterial=1,IF(Informed=1,1,0),0)</f>
        <v>0</v>
      </c>
      <c r="AE66" s="43" t="n">
        <f aca="false">IF(Arterial=1,IF(Informed=0,1,0),0)</f>
        <v>1</v>
      </c>
      <c r="AF66" s="35" t="n">
        <f aca="false">IF(AB66=1,(X66-G$1030)^2,0)</f>
        <v>0</v>
      </c>
      <c r="AG66" s="35" t="n">
        <f aca="false">IF(AC66=1,(Y66-H$1030)^2,0)</f>
        <v>0</v>
      </c>
      <c r="AH66" s="35" t="n">
        <f aca="false">IF(AD66=1,(Z66-I$1030)^2,0)</f>
        <v>0</v>
      </c>
      <c r="AI66" s="35" t="n">
        <f aca="false">IF(AE66=1,(AA66-J$1030)^2,0)</f>
        <v>270.717943692224</v>
      </c>
      <c r="AJ66" s="37" t="n">
        <f aca="true">IF(RAND()&lt;$D$6,1,0)</f>
        <v>0</v>
      </c>
      <c r="AK66" s="14" t="n">
        <f aca="false">AK65+IF((AJ66=1),IF((H66=0),1,0),0)</f>
        <v>0</v>
      </c>
      <c r="AL66" s="14" t="n">
        <f aca="false">AL65+IF((AJ66=1),IF((H66=1),1,0),0)</f>
        <v>0</v>
      </c>
      <c r="AM66" s="37" t="n">
        <f aca="false">IF(AK66=0,9999,IF($H66=0,IF($AJ66&lt;1,AM65+1,0),AM65))</f>
        <v>9999</v>
      </c>
      <c r="AN66" s="37" t="n">
        <f aca="false">IF(AL66=0,9999,IF($H66=1,IF($AJ66&lt;1,AN65+1,0),AN65))</f>
        <v>9999</v>
      </c>
      <c r="AO66" s="37" t="n">
        <f aca="false">IF($A66-AM66&gt;0,1/(1+AM66),0)</f>
        <v>0</v>
      </c>
      <c r="AP66" s="37" t="n">
        <f aca="false">IF($A66-AN66&gt;0,1/(1+AN66),0)</f>
        <v>0</v>
      </c>
      <c r="AQ66" s="7" t="n">
        <f aca="false">IF(AK66=0,0,MAX(MIN(1,AO66^Power),0))</f>
        <v>0</v>
      </c>
      <c r="AR66" s="7" t="n">
        <f aca="false">IF(AL66=0,0,MAX(MIN(1,AP66^Power),0))</f>
        <v>0</v>
      </c>
      <c r="AS66" s="7" t="n">
        <f aca="false">IF($AJ66=1,IF($H66=0,K66,AS65),AS65)</f>
        <v>0</v>
      </c>
      <c r="AT66" s="7" t="n">
        <f aca="false">IF($AJ66=1,IF($H66=1,N66,AT65),AT65)</f>
        <v>0</v>
      </c>
    </row>
    <row r="67" customFormat="false" ht="13" hidden="false" customHeight="false" outlineLevel="0" collapsed="false">
      <c r="A67" s="16" t="n">
        <v>50</v>
      </c>
      <c r="B67" s="37" t="n">
        <f aca="true">IF(RAND()&lt;$D$8,1,0)</f>
        <v>0</v>
      </c>
      <c r="C67" s="20" t="n">
        <f aca="true">-LN(RAND())/$D$2</f>
        <v>2.86802320586794</v>
      </c>
      <c r="D67" s="38" t="n">
        <f aca="false">D66+C67</f>
        <v>58.6877597823744</v>
      </c>
      <c r="E67" s="39" t="n">
        <f aca="false">MAX($E$3,AS66)</f>
        <v>0</v>
      </c>
      <c r="F67" s="39" t="n">
        <f aca="false">MAX($E$3,AT66)</f>
        <v>0</v>
      </c>
      <c r="G67" s="40" t="n">
        <v>0.5</v>
      </c>
      <c r="H67" s="38" t="n">
        <f aca="true">IF((B67=1),(IF((F67&lt;E67),1,(IF((F67=E67),(IF(RAND()&lt;G67,1,0)),0)))),(IF((RAND()&lt;G67),1,0)))</f>
        <v>0</v>
      </c>
      <c r="I67" s="38" t="n">
        <f aca="true">IF((H67=1),0,$D$3+$D$5*(RAND()-0.5))</f>
        <v>1.75422435785621</v>
      </c>
      <c r="J67" s="38" t="n">
        <f aca="false">I67+MAX(D67,J66)</f>
        <v>60.4419841402306</v>
      </c>
      <c r="K67" s="38" t="n">
        <f aca="false">IF((H67=0),J67-D67,0)</f>
        <v>1.75422435785621</v>
      </c>
      <c r="L67" s="38" t="n">
        <f aca="true">IF(($H67=0),0,$D$4+$D$5*(RAND()-0.5))</f>
        <v>0</v>
      </c>
      <c r="M67" s="38" t="n">
        <f aca="false">L67+MAX(D67,M66)</f>
        <v>68.9305030140691</v>
      </c>
      <c r="N67" s="38" t="n">
        <f aca="false">IF((H67=1),M67-D67,0)</f>
        <v>0</v>
      </c>
      <c r="O67" s="16" t="n">
        <v>50</v>
      </c>
      <c r="P67" s="41" t="n">
        <f aca="false">IF((Arterial=0),P66+1,P66)</f>
        <v>27</v>
      </c>
      <c r="Q67" s="41" t="n">
        <f aca="false">IF((Arterial=1),Q66+1,Q66)</f>
        <v>23</v>
      </c>
      <c r="R67" s="42" t="e">
        <f aca="false">IF((RESET=1),0,R67+K67)</f>
        <v>#N/A</v>
      </c>
      <c r="S67" s="14" t="n">
        <f aca="false">IF(RESET=1,0,S67+N67)</f>
        <v>488.15759895503</v>
      </c>
      <c r="T67" s="2" t="e">
        <f aca="false">IF(RESET=1,0,T67+IF(H67=0,1,0))</f>
        <v>#N/A</v>
      </c>
      <c r="U67" s="2" t="n">
        <f aca="false">IF(RESET=1,0,U67+H67)</f>
        <v>56</v>
      </c>
      <c r="V67" s="14" t="e">
        <f aca="false">R67/(T67+0.00001)</f>
        <v>#N/A</v>
      </c>
      <c r="W67" s="14" t="n">
        <f aca="false">S67/(U67+0.0001)</f>
        <v>8.71708441511765</v>
      </c>
      <c r="X67" s="39" t="n">
        <f aca="false">IF(Informed=1,K67,0)</f>
        <v>0</v>
      </c>
      <c r="Y67" s="39" t="n">
        <f aca="false">IF(Informed=0,K67,0)</f>
        <v>1.75422435785621</v>
      </c>
      <c r="Z67" s="39" t="n">
        <f aca="false">IF(Informed=1,N67,0)</f>
        <v>0</v>
      </c>
      <c r="AA67" s="39" t="n">
        <f aca="false">IF(Informed=0,N67,0)</f>
        <v>0</v>
      </c>
      <c r="AB67" s="43" t="n">
        <f aca="false">IF(Arterial=0,IF(Informed=1,1,0),0)</f>
        <v>0</v>
      </c>
      <c r="AC67" s="43" t="n">
        <f aca="false">IF(Arterial=0,IF(Informed=0,1,0),0)</f>
        <v>1</v>
      </c>
      <c r="AD67" s="43" t="n">
        <f aca="false">IF(Arterial=1,IF(Informed=1,1,0),0)</f>
        <v>0</v>
      </c>
      <c r="AE67" s="43" t="n">
        <f aca="false">IF(Arterial=1,IF(Informed=0,1,0),0)</f>
        <v>0</v>
      </c>
      <c r="AF67" s="35" t="n">
        <f aca="false">IF(AB67=1,(X67-G$1030)^2,0)</f>
        <v>0</v>
      </c>
      <c r="AG67" s="35" t="n">
        <f aca="false">IF(AC67=1,(Y67-H$1030)^2,0)</f>
        <v>84.0808469679348</v>
      </c>
      <c r="AH67" s="35" t="n">
        <f aca="false">IF(AD67=1,(Z67-I$1030)^2,0)</f>
        <v>0</v>
      </c>
      <c r="AI67" s="35" t="n">
        <f aca="false">IF(AE67=1,(AA67-J$1030)^2,0)</f>
        <v>0</v>
      </c>
      <c r="AJ67" s="37" t="n">
        <f aca="true">IF(RAND()&lt;$D$6,1,0)</f>
        <v>0</v>
      </c>
      <c r="AK67" s="14" t="n">
        <f aca="false">AK66+IF((AJ67=1),IF((H67=0),1,0),0)</f>
        <v>0</v>
      </c>
      <c r="AL67" s="14" t="n">
        <f aca="false">AL66+IF((AJ67=1),IF((H67=1),1,0),0)</f>
        <v>0</v>
      </c>
      <c r="AM67" s="37" t="n">
        <f aca="false">IF(AK67=0,9999,IF($H67=0,IF($AJ67&lt;1,AM66+1,0),AM66))</f>
        <v>9999</v>
      </c>
      <c r="AN67" s="37" t="n">
        <f aca="false">IF(AL67=0,9999,IF($H67=1,IF($AJ67&lt;1,AN66+1,0),AN66))</f>
        <v>9999</v>
      </c>
      <c r="AO67" s="37" t="n">
        <f aca="false">IF($A67-AM67&gt;0,1/(1+AM67),0)</f>
        <v>0</v>
      </c>
      <c r="AP67" s="37" t="n">
        <f aca="false">IF($A67-AN67&gt;0,1/(1+AN67),0)</f>
        <v>0</v>
      </c>
      <c r="AQ67" s="7" t="n">
        <f aca="false">IF(AK67=0,0,MAX(MIN(1,AO67^Power),0))</f>
        <v>0</v>
      </c>
      <c r="AR67" s="7" t="n">
        <f aca="false">IF(AL67=0,0,MAX(MIN(1,AP67^Power),0))</f>
        <v>0</v>
      </c>
      <c r="AS67" s="7" t="n">
        <f aca="false">IF($AJ67=1,IF($H67=0,K67,AS66),AS66)</f>
        <v>0</v>
      </c>
      <c r="AT67" s="7" t="n">
        <f aca="false">IF($AJ67=1,IF($H67=1,N67,AT66),AT66)</f>
        <v>0</v>
      </c>
    </row>
    <row r="68" customFormat="false" ht="13" hidden="false" customHeight="false" outlineLevel="0" collapsed="false">
      <c r="A68" s="16" t="n">
        <v>51</v>
      </c>
      <c r="B68" s="37" t="n">
        <f aca="true">IF(RAND()&lt;$D$8,1,0)</f>
        <v>0</v>
      </c>
      <c r="C68" s="20" t="n">
        <f aca="true">-LN(RAND())/$D$2</f>
        <v>0.0891039143537974</v>
      </c>
      <c r="D68" s="38" t="n">
        <f aca="false">D67+C68</f>
        <v>58.7768636967282</v>
      </c>
      <c r="E68" s="39" t="n">
        <f aca="false">MAX($E$3,AS67)</f>
        <v>0</v>
      </c>
      <c r="F68" s="39" t="n">
        <f aca="false">MAX($E$3,AT67)</f>
        <v>0</v>
      </c>
      <c r="G68" s="40" t="n">
        <v>0.5</v>
      </c>
      <c r="H68" s="38" t="n">
        <f aca="true">IF((B68=1),(IF((F68&lt;E68),1,(IF((F68=E68),(IF(RAND()&lt;G68,1,0)),0)))),(IF((RAND()&lt;G68),1,0)))</f>
        <v>1</v>
      </c>
      <c r="I68" s="38" t="n">
        <f aca="true">IF((H68=1),0,$D$3+$D$5*(RAND()-0.5))</f>
        <v>0</v>
      </c>
      <c r="J68" s="38" t="n">
        <f aca="false">I68+MAX(D68,J67)</f>
        <v>60.4419841402306</v>
      </c>
      <c r="K68" s="38" t="n">
        <f aca="false">IF((H68=0),J68-D68,0)</f>
        <v>0</v>
      </c>
      <c r="L68" s="38" t="n">
        <f aca="true">IF(($H68=0),0,$D$4+$D$5*(RAND()-0.5))</f>
        <v>2.18275615960917</v>
      </c>
      <c r="M68" s="38" t="n">
        <f aca="false">L68+MAX(D68,M67)</f>
        <v>71.1132591736782</v>
      </c>
      <c r="N68" s="38" t="n">
        <f aca="false">IF((H68=1),M68-D68,0)</f>
        <v>12.3363954769501</v>
      </c>
      <c r="O68" s="16" t="n">
        <v>51</v>
      </c>
      <c r="P68" s="41" t="n">
        <f aca="false">IF((Arterial=0),P67+1,P67)</f>
        <v>27</v>
      </c>
      <c r="Q68" s="41" t="n">
        <f aca="false">IF((Arterial=1),Q67+1,Q67)</f>
        <v>24</v>
      </c>
      <c r="R68" s="42" t="n">
        <f aca="false">IF((RESET=1),0,R68+K68)</f>
        <v>285.013374498842</v>
      </c>
      <c r="S68" s="14" t="e">
        <f aca="false">IF(RESET=1,0,S68+N68)</f>
        <v>#N/A</v>
      </c>
      <c r="T68" s="2" t="n">
        <f aca="false">IF(RESET=1,0,T68+IF(H68=0,1,0))</f>
        <v>39</v>
      </c>
      <c r="U68" s="2" t="e">
        <f aca="false">IF(RESET=1,0,U68+H68)</f>
        <v>#N/A</v>
      </c>
      <c r="V68" s="14" t="n">
        <f aca="false">R68/(T68+0.00001)</f>
        <v>7.30803336970533</v>
      </c>
      <c r="W68" s="14" t="e">
        <f aca="false">S68/(U68+0.0001)</f>
        <v>#N/A</v>
      </c>
      <c r="X68" s="39" t="n">
        <f aca="false">IF(Informed=1,K68,0)</f>
        <v>0</v>
      </c>
      <c r="Y68" s="39" t="n">
        <f aca="false">IF(Informed=0,K68,0)</f>
        <v>0</v>
      </c>
      <c r="Z68" s="39" t="n">
        <f aca="false">IF(Informed=1,N68,0)</f>
        <v>0</v>
      </c>
      <c r="AA68" s="39" t="n">
        <f aca="false">IF(Informed=0,N68,0)</f>
        <v>12.3363954769501</v>
      </c>
      <c r="AB68" s="43" t="n">
        <f aca="false">IF(Arterial=0,IF(Informed=1,1,0),0)</f>
        <v>0</v>
      </c>
      <c r="AC68" s="43" t="n">
        <f aca="false">IF(Arterial=0,IF(Informed=0,1,0),0)</f>
        <v>0</v>
      </c>
      <c r="AD68" s="43" t="n">
        <f aca="false">IF(Arterial=1,IF(Informed=1,1,0),0)</f>
        <v>0</v>
      </c>
      <c r="AE68" s="43" t="n">
        <f aca="false">IF(Arterial=1,IF(Informed=0,1,0),0)</f>
        <v>1</v>
      </c>
      <c r="AF68" s="35" t="n">
        <f aca="false">IF(AB68=1,(X68-G$1030)^2,0)</f>
        <v>0</v>
      </c>
      <c r="AG68" s="35" t="n">
        <f aca="false">IF(AC68=1,(Y68-H$1030)^2,0)</f>
        <v>0</v>
      </c>
      <c r="AH68" s="35" t="n">
        <f aca="false">IF(AD68=1,(Z68-I$1030)^2,0)</f>
        <v>0</v>
      </c>
      <c r="AI68" s="35" t="n">
        <f aca="false">IF(AE68=1,(AA68-J$1030)^2,0)</f>
        <v>296.799832523594</v>
      </c>
      <c r="AJ68" s="37" t="n">
        <f aca="true">IF(RAND()&lt;$D$6,1,0)</f>
        <v>0</v>
      </c>
      <c r="AK68" s="14" t="n">
        <f aca="false">AK67+IF((AJ68=1),IF((H68=0),1,0),0)</f>
        <v>0</v>
      </c>
      <c r="AL68" s="14" t="n">
        <f aca="false">AL67+IF((AJ68=1),IF((H68=1),1,0),0)</f>
        <v>0</v>
      </c>
      <c r="AM68" s="37" t="n">
        <f aca="false">IF(AK68=0,9999,IF($H68=0,IF($AJ68&lt;1,AM67+1,0),AM67))</f>
        <v>9999</v>
      </c>
      <c r="AN68" s="37" t="n">
        <f aca="false">IF(AL68=0,9999,IF($H68=1,IF($AJ68&lt;1,AN67+1,0),AN67))</f>
        <v>9999</v>
      </c>
      <c r="AO68" s="37" t="n">
        <f aca="false">IF($A68-AM68&gt;0,1/(1+AM68),0)</f>
        <v>0</v>
      </c>
      <c r="AP68" s="37" t="n">
        <f aca="false">IF($A68-AN68&gt;0,1/(1+AN68),0)</f>
        <v>0</v>
      </c>
      <c r="AQ68" s="7" t="n">
        <f aca="false">IF(AK68=0,0,MAX(MIN(1,AO68^Power),0))</f>
        <v>0</v>
      </c>
      <c r="AR68" s="7" t="n">
        <f aca="false">IF(AL68=0,0,MAX(MIN(1,AP68^Power),0))</f>
        <v>0</v>
      </c>
      <c r="AS68" s="7" t="n">
        <f aca="false">IF($AJ68=1,IF($H68=0,K68,AS67),AS67)</f>
        <v>0</v>
      </c>
      <c r="AT68" s="7" t="n">
        <f aca="false">IF($AJ68=1,IF($H68=1,N68,AT67),AT67)</f>
        <v>0</v>
      </c>
    </row>
    <row r="69" customFormat="false" ht="13" hidden="false" customHeight="false" outlineLevel="0" collapsed="false">
      <c r="A69" s="16" t="n">
        <v>52</v>
      </c>
      <c r="B69" s="37" t="n">
        <f aca="true">IF(RAND()&lt;$D$8,1,0)</f>
        <v>0</v>
      </c>
      <c r="C69" s="20" t="n">
        <f aca="true">-LN(RAND())/$D$2</f>
        <v>1.91612983868312</v>
      </c>
      <c r="D69" s="38" t="n">
        <f aca="false">D68+C69</f>
        <v>60.6929935354113</v>
      </c>
      <c r="E69" s="39" t="n">
        <f aca="false">MAX($E$3,AS68)</f>
        <v>0</v>
      </c>
      <c r="F69" s="39" t="n">
        <f aca="false">MAX($E$3,AT68)</f>
        <v>0</v>
      </c>
      <c r="G69" s="40" t="n">
        <v>0.5</v>
      </c>
      <c r="H69" s="38" t="n">
        <f aca="true">IF((B69=1),(IF((F69&lt;E69),1,(IF((F69=E69),(IF(RAND()&lt;G69,1,0)),0)))),(IF((RAND()&lt;G69),1,0)))</f>
        <v>1</v>
      </c>
      <c r="I69" s="38" t="n">
        <f aca="true">IF((H69=1),0,$D$3+$D$5*(RAND()-0.5))</f>
        <v>0</v>
      </c>
      <c r="J69" s="38" t="n">
        <f aca="false">I69+MAX(D69,J68)</f>
        <v>60.6929935354113</v>
      </c>
      <c r="K69" s="38" t="n">
        <f aca="false">IF((H69=0),J69-D69,0)</f>
        <v>0</v>
      </c>
      <c r="L69" s="38" t="n">
        <f aca="true">IF(($H69=0),0,$D$4+$D$5*(RAND()-0.5))</f>
        <v>2.15663097983208</v>
      </c>
      <c r="M69" s="38" t="n">
        <f aca="false">L69+MAX(D69,M68)</f>
        <v>73.2698901535103</v>
      </c>
      <c r="N69" s="38" t="n">
        <f aca="false">IF((H69=1),M69-D69,0)</f>
        <v>12.576896618099</v>
      </c>
      <c r="O69" s="16" t="n">
        <v>52</v>
      </c>
      <c r="P69" s="41" t="n">
        <f aca="false">IF((Arterial=0),P68+1,P68)</f>
        <v>27</v>
      </c>
      <c r="Q69" s="41" t="n">
        <f aca="false">IF((Arterial=1),Q68+1,Q68)</f>
        <v>25</v>
      </c>
      <c r="R69" s="42" t="n">
        <f aca="false">IF((RESET=1),0,R69+K69)</f>
        <v>265.492113704769</v>
      </c>
      <c r="S69" s="14" t="e">
        <f aca="false">IF(RESET=1,0,S69+N69)</f>
        <v>#N/A</v>
      </c>
      <c r="T69" s="2" t="n">
        <f aca="false">IF(RESET=1,0,T69+IF(H69=0,1,0))</f>
        <v>37</v>
      </c>
      <c r="U69" s="2" t="e">
        <f aca="false">IF(RESET=1,0,U69+H69)</f>
        <v>#N/A</v>
      </c>
      <c r="V69" s="14" t="n">
        <f aca="false">R69/(T69+0.00001)</f>
        <v>7.17546059324766</v>
      </c>
      <c r="W69" s="14" t="e">
        <f aca="false">S69/(U69+0.0001)</f>
        <v>#N/A</v>
      </c>
      <c r="X69" s="39" t="n">
        <f aca="false">IF(Informed=1,K69,0)</f>
        <v>0</v>
      </c>
      <c r="Y69" s="39" t="n">
        <f aca="false">IF(Informed=0,K69,0)</f>
        <v>0</v>
      </c>
      <c r="Z69" s="39" t="n">
        <f aca="false">IF(Informed=1,N69,0)</f>
        <v>0</v>
      </c>
      <c r="AA69" s="39" t="n">
        <f aca="false">IF(Informed=0,N69,0)</f>
        <v>12.576896618099</v>
      </c>
      <c r="AB69" s="43" t="n">
        <f aca="false">IF(Arterial=0,IF(Informed=1,1,0),0)</f>
        <v>0</v>
      </c>
      <c r="AC69" s="43" t="n">
        <f aca="false">IF(Arterial=0,IF(Informed=0,1,0),0)</f>
        <v>0</v>
      </c>
      <c r="AD69" s="43" t="n">
        <f aca="false">IF(Arterial=1,IF(Informed=1,1,0),0)</f>
        <v>0</v>
      </c>
      <c r="AE69" s="43" t="n">
        <f aca="false">IF(Arterial=1,IF(Informed=0,1,0),0)</f>
        <v>1</v>
      </c>
      <c r="AF69" s="35" t="n">
        <f aca="false">IF(AB69=1,(X69-G$1030)^2,0)</f>
        <v>0</v>
      </c>
      <c r="AG69" s="35" t="n">
        <f aca="false">IF(AC69=1,(Y69-H$1030)^2,0)</f>
        <v>0</v>
      </c>
      <c r="AH69" s="35" t="n">
        <f aca="false">IF(AD69=1,(Z69-I$1030)^2,0)</f>
        <v>0</v>
      </c>
      <c r="AI69" s="35" t="n">
        <f aca="false">IF(AE69=1,(AA69-J$1030)^2,0)</f>
        <v>288.571023957453</v>
      </c>
      <c r="AJ69" s="37" t="n">
        <f aca="true">IF(RAND()&lt;$D$6,1,0)</f>
        <v>0</v>
      </c>
      <c r="AK69" s="14" t="n">
        <f aca="false">AK68+IF((AJ69=1),IF((H69=0),1,0),0)</f>
        <v>0</v>
      </c>
      <c r="AL69" s="14" t="n">
        <f aca="false">AL68+IF((AJ69=1),IF((H69=1),1,0),0)</f>
        <v>0</v>
      </c>
      <c r="AM69" s="37" t="n">
        <f aca="false">IF(AK69=0,9999,IF($H69=0,IF($AJ69&lt;1,AM68+1,0),AM68))</f>
        <v>9999</v>
      </c>
      <c r="AN69" s="37" t="n">
        <f aca="false">IF(AL69=0,9999,IF($H69=1,IF($AJ69&lt;1,AN68+1,0),AN68))</f>
        <v>9999</v>
      </c>
      <c r="AO69" s="37" t="n">
        <f aca="false">IF($A69-AM69&gt;0,1/(1+AM69),0)</f>
        <v>0</v>
      </c>
      <c r="AP69" s="37" t="n">
        <f aca="false">IF($A69-AN69&gt;0,1/(1+AN69),0)</f>
        <v>0</v>
      </c>
      <c r="AQ69" s="7" t="n">
        <f aca="false">IF(AK69=0,0,MAX(MIN(1,AO69^Power),0))</f>
        <v>0</v>
      </c>
      <c r="AR69" s="7" t="n">
        <f aca="false">IF(AL69=0,0,MAX(MIN(1,AP69^Power),0))</f>
        <v>0</v>
      </c>
      <c r="AS69" s="7" t="n">
        <f aca="false">IF($AJ69=1,IF($H69=0,K69,AS68),AS68)</f>
        <v>0</v>
      </c>
      <c r="AT69" s="7" t="n">
        <f aca="false">IF($AJ69=1,IF($H69=1,N69,AT68),AT68)</f>
        <v>0</v>
      </c>
    </row>
    <row r="70" customFormat="false" ht="13" hidden="false" customHeight="false" outlineLevel="0" collapsed="false">
      <c r="A70" s="16" t="n">
        <v>53</v>
      </c>
      <c r="B70" s="37" t="n">
        <f aca="true">IF(RAND()&lt;$D$8,1,0)</f>
        <v>0</v>
      </c>
      <c r="C70" s="20" t="n">
        <f aca="true">-LN(RAND())/$D$2</f>
        <v>2.94630629151242</v>
      </c>
      <c r="D70" s="38" t="n">
        <f aca="false">D69+C70</f>
        <v>63.6392998269237</v>
      </c>
      <c r="E70" s="39" t="n">
        <f aca="false">MAX($E$3,AS69)</f>
        <v>0</v>
      </c>
      <c r="F70" s="39" t="n">
        <f aca="false">MAX($E$3,AT69)</f>
        <v>0</v>
      </c>
      <c r="G70" s="40" t="n">
        <v>0.5</v>
      </c>
      <c r="H70" s="38" t="n">
        <f aca="true">IF((B70=1),(IF((F70&lt;E70),1,(IF((F70=E70),(IF(RAND()&lt;G70,1,0)),0)))),(IF((RAND()&lt;G70),1,0)))</f>
        <v>0</v>
      </c>
      <c r="I70" s="38" t="n">
        <f aca="true">IF((H70=1),0,$D$3+$D$5*(RAND()-0.5))</f>
        <v>2.20252366473699</v>
      </c>
      <c r="J70" s="38" t="n">
        <f aca="false">I70+MAX(D70,J69)</f>
        <v>65.8418234916607</v>
      </c>
      <c r="K70" s="38" t="n">
        <f aca="false">IF((H70=0),J70-D70,0)</f>
        <v>2.20252366473699</v>
      </c>
      <c r="L70" s="38" t="n">
        <f aca="true">IF(($H70=0),0,$D$4+$D$5*(RAND()-0.5))</f>
        <v>0</v>
      </c>
      <c r="M70" s="38" t="n">
        <f aca="false">L70+MAX(D70,M69)</f>
        <v>73.2698901535103</v>
      </c>
      <c r="N70" s="38" t="n">
        <f aca="false">IF((H70=1),M70-D70,0)</f>
        <v>0</v>
      </c>
      <c r="O70" s="16" t="n">
        <v>53</v>
      </c>
      <c r="P70" s="41" t="n">
        <f aca="false">IF((Arterial=0),P69+1,P69)</f>
        <v>28</v>
      </c>
      <c r="Q70" s="41" t="n">
        <f aca="false">IF((Arterial=1),Q69+1,Q69)</f>
        <v>25</v>
      </c>
      <c r="R70" s="42" t="e">
        <f aca="false">IF((RESET=1),0,R70+K70)</f>
        <v>#N/A</v>
      </c>
      <c r="S70" s="14" t="n">
        <f aca="false">IF(RESET=1,0,S70+N70)</f>
        <v>378.361105327298</v>
      </c>
      <c r="T70" s="2" t="e">
        <f aca="false">IF(RESET=1,0,T70+IF(H70=0,1,0))</f>
        <v>#N/A</v>
      </c>
      <c r="U70" s="2" t="n">
        <f aca="false">IF(RESET=1,0,U70+H70)</f>
        <v>43</v>
      </c>
      <c r="V70" s="14" t="e">
        <f aca="false">R70/(T70+0.00001)</f>
        <v>#N/A</v>
      </c>
      <c r="W70" s="14" t="n">
        <f aca="false">S70/(U70+0.0001)</f>
        <v>8.79907500976272</v>
      </c>
      <c r="X70" s="39" t="n">
        <f aca="false">IF(Informed=1,K70,0)</f>
        <v>0</v>
      </c>
      <c r="Y70" s="39" t="n">
        <f aca="false">IF(Informed=0,K70,0)</f>
        <v>2.20252366473699</v>
      </c>
      <c r="Z70" s="39" t="n">
        <f aca="false">IF(Informed=1,N70,0)</f>
        <v>0</v>
      </c>
      <c r="AA70" s="39" t="n">
        <f aca="false">IF(Informed=0,N70,0)</f>
        <v>0</v>
      </c>
      <c r="AB70" s="43" t="n">
        <f aca="false">IF(Arterial=0,IF(Informed=1,1,0),0)</f>
        <v>0</v>
      </c>
      <c r="AC70" s="43" t="n">
        <f aca="false">IF(Arterial=0,IF(Informed=0,1,0),0)</f>
        <v>1</v>
      </c>
      <c r="AD70" s="43" t="n">
        <f aca="false">IF(Arterial=1,IF(Informed=1,1,0),0)</f>
        <v>0</v>
      </c>
      <c r="AE70" s="43" t="n">
        <f aca="false">IF(Arterial=1,IF(Informed=0,1,0),0)</f>
        <v>0</v>
      </c>
      <c r="AF70" s="35" t="n">
        <f aca="false">IF(AB70=1,(X70-G$1030)^2,0)</f>
        <v>0</v>
      </c>
      <c r="AG70" s="35" t="n">
        <f aca="false">IF(AC70=1,(Y70-H$1030)^2,0)</f>
        <v>76.0604036511408</v>
      </c>
      <c r="AH70" s="35" t="n">
        <f aca="false">IF(AD70=1,(Z70-I$1030)^2,0)</f>
        <v>0</v>
      </c>
      <c r="AI70" s="35" t="n">
        <f aca="false">IF(AE70=1,(AA70-J$1030)^2,0)</f>
        <v>0</v>
      </c>
      <c r="AJ70" s="37" t="n">
        <f aca="true">IF(RAND()&lt;$D$6,1,0)</f>
        <v>0</v>
      </c>
      <c r="AK70" s="14" t="n">
        <f aca="false">AK69+IF((AJ70=1),IF((H70=0),1,0),0)</f>
        <v>0</v>
      </c>
      <c r="AL70" s="14" t="n">
        <f aca="false">AL69+IF((AJ70=1),IF((H70=1),1,0),0)</f>
        <v>0</v>
      </c>
      <c r="AM70" s="37" t="n">
        <f aca="false">IF(AK70=0,9999,IF($H70=0,IF($AJ70&lt;1,AM69+1,0),AM69))</f>
        <v>9999</v>
      </c>
      <c r="AN70" s="37" t="n">
        <f aca="false">IF(AL70=0,9999,IF($H70=1,IF($AJ70&lt;1,AN69+1,0),AN69))</f>
        <v>9999</v>
      </c>
      <c r="AO70" s="37" t="n">
        <f aca="false">IF($A70-AM70&gt;0,1/(1+AM70),0)</f>
        <v>0</v>
      </c>
      <c r="AP70" s="37" t="n">
        <f aca="false">IF($A70-AN70&gt;0,1/(1+AN70),0)</f>
        <v>0</v>
      </c>
      <c r="AQ70" s="7" t="n">
        <f aca="false">IF(AK70=0,0,MAX(MIN(1,AO70^Power),0))</f>
        <v>0</v>
      </c>
      <c r="AR70" s="7" t="n">
        <f aca="false">IF(AL70=0,0,MAX(MIN(1,AP70^Power),0))</f>
        <v>0</v>
      </c>
      <c r="AS70" s="7" t="n">
        <f aca="false">IF($AJ70=1,IF($H70=0,K70,AS69),AS69)</f>
        <v>0</v>
      </c>
      <c r="AT70" s="7" t="n">
        <f aca="false">IF($AJ70=1,IF($H70=1,N70,AT69),AT69)</f>
        <v>0</v>
      </c>
    </row>
    <row r="71" customFormat="false" ht="13" hidden="false" customHeight="false" outlineLevel="0" collapsed="false">
      <c r="A71" s="16" t="n">
        <v>54</v>
      </c>
      <c r="B71" s="37" t="n">
        <f aca="true">IF(RAND()&lt;$D$8,1,0)</f>
        <v>0</v>
      </c>
      <c r="C71" s="20" t="n">
        <f aca="true">-LN(RAND())/$D$2</f>
        <v>1.14913491546785</v>
      </c>
      <c r="D71" s="38" t="n">
        <f aca="false">D70+C71</f>
        <v>64.7884347423916</v>
      </c>
      <c r="E71" s="39" t="n">
        <f aca="false">MAX($E$3,AS70)</f>
        <v>0</v>
      </c>
      <c r="F71" s="39" t="n">
        <f aca="false">MAX($E$3,AT70)</f>
        <v>0</v>
      </c>
      <c r="G71" s="40" t="n">
        <v>0.5</v>
      </c>
      <c r="H71" s="38" t="n">
        <f aca="true">IF((B71=1),(IF((F71&lt;E71),1,(IF((F71=E71),(IF(RAND()&lt;G71,1,0)),0)))),(IF((RAND()&lt;G71),1,0)))</f>
        <v>0</v>
      </c>
      <c r="I71" s="38" t="n">
        <f aca="true">IF((H71=1),0,$D$3+$D$5*(RAND()-0.5))</f>
        <v>1.80571610880092</v>
      </c>
      <c r="J71" s="38" t="n">
        <f aca="false">I71+MAX(D71,J70)</f>
        <v>67.6475396004616</v>
      </c>
      <c r="K71" s="38" t="n">
        <f aca="false">IF((H71=0),J71-D71,0)</f>
        <v>2.85910485807007</v>
      </c>
      <c r="L71" s="38" t="n">
        <f aca="true">IF(($H71=0),0,$D$4+$D$5*(RAND()-0.5))</f>
        <v>0</v>
      </c>
      <c r="M71" s="38" t="n">
        <f aca="false">L71+MAX(D71,M70)</f>
        <v>73.2698901535103</v>
      </c>
      <c r="N71" s="38" t="n">
        <f aca="false">IF((H71=1),M71-D71,0)</f>
        <v>0</v>
      </c>
      <c r="O71" s="16" t="n">
        <v>54</v>
      </c>
      <c r="P71" s="41" t="n">
        <f aca="false">IF((Arterial=0),P70+1,P70)</f>
        <v>29</v>
      </c>
      <c r="Q71" s="41" t="n">
        <f aca="false">IF((Arterial=1),Q70+1,Q70)</f>
        <v>25</v>
      </c>
      <c r="R71" s="42" t="e">
        <f aca="false">IF((RESET=1),0,R71+K71)</f>
        <v>#N/A</v>
      </c>
      <c r="S71" s="14" t="n">
        <f aca="false">IF(RESET=1,0,S71+N71)</f>
        <v>287.404341302235</v>
      </c>
      <c r="T71" s="2" t="e">
        <f aca="false">IF(RESET=1,0,T71+IF(H71=0,1,0))</f>
        <v>#N/A</v>
      </c>
      <c r="U71" s="2" t="n">
        <f aca="false">IF(RESET=1,0,U71+H71)</f>
        <v>37</v>
      </c>
      <c r="V71" s="14" t="e">
        <f aca="false">R71/(T71+0.00001)</f>
        <v>#N/A</v>
      </c>
      <c r="W71" s="14" t="n">
        <f aca="false">S71/(U71+0.0001)</f>
        <v>7.76766390637416</v>
      </c>
      <c r="X71" s="39" t="n">
        <f aca="false">IF(Informed=1,K71,0)</f>
        <v>0</v>
      </c>
      <c r="Y71" s="39" t="n">
        <f aca="false">IF(Informed=0,K71,0)</f>
        <v>2.85910485807007</v>
      </c>
      <c r="Z71" s="39" t="n">
        <f aca="false">IF(Informed=1,N71,0)</f>
        <v>0</v>
      </c>
      <c r="AA71" s="39" t="n">
        <f aca="false">IF(Informed=0,N71,0)</f>
        <v>0</v>
      </c>
      <c r="AB71" s="43" t="n">
        <f aca="false">IF(Arterial=0,IF(Informed=1,1,0),0)</f>
        <v>0</v>
      </c>
      <c r="AC71" s="43" t="n">
        <f aca="false">IF(Arterial=0,IF(Informed=0,1,0),0)</f>
        <v>1</v>
      </c>
      <c r="AD71" s="43" t="n">
        <f aca="false">IF(Arterial=1,IF(Informed=1,1,0),0)</f>
        <v>0</v>
      </c>
      <c r="AE71" s="43" t="n">
        <f aca="false">IF(Arterial=1,IF(Informed=0,1,0),0)</f>
        <v>0</v>
      </c>
      <c r="AF71" s="35" t="n">
        <f aca="false">IF(AB71=1,(X71-G$1030)^2,0)</f>
        <v>0</v>
      </c>
      <c r="AG71" s="35" t="n">
        <f aca="false">IF(AC71=1,(Y71-H$1030)^2,0)</f>
        <v>65.0390698355903</v>
      </c>
      <c r="AH71" s="35" t="n">
        <f aca="false">IF(AD71=1,(Z71-I$1030)^2,0)</f>
        <v>0</v>
      </c>
      <c r="AI71" s="35" t="n">
        <f aca="false">IF(AE71=1,(AA71-J$1030)^2,0)</f>
        <v>0</v>
      </c>
      <c r="AJ71" s="37" t="n">
        <f aca="true">IF(RAND()&lt;$D$6,1,0)</f>
        <v>0</v>
      </c>
      <c r="AK71" s="14" t="n">
        <f aca="false">AK70+IF((AJ71=1),IF((H71=0),1,0),0)</f>
        <v>0</v>
      </c>
      <c r="AL71" s="14" t="n">
        <f aca="false">AL70+IF((AJ71=1),IF((H71=1),1,0),0)</f>
        <v>0</v>
      </c>
      <c r="AM71" s="37" t="n">
        <f aca="false">IF(AK71=0,9999,IF($H71=0,IF($AJ71&lt;1,AM70+1,0),AM70))</f>
        <v>9999</v>
      </c>
      <c r="AN71" s="37" t="n">
        <f aca="false">IF(AL71=0,9999,IF($H71=1,IF($AJ71&lt;1,AN70+1,0),AN70))</f>
        <v>9999</v>
      </c>
      <c r="AO71" s="37" t="n">
        <f aca="false">IF($A71-AM71&gt;0,1/(1+AM71),0)</f>
        <v>0</v>
      </c>
      <c r="AP71" s="37" t="n">
        <f aca="false">IF($A71-AN71&gt;0,1/(1+AN71),0)</f>
        <v>0</v>
      </c>
      <c r="AQ71" s="7" t="n">
        <f aca="false">IF(AK71=0,0,MAX(MIN(1,AO71^Power),0))</f>
        <v>0</v>
      </c>
      <c r="AR71" s="7" t="n">
        <f aca="false">IF(AL71=0,0,MAX(MIN(1,AP71^Power),0))</f>
        <v>0</v>
      </c>
      <c r="AS71" s="7" t="n">
        <f aca="false">IF($AJ71=1,IF($H71=0,K71,AS70),AS70)</f>
        <v>0</v>
      </c>
      <c r="AT71" s="7" t="n">
        <f aca="false">IF($AJ71=1,IF($H71=1,N71,AT70),AT70)</f>
        <v>0</v>
      </c>
    </row>
    <row r="72" customFormat="false" ht="13" hidden="false" customHeight="false" outlineLevel="0" collapsed="false">
      <c r="A72" s="16" t="n">
        <v>55</v>
      </c>
      <c r="B72" s="37" t="n">
        <f aca="true">IF(RAND()&lt;$D$8,1,0)</f>
        <v>1</v>
      </c>
      <c r="C72" s="20" t="n">
        <f aca="true">-LN(RAND())/$D$2</f>
        <v>4.21501918351383</v>
      </c>
      <c r="D72" s="38" t="n">
        <f aca="false">D71+C72</f>
        <v>69.0034539259054</v>
      </c>
      <c r="E72" s="39" t="n">
        <f aca="false">MAX($E$3,AS71)</f>
        <v>0</v>
      </c>
      <c r="F72" s="39" t="n">
        <f aca="false">MAX($E$3,AT71)</f>
        <v>0</v>
      </c>
      <c r="G72" s="40" t="n">
        <v>0.5</v>
      </c>
      <c r="H72" s="38" t="n">
        <f aca="true">IF((B72=1),(IF((F72&lt;E72),1,(IF((F72=E72),(IF(RAND()&lt;G72,1,0)),0)))),(IF((RAND()&lt;G72),1,0)))</f>
        <v>1</v>
      </c>
      <c r="I72" s="38" t="n">
        <f aca="true">IF((H72=1),0,$D$3+$D$5*(RAND()-0.5))</f>
        <v>0</v>
      </c>
      <c r="J72" s="38" t="n">
        <f aca="false">I72+MAX(D72,J71)</f>
        <v>69.0034539259054</v>
      </c>
      <c r="K72" s="38" t="n">
        <f aca="false">IF((H72=0),J72-D72,0)</f>
        <v>0</v>
      </c>
      <c r="L72" s="38" t="n">
        <f aca="true">IF(($H72=0),0,$D$4+$D$5*(RAND()-0.5))</f>
        <v>2.05309790155799</v>
      </c>
      <c r="M72" s="38" t="n">
        <f aca="false">L72+MAX(D72,M71)</f>
        <v>75.3229880550683</v>
      </c>
      <c r="N72" s="38" t="n">
        <f aca="false">IF((H72=1),M72-D72,0)</f>
        <v>6.31953412916293</v>
      </c>
      <c r="O72" s="16" t="n">
        <v>55</v>
      </c>
      <c r="P72" s="41" t="n">
        <f aca="false">IF((Arterial=0),P71+1,P71)</f>
        <v>29</v>
      </c>
      <c r="Q72" s="41" t="n">
        <f aca="false">IF((Arterial=1),Q71+1,Q71)</f>
        <v>26</v>
      </c>
      <c r="R72" s="42" t="n">
        <f aca="false">IF((RESET=1),0,R72+K72)</f>
        <v>213.343348762183</v>
      </c>
      <c r="S72" s="14" t="e">
        <f aca="false">IF(RESET=1,0,S72+N72)</f>
        <v>#N/A</v>
      </c>
      <c r="T72" s="2" t="n">
        <f aca="false">IF(RESET=1,0,T72+IF(H72=0,1,0))</f>
        <v>32</v>
      </c>
      <c r="U72" s="2" t="e">
        <f aca="false">IF(RESET=1,0,U72+H72)</f>
        <v>#N/A</v>
      </c>
      <c r="V72" s="14" t="n">
        <f aca="false">R72/(T72+0.00001)</f>
        <v>6.66697756538774</v>
      </c>
      <c r="W72" s="14" t="e">
        <f aca="false">S72/(U72+0.0001)</f>
        <v>#N/A</v>
      </c>
      <c r="X72" s="39" t="n">
        <f aca="false">IF(Informed=1,K72,0)</f>
        <v>0</v>
      </c>
      <c r="Y72" s="39" t="n">
        <f aca="false">IF(Informed=0,K72,0)</f>
        <v>0</v>
      </c>
      <c r="Z72" s="39" t="n">
        <f aca="false">IF(Informed=1,N72,0)</f>
        <v>6.31953412916293</v>
      </c>
      <c r="AA72" s="39" t="n">
        <f aca="false">IF(Informed=0,N72,0)</f>
        <v>0</v>
      </c>
      <c r="AB72" s="43" t="n">
        <f aca="false">IF(Arterial=0,IF(Informed=1,1,0),0)</f>
        <v>0</v>
      </c>
      <c r="AC72" s="43" t="n">
        <f aca="false">IF(Arterial=0,IF(Informed=0,1,0),0)</f>
        <v>0</v>
      </c>
      <c r="AD72" s="43" t="n">
        <f aca="false">IF(Arterial=1,IF(Informed=1,1,0),0)</f>
        <v>1</v>
      </c>
      <c r="AE72" s="43" t="n">
        <f aca="false">IF(Arterial=1,IF(Informed=0,1,0),0)</f>
        <v>0</v>
      </c>
      <c r="AF72" s="35" t="n">
        <f aca="false">IF(AB72=1,(X72-G$1030)^2,0)</f>
        <v>0</v>
      </c>
      <c r="AG72" s="35" t="n">
        <f aca="false">IF(AC72=1,(Y72-H$1030)^2,0)</f>
        <v>0</v>
      </c>
      <c r="AH72" s="35" t="n">
        <f aca="false">IF(AD72=1,(Z72-I$1030)^2,0)</f>
        <v>486.436287382664</v>
      </c>
      <c r="AI72" s="35" t="n">
        <f aca="false">IF(AE72=1,(AA72-J$1030)^2,0)</f>
        <v>0</v>
      </c>
      <c r="AJ72" s="37" t="n">
        <f aca="true">IF(RAND()&lt;$D$6,1,0)</f>
        <v>0</v>
      </c>
      <c r="AK72" s="14" t="n">
        <f aca="false">AK71+IF((AJ72=1),IF((H72=0),1,0),0)</f>
        <v>0</v>
      </c>
      <c r="AL72" s="14" t="n">
        <f aca="false">AL71+IF((AJ72=1),IF((H72=1),1,0),0)</f>
        <v>0</v>
      </c>
      <c r="AM72" s="37" t="n">
        <f aca="false">IF(AK72=0,9999,IF($H72=0,IF($AJ72&lt;1,AM71+1,0),AM71))</f>
        <v>9999</v>
      </c>
      <c r="AN72" s="37" t="n">
        <f aca="false">IF(AL72=0,9999,IF($H72=1,IF($AJ72&lt;1,AN71+1,0),AN71))</f>
        <v>9999</v>
      </c>
      <c r="AO72" s="37" t="n">
        <f aca="false">IF($A72-AM72&gt;0,1/(1+AM72),0)</f>
        <v>0</v>
      </c>
      <c r="AP72" s="37" t="n">
        <f aca="false">IF($A72-AN72&gt;0,1/(1+AN72),0)</f>
        <v>0</v>
      </c>
      <c r="AQ72" s="7" t="n">
        <f aca="false">IF(AK72=0,0,MAX(MIN(1,AO72^Power),0))</f>
        <v>0</v>
      </c>
      <c r="AR72" s="7" t="n">
        <f aca="false">IF(AL72=0,0,MAX(MIN(1,AP72^Power),0))</f>
        <v>0</v>
      </c>
      <c r="AS72" s="7" t="n">
        <f aca="false">IF($AJ72=1,IF($H72=0,K72,AS71),AS71)</f>
        <v>0</v>
      </c>
      <c r="AT72" s="7" t="n">
        <f aca="false">IF($AJ72=1,IF($H72=1,N72,AT71),AT71)</f>
        <v>0</v>
      </c>
    </row>
    <row r="73" customFormat="false" ht="13" hidden="false" customHeight="false" outlineLevel="0" collapsed="false">
      <c r="A73" s="16" t="n">
        <v>56</v>
      </c>
      <c r="B73" s="37" t="n">
        <f aca="true">IF(RAND()&lt;$D$8,1,0)</f>
        <v>1</v>
      </c>
      <c r="C73" s="20" t="n">
        <f aca="true">-LN(RAND())/$D$2</f>
        <v>0.554868934734907</v>
      </c>
      <c r="D73" s="38" t="n">
        <f aca="false">D72+C73</f>
        <v>69.5583228606403</v>
      </c>
      <c r="E73" s="39" t="n">
        <f aca="false">MAX($E$3,AS72)</f>
        <v>0</v>
      </c>
      <c r="F73" s="39" t="n">
        <f aca="false">MAX($E$3,AT72)</f>
        <v>0</v>
      </c>
      <c r="G73" s="40" t="n">
        <v>0.5</v>
      </c>
      <c r="H73" s="38" t="n">
        <f aca="true">IF((B73=1),(IF((F73&lt;E73),1,(IF((F73=E73),(IF(RAND()&lt;G73,1,0)),0)))),(IF((RAND()&lt;G73),1,0)))</f>
        <v>1</v>
      </c>
      <c r="I73" s="38" t="n">
        <f aca="true">IF((H73=1),0,$D$3+$D$5*(RAND()-0.5))</f>
        <v>0</v>
      </c>
      <c r="J73" s="38" t="n">
        <f aca="false">I73+MAX(D73,J72)</f>
        <v>69.5583228606403</v>
      </c>
      <c r="K73" s="38" t="n">
        <f aca="false">IF((H73=0),J73-D73,0)</f>
        <v>0</v>
      </c>
      <c r="L73" s="38" t="n">
        <f aca="true">IF(($H73=0),0,$D$4+$D$5*(RAND()-0.5))</f>
        <v>2.20736818871938</v>
      </c>
      <c r="M73" s="38" t="n">
        <f aca="false">L73+MAX(D73,M72)</f>
        <v>77.5303562437877</v>
      </c>
      <c r="N73" s="38" t="n">
        <f aca="false">IF((H73=1),M73-D73,0)</f>
        <v>7.97203338314739</v>
      </c>
      <c r="O73" s="16" t="n">
        <v>56</v>
      </c>
      <c r="P73" s="41" t="n">
        <f aca="false">IF((Arterial=0),P72+1,P72)</f>
        <v>29</v>
      </c>
      <c r="Q73" s="41" t="n">
        <f aca="false">IF((Arterial=1),Q72+1,Q72)</f>
        <v>27</v>
      </c>
      <c r="R73" s="42" t="n">
        <f aca="false">IF((RESET=1),0,R73+K73)</f>
        <v>295.711417541576</v>
      </c>
      <c r="S73" s="14" t="e">
        <f aca="false">IF(RESET=1,0,S73+N73)</f>
        <v>#N/A</v>
      </c>
      <c r="T73" s="2" t="n">
        <f aca="false">IF(RESET=1,0,T73+IF(H73=0,1,0))</f>
        <v>42</v>
      </c>
      <c r="U73" s="2" t="e">
        <f aca="false">IF(RESET=1,0,U73+H73)</f>
        <v>#N/A</v>
      </c>
      <c r="V73" s="14" t="n">
        <f aca="false">R73/(T73+0.00001)</f>
        <v>7.04074636033601</v>
      </c>
      <c r="W73" s="14" t="e">
        <f aca="false">S73/(U73+0.0001)</f>
        <v>#N/A</v>
      </c>
      <c r="X73" s="39" t="n">
        <f aca="false">IF(Informed=1,K73,0)</f>
        <v>0</v>
      </c>
      <c r="Y73" s="39" t="n">
        <f aca="false">IF(Informed=0,K73,0)</f>
        <v>0</v>
      </c>
      <c r="Z73" s="39" t="n">
        <f aca="false">IF(Informed=1,N73,0)</f>
        <v>7.97203338314739</v>
      </c>
      <c r="AA73" s="39" t="n">
        <f aca="false">IF(Informed=0,N73,0)</f>
        <v>0</v>
      </c>
      <c r="AB73" s="43" t="n">
        <f aca="false">IF(Arterial=0,IF(Informed=1,1,0),0)</f>
        <v>0</v>
      </c>
      <c r="AC73" s="43" t="n">
        <f aca="false">IF(Arterial=0,IF(Informed=0,1,0),0)</f>
        <v>0</v>
      </c>
      <c r="AD73" s="43" t="n">
        <f aca="false">IF(Arterial=1,IF(Informed=1,1,0),0)</f>
        <v>1</v>
      </c>
      <c r="AE73" s="43" t="n">
        <f aca="false">IF(Arterial=1,IF(Informed=0,1,0),0)</f>
        <v>0</v>
      </c>
      <c r="AF73" s="35" t="n">
        <f aca="false">IF(AB73=1,(X73-G$1030)^2,0)</f>
        <v>0</v>
      </c>
      <c r="AG73" s="35" t="n">
        <f aca="false">IF(AC73=1,(Y73-H$1030)^2,0)</f>
        <v>0</v>
      </c>
      <c r="AH73" s="35" t="n">
        <f aca="false">IF(AD73=1,(Z73-I$1030)^2,0)</f>
        <v>416.274305379515</v>
      </c>
      <c r="AI73" s="35" t="n">
        <f aca="false">IF(AE73=1,(AA73-J$1030)^2,0)</f>
        <v>0</v>
      </c>
      <c r="AJ73" s="37" t="n">
        <f aca="true">IF(RAND()&lt;$D$6,1,0)</f>
        <v>0</v>
      </c>
      <c r="AK73" s="14" t="n">
        <f aca="false">AK72+IF((AJ73=1),IF((H73=0),1,0),0)</f>
        <v>0</v>
      </c>
      <c r="AL73" s="14" t="n">
        <f aca="false">AL72+IF((AJ73=1),IF((H73=1),1,0),0)</f>
        <v>0</v>
      </c>
      <c r="AM73" s="37" t="n">
        <f aca="false">IF(AK73=0,9999,IF($H73=0,IF($AJ73&lt;1,AM72+1,0),AM72))</f>
        <v>9999</v>
      </c>
      <c r="AN73" s="37" t="n">
        <f aca="false">IF(AL73=0,9999,IF($H73=1,IF($AJ73&lt;1,AN72+1,0),AN72))</f>
        <v>9999</v>
      </c>
      <c r="AO73" s="37" t="n">
        <f aca="false">IF($A73-AM73&gt;0,1/(1+AM73),0)</f>
        <v>0</v>
      </c>
      <c r="AP73" s="37" t="n">
        <f aca="false">IF($A73-AN73&gt;0,1/(1+AN73),0)</f>
        <v>0</v>
      </c>
      <c r="AQ73" s="7" t="n">
        <f aca="false">IF(AK73=0,0,MAX(MIN(1,AO73^Power),0))</f>
        <v>0</v>
      </c>
      <c r="AR73" s="7" t="n">
        <f aca="false">IF(AL73=0,0,MAX(MIN(1,AP73^Power),0))</f>
        <v>0</v>
      </c>
      <c r="AS73" s="7" t="n">
        <f aca="false">IF($AJ73=1,IF($H73=0,K73,AS72),AS72)</f>
        <v>0</v>
      </c>
      <c r="AT73" s="7" t="n">
        <f aca="false">IF($AJ73=1,IF($H73=1,N73,AT72),AT72)</f>
        <v>0</v>
      </c>
    </row>
    <row r="74" customFormat="false" ht="13" hidden="false" customHeight="false" outlineLevel="0" collapsed="false">
      <c r="A74" s="16" t="n">
        <v>57</v>
      </c>
      <c r="B74" s="37" t="n">
        <f aca="true">IF(RAND()&lt;$D$8,1,0)</f>
        <v>1</v>
      </c>
      <c r="C74" s="20" t="n">
        <f aca="true">-LN(RAND())/$D$2</f>
        <v>0.406285988284476</v>
      </c>
      <c r="D74" s="38" t="n">
        <f aca="false">D73+C74</f>
        <v>69.9646088489248</v>
      </c>
      <c r="E74" s="39" t="n">
        <f aca="false">MAX($E$3,AS73)</f>
        <v>0</v>
      </c>
      <c r="F74" s="39" t="n">
        <f aca="false">MAX($E$3,AT73)</f>
        <v>0</v>
      </c>
      <c r="G74" s="40" t="n">
        <v>0.5</v>
      </c>
      <c r="H74" s="38" t="n">
        <f aca="true">IF((B74=1),(IF((F74&lt;E74),1,(IF((F74=E74),(IF(RAND()&lt;G74,1,0)),0)))),(IF((RAND()&lt;G74),1,0)))</f>
        <v>0</v>
      </c>
      <c r="I74" s="38" t="n">
        <f aca="true">IF((H74=1),0,$D$3+$D$5*(RAND()-0.5))</f>
        <v>1.8328786632628</v>
      </c>
      <c r="J74" s="38" t="n">
        <f aca="false">I74+MAX(D74,J73)</f>
        <v>71.7974875121876</v>
      </c>
      <c r="K74" s="38" t="n">
        <f aca="false">IF((H74=0),J74-D74,0)</f>
        <v>1.83287866326279</v>
      </c>
      <c r="L74" s="38" t="n">
        <f aca="true">IF(($H74=0),0,$D$4+$D$5*(RAND()-0.5))</f>
        <v>0</v>
      </c>
      <c r="M74" s="38" t="n">
        <f aca="false">L74+MAX(D74,M73)</f>
        <v>77.5303562437877</v>
      </c>
      <c r="N74" s="38" t="n">
        <f aca="false">IF((H74=1),M74-D74,0)</f>
        <v>0</v>
      </c>
      <c r="O74" s="16" t="n">
        <v>57</v>
      </c>
      <c r="P74" s="41" t="n">
        <f aca="false">IF((Arterial=0),P73+1,P73)</f>
        <v>30</v>
      </c>
      <c r="Q74" s="41" t="n">
        <f aca="false">IF((Arterial=1),Q73+1,Q73)</f>
        <v>27</v>
      </c>
      <c r="R74" s="42" t="e">
        <f aca="false">IF((RESET=1),0,R74+K74)</f>
        <v>#N/A</v>
      </c>
      <c r="S74" s="14" t="n">
        <f aca="false">IF(RESET=1,0,S74+N74)</f>
        <v>348.654002557086</v>
      </c>
      <c r="T74" s="2" t="e">
        <f aca="false">IF(RESET=1,0,T74+IF(H74=0,1,0))</f>
        <v>#N/A</v>
      </c>
      <c r="U74" s="2" t="n">
        <f aca="false">IF(RESET=1,0,U74+H74)</f>
        <v>37</v>
      </c>
      <c r="V74" s="14" t="e">
        <f aca="false">R74/(T74+0.00001)</f>
        <v>#N/A</v>
      </c>
      <c r="W74" s="14" t="n">
        <f aca="false">S74/(U74+0.0001)</f>
        <v>9.42305568247346</v>
      </c>
      <c r="X74" s="39" t="n">
        <f aca="false">IF(Informed=1,K74,0)</f>
        <v>1.83287866326279</v>
      </c>
      <c r="Y74" s="39" t="n">
        <f aca="false">IF(Informed=0,K74,0)</f>
        <v>0</v>
      </c>
      <c r="Z74" s="39" t="n">
        <f aca="false">IF(Informed=1,N74,0)</f>
        <v>0</v>
      </c>
      <c r="AA74" s="39" t="n">
        <f aca="false">IF(Informed=0,N74,0)</f>
        <v>0</v>
      </c>
      <c r="AB74" s="43" t="n">
        <f aca="false">IF(Arterial=0,IF(Informed=1,1,0),0)</f>
        <v>1</v>
      </c>
      <c r="AC74" s="43" t="n">
        <f aca="false">IF(Arterial=0,IF(Informed=0,1,0),0)</f>
        <v>0</v>
      </c>
      <c r="AD74" s="43" t="n">
        <f aca="false">IF(Arterial=1,IF(Informed=1,1,0),0)</f>
        <v>0</v>
      </c>
      <c r="AE74" s="43" t="n">
        <f aca="false">IF(Arterial=1,IF(Informed=0,1,0),0)</f>
        <v>0</v>
      </c>
      <c r="AF74" s="35" t="n">
        <f aca="false">IF(AB74=1,(X74-G$1030)^2,0)</f>
        <v>78.797570757132</v>
      </c>
      <c r="AG74" s="35" t="n">
        <f aca="false">IF(AC74=1,(Y74-H$1030)^2,0)</f>
        <v>0</v>
      </c>
      <c r="AH74" s="35" t="n">
        <f aca="false">IF(AD74=1,(Z74-I$1030)^2,0)</f>
        <v>0</v>
      </c>
      <c r="AI74" s="35" t="n">
        <f aca="false">IF(AE74=1,(AA74-J$1030)^2,0)</f>
        <v>0</v>
      </c>
      <c r="AJ74" s="37" t="n">
        <f aca="true">IF(RAND()&lt;$D$6,1,0)</f>
        <v>0</v>
      </c>
      <c r="AK74" s="14" t="n">
        <f aca="false">AK73+IF((AJ74=1),IF((H74=0),1,0),0)</f>
        <v>0</v>
      </c>
      <c r="AL74" s="14" t="n">
        <f aca="false">AL73+IF((AJ74=1),IF((H74=1),1,0),0)</f>
        <v>0</v>
      </c>
      <c r="AM74" s="37" t="n">
        <f aca="false">IF(AK74=0,9999,IF($H74=0,IF($AJ74&lt;1,AM73+1,0),AM73))</f>
        <v>9999</v>
      </c>
      <c r="AN74" s="37" t="n">
        <f aca="false">IF(AL74=0,9999,IF($H74=1,IF($AJ74&lt;1,AN73+1,0),AN73))</f>
        <v>9999</v>
      </c>
      <c r="AO74" s="37" t="n">
        <f aca="false">IF($A74-AM74&gt;0,1/(1+AM74),0)</f>
        <v>0</v>
      </c>
      <c r="AP74" s="37" t="n">
        <f aca="false">IF($A74-AN74&gt;0,1/(1+AN74),0)</f>
        <v>0</v>
      </c>
      <c r="AQ74" s="7" t="n">
        <f aca="false">IF(AK74=0,0,MAX(MIN(1,AO74^Power),0))</f>
        <v>0</v>
      </c>
      <c r="AR74" s="7" t="n">
        <f aca="false">IF(AL74=0,0,MAX(MIN(1,AP74^Power),0))</f>
        <v>0</v>
      </c>
      <c r="AS74" s="7" t="n">
        <f aca="false">IF($AJ74=1,IF($H74=0,K74,AS73),AS73)</f>
        <v>0</v>
      </c>
      <c r="AT74" s="7" t="n">
        <f aca="false">IF($AJ74=1,IF($H74=1,N74,AT73),AT73)</f>
        <v>0</v>
      </c>
    </row>
    <row r="75" customFormat="false" ht="13" hidden="false" customHeight="false" outlineLevel="0" collapsed="false">
      <c r="A75" s="16" t="n">
        <v>58</v>
      </c>
      <c r="B75" s="37" t="n">
        <f aca="true">IF(RAND()&lt;$D$8,1,0)</f>
        <v>0</v>
      </c>
      <c r="C75" s="20" t="n">
        <f aca="true">-LN(RAND())/$D$2</f>
        <v>0.628351869118471</v>
      </c>
      <c r="D75" s="38" t="n">
        <f aca="false">D74+C75</f>
        <v>70.5929607180433</v>
      </c>
      <c r="E75" s="39" t="n">
        <f aca="false">MAX($E$3,AS74)</f>
        <v>0</v>
      </c>
      <c r="F75" s="39" t="n">
        <f aca="false">MAX($E$3,AT74)</f>
        <v>0</v>
      </c>
      <c r="G75" s="40" t="n">
        <v>0.5</v>
      </c>
      <c r="H75" s="38" t="n">
        <f aca="true">IF((B75=1),(IF((F75&lt;E75),1,(IF((F75=E75),(IF(RAND()&lt;G75,1,0)),0)))),(IF((RAND()&lt;G75),1,0)))</f>
        <v>1</v>
      </c>
      <c r="I75" s="38" t="n">
        <f aca="true">IF((H75=1),0,$D$3+$D$5*(RAND()-0.5))</f>
        <v>0</v>
      </c>
      <c r="J75" s="38" t="n">
        <f aca="false">I75+MAX(D75,J74)</f>
        <v>71.7974875121876</v>
      </c>
      <c r="K75" s="38" t="n">
        <f aca="false">IF((H75=0),J75-D75,0)</f>
        <v>0</v>
      </c>
      <c r="L75" s="38" t="n">
        <f aca="true">IF(($H75=0),0,$D$4+$D$5*(RAND()-0.5))</f>
        <v>2.2063573482626</v>
      </c>
      <c r="M75" s="38" t="n">
        <f aca="false">L75+MAX(D75,M74)</f>
        <v>79.7367135920503</v>
      </c>
      <c r="N75" s="38" t="n">
        <f aca="false">IF((H75=1),M75-D75,0)</f>
        <v>9.14375287400704</v>
      </c>
      <c r="O75" s="16" t="n">
        <v>58</v>
      </c>
      <c r="P75" s="41" t="n">
        <f aca="false">IF((Arterial=0),P74+1,P74)</f>
        <v>30</v>
      </c>
      <c r="Q75" s="41" t="n">
        <f aca="false">IF((Arterial=1),Q74+1,Q74)</f>
        <v>28</v>
      </c>
      <c r="R75" s="42" t="n">
        <f aca="false">IF((RESET=1),0,R75+K75)</f>
        <v>304.785165246176</v>
      </c>
      <c r="S75" s="14" t="e">
        <f aca="false">IF(RESET=1,0,S75+N75)</f>
        <v>#N/A</v>
      </c>
      <c r="T75" s="2" t="n">
        <f aca="false">IF(RESET=1,0,T75+IF(H75=0,1,0))</f>
        <v>47</v>
      </c>
      <c r="U75" s="2" t="e">
        <f aca="false">IF(RESET=1,0,U75+H75)</f>
        <v>#N/A</v>
      </c>
      <c r="V75" s="14" t="n">
        <f aca="false">R75/(T75+0.00001)</f>
        <v>6.48478937017621</v>
      </c>
      <c r="W75" s="14" t="e">
        <f aca="false">S75/(U75+0.0001)</f>
        <v>#N/A</v>
      </c>
      <c r="X75" s="39" t="n">
        <f aca="false">IF(Informed=1,K75,0)</f>
        <v>0</v>
      </c>
      <c r="Y75" s="39" t="n">
        <f aca="false">IF(Informed=0,K75,0)</f>
        <v>0</v>
      </c>
      <c r="Z75" s="39" t="n">
        <f aca="false">IF(Informed=1,N75,0)</f>
        <v>0</v>
      </c>
      <c r="AA75" s="39" t="n">
        <f aca="false">IF(Informed=0,N75,0)</f>
        <v>9.14375287400704</v>
      </c>
      <c r="AB75" s="43" t="n">
        <f aca="false">IF(Arterial=0,IF(Informed=1,1,0),0)</f>
        <v>0</v>
      </c>
      <c r="AC75" s="43" t="n">
        <f aca="false">IF(Arterial=0,IF(Informed=0,1,0),0)</f>
        <v>0</v>
      </c>
      <c r="AD75" s="43" t="n">
        <f aca="false">IF(Arterial=1,IF(Informed=1,1,0),0)</f>
        <v>0</v>
      </c>
      <c r="AE75" s="43" t="n">
        <f aca="false">IF(Arterial=1,IF(Informed=0,1,0),0)</f>
        <v>1</v>
      </c>
      <c r="AF75" s="35" t="n">
        <f aca="false">IF(AB75=1,(X75-G$1030)^2,0)</f>
        <v>0</v>
      </c>
      <c r="AG75" s="35" t="n">
        <f aca="false">IF(AC75=1,(Y75-H$1030)^2,0)</f>
        <v>0</v>
      </c>
      <c r="AH75" s="35" t="n">
        <f aca="false">IF(AD75=1,(Z75-I$1030)^2,0)</f>
        <v>0</v>
      </c>
      <c r="AI75" s="35" t="n">
        <f aca="false">IF(AE75=1,(AA75-J$1030)^2,0)</f>
        <v>416.997723498562</v>
      </c>
      <c r="AJ75" s="37" t="n">
        <f aca="true">IF(RAND()&lt;$D$6,1,0)</f>
        <v>0</v>
      </c>
      <c r="AK75" s="14" t="n">
        <f aca="false">AK74+IF((AJ75=1),IF((H75=0),1,0),0)</f>
        <v>0</v>
      </c>
      <c r="AL75" s="14" t="n">
        <f aca="false">AL74+IF((AJ75=1),IF((H75=1),1,0),0)</f>
        <v>0</v>
      </c>
      <c r="AM75" s="37" t="n">
        <f aca="false">IF(AK75=0,9999,IF($H75=0,IF($AJ75&lt;1,AM74+1,0),AM74))</f>
        <v>9999</v>
      </c>
      <c r="AN75" s="37" t="n">
        <f aca="false">IF(AL75=0,9999,IF($H75=1,IF($AJ75&lt;1,AN74+1,0),AN74))</f>
        <v>9999</v>
      </c>
      <c r="AO75" s="37" t="n">
        <f aca="false">IF($A75-AM75&gt;0,1/(1+AM75),0)</f>
        <v>0</v>
      </c>
      <c r="AP75" s="37" t="n">
        <f aca="false">IF($A75-AN75&gt;0,1/(1+AN75),0)</f>
        <v>0</v>
      </c>
      <c r="AQ75" s="7" t="n">
        <f aca="false">IF(AK75=0,0,MAX(MIN(1,AO75^Power),0))</f>
        <v>0</v>
      </c>
      <c r="AR75" s="7" t="n">
        <f aca="false">IF(AL75=0,0,MAX(MIN(1,AP75^Power),0))</f>
        <v>0</v>
      </c>
      <c r="AS75" s="7" t="n">
        <f aca="false">IF($AJ75=1,IF($H75=0,K75,AS74),AS74)</f>
        <v>0</v>
      </c>
      <c r="AT75" s="7" t="n">
        <f aca="false">IF($AJ75=1,IF($H75=1,N75,AT74),AT74)</f>
        <v>0</v>
      </c>
    </row>
    <row r="76" customFormat="false" ht="13" hidden="false" customHeight="false" outlineLevel="0" collapsed="false">
      <c r="A76" s="16" t="n">
        <v>59</v>
      </c>
      <c r="B76" s="37" t="n">
        <f aca="true">IF(RAND()&lt;$D$8,1,0)</f>
        <v>0</v>
      </c>
      <c r="C76" s="20" t="n">
        <f aca="true">-LN(RAND())/$D$2</f>
        <v>0.544341954792099</v>
      </c>
      <c r="D76" s="38" t="n">
        <f aca="false">D75+C76</f>
        <v>71.1373026728354</v>
      </c>
      <c r="E76" s="39" t="n">
        <f aca="false">MAX($E$3,AS75)</f>
        <v>0</v>
      </c>
      <c r="F76" s="39" t="n">
        <f aca="false">MAX($E$3,AT75)</f>
        <v>0</v>
      </c>
      <c r="G76" s="40" t="n">
        <v>0.5</v>
      </c>
      <c r="H76" s="38" t="n">
        <f aca="true">IF((B76=1),(IF((F76&lt;E76),1,(IF((F76=E76),(IF(RAND()&lt;G76,1,0)),0)))),(IF((RAND()&lt;G76),1,0)))</f>
        <v>1</v>
      </c>
      <c r="I76" s="38" t="n">
        <f aca="true">IF((H76=1),0,$D$3+$D$5*(RAND()-0.5))</f>
        <v>0</v>
      </c>
      <c r="J76" s="38" t="n">
        <f aca="false">I76+MAX(D76,J75)</f>
        <v>71.7974875121876</v>
      </c>
      <c r="K76" s="38" t="n">
        <f aca="false">IF((H76=0),J76-D76,0)</f>
        <v>0</v>
      </c>
      <c r="L76" s="38" t="n">
        <f aca="true">IF(($H76=0),0,$D$4+$D$5*(RAND()-0.5))</f>
        <v>1.93473268502043</v>
      </c>
      <c r="M76" s="38" t="n">
        <f aca="false">L76+MAX(D76,M75)</f>
        <v>81.6714462770707</v>
      </c>
      <c r="N76" s="38" t="n">
        <f aca="false">IF((H76=1),M76-D76,0)</f>
        <v>10.5341436042354</v>
      </c>
      <c r="O76" s="16" t="n">
        <v>59</v>
      </c>
      <c r="P76" s="41" t="n">
        <f aca="false">IF((Arterial=0),P75+1,P75)</f>
        <v>30</v>
      </c>
      <c r="Q76" s="41" t="n">
        <f aca="false">IF((Arterial=1),Q75+1,Q75)</f>
        <v>29</v>
      </c>
      <c r="R76" s="42" t="n">
        <f aca="false">IF((RESET=1),0,R76+K76)</f>
        <v>218.522073524792</v>
      </c>
      <c r="S76" s="14" t="e">
        <f aca="false">IF(RESET=1,0,S76+N76)</f>
        <v>#N/A</v>
      </c>
      <c r="T76" s="2" t="n">
        <f aca="false">IF(RESET=1,0,T76+IF(H76=0,1,0))</f>
        <v>31</v>
      </c>
      <c r="U76" s="2" t="e">
        <f aca="false">IF(RESET=1,0,U76+H76)</f>
        <v>#N/A</v>
      </c>
      <c r="V76" s="14" t="n">
        <f aca="false">R76/(T76+0.00001)</f>
        <v>7.04909687205882</v>
      </c>
      <c r="W76" s="14" t="e">
        <f aca="false">S76/(U76+0.0001)</f>
        <v>#N/A</v>
      </c>
      <c r="X76" s="39" t="n">
        <f aca="false">IF(Informed=1,K76,0)</f>
        <v>0</v>
      </c>
      <c r="Y76" s="39" t="n">
        <f aca="false">IF(Informed=0,K76,0)</f>
        <v>0</v>
      </c>
      <c r="Z76" s="39" t="n">
        <f aca="false">IF(Informed=1,N76,0)</f>
        <v>0</v>
      </c>
      <c r="AA76" s="39" t="n">
        <f aca="false">IF(Informed=0,N76,0)</f>
        <v>10.5341436042354</v>
      </c>
      <c r="AB76" s="43" t="n">
        <f aca="false">IF(Arterial=0,IF(Informed=1,1,0),0)</f>
        <v>0</v>
      </c>
      <c r="AC76" s="43" t="n">
        <f aca="false">IF(Arterial=0,IF(Informed=0,1,0),0)</f>
        <v>0</v>
      </c>
      <c r="AD76" s="43" t="n">
        <f aca="false">IF(Arterial=1,IF(Informed=1,1,0),0)</f>
        <v>0</v>
      </c>
      <c r="AE76" s="43" t="n">
        <f aca="false">IF(Arterial=1,IF(Informed=0,1,0),0)</f>
        <v>1</v>
      </c>
      <c r="AF76" s="35" t="n">
        <f aca="false">IF(AB76=1,(X76-G$1030)^2,0)</f>
        <v>0</v>
      </c>
      <c r="AG76" s="35" t="n">
        <f aca="false">IF(AC76=1,(Y76-H$1030)^2,0)</f>
        <v>0</v>
      </c>
      <c r="AH76" s="35" t="n">
        <f aca="false">IF(AD76=1,(Z76-I$1030)^2,0)</f>
        <v>0</v>
      </c>
      <c r="AI76" s="35" t="n">
        <f aca="false">IF(AE76=1,(AA76-J$1030)^2,0)</f>
        <v>362.145900567669</v>
      </c>
      <c r="AJ76" s="37" t="n">
        <f aca="true">IF(RAND()&lt;$D$6,1,0)</f>
        <v>0</v>
      </c>
      <c r="AK76" s="14" t="n">
        <f aca="false">AK75+IF((AJ76=1),IF((H76=0),1,0),0)</f>
        <v>0</v>
      </c>
      <c r="AL76" s="14" t="n">
        <f aca="false">AL75+IF((AJ76=1),IF((H76=1),1,0),0)</f>
        <v>0</v>
      </c>
      <c r="AM76" s="37" t="n">
        <f aca="false">IF(AK76=0,9999,IF($H76=0,IF($AJ76&lt;1,AM75+1,0),AM75))</f>
        <v>9999</v>
      </c>
      <c r="AN76" s="37" t="n">
        <f aca="false">IF(AL76=0,9999,IF($H76=1,IF($AJ76&lt;1,AN75+1,0),AN75))</f>
        <v>9999</v>
      </c>
      <c r="AO76" s="37" t="n">
        <f aca="false">IF($A76-AM76&gt;0,1/(1+AM76),0)</f>
        <v>0</v>
      </c>
      <c r="AP76" s="37" t="n">
        <f aca="false">IF($A76-AN76&gt;0,1/(1+AN76),0)</f>
        <v>0</v>
      </c>
      <c r="AQ76" s="7" t="n">
        <f aca="false">IF(AK76=0,0,MAX(MIN(1,AO76^Power),0))</f>
        <v>0</v>
      </c>
      <c r="AR76" s="7" t="n">
        <f aca="false">IF(AL76=0,0,MAX(MIN(1,AP76^Power),0))</f>
        <v>0</v>
      </c>
      <c r="AS76" s="7" t="n">
        <f aca="false">IF($AJ76=1,IF($H76=0,K76,AS75),AS75)</f>
        <v>0</v>
      </c>
      <c r="AT76" s="7" t="n">
        <f aca="false">IF($AJ76=1,IF($H76=1,N76,AT75),AT75)</f>
        <v>0</v>
      </c>
    </row>
    <row r="77" customFormat="false" ht="13" hidden="false" customHeight="false" outlineLevel="0" collapsed="false">
      <c r="A77" s="16" t="n">
        <v>60</v>
      </c>
      <c r="B77" s="37" t="n">
        <f aca="true">IF(RAND()&lt;$D$8,1,0)</f>
        <v>1</v>
      </c>
      <c r="C77" s="20" t="n">
        <f aca="true">-LN(RAND())/$D$2</f>
        <v>0.133803152589712</v>
      </c>
      <c r="D77" s="38" t="n">
        <f aca="false">D76+C77</f>
        <v>71.2711058254251</v>
      </c>
      <c r="E77" s="39" t="n">
        <f aca="false">MAX($E$3,AS76)</f>
        <v>0</v>
      </c>
      <c r="F77" s="39" t="n">
        <f aca="false">MAX($E$3,AT76)</f>
        <v>0</v>
      </c>
      <c r="G77" s="40" t="n">
        <v>0.5</v>
      </c>
      <c r="H77" s="38" t="n">
        <f aca="true">IF((B77=1),(IF((F77&lt;E77),1,(IF((F77=E77),(IF(RAND()&lt;G77,1,0)),0)))),(IF((RAND()&lt;G77),1,0)))</f>
        <v>0</v>
      </c>
      <c r="I77" s="38" t="n">
        <f aca="true">IF((H77=1),0,$D$3+$D$5*(RAND()-0.5))</f>
        <v>2.03635977538221</v>
      </c>
      <c r="J77" s="38" t="n">
        <f aca="false">I77+MAX(D77,J76)</f>
        <v>73.8338472875698</v>
      </c>
      <c r="K77" s="38" t="n">
        <f aca="false">IF((H77=0),J77-D77,0)</f>
        <v>2.56274146214471</v>
      </c>
      <c r="L77" s="38" t="n">
        <f aca="true">IF(($H77=0),0,$D$4+$D$5*(RAND()-0.5))</f>
        <v>0</v>
      </c>
      <c r="M77" s="38" t="n">
        <f aca="false">L77+MAX(D77,M76)</f>
        <v>81.6714462770707</v>
      </c>
      <c r="N77" s="38" t="n">
        <f aca="false">IF((H77=1),M77-D77,0)</f>
        <v>0</v>
      </c>
      <c r="O77" s="16" t="n">
        <v>60</v>
      </c>
      <c r="P77" s="41" t="n">
        <f aca="false">IF((Arterial=0),P76+1,P76)</f>
        <v>31</v>
      </c>
      <c r="Q77" s="41" t="n">
        <f aca="false">IF((Arterial=1),Q76+1,Q76)</f>
        <v>29</v>
      </c>
      <c r="R77" s="42" t="e">
        <f aca="false">IF((RESET=1),0,R77+K77)</f>
        <v>#N/A</v>
      </c>
      <c r="S77" s="14" t="n">
        <f aca="false">IF(RESET=1,0,S77+N77)</f>
        <v>359.1467713741</v>
      </c>
      <c r="T77" s="2" t="e">
        <f aca="false">IF(RESET=1,0,T77+IF(H77=0,1,0))</f>
        <v>#N/A</v>
      </c>
      <c r="U77" s="2" t="n">
        <f aca="false">IF(RESET=1,0,U77+H77)</f>
        <v>42</v>
      </c>
      <c r="V77" s="14" t="e">
        <f aca="false">R77/(T77+0.00001)</f>
        <v>#N/A</v>
      </c>
      <c r="W77" s="14" t="n">
        <f aca="false">S77/(U77+0.0001)</f>
        <v>8.55109324439942</v>
      </c>
      <c r="X77" s="39" t="n">
        <f aca="false">IF(Informed=1,K77,0)</f>
        <v>2.56274146214471</v>
      </c>
      <c r="Y77" s="39" t="n">
        <f aca="false">IF(Informed=0,K77,0)</f>
        <v>0</v>
      </c>
      <c r="Z77" s="39" t="n">
        <f aca="false">IF(Informed=1,N77,0)</f>
        <v>0</v>
      </c>
      <c r="AA77" s="39" t="n">
        <f aca="false">IF(Informed=0,N77,0)</f>
        <v>0</v>
      </c>
      <c r="AB77" s="43" t="n">
        <f aca="false">IF(Arterial=0,IF(Informed=1,1,0),0)</f>
        <v>1</v>
      </c>
      <c r="AC77" s="43" t="n">
        <f aca="false">IF(Arterial=0,IF(Informed=0,1,0),0)</f>
        <v>0</v>
      </c>
      <c r="AD77" s="43" t="n">
        <f aca="false">IF(Arterial=1,IF(Informed=1,1,0),0)</f>
        <v>0</v>
      </c>
      <c r="AE77" s="43" t="n">
        <f aca="false">IF(Arterial=1,IF(Informed=0,1,0),0)</f>
        <v>0</v>
      </c>
      <c r="AF77" s="35" t="n">
        <f aca="false">IF(AB77=1,(X77-G$1030)^2,0)</f>
        <v>66.3725788913454</v>
      </c>
      <c r="AG77" s="35" t="n">
        <f aca="false">IF(AC77=1,(Y77-H$1030)^2,0)</f>
        <v>0</v>
      </c>
      <c r="AH77" s="35" t="n">
        <f aca="false">IF(AD77=1,(Z77-I$1030)^2,0)</f>
        <v>0</v>
      </c>
      <c r="AI77" s="35" t="n">
        <f aca="false">IF(AE77=1,(AA77-J$1030)^2,0)</f>
        <v>0</v>
      </c>
      <c r="AJ77" s="37" t="n">
        <f aca="true">IF(RAND()&lt;$D$6,1,0)</f>
        <v>0</v>
      </c>
      <c r="AK77" s="14" t="n">
        <f aca="false">AK76+IF((AJ77=1),IF((H77=0),1,0),0)</f>
        <v>0</v>
      </c>
      <c r="AL77" s="14" t="n">
        <f aca="false">AL76+IF((AJ77=1),IF((H77=1),1,0),0)</f>
        <v>0</v>
      </c>
      <c r="AM77" s="37" t="n">
        <f aca="false">IF(AK77=0,9999,IF($H77=0,IF($AJ77&lt;1,AM76+1,0),AM76))</f>
        <v>9999</v>
      </c>
      <c r="AN77" s="37" t="n">
        <f aca="false">IF(AL77=0,9999,IF($H77=1,IF($AJ77&lt;1,AN76+1,0),AN76))</f>
        <v>9999</v>
      </c>
      <c r="AO77" s="37" t="n">
        <f aca="false">IF($A77-AM77&gt;0,1/(1+AM77),0)</f>
        <v>0</v>
      </c>
      <c r="AP77" s="37" t="n">
        <f aca="false">IF($A77-AN77&gt;0,1/(1+AN77),0)</f>
        <v>0</v>
      </c>
      <c r="AQ77" s="7" t="n">
        <f aca="false">IF(AK77=0,0,MAX(MIN(1,AO77^Power),0))</f>
        <v>0</v>
      </c>
      <c r="AR77" s="7" t="n">
        <f aca="false">IF(AL77=0,0,MAX(MIN(1,AP77^Power),0))</f>
        <v>0</v>
      </c>
      <c r="AS77" s="7" t="n">
        <f aca="false">IF($AJ77=1,IF($H77=0,K77,AS76),AS76)</f>
        <v>0</v>
      </c>
      <c r="AT77" s="7" t="n">
        <f aca="false">IF($AJ77=1,IF($H77=1,N77,AT76),AT76)</f>
        <v>0</v>
      </c>
    </row>
    <row r="78" customFormat="false" ht="13" hidden="false" customHeight="false" outlineLevel="0" collapsed="false">
      <c r="A78" s="16" t="n">
        <v>61</v>
      </c>
      <c r="B78" s="37" t="n">
        <f aca="true">IF(RAND()&lt;$D$8,1,0)</f>
        <v>0</v>
      </c>
      <c r="C78" s="20" t="n">
        <f aca="true">-LN(RAND())/$D$2</f>
        <v>0.868584265433799</v>
      </c>
      <c r="D78" s="38" t="n">
        <f aca="false">D77+C78</f>
        <v>72.1396900908589</v>
      </c>
      <c r="E78" s="39" t="n">
        <f aca="false">MAX($E$3,AS77)</f>
        <v>0</v>
      </c>
      <c r="F78" s="39" t="n">
        <f aca="false">MAX($E$3,AT77)</f>
        <v>0</v>
      </c>
      <c r="G78" s="40" t="n">
        <v>0.5</v>
      </c>
      <c r="H78" s="38" t="n">
        <f aca="true">IF((B78=1),(IF((F78&lt;E78),1,(IF((F78=E78),(IF(RAND()&lt;G78,1,0)),0)))),(IF((RAND()&lt;G78),1,0)))</f>
        <v>1</v>
      </c>
      <c r="I78" s="38" t="n">
        <f aca="true">IF((H78=1),0,$D$3+$D$5*(RAND()-0.5))</f>
        <v>0</v>
      </c>
      <c r="J78" s="38" t="n">
        <f aca="false">I78+MAX(D78,J77)</f>
        <v>73.8338472875698</v>
      </c>
      <c r="K78" s="38" t="n">
        <f aca="false">IF((H78=0),J78-D78,0)</f>
        <v>0</v>
      </c>
      <c r="L78" s="38" t="n">
        <f aca="true">IF(($H78=0),0,$D$4+$D$5*(RAND()-0.5))</f>
        <v>2.12441878852613</v>
      </c>
      <c r="M78" s="38" t="n">
        <f aca="false">L78+MAX(D78,M77)</f>
        <v>83.7958650655969</v>
      </c>
      <c r="N78" s="38" t="n">
        <f aca="false">IF((H78=1),M78-D78,0)</f>
        <v>11.656174974738</v>
      </c>
      <c r="O78" s="16" t="n">
        <v>61</v>
      </c>
      <c r="P78" s="41" t="n">
        <f aca="false">IF((Arterial=0),P77+1,P77)</f>
        <v>31</v>
      </c>
      <c r="Q78" s="41" t="n">
        <f aca="false">IF((Arterial=1),Q77+1,Q77)</f>
        <v>30</v>
      </c>
      <c r="R78" s="42" t="n">
        <f aca="false">IF((RESET=1),0,R78+K78)</f>
        <v>267.735577181926</v>
      </c>
      <c r="S78" s="14" t="e">
        <f aca="false">IF(RESET=1,0,S78+N78)</f>
        <v>#N/A</v>
      </c>
      <c r="T78" s="2" t="n">
        <f aca="false">IF(RESET=1,0,T78+IF(H78=0,1,0))</f>
        <v>40</v>
      </c>
      <c r="U78" s="2" t="e">
        <f aca="false">IF(RESET=1,0,U78+H78)</f>
        <v>#N/A</v>
      </c>
      <c r="V78" s="14" t="n">
        <f aca="false">R78/(T78+0.00001)</f>
        <v>6.6933877562012</v>
      </c>
      <c r="W78" s="14" t="e">
        <f aca="false">S78/(U78+0.0001)</f>
        <v>#N/A</v>
      </c>
      <c r="X78" s="39" t="n">
        <f aca="false">IF(Informed=1,K78,0)</f>
        <v>0</v>
      </c>
      <c r="Y78" s="39" t="n">
        <f aca="false">IF(Informed=0,K78,0)</f>
        <v>0</v>
      </c>
      <c r="Z78" s="39" t="n">
        <f aca="false">IF(Informed=1,N78,0)</f>
        <v>0</v>
      </c>
      <c r="AA78" s="39" t="n">
        <f aca="false">IF(Informed=0,N78,0)</f>
        <v>11.656174974738</v>
      </c>
      <c r="AB78" s="43" t="n">
        <f aca="false">IF(Arterial=0,IF(Informed=1,1,0),0)</f>
        <v>0</v>
      </c>
      <c r="AC78" s="43" t="n">
        <f aca="false">IF(Arterial=0,IF(Informed=0,1,0),0)</f>
        <v>0</v>
      </c>
      <c r="AD78" s="43" t="n">
        <f aca="false">IF(Arterial=1,IF(Informed=1,1,0),0)</f>
        <v>0</v>
      </c>
      <c r="AE78" s="43" t="n">
        <f aca="false">IF(Arterial=1,IF(Informed=0,1,0),0)</f>
        <v>1</v>
      </c>
      <c r="AF78" s="35" t="n">
        <f aca="false">IF(AB78=1,(X78-G$1030)^2,0)</f>
        <v>0</v>
      </c>
      <c r="AG78" s="35" t="n">
        <f aca="false">IF(AC78=1,(Y78-H$1030)^2,0)</f>
        <v>0</v>
      </c>
      <c r="AH78" s="35" t="n">
        <f aca="false">IF(AD78=1,(Z78-I$1030)^2,0)</f>
        <v>0</v>
      </c>
      <c r="AI78" s="35" t="n">
        <f aca="false">IF(AE78=1,(AA78-J$1030)^2,0)</f>
        <v>320.700046164348</v>
      </c>
      <c r="AJ78" s="37" t="n">
        <f aca="true">IF(RAND()&lt;$D$6,1,0)</f>
        <v>0</v>
      </c>
      <c r="AK78" s="14" t="n">
        <f aca="false">AK77+IF((AJ78=1),IF((H78=0),1,0),0)</f>
        <v>0</v>
      </c>
      <c r="AL78" s="14" t="n">
        <f aca="false">AL77+IF((AJ78=1),IF((H78=1),1,0),0)</f>
        <v>0</v>
      </c>
      <c r="AM78" s="37" t="n">
        <f aca="false">IF(AK78=0,9999,IF($H78=0,IF($AJ78&lt;1,AM77+1,0),AM77))</f>
        <v>9999</v>
      </c>
      <c r="AN78" s="37" t="n">
        <f aca="false">IF(AL78=0,9999,IF($H78=1,IF($AJ78&lt;1,AN77+1,0),AN77))</f>
        <v>9999</v>
      </c>
      <c r="AO78" s="37" t="n">
        <f aca="false">IF($A78-AM78&gt;0,1/(1+AM78),0)</f>
        <v>0</v>
      </c>
      <c r="AP78" s="37" t="n">
        <f aca="false">IF($A78-AN78&gt;0,1/(1+AN78),0)</f>
        <v>0</v>
      </c>
      <c r="AQ78" s="7" t="n">
        <f aca="false">IF(AK78=0,0,MAX(MIN(1,AO78^Power),0))</f>
        <v>0</v>
      </c>
      <c r="AR78" s="7" t="n">
        <f aca="false">IF(AL78=0,0,MAX(MIN(1,AP78^Power),0))</f>
        <v>0</v>
      </c>
      <c r="AS78" s="7" t="n">
        <f aca="false">IF($AJ78=1,IF($H78=0,K78,AS77),AS77)</f>
        <v>0</v>
      </c>
      <c r="AT78" s="7" t="n">
        <f aca="false">IF($AJ78=1,IF($H78=1,N78,AT77),AT77)</f>
        <v>0</v>
      </c>
    </row>
    <row r="79" customFormat="false" ht="13" hidden="false" customHeight="false" outlineLevel="0" collapsed="false">
      <c r="A79" s="16" t="n">
        <v>62</v>
      </c>
      <c r="B79" s="37" t="n">
        <f aca="true">IF(RAND()&lt;$D$8,1,0)</f>
        <v>0</v>
      </c>
      <c r="C79" s="20" t="n">
        <f aca="true">-LN(RAND())/$D$2</f>
        <v>0.620795730009933</v>
      </c>
      <c r="D79" s="38" t="n">
        <f aca="false">D78+C79</f>
        <v>72.7604858208688</v>
      </c>
      <c r="E79" s="39" t="n">
        <f aca="false">MAX($E$3,AS78)</f>
        <v>0</v>
      </c>
      <c r="F79" s="39" t="n">
        <f aca="false">MAX($E$3,AT78)</f>
        <v>0</v>
      </c>
      <c r="G79" s="40" t="n">
        <v>0.5</v>
      </c>
      <c r="H79" s="38" t="n">
        <f aca="true">IF((B79=1),(IF((F79&lt;E79),1,(IF((F79=E79),(IF(RAND()&lt;G79,1,0)),0)))),(IF((RAND()&lt;G79),1,0)))</f>
        <v>0</v>
      </c>
      <c r="I79" s="38" t="n">
        <f aca="true">IF((H79=1),0,$D$3+$D$5*(RAND()-0.5))</f>
        <v>2.08952388984901</v>
      </c>
      <c r="J79" s="38" t="n">
        <f aca="false">I79+MAX(D79,J78)</f>
        <v>75.9233711774188</v>
      </c>
      <c r="K79" s="38" t="n">
        <f aca="false">IF((H79=0),J79-D79,0)</f>
        <v>3.16288535655001</v>
      </c>
      <c r="L79" s="38" t="n">
        <f aca="true">IF(($H79=0),0,$D$4+$D$5*(RAND()-0.5))</f>
        <v>0</v>
      </c>
      <c r="M79" s="38" t="n">
        <f aca="false">L79+MAX(D79,M78)</f>
        <v>83.7958650655969</v>
      </c>
      <c r="N79" s="38" t="n">
        <f aca="false">IF((H79=1),M79-D79,0)</f>
        <v>0</v>
      </c>
      <c r="O79" s="16" t="n">
        <v>62</v>
      </c>
      <c r="P79" s="41" t="n">
        <f aca="false">IF((Arterial=0),P78+1,P78)</f>
        <v>32</v>
      </c>
      <c r="Q79" s="41" t="n">
        <f aca="false">IF((Arterial=1),Q78+1,Q78)</f>
        <v>30</v>
      </c>
      <c r="R79" s="42" t="e">
        <f aca="false">IF((RESET=1),0,R79+K79)</f>
        <v>#N/A</v>
      </c>
      <c r="S79" s="14" t="n">
        <f aca="false">IF(RESET=1,0,S79+N79)</f>
        <v>379.298598936564</v>
      </c>
      <c r="T79" s="2" t="e">
        <f aca="false">IF(RESET=1,0,T79+IF(H79=0,1,0))</f>
        <v>#N/A</v>
      </c>
      <c r="U79" s="2" t="n">
        <f aca="false">IF(RESET=1,0,U79+H79)</f>
        <v>43</v>
      </c>
      <c r="V79" s="14" t="e">
        <f aca="false">R79/(T79+0.00001)</f>
        <v>#N/A</v>
      </c>
      <c r="W79" s="14" t="n">
        <f aca="false">S79/(U79+0.0001)</f>
        <v>8.82087713601978</v>
      </c>
      <c r="X79" s="39" t="n">
        <f aca="false">IF(Informed=1,K79,0)</f>
        <v>0</v>
      </c>
      <c r="Y79" s="39" t="n">
        <f aca="false">IF(Informed=0,K79,0)</f>
        <v>3.16288535655001</v>
      </c>
      <c r="Z79" s="39" t="n">
        <f aca="false">IF(Informed=1,N79,0)</f>
        <v>0</v>
      </c>
      <c r="AA79" s="39" t="n">
        <f aca="false">IF(Informed=0,N79,0)</f>
        <v>0</v>
      </c>
      <c r="AB79" s="43" t="n">
        <f aca="false">IF(Arterial=0,IF(Informed=1,1,0),0)</f>
        <v>0</v>
      </c>
      <c r="AC79" s="43" t="n">
        <f aca="false">IF(Arterial=0,IF(Informed=0,1,0),0)</f>
        <v>1</v>
      </c>
      <c r="AD79" s="43" t="n">
        <f aca="false">IF(Arterial=1,IF(Informed=1,1,0),0)</f>
        <v>0</v>
      </c>
      <c r="AE79" s="43" t="n">
        <f aca="false">IF(Arterial=1,IF(Informed=0,1,0),0)</f>
        <v>0</v>
      </c>
      <c r="AF79" s="35" t="n">
        <f aca="false">IF(AB79=1,(X79-G$1030)^2,0)</f>
        <v>0</v>
      </c>
      <c r="AG79" s="35" t="n">
        <f aca="false">IF(AC79=1,(Y79-H$1030)^2,0)</f>
        <v>60.231567167326</v>
      </c>
      <c r="AH79" s="35" t="n">
        <f aca="false">IF(AD79=1,(Z79-I$1030)^2,0)</f>
        <v>0</v>
      </c>
      <c r="AI79" s="35" t="n">
        <f aca="false">IF(AE79=1,(AA79-J$1030)^2,0)</f>
        <v>0</v>
      </c>
      <c r="AJ79" s="37" t="n">
        <f aca="true">IF(RAND()&lt;$D$6,1,0)</f>
        <v>0</v>
      </c>
      <c r="AK79" s="14" t="n">
        <f aca="false">AK78+IF((AJ79=1),IF((H79=0),1,0),0)</f>
        <v>0</v>
      </c>
      <c r="AL79" s="14" t="n">
        <f aca="false">AL78+IF((AJ79=1),IF((H79=1),1,0),0)</f>
        <v>0</v>
      </c>
      <c r="AM79" s="37" t="n">
        <f aca="false">IF(AK79=0,9999,IF($H79=0,IF($AJ79&lt;1,AM78+1,0),AM78))</f>
        <v>9999</v>
      </c>
      <c r="AN79" s="37" t="n">
        <f aca="false">IF(AL79=0,9999,IF($H79=1,IF($AJ79&lt;1,AN78+1,0),AN78))</f>
        <v>9999</v>
      </c>
      <c r="AO79" s="37" t="n">
        <f aca="false">IF($A79-AM79&gt;0,1/(1+AM79),0)</f>
        <v>0</v>
      </c>
      <c r="AP79" s="37" t="n">
        <f aca="false">IF($A79-AN79&gt;0,1/(1+AN79),0)</f>
        <v>0</v>
      </c>
      <c r="AQ79" s="7" t="n">
        <f aca="false">IF(AK79=0,0,MAX(MIN(1,AO79^Power),0))</f>
        <v>0</v>
      </c>
      <c r="AR79" s="7" t="n">
        <f aca="false">IF(AL79=0,0,MAX(MIN(1,AP79^Power),0))</f>
        <v>0</v>
      </c>
      <c r="AS79" s="7" t="n">
        <f aca="false">IF($AJ79=1,IF($H79=0,K79,AS78),AS78)</f>
        <v>0</v>
      </c>
      <c r="AT79" s="7" t="n">
        <f aca="false">IF($AJ79=1,IF($H79=1,N79,AT78),AT78)</f>
        <v>0</v>
      </c>
    </row>
    <row r="80" customFormat="false" ht="13" hidden="false" customHeight="false" outlineLevel="0" collapsed="false">
      <c r="A80" s="16" t="n">
        <v>63</v>
      </c>
      <c r="B80" s="37" t="n">
        <f aca="true">IF(RAND()&lt;$D$8,1,0)</f>
        <v>0</v>
      </c>
      <c r="C80" s="20" t="n">
        <f aca="true">-LN(RAND())/$D$2</f>
        <v>1.51865387710764</v>
      </c>
      <c r="D80" s="38" t="n">
        <f aca="false">D79+C80</f>
        <v>74.2791396979764</v>
      </c>
      <c r="E80" s="39" t="n">
        <f aca="false">MAX($E$3,AS79)</f>
        <v>0</v>
      </c>
      <c r="F80" s="39" t="n">
        <f aca="false">MAX($E$3,AT79)</f>
        <v>0</v>
      </c>
      <c r="G80" s="40" t="n">
        <v>0.5</v>
      </c>
      <c r="H80" s="38" t="n">
        <f aca="true">IF((B80=1),(IF((F80&lt;E80),1,(IF((F80=E80),(IF(RAND()&lt;G80,1,0)),0)))),(IF((RAND()&lt;G80),1,0)))</f>
        <v>1</v>
      </c>
      <c r="I80" s="38" t="n">
        <f aca="true">IF((H80=1),0,$D$3+$D$5*(RAND()-0.5))</f>
        <v>0</v>
      </c>
      <c r="J80" s="38" t="n">
        <f aca="false">I80+MAX(D80,J79)</f>
        <v>75.9233711774188</v>
      </c>
      <c r="K80" s="38" t="n">
        <f aca="false">IF((H80=0),J80-D80,0)</f>
        <v>0</v>
      </c>
      <c r="L80" s="38" t="n">
        <f aca="true">IF(($H80=0),0,$D$4+$D$5*(RAND()-0.5))</f>
        <v>1.83314388324705</v>
      </c>
      <c r="M80" s="38" t="n">
        <f aca="false">L80+MAX(D80,M79)</f>
        <v>85.6290089488439</v>
      </c>
      <c r="N80" s="38" t="n">
        <f aca="false">IF((H80=1),M80-D80,0)</f>
        <v>11.3498692508675</v>
      </c>
      <c r="O80" s="16" t="n">
        <v>63</v>
      </c>
      <c r="P80" s="41" t="n">
        <f aca="false">IF((Arterial=0),P79+1,P79)</f>
        <v>32</v>
      </c>
      <c r="Q80" s="41" t="n">
        <f aca="false">IF((Arterial=1),Q79+1,Q79)</f>
        <v>31</v>
      </c>
      <c r="R80" s="42" t="n">
        <f aca="false">IF((RESET=1),0,R80+K80)</f>
        <v>342.815933687406</v>
      </c>
      <c r="S80" s="14" t="e">
        <f aca="false">IF(RESET=1,0,S80+N80)</f>
        <v>#N/A</v>
      </c>
      <c r="T80" s="2" t="n">
        <f aca="false">IF(RESET=1,0,T80+IF(H80=0,1,0))</f>
        <v>44</v>
      </c>
      <c r="U80" s="2" t="e">
        <f aca="false">IF(RESET=1,0,U80+H80)</f>
        <v>#N/A</v>
      </c>
      <c r="V80" s="14" t="n">
        <f aca="false">R80/(T80+0.00001)</f>
        <v>7.79126944942527</v>
      </c>
      <c r="W80" s="14" t="e">
        <f aca="false">S80/(U80+0.0001)</f>
        <v>#N/A</v>
      </c>
      <c r="X80" s="39" t="n">
        <f aca="false">IF(Informed=1,K80,0)</f>
        <v>0</v>
      </c>
      <c r="Y80" s="39" t="n">
        <f aca="false">IF(Informed=0,K80,0)</f>
        <v>0</v>
      </c>
      <c r="Z80" s="39" t="n">
        <f aca="false">IF(Informed=1,N80,0)</f>
        <v>0</v>
      </c>
      <c r="AA80" s="39" t="n">
        <f aca="false">IF(Informed=0,N80,0)</f>
        <v>11.3498692508675</v>
      </c>
      <c r="AB80" s="43" t="n">
        <f aca="false">IF(Arterial=0,IF(Informed=1,1,0),0)</f>
        <v>0</v>
      </c>
      <c r="AC80" s="43" t="n">
        <f aca="false">IF(Arterial=0,IF(Informed=0,1,0),0)</f>
        <v>0</v>
      </c>
      <c r="AD80" s="43" t="n">
        <f aca="false">IF(Arterial=1,IF(Informed=1,1,0),0)</f>
        <v>0</v>
      </c>
      <c r="AE80" s="43" t="n">
        <f aca="false">IF(Arterial=1,IF(Informed=0,1,0),0)</f>
        <v>1</v>
      </c>
      <c r="AF80" s="35" t="n">
        <f aca="false">IF(AB80=1,(X80-G$1030)^2,0)</f>
        <v>0</v>
      </c>
      <c r="AG80" s="35" t="n">
        <f aca="false">IF(AC80=1,(Y80-H$1030)^2,0)</f>
        <v>0</v>
      </c>
      <c r="AH80" s="35" t="n">
        <f aca="false">IF(AD80=1,(Z80-I$1030)^2,0)</f>
        <v>0</v>
      </c>
      <c r="AI80" s="35" t="n">
        <f aca="false">IF(AE80=1,(AA80-J$1030)^2,0)</f>
        <v>331.764576437597</v>
      </c>
      <c r="AJ80" s="37" t="n">
        <f aca="true">IF(RAND()&lt;$D$6,1,0)</f>
        <v>0</v>
      </c>
      <c r="AK80" s="14" t="n">
        <f aca="false">AK79+IF((AJ80=1),IF((H80=0),1,0),0)</f>
        <v>0</v>
      </c>
      <c r="AL80" s="14" t="n">
        <f aca="false">AL79+IF((AJ80=1),IF((H80=1),1,0),0)</f>
        <v>0</v>
      </c>
      <c r="AM80" s="37" t="n">
        <f aca="false">IF(AK80=0,9999,IF($H80=0,IF($AJ80&lt;1,AM79+1,0),AM79))</f>
        <v>9999</v>
      </c>
      <c r="AN80" s="37" t="n">
        <f aca="false">IF(AL80=0,9999,IF($H80=1,IF($AJ80&lt;1,AN79+1,0),AN79))</f>
        <v>9999</v>
      </c>
      <c r="AO80" s="37" t="n">
        <f aca="false">IF($A80-AM80&gt;0,1/(1+AM80),0)</f>
        <v>0</v>
      </c>
      <c r="AP80" s="37" t="n">
        <f aca="false">IF($A80-AN80&gt;0,1/(1+AN80),0)</f>
        <v>0</v>
      </c>
      <c r="AQ80" s="7" t="n">
        <f aca="false">IF(AK80=0,0,MAX(MIN(1,AO80^Power),0))</f>
        <v>0</v>
      </c>
      <c r="AR80" s="7" t="n">
        <f aca="false">IF(AL80=0,0,MAX(MIN(1,AP80^Power),0))</f>
        <v>0</v>
      </c>
      <c r="AS80" s="7" t="n">
        <f aca="false">IF($AJ80=1,IF($H80=0,K80,AS79),AS79)</f>
        <v>0</v>
      </c>
      <c r="AT80" s="7" t="n">
        <f aca="false">IF($AJ80=1,IF($H80=1,N80,AT79),AT79)</f>
        <v>0</v>
      </c>
    </row>
    <row r="81" customFormat="false" ht="13" hidden="false" customHeight="false" outlineLevel="0" collapsed="false">
      <c r="A81" s="16" t="n">
        <v>64</v>
      </c>
      <c r="B81" s="37" t="n">
        <f aca="true">IF(RAND()&lt;$D$8,1,0)</f>
        <v>1</v>
      </c>
      <c r="C81" s="20" t="n">
        <f aca="true">-LN(RAND())/$D$2</f>
        <v>0.27028749063159</v>
      </c>
      <c r="D81" s="38" t="n">
        <f aca="false">D80+C81</f>
        <v>74.549427188608</v>
      </c>
      <c r="E81" s="39" t="n">
        <f aca="false">MAX($E$3,AS80)</f>
        <v>0</v>
      </c>
      <c r="F81" s="39" t="n">
        <f aca="false">MAX($E$3,AT80)</f>
        <v>0</v>
      </c>
      <c r="G81" s="40" t="n">
        <v>0.5</v>
      </c>
      <c r="H81" s="38" t="n">
        <f aca="true">IF((B81=1),(IF((F81&lt;E81),1,(IF((F81=E81),(IF(RAND()&lt;G81,1,0)),0)))),(IF((RAND()&lt;G81),1,0)))</f>
        <v>1</v>
      </c>
      <c r="I81" s="38" t="n">
        <f aca="true">IF((H81=1),0,$D$3+$D$5*(RAND()-0.5))</f>
        <v>0</v>
      </c>
      <c r="J81" s="38" t="n">
        <f aca="false">I81+MAX(D81,J80)</f>
        <v>75.9233711774188</v>
      </c>
      <c r="K81" s="38" t="n">
        <f aca="false">IF((H81=0),J81-D81,0)</f>
        <v>0</v>
      </c>
      <c r="L81" s="38" t="n">
        <f aca="true">IF(($H81=0),0,$D$4+$D$5*(RAND()-0.5))</f>
        <v>1.81365476535438</v>
      </c>
      <c r="M81" s="38" t="n">
        <f aca="false">L81+MAX(D81,M80)</f>
        <v>87.4426637141983</v>
      </c>
      <c r="N81" s="38" t="n">
        <f aca="false">IF((H81=1),M81-D81,0)</f>
        <v>12.8932365255903</v>
      </c>
      <c r="O81" s="16" t="n">
        <v>64</v>
      </c>
      <c r="P81" s="41" t="n">
        <f aca="false">IF((Arterial=0),P80+1,P80)</f>
        <v>32</v>
      </c>
      <c r="Q81" s="41" t="n">
        <f aca="false">IF((Arterial=1),Q80+1,Q80)</f>
        <v>32</v>
      </c>
      <c r="R81" s="42" t="n">
        <f aca="false">IF((RESET=1),0,R81+K81)</f>
        <v>255.023457646332</v>
      </c>
      <c r="S81" s="14" t="e">
        <f aca="false">IF(RESET=1,0,S81+N81)</f>
        <v>#N/A</v>
      </c>
      <c r="T81" s="2" t="n">
        <f aca="false">IF(RESET=1,0,T81+IF(H81=0,1,0))</f>
        <v>36</v>
      </c>
      <c r="U81" s="2" t="e">
        <f aca="false">IF(RESET=1,0,U81+H81)</f>
        <v>#N/A</v>
      </c>
      <c r="V81" s="14" t="n">
        <f aca="false">R81/(T81+0.00001)</f>
        <v>7.08398296684728</v>
      </c>
      <c r="W81" s="14" t="e">
        <f aca="false">S81/(U81+0.0001)</f>
        <v>#N/A</v>
      </c>
      <c r="X81" s="39" t="n">
        <f aca="false">IF(Informed=1,K81,0)</f>
        <v>0</v>
      </c>
      <c r="Y81" s="39" t="n">
        <f aca="false">IF(Informed=0,K81,0)</f>
        <v>0</v>
      </c>
      <c r="Z81" s="39" t="n">
        <f aca="false">IF(Informed=1,N81,0)</f>
        <v>12.8932365255903</v>
      </c>
      <c r="AA81" s="39" t="n">
        <f aca="false">IF(Informed=0,N81,0)</f>
        <v>0</v>
      </c>
      <c r="AB81" s="43" t="n">
        <f aca="false">IF(Arterial=0,IF(Informed=1,1,0),0)</f>
        <v>0</v>
      </c>
      <c r="AC81" s="43" t="n">
        <f aca="false">IF(Arterial=0,IF(Informed=0,1,0),0)</f>
        <v>0</v>
      </c>
      <c r="AD81" s="43" t="n">
        <f aca="false">IF(Arterial=1,IF(Informed=1,1,0),0)</f>
        <v>1</v>
      </c>
      <c r="AE81" s="43" t="n">
        <f aca="false">IF(Arterial=1,IF(Informed=0,1,0),0)</f>
        <v>0</v>
      </c>
      <c r="AF81" s="35" t="n">
        <f aca="false">IF(AB81=1,(X81-G$1030)^2,0)</f>
        <v>0</v>
      </c>
      <c r="AG81" s="35" t="n">
        <f aca="false">IF(AC81=1,(Y81-H$1030)^2,0)</f>
        <v>0</v>
      </c>
      <c r="AH81" s="35" t="n">
        <f aca="false">IF(AD81=1,(Z81-I$1030)^2,0)</f>
        <v>239.679884920772</v>
      </c>
      <c r="AI81" s="35" t="n">
        <f aca="false">IF(AE81=1,(AA81-J$1030)^2,0)</f>
        <v>0</v>
      </c>
      <c r="AJ81" s="37" t="n">
        <f aca="true">IF(RAND()&lt;$D$6,1,0)</f>
        <v>0</v>
      </c>
      <c r="AK81" s="14" t="n">
        <f aca="false">AK80+IF((AJ81=1),IF((H81=0),1,0),0)</f>
        <v>0</v>
      </c>
      <c r="AL81" s="14" t="n">
        <f aca="false">AL80+IF((AJ81=1),IF((H81=1),1,0),0)</f>
        <v>0</v>
      </c>
      <c r="AM81" s="37" t="n">
        <f aca="false">IF(AK81=0,9999,IF($H81=0,IF($AJ81&lt;1,AM80+1,0),AM80))</f>
        <v>9999</v>
      </c>
      <c r="AN81" s="37" t="n">
        <f aca="false">IF(AL81=0,9999,IF($H81=1,IF($AJ81&lt;1,AN80+1,0),AN80))</f>
        <v>9999</v>
      </c>
      <c r="AO81" s="37" t="n">
        <f aca="false">IF($A81-AM81&gt;0,1/(1+AM81),0)</f>
        <v>0</v>
      </c>
      <c r="AP81" s="37" t="n">
        <f aca="false">IF($A81-AN81&gt;0,1/(1+AN81),0)</f>
        <v>0</v>
      </c>
      <c r="AQ81" s="7" t="n">
        <f aca="false">IF(AK81=0,0,MAX(MIN(1,AO81^Power),0))</f>
        <v>0</v>
      </c>
      <c r="AR81" s="7" t="n">
        <f aca="false">IF(AL81=0,0,MAX(MIN(1,AP81^Power),0))</f>
        <v>0</v>
      </c>
      <c r="AS81" s="7" t="n">
        <f aca="false">IF($AJ81=1,IF($H81=0,K81,AS80),AS80)</f>
        <v>0</v>
      </c>
      <c r="AT81" s="7" t="n">
        <f aca="false">IF($AJ81=1,IF($H81=1,N81,AT80),AT80)</f>
        <v>0</v>
      </c>
    </row>
    <row r="82" customFormat="false" ht="13" hidden="false" customHeight="false" outlineLevel="0" collapsed="false">
      <c r="A82" s="16" t="n">
        <v>65</v>
      </c>
      <c r="B82" s="37" t="n">
        <f aca="true">IF(RAND()&lt;$D$8,1,0)</f>
        <v>1</v>
      </c>
      <c r="C82" s="20" t="n">
        <f aca="true">-LN(RAND())/$D$2</f>
        <v>1.46125622763855</v>
      </c>
      <c r="D82" s="38" t="n">
        <f aca="false">D81+C82</f>
        <v>76.0106834162466</v>
      </c>
      <c r="E82" s="39" t="n">
        <f aca="false">MAX($E$3,AS81)</f>
        <v>0</v>
      </c>
      <c r="F82" s="39" t="n">
        <f aca="false">MAX($E$3,AT81)</f>
        <v>0</v>
      </c>
      <c r="G82" s="40" t="n">
        <v>0.5</v>
      </c>
      <c r="H82" s="38" t="n">
        <f aca="true">IF((B82=1),(IF((F82&lt;E82),1,(IF((F82=E82),(IF(RAND()&lt;G82,1,0)),0)))),(IF((RAND()&lt;G82),1,0)))</f>
        <v>1</v>
      </c>
      <c r="I82" s="38" t="n">
        <f aca="true">IF((H82=1),0,$D$3+$D$5*(RAND()-0.5))</f>
        <v>0</v>
      </c>
      <c r="J82" s="38" t="n">
        <f aca="false">I82+MAX(D82,J81)</f>
        <v>76.0106834162466</v>
      </c>
      <c r="K82" s="38" t="n">
        <f aca="false">IF((H82=0),J82-D82,0)</f>
        <v>0</v>
      </c>
      <c r="L82" s="38" t="n">
        <f aca="true">IF(($H82=0),0,$D$4+$D$5*(RAND()-0.5))</f>
        <v>1.84960123687408</v>
      </c>
      <c r="M82" s="38" t="n">
        <f aca="false">L82+MAX(D82,M81)</f>
        <v>89.2922649510724</v>
      </c>
      <c r="N82" s="38" t="n">
        <f aca="false">IF((H82=1),M82-D82,0)</f>
        <v>13.2815815348258</v>
      </c>
      <c r="O82" s="16" t="n">
        <v>65</v>
      </c>
      <c r="P82" s="41" t="n">
        <f aca="false">IF((Arterial=0),P81+1,P81)</f>
        <v>32</v>
      </c>
      <c r="Q82" s="41" t="n">
        <f aca="false">IF((Arterial=1),Q81+1,Q81)</f>
        <v>33</v>
      </c>
      <c r="R82" s="42" t="n">
        <f aca="false">IF((RESET=1),0,R82+K82)</f>
        <v>351.805833206361</v>
      </c>
      <c r="S82" s="14" t="e">
        <f aca="false">IF(RESET=1,0,S82+N82)</f>
        <v>#N/A</v>
      </c>
      <c r="T82" s="2" t="n">
        <f aca="false">IF(RESET=1,0,T82+IF(H82=0,1,0))</f>
        <v>46</v>
      </c>
      <c r="U82" s="2" t="e">
        <f aca="false">IF(RESET=1,0,U82+H82)</f>
        <v>#N/A</v>
      </c>
      <c r="V82" s="14" t="n">
        <f aca="false">R82/(T82+0.00001)</f>
        <v>7.64795123319235</v>
      </c>
      <c r="W82" s="14" t="e">
        <f aca="false">S82/(U82+0.0001)</f>
        <v>#N/A</v>
      </c>
      <c r="X82" s="39" t="n">
        <f aca="false">IF(Informed=1,K82,0)</f>
        <v>0</v>
      </c>
      <c r="Y82" s="39" t="n">
        <f aca="false">IF(Informed=0,K82,0)</f>
        <v>0</v>
      </c>
      <c r="Z82" s="39" t="n">
        <f aca="false">IF(Informed=1,N82,0)</f>
        <v>13.2815815348258</v>
      </c>
      <c r="AA82" s="39" t="n">
        <f aca="false">IF(Informed=0,N82,0)</f>
        <v>0</v>
      </c>
      <c r="AB82" s="43" t="n">
        <f aca="false">IF(Arterial=0,IF(Informed=1,1,0),0)</f>
        <v>0</v>
      </c>
      <c r="AC82" s="43" t="n">
        <f aca="false">IF(Arterial=0,IF(Informed=0,1,0),0)</f>
        <v>0</v>
      </c>
      <c r="AD82" s="43" t="n">
        <f aca="false">IF(Arterial=1,IF(Informed=1,1,0),0)</f>
        <v>1</v>
      </c>
      <c r="AE82" s="43" t="n">
        <f aca="false">IF(Arterial=1,IF(Informed=0,1,0),0)</f>
        <v>0</v>
      </c>
      <c r="AF82" s="35" t="n">
        <f aca="false">IF(AB82=1,(X82-G$1030)^2,0)</f>
        <v>0</v>
      </c>
      <c r="AG82" s="35" t="n">
        <f aca="false">IF(AC82=1,(Y82-H$1030)^2,0)</f>
        <v>0</v>
      </c>
      <c r="AH82" s="35" t="n">
        <f aca="false">IF(AD82=1,(Z82-I$1030)^2,0)</f>
        <v>227.806293922512</v>
      </c>
      <c r="AI82" s="35" t="n">
        <f aca="false">IF(AE82=1,(AA82-J$1030)^2,0)</f>
        <v>0</v>
      </c>
      <c r="AJ82" s="37" t="n">
        <f aca="true">IF(RAND()&lt;$D$6,1,0)</f>
        <v>0</v>
      </c>
      <c r="AK82" s="14" t="n">
        <f aca="false">AK81+IF((AJ82=1),IF((H82=0),1,0),0)</f>
        <v>0</v>
      </c>
      <c r="AL82" s="14" t="n">
        <f aca="false">AL81+IF((AJ82=1),IF((H82=1),1,0),0)</f>
        <v>0</v>
      </c>
      <c r="AM82" s="37" t="n">
        <f aca="false">IF(AK82=0,9999,IF($H82=0,IF($AJ82&lt;1,AM81+1,0),AM81))</f>
        <v>9999</v>
      </c>
      <c r="AN82" s="37" t="n">
        <f aca="false">IF(AL82=0,9999,IF($H82=1,IF($AJ82&lt;1,AN81+1,0),AN81))</f>
        <v>9999</v>
      </c>
      <c r="AO82" s="37" t="n">
        <f aca="false">IF($A82-AM82&gt;0,1/(1+AM82),0)</f>
        <v>0</v>
      </c>
      <c r="AP82" s="37" t="n">
        <f aca="false">IF($A82-AN82&gt;0,1/(1+AN82),0)</f>
        <v>0</v>
      </c>
      <c r="AQ82" s="7" t="n">
        <f aca="false">IF(AK82=0,0,MAX(MIN(1,AO82^Power),0))</f>
        <v>0</v>
      </c>
      <c r="AR82" s="7" t="n">
        <f aca="false">IF(AL82=0,0,MAX(MIN(1,AP82^Power),0))</f>
        <v>0</v>
      </c>
      <c r="AS82" s="7" t="n">
        <f aca="false">IF($AJ82=1,IF($H82=0,K82,AS81),AS81)</f>
        <v>0</v>
      </c>
      <c r="AT82" s="7" t="n">
        <f aca="false">IF($AJ82=1,IF($H82=1,N82,AT81),AT81)</f>
        <v>0</v>
      </c>
    </row>
    <row r="83" customFormat="false" ht="13" hidden="false" customHeight="false" outlineLevel="0" collapsed="false">
      <c r="A83" s="16" t="n">
        <v>66</v>
      </c>
      <c r="B83" s="37" t="n">
        <f aca="true">IF(RAND()&lt;$D$8,1,0)</f>
        <v>0</v>
      </c>
      <c r="C83" s="20" t="n">
        <f aca="true">-LN(RAND())/$D$2</f>
        <v>0.255277154492006</v>
      </c>
      <c r="D83" s="38" t="n">
        <f aca="false">D82+C83</f>
        <v>76.2659605707386</v>
      </c>
      <c r="E83" s="39" t="n">
        <f aca="false">MAX($E$3,AS82)</f>
        <v>0</v>
      </c>
      <c r="F83" s="39" t="n">
        <f aca="false">MAX($E$3,AT82)</f>
        <v>0</v>
      </c>
      <c r="G83" s="40" t="n">
        <v>0.5</v>
      </c>
      <c r="H83" s="38" t="n">
        <f aca="true">IF((B83=1),(IF((F83&lt;E83),1,(IF((F83=E83),(IF(RAND()&lt;G83,1,0)),0)))),(IF((RAND()&lt;G83),1,0)))</f>
        <v>1</v>
      </c>
      <c r="I83" s="38" t="n">
        <f aca="true">IF((H83=1),0,$D$3+$D$5*(RAND()-0.5))</f>
        <v>0</v>
      </c>
      <c r="J83" s="38" t="n">
        <f aca="false">I83+MAX(D83,J82)</f>
        <v>76.2659605707386</v>
      </c>
      <c r="K83" s="38" t="n">
        <f aca="false">IF((H83=0),J83-D83,0)</f>
        <v>0</v>
      </c>
      <c r="L83" s="38" t="n">
        <f aca="true">IF(($H83=0),0,$D$4+$D$5*(RAND()-0.5))</f>
        <v>2.03300643436549</v>
      </c>
      <c r="M83" s="38" t="n">
        <f aca="false">L83+MAX(D83,M82)</f>
        <v>91.3252713854379</v>
      </c>
      <c r="N83" s="38" t="n">
        <f aca="false">IF((H83=1),M83-D83,0)</f>
        <v>15.0593108146993</v>
      </c>
      <c r="O83" s="16" t="n">
        <v>66</v>
      </c>
      <c r="P83" s="41" t="n">
        <f aca="false">IF((Arterial=0),P82+1,P82)</f>
        <v>32</v>
      </c>
      <c r="Q83" s="41" t="n">
        <f aca="false">IF((Arterial=1),Q82+1,Q82)</f>
        <v>34</v>
      </c>
      <c r="R83" s="42" t="n">
        <f aca="false">IF((RESET=1),0,R83+K83)</f>
        <v>273.964945432634</v>
      </c>
      <c r="S83" s="14" t="e">
        <f aca="false">IF(RESET=1,0,S83+N83)</f>
        <v>#N/A</v>
      </c>
      <c r="T83" s="2" t="n">
        <f aca="false">IF(RESET=1,0,T83+IF(H83=0,1,0))</f>
        <v>34</v>
      </c>
      <c r="U83" s="2" t="e">
        <f aca="false">IF(RESET=1,0,U83+H83)</f>
        <v>#N/A</v>
      </c>
      <c r="V83" s="14" t="n">
        <f aca="false">R83/(T83+0.00001)</f>
        <v>8.05779014278626</v>
      </c>
      <c r="W83" s="14" t="e">
        <f aca="false">S83/(U83+0.0001)</f>
        <v>#N/A</v>
      </c>
      <c r="X83" s="39" t="n">
        <f aca="false">IF(Informed=1,K83,0)</f>
        <v>0</v>
      </c>
      <c r="Y83" s="39" t="n">
        <f aca="false">IF(Informed=0,K83,0)</f>
        <v>0</v>
      </c>
      <c r="Z83" s="39" t="n">
        <f aca="false">IF(Informed=1,N83,0)</f>
        <v>0</v>
      </c>
      <c r="AA83" s="39" t="n">
        <f aca="false">IF(Informed=0,N83,0)</f>
        <v>15.0593108146993</v>
      </c>
      <c r="AB83" s="43" t="n">
        <f aca="false">IF(Arterial=0,IF(Informed=1,1,0),0)</f>
        <v>0</v>
      </c>
      <c r="AC83" s="43" t="n">
        <f aca="false">IF(Arterial=0,IF(Informed=0,1,0),0)</f>
        <v>0</v>
      </c>
      <c r="AD83" s="43" t="n">
        <f aca="false">IF(Arterial=1,IF(Informed=1,1,0),0)</f>
        <v>0</v>
      </c>
      <c r="AE83" s="43" t="n">
        <f aca="false">IF(Arterial=1,IF(Informed=0,1,0),0)</f>
        <v>1</v>
      </c>
      <c r="AF83" s="35" t="n">
        <f aca="false">IF(AB83=1,(X83-G$1030)^2,0)</f>
        <v>0</v>
      </c>
      <c r="AG83" s="35" t="n">
        <f aca="false">IF(AC83=1,(Y83-H$1030)^2,0)</f>
        <v>0</v>
      </c>
      <c r="AH83" s="35" t="n">
        <f aca="false">IF(AD83=1,(Z83-I$1030)^2,0)</f>
        <v>0</v>
      </c>
      <c r="AI83" s="35" t="n">
        <f aca="false">IF(AE83=1,(AA83-J$1030)^2,0)</f>
        <v>210.393985733011</v>
      </c>
      <c r="AJ83" s="37" t="n">
        <f aca="true">IF(RAND()&lt;$D$6,1,0)</f>
        <v>0</v>
      </c>
      <c r="AK83" s="14" t="n">
        <f aca="false">AK82+IF((AJ83=1),IF((H83=0),1,0),0)</f>
        <v>0</v>
      </c>
      <c r="AL83" s="14" t="n">
        <f aca="false">AL82+IF((AJ83=1),IF((H83=1),1,0),0)</f>
        <v>0</v>
      </c>
      <c r="AM83" s="37" t="n">
        <f aca="false">IF(AK83=0,9999,IF($H83=0,IF($AJ83&lt;1,AM82+1,0),AM82))</f>
        <v>9999</v>
      </c>
      <c r="AN83" s="37" t="n">
        <f aca="false">IF(AL83=0,9999,IF($H83=1,IF($AJ83&lt;1,AN82+1,0),AN82))</f>
        <v>9999</v>
      </c>
      <c r="AO83" s="37" t="n">
        <f aca="false">IF($A83-AM83&gt;0,1/(1+AM83),0)</f>
        <v>0</v>
      </c>
      <c r="AP83" s="37" t="n">
        <f aca="false">IF($A83-AN83&gt;0,1/(1+AN83),0)</f>
        <v>0</v>
      </c>
      <c r="AQ83" s="7" t="n">
        <f aca="false">IF(AK83=0,0,MAX(MIN(1,AO83^Power),0))</f>
        <v>0</v>
      </c>
      <c r="AR83" s="7" t="n">
        <f aca="false">IF(AL83=0,0,MAX(MIN(1,AP83^Power),0))</f>
        <v>0</v>
      </c>
      <c r="AS83" s="7" t="n">
        <f aca="false">IF($AJ83=1,IF($H83=0,K83,AS82),AS82)</f>
        <v>0</v>
      </c>
      <c r="AT83" s="7" t="n">
        <f aca="false">IF($AJ83=1,IF($H83=1,N83,AT82),AT82)</f>
        <v>0</v>
      </c>
    </row>
    <row r="84" customFormat="false" ht="13" hidden="false" customHeight="false" outlineLevel="0" collapsed="false">
      <c r="A84" s="16" t="n">
        <v>67</v>
      </c>
      <c r="B84" s="37" t="n">
        <f aca="true">IF(RAND()&lt;$D$8,1,0)</f>
        <v>1</v>
      </c>
      <c r="C84" s="20" t="n">
        <f aca="true">-LN(RAND())/$D$2</f>
        <v>1.97902244912502</v>
      </c>
      <c r="D84" s="38" t="n">
        <f aca="false">D83+C84</f>
        <v>78.2449830198636</v>
      </c>
      <c r="E84" s="39" t="n">
        <f aca="false">MAX($E$3,AS83)</f>
        <v>0</v>
      </c>
      <c r="F84" s="39" t="n">
        <f aca="false">MAX($E$3,AT83)</f>
        <v>0</v>
      </c>
      <c r="G84" s="40" t="n">
        <v>0.5</v>
      </c>
      <c r="H84" s="38" t="n">
        <f aca="true">IF((B84=1),(IF((F84&lt;E84),1,(IF((F84=E84),(IF(RAND()&lt;G84,1,0)),0)))),(IF((RAND()&lt;G84),1,0)))</f>
        <v>1</v>
      </c>
      <c r="I84" s="38" t="n">
        <f aca="true">IF((H84=1),0,$D$3+$D$5*(RAND()-0.5))</f>
        <v>0</v>
      </c>
      <c r="J84" s="38" t="n">
        <f aca="false">I84+MAX(D84,J83)</f>
        <v>78.2449830198636</v>
      </c>
      <c r="K84" s="38" t="n">
        <f aca="false">IF((H84=0),J84-D84,0)</f>
        <v>0</v>
      </c>
      <c r="L84" s="38" t="n">
        <f aca="true">IF(($H84=0),0,$D$4+$D$5*(RAND()-0.5))</f>
        <v>2.24588473034193</v>
      </c>
      <c r="M84" s="38" t="n">
        <f aca="false">L84+MAX(D84,M83)</f>
        <v>93.5711561157798</v>
      </c>
      <c r="N84" s="38" t="n">
        <f aca="false">IF((H84=1),M84-D84,0)</f>
        <v>15.3261730959162</v>
      </c>
      <c r="O84" s="16" t="n">
        <v>67</v>
      </c>
      <c r="P84" s="41" t="n">
        <f aca="false">IF((Arterial=0),P83+1,P83)</f>
        <v>32</v>
      </c>
      <c r="Q84" s="41" t="n">
        <f aca="false">IF((Arterial=1),Q83+1,Q83)</f>
        <v>35</v>
      </c>
      <c r="R84" s="42" t="n">
        <f aca="false">IF((RESET=1),0,R84+K84)</f>
        <v>296.499342337912</v>
      </c>
      <c r="S84" s="14" t="e">
        <f aca="false">IF(RESET=1,0,S84+N84)</f>
        <v>#N/A</v>
      </c>
      <c r="T84" s="2" t="n">
        <f aca="false">IF(RESET=1,0,T84+IF(H84=0,1,0))</f>
        <v>41</v>
      </c>
      <c r="U84" s="2" t="e">
        <f aca="false">IF(RESET=1,0,U84+H84)</f>
        <v>#N/A</v>
      </c>
      <c r="V84" s="14" t="n">
        <f aca="false">R84/(T84+0.00001)</f>
        <v>7.23168951270773</v>
      </c>
      <c r="W84" s="14" t="e">
        <f aca="false">S84/(U84+0.0001)</f>
        <v>#N/A</v>
      </c>
      <c r="X84" s="39" t="n">
        <f aca="false">IF(Informed=1,K84,0)</f>
        <v>0</v>
      </c>
      <c r="Y84" s="39" t="n">
        <f aca="false">IF(Informed=0,K84,0)</f>
        <v>0</v>
      </c>
      <c r="Z84" s="39" t="n">
        <f aca="false">IF(Informed=1,N84,0)</f>
        <v>15.3261730959162</v>
      </c>
      <c r="AA84" s="39" t="n">
        <f aca="false">IF(Informed=0,N84,0)</f>
        <v>0</v>
      </c>
      <c r="AB84" s="43" t="n">
        <f aca="false">IF(Arterial=0,IF(Informed=1,1,0),0)</f>
        <v>0</v>
      </c>
      <c r="AC84" s="43" t="n">
        <f aca="false">IF(Arterial=0,IF(Informed=0,1,0),0)</f>
        <v>0</v>
      </c>
      <c r="AD84" s="43" t="n">
        <f aca="false">IF(Arterial=1,IF(Informed=1,1,0),0)</f>
        <v>1</v>
      </c>
      <c r="AE84" s="43" t="n">
        <f aca="false">IF(Arterial=1,IF(Informed=0,1,0),0)</f>
        <v>0</v>
      </c>
      <c r="AF84" s="35" t="n">
        <f aca="false">IF(AB84=1,(X84-G$1030)^2,0)</f>
        <v>0</v>
      </c>
      <c r="AG84" s="35" t="n">
        <f aca="false">IF(AC84=1,(Y84-H$1030)^2,0)</f>
        <v>0</v>
      </c>
      <c r="AH84" s="35" t="n">
        <f aca="false">IF(AD84=1,(Z84-I$1030)^2,0)</f>
        <v>170.267572091102</v>
      </c>
      <c r="AI84" s="35" t="n">
        <f aca="false">IF(AE84=1,(AA84-J$1030)^2,0)</f>
        <v>0</v>
      </c>
      <c r="AJ84" s="37" t="n">
        <f aca="true">IF(RAND()&lt;$D$6,1,0)</f>
        <v>0</v>
      </c>
      <c r="AK84" s="14" t="n">
        <f aca="false">AK83+IF((AJ84=1),IF((H84=0),1,0),0)</f>
        <v>0</v>
      </c>
      <c r="AL84" s="14" t="n">
        <f aca="false">AL83+IF((AJ84=1),IF((H84=1),1,0),0)</f>
        <v>0</v>
      </c>
      <c r="AM84" s="37" t="n">
        <f aca="false">IF(AK84=0,9999,IF($H84=0,IF($AJ84&lt;1,AM83+1,0),AM83))</f>
        <v>9999</v>
      </c>
      <c r="AN84" s="37" t="n">
        <f aca="false">IF(AL84=0,9999,IF($H84=1,IF($AJ84&lt;1,AN83+1,0),AN83))</f>
        <v>9999</v>
      </c>
      <c r="AO84" s="37" t="n">
        <f aca="false">IF($A84-AM84&gt;0,1/(1+AM84),0)</f>
        <v>0</v>
      </c>
      <c r="AP84" s="37" t="n">
        <f aca="false">IF($A84-AN84&gt;0,1/(1+AN84),0)</f>
        <v>0</v>
      </c>
      <c r="AQ84" s="7" t="n">
        <f aca="false">IF(AK84=0,0,MAX(MIN(1,AO84^Power),0))</f>
        <v>0</v>
      </c>
      <c r="AR84" s="7" t="n">
        <f aca="false">IF(AL84=0,0,MAX(MIN(1,AP84^Power),0))</f>
        <v>0</v>
      </c>
      <c r="AS84" s="7" t="n">
        <f aca="false">IF($AJ84=1,IF($H84=0,K84,AS83),AS83)</f>
        <v>0</v>
      </c>
      <c r="AT84" s="7" t="n">
        <f aca="false">IF($AJ84=1,IF($H84=1,N84,AT83),AT83)</f>
        <v>0</v>
      </c>
    </row>
    <row r="85" customFormat="false" ht="13" hidden="false" customHeight="false" outlineLevel="0" collapsed="false">
      <c r="A85" s="16" t="n">
        <v>68</v>
      </c>
      <c r="B85" s="37" t="n">
        <f aca="true">IF(RAND()&lt;$D$8,1,0)</f>
        <v>1</v>
      </c>
      <c r="C85" s="20" t="n">
        <f aca="true">-LN(RAND())/$D$2</f>
        <v>1.02932844160993</v>
      </c>
      <c r="D85" s="38" t="n">
        <f aca="false">D84+C85</f>
        <v>79.2743114614735</v>
      </c>
      <c r="E85" s="39" t="n">
        <f aca="false">MAX($E$3,AS84)</f>
        <v>0</v>
      </c>
      <c r="F85" s="39" t="n">
        <f aca="false">MAX($E$3,AT84)</f>
        <v>0</v>
      </c>
      <c r="G85" s="40" t="n">
        <v>0.5</v>
      </c>
      <c r="H85" s="38" t="n">
        <f aca="true">IF((B85=1),(IF((F85&lt;E85),1,(IF((F85=E85),(IF(RAND()&lt;G85,1,0)),0)))),(IF((RAND()&lt;G85),1,0)))</f>
        <v>1</v>
      </c>
      <c r="I85" s="38" t="n">
        <f aca="true">IF((H85=1),0,$D$3+$D$5*(RAND()-0.5))</f>
        <v>0</v>
      </c>
      <c r="J85" s="38" t="n">
        <f aca="false">I85+MAX(D85,J84)</f>
        <v>79.2743114614735</v>
      </c>
      <c r="K85" s="38" t="n">
        <f aca="false">IF((H85=0),J85-D85,0)</f>
        <v>0</v>
      </c>
      <c r="L85" s="38" t="n">
        <f aca="true">IF(($H85=0),0,$D$4+$D$5*(RAND()-0.5))</f>
        <v>1.94642126849026</v>
      </c>
      <c r="M85" s="38" t="n">
        <f aca="false">L85+MAX(D85,M84)</f>
        <v>95.51757738427</v>
      </c>
      <c r="N85" s="38" t="n">
        <f aca="false">IF((H85=1),M85-D85,0)</f>
        <v>16.2432659227965</v>
      </c>
      <c r="O85" s="16" t="n">
        <v>68</v>
      </c>
      <c r="P85" s="41" t="n">
        <f aca="false">IF((Arterial=0),P84+1,P84)</f>
        <v>32</v>
      </c>
      <c r="Q85" s="41" t="n">
        <f aca="false">IF((Arterial=1),Q84+1,Q84)</f>
        <v>36</v>
      </c>
      <c r="R85" s="42" t="n">
        <f aca="false">IF((RESET=1),0,R85+K85)</f>
        <v>274.836519630666</v>
      </c>
      <c r="S85" s="14" t="e">
        <f aca="false">IF(RESET=1,0,S85+N85)</f>
        <v>#N/A</v>
      </c>
      <c r="T85" s="2" t="n">
        <f aca="false">IF(RESET=1,0,T85+IF(H85=0,1,0))</f>
        <v>42</v>
      </c>
      <c r="U85" s="2" t="e">
        <f aca="false">IF(RESET=1,0,U85+H85)</f>
        <v>#N/A</v>
      </c>
      <c r="V85" s="14" t="n">
        <f aca="false">R85/(T85+0.00001)</f>
        <v>6.54372509984322</v>
      </c>
      <c r="W85" s="14" t="e">
        <f aca="false">S85/(U85+0.0001)</f>
        <v>#N/A</v>
      </c>
      <c r="X85" s="39" t="n">
        <f aca="false">IF(Informed=1,K85,0)</f>
        <v>0</v>
      </c>
      <c r="Y85" s="39" t="n">
        <f aca="false">IF(Informed=0,K85,0)</f>
        <v>0</v>
      </c>
      <c r="Z85" s="39" t="n">
        <f aca="false">IF(Informed=1,N85,0)</f>
        <v>16.2432659227965</v>
      </c>
      <c r="AA85" s="39" t="n">
        <f aca="false">IF(Informed=0,N85,0)</f>
        <v>0</v>
      </c>
      <c r="AB85" s="43" t="n">
        <f aca="false">IF(Arterial=0,IF(Informed=1,1,0),0)</f>
        <v>0</v>
      </c>
      <c r="AC85" s="43" t="n">
        <f aca="false">IF(Arterial=0,IF(Informed=0,1,0),0)</f>
        <v>0</v>
      </c>
      <c r="AD85" s="43" t="n">
        <f aca="false">IF(Arterial=1,IF(Informed=1,1,0),0)</f>
        <v>1</v>
      </c>
      <c r="AE85" s="43" t="n">
        <f aca="false">IF(Arterial=1,IF(Informed=0,1,0),0)</f>
        <v>0</v>
      </c>
      <c r="AF85" s="35" t="n">
        <f aca="false">IF(AB85=1,(X85-G$1030)^2,0)</f>
        <v>0</v>
      </c>
      <c r="AG85" s="35" t="n">
        <f aca="false">IF(AC85=1,(Y85-H$1030)^2,0)</f>
        <v>0</v>
      </c>
      <c r="AH85" s="35" t="n">
        <f aca="false">IF(AD85=1,(Z85-I$1030)^2,0)</f>
        <v>147.174963258218</v>
      </c>
      <c r="AI85" s="35" t="n">
        <f aca="false">IF(AE85=1,(AA85-J$1030)^2,0)</f>
        <v>0</v>
      </c>
      <c r="AJ85" s="37" t="n">
        <f aca="true">IF(RAND()&lt;$D$6,1,0)</f>
        <v>0</v>
      </c>
      <c r="AK85" s="14" t="n">
        <f aca="false">AK84+IF((AJ85=1),IF((H85=0),1,0),0)</f>
        <v>0</v>
      </c>
      <c r="AL85" s="14" t="n">
        <f aca="false">AL84+IF((AJ85=1),IF((H85=1),1,0),0)</f>
        <v>0</v>
      </c>
      <c r="AM85" s="37" t="n">
        <f aca="false">IF(AK85=0,9999,IF($H85=0,IF($AJ85&lt;1,AM84+1,0),AM84))</f>
        <v>9999</v>
      </c>
      <c r="AN85" s="37" t="n">
        <f aca="false">IF(AL85=0,9999,IF($H85=1,IF($AJ85&lt;1,AN84+1,0),AN84))</f>
        <v>9999</v>
      </c>
      <c r="AO85" s="37" t="n">
        <f aca="false">IF($A85-AM85&gt;0,1/(1+AM85),0)</f>
        <v>0</v>
      </c>
      <c r="AP85" s="37" t="n">
        <f aca="false">IF($A85-AN85&gt;0,1/(1+AN85),0)</f>
        <v>0</v>
      </c>
      <c r="AQ85" s="7" t="n">
        <f aca="false">IF(AK85=0,0,MAX(MIN(1,AO85^Power),0))</f>
        <v>0</v>
      </c>
      <c r="AR85" s="7" t="n">
        <f aca="false">IF(AL85=0,0,MAX(MIN(1,AP85^Power),0))</f>
        <v>0</v>
      </c>
      <c r="AS85" s="7" t="n">
        <f aca="false">IF($AJ85=1,IF($H85=0,K85,AS84),AS84)</f>
        <v>0</v>
      </c>
      <c r="AT85" s="7" t="n">
        <f aca="false">IF($AJ85=1,IF($H85=1,N85,AT84),AT84)</f>
        <v>0</v>
      </c>
    </row>
    <row r="86" customFormat="false" ht="13" hidden="false" customHeight="false" outlineLevel="0" collapsed="false">
      <c r="A86" s="16" t="n">
        <v>69</v>
      </c>
      <c r="B86" s="37" t="n">
        <f aca="true">IF(RAND()&lt;$D$8,1,0)</f>
        <v>0</v>
      </c>
      <c r="C86" s="20" t="n">
        <f aca="true">-LN(RAND())/$D$2</f>
        <v>0.622010782396085</v>
      </c>
      <c r="D86" s="38" t="n">
        <f aca="false">D85+C86</f>
        <v>79.8963222438696</v>
      </c>
      <c r="E86" s="39" t="n">
        <f aca="false">MAX($E$3,AS85)</f>
        <v>0</v>
      </c>
      <c r="F86" s="39" t="n">
        <f aca="false">MAX($E$3,AT85)</f>
        <v>0</v>
      </c>
      <c r="G86" s="40" t="n">
        <v>0.5</v>
      </c>
      <c r="H86" s="38" t="n">
        <f aca="true">IF((B86=1),(IF((F86&lt;E86),1,(IF((F86=E86),(IF(RAND()&lt;G86,1,0)),0)))),(IF((RAND()&lt;G86),1,0)))</f>
        <v>0</v>
      </c>
      <c r="I86" s="38" t="n">
        <f aca="true">IF((H86=1),0,$D$3+$D$5*(RAND()-0.5))</f>
        <v>1.82365166660105</v>
      </c>
      <c r="J86" s="38" t="n">
        <f aca="false">I86+MAX(D86,J85)</f>
        <v>81.7199739104707</v>
      </c>
      <c r="K86" s="38" t="n">
        <f aca="false">IF((H86=0),J86-D86,0)</f>
        <v>1.82365166660105</v>
      </c>
      <c r="L86" s="38" t="n">
        <f aca="true">IF(($H86=0),0,$D$4+$D$5*(RAND()-0.5))</f>
        <v>0</v>
      </c>
      <c r="M86" s="38" t="n">
        <f aca="false">L86+MAX(D86,M85)</f>
        <v>95.51757738427</v>
      </c>
      <c r="N86" s="38" t="n">
        <f aca="false">IF((H86=1),M86-D86,0)</f>
        <v>0</v>
      </c>
      <c r="O86" s="16" t="n">
        <v>69</v>
      </c>
      <c r="P86" s="41" t="n">
        <f aca="false">IF((Arterial=0),P85+1,P85)</f>
        <v>33</v>
      </c>
      <c r="Q86" s="41" t="n">
        <f aca="false">IF((Arterial=1),Q85+1,Q85)</f>
        <v>36</v>
      </c>
      <c r="R86" s="42" t="e">
        <f aca="false">IF((RESET=1),0,R86+K86)</f>
        <v>#N/A</v>
      </c>
      <c r="S86" s="14" t="n">
        <f aca="false">IF(RESET=1,0,S86+N86)</f>
        <v>315.793441315051</v>
      </c>
      <c r="T86" s="2" t="e">
        <f aca="false">IF(RESET=1,0,T86+IF(H86=0,1,0))</f>
        <v>#N/A</v>
      </c>
      <c r="U86" s="2" t="n">
        <f aca="false">IF(RESET=1,0,U86+H86)</f>
        <v>37</v>
      </c>
      <c r="V86" s="14" t="e">
        <f aca="false">R86/(T86+0.00001)</f>
        <v>#N/A</v>
      </c>
      <c r="W86" s="14" t="n">
        <f aca="false">S86/(U86+0.0001)</f>
        <v>8.5349348059884</v>
      </c>
      <c r="X86" s="39" t="n">
        <f aca="false">IF(Informed=1,K86,0)</f>
        <v>0</v>
      </c>
      <c r="Y86" s="39" t="n">
        <f aca="false">IF(Informed=0,K86,0)</f>
        <v>1.82365166660105</v>
      </c>
      <c r="Z86" s="39" t="n">
        <f aca="false">IF(Informed=1,N86,0)</f>
        <v>0</v>
      </c>
      <c r="AA86" s="39" t="n">
        <f aca="false">IF(Informed=0,N86,0)</f>
        <v>0</v>
      </c>
      <c r="AB86" s="43" t="n">
        <f aca="false">IF(Arterial=0,IF(Informed=1,1,0),0)</f>
        <v>0</v>
      </c>
      <c r="AC86" s="43" t="n">
        <f aca="false">IF(Arterial=0,IF(Informed=0,1,0),0)</f>
        <v>1</v>
      </c>
      <c r="AD86" s="43" t="n">
        <f aca="false">IF(Arterial=1,IF(Informed=1,1,0),0)</f>
        <v>0</v>
      </c>
      <c r="AE86" s="43" t="n">
        <f aca="false">IF(Arterial=1,IF(Informed=0,1,0),0)</f>
        <v>0</v>
      </c>
      <c r="AF86" s="35" t="n">
        <f aca="false">IF(AB86=1,(X86-G$1030)^2,0)</f>
        <v>0</v>
      </c>
      <c r="AG86" s="35" t="n">
        <f aca="false">IF(AC86=1,(Y86-H$1030)^2,0)</f>
        <v>82.8124312488074</v>
      </c>
      <c r="AH86" s="35" t="n">
        <f aca="false">IF(AD86=1,(Z86-I$1030)^2,0)</f>
        <v>0</v>
      </c>
      <c r="AI86" s="35" t="n">
        <f aca="false">IF(AE86=1,(AA86-J$1030)^2,0)</f>
        <v>0</v>
      </c>
      <c r="AJ86" s="37" t="n">
        <f aca="true">IF(RAND()&lt;$D$6,1,0)</f>
        <v>0</v>
      </c>
      <c r="AK86" s="14" t="n">
        <f aca="false">AK85+IF((AJ86=1),IF((H86=0),1,0),0)</f>
        <v>0</v>
      </c>
      <c r="AL86" s="14" t="n">
        <f aca="false">AL85+IF((AJ86=1),IF((H86=1),1,0),0)</f>
        <v>0</v>
      </c>
      <c r="AM86" s="37" t="n">
        <f aca="false">IF(AK86=0,9999,IF($H86=0,IF($AJ86&lt;1,AM85+1,0),AM85))</f>
        <v>9999</v>
      </c>
      <c r="AN86" s="37" t="n">
        <f aca="false">IF(AL86=0,9999,IF($H86=1,IF($AJ86&lt;1,AN85+1,0),AN85))</f>
        <v>9999</v>
      </c>
      <c r="AO86" s="37" t="n">
        <f aca="false">IF($A86-AM86&gt;0,1/(1+AM86),0)</f>
        <v>0</v>
      </c>
      <c r="AP86" s="37" t="n">
        <f aca="false">IF($A86-AN86&gt;0,1/(1+AN86),0)</f>
        <v>0</v>
      </c>
      <c r="AQ86" s="7" t="n">
        <f aca="false">IF(AK86=0,0,MAX(MIN(1,AO86^Power),0))</f>
        <v>0</v>
      </c>
      <c r="AR86" s="7" t="n">
        <f aca="false">IF(AL86=0,0,MAX(MIN(1,AP86^Power),0))</f>
        <v>0</v>
      </c>
      <c r="AS86" s="7" t="n">
        <f aca="false">IF($AJ86=1,IF($H86=0,K86,AS85),AS85)</f>
        <v>0</v>
      </c>
      <c r="AT86" s="7" t="n">
        <f aca="false">IF($AJ86=1,IF($H86=1,N86,AT85),AT85)</f>
        <v>0</v>
      </c>
    </row>
    <row r="87" customFormat="false" ht="13" hidden="false" customHeight="false" outlineLevel="0" collapsed="false">
      <c r="A87" s="16" t="n">
        <v>70</v>
      </c>
      <c r="B87" s="37" t="n">
        <f aca="true">IF(RAND()&lt;$D$8,1,0)</f>
        <v>1</v>
      </c>
      <c r="C87" s="20" t="n">
        <f aca="true">-LN(RAND())/$D$2</f>
        <v>2.56735538012388</v>
      </c>
      <c r="D87" s="38" t="n">
        <f aca="false">D86+C87</f>
        <v>82.4636776239935</v>
      </c>
      <c r="E87" s="39" t="n">
        <f aca="false">MAX($E$3,AS86)</f>
        <v>0</v>
      </c>
      <c r="F87" s="39" t="n">
        <f aca="false">MAX($E$3,AT86)</f>
        <v>0</v>
      </c>
      <c r="G87" s="40" t="n">
        <v>0.5</v>
      </c>
      <c r="H87" s="38" t="n">
        <f aca="true">IF((B87=1),(IF((F87&lt;E87),1,(IF((F87=E87),(IF(RAND()&lt;G87,1,0)),0)))),(IF((RAND()&lt;G87),1,0)))</f>
        <v>1</v>
      </c>
      <c r="I87" s="38" t="n">
        <f aca="true">IF((H87=1),0,$D$3+$D$5*(RAND()-0.5))</f>
        <v>0</v>
      </c>
      <c r="J87" s="38" t="n">
        <f aca="false">I87+MAX(D87,J86)</f>
        <v>82.4636776239935</v>
      </c>
      <c r="K87" s="38" t="n">
        <f aca="false">IF((H87=0),J87-D87,0)</f>
        <v>0</v>
      </c>
      <c r="L87" s="38" t="n">
        <f aca="true">IF(($H87=0),0,$D$4+$D$5*(RAND()-0.5))</f>
        <v>1.85764653234823</v>
      </c>
      <c r="M87" s="38" t="n">
        <f aca="false">L87+MAX(D87,M86)</f>
        <v>97.3752239166183</v>
      </c>
      <c r="N87" s="38" t="n">
        <f aca="false">IF((H87=1),M87-D87,0)</f>
        <v>14.9115462926247</v>
      </c>
      <c r="O87" s="16" t="n">
        <v>70</v>
      </c>
      <c r="P87" s="41" t="n">
        <f aca="false">IF((Arterial=0),P86+1,P86)</f>
        <v>33</v>
      </c>
      <c r="Q87" s="41" t="n">
        <f aca="false">IF((Arterial=1),Q86+1,Q86)</f>
        <v>37</v>
      </c>
      <c r="R87" s="42" t="n">
        <f aca="false">IF((RESET=1),0,R87+K87)</f>
        <v>345.655904593191</v>
      </c>
      <c r="S87" s="14" t="e">
        <f aca="false">IF(RESET=1,0,S87+N87)</f>
        <v>#N/A</v>
      </c>
      <c r="T87" s="2" t="n">
        <f aca="false">IF(RESET=1,0,T87+IF(H87=0,1,0))</f>
        <v>44</v>
      </c>
      <c r="U87" s="2" t="e">
        <f aca="false">IF(RESET=1,0,U87+H87)</f>
        <v>#N/A</v>
      </c>
      <c r="V87" s="14" t="n">
        <f aca="false">R87/(T87+0.00001)</f>
        <v>7.85581422806929</v>
      </c>
      <c r="W87" s="14" t="e">
        <f aca="false">S87/(U87+0.0001)</f>
        <v>#N/A</v>
      </c>
      <c r="X87" s="39" t="n">
        <f aca="false">IF(Informed=1,K87,0)</f>
        <v>0</v>
      </c>
      <c r="Y87" s="39" t="n">
        <f aca="false">IF(Informed=0,K87,0)</f>
        <v>0</v>
      </c>
      <c r="Z87" s="39" t="n">
        <f aca="false">IF(Informed=1,N87,0)</f>
        <v>14.9115462926247</v>
      </c>
      <c r="AA87" s="39" t="n">
        <f aca="false">IF(Informed=0,N87,0)</f>
        <v>0</v>
      </c>
      <c r="AB87" s="43" t="n">
        <f aca="false">IF(Arterial=0,IF(Informed=1,1,0),0)</f>
        <v>0</v>
      </c>
      <c r="AC87" s="43" t="n">
        <f aca="false">IF(Arterial=0,IF(Informed=0,1,0),0)</f>
        <v>0</v>
      </c>
      <c r="AD87" s="43" t="n">
        <f aca="false">IF(Arterial=1,IF(Informed=1,1,0),0)</f>
        <v>1</v>
      </c>
      <c r="AE87" s="43" t="n">
        <f aca="false">IF(Arterial=1,IF(Informed=0,1,0),0)</f>
        <v>0</v>
      </c>
      <c r="AF87" s="35" t="n">
        <f aca="false">IF(AB87=1,(X87-G$1030)^2,0)</f>
        <v>0</v>
      </c>
      <c r="AG87" s="35" t="n">
        <f aca="false">IF(AC87=1,(Y87-H$1030)^2,0)</f>
        <v>0</v>
      </c>
      <c r="AH87" s="35" t="n">
        <f aca="false">IF(AD87=1,(Z87-I$1030)^2,0)</f>
        <v>181.260137250692</v>
      </c>
      <c r="AI87" s="35" t="n">
        <f aca="false">IF(AE87=1,(AA87-J$1030)^2,0)</f>
        <v>0</v>
      </c>
      <c r="AJ87" s="37" t="n">
        <f aca="true">IF(RAND()&lt;$D$6,1,0)</f>
        <v>0</v>
      </c>
      <c r="AK87" s="14" t="n">
        <f aca="false">AK86+IF((AJ87=1),IF((H87=0),1,0),0)</f>
        <v>0</v>
      </c>
      <c r="AL87" s="14" t="n">
        <f aca="false">AL86+IF((AJ87=1),IF((H87=1),1,0),0)</f>
        <v>0</v>
      </c>
      <c r="AM87" s="37" t="n">
        <f aca="false">IF(AK87=0,9999,IF($H87=0,IF($AJ87&lt;1,AM86+1,0),AM86))</f>
        <v>9999</v>
      </c>
      <c r="AN87" s="37" t="n">
        <f aca="false">IF(AL87=0,9999,IF($H87=1,IF($AJ87&lt;1,AN86+1,0),AN86))</f>
        <v>9999</v>
      </c>
      <c r="AO87" s="37" t="n">
        <f aca="false">IF($A87-AM87&gt;0,1/(1+AM87),0)</f>
        <v>0</v>
      </c>
      <c r="AP87" s="37" t="n">
        <f aca="false">IF($A87-AN87&gt;0,1/(1+AN87),0)</f>
        <v>0</v>
      </c>
      <c r="AQ87" s="7" t="n">
        <f aca="false">IF(AK87=0,0,MAX(MIN(1,AO87^Power),0))</f>
        <v>0</v>
      </c>
      <c r="AR87" s="7" t="n">
        <f aca="false">IF(AL87=0,0,MAX(MIN(1,AP87^Power),0))</f>
        <v>0</v>
      </c>
      <c r="AS87" s="7" t="n">
        <f aca="false">IF($AJ87=1,IF($H87=0,K87,AS86),AS86)</f>
        <v>0</v>
      </c>
      <c r="AT87" s="7" t="n">
        <f aca="false">IF($AJ87=1,IF($H87=1,N87,AT86),AT86)</f>
        <v>0</v>
      </c>
    </row>
    <row r="88" customFormat="false" ht="13" hidden="false" customHeight="false" outlineLevel="0" collapsed="false">
      <c r="A88" s="16" t="n">
        <v>71</v>
      </c>
      <c r="B88" s="37" t="n">
        <f aca="true">IF(RAND()&lt;$D$8,1,0)</f>
        <v>0</v>
      </c>
      <c r="C88" s="20" t="n">
        <f aca="true">-LN(RAND())/$D$2</f>
        <v>0.916703249779965</v>
      </c>
      <c r="D88" s="38" t="n">
        <f aca="false">D87+C88</f>
        <v>83.3803808737735</v>
      </c>
      <c r="E88" s="39" t="n">
        <f aca="false">MAX($E$3,AS87)</f>
        <v>0</v>
      </c>
      <c r="F88" s="39" t="n">
        <f aca="false">MAX($E$3,AT87)</f>
        <v>0</v>
      </c>
      <c r="G88" s="40" t="n">
        <v>0.5</v>
      </c>
      <c r="H88" s="38" t="n">
        <f aca="true">IF((B88=1),(IF((F88&lt;E88),1,(IF((F88=E88),(IF(RAND()&lt;G88,1,0)),0)))),(IF((RAND()&lt;G88),1,0)))</f>
        <v>1</v>
      </c>
      <c r="I88" s="38" t="n">
        <f aca="true">IF((H88=1),0,$D$3+$D$5*(RAND()-0.5))</f>
        <v>0</v>
      </c>
      <c r="J88" s="38" t="n">
        <f aca="false">I88+MAX(D88,J87)</f>
        <v>83.3803808737735</v>
      </c>
      <c r="K88" s="38" t="n">
        <f aca="false">IF((H88=0),J88-D88,0)</f>
        <v>0</v>
      </c>
      <c r="L88" s="38" t="n">
        <f aca="true">IF(($H88=0),0,$D$4+$D$5*(RAND()-0.5))</f>
        <v>2.05112310282599</v>
      </c>
      <c r="M88" s="38" t="n">
        <f aca="false">L88+MAX(D88,M87)</f>
        <v>99.4263470194443</v>
      </c>
      <c r="N88" s="38" t="n">
        <f aca="false">IF((H88=1),M88-D88,0)</f>
        <v>16.0459661456708</v>
      </c>
      <c r="O88" s="16" t="n">
        <v>71</v>
      </c>
      <c r="P88" s="41" t="n">
        <f aca="false">IF((Arterial=0),P87+1,P87)</f>
        <v>33</v>
      </c>
      <c r="Q88" s="41" t="n">
        <f aca="false">IF((Arterial=1),Q87+1,Q87)</f>
        <v>38</v>
      </c>
      <c r="R88" s="42" t="n">
        <f aca="false">IF((RESET=1),0,R88+K88)</f>
        <v>277.317877284071</v>
      </c>
      <c r="S88" s="14" t="e">
        <f aca="false">IF(RESET=1,0,S88+N88)</f>
        <v>#N/A</v>
      </c>
      <c r="T88" s="2" t="n">
        <f aca="false">IF(RESET=1,0,T88+IF(H88=0,1,0))</f>
        <v>41</v>
      </c>
      <c r="U88" s="2" t="e">
        <f aca="false">IF(RESET=1,0,U88+H88)</f>
        <v>#N/A</v>
      </c>
      <c r="V88" s="14" t="n">
        <f aca="false">R88/(T88+0.00001)</f>
        <v>6.76384901574587</v>
      </c>
      <c r="W88" s="14" t="e">
        <f aca="false">S88/(U88+0.0001)</f>
        <v>#N/A</v>
      </c>
      <c r="X88" s="39" t="n">
        <f aca="false">IF(Informed=1,K88,0)</f>
        <v>0</v>
      </c>
      <c r="Y88" s="39" t="n">
        <f aca="false">IF(Informed=0,K88,0)</f>
        <v>0</v>
      </c>
      <c r="Z88" s="39" t="n">
        <f aca="false">IF(Informed=1,N88,0)</f>
        <v>0</v>
      </c>
      <c r="AA88" s="39" t="n">
        <f aca="false">IF(Informed=0,N88,0)</f>
        <v>16.0459661456708</v>
      </c>
      <c r="AB88" s="43" t="n">
        <f aca="false">IF(Arterial=0,IF(Informed=1,1,0),0)</f>
        <v>0</v>
      </c>
      <c r="AC88" s="43" t="n">
        <f aca="false">IF(Arterial=0,IF(Informed=0,1,0),0)</f>
        <v>0</v>
      </c>
      <c r="AD88" s="43" t="n">
        <f aca="false">IF(Arterial=1,IF(Informed=1,1,0),0)</f>
        <v>0</v>
      </c>
      <c r="AE88" s="43" t="n">
        <f aca="false">IF(Arterial=1,IF(Informed=0,1,0),0)</f>
        <v>1</v>
      </c>
      <c r="AF88" s="35" t="n">
        <f aca="false">IF(AB88=1,(X88-G$1030)^2,0)</f>
        <v>0</v>
      </c>
      <c r="AG88" s="35" t="n">
        <f aca="false">IF(AC88=1,(Y88-H$1030)^2,0)</f>
        <v>0</v>
      </c>
      <c r="AH88" s="35" t="n">
        <f aca="false">IF(AD88=1,(Z88-I$1030)^2,0)</f>
        <v>0</v>
      </c>
      <c r="AI88" s="35" t="n">
        <f aca="false">IF(AE88=1,(AA88-J$1030)^2,0)</f>
        <v>182.744674016499</v>
      </c>
      <c r="AJ88" s="37" t="n">
        <f aca="true">IF(RAND()&lt;$D$6,1,0)</f>
        <v>0</v>
      </c>
      <c r="AK88" s="14" t="n">
        <f aca="false">AK87+IF((AJ88=1),IF((H88=0),1,0),0)</f>
        <v>0</v>
      </c>
      <c r="AL88" s="14" t="n">
        <f aca="false">AL87+IF((AJ88=1),IF((H88=1),1,0),0)</f>
        <v>0</v>
      </c>
      <c r="AM88" s="37" t="n">
        <f aca="false">IF(AK88=0,9999,IF($H88=0,IF($AJ88&lt;1,AM87+1,0),AM87))</f>
        <v>9999</v>
      </c>
      <c r="AN88" s="37" t="n">
        <f aca="false">IF(AL88=0,9999,IF($H88=1,IF($AJ88&lt;1,AN87+1,0),AN87))</f>
        <v>9999</v>
      </c>
      <c r="AO88" s="37" t="n">
        <f aca="false">IF($A88-AM88&gt;0,1/(1+AM88),0)</f>
        <v>0</v>
      </c>
      <c r="AP88" s="37" t="n">
        <f aca="false">IF($A88-AN88&gt;0,1/(1+AN88),0)</f>
        <v>0</v>
      </c>
      <c r="AQ88" s="7" t="n">
        <f aca="false">IF(AK88=0,0,MAX(MIN(1,AO88^Power),0))</f>
        <v>0</v>
      </c>
      <c r="AR88" s="7" t="n">
        <f aca="false">IF(AL88=0,0,MAX(MIN(1,AP88^Power),0))</f>
        <v>0</v>
      </c>
      <c r="AS88" s="7" t="n">
        <f aca="false">IF($AJ88=1,IF($H88=0,K88,AS87),AS87)</f>
        <v>0</v>
      </c>
      <c r="AT88" s="7" t="n">
        <f aca="false">IF($AJ88=1,IF($H88=1,N88,AT87),AT87)</f>
        <v>0</v>
      </c>
    </row>
    <row r="89" customFormat="false" ht="13" hidden="false" customHeight="false" outlineLevel="0" collapsed="false">
      <c r="A89" s="16" t="n">
        <v>72</v>
      </c>
      <c r="B89" s="37" t="n">
        <f aca="true">IF(RAND()&lt;$D$8,1,0)</f>
        <v>1</v>
      </c>
      <c r="C89" s="20" t="n">
        <f aca="true">-LN(RAND())/$D$2</f>
        <v>1.47468815674432</v>
      </c>
      <c r="D89" s="38" t="n">
        <f aca="false">D88+C89</f>
        <v>84.8550690305178</v>
      </c>
      <c r="E89" s="39" t="n">
        <f aca="false">MAX($E$3,AS88)</f>
        <v>0</v>
      </c>
      <c r="F89" s="39" t="n">
        <f aca="false">MAX($E$3,AT88)</f>
        <v>0</v>
      </c>
      <c r="G89" s="40" t="n">
        <v>0.5</v>
      </c>
      <c r="H89" s="38" t="n">
        <f aca="true">IF((B89=1),(IF((F89&lt;E89),1,(IF((F89=E89),(IF(RAND()&lt;G89,1,0)),0)))),(IF((RAND()&lt;G89),1,0)))</f>
        <v>1</v>
      </c>
      <c r="I89" s="38" t="n">
        <f aca="true">IF((H89=1),0,$D$3+$D$5*(RAND()-0.5))</f>
        <v>0</v>
      </c>
      <c r="J89" s="38" t="n">
        <f aca="false">I89+MAX(D89,J88)</f>
        <v>84.8550690305178</v>
      </c>
      <c r="K89" s="38" t="n">
        <f aca="false">IF((H89=0),J89-D89,0)</f>
        <v>0</v>
      </c>
      <c r="L89" s="38" t="n">
        <f aca="true">IF(($H89=0),0,$D$4+$D$5*(RAND()-0.5))</f>
        <v>2.23500817154553</v>
      </c>
      <c r="M89" s="38" t="n">
        <f aca="false">L89+MAX(D89,M88)</f>
        <v>101.66135519099</v>
      </c>
      <c r="N89" s="38" t="n">
        <f aca="false">IF((H89=1),M89-D89,0)</f>
        <v>16.806286160472</v>
      </c>
      <c r="O89" s="16" t="n">
        <v>72</v>
      </c>
      <c r="P89" s="41" t="n">
        <f aca="false">IF((Arterial=0),P88+1,P88)</f>
        <v>33</v>
      </c>
      <c r="Q89" s="41" t="n">
        <f aca="false">IF((Arterial=1),Q88+1,Q88)</f>
        <v>39</v>
      </c>
      <c r="R89" s="42" t="n">
        <f aca="false">IF((RESET=1),0,R89+K89)</f>
        <v>433.17810768062</v>
      </c>
      <c r="S89" s="14" t="e">
        <f aca="false">IF(RESET=1,0,S89+N89)</f>
        <v>#N/A</v>
      </c>
      <c r="T89" s="2" t="n">
        <f aca="false">IF(RESET=1,0,T89+IF(H89=0,1,0))</f>
        <v>48</v>
      </c>
      <c r="U89" s="2" t="e">
        <f aca="false">IF(RESET=1,0,U89+H89)</f>
        <v>#N/A</v>
      </c>
      <c r="V89" s="14" t="n">
        <f aca="false">R89/(T89+0.00001)</f>
        <v>9.02454202989999</v>
      </c>
      <c r="W89" s="14" t="e">
        <f aca="false">S89/(U89+0.0001)</f>
        <v>#N/A</v>
      </c>
      <c r="X89" s="39" t="n">
        <f aca="false">IF(Informed=1,K89,0)</f>
        <v>0</v>
      </c>
      <c r="Y89" s="39" t="n">
        <f aca="false">IF(Informed=0,K89,0)</f>
        <v>0</v>
      </c>
      <c r="Z89" s="39" t="n">
        <f aca="false">IF(Informed=1,N89,0)</f>
        <v>16.806286160472</v>
      </c>
      <c r="AA89" s="39" t="n">
        <f aca="false">IF(Informed=0,N89,0)</f>
        <v>0</v>
      </c>
      <c r="AB89" s="43" t="n">
        <f aca="false">IF(Arterial=0,IF(Informed=1,1,0),0)</f>
        <v>0</v>
      </c>
      <c r="AC89" s="43" t="n">
        <f aca="false">IF(Arterial=0,IF(Informed=0,1,0),0)</f>
        <v>0</v>
      </c>
      <c r="AD89" s="43" t="n">
        <f aca="false">IF(Arterial=1,IF(Informed=1,1,0),0)</f>
        <v>1</v>
      </c>
      <c r="AE89" s="43" t="n">
        <f aca="false">IF(Arterial=1,IF(Informed=0,1,0),0)</f>
        <v>0</v>
      </c>
      <c r="AF89" s="35" t="n">
        <f aca="false">IF(AB89=1,(X89-G$1030)^2,0)</f>
        <v>0</v>
      </c>
      <c r="AG89" s="35" t="n">
        <f aca="false">IF(AC89=1,(Y89-H$1030)^2,0)</f>
        <v>0</v>
      </c>
      <c r="AH89" s="35" t="n">
        <f aca="false">IF(AD89=1,(Z89-I$1030)^2,0)</f>
        <v>133.831317468627</v>
      </c>
      <c r="AI89" s="35" t="n">
        <f aca="false">IF(AE89=1,(AA89-J$1030)^2,0)</f>
        <v>0</v>
      </c>
      <c r="AJ89" s="37" t="n">
        <f aca="true">IF(RAND()&lt;$D$6,1,0)</f>
        <v>0</v>
      </c>
      <c r="AK89" s="14" t="n">
        <f aca="false">AK88+IF((AJ89=1),IF((H89=0),1,0),0)</f>
        <v>0</v>
      </c>
      <c r="AL89" s="14" t="n">
        <f aca="false">AL88+IF((AJ89=1),IF((H89=1),1,0),0)</f>
        <v>0</v>
      </c>
      <c r="AM89" s="37" t="n">
        <f aca="false">IF(AK89=0,9999,IF($H89=0,IF($AJ89&lt;1,AM88+1,0),AM88))</f>
        <v>9999</v>
      </c>
      <c r="AN89" s="37" t="n">
        <f aca="false">IF(AL89=0,9999,IF($H89=1,IF($AJ89&lt;1,AN88+1,0),AN88))</f>
        <v>9999</v>
      </c>
      <c r="AO89" s="37" t="n">
        <f aca="false">IF($A89-AM89&gt;0,1/(1+AM89),0)</f>
        <v>0</v>
      </c>
      <c r="AP89" s="37" t="n">
        <f aca="false">IF($A89-AN89&gt;0,1/(1+AN89),0)</f>
        <v>0</v>
      </c>
      <c r="AQ89" s="7" t="n">
        <f aca="false">IF(AK89=0,0,MAX(MIN(1,AO89^Power),0))</f>
        <v>0</v>
      </c>
      <c r="AR89" s="7" t="n">
        <f aca="false">IF(AL89=0,0,MAX(MIN(1,AP89^Power),0))</f>
        <v>0</v>
      </c>
      <c r="AS89" s="7" t="n">
        <f aca="false">IF($AJ89=1,IF($H89=0,K89,AS88),AS88)</f>
        <v>0</v>
      </c>
      <c r="AT89" s="7" t="n">
        <f aca="false">IF($AJ89=1,IF($H89=1,N89,AT88),AT88)</f>
        <v>0</v>
      </c>
    </row>
    <row r="90" customFormat="false" ht="13" hidden="false" customHeight="false" outlineLevel="0" collapsed="false">
      <c r="A90" s="16" t="n">
        <v>73</v>
      </c>
      <c r="B90" s="37" t="n">
        <f aca="true">IF(RAND()&lt;$D$8,1,0)</f>
        <v>0</v>
      </c>
      <c r="C90" s="20" t="n">
        <f aca="true">-LN(RAND())/$D$2</f>
        <v>0.626425767113387</v>
      </c>
      <c r="D90" s="38" t="n">
        <f aca="false">D89+C90</f>
        <v>85.4814947976312</v>
      </c>
      <c r="E90" s="39" t="n">
        <f aca="false">MAX($E$3,AS89)</f>
        <v>0</v>
      </c>
      <c r="F90" s="39" t="n">
        <f aca="false">MAX($E$3,AT89)</f>
        <v>0</v>
      </c>
      <c r="G90" s="40" t="n">
        <v>0.5</v>
      </c>
      <c r="H90" s="38" t="n">
        <f aca="true">IF((B90=1),(IF((F90&lt;E90),1,(IF((F90=E90),(IF(RAND()&lt;G90,1,0)),0)))),(IF((RAND()&lt;G90),1,0)))</f>
        <v>1</v>
      </c>
      <c r="I90" s="38" t="n">
        <f aca="true">IF((H90=1),0,$D$3+$D$5*(RAND()-0.5))</f>
        <v>0</v>
      </c>
      <c r="J90" s="38" t="n">
        <f aca="false">I90+MAX(D90,J89)</f>
        <v>85.4814947976312</v>
      </c>
      <c r="K90" s="38" t="n">
        <f aca="false">IF((H90=0),J90-D90,0)</f>
        <v>0</v>
      </c>
      <c r="L90" s="38" t="n">
        <f aca="true">IF(($H90=0),0,$D$4+$D$5*(RAND()-0.5))</f>
        <v>2.13859068901074</v>
      </c>
      <c r="M90" s="38" t="n">
        <f aca="false">L90+MAX(D90,M89)</f>
        <v>103.799945880001</v>
      </c>
      <c r="N90" s="38" t="n">
        <f aca="false">IF((H90=1),M90-D90,0)</f>
        <v>18.3184510823693</v>
      </c>
      <c r="O90" s="16" t="n">
        <v>73</v>
      </c>
      <c r="P90" s="41" t="n">
        <f aca="false">IF((Arterial=0),P89+1,P89)</f>
        <v>33</v>
      </c>
      <c r="Q90" s="41" t="n">
        <f aca="false">IF((Arterial=1),Q89+1,Q89)</f>
        <v>40</v>
      </c>
      <c r="R90" s="42" t="n">
        <f aca="false">IF((RESET=1),0,R90+K90)</f>
        <v>336.156206266949</v>
      </c>
      <c r="S90" s="14" t="e">
        <f aca="false">IF(RESET=1,0,S90+N90)</f>
        <v>#N/A</v>
      </c>
      <c r="T90" s="2" t="n">
        <f aca="false">IF(RESET=1,0,T90+IF(H90=0,1,0))</f>
        <v>42</v>
      </c>
      <c r="U90" s="2" t="e">
        <f aca="false">IF(RESET=1,0,U90+H90)</f>
        <v>#N/A</v>
      </c>
      <c r="V90" s="14" t="n">
        <f aca="false">R90/(T90+0.00001)</f>
        <v>8.00371729118514</v>
      </c>
      <c r="W90" s="14" t="e">
        <f aca="false">S90/(U90+0.0001)</f>
        <v>#N/A</v>
      </c>
      <c r="X90" s="39" t="n">
        <f aca="false">IF(Informed=1,K90,0)</f>
        <v>0</v>
      </c>
      <c r="Y90" s="39" t="n">
        <f aca="false">IF(Informed=0,K90,0)</f>
        <v>0</v>
      </c>
      <c r="Z90" s="39" t="n">
        <f aca="false">IF(Informed=1,N90,0)</f>
        <v>0</v>
      </c>
      <c r="AA90" s="39" t="n">
        <f aca="false">IF(Informed=0,N90,0)</f>
        <v>18.3184510823693</v>
      </c>
      <c r="AB90" s="43" t="n">
        <f aca="false">IF(Arterial=0,IF(Informed=1,1,0),0)</f>
        <v>0</v>
      </c>
      <c r="AC90" s="43" t="n">
        <f aca="false">IF(Arterial=0,IF(Informed=0,1,0),0)</f>
        <v>0</v>
      </c>
      <c r="AD90" s="43" t="n">
        <f aca="false">IF(Arterial=1,IF(Informed=1,1,0),0)</f>
        <v>0</v>
      </c>
      <c r="AE90" s="43" t="n">
        <f aca="false">IF(Arterial=1,IF(Informed=0,1,0),0)</f>
        <v>1</v>
      </c>
      <c r="AF90" s="35" t="n">
        <f aca="false">IF(AB90=1,(X90-G$1030)^2,0)</f>
        <v>0</v>
      </c>
      <c r="AG90" s="35" t="n">
        <f aca="false">IF(AC90=1,(Y90-H$1030)^2,0)</f>
        <v>0</v>
      </c>
      <c r="AH90" s="35" t="n">
        <f aca="false">IF(AD90=1,(Z90-I$1030)^2,0)</f>
        <v>0</v>
      </c>
      <c r="AI90" s="35" t="n">
        <f aca="false">IF(AE90=1,(AA90-J$1030)^2,0)</f>
        <v>126.468555366287</v>
      </c>
      <c r="AJ90" s="37" t="n">
        <f aca="true">IF(RAND()&lt;$D$6,1,0)</f>
        <v>0</v>
      </c>
      <c r="AK90" s="14" t="n">
        <f aca="false">AK89+IF((AJ90=1),IF((H90=0),1,0),0)</f>
        <v>0</v>
      </c>
      <c r="AL90" s="14" t="n">
        <f aca="false">AL89+IF((AJ90=1),IF((H90=1),1,0),0)</f>
        <v>0</v>
      </c>
      <c r="AM90" s="37" t="n">
        <f aca="false">IF(AK90=0,9999,IF($H90=0,IF($AJ90&lt;1,AM89+1,0),AM89))</f>
        <v>9999</v>
      </c>
      <c r="AN90" s="37" t="n">
        <f aca="false">IF(AL90=0,9999,IF($H90=1,IF($AJ90&lt;1,AN89+1,0),AN89))</f>
        <v>9999</v>
      </c>
      <c r="AO90" s="37" t="n">
        <f aca="false">IF($A90-AM90&gt;0,1/(1+AM90),0)</f>
        <v>0</v>
      </c>
      <c r="AP90" s="37" t="n">
        <f aca="false">IF($A90-AN90&gt;0,1/(1+AN90),0)</f>
        <v>0</v>
      </c>
      <c r="AQ90" s="7" t="n">
        <f aca="false">IF(AK90=0,0,MAX(MIN(1,AO90^Power),0))</f>
        <v>0</v>
      </c>
      <c r="AR90" s="7" t="n">
        <f aca="false">IF(AL90=0,0,MAX(MIN(1,AP90^Power),0))</f>
        <v>0</v>
      </c>
      <c r="AS90" s="7" t="n">
        <f aca="false">IF($AJ90=1,IF($H90=0,K90,AS89),AS89)</f>
        <v>0</v>
      </c>
      <c r="AT90" s="7" t="n">
        <f aca="false">IF($AJ90=1,IF($H90=1,N90,AT89),AT89)</f>
        <v>0</v>
      </c>
    </row>
    <row r="91" customFormat="false" ht="13" hidden="false" customHeight="false" outlineLevel="0" collapsed="false">
      <c r="A91" s="16" t="n">
        <v>74</v>
      </c>
      <c r="B91" s="37" t="n">
        <f aca="true">IF(RAND()&lt;$D$8,1,0)</f>
        <v>0</v>
      </c>
      <c r="C91" s="20" t="n">
        <f aca="true">-LN(RAND())/$D$2</f>
        <v>0.7974796561719</v>
      </c>
      <c r="D91" s="38" t="n">
        <f aca="false">D90+C91</f>
        <v>86.2789744538031</v>
      </c>
      <c r="E91" s="39" t="n">
        <f aca="false">MAX($E$3,AS90)</f>
        <v>0</v>
      </c>
      <c r="F91" s="39" t="n">
        <f aca="false">MAX($E$3,AT90)</f>
        <v>0</v>
      </c>
      <c r="G91" s="40" t="n">
        <v>0.5</v>
      </c>
      <c r="H91" s="38" t="n">
        <f aca="true">IF((B91=1),(IF((F91&lt;E91),1,(IF((F91=E91),(IF(RAND()&lt;G91,1,0)),0)))),(IF((RAND()&lt;G91),1,0)))</f>
        <v>0</v>
      </c>
      <c r="I91" s="38" t="n">
        <f aca="true">IF((H91=1),0,$D$3+$D$5*(RAND()-0.5))</f>
        <v>1.92322230701513</v>
      </c>
      <c r="J91" s="38" t="n">
        <f aca="false">I91+MAX(D91,J90)</f>
        <v>88.2021967608182</v>
      </c>
      <c r="K91" s="38" t="n">
        <f aca="false">IF((H91=0),J91-D91,0)</f>
        <v>1.92322230701512</v>
      </c>
      <c r="L91" s="38" t="n">
        <f aca="true">IF(($H91=0),0,$D$4+$D$5*(RAND()-0.5))</f>
        <v>0</v>
      </c>
      <c r="M91" s="38" t="n">
        <f aca="false">L91+MAX(D91,M90)</f>
        <v>103.799945880001</v>
      </c>
      <c r="N91" s="38" t="n">
        <f aca="false">IF((H91=1),M91-D91,0)</f>
        <v>0</v>
      </c>
      <c r="O91" s="16" t="n">
        <v>74</v>
      </c>
      <c r="P91" s="41" t="n">
        <f aca="false">IF((Arterial=0),P90+1,P90)</f>
        <v>34</v>
      </c>
      <c r="Q91" s="41" t="n">
        <f aca="false">IF((Arterial=1),Q90+1,Q90)</f>
        <v>40</v>
      </c>
      <c r="R91" s="42" t="e">
        <f aca="false">IF((RESET=1),0,R91+K91)</f>
        <v>#N/A</v>
      </c>
      <c r="S91" s="14" t="n">
        <f aca="false">IF(RESET=1,0,S91+N91)</f>
        <v>346.506869277493</v>
      </c>
      <c r="T91" s="2" t="e">
        <f aca="false">IF(RESET=1,0,T91+IF(H91=0,1,0))</f>
        <v>#N/A</v>
      </c>
      <c r="U91" s="2" t="n">
        <f aca="false">IF(RESET=1,0,U91+H91)</f>
        <v>39</v>
      </c>
      <c r="V91" s="14" t="e">
        <f aca="false">R91/(T91+0.00001)</f>
        <v>#N/A</v>
      </c>
      <c r="W91" s="14" t="n">
        <f aca="false">S91/(U91+0.0001)</f>
        <v>8.88476873847742</v>
      </c>
      <c r="X91" s="39" t="n">
        <f aca="false">IF(Informed=1,K91,0)</f>
        <v>0</v>
      </c>
      <c r="Y91" s="39" t="n">
        <f aca="false">IF(Informed=0,K91,0)</f>
        <v>1.92322230701512</v>
      </c>
      <c r="Z91" s="39" t="n">
        <f aca="false">IF(Informed=1,N91,0)</f>
        <v>0</v>
      </c>
      <c r="AA91" s="39" t="n">
        <f aca="false">IF(Informed=0,N91,0)</f>
        <v>0</v>
      </c>
      <c r="AB91" s="43" t="n">
        <f aca="false">IF(Arterial=0,IF(Informed=1,1,0),0)</f>
        <v>0</v>
      </c>
      <c r="AC91" s="43" t="n">
        <f aca="false">IF(Arterial=0,IF(Informed=0,1,0),0)</f>
        <v>1</v>
      </c>
      <c r="AD91" s="43" t="n">
        <f aca="false">IF(Arterial=1,IF(Informed=1,1,0),0)</f>
        <v>0</v>
      </c>
      <c r="AE91" s="43" t="n">
        <f aca="false">IF(Arterial=1,IF(Informed=0,1,0),0)</f>
        <v>0</v>
      </c>
      <c r="AF91" s="35" t="n">
        <f aca="false">IF(AB91=1,(X91-G$1030)^2,0)</f>
        <v>0</v>
      </c>
      <c r="AG91" s="35" t="n">
        <f aca="false">IF(AC91=1,(Y91-H$1030)^2,0)</f>
        <v>81.0101333035913</v>
      </c>
      <c r="AH91" s="35" t="n">
        <f aca="false">IF(AD91=1,(Z91-I$1030)^2,0)</f>
        <v>0</v>
      </c>
      <c r="AI91" s="35" t="n">
        <f aca="false">IF(AE91=1,(AA91-J$1030)^2,0)</f>
        <v>0</v>
      </c>
      <c r="AJ91" s="37" t="n">
        <f aca="true">IF(RAND()&lt;$D$6,1,0)</f>
        <v>0</v>
      </c>
      <c r="AK91" s="14" t="n">
        <f aca="false">AK90+IF((AJ91=1),IF((H91=0),1,0),0)</f>
        <v>0</v>
      </c>
      <c r="AL91" s="14" t="n">
        <f aca="false">AL90+IF((AJ91=1),IF((H91=1),1,0),0)</f>
        <v>0</v>
      </c>
      <c r="AM91" s="37" t="n">
        <f aca="false">IF(AK91=0,9999,IF($H91=0,IF($AJ91&lt;1,AM90+1,0),AM90))</f>
        <v>9999</v>
      </c>
      <c r="AN91" s="37" t="n">
        <f aca="false">IF(AL91=0,9999,IF($H91=1,IF($AJ91&lt;1,AN90+1,0),AN90))</f>
        <v>9999</v>
      </c>
      <c r="AO91" s="37" t="n">
        <f aca="false">IF($A91-AM91&gt;0,1/(1+AM91),0)</f>
        <v>0</v>
      </c>
      <c r="AP91" s="37" t="n">
        <f aca="false">IF($A91-AN91&gt;0,1/(1+AN91),0)</f>
        <v>0</v>
      </c>
      <c r="AQ91" s="7" t="n">
        <f aca="false">IF(AK91=0,0,MAX(MIN(1,AO91^Power),0))</f>
        <v>0</v>
      </c>
      <c r="AR91" s="7" t="n">
        <f aca="false">IF(AL91=0,0,MAX(MIN(1,AP91^Power),0))</f>
        <v>0</v>
      </c>
      <c r="AS91" s="7" t="n">
        <f aca="false">IF($AJ91=1,IF($H91=0,K91,AS90),AS90)</f>
        <v>0</v>
      </c>
      <c r="AT91" s="7" t="n">
        <f aca="false">IF($AJ91=1,IF($H91=1,N91,AT90),AT90)</f>
        <v>0</v>
      </c>
    </row>
    <row r="92" customFormat="false" ht="13" hidden="false" customHeight="false" outlineLevel="0" collapsed="false">
      <c r="A92" s="16" t="n">
        <v>75</v>
      </c>
      <c r="B92" s="37" t="n">
        <f aca="true">IF(RAND()&lt;$D$8,1,0)</f>
        <v>0</v>
      </c>
      <c r="C92" s="20" t="n">
        <f aca="true">-LN(RAND())/$D$2</f>
        <v>1.08439869025865</v>
      </c>
      <c r="D92" s="38" t="n">
        <f aca="false">D91+C92</f>
        <v>87.3633731440618</v>
      </c>
      <c r="E92" s="39" t="n">
        <f aca="false">MAX($E$3,AS91)</f>
        <v>0</v>
      </c>
      <c r="F92" s="39" t="n">
        <f aca="false">MAX($E$3,AT91)</f>
        <v>0</v>
      </c>
      <c r="G92" s="40" t="n">
        <v>0.5</v>
      </c>
      <c r="H92" s="38" t="n">
        <f aca="true">IF((B92=1),(IF((F92&lt;E92),1,(IF((F92=E92),(IF(RAND()&lt;G92,1,0)),0)))),(IF((RAND()&lt;G92),1,0)))</f>
        <v>1</v>
      </c>
      <c r="I92" s="38" t="n">
        <f aca="true">IF((H92=1),0,$D$3+$D$5*(RAND()-0.5))</f>
        <v>0</v>
      </c>
      <c r="J92" s="38" t="n">
        <f aca="false">I92+MAX(D92,J91)</f>
        <v>88.2021967608182</v>
      </c>
      <c r="K92" s="38" t="n">
        <f aca="false">IF((H92=0),J92-D92,0)</f>
        <v>0</v>
      </c>
      <c r="L92" s="38" t="n">
        <f aca="true">IF(($H92=0),0,$D$4+$D$5*(RAND()-0.5))</f>
        <v>1.81570558103575</v>
      </c>
      <c r="M92" s="38" t="n">
        <f aca="false">L92+MAX(D92,M91)</f>
        <v>105.615651461036</v>
      </c>
      <c r="N92" s="38" t="n">
        <f aca="false">IF((H92=1),M92-D92,0)</f>
        <v>18.2522783169745</v>
      </c>
      <c r="O92" s="16" t="n">
        <v>75</v>
      </c>
      <c r="P92" s="41" t="n">
        <f aca="false">IF((Arterial=0),P91+1,P91)</f>
        <v>34</v>
      </c>
      <c r="Q92" s="41" t="n">
        <f aca="false">IF((Arterial=1),Q91+1,Q91)</f>
        <v>41</v>
      </c>
      <c r="R92" s="42" t="n">
        <f aca="false">IF((RESET=1),0,R92+K92)</f>
        <v>321.270448750331</v>
      </c>
      <c r="S92" s="14" t="e">
        <f aca="false">IF(RESET=1,0,S92+N92)</f>
        <v>#N/A</v>
      </c>
      <c r="T92" s="2" t="n">
        <f aca="false">IF(RESET=1,0,T92+IF(H92=0,1,0))</f>
        <v>36</v>
      </c>
      <c r="U92" s="2" t="e">
        <f aca="false">IF(RESET=1,0,U92+H92)</f>
        <v>#N/A</v>
      </c>
      <c r="V92" s="14" t="n">
        <f aca="false">R92/(T92+0.00001)</f>
        <v>8.92417665301567</v>
      </c>
      <c r="W92" s="14" t="e">
        <f aca="false">S92/(U92+0.0001)</f>
        <v>#N/A</v>
      </c>
      <c r="X92" s="39" t="n">
        <f aca="false">IF(Informed=1,K92,0)</f>
        <v>0</v>
      </c>
      <c r="Y92" s="39" t="n">
        <f aca="false">IF(Informed=0,K92,0)</f>
        <v>0</v>
      </c>
      <c r="Z92" s="39" t="n">
        <f aca="false">IF(Informed=1,N92,0)</f>
        <v>0</v>
      </c>
      <c r="AA92" s="39" t="n">
        <f aca="false">IF(Informed=0,N92,0)</f>
        <v>18.2522783169745</v>
      </c>
      <c r="AB92" s="43" t="n">
        <f aca="false">IF(Arterial=0,IF(Informed=1,1,0),0)</f>
        <v>0</v>
      </c>
      <c r="AC92" s="43" t="n">
        <f aca="false">IF(Arterial=0,IF(Informed=0,1,0),0)</f>
        <v>0</v>
      </c>
      <c r="AD92" s="43" t="n">
        <f aca="false">IF(Arterial=1,IF(Informed=1,1,0),0)</f>
        <v>0</v>
      </c>
      <c r="AE92" s="43" t="n">
        <f aca="false">IF(Arterial=1,IF(Informed=0,1,0),0)</f>
        <v>1</v>
      </c>
      <c r="AF92" s="35" t="n">
        <f aca="false">IF(AB92=1,(X92-G$1030)^2,0)</f>
        <v>0</v>
      </c>
      <c r="AG92" s="35" t="n">
        <f aca="false">IF(AC92=1,(Y92-H$1030)^2,0)</f>
        <v>0</v>
      </c>
      <c r="AH92" s="35" t="n">
        <f aca="false">IF(AD92=1,(Z92-I$1030)^2,0)</f>
        <v>0</v>
      </c>
      <c r="AI92" s="35" t="n">
        <f aca="false">IF(AE92=1,(AA92-J$1030)^2,0)</f>
        <v>127.961268735417</v>
      </c>
      <c r="AJ92" s="37" t="n">
        <f aca="true">IF(RAND()&lt;$D$6,1,0)</f>
        <v>0</v>
      </c>
      <c r="AK92" s="14" t="n">
        <f aca="false">AK91+IF((AJ92=1),IF((H92=0),1,0),0)</f>
        <v>0</v>
      </c>
      <c r="AL92" s="14" t="n">
        <f aca="false">AL91+IF((AJ92=1),IF((H92=1),1,0),0)</f>
        <v>0</v>
      </c>
      <c r="AM92" s="37" t="n">
        <f aca="false">IF(AK92=0,9999,IF($H92=0,IF($AJ92&lt;1,AM91+1,0),AM91))</f>
        <v>9999</v>
      </c>
      <c r="AN92" s="37" t="n">
        <f aca="false">IF(AL92=0,9999,IF($H92=1,IF($AJ92&lt;1,AN91+1,0),AN91))</f>
        <v>9999</v>
      </c>
      <c r="AO92" s="37" t="n">
        <f aca="false">IF($A92-AM92&gt;0,1/(1+AM92),0)</f>
        <v>0</v>
      </c>
      <c r="AP92" s="37" t="n">
        <f aca="false">IF($A92-AN92&gt;0,1/(1+AN92),0)</f>
        <v>0</v>
      </c>
      <c r="AQ92" s="7" t="n">
        <f aca="false">IF(AK92=0,0,MAX(MIN(1,AO92^Power),0))</f>
        <v>0</v>
      </c>
      <c r="AR92" s="7" t="n">
        <f aca="false">IF(AL92=0,0,MAX(MIN(1,AP92^Power),0))</f>
        <v>0</v>
      </c>
      <c r="AS92" s="7" t="n">
        <f aca="false">IF($AJ92=1,IF($H92=0,K92,AS91),AS91)</f>
        <v>0</v>
      </c>
      <c r="AT92" s="7" t="n">
        <f aca="false">IF($AJ92=1,IF($H92=1,N92,AT91),AT91)</f>
        <v>0</v>
      </c>
    </row>
    <row r="93" customFormat="false" ht="13" hidden="false" customHeight="false" outlineLevel="0" collapsed="false">
      <c r="A93" s="16" t="n">
        <v>76</v>
      </c>
      <c r="B93" s="37" t="n">
        <f aca="true">IF(RAND()&lt;$D$8,1,0)</f>
        <v>0</v>
      </c>
      <c r="C93" s="20" t="n">
        <f aca="true">-LN(RAND())/$D$2</f>
        <v>1.88777615237639</v>
      </c>
      <c r="D93" s="38" t="n">
        <f aca="false">D92+C93</f>
        <v>89.2511492964381</v>
      </c>
      <c r="E93" s="39" t="n">
        <f aca="false">MAX($E$3,AS92)</f>
        <v>0</v>
      </c>
      <c r="F93" s="39" t="n">
        <f aca="false">MAX($E$3,AT92)</f>
        <v>0</v>
      </c>
      <c r="G93" s="40" t="n">
        <v>0.5</v>
      </c>
      <c r="H93" s="38" t="n">
        <f aca="true">IF((B93=1),(IF((F93&lt;E93),1,(IF((F93=E93),(IF(RAND()&lt;G93,1,0)),0)))),(IF((RAND()&lt;G93),1,0)))</f>
        <v>1</v>
      </c>
      <c r="I93" s="38" t="n">
        <f aca="true">IF((H93=1),0,$D$3+$D$5*(RAND()-0.5))</f>
        <v>0</v>
      </c>
      <c r="J93" s="38" t="n">
        <f aca="false">I93+MAX(D93,J92)</f>
        <v>89.2511492964381</v>
      </c>
      <c r="K93" s="38" t="n">
        <f aca="false">IF((H93=0),J93-D93,0)</f>
        <v>0</v>
      </c>
      <c r="L93" s="38" t="n">
        <f aca="true">IF(($H93=0),0,$D$4+$D$5*(RAND()-0.5))</f>
        <v>1.90404559431836</v>
      </c>
      <c r="M93" s="38" t="n">
        <f aca="false">L93+MAX(D93,M92)</f>
        <v>107.519697055355</v>
      </c>
      <c r="N93" s="38" t="n">
        <f aca="false">IF((H93=1),M93-D93,0)</f>
        <v>18.2685477589165</v>
      </c>
      <c r="O93" s="16" t="n">
        <v>76</v>
      </c>
      <c r="P93" s="41" t="n">
        <f aca="false">IF((Arterial=0),P92+1,P92)</f>
        <v>34</v>
      </c>
      <c r="Q93" s="41" t="n">
        <f aca="false">IF((Arterial=1),Q92+1,Q92)</f>
        <v>42</v>
      </c>
      <c r="R93" s="42" t="n">
        <f aca="false">IF((RESET=1),0,R93+K93)</f>
        <v>278.205458769243</v>
      </c>
      <c r="S93" s="14" t="e">
        <f aca="false">IF(RESET=1,0,S93+N93)</f>
        <v>#N/A</v>
      </c>
      <c r="T93" s="2" t="n">
        <f aca="false">IF(RESET=1,0,T93+IF(H93=0,1,0))</f>
        <v>36</v>
      </c>
      <c r="U93" s="2" t="e">
        <f aca="false">IF(RESET=1,0,U93+H93)</f>
        <v>#N/A</v>
      </c>
      <c r="V93" s="14" t="n">
        <f aca="false">R93/(T93+0.00001)</f>
        <v>7.72792726361028</v>
      </c>
      <c r="W93" s="14" t="e">
        <f aca="false">S93/(U93+0.0001)</f>
        <v>#N/A</v>
      </c>
      <c r="X93" s="39" t="n">
        <f aca="false">IF(Informed=1,K93,0)</f>
        <v>0</v>
      </c>
      <c r="Y93" s="39" t="n">
        <f aca="false">IF(Informed=0,K93,0)</f>
        <v>0</v>
      </c>
      <c r="Z93" s="39" t="n">
        <f aca="false">IF(Informed=1,N93,0)</f>
        <v>0</v>
      </c>
      <c r="AA93" s="39" t="n">
        <f aca="false">IF(Informed=0,N93,0)</f>
        <v>18.2685477589165</v>
      </c>
      <c r="AB93" s="43" t="n">
        <f aca="false">IF(Arterial=0,IF(Informed=1,1,0),0)</f>
        <v>0</v>
      </c>
      <c r="AC93" s="43" t="n">
        <f aca="false">IF(Arterial=0,IF(Informed=0,1,0),0)</f>
        <v>0</v>
      </c>
      <c r="AD93" s="43" t="n">
        <f aca="false">IF(Arterial=1,IF(Informed=1,1,0),0)</f>
        <v>0</v>
      </c>
      <c r="AE93" s="43" t="n">
        <f aca="false">IF(Arterial=1,IF(Informed=0,1,0),0)</f>
        <v>1</v>
      </c>
      <c r="AF93" s="35" t="n">
        <f aca="false">IF(AB93=1,(X93-G$1030)^2,0)</f>
        <v>0</v>
      </c>
      <c r="AG93" s="35" t="n">
        <f aca="false">IF(AC93=1,(Y93-H$1030)^2,0)</f>
        <v>0</v>
      </c>
      <c r="AH93" s="35" t="n">
        <f aca="false">IF(AD93=1,(Z93-I$1030)^2,0)</f>
        <v>0</v>
      </c>
      <c r="AI93" s="35" t="n">
        <f aca="false">IF(AE93=1,(AA93-J$1030)^2,0)</f>
        <v>127.593453683912</v>
      </c>
      <c r="AJ93" s="37" t="n">
        <f aca="true">IF(RAND()&lt;$D$6,1,0)</f>
        <v>0</v>
      </c>
      <c r="AK93" s="14" t="n">
        <f aca="false">AK92+IF((AJ93=1),IF((H93=0),1,0),0)</f>
        <v>0</v>
      </c>
      <c r="AL93" s="14" t="n">
        <f aca="false">AL92+IF((AJ93=1),IF((H93=1),1,0),0)</f>
        <v>0</v>
      </c>
      <c r="AM93" s="37" t="n">
        <f aca="false">IF(AK93=0,9999,IF($H93=0,IF($AJ93&lt;1,AM92+1,0),AM92))</f>
        <v>9999</v>
      </c>
      <c r="AN93" s="37" t="n">
        <f aca="false">IF(AL93=0,9999,IF($H93=1,IF($AJ93&lt;1,AN92+1,0),AN92))</f>
        <v>9999</v>
      </c>
      <c r="AO93" s="37" t="n">
        <f aca="false">IF($A93-AM93&gt;0,1/(1+AM93),0)</f>
        <v>0</v>
      </c>
      <c r="AP93" s="37" t="n">
        <f aca="false">IF($A93-AN93&gt;0,1/(1+AN93),0)</f>
        <v>0</v>
      </c>
      <c r="AQ93" s="7" t="n">
        <f aca="false">IF(AK93=0,0,MAX(MIN(1,AO93^Power),0))</f>
        <v>0</v>
      </c>
      <c r="AR93" s="7" t="n">
        <f aca="false">IF(AL93=0,0,MAX(MIN(1,AP93^Power),0))</f>
        <v>0</v>
      </c>
      <c r="AS93" s="7" t="n">
        <f aca="false">IF($AJ93=1,IF($H93=0,K93,AS92),AS92)</f>
        <v>0</v>
      </c>
      <c r="AT93" s="7" t="n">
        <f aca="false">IF($AJ93=1,IF($H93=1,N93,AT92),AT92)</f>
        <v>0</v>
      </c>
    </row>
    <row r="94" customFormat="false" ht="13" hidden="false" customHeight="false" outlineLevel="0" collapsed="false">
      <c r="A94" s="16" t="n">
        <v>77</v>
      </c>
      <c r="B94" s="37" t="n">
        <f aca="true">IF(RAND()&lt;$D$8,1,0)</f>
        <v>0</v>
      </c>
      <c r="C94" s="20" t="n">
        <f aca="true">-LN(RAND())/$D$2</f>
        <v>0.998435236631011</v>
      </c>
      <c r="D94" s="38" t="n">
        <f aca="false">D93+C94</f>
        <v>90.2495845330692</v>
      </c>
      <c r="E94" s="39" t="n">
        <f aca="false">MAX($E$3,AS93)</f>
        <v>0</v>
      </c>
      <c r="F94" s="39" t="n">
        <f aca="false">MAX($E$3,AT93)</f>
        <v>0</v>
      </c>
      <c r="G94" s="40" t="n">
        <v>0.5</v>
      </c>
      <c r="H94" s="38" t="n">
        <f aca="true">IF((B94=1),(IF((F94&lt;E94),1,(IF((F94=E94),(IF(RAND()&lt;G94,1,0)),0)))),(IF((RAND()&lt;G94),1,0)))</f>
        <v>1</v>
      </c>
      <c r="I94" s="38" t="n">
        <f aca="true">IF((H94=1),0,$D$3+$D$5*(RAND()-0.5))</f>
        <v>0</v>
      </c>
      <c r="J94" s="38" t="n">
        <f aca="false">I94+MAX(D94,J93)</f>
        <v>90.2495845330692</v>
      </c>
      <c r="K94" s="38" t="n">
        <f aca="false">IF((H94=0),J94-D94,0)</f>
        <v>0</v>
      </c>
      <c r="L94" s="38" t="n">
        <f aca="true">IF(($H94=0),0,$D$4+$D$5*(RAND()-0.5))</f>
        <v>2.19563720433298</v>
      </c>
      <c r="M94" s="38" t="n">
        <f aca="false">L94+MAX(D94,M93)</f>
        <v>109.715334259688</v>
      </c>
      <c r="N94" s="38" t="n">
        <f aca="false">IF((H94=1),M94-D94,0)</f>
        <v>19.4657497266185</v>
      </c>
      <c r="O94" s="16" t="n">
        <v>77</v>
      </c>
      <c r="P94" s="41" t="n">
        <f aca="false">IF((Arterial=0),P93+1,P93)</f>
        <v>34</v>
      </c>
      <c r="Q94" s="41" t="n">
        <f aca="false">IF((Arterial=1),Q93+1,Q93)</f>
        <v>43</v>
      </c>
      <c r="R94" s="42" t="n">
        <f aca="false">IF((RESET=1),0,R94+K94)</f>
        <v>290.328709378981</v>
      </c>
      <c r="S94" s="14" t="e">
        <f aca="false">IF(RESET=1,0,S94+N94)</f>
        <v>#N/A</v>
      </c>
      <c r="T94" s="2" t="n">
        <f aca="false">IF(RESET=1,0,T94+IF(H94=0,1,0))</f>
        <v>41</v>
      </c>
      <c r="U94" s="2" t="e">
        <f aca="false">IF(RESET=1,0,U94+H94)</f>
        <v>#N/A</v>
      </c>
      <c r="V94" s="14" t="n">
        <f aca="false">R94/(T94+0.00001)</f>
        <v>7.08118630651508</v>
      </c>
      <c r="W94" s="14" t="e">
        <f aca="false">S94/(U94+0.0001)</f>
        <v>#N/A</v>
      </c>
      <c r="X94" s="39" t="n">
        <f aca="false">IF(Informed=1,K94,0)</f>
        <v>0</v>
      </c>
      <c r="Y94" s="39" t="n">
        <f aca="false">IF(Informed=0,K94,0)</f>
        <v>0</v>
      </c>
      <c r="Z94" s="39" t="n">
        <f aca="false">IF(Informed=1,N94,0)</f>
        <v>0</v>
      </c>
      <c r="AA94" s="39" t="n">
        <f aca="false">IF(Informed=0,N94,0)</f>
        <v>19.4657497266185</v>
      </c>
      <c r="AB94" s="43" t="n">
        <f aca="false">IF(Arterial=0,IF(Informed=1,1,0),0)</f>
        <v>0</v>
      </c>
      <c r="AC94" s="43" t="n">
        <f aca="false">IF(Arterial=0,IF(Informed=0,1,0),0)</f>
        <v>0</v>
      </c>
      <c r="AD94" s="43" t="n">
        <f aca="false">IF(Arterial=1,IF(Informed=1,1,0),0)</f>
        <v>0</v>
      </c>
      <c r="AE94" s="43" t="n">
        <f aca="false">IF(Arterial=1,IF(Informed=0,1,0),0)</f>
        <v>1</v>
      </c>
      <c r="AF94" s="35" t="n">
        <f aca="false">IF(AB94=1,(X94-G$1030)^2,0)</f>
        <v>0</v>
      </c>
      <c r="AG94" s="35" t="n">
        <f aca="false">IF(AC94=1,(Y94-H$1030)^2,0)</f>
        <v>0</v>
      </c>
      <c r="AH94" s="35" t="n">
        <f aca="false">IF(AD94=1,(Z94-I$1030)^2,0)</f>
        <v>0</v>
      </c>
      <c r="AI94" s="35" t="n">
        <f aca="false">IF(AE94=1,(AA94-J$1030)^2,0)</f>
        <v>101.980212499509</v>
      </c>
      <c r="AJ94" s="37" t="n">
        <f aca="true">IF(RAND()&lt;$D$6,1,0)</f>
        <v>0</v>
      </c>
      <c r="AK94" s="14" t="n">
        <f aca="false">AK93+IF((AJ94=1),IF((H94=0),1,0),0)</f>
        <v>0</v>
      </c>
      <c r="AL94" s="14" t="n">
        <f aca="false">AL93+IF((AJ94=1),IF((H94=1),1,0),0)</f>
        <v>0</v>
      </c>
      <c r="AM94" s="37" t="n">
        <f aca="false">IF(AK94=0,9999,IF($H94=0,IF($AJ94&lt;1,AM93+1,0),AM93))</f>
        <v>9999</v>
      </c>
      <c r="AN94" s="37" t="n">
        <f aca="false">IF(AL94=0,9999,IF($H94=1,IF($AJ94&lt;1,AN93+1,0),AN93))</f>
        <v>9999</v>
      </c>
      <c r="AO94" s="37" t="n">
        <f aca="false">IF($A94-AM94&gt;0,1/(1+AM94),0)</f>
        <v>0</v>
      </c>
      <c r="AP94" s="37" t="n">
        <f aca="false">IF($A94-AN94&gt;0,1/(1+AN94),0)</f>
        <v>0</v>
      </c>
      <c r="AQ94" s="7" t="n">
        <f aca="false">IF(AK94=0,0,MAX(MIN(1,AO94^Power),0))</f>
        <v>0</v>
      </c>
      <c r="AR94" s="7" t="n">
        <f aca="false">IF(AL94=0,0,MAX(MIN(1,AP94^Power),0))</f>
        <v>0</v>
      </c>
      <c r="AS94" s="7" t="n">
        <f aca="false">IF($AJ94=1,IF($H94=0,K94,AS93),AS93)</f>
        <v>0</v>
      </c>
      <c r="AT94" s="7" t="n">
        <f aca="false">IF($AJ94=1,IF($H94=1,N94,AT93),AT93)</f>
        <v>0</v>
      </c>
    </row>
    <row r="95" customFormat="false" ht="13" hidden="false" customHeight="false" outlineLevel="0" collapsed="false">
      <c r="A95" s="16" t="n">
        <v>78</v>
      </c>
      <c r="B95" s="37" t="n">
        <f aca="true">IF(RAND()&lt;$D$8,1,0)</f>
        <v>1</v>
      </c>
      <c r="C95" s="20" t="n">
        <f aca="true">-LN(RAND())/$D$2</f>
        <v>7.09631529365491</v>
      </c>
      <c r="D95" s="38" t="n">
        <f aca="false">D94+C95</f>
        <v>97.3458998267241</v>
      </c>
      <c r="E95" s="39" t="n">
        <f aca="false">MAX($E$3,AS94)</f>
        <v>0</v>
      </c>
      <c r="F95" s="39" t="n">
        <f aca="false">MAX($E$3,AT94)</f>
        <v>0</v>
      </c>
      <c r="G95" s="40" t="n">
        <v>0.5</v>
      </c>
      <c r="H95" s="38" t="n">
        <f aca="true">IF((B95=1),(IF((F95&lt;E95),1,(IF((F95=E95),(IF(RAND()&lt;G95,1,0)),0)))),(IF((RAND()&lt;G95),1,0)))</f>
        <v>1</v>
      </c>
      <c r="I95" s="38" t="n">
        <f aca="true">IF((H95=1),0,$D$3+$D$5*(RAND()-0.5))</f>
        <v>0</v>
      </c>
      <c r="J95" s="38" t="n">
        <f aca="false">I95+MAX(D95,J94)</f>
        <v>97.3458998267241</v>
      </c>
      <c r="K95" s="38" t="n">
        <f aca="false">IF((H95=0),J95-D95,0)</f>
        <v>0</v>
      </c>
      <c r="L95" s="38" t="n">
        <f aca="true">IF(($H95=0),0,$D$4+$D$5*(RAND()-0.5))</f>
        <v>2.00184665445798</v>
      </c>
      <c r="M95" s="38" t="n">
        <f aca="false">L95+MAX(D95,M94)</f>
        <v>111.717180914146</v>
      </c>
      <c r="N95" s="38" t="n">
        <f aca="false">IF((H95=1),M95-D95,0)</f>
        <v>14.3712810874215</v>
      </c>
      <c r="O95" s="16" t="n">
        <v>78</v>
      </c>
      <c r="P95" s="41" t="n">
        <f aca="false">IF((Arterial=0),P94+1,P94)</f>
        <v>34</v>
      </c>
      <c r="Q95" s="41" t="n">
        <f aca="false">IF((Arterial=1),Q94+1,Q94)</f>
        <v>44</v>
      </c>
      <c r="R95" s="42" t="n">
        <f aca="false">IF((RESET=1),0,R95+K95)</f>
        <v>305.370781229788</v>
      </c>
      <c r="S95" s="14" t="e">
        <f aca="false">IF(RESET=1,0,S95+N95)</f>
        <v>#N/A</v>
      </c>
      <c r="T95" s="2" t="n">
        <f aca="false">IF(RESET=1,0,T95+IF(H95=0,1,0))</f>
        <v>36</v>
      </c>
      <c r="U95" s="2" t="e">
        <f aca="false">IF(RESET=1,0,U95+H95)</f>
        <v>#N/A</v>
      </c>
      <c r="V95" s="14" t="n">
        <f aca="false">R95/(T95+0.00001)</f>
        <v>8.48251934457208</v>
      </c>
      <c r="W95" s="14" t="e">
        <f aca="false">S95/(U95+0.0001)</f>
        <v>#N/A</v>
      </c>
      <c r="X95" s="39" t="n">
        <f aca="false">IF(Informed=1,K95,0)</f>
        <v>0</v>
      </c>
      <c r="Y95" s="39" t="n">
        <f aca="false">IF(Informed=0,K95,0)</f>
        <v>0</v>
      </c>
      <c r="Z95" s="39" t="n">
        <f aca="false">IF(Informed=1,N95,0)</f>
        <v>14.3712810874215</v>
      </c>
      <c r="AA95" s="39" t="n">
        <f aca="false">IF(Informed=0,N95,0)</f>
        <v>0</v>
      </c>
      <c r="AB95" s="43" t="n">
        <f aca="false">IF(Arterial=0,IF(Informed=1,1,0),0)</f>
        <v>0</v>
      </c>
      <c r="AC95" s="43" t="n">
        <f aca="false">IF(Arterial=0,IF(Informed=0,1,0),0)</f>
        <v>0</v>
      </c>
      <c r="AD95" s="43" t="n">
        <f aca="false">IF(Arterial=1,IF(Informed=1,1,0),0)</f>
        <v>1</v>
      </c>
      <c r="AE95" s="43" t="n">
        <f aca="false">IF(Arterial=1,IF(Informed=0,1,0),0)</f>
        <v>0</v>
      </c>
      <c r="AF95" s="35" t="n">
        <f aca="false">IF(AB95=1,(X95-G$1030)^2,0)</f>
        <v>0</v>
      </c>
      <c r="AG95" s="35" t="n">
        <f aca="false">IF(AC95=1,(Y95-H$1030)^2,0)</f>
        <v>0</v>
      </c>
      <c r="AH95" s="35" t="n">
        <f aca="false">IF(AD95=1,(Z95-I$1030)^2,0)</f>
        <v>196.099516391631</v>
      </c>
      <c r="AI95" s="35" t="n">
        <f aca="false">IF(AE95=1,(AA95-J$1030)^2,0)</f>
        <v>0</v>
      </c>
      <c r="AJ95" s="37" t="n">
        <f aca="true">IF(RAND()&lt;$D$6,1,0)</f>
        <v>0</v>
      </c>
      <c r="AK95" s="14" t="n">
        <f aca="false">AK94+IF((AJ95=1),IF((H95=0),1,0),0)</f>
        <v>0</v>
      </c>
      <c r="AL95" s="14" t="n">
        <f aca="false">AL94+IF((AJ95=1),IF((H95=1),1,0),0)</f>
        <v>0</v>
      </c>
      <c r="AM95" s="37" t="n">
        <f aca="false">IF(AK95=0,9999,IF($H95=0,IF($AJ95&lt;1,AM94+1,0),AM94))</f>
        <v>9999</v>
      </c>
      <c r="AN95" s="37" t="n">
        <f aca="false">IF(AL95=0,9999,IF($H95=1,IF($AJ95&lt;1,AN94+1,0),AN94))</f>
        <v>9999</v>
      </c>
      <c r="AO95" s="37" t="n">
        <f aca="false">IF($A95-AM95&gt;0,1/(1+AM95),0)</f>
        <v>0</v>
      </c>
      <c r="AP95" s="37" t="n">
        <f aca="false">IF($A95-AN95&gt;0,1/(1+AN95),0)</f>
        <v>0</v>
      </c>
      <c r="AQ95" s="7" t="n">
        <f aca="false">IF(AK95=0,0,MAX(MIN(1,AO95^Power),0))</f>
        <v>0</v>
      </c>
      <c r="AR95" s="7" t="n">
        <f aca="false">IF(AL95=0,0,MAX(MIN(1,AP95^Power),0))</f>
        <v>0</v>
      </c>
      <c r="AS95" s="7" t="n">
        <f aca="false">IF($AJ95=1,IF($H95=0,K95,AS94),AS94)</f>
        <v>0</v>
      </c>
      <c r="AT95" s="7" t="n">
        <f aca="false">IF($AJ95=1,IF($H95=1,N95,AT94),AT94)</f>
        <v>0</v>
      </c>
    </row>
    <row r="96" customFormat="false" ht="13" hidden="false" customHeight="false" outlineLevel="0" collapsed="false">
      <c r="A96" s="16" t="n">
        <v>79</v>
      </c>
      <c r="B96" s="37" t="n">
        <f aca="true">IF(RAND()&lt;$D$8,1,0)</f>
        <v>0</v>
      </c>
      <c r="C96" s="20" t="n">
        <f aca="true">-LN(RAND())/$D$2</f>
        <v>2.39469400899858</v>
      </c>
      <c r="D96" s="38" t="n">
        <f aca="false">D95+C96</f>
        <v>99.7405938357226</v>
      </c>
      <c r="E96" s="39" t="n">
        <f aca="false">MAX($E$3,AS95)</f>
        <v>0</v>
      </c>
      <c r="F96" s="39" t="n">
        <f aca="false">MAX($E$3,AT95)</f>
        <v>0</v>
      </c>
      <c r="G96" s="40" t="n">
        <v>0.5</v>
      </c>
      <c r="H96" s="38" t="n">
        <f aca="true">IF((B96=1),(IF((F96&lt;E96),1,(IF((F96=E96),(IF(RAND()&lt;G96,1,0)),0)))),(IF((RAND()&lt;G96),1,0)))</f>
        <v>1</v>
      </c>
      <c r="I96" s="38" t="n">
        <f aca="true">IF((H96=1),0,$D$3+$D$5*(RAND()-0.5))</f>
        <v>0</v>
      </c>
      <c r="J96" s="38" t="n">
        <f aca="false">I96+MAX(D96,J95)</f>
        <v>99.7405938357226</v>
      </c>
      <c r="K96" s="38" t="n">
        <f aca="false">IF((H96=0),J96-D96,0)</f>
        <v>0</v>
      </c>
      <c r="L96" s="38" t="n">
        <f aca="true">IF(($H96=0),0,$D$4+$D$5*(RAND()-0.5))</f>
        <v>2.14269072881957</v>
      </c>
      <c r="M96" s="38" t="n">
        <f aca="false">L96+MAX(D96,M95)</f>
        <v>113.859871642965</v>
      </c>
      <c r="N96" s="38" t="n">
        <f aca="false">IF((H96=1),M96-D96,0)</f>
        <v>14.1192778072425</v>
      </c>
      <c r="O96" s="16" t="n">
        <v>79</v>
      </c>
      <c r="P96" s="41" t="n">
        <f aca="false">IF((Arterial=0),P95+1,P95)</f>
        <v>34</v>
      </c>
      <c r="Q96" s="41" t="n">
        <f aca="false">IF((Arterial=1),Q95+1,Q95)</f>
        <v>45</v>
      </c>
      <c r="R96" s="42" t="n">
        <f aca="false">IF((RESET=1),0,R96+K96)</f>
        <v>300.974285895341</v>
      </c>
      <c r="S96" s="14" t="e">
        <f aca="false">IF(RESET=1,0,S96+N96)</f>
        <v>#N/A</v>
      </c>
      <c r="T96" s="2" t="n">
        <f aca="false">IF(RESET=1,0,T96+IF(H96=0,1,0))</f>
        <v>42</v>
      </c>
      <c r="U96" s="2" t="e">
        <f aca="false">IF(RESET=1,0,U96+H96)</f>
        <v>#N/A</v>
      </c>
      <c r="V96" s="14" t="n">
        <f aca="false">R96/(T96+0.00001)</f>
        <v>7.16605271987651</v>
      </c>
      <c r="W96" s="14" t="e">
        <f aca="false">S96/(U96+0.0001)</f>
        <v>#N/A</v>
      </c>
      <c r="X96" s="39" t="n">
        <f aca="false">IF(Informed=1,K96,0)</f>
        <v>0</v>
      </c>
      <c r="Y96" s="39" t="n">
        <f aca="false">IF(Informed=0,K96,0)</f>
        <v>0</v>
      </c>
      <c r="Z96" s="39" t="n">
        <f aca="false">IF(Informed=1,N96,0)</f>
        <v>0</v>
      </c>
      <c r="AA96" s="39" t="n">
        <f aca="false">IF(Informed=0,N96,0)</f>
        <v>14.1192778072425</v>
      </c>
      <c r="AB96" s="43" t="n">
        <f aca="false">IF(Arterial=0,IF(Informed=1,1,0),0)</f>
        <v>0</v>
      </c>
      <c r="AC96" s="43" t="n">
        <f aca="false">IF(Arterial=0,IF(Informed=0,1,0),0)</f>
        <v>0</v>
      </c>
      <c r="AD96" s="43" t="n">
        <f aca="false">IF(Arterial=1,IF(Informed=1,1,0),0)</f>
        <v>0</v>
      </c>
      <c r="AE96" s="43" t="n">
        <f aca="false">IF(Arterial=1,IF(Informed=0,1,0),0)</f>
        <v>1</v>
      </c>
      <c r="AF96" s="35" t="n">
        <f aca="false">IF(AB96=1,(X96-G$1030)^2,0)</f>
        <v>0</v>
      </c>
      <c r="AG96" s="35" t="n">
        <f aca="false">IF(AC96=1,(Y96-H$1030)^2,0)</f>
        <v>0</v>
      </c>
      <c r="AH96" s="35" t="n">
        <f aca="false">IF(AD96=1,(Z96-I$1030)^2,0)</f>
        <v>0</v>
      </c>
      <c r="AI96" s="35" t="n">
        <f aca="false">IF(AE96=1,(AA96-J$1030)^2,0)</f>
        <v>238.547937982046</v>
      </c>
      <c r="AJ96" s="37" t="n">
        <f aca="true">IF(RAND()&lt;$D$6,1,0)</f>
        <v>0</v>
      </c>
      <c r="AK96" s="14" t="n">
        <f aca="false">AK95+IF((AJ96=1),IF((H96=0),1,0),0)</f>
        <v>0</v>
      </c>
      <c r="AL96" s="14" t="n">
        <f aca="false">AL95+IF((AJ96=1),IF((H96=1),1,0),0)</f>
        <v>0</v>
      </c>
      <c r="AM96" s="37" t="n">
        <f aca="false">IF(AK96=0,9999,IF($H96=0,IF($AJ96&lt;1,AM95+1,0),AM95))</f>
        <v>9999</v>
      </c>
      <c r="AN96" s="37" t="n">
        <f aca="false">IF(AL96=0,9999,IF($H96=1,IF($AJ96&lt;1,AN95+1,0),AN95))</f>
        <v>9999</v>
      </c>
      <c r="AO96" s="37" t="n">
        <f aca="false">IF($A96-AM96&gt;0,1/(1+AM96),0)</f>
        <v>0</v>
      </c>
      <c r="AP96" s="37" t="n">
        <f aca="false">IF($A96-AN96&gt;0,1/(1+AN96),0)</f>
        <v>0</v>
      </c>
      <c r="AQ96" s="7" t="n">
        <f aca="false">IF(AK96=0,0,MAX(MIN(1,AO96^Power),0))</f>
        <v>0</v>
      </c>
      <c r="AR96" s="7" t="n">
        <f aca="false">IF(AL96=0,0,MAX(MIN(1,AP96^Power),0))</f>
        <v>0</v>
      </c>
      <c r="AS96" s="7" t="n">
        <f aca="false">IF($AJ96=1,IF($H96=0,K96,AS95),AS95)</f>
        <v>0</v>
      </c>
      <c r="AT96" s="7" t="n">
        <f aca="false">IF($AJ96=1,IF($H96=1,N96,AT95),AT95)</f>
        <v>0</v>
      </c>
    </row>
    <row r="97" customFormat="false" ht="13" hidden="false" customHeight="false" outlineLevel="0" collapsed="false">
      <c r="A97" s="16" t="n">
        <v>80</v>
      </c>
      <c r="B97" s="37" t="n">
        <f aca="true">IF(RAND()&lt;$D$8,1,0)</f>
        <v>0</v>
      </c>
      <c r="C97" s="20" t="n">
        <f aca="true">-LN(RAND())/$D$2</f>
        <v>1.15277218177971</v>
      </c>
      <c r="D97" s="38" t="n">
        <f aca="false">D96+C97</f>
        <v>100.893366017502</v>
      </c>
      <c r="E97" s="39" t="n">
        <f aca="false">MAX($E$3,AS96)</f>
        <v>0</v>
      </c>
      <c r="F97" s="39" t="n">
        <f aca="false">MAX($E$3,AT96)</f>
        <v>0</v>
      </c>
      <c r="G97" s="40" t="n">
        <v>0.5</v>
      </c>
      <c r="H97" s="38" t="n">
        <f aca="true">IF((B97=1),(IF((F97&lt;E97),1,(IF((F97=E97),(IF(RAND()&lt;G97,1,0)),0)))),(IF((RAND()&lt;G97),1,0)))</f>
        <v>1</v>
      </c>
      <c r="I97" s="38" t="n">
        <f aca="true">IF((H97=1),0,$D$3+$D$5*(RAND()-0.5))</f>
        <v>0</v>
      </c>
      <c r="J97" s="38" t="n">
        <f aca="false">I97+MAX(D97,J96)</f>
        <v>100.893366017502</v>
      </c>
      <c r="K97" s="38" t="n">
        <f aca="false">IF((H97=0),J97-D97,0)</f>
        <v>0</v>
      </c>
      <c r="L97" s="38" t="n">
        <f aca="true">IF(($H97=0),0,$D$4+$D$5*(RAND()-0.5))</f>
        <v>2.08995658762612</v>
      </c>
      <c r="M97" s="38" t="n">
        <f aca="false">L97+MAX(D97,M96)</f>
        <v>115.949828230591</v>
      </c>
      <c r="N97" s="38" t="n">
        <f aca="false">IF((H97=1),M97-D97,0)</f>
        <v>15.0564622130889</v>
      </c>
      <c r="O97" s="16" t="n">
        <v>80</v>
      </c>
      <c r="P97" s="41" t="n">
        <f aca="false">IF((Arterial=0),P96+1,P96)</f>
        <v>34</v>
      </c>
      <c r="Q97" s="41" t="n">
        <f aca="false">IF((Arterial=1),Q96+1,Q96)</f>
        <v>46</v>
      </c>
      <c r="R97" s="42" t="n">
        <f aca="false">IF((RESET=1),0,R97+K97)</f>
        <v>413.949658061268</v>
      </c>
      <c r="S97" s="14" t="e">
        <f aca="false">IF(RESET=1,0,S97+N97)</f>
        <v>#N/A</v>
      </c>
      <c r="T97" s="2" t="n">
        <f aca="false">IF(RESET=1,0,T97+IF(H97=0,1,0))</f>
        <v>45</v>
      </c>
      <c r="U97" s="2" t="e">
        <f aca="false">IF(RESET=1,0,U97+H97)</f>
        <v>#N/A</v>
      </c>
      <c r="V97" s="14" t="n">
        <f aca="false">R97/(T97+0.00001)</f>
        <v>9.19887924605501</v>
      </c>
      <c r="W97" s="14" t="e">
        <f aca="false">S97/(U97+0.0001)</f>
        <v>#N/A</v>
      </c>
      <c r="X97" s="39" t="n">
        <f aca="false">IF(Informed=1,K97,0)</f>
        <v>0</v>
      </c>
      <c r="Y97" s="39" t="n">
        <f aca="false">IF(Informed=0,K97,0)</f>
        <v>0</v>
      </c>
      <c r="Z97" s="39" t="n">
        <f aca="false">IF(Informed=1,N97,0)</f>
        <v>0</v>
      </c>
      <c r="AA97" s="39" t="n">
        <f aca="false">IF(Informed=0,N97,0)</f>
        <v>15.0564622130889</v>
      </c>
      <c r="AB97" s="43" t="n">
        <f aca="false">IF(Arterial=0,IF(Informed=1,1,0),0)</f>
        <v>0</v>
      </c>
      <c r="AC97" s="43" t="n">
        <f aca="false">IF(Arterial=0,IF(Informed=0,1,0),0)</f>
        <v>0</v>
      </c>
      <c r="AD97" s="43" t="n">
        <f aca="false">IF(Arterial=1,IF(Informed=1,1,0),0)</f>
        <v>0</v>
      </c>
      <c r="AE97" s="43" t="n">
        <f aca="false">IF(Arterial=1,IF(Informed=0,1,0),0)</f>
        <v>1</v>
      </c>
      <c r="AF97" s="35" t="n">
        <f aca="false">IF(AB97=1,(X97-G$1030)^2,0)</f>
        <v>0</v>
      </c>
      <c r="AG97" s="35" t="n">
        <f aca="false">IF(AC97=1,(Y97-H$1030)^2,0)</f>
        <v>0</v>
      </c>
      <c r="AH97" s="35" t="n">
        <f aca="false">IF(AD97=1,(Z97-I$1030)^2,0)</f>
        <v>0</v>
      </c>
      <c r="AI97" s="35" t="n">
        <f aca="false">IF(AE97=1,(AA97-J$1030)^2,0)</f>
        <v>210.476631576159</v>
      </c>
      <c r="AJ97" s="37" t="n">
        <f aca="true">IF(RAND()&lt;$D$6,1,0)</f>
        <v>0</v>
      </c>
      <c r="AK97" s="14" t="n">
        <f aca="false">AK96+IF((AJ97=1),IF((H97=0),1,0),0)</f>
        <v>0</v>
      </c>
      <c r="AL97" s="14" t="n">
        <f aca="false">AL96+IF((AJ97=1),IF((H97=1),1,0),0)</f>
        <v>0</v>
      </c>
      <c r="AM97" s="37" t="n">
        <f aca="false">IF(AK97=0,9999,IF($H97=0,IF($AJ97&lt;1,AM96+1,0),AM96))</f>
        <v>9999</v>
      </c>
      <c r="AN97" s="37" t="n">
        <f aca="false">IF(AL97=0,9999,IF($H97=1,IF($AJ97&lt;1,AN96+1,0),AN96))</f>
        <v>9999</v>
      </c>
      <c r="AO97" s="37" t="n">
        <f aca="false">IF($A97-AM97&gt;0,1/(1+AM97),0)</f>
        <v>0</v>
      </c>
      <c r="AP97" s="37" t="n">
        <f aca="false">IF($A97-AN97&gt;0,1/(1+AN97),0)</f>
        <v>0</v>
      </c>
      <c r="AQ97" s="7" t="n">
        <f aca="false">IF(AK97=0,0,MAX(MIN(1,AO97^Power),0))</f>
        <v>0</v>
      </c>
      <c r="AR97" s="7" t="n">
        <f aca="false">IF(AL97=0,0,MAX(MIN(1,AP97^Power),0))</f>
        <v>0</v>
      </c>
      <c r="AS97" s="7" t="n">
        <f aca="false">IF($AJ97=1,IF($H97=0,K97,AS96),AS96)</f>
        <v>0</v>
      </c>
      <c r="AT97" s="7" t="n">
        <f aca="false">IF($AJ97=1,IF($H97=1,N97,AT96),AT96)</f>
        <v>0</v>
      </c>
    </row>
    <row r="98" customFormat="false" ht="13" hidden="false" customHeight="false" outlineLevel="0" collapsed="false">
      <c r="A98" s="16" t="n">
        <v>81</v>
      </c>
      <c r="B98" s="37" t="n">
        <f aca="true">IF(RAND()&lt;$D$8,1,0)</f>
        <v>1</v>
      </c>
      <c r="C98" s="20" t="n">
        <f aca="true">-LN(RAND())/$D$2</f>
        <v>0.413038684779487</v>
      </c>
      <c r="D98" s="38" t="n">
        <f aca="false">D97+C98</f>
        <v>101.306404702282</v>
      </c>
      <c r="E98" s="39" t="n">
        <f aca="false">MAX($E$3,AS97)</f>
        <v>0</v>
      </c>
      <c r="F98" s="39" t="n">
        <f aca="false">MAX($E$3,AT97)</f>
        <v>0</v>
      </c>
      <c r="G98" s="40" t="n">
        <v>0.5</v>
      </c>
      <c r="H98" s="38" t="n">
        <f aca="true">IF((B98=1),(IF((F98&lt;E98),1,(IF((F98=E98),(IF(RAND()&lt;G98,1,0)),0)))),(IF((RAND()&lt;G98),1,0)))</f>
        <v>0</v>
      </c>
      <c r="I98" s="38" t="n">
        <f aca="true">IF((H98=1),0,$D$3+$D$5*(RAND()-0.5))</f>
        <v>2.20609209325517</v>
      </c>
      <c r="J98" s="38" t="n">
        <f aca="false">I98+MAX(D98,J97)</f>
        <v>103.512496795537</v>
      </c>
      <c r="K98" s="38" t="n">
        <f aca="false">IF((H98=0),J98-D98,0)</f>
        <v>2.20609209325517</v>
      </c>
      <c r="L98" s="38" t="n">
        <f aca="true">IF(($H98=0),0,$D$4+$D$5*(RAND()-0.5))</f>
        <v>0</v>
      </c>
      <c r="M98" s="38" t="n">
        <f aca="false">L98+MAX(D98,M97)</f>
        <v>115.949828230591</v>
      </c>
      <c r="N98" s="38" t="n">
        <f aca="false">IF((H98=1),M98-D98,0)</f>
        <v>0</v>
      </c>
      <c r="O98" s="16" t="n">
        <v>81</v>
      </c>
      <c r="P98" s="41" t="n">
        <f aca="false">IF((Arterial=0),P97+1,P97)</f>
        <v>35</v>
      </c>
      <c r="Q98" s="41" t="n">
        <f aca="false">IF((Arterial=1),Q97+1,Q97)</f>
        <v>46</v>
      </c>
      <c r="R98" s="42" t="e">
        <f aca="false">IF((RESET=1),0,R98+K98)</f>
        <v>#N/A</v>
      </c>
      <c r="S98" s="14" t="n">
        <f aca="false">IF(RESET=1,0,S98+N98)</f>
        <v>353.971467420203</v>
      </c>
      <c r="T98" s="2" t="e">
        <f aca="false">IF(RESET=1,0,T98+IF(H98=0,1,0))</f>
        <v>#N/A</v>
      </c>
      <c r="U98" s="2" t="n">
        <f aca="false">IF(RESET=1,0,U98+H98)</f>
        <v>40</v>
      </c>
      <c r="V98" s="14" t="e">
        <f aca="false">R98/(T98+0.00001)</f>
        <v>#N/A</v>
      </c>
      <c r="W98" s="14" t="n">
        <f aca="false">S98/(U98+0.0001)</f>
        <v>8.84926456234366</v>
      </c>
      <c r="X98" s="39" t="n">
        <f aca="false">IF(Informed=1,K98,0)</f>
        <v>2.20609209325517</v>
      </c>
      <c r="Y98" s="39" t="n">
        <f aca="false">IF(Informed=0,K98,0)</f>
        <v>0</v>
      </c>
      <c r="Z98" s="39" t="n">
        <f aca="false">IF(Informed=1,N98,0)</f>
        <v>0</v>
      </c>
      <c r="AA98" s="39" t="n">
        <f aca="false">IF(Informed=0,N98,0)</f>
        <v>0</v>
      </c>
      <c r="AB98" s="43" t="n">
        <f aca="false">IF(Arterial=0,IF(Informed=1,1,0),0)</f>
        <v>1</v>
      </c>
      <c r="AC98" s="43" t="n">
        <f aca="false">IF(Arterial=0,IF(Informed=0,1,0),0)</f>
        <v>0</v>
      </c>
      <c r="AD98" s="43" t="n">
        <f aca="false">IF(Arterial=1,IF(Informed=1,1,0),0)</f>
        <v>0</v>
      </c>
      <c r="AE98" s="43" t="n">
        <f aca="false">IF(Arterial=1,IF(Informed=0,1,0),0)</f>
        <v>0</v>
      </c>
      <c r="AF98" s="35" t="n">
        <f aca="false">IF(AB98=1,(X98-G$1030)^2,0)</f>
        <v>72.3109773853534</v>
      </c>
      <c r="AG98" s="35" t="n">
        <f aca="false">IF(AC98=1,(Y98-H$1030)^2,0)</f>
        <v>0</v>
      </c>
      <c r="AH98" s="35" t="n">
        <f aca="false">IF(AD98=1,(Z98-I$1030)^2,0)</f>
        <v>0</v>
      </c>
      <c r="AI98" s="35" t="n">
        <f aca="false">IF(AE98=1,(AA98-J$1030)^2,0)</f>
        <v>0</v>
      </c>
      <c r="AJ98" s="37" t="n">
        <f aca="true">IF(RAND()&lt;$D$6,1,0)</f>
        <v>0</v>
      </c>
      <c r="AK98" s="14" t="n">
        <f aca="false">AK97+IF((AJ98=1),IF((H98=0),1,0),0)</f>
        <v>0</v>
      </c>
      <c r="AL98" s="14" t="n">
        <f aca="false">AL97+IF((AJ98=1),IF((H98=1),1,0),0)</f>
        <v>0</v>
      </c>
      <c r="AM98" s="37" t="n">
        <f aca="false">IF(AK98=0,9999,IF($H98=0,IF($AJ98&lt;1,AM97+1,0),AM97))</f>
        <v>9999</v>
      </c>
      <c r="AN98" s="37" t="n">
        <f aca="false">IF(AL98=0,9999,IF($H98=1,IF($AJ98&lt;1,AN97+1,0),AN97))</f>
        <v>9999</v>
      </c>
      <c r="AO98" s="37" t="n">
        <f aca="false">IF($A98-AM98&gt;0,1/(1+AM98),0)</f>
        <v>0</v>
      </c>
      <c r="AP98" s="37" t="n">
        <f aca="false">IF($A98-AN98&gt;0,1/(1+AN98),0)</f>
        <v>0</v>
      </c>
      <c r="AQ98" s="7" t="n">
        <f aca="false">IF(AK98=0,0,MAX(MIN(1,AO98^Power),0))</f>
        <v>0</v>
      </c>
      <c r="AR98" s="7" t="n">
        <f aca="false">IF(AL98=0,0,MAX(MIN(1,AP98^Power),0))</f>
        <v>0</v>
      </c>
      <c r="AS98" s="7" t="n">
        <f aca="false">IF($AJ98=1,IF($H98=0,K98,AS97),AS97)</f>
        <v>0</v>
      </c>
      <c r="AT98" s="7" t="n">
        <f aca="false">IF($AJ98=1,IF($H98=1,N98,AT97),AT97)</f>
        <v>0</v>
      </c>
    </row>
    <row r="99" customFormat="false" ht="13" hidden="false" customHeight="false" outlineLevel="0" collapsed="false">
      <c r="A99" s="16" t="n">
        <v>82</v>
      </c>
      <c r="B99" s="37" t="n">
        <f aca="true">IF(RAND()&lt;$D$8,1,0)</f>
        <v>1</v>
      </c>
      <c r="C99" s="20" t="n">
        <f aca="true">-LN(RAND())/$D$2</f>
        <v>4.41934564209766</v>
      </c>
      <c r="D99" s="38" t="n">
        <f aca="false">D98+C99</f>
        <v>105.72575034438</v>
      </c>
      <c r="E99" s="39" t="n">
        <f aca="false">MAX($E$3,AS98)</f>
        <v>0</v>
      </c>
      <c r="F99" s="39" t="n">
        <f aca="false">MAX($E$3,AT98)</f>
        <v>0</v>
      </c>
      <c r="G99" s="40" t="n">
        <v>0.5</v>
      </c>
      <c r="H99" s="38" t="n">
        <f aca="true">IF((B99=1),(IF((F99&lt;E99),1,(IF((F99=E99),(IF(RAND()&lt;G99,1,0)),0)))),(IF((RAND()&lt;G99),1,0)))</f>
        <v>0</v>
      </c>
      <c r="I99" s="38" t="n">
        <f aca="true">IF((H99=1),0,$D$3+$D$5*(RAND()-0.5))</f>
        <v>2.21744263328253</v>
      </c>
      <c r="J99" s="38" t="n">
        <f aca="false">I99+MAX(D99,J98)</f>
        <v>107.943192977662</v>
      </c>
      <c r="K99" s="38" t="n">
        <f aca="false">IF((H99=0),J99-D99,0)</f>
        <v>2.21744263328253</v>
      </c>
      <c r="L99" s="38" t="n">
        <f aca="true">IF(($H99=0),0,$D$4+$D$5*(RAND()-0.5))</f>
        <v>0</v>
      </c>
      <c r="M99" s="38" t="n">
        <f aca="false">L99+MAX(D99,M98)</f>
        <v>115.949828230591</v>
      </c>
      <c r="N99" s="38" t="n">
        <f aca="false">IF((H99=1),M99-D99,0)</f>
        <v>0</v>
      </c>
      <c r="O99" s="16" t="n">
        <v>82</v>
      </c>
      <c r="P99" s="41" t="n">
        <f aca="false">IF((Arterial=0),P98+1,P98)</f>
        <v>36</v>
      </c>
      <c r="Q99" s="41" t="n">
        <f aca="false">IF((Arterial=1),Q98+1,Q98)</f>
        <v>46</v>
      </c>
      <c r="R99" s="42" t="e">
        <f aca="false">IF((RESET=1),0,R99+K99)</f>
        <v>#N/A</v>
      </c>
      <c r="S99" s="14" t="n">
        <f aca="false">IF(RESET=1,0,S99+N99)</f>
        <v>362.402840726214</v>
      </c>
      <c r="T99" s="2" t="e">
        <f aca="false">IF(RESET=1,0,T99+IF(H99=0,1,0))</f>
        <v>#N/A</v>
      </c>
      <c r="U99" s="2" t="n">
        <f aca="false">IF(RESET=1,0,U99+H99)</f>
        <v>41</v>
      </c>
      <c r="V99" s="14" t="e">
        <f aca="false">R99/(T99+0.00001)</f>
        <v>#N/A</v>
      </c>
      <c r="W99" s="14" t="n">
        <f aca="false">S99/(U99+0.0001)</f>
        <v>8.83907211753665</v>
      </c>
      <c r="X99" s="39" t="n">
        <f aca="false">IF(Informed=1,K99,0)</f>
        <v>2.21744263328253</v>
      </c>
      <c r="Y99" s="39" t="n">
        <f aca="false">IF(Informed=0,K99,0)</f>
        <v>0</v>
      </c>
      <c r="Z99" s="39" t="n">
        <f aca="false">IF(Informed=1,N99,0)</f>
        <v>0</v>
      </c>
      <c r="AA99" s="39" t="n">
        <f aca="false">IF(Informed=0,N99,0)</f>
        <v>0</v>
      </c>
      <c r="AB99" s="43" t="n">
        <f aca="false">IF(Arterial=0,IF(Informed=1,1,0),0)</f>
        <v>1</v>
      </c>
      <c r="AC99" s="43" t="n">
        <f aca="false">IF(Arterial=0,IF(Informed=0,1,0),0)</f>
        <v>0</v>
      </c>
      <c r="AD99" s="43" t="n">
        <f aca="false">IF(Arterial=1,IF(Informed=1,1,0),0)</f>
        <v>0</v>
      </c>
      <c r="AE99" s="43" t="n">
        <f aca="false">IF(Arterial=1,IF(Informed=0,1,0),0)</f>
        <v>0</v>
      </c>
      <c r="AF99" s="35" t="n">
        <f aca="false">IF(AB99=1,(X99-G$1030)^2,0)</f>
        <v>72.1180656302024</v>
      </c>
      <c r="AG99" s="35" t="n">
        <f aca="false">IF(AC99=1,(Y99-H$1030)^2,0)</f>
        <v>0</v>
      </c>
      <c r="AH99" s="35" t="n">
        <f aca="false">IF(AD99=1,(Z99-I$1030)^2,0)</f>
        <v>0</v>
      </c>
      <c r="AI99" s="35" t="n">
        <f aca="false">IF(AE99=1,(AA99-J$1030)^2,0)</f>
        <v>0</v>
      </c>
      <c r="AJ99" s="37" t="n">
        <f aca="true">IF(RAND()&lt;$D$6,1,0)</f>
        <v>0</v>
      </c>
      <c r="AK99" s="14" t="n">
        <f aca="false">AK98+IF((AJ99=1),IF((H99=0),1,0),0)</f>
        <v>0</v>
      </c>
      <c r="AL99" s="14" t="n">
        <f aca="false">AL98+IF((AJ99=1),IF((H99=1),1,0),0)</f>
        <v>0</v>
      </c>
      <c r="AM99" s="37" t="n">
        <f aca="false">IF(AK99=0,9999,IF($H99=0,IF($AJ99&lt;1,AM98+1,0),AM98))</f>
        <v>9999</v>
      </c>
      <c r="AN99" s="37" t="n">
        <f aca="false">IF(AL99=0,9999,IF($H99=1,IF($AJ99&lt;1,AN98+1,0),AN98))</f>
        <v>9999</v>
      </c>
      <c r="AO99" s="37" t="n">
        <f aca="false">IF($A99-AM99&gt;0,1/(1+AM99),0)</f>
        <v>0</v>
      </c>
      <c r="AP99" s="37" t="n">
        <f aca="false">IF($A99-AN99&gt;0,1/(1+AN99),0)</f>
        <v>0</v>
      </c>
      <c r="AQ99" s="7" t="n">
        <f aca="false">IF(AK99=0,0,MAX(MIN(1,AO99^Power),0))</f>
        <v>0</v>
      </c>
      <c r="AR99" s="7" t="n">
        <f aca="false">IF(AL99=0,0,MAX(MIN(1,AP99^Power),0))</f>
        <v>0</v>
      </c>
      <c r="AS99" s="7" t="n">
        <f aca="false">IF($AJ99=1,IF($H99=0,K99,AS98),AS98)</f>
        <v>0</v>
      </c>
      <c r="AT99" s="7" t="n">
        <f aca="false">IF($AJ99=1,IF($H99=1,N99,AT98),AT98)</f>
        <v>0</v>
      </c>
    </row>
    <row r="100" customFormat="false" ht="13" hidden="false" customHeight="false" outlineLevel="0" collapsed="false">
      <c r="A100" s="16" t="n">
        <v>83</v>
      </c>
      <c r="B100" s="37" t="n">
        <f aca="true">IF(RAND()&lt;$D$8,1,0)</f>
        <v>0</v>
      </c>
      <c r="C100" s="20" t="n">
        <f aca="true">-LN(RAND())/$D$2</f>
        <v>2.94088844978502</v>
      </c>
      <c r="D100" s="38" t="n">
        <f aca="false">D99+C100</f>
        <v>108.666638794165</v>
      </c>
      <c r="E100" s="39" t="n">
        <f aca="false">MAX($E$3,AS99)</f>
        <v>0</v>
      </c>
      <c r="F100" s="39" t="n">
        <f aca="false">MAX($E$3,AT99)</f>
        <v>0</v>
      </c>
      <c r="G100" s="40" t="n">
        <v>0.5</v>
      </c>
      <c r="H100" s="38" t="n">
        <f aca="true">IF((B100=1),(IF((F100&lt;E100),1,(IF((F100=E100),(IF(RAND()&lt;G100,1,0)),0)))),(IF((RAND()&lt;G100),1,0)))</f>
        <v>0</v>
      </c>
      <c r="I100" s="38" t="n">
        <f aca="true">IF((H100=1),0,$D$3+$D$5*(RAND()-0.5))</f>
        <v>2.18536183885973</v>
      </c>
      <c r="J100" s="38" t="n">
        <f aca="false">I100+MAX(D100,J99)</f>
        <v>110.852000633024</v>
      </c>
      <c r="K100" s="38" t="n">
        <f aca="false">IF((H100=0),J100-D100,0)</f>
        <v>2.18536183885973</v>
      </c>
      <c r="L100" s="38" t="n">
        <f aca="true">IF(($H100=0),0,$D$4+$D$5*(RAND()-0.5))</f>
        <v>0</v>
      </c>
      <c r="M100" s="38" t="n">
        <f aca="false">L100+MAX(D100,M99)</f>
        <v>115.949828230591</v>
      </c>
      <c r="N100" s="38" t="n">
        <f aca="false">IF((H100=1),M100-D100,0)</f>
        <v>0</v>
      </c>
      <c r="O100" s="16" t="n">
        <v>83</v>
      </c>
      <c r="P100" s="41" t="n">
        <f aca="false">IF((Arterial=0),P99+1,P99)</f>
        <v>37</v>
      </c>
      <c r="Q100" s="41" t="n">
        <f aca="false">IF((Arterial=1),Q99+1,Q99)</f>
        <v>46</v>
      </c>
      <c r="R100" s="42" t="e">
        <f aca="false">IF((RESET=1),0,R100+K100)</f>
        <v>#N/A</v>
      </c>
      <c r="S100" s="14" t="n">
        <f aca="false">IF(RESET=1,0,S100+N100)</f>
        <v>358.608079766807</v>
      </c>
      <c r="T100" s="2" t="e">
        <f aca="false">IF(RESET=1,0,T100+IF(H100=0,1,0))</f>
        <v>#N/A</v>
      </c>
      <c r="U100" s="2" t="n">
        <f aca="false">IF(RESET=1,0,U100+H100)</f>
        <v>41</v>
      </c>
      <c r="V100" s="14" t="e">
        <f aca="false">R100/(T100+0.00001)</f>
        <v>#N/A</v>
      </c>
      <c r="W100" s="14" t="n">
        <f aca="false">S100/(U100+0.0001)</f>
        <v>8.74651719792895</v>
      </c>
      <c r="X100" s="39" t="n">
        <f aca="false">IF(Informed=1,K100,0)</f>
        <v>0</v>
      </c>
      <c r="Y100" s="39" t="n">
        <f aca="false">IF(Informed=0,K100,0)</f>
        <v>2.18536183885973</v>
      </c>
      <c r="Z100" s="39" t="n">
        <f aca="false">IF(Informed=1,N100,0)</f>
        <v>0</v>
      </c>
      <c r="AA100" s="39" t="n">
        <f aca="false">IF(Informed=0,N100,0)</f>
        <v>0</v>
      </c>
      <c r="AB100" s="43" t="n">
        <f aca="false">IF(Arterial=0,IF(Informed=1,1,0),0)</f>
        <v>0</v>
      </c>
      <c r="AC100" s="43" t="n">
        <f aca="false">IF(Arterial=0,IF(Informed=0,1,0),0)</f>
        <v>1</v>
      </c>
      <c r="AD100" s="43" t="n">
        <f aca="false">IF(Arterial=1,IF(Informed=1,1,0),0)</f>
        <v>0</v>
      </c>
      <c r="AE100" s="43" t="n">
        <f aca="false">IF(Arterial=1,IF(Informed=0,1,0),0)</f>
        <v>0</v>
      </c>
      <c r="AF100" s="35" t="n">
        <f aca="false">IF(AB100=1,(X100-G$1030)^2,0)</f>
        <v>0</v>
      </c>
      <c r="AG100" s="35" t="n">
        <f aca="false">IF(AC100=1,(Y100-H$1030)^2,0)</f>
        <v>76.3600437249455</v>
      </c>
      <c r="AH100" s="35" t="n">
        <f aca="false">IF(AD100=1,(Z100-I$1030)^2,0)</f>
        <v>0</v>
      </c>
      <c r="AI100" s="35" t="n">
        <f aca="false">IF(AE100=1,(AA100-J$1030)^2,0)</f>
        <v>0</v>
      </c>
      <c r="AJ100" s="37" t="n">
        <f aca="true">IF(RAND()&lt;$D$6,1,0)</f>
        <v>0</v>
      </c>
      <c r="AK100" s="14" t="n">
        <f aca="false">AK99+IF((AJ100=1),IF((H100=0),1,0),0)</f>
        <v>0</v>
      </c>
      <c r="AL100" s="14" t="n">
        <f aca="false">AL99+IF((AJ100=1),IF((H100=1),1,0),0)</f>
        <v>0</v>
      </c>
      <c r="AM100" s="37" t="n">
        <f aca="false">IF(AK100=0,9999,IF($H100=0,IF($AJ100&lt;1,AM99+1,0),AM99))</f>
        <v>9999</v>
      </c>
      <c r="AN100" s="37" t="n">
        <f aca="false">IF(AL100=0,9999,IF($H100=1,IF($AJ100&lt;1,AN99+1,0),AN99))</f>
        <v>9999</v>
      </c>
      <c r="AO100" s="37" t="n">
        <f aca="false">IF($A100-AM100&gt;0,1/(1+AM100),0)</f>
        <v>0</v>
      </c>
      <c r="AP100" s="37" t="n">
        <f aca="false">IF($A100-AN100&gt;0,1/(1+AN100),0)</f>
        <v>0</v>
      </c>
      <c r="AQ100" s="7" t="n">
        <f aca="false">IF(AK100=0,0,MAX(MIN(1,AO100^Power),0))</f>
        <v>0</v>
      </c>
      <c r="AR100" s="7" t="n">
        <f aca="false">IF(AL100=0,0,MAX(MIN(1,AP100^Power),0))</f>
        <v>0</v>
      </c>
      <c r="AS100" s="7" t="n">
        <f aca="false">IF($AJ100=1,IF($H100=0,K100,AS99),AS99)</f>
        <v>0</v>
      </c>
      <c r="AT100" s="7" t="n">
        <f aca="false">IF($AJ100=1,IF($H100=1,N100,AT99),AT99)</f>
        <v>0</v>
      </c>
    </row>
    <row r="101" customFormat="false" ht="13" hidden="false" customHeight="false" outlineLevel="0" collapsed="false">
      <c r="A101" s="16" t="n">
        <v>84</v>
      </c>
      <c r="B101" s="37" t="n">
        <f aca="true">IF(RAND()&lt;$D$8,1,0)</f>
        <v>1</v>
      </c>
      <c r="C101" s="20" t="n">
        <f aca="true">-LN(RAND())/$D$2</f>
        <v>1.97060875375755</v>
      </c>
      <c r="D101" s="38" t="n">
        <f aca="false">D100+C101</f>
        <v>110.637247547922</v>
      </c>
      <c r="E101" s="39" t="n">
        <f aca="false">MAX($E$3,AS100)</f>
        <v>0</v>
      </c>
      <c r="F101" s="39" t="n">
        <f aca="false">MAX($E$3,AT100)</f>
        <v>0</v>
      </c>
      <c r="G101" s="40" t="n">
        <v>0.5</v>
      </c>
      <c r="H101" s="38" t="n">
        <f aca="true">IF((B101=1),(IF((F101&lt;E101),1,(IF((F101=E101),(IF(RAND()&lt;G101,1,0)),0)))),(IF((RAND()&lt;G101),1,0)))</f>
        <v>1</v>
      </c>
      <c r="I101" s="38" t="n">
        <f aca="true">IF((H101=1),0,$D$3+$D$5*(RAND()-0.5))</f>
        <v>0</v>
      </c>
      <c r="J101" s="38" t="n">
        <f aca="false">I101+MAX(D101,J100)</f>
        <v>110.852000633024</v>
      </c>
      <c r="K101" s="38" t="n">
        <f aca="false">IF((H101=0),J101-D101,0)</f>
        <v>0</v>
      </c>
      <c r="L101" s="38" t="n">
        <f aca="true">IF(($H101=0),0,$D$4+$D$5*(RAND()-0.5))</f>
        <v>1.87795962503319</v>
      </c>
      <c r="M101" s="38" t="n">
        <f aca="false">L101+MAX(D101,M100)</f>
        <v>117.827787855624</v>
      </c>
      <c r="N101" s="38" t="n">
        <f aca="false">IF((H101=1),M101-D101,0)</f>
        <v>7.19054030770238</v>
      </c>
      <c r="O101" s="16" t="n">
        <v>84</v>
      </c>
      <c r="P101" s="41" t="n">
        <f aca="false">IF((Arterial=0),P100+1,P100)</f>
        <v>37</v>
      </c>
      <c r="Q101" s="41" t="n">
        <f aca="false">IF((Arterial=1),Q100+1,Q100)</f>
        <v>47</v>
      </c>
      <c r="R101" s="42" t="n">
        <f aca="false">IF((RESET=1),0,R101+K101)</f>
        <v>372.655202573757</v>
      </c>
      <c r="S101" s="14" t="e">
        <f aca="false">IF(RESET=1,0,S101+N101)</f>
        <v>#N/A</v>
      </c>
      <c r="T101" s="2" t="n">
        <f aca="false">IF(RESET=1,0,T101+IF(H101=0,1,0))</f>
        <v>38</v>
      </c>
      <c r="U101" s="2" t="e">
        <f aca="false">IF(RESET=1,0,U101+H101)</f>
        <v>#N/A</v>
      </c>
      <c r="V101" s="14" t="n">
        <f aca="false">R101/(T101+0.00001)</f>
        <v>9.80671327649012</v>
      </c>
      <c r="W101" s="14" t="e">
        <f aca="false">S101/(U101+0.0001)</f>
        <v>#N/A</v>
      </c>
      <c r="X101" s="39" t="n">
        <f aca="false">IF(Informed=1,K101,0)</f>
        <v>0</v>
      </c>
      <c r="Y101" s="39" t="n">
        <f aca="false">IF(Informed=0,K101,0)</f>
        <v>0</v>
      </c>
      <c r="Z101" s="39" t="n">
        <f aca="false">IF(Informed=1,N101,0)</f>
        <v>7.19054030770238</v>
      </c>
      <c r="AA101" s="39" t="n">
        <f aca="false">IF(Informed=0,N101,0)</f>
        <v>0</v>
      </c>
      <c r="AB101" s="43" t="n">
        <f aca="false">IF(Arterial=0,IF(Informed=1,1,0),0)</f>
        <v>0</v>
      </c>
      <c r="AC101" s="43" t="n">
        <f aca="false">IF(Arterial=0,IF(Informed=0,1,0),0)</f>
        <v>0</v>
      </c>
      <c r="AD101" s="43" t="n">
        <f aca="false">IF(Arterial=1,IF(Informed=1,1,0),0)</f>
        <v>1</v>
      </c>
      <c r="AE101" s="43" t="n">
        <f aca="false">IF(Arterial=1,IF(Informed=0,1,0),0)</f>
        <v>0</v>
      </c>
      <c r="AF101" s="35" t="n">
        <f aca="false">IF(AB101=1,(X101-G$1030)^2,0)</f>
        <v>0</v>
      </c>
      <c r="AG101" s="35" t="n">
        <f aca="false">IF(AC101=1,(Y101-H$1030)^2,0)</f>
        <v>0</v>
      </c>
      <c r="AH101" s="35" t="n">
        <f aca="false">IF(AD101=1,(Z101-I$1030)^2,0)</f>
        <v>448.774332849812</v>
      </c>
      <c r="AI101" s="35" t="n">
        <f aca="false">IF(AE101=1,(AA101-J$1030)^2,0)</f>
        <v>0</v>
      </c>
      <c r="AJ101" s="37" t="n">
        <f aca="true">IF(RAND()&lt;$D$6,1,0)</f>
        <v>0</v>
      </c>
      <c r="AK101" s="14" t="n">
        <f aca="false">AK100+IF((AJ101=1),IF((H101=0),1,0),0)</f>
        <v>0</v>
      </c>
      <c r="AL101" s="14" t="n">
        <f aca="false">AL100+IF((AJ101=1),IF((H101=1),1,0),0)</f>
        <v>0</v>
      </c>
      <c r="AM101" s="37" t="n">
        <f aca="false">IF(AK101=0,9999,IF($H101=0,IF($AJ101&lt;1,AM100+1,0),AM100))</f>
        <v>9999</v>
      </c>
      <c r="AN101" s="37" t="n">
        <f aca="false">IF(AL101=0,9999,IF($H101=1,IF($AJ101&lt;1,AN100+1,0),AN100))</f>
        <v>9999</v>
      </c>
      <c r="AO101" s="37" t="n">
        <f aca="false">IF($A101-AM101&gt;0,1/(1+AM101),0)</f>
        <v>0</v>
      </c>
      <c r="AP101" s="37" t="n">
        <f aca="false">IF($A101-AN101&gt;0,1/(1+AN101),0)</f>
        <v>0</v>
      </c>
      <c r="AQ101" s="7" t="n">
        <f aca="false">IF(AK101=0,0,MAX(MIN(1,AO101^Power),0))</f>
        <v>0</v>
      </c>
      <c r="AR101" s="7" t="n">
        <f aca="false">IF(AL101=0,0,MAX(MIN(1,AP101^Power),0))</f>
        <v>0</v>
      </c>
      <c r="AS101" s="7" t="n">
        <f aca="false">IF($AJ101=1,IF($H101=0,K101,AS100),AS100)</f>
        <v>0</v>
      </c>
      <c r="AT101" s="7" t="n">
        <f aca="false">IF($AJ101=1,IF($H101=1,N101,AT100),AT100)</f>
        <v>0</v>
      </c>
    </row>
    <row r="102" customFormat="false" ht="13" hidden="false" customHeight="false" outlineLevel="0" collapsed="false">
      <c r="A102" s="16" t="n">
        <v>85</v>
      </c>
      <c r="B102" s="37" t="n">
        <f aca="true">IF(RAND()&lt;$D$8,1,0)</f>
        <v>0</v>
      </c>
      <c r="C102" s="20" t="n">
        <f aca="true">-LN(RAND())/$D$2</f>
        <v>3.24834077138794</v>
      </c>
      <c r="D102" s="38" t="n">
        <f aca="false">D101+C102</f>
        <v>113.88558831931</v>
      </c>
      <c r="E102" s="39" t="n">
        <f aca="false">MAX($E$3,AS101)</f>
        <v>0</v>
      </c>
      <c r="F102" s="39" t="n">
        <f aca="false">MAX($E$3,AT101)</f>
        <v>0</v>
      </c>
      <c r="G102" s="40" t="n">
        <v>0.5</v>
      </c>
      <c r="H102" s="38" t="n">
        <f aca="true">IF((B102=1),(IF((F102&lt;E102),1,(IF((F102=E102),(IF(RAND()&lt;G102,1,0)),0)))),(IF((RAND()&lt;G102),1,0)))</f>
        <v>1</v>
      </c>
      <c r="I102" s="38" t="n">
        <f aca="true">IF((H102=1),0,$D$3+$D$5*(RAND()-0.5))</f>
        <v>0</v>
      </c>
      <c r="J102" s="38" t="n">
        <f aca="false">I102+MAX(D102,J101)</f>
        <v>113.88558831931</v>
      </c>
      <c r="K102" s="38" t="n">
        <f aca="false">IF((H102=0),J102-D102,0)</f>
        <v>0</v>
      </c>
      <c r="L102" s="38" t="n">
        <f aca="true">IF(($H102=0),0,$D$4+$D$5*(RAND()-0.5))</f>
        <v>1.81318776191652</v>
      </c>
      <c r="M102" s="38" t="n">
        <f aca="false">L102+MAX(D102,M101)</f>
        <v>119.640975617541</v>
      </c>
      <c r="N102" s="38" t="n">
        <f aca="false">IF((H102=1),M102-D102,0)</f>
        <v>5.75538729823096</v>
      </c>
      <c r="O102" s="16" t="n">
        <v>85</v>
      </c>
      <c r="P102" s="41" t="n">
        <f aca="false">IF((Arterial=0),P101+1,P101)</f>
        <v>37</v>
      </c>
      <c r="Q102" s="41" t="n">
        <f aca="false">IF((Arterial=1),Q101+1,Q101)</f>
        <v>48</v>
      </c>
      <c r="R102" s="42" t="n">
        <f aca="false">IF((RESET=1),0,R102+K102)</f>
        <v>401.304697743533</v>
      </c>
      <c r="S102" s="14" t="e">
        <f aca="false">IF(RESET=1,0,S102+N102)</f>
        <v>#N/A</v>
      </c>
      <c r="T102" s="2" t="n">
        <f aca="false">IF(RESET=1,0,T102+IF(H102=0,1,0))</f>
        <v>39</v>
      </c>
      <c r="U102" s="2" t="e">
        <f aca="false">IF(RESET=1,0,U102+H102)</f>
        <v>#N/A</v>
      </c>
      <c r="V102" s="14" t="n">
        <f aca="false">R102/(T102+0.00001)</f>
        <v>10.28986140628</v>
      </c>
      <c r="W102" s="14" t="e">
        <f aca="false">S102/(U102+0.0001)</f>
        <v>#N/A</v>
      </c>
      <c r="X102" s="39" t="n">
        <f aca="false">IF(Informed=1,K102,0)</f>
        <v>0</v>
      </c>
      <c r="Y102" s="39" t="n">
        <f aca="false">IF(Informed=0,K102,0)</f>
        <v>0</v>
      </c>
      <c r="Z102" s="39" t="n">
        <f aca="false">IF(Informed=1,N102,0)</f>
        <v>0</v>
      </c>
      <c r="AA102" s="39" t="n">
        <f aca="false">IF(Informed=0,N102,0)</f>
        <v>5.75538729823096</v>
      </c>
      <c r="AB102" s="43" t="n">
        <f aca="false">IF(Arterial=0,IF(Informed=1,1,0),0)</f>
        <v>0</v>
      </c>
      <c r="AC102" s="43" t="n">
        <f aca="false">IF(Arterial=0,IF(Informed=0,1,0),0)</f>
        <v>0</v>
      </c>
      <c r="AD102" s="43" t="n">
        <f aca="false">IF(Arterial=1,IF(Informed=1,1,0),0)</f>
        <v>0</v>
      </c>
      <c r="AE102" s="43" t="n">
        <f aca="false">IF(Arterial=1,IF(Informed=0,1,0),0)</f>
        <v>1</v>
      </c>
      <c r="AF102" s="35" t="n">
        <f aca="false">IF(AB102=1,(X102-G$1030)^2,0)</f>
        <v>0</v>
      </c>
      <c r="AG102" s="35" t="n">
        <f aca="false">IF(AC102=1,(Y102-H$1030)^2,0)</f>
        <v>0</v>
      </c>
      <c r="AH102" s="35" t="n">
        <f aca="false">IF(AD102=1,(Z102-I$1030)^2,0)</f>
        <v>0</v>
      </c>
      <c r="AI102" s="35" t="n">
        <f aca="false">IF(AE102=1,(AA102-J$1030)^2,0)</f>
        <v>566.863133129537</v>
      </c>
      <c r="AJ102" s="37" t="n">
        <f aca="true">IF(RAND()&lt;$D$6,1,0)</f>
        <v>0</v>
      </c>
      <c r="AK102" s="14" t="n">
        <f aca="false">AK101+IF((AJ102=1),IF((H102=0),1,0),0)</f>
        <v>0</v>
      </c>
      <c r="AL102" s="14" t="n">
        <f aca="false">AL101+IF((AJ102=1),IF((H102=1),1,0),0)</f>
        <v>0</v>
      </c>
      <c r="AM102" s="37" t="n">
        <f aca="false">IF(AK102=0,9999,IF($H102=0,IF($AJ102&lt;1,AM101+1,0),AM101))</f>
        <v>9999</v>
      </c>
      <c r="AN102" s="37" t="n">
        <f aca="false">IF(AL102=0,9999,IF($H102=1,IF($AJ102&lt;1,AN101+1,0),AN101))</f>
        <v>9999</v>
      </c>
      <c r="AO102" s="37" t="n">
        <f aca="false">IF($A102-AM102&gt;0,1/(1+AM102),0)</f>
        <v>0</v>
      </c>
      <c r="AP102" s="37" t="n">
        <f aca="false">IF($A102-AN102&gt;0,1/(1+AN102),0)</f>
        <v>0</v>
      </c>
      <c r="AQ102" s="7" t="n">
        <f aca="false">IF(AK102=0,0,MAX(MIN(1,AO102^Power),0))</f>
        <v>0</v>
      </c>
      <c r="AR102" s="7" t="n">
        <f aca="false">IF(AL102=0,0,MAX(MIN(1,AP102^Power),0))</f>
        <v>0</v>
      </c>
      <c r="AS102" s="7" t="n">
        <f aca="false">IF($AJ102=1,IF($H102=0,K102,AS101),AS101)</f>
        <v>0</v>
      </c>
      <c r="AT102" s="7" t="n">
        <f aca="false">IF($AJ102=1,IF($H102=1,N102,AT101),AT101)</f>
        <v>0</v>
      </c>
    </row>
    <row r="103" customFormat="false" ht="13" hidden="false" customHeight="false" outlineLevel="0" collapsed="false">
      <c r="A103" s="16" t="n">
        <v>86</v>
      </c>
      <c r="B103" s="37" t="n">
        <f aca="true">IF(RAND()&lt;$D$8,1,0)</f>
        <v>0</v>
      </c>
      <c r="C103" s="20" t="n">
        <f aca="true">-LN(RAND())/$D$2</f>
        <v>1.29728317100261</v>
      </c>
      <c r="D103" s="38" t="n">
        <f aca="false">D102+C103</f>
        <v>115.182871490313</v>
      </c>
      <c r="E103" s="39" t="n">
        <f aca="false">MAX($E$3,AS102)</f>
        <v>0</v>
      </c>
      <c r="F103" s="39" t="n">
        <f aca="false">MAX($E$3,AT102)</f>
        <v>0</v>
      </c>
      <c r="G103" s="40" t="n">
        <v>0.5</v>
      </c>
      <c r="H103" s="38" t="n">
        <f aca="true">IF((B103=1),(IF((F103&lt;E103),1,(IF((F103=E103),(IF(RAND()&lt;G103,1,0)),0)))),(IF((RAND()&lt;G103),1,0)))</f>
        <v>1</v>
      </c>
      <c r="I103" s="38" t="n">
        <f aca="true">IF((H103=1),0,$D$3+$D$5*(RAND()-0.5))</f>
        <v>0</v>
      </c>
      <c r="J103" s="38" t="n">
        <f aca="false">I103+MAX(D103,J102)</f>
        <v>115.182871490313</v>
      </c>
      <c r="K103" s="38" t="n">
        <f aca="false">IF((H103=0),J103-D103,0)</f>
        <v>0</v>
      </c>
      <c r="L103" s="38" t="n">
        <f aca="true">IF(($H103=0),0,$D$4+$D$5*(RAND()-0.5))</f>
        <v>2.13970340852573</v>
      </c>
      <c r="M103" s="38" t="n">
        <f aca="false">L103+MAX(D103,M102)</f>
        <v>121.780679026067</v>
      </c>
      <c r="N103" s="38" t="n">
        <f aca="false">IF((H103=1),M103-D103,0)</f>
        <v>6.59780753575409</v>
      </c>
      <c r="O103" s="16" t="n">
        <v>86</v>
      </c>
      <c r="P103" s="41" t="n">
        <f aca="false">IF((Arterial=0),P102+1,P102)</f>
        <v>37</v>
      </c>
      <c r="Q103" s="41" t="n">
        <f aca="false">IF((Arterial=1),Q102+1,Q102)</f>
        <v>49</v>
      </c>
      <c r="R103" s="42" t="n">
        <f aca="false">IF((RESET=1),0,R103+K103)</f>
        <v>286.535285249305</v>
      </c>
      <c r="S103" s="14" t="e">
        <f aca="false">IF(RESET=1,0,S103+N103)</f>
        <v>#N/A</v>
      </c>
      <c r="T103" s="2" t="n">
        <f aca="false">IF(RESET=1,0,T103+IF(H103=0,1,0))</f>
        <v>42</v>
      </c>
      <c r="U103" s="2" t="e">
        <f aca="false">IF(RESET=1,0,U103+H103)</f>
        <v>#N/A</v>
      </c>
      <c r="V103" s="14" t="n">
        <f aca="false">R103/(T103+0.00001)</f>
        <v>6.82226707206271</v>
      </c>
      <c r="W103" s="14" t="e">
        <f aca="false">S103/(U103+0.0001)</f>
        <v>#N/A</v>
      </c>
      <c r="X103" s="39" t="n">
        <f aca="false">IF(Informed=1,K103,0)</f>
        <v>0</v>
      </c>
      <c r="Y103" s="39" t="n">
        <f aca="false">IF(Informed=0,K103,0)</f>
        <v>0</v>
      </c>
      <c r="Z103" s="39" t="n">
        <f aca="false">IF(Informed=1,N103,0)</f>
        <v>0</v>
      </c>
      <c r="AA103" s="39" t="n">
        <f aca="false">IF(Informed=0,N103,0)</f>
        <v>6.59780753575409</v>
      </c>
      <c r="AB103" s="43" t="n">
        <f aca="false">IF(Arterial=0,IF(Informed=1,1,0),0)</f>
        <v>0</v>
      </c>
      <c r="AC103" s="43" t="n">
        <f aca="false">IF(Arterial=0,IF(Informed=0,1,0),0)</f>
        <v>0</v>
      </c>
      <c r="AD103" s="43" t="n">
        <f aca="false">IF(Arterial=1,IF(Informed=1,1,0),0)</f>
        <v>0</v>
      </c>
      <c r="AE103" s="43" t="n">
        <f aca="false">IF(Arterial=1,IF(Informed=0,1,0),0)</f>
        <v>1</v>
      </c>
      <c r="AF103" s="35" t="n">
        <f aca="false">IF(AB103=1,(X103-G$1030)^2,0)</f>
        <v>0</v>
      </c>
      <c r="AG103" s="35" t="n">
        <f aca="false">IF(AC103=1,(Y103-H$1030)^2,0)</f>
        <v>0</v>
      </c>
      <c r="AH103" s="35" t="n">
        <f aca="false">IF(AD103=1,(Z103-I$1030)^2,0)</f>
        <v>0</v>
      </c>
      <c r="AI103" s="35" t="n">
        <f aca="false">IF(AE103=1,(AA103-J$1030)^2,0)</f>
        <v>527.458627336839</v>
      </c>
      <c r="AJ103" s="37" t="n">
        <f aca="true">IF(RAND()&lt;$D$6,1,0)</f>
        <v>0</v>
      </c>
      <c r="AK103" s="14" t="n">
        <f aca="false">AK102+IF((AJ103=1),IF((H103=0),1,0),0)</f>
        <v>0</v>
      </c>
      <c r="AL103" s="14" t="n">
        <f aca="false">AL102+IF((AJ103=1),IF((H103=1),1,0),0)</f>
        <v>0</v>
      </c>
      <c r="AM103" s="37" t="n">
        <f aca="false">IF(AK103=0,9999,IF($H103=0,IF($AJ103&lt;1,AM102+1,0),AM102))</f>
        <v>9999</v>
      </c>
      <c r="AN103" s="37" t="n">
        <f aca="false">IF(AL103=0,9999,IF($H103=1,IF($AJ103&lt;1,AN102+1,0),AN102))</f>
        <v>9999</v>
      </c>
      <c r="AO103" s="37" t="n">
        <f aca="false">IF($A103-AM103&gt;0,1/(1+AM103),0)</f>
        <v>0</v>
      </c>
      <c r="AP103" s="37" t="n">
        <f aca="false">IF($A103-AN103&gt;0,1/(1+AN103),0)</f>
        <v>0</v>
      </c>
      <c r="AQ103" s="7" t="n">
        <f aca="false">IF(AK103=0,0,MAX(MIN(1,AO103^Power),0))</f>
        <v>0</v>
      </c>
      <c r="AR103" s="7" t="n">
        <f aca="false">IF(AL103=0,0,MAX(MIN(1,AP103^Power),0))</f>
        <v>0</v>
      </c>
      <c r="AS103" s="7" t="n">
        <f aca="false">IF($AJ103=1,IF($H103=0,K103,AS102),AS102)</f>
        <v>0</v>
      </c>
      <c r="AT103" s="7" t="n">
        <f aca="false">IF($AJ103=1,IF($H103=1,N103,AT102),AT102)</f>
        <v>0</v>
      </c>
    </row>
    <row r="104" customFormat="false" ht="13" hidden="false" customHeight="false" outlineLevel="0" collapsed="false">
      <c r="A104" s="16" t="n">
        <v>87</v>
      </c>
      <c r="B104" s="37" t="n">
        <f aca="true">IF(RAND()&lt;$D$8,1,0)</f>
        <v>1</v>
      </c>
      <c r="C104" s="20" t="n">
        <f aca="true">-LN(RAND())/$D$2</f>
        <v>2.78575699981005</v>
      </c>
      <c r="D104" s="38" t="n">
        <f aca="false">D103+C104</f>
        <v>117.968628490123</v>
      </c>
      <c r="E104" s="39" t="n">
        <f aca="false">MAX($E$3,AS103)</f>
        <v>0</v>
      </c>
      <c r="F104" s="39" t="n">
        <f aca="false">MAX($E$3,AT103)</f>
        <v>0</v>
      </c>
      <c r="G104" s="40" t="n">
        <v>0.5</v>
      </c>
      <c r="H104" s="38" t="n">
        <f aca="true">IF((B104=1),(IF((F104&lt;E104),1,(IF((F104=E104),(IF(RAND()&lt;G104,1,0)),0)))),(IF((RAND()&lt;G104),1,0)))</f>
        <v>1</v>
      </c>
      <c r="I104" s="38" t="n">
        <f aca="true">IF((H104=1),0,$D$3+$D$5*(RAND()-0.5))</f>
        <v>0</v>
      </c>
      <c r="J104" s="38" t="n">
        <f aca="false">I104+MAX(D104,J103)</f>
        <v>117.968628490123</v>
      </c>
      <c r="K104" s="38" t="n">
        <f aca="false">IF((H104=0),J104-D104,0)</f>
        <v>0</v>
      </c>
      <c r="L104" s="38" t="n">
        <f aca="true">IF(($H104=0),0,$D$4+$D$5*(RAND()-0.5))</f>
        <v>2.23917735666309</v>
      </c>
      <c r="M104" s="38" t="n">
        <f aca="false">L104+MAX(D104,M103)</f>
        <v>124.01985638273</v>
      </c>
      <c r="N104" s="38" t="n">
        <f aca="false">IF((H104=1),M104-D104,0)</f>
        <v>6.05122789260713</v>
      </c>
      <c r="O104" s="16" t="n">
        <v>87</v>
      </c>
      <c r="P104" s="41" t="n">
        <f aca="false">IF((Arterial=0),P103+1,P103)</f>
        <v>37</v>
      </c>
      <c r="Q104" s="41" t="n">
        <f aca="false">IF((Arterial=1),Q103+1,Q103)</f>
        <v>50</v>
      </c>
      <c r="R104" s="42" t="n">
        <f aca="false">IF((RESET=1),0,R104+K104)</f>
        <v>442.925264060132</v>
      </c>
      <c r="S104" s="14" t="e">
        <f aca="false">IF(RESET=1,0,S104+N104)</f>
        <v>#N/A</v>
      </c>
      <c r="T104" s="2" t="n">
        <f aca="false">IF(RESET=1,0,T104+IF(H104=0,1,0))</f>
        <v>47</v>
      </c>
      <c r="U104" s="2" t="e">
        <f aca="false">IF(RESET=1,0,U104+H104)</f>
        <v>#N/A</v>
      </c>
      <c r="V104" s="14" t="n">
        <f aca="false">R104/(T104+0.00001)</f>
        <v>9.42393978341988</v>
      </c>
      <c r="W104" s="14" t="e">
        <f aca="false">S104/(U104+0.0001)</f>
        <v>#N/A</v>
      </c>
      <c r="X104" s="39" t="n">
        <f aca="false">IF(Informed=1,K104,0)</f>
        <v>0</v>
      </c>
      <c r="Y104" s="39" t="n">
        <f aca="false">IF(Informed=0,K104,0)</f>
        <v>0</v>
      </c>
      <c r="Z104" s="39" t="n">
        <f aca="false">IF(Informed=1,N104,0)</f>
        <v>6.05122789260713</v>
      </c>
      <c r="AA104" s="39" t="n">
        <f aca="false">IF(Informed=0,N104,0)</f>
        <v>0</v>
      </c>
      <c r="AB104" s="43" t="n">
        <f aca="false">IF(Arterial=0,IF(Informed=1,1,0),0)</f>
        <v>0</v>
      </c>
      <c r="AC104" s="43" t="n">
        <f aca="false">IF(Arterial=0,IF(Informed=0,1,0),0)</f>
        <v>0</v>
      </c>
      <c r="AD104" s="43" t="n">
        <f aca="false">IF(Arterial=1,IF(Informed=1,1,0),0)</f>
        <v>1</v>
      </c>
      <c r="AE104" s="43" t="n">
        <f aca="false">IF(Arterial=1,IF(Informed=0,1,0),0)</f>
        <v>0</v>
      </c>
      <c r="AF104" s="35" t="n">
        <f aca="false">IF(AB104=1,(X104-G$1030)^2,0)</f>
        <v>0</v>
      </c>
      <c r="AG104" s="35" t="n">
        <f aca="false">IF(AC104=1,(Y104-H$1030)^2,0)</f>
        <v>0</v>
      </c>
      <c r="AH104" s="35" t="n">
        <f aca="false">IF(AD104=1,(Z104-I$1030)^2,0)</f>
        <v>498.343425053807</v>
      </c>
      <c r="AI104" s="35" t="n">
        <f aca="false">IF(AE104=1,(AA104-J$1030)^2,0)</f>
        <v>0</v>
      </c>
      <c r="AJ104" s="37" t="n">
        <f aca="true">IF(RAND()&lt;$D$6,1,0)</f>
        <v>0</v>
      </c>
      <c r="AK104" s="14" t="n">
        <f aca="false">AK103+IF((AJ104=1),IF((H104=0),1,0),0)</f>
        <v>0</v>
      </c>
      <c r="AL104" s="14" t="n">
        <f aca="false">AL103+IF((AJ104=1),IF((H104=1),1,0),0)</f>
        <v>0</v>
      </c>
      <c r="AM104" s="37" t="n">
        <f aca="false">IF(AK104=0,9999,IF($H104=0,IF($AJ104&lt;1,AM103+1,0),AM103))</f>
        <v>9999</v>
      </c>
      <c r="AN104" s="37" t="n">
        <f aca="false">IF(AL104=0,9999,IF($H104=1,IF($AJ104&lt;1,AN103+1,0),AN103))</f>
        <v>9999</v>
      </c>
      <c r="AO104" s="37" t="n">
        <f aca="false">IF($A104-AM104&gt;0,1/(1+AM104),0)</f>
        <v>0</v>
      </c>
      <c r="AP104" s="37" t="n">
        <f aca="false">IF($A104-AN104&gt;0,1/(1+AN104),0)</f>
        <v>0</v>
      </c>
      <c r="AQ104" s="7" t="n">
        <f aca="false">IF(AK104=0,0,MAX(MIN(1,AO104^Power),0))</f>
        <v>0</v>
      </c>
      <c r="AR104" s="7" t="n">
        <f aca="false">IF(AL104=0,0,MAX(MIN(1,AP104^Power),0))</f>
        <v>0</v>
      </c>
      <c r="AS104" s="7" t="n">
        <f aca="false">IF($AJ104=1,IF($H104=0,K104,AS103),AS103)</f>
        <v>0</v>
      </c>
      <c r="AT104" s="7" t="n">
        <f aca="false">IF($AJ104=1,IF($H104=1,N104,AT103),AT103)</f>
        <v>0</v>
      </c>
    </row>
    <row r="105" customFormat="false" ht="13" hidden="false" customHeight="false" outlineLevel="0" collapsed="false">
      <c r="A105" s="16" t="n">
        <v>88</v>
      </c>
      <c r="B105" s="37" t="n">
        <f aca="true">IF(RAND()&lt;$D$8,1,0)</f>
        <v>1</v>
      </c>
      <c r="C105" s="20" t="n">
        <f aca="true">-LN(RAND())/$D$2</f>
        <v>0.748291354879235</v>
      </c>
      <c r="D105" s="38" t="n">
        <f aca="false">D104+C105</f>
        <v>118.716919845002</v>
      </c>
      <c r="E105" s="39" t="n">
        <f aca="false">MAX($E$3,AS104)</f>
        <v>0</v>
      </c>
      <c r="F105" s="39" t="n">
        <f aca="false">MAX($E$3,AT104)</f>
        <v>0</v>
      </c>
      <c r="G105" s="40" t="n">
        <v>0.5</v>
      </c>
      <c r="H105" s="38" t="n">
        <f aca="true">IF((B105=1),(IF((F105&lt;E105),1,(IF((F105=E105),(IF(RAND()&lt;G105,1,0)),0)))),(IF((RAND()&lt;G105),1,0)))</f>
        <v>0</v>
      </c>
      <c r="I105" s="38" t="n">
        <f aca="true">IF((H105=1),0,$D$3+$D$5*(RAND()-0.5))</f>
        <v>1.82199747516954</v>
      </c>
      <c r="J105" s="38" t="n">
        <f aca="false">I105+MAX(D105,J104)</f>
        <v>120.538917320171</v>
      </c>
      <c r="K105" s="38" t="n">
        <f aca="false">IF((H105=0),J105-D105,0)</f>
        <v>1.82199747516954</v>
      </c>
      <c r="L105" s="38" t="n">
        <f aca="true">IF(($H105=0),0,$D$4+$D$5*(RAND()-0.5))</f>
        <v>0</v>
      </c>
      <c r="M105" s="38" t="n">
        <f aca="false">L105+MAX(D105,M104)</f>
        <v>124.01985638273</v>
      </c>
      <c r="N105" s="38" t="n">
        <f aca="false">IF((H105=1),M105-D105,0)</f>
        <v>0</v>
      </c>
      <c r="O105" s="16" t="n">
        <v>88</v>
      </c>
      <c r="P105" s="41" t="n">
        <f aca="false">IF((Arterial=0),P104+1,P104)</f>
        <v>38</v>
      </c>
      <c r="Q105" s="41" t="n">
        <f aca="false">IF((Arterial=1),Q104+1,Q104)</f>
        <v>50</v>
      </c>
      <c r="R105" s="42" t="e">
        <f aca="false">IF((RESET=1),0,R105+K105)</f>
        <v>#N/A</v>
      </c>
      <c r="S105" s="14" t="n">
        <f aca="false">IF(RESET=1,0,S105+N105)</f>
        <v>366.476944688832</v>
      </c>
      <c r="T105" s="2" t="e">
        <f aca="false">IF(RESET=1,0,T105+IF(H105=0,1,0))</f>
        <v>#N/A</v>
      </c>
      <c r="U105" s="2" t="n">
        <f aca="false">IF(RESET=1,0,U105+H105)</f>
        <v>38</v>
      </c>
      <c r="V105" s="14" t="e">
        <f aca="false">R105/(T105+0.00001)</f>
        <v>#N/A</v>
      </c>
      <c r="W105" s="14" t="n">
        <f aca="false">S105/(U105+0.0001)</f>
        <v>9.6441047441673</v>
      </c>
      <c r="X105" s="39" t="n">
        <f aca="false">IF(Informed=1,K105,0)</f>
        <v>1.82199747516954</v>
      </c>
      <c r="Y105" s="39" t="n">
        <f aca="false">IF(Informed=0,K105,0)</f>
        <v>0</v>
      </c>
      <c r="Z105" s="39" t="n">
        <f aca="false">IF(Informed=1,N105,0)</f>
        <v>0</v>
      </c>
      <c r="AA105" s="39" t="n">
        <f aca="false">IF(Informed=0,N105,0)</f>
        <v>0</v>
      </c>
      <c r="AB105" s="43" t="n">
        <f aca="false">IF(Arterial=0,IF(Informed=1,1,0),0)</f>
        <v>1</v>
      </c>
      <c r="AC105" s="43" t="n">
        <f aca="false">IF(Arterial=0,IF(Informed=0,1,0),0)</f>
        <v>0</v>
      </c>
      <c r="AD105" s="43" t="n">
        <f aca="false">IF(Arterial=1,IF(Informed=1,1,0),0)</f>
        <v>0</v>
      </c>
      <c r="AE105" s="43" t="n">
        <f aca="false">IF(Arterial=1,IF(Informed=0,1,0),0)</f>
        <v>0</v>
      </c>
      <c r="AF105" s="35" t="n">
        <f aca="false">IF(AB105=1,(X105-G$1030)^2,0)</f>
        <v>78.9908694091461</v>
      </c>
      <c r="AG105" s="35" t="n">
        <f aca="false">IF(AC105=1,(Y105-H$1030)^2,0)</f>
        <v>0</v>
      </c>
      <c r="AH105" s="35" t="n">
        <f aca="false">IF(AD105=1,(Z105-I$1030)^2,0)</f>
        <v>0</v>
      </c>
      <c r="AI105" s="35" t="n">
        <f aca="false">IF(AE105=1,(AA105-J$1030)^2,0)</f>
        <v>0</v>
      </c>
      <c r="AJ105" s="37" t="n">
        <f aca="true">IF(RAND()&lt;$D$6,1,0)</f>
        <v>0</v>
      </c>
      <c r="AK105" s="14" t="n">
        <f aca="false">AK104+IF((AJ105=1),IF((H105=0),1,0),0)</f>
        <v>0</v>
      </c>
      <c r="AL105" s="14" t="n">
        <f aca="false">AL104+IF((AJ105=1),IF((H105=1),1,0),0)</f>
        <v>0</v>
      </c>
      <c r="AM105" s="37" t="n">
        <f aca="false">IF(AK105=0,9999,IF($H105=0,IF($AJ105&lt;1,AM104+1,0),AM104))</f>
        <v>9999</v>
      </c>
      <c r="AN105" s="37" t="n">
        <f aca="false">IF(AL105=0,9999,IF($H105=1,IF($AJ105&lt;1,AN104+1,0),AN104))</f>
        <v>9999</v>
      </c>
      <c r="AO105" s="37" t="n">
        <f aca="false">IF($A105-AM105&gt;0,1/(1+AM105),0)</f>
        <v>0</v>
      </c>
      <c r="AP105" s="37" t="n">
        <f aca="false">IF($A105-AN105&gt;0,1/(1+AN105),0)</f>
        <v>0</v>
      </c>
      <c r="AQ105" s="7" t="n">
        <f aca="false">IF(AK105=0,0,MAX(MIN(1,AO105^Power),0))</f>
        <v>0</v>
      </c>
      <c r="AR105" s="7" t="n">
        <f aca="false">IF(AL105=0,0,MAX(MIN(1,AP105^Power),0))</f>
        <v>0</v>
      </c>
      <c r="AS105" s="7" t="n">
        <f aca="false">IF($AJ105=1,IF($H105=0,K105,AS104),AS104)</f>
        <v>0</v>
      </c>
      <c r="AT105" s="7" t="n">
        <f aca="false">IF($AJ105=1,IF($H105=1,N105,AT104),AT104)</f>
        <v>0</v>
      </c>
    </row>
    <row r="106" customFormat="false" ht="13" hidden="false" customHeight="false" outlineLevel="0" collapsed="false">
      <c r="A106" s="16" t="n">
        <v>89</v>
      </c>
      <c r="B106" s="37" t="n">
        <f aca="true">IF(RAND()&lt;$D$8,1,0)</f>
        <v>0</v>
      </c>
      <c r="C106" s="20" t="n">
        <f aca="true">-LN(RAND())/$D$2</f>
        <v>1.53575911549306</v>
      </c>
      <c r="D106" s="38" t="n">
        <f aca="false">D105+C106</f>
        <v>120.252678960495</v>
      </c>
      <c r="E106" s="39" t="n">
        <f aca="false">MAX($E$3,AS105)</f>
        <v>0</v>
      </c>
      <c r="F106" s="39" t="n">
        <f aca="false">MAX($E$3,AT105)</f>
        <v>0</v>
      </c>
      <c r="G106" s="40" t="n">
        <v>0.5</v>
      </c>
      <c r="H106" s="38" t="n">
        <f aca="true">IF((B106=1),(IF((F106&lt;E106),1,(IF((F106=E106),(IF(RAND()&lt;G106,1,0)),0)))),(IF((RAND()&lt;G106),1,0)))</f>
        <v>1</v>
      </c>
      <c r="I106" s="38" t="n">
        <f aca="true">IF((H106=1),0,$D$3+$D$5*(RAND()-0.5))</f>
        <v>0</v>
      </c>
      <c r="J106" s="38" t="n">
        <f aca="false">I106+MAX(D106,J105)</f>
        <v>120.538917320171</v>
      </c>
      <c r="K106" s="38" t="n">
        <f aca="false">IF((H106=0),J106-D106,0)</f>
        <v>0</v>
      </c>
      <c r="L106" s="38" t="n">
        <f aca="true">IF(($H106=0),0,$D$4+$D$5*(RAND()-0.5))</f>
        <v>2.01339956143876</v>
      </c>
      <c r="M106" s="38" t="n">
        <f aca="false">L106+MAX(D106,M105)</f>
        <v>126.033255944169</v>
      </c>
      <c r="N106" s="38" t="n">
        <f aca="false">IF((H106=1),M106-D106,0)</f>
        <v>5.7805769836736</v>
      </c>
      <c r="O106" s="16" t="n">
        <v>89</v>
      </c>
      <c r="P106" s="41" t="n">
        <f aca="false">IF((Arterial=0),P105+1,P105)</f>
        <v>38</v>
      </c>
      <c r="Q106" s="41" t="n">
        <f aca="false">IF((Arterial=1),Q105+1,Q105)</f>
        <v>51</v>
      </c>
      <c r="R106" s="42" t="n">
        <f aca="false">IF((RESET=1),0,R106+K106)</f>
        <v>401.771641312305</v>
      </c>
      <c r="S106" s="14" t="e">
        <f aca="false">IF(RESET=1,0,S106+N106)</f>
        <v>#N/A</v>
      </c>
      <c r="T106" s="2" t="n">
        <f aca="false">IF(RESET=1,0,T106+IF(H106=0,1,0))</f>
        <v>43</v>
      </c>
      <c r="U106" s="2" t="e">
        <f aca="false">IF(RESET=1,0,U106+H106)</f>
        <v>#N/A</v>
      </c>
      <c r="V106" s="14" t="n">
        <f aca="false">R106/(T106+0.00001)</f>
        <v>9.34352436923397</v>
      </c>
      <c r="W106" s="14" t="e">
        <f aca="false">S106/(U106+0.0001)</f>
        <v>#N/A</v>
      </c>
      <c r="X106" s="39" t="n">
        <f aca="false">IF(Informed=1,K106,0)</f>
        <v>0</v>
      </c>
      <c r="Y106" s="39" t="n">
        <f aca="false">IF(Informed=0,K106,0)</f>
        <v>0</v>
      </c>
      <c r="Z106" s="39" t="n">
        <f aca="false">IF(Informed=1,N106,0)</f>
        <v>0</v>
      </c>
      <c r="AA106" s="39" t="n">
        <f aca="false">IF(Informed=0,N106,0)</f>
        <v>5.7805769836736</v>
      </c>
      <c r="AB106" s="43" t="n">
        <f aca="false">IF(Arterial=0,IF(Informed=1,1,0),0)</f>
        <v>0</v>
      </c>
      <c r="AC106" s="43" t="n">
        <f aca="false">IF(Arterial=0,IF(Informed=0,1,0),0)</f>
        <v>0</v>
      </c>
      <c r="AD106" s="43" t="n">
        <f aca="false">IF(Arterial=1,IF(Informed=1,1,0),0)</f>
        <v>0</v>
      </c>
      <c r="AE106" s="43" t="n">
        <f aca="false">IF(Arterial=1,IF(Informed=0,1,0),0)</f>
        <v>1</v>
      </c>
      <c r="AF106" s="35" t="n">
        <f aca="false">IF(AB106=1,(X106-G$1030)^2,0)</f>
        <v>0</v>
      </c>
      <c r="AG106" s="35" t="n">
        <f aca="false">IF(AC106=1,(Y106-H$1030)^2,0)</f>
        <v>0</v>
      </c>
      <c r="AH106" s="35" t="n">
        <f aca="false">IF(AD106=1,(Z106-I$1030)^2,0)</f>
        <v>0</v>
      </c>
      <c r="AI106" s="35" t="n">
        <f aca="false">IF(AE106=1,(AA106-J$1030)^2,0)</f>
        <v>565.664290866389</v>
      </c>
      <c r="AJ106" s="37" t="n">
        <f aca="true">IF(RAND()&lt;$D$6,1,0)</f>
        <v>0</v>
      </c>
      <c r="AK106" s="14" t="n">
        <f aca="false">AK105+IF((AJ106=1),IF((H106=0),1,0),0)</f>
        <v>0</v>
      </c>
      <c r="AL106" s="14" t="n">
        <f aca="false">AL105+IF((AJ106=1),IF((H106=1),1,0),0)</f>
        <v>0</v>
      </c>
      <c r="AM106" s="37" t="n">
        <f aca="false">IF(AK106=0,9999,IF($H106=0,IF($AJ106&lt;1,AM105+1,0),AM105))</f>
        <v>9999</v>
      </c>
      <c r="AN106" s="37" t="n">
        <f aca="false">IF(AL106=0,9999,IF($H106=1,IF($AJ106&lt;1,AN105+1,0),AN105))</f>
        <v>9999</v>
      </c>
      <c r="AO106" s="37" t="n">
        <f aca="false">IF($A106-AM106&gt;0,1/(1+AM106),0)</f>
        <v>0</v>
      </c>
      <c r="AP106" s="37" t="n">
        <f aca="false">IF($A106-AN106&gt;0,1/(1+AN106),0)</f>
        <v>0</v>
      </c>
      <c r="AQ106" s="7" t="n">
        <f aca="false">IF(AK106=0,0,MAX(MIN(1,AO106^Power),0))</f>
        <v>0</v>
      </c>
      <c r="AR106" s="7" t="n">
        <f aca="false">IF(AL106=0,0,MAX(MIN(1,AP106^Power),0))</f>
        <v>0</v>
      </c>
      <c r="AS106" s="7" t="n">
        <f aca="false">IF($AJ106=1,IF($H106=0,K106,AS105),AS105)</f>
        <v>0</v>
      </c>
      <c r="AT106" s="7" t="n">
        <f aca="false">IF($AJ106=1,IF($H106=1,N106,AT105),AT105)</f>
        <v>0</v>
      </c>
    </row>
    <row r="107" customFormat="false" ht="13" hidden="false" customHeight="false" outlineLevel="0" collapsed="false">
      <c r="A107" s="16" t="n">
        <v>90</v>
      </c>
      <c r="B107" s="37" t="n">
        <f aca="true">IF(RAND()&lt;$D$8,1,0)</f>
        <v>1</v>
      </c>
      <c r="C107" s="20" t="n">
        <f aca="true">-LN(RAND())/$D$2</f>
        <v>0.717115695987453</v>
      </c>
      <c r="D107" s="38" t="n">
        <f aca="false">D106+C107</f>
        <v>120.969794656482</v>
      </c>
      <c r="E107" s="39" t="n">
        <f aca="false">MAX($E$3,AS106)</f>
        <v>0</v>
      </c>
      <c r="F107" s="39" t="n">
        <f aca="false">MAX($E$3,AT106)</f>
        <v>0</v>
      </c>
      <c r="G107" s="40" t="n">
        <v>0.5</v>
      </c>
      <c r="H107" s="38" t="n">
        <f aca="true">IF((B107=1),(IF((F107&lt;E107),1,(IF((F107=E107),(IF(RAND()&lt;G107,1,0)),0)))),(IF((RAND()&lt;G107),1,0)))</f>
        <v>0</v>
      </c>
      <c r="I107" s="38" t="n">
        <f aca="true">IF((H107=1),0,$D$3+$D$5*(RAND()-0.5))</f>
        <v>2.20159993423967</v>
      </c>
      <c r="J107" s="38" t="n">
        <f aca="false">I107+MAX(D107,J106)</f>
        <v>123.171394590722</v>
      </c>
      <c r="K107" s="38" t="n">
        <f aca="false">IF((H107=0),J107-D107,0)</f>
        <v>2.20159993423967</v>
      </c>
      <c r="L107" s="38" t="n">
        <f aca="true">IF(($H107=0),0,$D$4+$D$5*(RAND()-0.5))</f>
        <v>0</v>
      </c>
      <c r="M107" s="38" t="n">
        <f aca="false">L107+MAX(D107,M106)</f>
        <v>126.033255944169</v>
      </c>
      <c r="N107" s="38" t="n">
        <f aca="false">IF((H107=1),M107-D107,0)</f>
        <v>0</v>
      </c>
      <c r="O107" s="16" t="n">
        <v>90</v>
      </c>
      <c r="P107" s="41" t="n">
        <f aca="false">IF((Arterial=0),P106+1,P106)</f>
        <v>39</v>
      </c>
      <c r="Q107" s="41" t="n">
        <f aca="false">IF((Arterial=1),Q106+1,Q106)</f>
        <v>51</v>
      </c>
      <c r="R107" s="42" t="e">
        <f aca="false">IF((RESET=1),0,R107+K107)</f>
        <v>#N/A</v>
      </c>
      <c r="S107" s="14" t="n">
        <f aca="false">IF(RESET=1,0,S107+N107)</f>
        <v>280.958968024984</v>
      </c>
      <c r="T107" s="2" t="e">
        <f aca="false">IF(RESET=1,0,T107+IF(H107=0,1,0))</f>
        <v>#N/A</v>
      </c>
      <c r="U107" s="2" t="n">
        <f aca="false">IF(RESET=1,0,U107+H107)</f>
        <v>36</v>
      </c>
      <c r="V107" s="14" t="e">
        <f aca="false">R107/(T107+0.00001)</f>
        <v>#N/A</v>
      </c>
      <c r="W107" s="14" t="n">
        <f aca="false">S107/(U107+0.0001)</f>
        <v>7.80439409959927</v>
      </c>
      <c r="X107" s="39" t="n">
        <f aca="false">IF(Informed=1,K107,0)</f>
        <v>2.20159993423967</v>
      </c>
      <c r="Y107" s="39" t="n">
        <f aca="false">IF(Informed=0,K107,0)</f>
        <v>0</v>
      </c>
      <c r="Z107" s="39" t="n">
        <f aca="false">IF(Informed=1,N107,0)</f>
        <v>0</v>
      </c>
      <c r="AA107" s="39" t="n">
        <f aca="false">IF(Informed=0,N107,0)</f>
        <v>0</v>
      </c>
      <c r="AB107" s="43" t="n">
        <f aca="false">IF(Arterial=0,IF(Informed=1,1,0),0)</f>
        <v>1</v>
      </c>
      <c r="AC107" s="43" t="n">
        <f aca="false">IF(Arterial=0,IF(Informed=0,1,0),0)</f>
        <v>0</v>
      </c>
      <c r="AD107" s="43" t="n">
        <f aca="false">IF(Arterial=1,IF(Informed=1,1,0),0)</f>
        <v>0</v>
      </c>
      <c r="AE107" s="43" t="n">
        <f aca="false">IF(Arterial=1,IF(Informed=0,1,0),0)</f>
        <v>0</v>
      </c>
      <c r="AF107" s="35" t="n">
        <f aca="false">IF(AB107=1,(X107-G$1030)^2,0)</f>
        <v>72.3873964872083</v>
      </c>
      <c r="AG107" s="35" t="n">
        <f aca="false">IF(AC107=1,(Y107-H$1030)^2,0)</f>
        <v>0</v>
      </c>
      <c r="AH107" s="35" t="n">
        <f aca="false">IF(AD107=1,(Z107-I$1030)^2,0)</f>
        <v>0</v>
      </c>
      <c r="AI107" s="35" t="n">
        <f aca="false">IF(AE107=1,(AA107-J$1030)^2,0)</f>
        <v>0</v>
      </c>
      <c r="AJ107" s="37" t="n">
        <f aca="true">IF(RAND()&lt;$D$6,1,0)</f>
        <v>0</v>
      </c>
      <c r="AK107" s="14" t="n">
        <f aca="false">AK106+IF((AJ107=1),IF((H107=0),1,0),0)</f>
        <v>0</v>
      </c>
      <c r="AL107" s="14" t="n">
        <f aca="false">AL106+IF((AJ107=1),IF((H107=1),1,0),0)</f>
        <v>0</v>
      </c>
      <c r="AM107" s="37" t="n">
        <f aca="false">IF(AK107=0,9999,IF($H107=0,IF($AJ107&lt;1,AM106+1,0),AM106))</f>
        <v>9999</v>
      </c>
      <c r="AN107" s="37" t="n">
        <f aca="false">IF(AL107=0,9999,IF($H107=1,IF($AJ107&lt;1,AN106+1,0),AN106))</f>
        <v>9999</v>
      </c>
      <c r="AO107" s="37" t="n">
        <f aca="false">IF($A107-AM107&gt;0,1/(1+AM107),0)</f>
        <v>0</v>
      </c>
      <c r="AP107" s="37" t="n">
        <f aca="false">IF($A107-AN107&gt;0,1/(1+AN107),0)</f>
        <v>0</v>
      </c>
      <c r="AQ107" s="7" t="n">
        <f aca="false">IF(AK107=0,0,MAX(MIN(1,AO107^Power),0))</f>
        <v>0</v>
      </c>
      <c r="AR107" s="7" t="n">
        <f aca="false">IF(AL107=0,0,MAX(MIN(1,AP107^Power),0))</f>
        <v>0</v>
      </c>
      <c r="AS107" s="7" t="n">
        <f aca="false">IF($AJ107=1,IF($H107=0,K107,AS106),AS106)</f>
        <v>0</v>
      </c>
      <c r="AT107" s="7" t="n">
        <f aca="false">IF($AJ107=1,IF($H107=1,N107,AT106),AT106)</f>
        <v>0</v>
      </c>
    </row>
    <row r="108" customFormat="false" ht="13" hidden="false" customHeight="false" outlineLevel="0" collapsed="false">
      <c r="A108" s="16" t="n">
        <v>91</v>
      </c>
      <c r="B108" s="37" t="n">
        <f aca="true">IF(RAND()&lt;$D$8,1,0)</f>
        <v>0</v>
      </c>
      <c r="C108" s="20" t="n">
        <f aca="true">-LN(RAND())/$D$2</f>
        <v>0.265950232834896</v>
      </c>
      <c r="D108" s="38" t="n">
        <f aca="false">D107+C108</f>
        <v>121.235744889317</v>
      </c>
      <c r="E108" s="39" t="n">
        <f aca="false">MAX($E$3,AS107)</f>
        <v>0</v>
      </c>
      <c r="F108" s="39" t="n">
        <f aca="false">MAX($E$3,AT107)</f>
        <v>0</v>
      </c>
      <c r="G108" s="40" t="n">
        <v>0.5</v>
      </c>
      <c r="H108" s="38" t="n">
        <f aca="true">IF((B108=1),(IF((F108&lt;E108),1,(IF((F108=E108),(IF(RAND()&lt;G108,1,0)),0)))),(IF((RAND()&lt;G108),1,0)))</f>
        <v>0</v>
      </c>
      <c r="I108" s="38" t="n">
        <f aca="true">IF((H108=1),0,$D$3+$D$5*(RAND()-0.5))</f>
        <v>2.18339255383609</v>
      </c>
      <c r="J108" s="38" t="n">
        <f aca="false">I108+MAX(D108,J107)</f>
        <v>125.354787144558</v>
      </c>
      <c r="K108" s="38" t="n">
        <f aca="false">IF((H108=0),J108-D108,0)</f>
        <v>4.11904225524086</v>
      </c>
      <c r="L108" s="38" t="n">
        <f aca="true">IF(($H108=0),0,$D$4+$D$5*(RAND()-0.5))</f>
        <v>0</v>
      </c>
      <c r="M108" s="38" t="n">
        <f aca="false">L108+MAX(D108,M107)</f>
        <v>126.033255944169</v>
      </c>
      <c r="N108" s="38" t="n">
        <f aca="false">IF((H108=1),M108-D108,0)</f>
        <v>0</v>
      </c>
      <c r="O108" s="16" t="n">
        <v>91</v>
      </c>
      <c r="P108" s="41" t="n">
        <f aca="false">IF((Arterial=0),P107+1,P107)</f>
        <v>40</v>
      </c>
      <c r="Q108" s="41" t="n">
        <f aca="false">IF((Arterial=1),Q107+1,Q107)</f>
        <v>51</v>
      </c>
      <c r="R108" s="42" t="e">
        <f aca="false">IF((RESET=1),0,R108+K108)</f>
        <v>#N/A</v>
      </c>
      <c r="S108" s="14" t="n">
        <f aca="false">IF(RESET=1,0,S108+N108)</f>
        <v>389.937316790676</v>
      </c>
      <c r="T108" s="2" t="e">
        <f aca="false">IF(RESET=1,0,T108+IF(H108=0,1,0))</f>
        <v>#N/A</v>
      </c>
      <c r="U108" s="2" t="n">
        <f aca="false">IF(RESET=1,0,U108+H108)</f>
        <v>39</v>
      </c>
      <c r="V108" s="14" t="e">
        <f aca="false">R108/(T108+0.00001)</f>
        <v>#N/A</v>
      </c>
      <c r="W108" s="14" t="n">
        <f aca="false">S108/(U108+0.0001)</f>
        <v>9.99836710138374</v>
      </c>
      <c r="X108" s="39" t="n">
        <f aca="false">IF(Informed=1,K108,0)</f>
        <v>0</v>
      </c>
      <c r="Y108" s="39" t="n">
        <f aca="false">IF(Informed=0,K108,0)</f>
        <v>4.11904225524086</v>
      </c>
      <c r="Z108" s="39" t="n">
        <f aca="false">IF(Informed=1,N108,0)</f>
        <v>0</v>
      </c>
      <c r="AA108" s="39" t="n">
        <f aca="false">IF(Informed=0,N108,0)</f>
        <v>0</v>
      </c>
      <c r="AB108" s="43" t="n">
        <f aca="false">IF(Arterial=0,IF(Informed=1,1,0),0)</f>
        <v>0</v>
      </c>
      <c r="AC108" s="43" t="n">
        <f aca="false">IF(Arterial=0,IF(Informed=0,1,0),0)</f>
        <v>1</v>
      </c>
      <c r="AD108" s="43" t="n">
        <f aca="false">IF(Arterial=1,IF(Informed=1,1,0),0)</f>
        <v>0</v>
      </c>
      <c r="AE108" s="43" t="n">
        <f aca="false">IF(Arterial=1,IF(Informed=0,1,0),0)</f>
        <v>0</v>
      </c>
      <c r="AF108" s="35" t="n">
        <f aca="false">IF(AB108=1,(X108-G$1030)^2,0)</f>
        <v>0</v>
      </c>
      <c r="AG108" s="35" t="n">
        <f aca="false">IF(AC108=1,(Y108-H$1030)^2,0)</f>
        <v>46.3045272345209</v>
      </c>
      <c r="AH108" s="35" t="n">
        <f aca="false">IF(AD108=1,(Z108-I$1030)^2,0)</f>
        <v>0</v>
      </c>
      <c r="AI108" s="35" t="n">
        <f aca="false">IF(AE108=1,(AA108-J$1030)^2,0)</f>
        <v>0</v>
      </c>
      <c r="AJ108" s="37" t="n">
        <f aca="true">IF(RAND()&lt;$D$6,1,0)</f>
        <v>0</v>
      </c>
      <c r="AK108" s="14" t="n">
        <f aca="false">AK107+IF((AJ108=1),IF((H108=0),1,0),0)</f>
        <v>0</v>
      </c>
      <c r="AL108" s="14" t="n">
        <f aca="false">AL107+IF((AJ108=1),IF((H108=1),1,0),0)</f>
        <v>0</v>
      </c>
      <c r="AM108" s="37" t="n">
        <f aca="false">IF(AK108=0,9999,IF($H108=0,IF($AJ108&lt;1,AM107+1,0),AM107))</f>
        <v>9999</v>
      </c>
      <c r="AN108" s="37" t="n">
        <f aca="false">IF(AL108=0,9999,IF($H108=1,IF($AJ108&lt;1,AN107+1,0),AN107))</f>
        <v>9999</v>
      </c>
      <c r="AO108" s="37" t="n">
        <f aca="false">IF($A108-AM108&gt;0,1/(1+AM108),0)</f>
        <v>0</v>
      </c>
      <c r="AP108" s="37" t="n">
        <f aca="false">IF($A108-AN108&gt;0,1/(1+AN108),0)</f>
        <v>0</v>
      </c>
      <c r="AQ108" s="7" t="n">
        <f aca="false">IF(AK108=0,0,MAX(MIN(1,AO108^Power),0))</f>
        <v>0</v>
      </c>
      <c r="AR108" s="7" t="n">
        <f aca="false">IF(AL108=0,0,MAX(MIN(1,AP108^Power),0))</f>
        <v>0</v>
      </c>
      <c r="AS108" s="7" t="n">
        <f aca="false">IF($AJ108=1,IF($H108=0,K108,AS107),AS107)</f>
        <v>0</v>
      </c>
      <c r="AT108" s="7" t="n">
        <f aca="false">IF($AJ108=1,IF($H108=1,N108,AT107),AT107)</f>
        <v>0</v>
      </c>
    </row>
    <row r="109" customFormat="false" ht="13" hidden="false" customHeight="false" outlineLevel="0" collapsed="false">
      <c r="A109" s="16" t="n">
        <v>92</v>
      </c>
      <c r="B109" s="37" t="n">
        <f aca="true">IF(RAND()&lt;$D$8,1,0)</f>
        <v>1</v>
      </c>
      <c r="C109" s="20" t="n">
        <f aca="true">-LN(RAND())/$D$2</f>
        <v>1.20655375422152</v>
      </c>
      <c r="D109" s="38" t="n">
        <f aca="false">D108+C109</f>
        <v>122.442298643539</v>
      </c>
      <c r="E109" s="39" t="n">
        <f aca="false">MAX($E$3,AS108)</f>
        <v>0</v>
      </c>
      <c r="F109" s="39" t="n">
        <f aca="false">MAX($E$3,AT108)</f>
        <v>0</v>
      </c>
      <c r="G109" s="40" t="n">
        <v>0.5</v>
      </c>
      <c r="H109" s="38" t="n">
        <f aca="true">IF((B109=1),(IF((F109&lt;E109),1,(IF((F109=E109),(IF(RAND()&lt;G109,1,0)),0)))),(IF((RAND()&lt;G109),1,0)))</f>
        <v>1</v>
      </c>
      <c r="I109" s="38" t="n">
        <f aca="true">IF((H109=1),0,$D$3+$D$5*(RAND()-0.5))</f>
        <v>0</v>
      </c>
      <c r="J109" s="38" t="n">
        <f aca="false">I109+MAX(D109,J108)</f>
        <v>125.354787144558</v>
      </c>
      <c r="K109" s="38" t="n">
        <f aca="false">IF((H109=0),J109-D109,0)</f>
        <v>0</v>
      </c>
      <c r="L109" s="38" t="n">
        <f aca="true">IF(($H109=0),0,$D$4+$D$5*(RAND()-0.5))</f>
        <v>2.11350510999897</v>
      </c>
      <c r="M109" s="38" t="n">
        <f aca="false">L109+MAX(D109,M108)</f>
        <v>128.146761054168</v>
      </c>
      <c r="N109" s="38" t="n">
        <f aca="false">IF((H109=1),M109-D109,0)</f>
        <v>5.70446241062869</v>
      </c>
      <c r="O109" s="16" t="n">
        <v>92</v>
      </c>
      <c r="P109" s="41" t="n">
        <f aca="false">IF((Arterial=0),P108+1,P108)</f>
        <v>40</v>
      </c>
      <c r="Q109" s="41" t="n">
        <f aca="false">IF((Arterial=1),Q108+1,Q108)</f>
        <v>52</v>
      </c>
      <c r="R109" s="42" t="n">
        <f aca="false">IF((RESET=1),0,R109+K109)</f>
        <v>416.355860850443</v>
      </c>
      <c r="S109" s="14" t="e">
        <f aca="false">IF(RESET=1,0,S109+N109)</f>
        <v>#N/A</v>
      </c>
      <c r="T109" s="2" t="n">
        <f aca="false">IF(RESET=1,0,T109+IF(H109=0,1,0))</f>
        <v>40</v>
      </c>
      <c r="U109" s="2" t="e">
        <f aca="false">IF(RESET=1,0,U109+H109)</f>
        <v>#N/A</v>
      </c>
      <c r="V109" s="14" t="n">
        <f aca="false">R109/(T109+0.00001)</f>
        <v>10.4088939190376</v>
      </c>
      <c r="W109" s="14" t="e">
        <f aca="false">S109/(U109+0.0001)</f>
        <v>#N/A</v>
      </c>
      <c r="X109" s="39" t="n">
        <f aca="false">IF(Informed=1,K109,0)</f>
        <v>0</v>
      </c>
      <c r="Y109" s="39" t="n">
        <f aca="false">IF(Informed=0,K109,0)</f>
        <v>0</v>
      </c>
      <c r="Z109" s="39" t="n">
        <f aca="false">IF(Informed=1,N109,0)</f>
        <v>5.70446241062869</v>
      </c>
      <c r="AA109" s="39" t="n">
        <f aca="false">IF(Informed=0,N109,0)</f>
        <v>0</v>
      </c>
      <c r="AB109" s="43" t="n">
        <f aca="false">IF(Arterial=0,IF(Informed=1,1,0),0)</f>
        <v>0</v>
      </c>
      <c r="AC109" s="43" t="n">
        <f aca="false">IF(Arterial=0,IF(Informed=0,1,0),0)</f>
        <v>0</v>
      </c>
      <c r="AD109" s="43" t="n">
        <f aca="false">IF(Arterial=1,IF(Informed=1,1,0),0)</f>
        <v>1</v>
      </c>
      <c r="AE109" s="43" t="n">
        <f aca="false">IF(Arterial=1,IF(Informed=0,1,0),0)</f>
        <v>0</v>
      </c>
      <c r="AF109" s="35" t="n">
        <f aca="false">IF(AB109=1,(X109-G$1030)^2,0)</f>
        <v>0</v>
      </c>
      <c r="AG109" s="35" t="n">
        <f aca="false">IF(AC109=1,(Y109-H$1030)^2,0)</f>
        <v>0</v>
      </c>
      <c r="AH109" s="35" t="n">
        <f aca="false">IF(AD109=1,(Z109-I$1030)^2,0)</f>
        <v>513.945783966086</v>
      </c>
      <c r="AI109" s="35" t="n">
        <f aca="false">IF(AE109=1,(AA109-J$1030)^2,0)</f>
        <v>0</v>
      </c>
      <c r="AJ109" s="37" t="n">
        <f aca="true">IF(RAND()&lt;$D$6,1,0)</f>
        <v>0</v>
      </c>
      <c r="AK109" s="14" t="n">
        <f aca="false">AK108+IF((AJ109=1),IF((H109=0),1,0),0)</f>
        <v>0</v>
      </c>
      <c r="AL109" s="14" t="n">
        <f aca="false">AL108+IF((AJ109=1),IF((H109=1),1,0),0)</f>
        <v>0</v>
      </c>
      <c r="AM109" s="37" t="n">
        <f aca="false">IF(AK109=0,9999,IF($H109=0,IF($AJ109&lt;1,AM108+1,0),AM108))</f>
        <v>9999</v>
      </c>
      <c r="AN109" s="37" t="n">
        <f aca="false">IF(AL109=0,9999,IF($H109=1,IF($AJ109&lt;1,AN108+1,0),AN108))</f>
        <v>9999</v>
      </c>
      <c r="AO109" s="37" t="n">
        <f aca="false">IF($A109-AM109&gt;0,1/(1+AM109),0)</f>
        <v>0</v>
      </c>
      <c r="AP109" s="37" t="n">
        <f aca="false">IF($A109-AN109&gt;0,1/(1+AN109),0)</f>
        <v>0</v>
      </c>
      <c r="AQ109" s="7" t="n">
        <f aca="false">IF(AK109=0,0,MAX(MIN(1,AO109^Power),0))</f>
        <v>0</v>
      </c>
      <c r="AR109" s="7" t="n">
        <f aca="false">IF(AL109=0,0,MAX(MIN(1,AP109^Power),0))</f>
        <v>0</v>
      </c>
      <c r="AS109" s="7" t="n">
        <f aca="false">IF($AJ109=1,IF($H109=0,K109,AS108),AS108)</f>
        <v>0</v>
      </c>
      <c r="AT109" s="7" t="n">
        <f aca="false">IF($AJ109=1,IF($H109=1,N109,AT108),AT108)</f>
        <v>0</v>
      </c>
    </row>
    <row r="110" customFormat="false" ht="13" hidden="false" customHeight="false" outlineLevel="0" collapsed="false">
      <c r="A110" s="16" t="n">
        <v>93</v>
      </c>
      <c r="B110" s="37" t="n">
        <f aca="true">IF(RAND()&lt;$D$8,1,0)</f>
        <v>0</v>
      </c>
      <c r="C110" s="20" t="n">
        <f aca="true">-LN(RAND())/$D$2</f>
        <v>0.24933849347697</v>
      </c>
      <c r="D110" s="38" t="n">
        <f aca="false">D109+C110</f>
        <v>122.691637137016</v>
      </c>
      <c r="E110" s="39" t="n">
        <f aca="false">MAX($E$3,AS109)</f>
        <v>0</v>
      </c>
      <c r="F110" s="39" t="n">
        <f aca="false">MAX($E$3,AT109)</f>
        <v>0</v>
      </c>
      <c r="G110" s="40" t="n">
        <v>0.5</v>
      </c>
      <c r="H110" s="38" t="n">
        <f aca="true">IF((B110=1),(IF((F110&lt;E110),1,(IF((F110=E110),(IF(RAND()&lt;G110,1,0)),0)))),(IF((RAND()&lt;G110),1,0)))</f>
        <v>1</v>
      </c>
      <c r="I110" s="38" t="n">
        <f aca="true">IF((H110=1),0,$D$3+$D$5*(RAND()-0.5))</f>
        <v>0</v>
      </c>
      <c r="J110" s="38" t="n">
        <f aca="false">I110+MAX(D110,J109)</f>
        <v>125.354787144558</v>
      </c>
      <c r="K110" s="38" t="n">
        <f aca="false">IF((H110=0),J110-D110,0)</f>
        <v>0</v>
      </c>
      <c r="L110" s="38" t="n">
        <f aca="true">IF(($H110=0),0,$D$4+$D$5*(RAND()-0.5))</f>
        <v>2.21666158853361</v>
      </c>
      <c r="M110" s="38" t="n">
        <f aca="false">L110+MAX(D110,M109)</f>
        <v>130.363422642701</v>
      </c>
      <c r="N110" s="38" t="n">
        <f aca="false">IF((H110=1),M110-D110,0)</f>
        <v>7.67178550568534</v>
      </c>
      <c r="O110" s="16" t="n">
        <v>93</v>
      </c>
      <c r="P110" s="41" t="n">
        <f aca="false">IF((Arterial=0),P109+1,P109)</f>
        <v>40</v>
      </c>
      <c r="Q110" s="41" t="n">
        <f aca="false">IF((Arterial=1),Q109+1,Q109)</f>
        <v>53</v>
      </c>
      <c r="R110" s="42" t="n">
        <f aca="false">IF((RESET=1),0,R110+K110)</f>
        <v>383.249759856486</v>
      </c>
      <c r="S110" s="14" t="e">
        <f aca="false">IF(RESET=1,0,S110+N110)</f>
        <v>#N/A</v>
      </c>
      <c r="T110" s="2" t="n">
        <f aca="false">IF(RESET=1,0,T110+IF(H110=0,1,0))</f>
        <v>40</v>
      </c>
      <c r="U110" s="2" t="e">
        <f aca="false">IF(RESET=1,0,U110+H110)</f>
        <v>#N/A</v>
      </c>
      <c r="V110" s="14" t="n">
        <f aca="false">R110/(T110+0.00001)</f>
        <v>9.58124160110175</v>
      </c>
      <c r="W110" s="14" t="e">
        <f aca="false">S110/(U110+0.0001)</f>
        <v>#N/A</v>
      </c>
      <c r="X110" s="39" t="n">
        <f aca="false">IF(Informed=1,K110,0)</f>
        <v>0</v>
      </c>
      <c r="Y110" s="39" t="n">
        <f aca="false">IF(Informed=0,K110,0)</f>
        <v>0</v>
      </c>
      <c r="Z110" s="39" t="n">
        <f aca="false">IF(Informed=1,N110,0)</f>
        <v>0</v>
      </c>
      <c r="AA110" s="39" t="n">
        <f aca="false">IF(Informed=0,N110,0)</f>
        <v>7.67178550568534</v>
      </c>
      <c r="AB110" s="43" t="n">
        <f aca="false">IF(Arterial=0,IF(Informed=1,1,0),0)</f>
        <v>0</v>
      </c>
      <c r="AC110" s="43" t="n">
        <f aca="false">IF(Arterial=0,IF(Informed=0,1,0),0)</f>
        <v>0</v>
      </c>
      <c r="AD110" s="43" t="n">
        <f aca="false">IF(Arterial=1,IF(Informed=1,1,0),0)</f>
        <v>0</v>
      </c>
      <c r="AE110" s="43" t="n">
        <f aca="false">IF(Arterial=1,IF(Informed=0,1,0),0)</f>
        <v>1</v>
      </c>
      <c r="AF110" s="35" t="n">
        <f aca="false">IF(AB110=1,(X110-G$1030)^2,0)</f>
        <v>0</v>
      </c>
      <c r="AG110" s="35" t="n">
        <f aca="false">IF(AC110=1,(Y110-H$1030)^2,0)</f>
        <v>0</v>
      </c>
      <c r="AH110" s="35" t="n">
        <f aca="false">IF(AD110=1,(Z110-I$1030)^2,0)</f>
        <v>0</v>
      </c>
      <c r="AI110" s="35" t="n">
        <f aca="false">IF(AE110=1,(AA110-J$1030)^2,0)</f>
        <v>479.281095830267</v>
      </c>
      <c r="AJ110" s="37" t="n">
        <f aca="true">IF(RAND()&lt;$D$6,1,0)</f>
        <v>0</v>
      </c>
      <c r="AK110" s="14" t="n">
        <f aca="false">AK109+IF((AJ110=1),IF((H110=0),1,0),0)</f>
        <v>0</v>
      </c>
      <c r="AL110" s="14" t="n">
        <f aca="false">AL109+IF((AJ110=1),IF((H110=1),1,0),0)</f>
        <v>0</v>
      </c>
      <c r="AM110" s="37" t="n">
        <f aca="false">IF(AK110=0,9999,IF($H110=0,IF($AJ110&lt;1,AM109+1,0),AM109))</f>
        <v>9999</v>
      </c>
      <c r="AN110" s="37" t="n">
        <f aca="false">IF(AL110=0,9999,IF($H110=1,IF($AJ110&lt;1,AN109+1,0),AN109))</f>
        <v>9999</v>
      </c>
      <c r="AO110" s="37" t="n">
        <f aca="false">IF($A110-AM110&gt;0,1/(1+AM110),0)</f>
        <v>0</v>
      </c>
      <c r="AP110" s="37" t="n">
        <f aca="false">IF($A110-AN110&gt;0,1/(1+AN110),0)</f>
        <v>0</v>
      </c>
      <c r="AQ110" s="7" t="n">
        <f aca="false">IF(AK110=0,0,MAX(MIN(1,AO110^Power),0))</f>
        <v>0</v>
      </c>
      <c r="AR110" s="7" t="n">
        <f aca="false">IF(AL110=0,0,MAX(MIN(1,AP110^Power),0))</f>
        <v>0</v>
      </c>
      <c r="AS110" s="7" t="n">
        <f aca="false">IF($AJ110=1,IF($H110=0,K110,AS109),AS109)</f>
        <v>0</v>
      </c>
      <c r="AT110" s="7" t="n">
        <f aca="false">IF($AJ110=1,IF($H110=1,N110,AT109),AT109)</f>
        <v>0</v>
      </c>
    </row>
    <row r="111" customFormat="false" ht="13" hidden="false" customHeight="false" outlineLevel="0" collapsed="false">
      <c r="A111" s="16" t="n">
        <v>94</v>
      </c>
      <c r="B111" s="37" t="n">
        <f aca="true">IF(RAND()&lt;$D$8,1,0)</f>
        <v>0</v>
      </c>
      <c r="C111" s="20" t="n">
        <f aca="true">-LN(RAND())/$D$2</f>
        <v>0.831876813815037</v>
      </c>
      <c r="D111" s="38" t="n">
        <f aca="false">D110+C111</f>
        <v>123.523513950831</v>
      </c>
      <c r="E111" s="39" t="n">
        <f aca="false">MAX($E$3,AS110)</f>
        <v>0</v>
      </c>
      <c r="F111" s="39" t="n">
        <f aca="false">MAX($E$3,AT110)</f>
        <v>0</v>
      </c>
      <c r="G111" s="40" t="n">
        <v>0.5</v>
      </c>
      <c r="H111" s="38" t="n">
        <f aca="true">IF((B111=1),(IF((F111&lt;E111),1,(IF((F111=E111),(IF(RAND()&lt;G111,1,0)),0)))),(IF((RAND()&lt;G111),1,0)))</f>
        <v>1</v>
      </c>
      <c r="I111" s="38" t="n">
        <f aca="true">IF((H111=1),0,$D$3+$D$5*(RAND()-0.5))</f>
        <v>0</v>
      </c>
      <c r="J111" s="38" t="n">
        <f aca="false">I111+MAX(D111,J110)</f>
        <v>125.354787144558</v>
      </c>
      <c r="K111" s="38" t="n">
        <f aca="false">IF((H111=0),J111-D111,0)</f>
        <v>0</v>
      </c>
      <c r="L111" s="38" t="n">
        <f aca="true">IF(($H111=0),0,$D$4+$D$5*(RAND()-0.5))</f>
        <v>2.14645029588996</v>
      </c>
      <c r="M111" s="38" t="n">
        <f aca="false">L111+MAX(D111,M110)</f>
        <v>132.509872938591</v>
      </c>
      <c r="N111" s="38" t="n">
        <f aca="false">IF((H111=1),M111-D111,0)</f>
        <v>8.98635898776026</v>
      </c>
      <c r="O111" s="16" t="n">
        <v>94</v>
      </c>
      <c r="P111" s="41" t="n">
        <f aca="false">IF((Arterial=0),P110+1,P110)</f>
        <v>40</v>
      </c>
      <c r="Q111" s="41" t="n">
        <f aca="false">IF((Arterial=1),Q110+1,Q110)</f>
        <v>54</v>
      </c>
      <c r="R111" s="42" t="n">
        <f aca="false">IF((RESET=1),0,R111+K111)</f>
        <v>365.768569279869</v>
      </c>
      <c r="S111" s="14" t="e">
        <f aca="false">IF(RESET=1,0,S111+N111)</f>
        <v>#N/A</v>
      </c>
      <c r="T111" s="2" t="n">
        <f aca="false">IF(RESET=1,0,T111+IF(H111=0,1,0))</f>
        <v>42</v>
      </c>
      <c r="U111" s="2" t="e">
        <f aca="false">IF(RESET=1,0,U111+H111)</f>
        <v>#N/A</v>
      </c>
      <c r="V111" s="14" t="n">
        <f aca="false">R111/(T111+0.00001)</f>
        <v>8.70877338552702</v>
      </c>
      <c r="W111" s="14" t="e">
        <f aca="false">S111/(U111+0.0001)</f>
        <v>#N/A</v>
      </c>
      <c r="X111" s="39" t="n">
        <f aca="false">IF(Informed=1,K111,0)</f>
        <v>0</v>
      </c>
      <c r="Y111" s="39" t="n">
        <f aca="false">IF(Informed=0,K111,0)</f>
        <v>0</v>
      </c>
      <c r="Z111" s="39" t="n">
        <f aca="false">IF(Informed=1,N111,0)</f>
        <v>0</v>
      </c>
      <c r="AA111" s="39" t="n">
        <f aca="false">IF(Informed=0,N111,0)</f>
        <v>8.98635898776026</v>
      </c>
      <c r="AB111" s="43" t="n">
        <f aca="false">IF(Arterial=0,IF(Informed=1,1,0),0)</f>
        <v>0</v>
      </c>
      <c r="AC111" s="43" t="n">
        <f aca="false">IF(Arterial=0,IF(Informed=0,1,0),0)</f>
        <v>0</v>
      </c>
      <c r="AD111" s="43" t="n">
        <f aca="false">IF(Arterial=1,IF(Informed=1,1,0),0)</f>
        <v>0</v>
      </c>
      <c r="AE111" s="43" t="n">
        <f aca="false">IF(Arterial=1,IF(Informed=0,1,0),0)</f>
        <v>1</v>
      </c>
      <c r="AF111" s="35" t="n">
        <f aca="false">IF(AB111=1,(X111-G$1030)^2,0)</f>
        <v>0</v>
      </c>
      <c r="AG111" s="35" t="n">
        <f aca="false">IF(AC111=1,(Y111-H$1030)^2,0)</f>
        <v>0</v>
      </c>
      <c r="AH111" s="35" t="n">
        <f aca="false">IF(AD111=1,(Z111-I$1030)^2,0)</f>
        <v>0</v>
      </c>
      <c r="AI111" s="35" t="n">
        <f aca="false">IF(AE111=1,(AA111-J$1030)^2,0)</f>
        <v>423.450627004107</v>
      </c>
      <c r="AJ111" s="37" t="n">
        <f aca="true">IF(RAND()&lt;$D$6,1,0)</f>
        <v>0</v>
      </c>
      <c r="AK111" s="14" t="n">
        <f aca="false">AK110+IF((AJ111=1),IF((H111=0),1,0),0)</f>
        <v>0</v>
      </c>
      <c r="AL111" s="14" t="n">
        <f aca="false">AL110+IF((AJ111=1),IF((H111=1),1,0),0)</f>
        <v>0</v>
      </c>
      <c r="AM111" s="37" t="n">
        <f aca="false">IF(AK111=0,9999,IF($H111=0,IF($AJ111&lt;1,AM110+1,0),AM110))</f>
        <v>9999</v>
      </c>
      <c r="AN111" s="37" t="n">
        <f aca="false">IF(AL111=0,9999,IF($H111=1,IF($AJ111&lt;1,AN110+1,0),AN110))</f>
        <v>9999</v>
      </c>
      <c r="AO111" s="37" t="n">
        <f aca="false">IF($A111-AM111&gt;0,1/(1+AM111),0)</f>
        <v>0</v>
      </c>
      <c r="AP111" s="37" t="n">
        <f aca="false">IF($A111-AN111&gt;0,1/(1+AN111),0)</f>
        <v>0</v>
      </c>
      <c r="AQ111" s="7" t="n">
        <f aca="false">IF(AK111=0,0,MAX(MIN(1,AO111^Power),0))</f>
        <v>0</v>
      </c>
      <c r="AR111" s="7" t="n">
        <f aca="false">IF(AL111=0,0,MAX(MIN(1,AP111^Power),0))</f>
        <v>0</v>
      </c>
      <c r="AS111" s="7" t="n">
        <f aca="false">IF($AJ111=1,IF($H111=0,K111,AS110),AS110)</f>
        <v>0</v>
      </c>
      <c r="AT111" s="7" t="n">
        <f aca="false">IF($AJ111=1,IF($H111=1,N111,AT110),AT110)</f>
        <v>0</v>
      </c>
    </row>
    <row r="112" customFormat="false" ht="13" hidden="false" customHeight="false" outlineLevel="0" collapsed="false">
      <c r="A112" s="16" t="n">
        <v>95</v>
      </c>
      <c r="B112" s="37" t="n">
        <f aca="true">IF(RAND()&lt;$D$8,1,0)</f>
        <v>1</v>
      </c>
      <c r="C112" s="20" t="n">
        <f aca="true">-LN(RAND())/$D$2</f>
        <v>0.229739160901835</v>
      </c>
      <c r="D112" s="38" t="n">
        <f aca="false">D111+C112</f>
        <v>123.753253111733</v>
      </c>
      <c r="E112" s="39" t="n">
        <f aca="false">MAX($E$3,AS111)</f>
        <v>0</v>
      </c>
      <c r="F112" s="39" t="n">
        <f aca="false">MAX($E$3,AT111)</f>
        <v>0</v>
      </c>
      <c r="G112" s="40" t="n">
        <v>0.5</v>
      </c>
      <c r="H112" s="38" t="n">
        <f aca="true">IF((B112=1),(IF((F112&lt;E112),1,(IF((F112=E112),(IF(RAND()&lt;G112,1,0)),0)))),(IF((RAND()&lt;G112),1,0)))</f>
        <v>1</v>
      </c>
      <c r="I112" s="38" t="n">
        <f aca="true">IF((H112=1),0,$D$3+$D$5*(RAND()-0.5))</f>
        <v>0</v>
      </c>
      <c r="J112" s="38" t="n">
        <f aca="false">I112+MAX(D112,J111)</f>
        <v>125.354787144558</v>
      </c>
      <c r="K112" s="38" t="n">
        <f aca="false">IF((H112=0),J112-D112,0)</f>
        <v>0</v>
      </c>
      <c r="L112" s="38" t="n">
        <f aca="true">IF(($H112=0),0,$D$4+$D$5*(RAND()-0.5))</f>
        <v>2.10179968447498</v>
      </c>
      <c r="M112" s="38" t="n">
        <f aca="false">L112+MAX(D112,M111)</f>
        <v>134.611672623066</v>
      </c>
      <c r="N112" s="38" t="n">
        <f aca="false">IF((H112=1),M112-D112,0)</f>
        <v>10.8584195113334</v>
      </c>
      <c r="O112" s="16" t="n">
        <v>95</v>
      </c>
      <c r="P112" s="41" t="n">
        <f aca="false">IF((Arterial=0),P111+1,P111)</f>
        <v>40</v>
      </c>
      <c r="Q112" s="41" t="n">
        <f aca="false">IF((Arterial=1),Q111+1,Q111)</f>
        <v>55</v>
      </c>
      <c r="R112" s="42" t="n">
        <f aca="false">IF((RESET=1),0,R112+K112)</f>
        <v>398.759227725654</v>
      </c>
      <c r="S112" s="14" t="e">
        <f aca="false">IF(RESET=1,0,S112+N112)</f>
        <v>#N/A</v>
      </c>
      <c r="T112" s="2" t="n">
        <f aca="false">IF(RESET=1,0,T112+IF(H112=0,1,0))</f>
        <v>39</v>
      </c>
      <c r="U112" s="2" t="e">
        <f aca="false">IF(RESET=1,0,U112+H112)</f>
        <v>#N/A</v>
      </c>
      <c r="V112" s="14" t="n">
        <f aca="false">R112/(T112+0.00001)</f>
        <v>10.2245929610186</v>
      </c>
      <c r="W112" s="14" t="e">
        <f aca="false">S112/(U112+0.0001)</f>
        <v>#N/A</v>
      </c>
      <c r="X112" s="39" t="n">
        <f aca="false">IF(Informed=1,K112,0)</f>
        <v>0</v>
      </c>
      <c r="Y112" s="39" t="n">
        <f aca="false">IF(Informed=0,K112,0)</f>
        <v>0</v>
      </c>
      <c r="Z112" s="39" t="n">
        <f aca="false">IF(Informed=1,N112,0)</f>
        <v>10.8584195113334</v>
      </c>
      <c r="AA112" s="39" t="n">
        <f aca="false">IF(Informed=0,N112,0)</f>
        <v>0</v>
      </c>
      <c r="AB112" s="43" t="n">
        <f aca="false">IF(Arterial=0,IF(Informed=1,1,0),0)</f>
        <v>0</v>
      </c>
      <c r="AC112" s="43" t="n">
        <f aca="false">IF(Arterial=0,IF(Informed=0,1,0),0)</f>
        <v>0</v>
      </c>
      <c r="AD112" s="43" t="n">
        <f aca="false">IF(Arterial=1,IF(Informed=1,1,0),0)</f>
        <v>1</v>
      </c>
      <c r="AE112" s="43" t="n">
        <f aca="false">IF(Arterial=1,IF(Informed=0,1,0),0)</f>
        <v>0</v>
      </c>
      <c r="AF112" s="35" t="n">
        <f aca="false">IF(AB112=1,(X112-G$1030)^2,0)</f>
        <v>0</v>
      </c>
      <c r="AG112" s="35" t="n">
        <f aca="false">IF(AC112=1,(Y112-H$1030)^2,0)</f>
        <v>0</v>
      </c>
      <c r="AH112" s="35" t="n">
        <f aca="false">IF(AD112=1,(Z112-I$1030)^2,0)</f>
        <v>306.824804328071</v>
      </c>
      <c r="AI112" s="35" t="n">
        <f aca="false">IF(AE112=1,(AA112-J$1030)^2,0)</f>
        <v>0</v>
      </c>
      <c r="AJ112" s="37" t="n">
        <f aca="true">IF(RAND()&lt;$D$6,1,0)</f>
        <v>0</v>
      </c>
      <c r="AK112" s="14" t="n">
        <f aca="false">AK111+IF((AJ112=1),IF((H112=0),1,0),0)</f>
        <v>0</v>
      </c>
      <c r="AL112" s="14" t="n">
        <f aca="false">AL111+IF((AJ112=1),IF((H112=1),1,0),0)</f>
        <v>0</v>
      </c>
      <c r="AM112" s="37" t="n">
        <f aca="false">IF(AK112=0,9999,IF($H112=0,IF($AJ112&lt;1,AM111+1,0),AM111))</f>
        <v>9999</v>
      </c>
      <c r="AN112" s="37" t="n">
        <f aca="false">IF(AL112=0,9999,IF($H112=1,IF($AJ112&lt;1,AN111+1,0),AN111))</f>
        <v>9999</v>
      </c>
      <c r="AO112" s="37" t="n">
        <f aca="false">IF($A112-AM112&gt;0,1/(1+AM112),0)</f>
        <v>0</v>
      </c>
      <c r="AP112" s="37" t="n">
        <f aca="false">IF($A112-AN112&gt;0,1/(1+AN112),0)</f>
        <v>0</v>
      </c>
      <c r="AQ112" s="7" t="n">
        <f aca="false">IF(AK112=0,0,MAX(MIN(1,AO112^Power),0))</f>
        <v>0</v>
      </c>
      <c r="AR112" s="7" t="n">
        <f aca="false">IF(AL112=0,0,MAX(MIN(1,AP112^Power),0))</f>
        <v>0</v>
      </c>
      <c r="AS112" s="7" t="n">
        <f aca="false">IF($AJ112=1,IF($H112=0,K112,AS111),AS111)</f>
        <v>0</v>
      </c>
      <c r="AT112" s="7" t="n">
        <f aca="false">IF($AJ112=1,IF($H112=1,N112,AT111),AT111)</f>
        <v>0</v>
      </c>
    </row>
    <row r="113" customFormat="false" ht="13" hidden="false" customHeight="false" outlineLevel="0" collapsed="false">
      <c r="A113" s="16" t="n">
        <v>96</v>
      </c>
      <c r="B113" s="37" t="n">
        <f aca="true">IF(RAND()&lt;$D$8,1,0)</f>
        <v>1</v>
      </c>
      <c r="C113" s="20" t="n">
        <f aca="true">-LN(RAND())/$D$2</f>
        <v>1.69488283172859</v>
      </c>
      <c r="D113" s="38" t="n">
        <f aca="false">D112+C113</f>
        <v>125.448135943461</v>
      </c>
      <c r="E113" s="39" t="n">
        <f aca="false">MAX($E$3,AS112)</f>
        <v>0</v>
      </c>
      <c r="F113" s="39" t="n">
        <f aca="false">MAX($E$3,AT112)</f>
        <v>0</v>
      </c>
      <c r="G113" s="40" t="n">
        <v>0.5</v>
      </c>
      <c r="H113" s="38" t="n">
        <f aca="true">IF((B113=1),(IF((F113&lt;E113),1,(IF((F113=E113),(IF(RAND()&lt;G113,1,0)),0)))),(IF((RAND()&lt;G113),1,0)))</f>
        <v>0</v>
      </c>
      <c r="I113" s="38" t="n">
        <f aca="true">IF((H113=1),0,$D$3+$D$5*(RAND()-0.5))</f>
        <v>1.91667067710988</v>
      </c>
      <c r="J113" s="38" t="n">
        <f aca="false">I113+MAX(D113,J112)</f>
        <v>127.364806620571</v>
      </c>
      <c r="K113" s="38" t="n">
        <f aca="false">IF((H113=0),J113-D113,0)</f>
        <v>1.91667067710988</v>
      </c>
      <c r="L113" s="38" t="n">
        <f aca="true">IF(($H113=0),0,$D$4+$D$5*(RAND()-0.5))</f>
        <v>0</v>
      </c>
      <c r="M113" s="38" t="n">
        <f aca="false">L113+MAX(D113,M112)</f>
        <v>134.611672623066</v>
      </c>
      <c r="N113" s="38" t="n">
        <f aca="false">IF((H113=1),M113-D113,0)</f>
        <v>0</v>
      </c>
      <c r="O113" s="16" t="n">
        <v>96</v>
      </c>
      <c r="P113" s="41" t="n">
        <f aca="false">IF((Arterial=0),P112+1,P112)</f>
        <v>41</v>
      </c>
      <c r="Q113" s="41" t="n">
        <f aca="false">IF((Arterial=1),Q112+1,Q112)</f>
        <v>55</v>
      </c>
      <c r="R113" s="42" t="e">
        <f aca="false">IF((RESET=1),0,R113+K113)</f>
        <v>#N/A</v>
      </c>
      <c r="S113" s="14" t="n">
        <f aca="false">IF(RESET=1,0,S113+N113)</f>
        <v>330.346133645454</v>
      </c>
      <c r="T113" s="2" t="e">
        <f aca="false">IF(RESET=1,0,T113+IF(H113=0,1,0))</f>
        <v>#N/A</v>
      </c>
      <c r="U113" s="2" t="n">
        <f aca="false">IF(RESET=1,0,U113+H113)</f>
        <v>38</v>
      </c>
      <c r="V113" s="14" t="e">
        <f aca="false">R113/(T113+0.00001)</f>
        <v>#N/A</v>
      </c>
      <c r="W113" s="14" t="n">
        <f aca="false">S113/(U113+0.0001)</f>
        <v>8.69329642936346</v>
      </c>
      <c r="X113" s="39" t="n">
        <f aca="false">IF(Informed=1,K113,0)</f>
        <v>1.91667067710988</v>
      </c>
      <c r="Y113" s="39" t="n">
        <f aca="false">IF(Informed=0,K113,0)</f>
        <v>0</v>
      </c>
      <c r="Z113" s="39" t="n">
        <f aca="false">IF(Informed=1,N113,0)</f>
        <v>0</v>
      </c>
      <c r="AA113" s="39" t="n">
        <f aca="false">IF(Informed=0,N113,0)</f>
        <v>0</v>
      </c>
      <c r="AB113" s="43" t="n">
        <f aca="false">IF(Arterial=0,IF(Informed=1,1,0),0)</f>
        <v>1</v>
      </c>
      <c r="AC113" s="43" t="n">
        <f aca="false">IF(Arterial=0,IF(Informed=0,1,0),0)</f>
        <v>0</v>
      </c>
      <c r="AD113" s="43" t="n">
        <f aca="false">IF(Arterial=1,IF(Informed=1,1,0),0)</f>
        <v>0</v>
      </c>
      <c r="AE113" s="43" t="n">
        <f aca="false">IF(Arterial=1,IF(Informed=0,1,0),0)</f>
        <v>0</v>
      </c>
      <c r="AF113" s="35" t="n">
        <f aca="false">IF(AB113=1,(X113-G$1030)^2,0)</f>
        <v>77.3169820323149</v>
      </c>
      <c r="AG113" s="35" t="n">
        <f aca="false">IF(AC113=1,(Y113-H$1030)^2,0)</f>
        <v>0</v>
      </c>
      <c r="AH113" s="35" t="n">
        <f aca="false">IF(AD113=1,(Z113-I$1030)^2,0)</f>
        <v>0</v>
      </c>
      <c r="AI113" s="35" t="n">
        <f aca="false">IF(AE113=1,(AA113-J$1030)^2,0)</f>
        <v>0</v>
      </c>
      <c r="AJ113" s="37" t="n">
        <f aca="true">IF(RAND()&lt;$D$6,1,0)</f>
        <v>0</v>
      </c>
      <c r="AK113" s="14" t="n">
        <f aca="false">AK112+IF((AJ113=1),IF((H113=0),1,0),0)</f>
        <v>0</v>
      </c>
      <c r="AL113" s="14" t="n">
        <f aca="false">AL112+IF((AJ113=1),IF((H113=1),1,0),0)</f>
        <v>0</v>
      </c>
      <c r="AM113" s="37" t="n">
        <f aca="false">IF(AK113=0,9999,IF($H113=0,IF($AJ113&lt;1,AM112+1,0),AM112))</f>
        <v>9999</v>
      </c>
      <c r="AN113" s="37" t="n">
        <f aca="false">IF(AL113=0,9999,IF($H113=1,IF($AJ113&lt;1,AN112+1,0),AN112))</f>
        <v>9999</v>
      </c>
      <c r="AO113" s="37" t="n">
        <f aca="false">IF($A113-AM113&gt;0,1/(1+AM113),0)</f>
        <v>0</v>
      </c>
      <c r="AP113" s="37" t="n">
        <f aca="false">IF($A113-AN113&gt;0,1/(1+AN113),0)</f>
        <v>0</v>
      </c>
      <c r="AQ113" s="7" t="n">
        <f aca="false">IF(AK113=0,0,MAX(MIN(1,AO113^Power),0))</f>
        <v>0</v>
      </c>
      <c r="AR113" s="7" t="n">
        <f aca="false">IF(AL113=0,0,MAX(MIN(1,AP113^Power),0))</f>
        <v>0</v>
      </c>
      <c r="AS113" s="7" t="n">
        <f aca="false">IF($AJ113=1,IF($H113=0,K113,AS112),AS112)</f>
        <v>0</v>
      </c>
      <c r="AT113" s="7" t="n">
        <f aca="false">IF($AJ113=1,IF($H113=1,N113,AT112),AT112)</f>
        <v>0</v>
      </c>
    </row>
    <row r="114" customFormat="false" ht="13" hidden="false" customHeight="false" outlineLevel="0" collapsed="false">
      <c r="A114" s="16" t="n">
        <v>97</v>
      </c>
      <c r="B114" s="37" t="n">
        <f aca="true">IF(RAND()&lt;$D$8,1,0)</f>
        <v>0</v>
      </c>
      <c r="C114" s="20" t="n">
        <f aca="true">-LN(RAND())/$D$2</f>
        <v>0.283495038000091</v>
      </c>
      <c r="D114" s="38" t="n">
        <f aca="false">D113+C114</f>
        <v>125.731630981461</v>
      </c>
      <c r="E114" s="39" t="n">
        <f aca="false">MAX($E$3,AS113)</f>
        <v>0</v>
      </c>
      <c r="F114" s="39" t="n">
        <f aca="false">MAX($E$3,AT113)</f>
        <v>0</v>
      </c>
      <c r="G114" s="40" t="n">
        <v>0.5</v>
      </c>
      <c r="H114" s="38" t="n">
        <f aca="true">IF((B114=1),(IF((F114&lt;E114),1,(IF((F114=E114),(IF(RAND()&lt;G114,1,0)),0)))),(IF((RAND()&lt;G114),1,0)))</f>
        <v>1</v>
      </c>
      <c r="I114" s="38" t="n">
        <f aca="true">IF((H114=1),0,$D$3+$D$5*(RAND()-0.5))</f>
        <v>0</v>
      </c>
      <c r="J114" s="38" t="n">
        <f aca="false">I114+MAX(D114,J113)</f>
        <v>127.364806620571</v>
      </c>
      <c r="K114" s="38" t="n">
        <f aca="false">IF((H114=0),J114-D114,0)</f>
        <v>0</v>
      </c>
      <c r="L114" s="38" t="n">
        <f aca="true">IF(($H114=0),0,$D$4+$D$5*(RAND()-0.5))</f>
        <v>1.81928899735858</v>
      </c>
      <c r="M114" s="38" t="n">
        <f aca="false">L114+MAX(D114,M113)</f>
        <v>136.430961620425</v>
      </c>
      <c r="N114" s="38" t="n">
        <f aca="false">IF((H114=1),M114-D114,0)</f>
        <v>10.6993306389633</v>
      </c>
      <c r="O114" s="16" t="n">
        <v>97</v>
      </c>
      <c r="P114" s="41" t="n">
        <f aca="false">IF((Arterial=0),P113+1,P113)</f>
        <v>41</v>
      </c>
      <c r="Q114" s="41" t="n">
        <f aca="false">IF((Arterial=1),Q113+1,Q113)</f>
        <v>56</v>
      </c>
      <c r="R114" s="42" t="n">
        <f aca="false">IF((RESET=1),0,R114+K114)</f>
        <v>336.655663055498</v>
      </c>
      <c r="S114" s="14" t="e">
        <f aca="false">IF(RESET=1,0,S114+N114)</f>
        <v>#N/A</v>
      </c>
      <c r="T114" s="2" t="n">
        <f aca="false">IF(RESET=1,0,T114+IF(H114=0,1,0))</f>
        <v>31</v>
      </c>
      <c r="U114" s="2" t="e">
        <f aca="false">IF(RESET=1,0,U114+H114)</f>
        <v>#N/A</v>
      </c>
      <c r="V114" s="14" t="n">
        <f aca="false">R114/(T114+0.00001)</f>
        <v>10.8598565953849</v>
      </c>
      <c r="W114" s="14" t="e">
        <f aca="false">S114/(U114+0.0001)</f>
        <v>#N/A</v>
      </c>
      <c r="X114" s="39" t="n">
        <f aca="false">IF(Informed=1,K114,0)</f>
        <v>0</v>
      </c>
      <c r="Y114" s="39" t="n">
        <f aca="false">IF(Informed=0,K114,0)</f>
        <v>0</v>
      </c>
      <c r="Z114" s="39" t="n">
        <f aca="false">IF(Informed=1,N114,0)</f>
        <v>0</v>
      </c>
      <c r="AA114" s="39" t="n">
        <f aca="false">IF(Informed=0,N114,0)</f>
        <v>10.6993306389633</v>
      </c>
      <c r="AB114" s="43" t="n">
        <f aca="false">IF(Arterial=0,IF(Informed=1,1,0),0)</f>
        <v>0</v>
      </c>
      <c r="AC114" s="43" t="n">
        <f aca="false">IF(Arterial=0,IF(Informed=0,1,0),0)</f>
        <v>0</v>
      </c>
      <c r="AD114" s="43" t="n">
        <f aca="false">IF(Arterial=1,IF(Informed=1,1,0),0)</f>
        <v>0</v>
      </c>
      <c r="AE114" s="43" t="n">
        <f aca="false">IF(Arterial=1,IF(Informed=0,1,0),0)</f>
        <v>1</v>
      </c>
      <c r="AF114" s="35" t="n">
        <f aca="false">IF(AB114=1,(X114-G$1030)^2,0)</f>
        <v>0</v>
      </c>
      <c r="AG114" s="35" t="n">
        <f aca="false">IF(AC114=1,(Y114-H$1030)^2,0)</f>
        <v>0</v>
      </c>
      <c r="AH114" s="35" t="n">
        <f aca="false">IF(AD114=1,(Z114-I$1030)^2,0)</f>
        <v>0</v>
      </c>
      <c r="AI114" s="35" t="n">
        <f aca="false">IF(AE114=1,(AA114-J$1030)^2,0)</f>
        <v>355.886125375844</v>
      </c>
      <c r="AJ114" s="37" t="n">
        <f aca="true">IF(RAND()&lt;$D$6,1,0)</f>
        <v>0</v>
      </c>
      <c r="AK114" s="14" t="n">
        <f aca="false">AK113+IF((AJ114=1),IF((H114=0),1,0),0)</f>
        <v>0</v>
      </c>
      <c r="AL114" s="14" t="n">
        <f aca="false">AL113+IF((AJ114=1),IF((H114=1),1,0),0)</f>
        <v>0</v>
      </c>
      <c r="AM114" s="37" t="n">
        <f aca="false">IF(AK114=0,9999,IF($H114=0,IF($AJ114&lt;1,AM113+1,0),AM113))</f>
        <v>9999</v>
      </c>
      <c r="AN114" s="37" t="n">
        <f aca="false">IF(AL114=0,9999,IF($H114=1,IF($AJ114&lt;1,AN113+1,0),AN113))</f>
        <v>9999</v>
      </c>
      <c r="AO114" s="37" t="n">
        <f aca="false">IF($A114-AM114&gt;0,1/(1+AM114),0)</f>
        <v>0</v>
      </c>
      <c r="AP114" s="37" t="n">
        <f aca="false">IF($A114-AN114&gt;0,1/(1+AN114),0)</f>
        <v>0</v>
      </c>
      <c r="AQ114" s="7" t="n">
        <f aca="false">IF(AK114=0,0,MAX(MIN(1,AO114^Power),0))</f>
        <v>0</v>
      </c>
      <c r="AR114" s="7" t="n">
        <f aca="false">IF(AL114=0,0,MAX(MIN(1,AP114^Power),0))</f>
        <v>0</v>
      </c>
      <c r="AS114" s="7" t="n">
        <f aca="false">IF($AJ114=1,IF($H114=0,K114,AS113),AS113)</f>
        <v>0</v>
      </c>
      <c r="AT114" s="7" t="n">
        <f aca="false">IF($AJ114=1,IF($H114=1,N114,AT113),AT113)</f>
        <v>0</v>
      </c>
    </row>
    <row r="115" customFormat="false" ht="13" hidden="false" customHeight="false" outlineLevel="0" collapsed="false">
      <c r="A115" s="16" t="n">
        <v>98</v>
      </c>
      <c r="B115" s="37" t="n">
        <f aca="true">IF(RAND()&lt;$D$8,1,0)</f>
        <v>1</v>
      </c>
      <c r="C115" s="20" t="n">
        <f aca="true">-LN(RAND())/$D$2</f>
        <v>1.32025647054224</v>
      </c>
      <c r="D115" s="38" t="n">
        <f aca="false">D114+C115</f>
        <v>127.051887452004</v>
      </c>
      <c r="E115" s="39" t="n">
        <f aca="false">MAX($E$3,AS114)</f>
        <v>0</v>
      </c>
      <c r="F115" s="39" t="n">
        <f aca="false">MAX($E$3,AT114)</f>
        <v>0</v>
      </c>
      <c r="G115" s="40" t="n">
        <v>0.5</v>
      </c>
      <c r="H115" s="38" t="n">
        <f aca="true">IF((B115=1),(IF((F115&lt;E115),1,(IF((F115=E115),(IF(RAND()&lt;G115,1,0)),0)))),(IF((RAND()&lt;G115),1,0)))</f>
        <v>1</v>
      </c>
      <c r="I115" s="38" t="n">
        <f aca="true">IF((H115=1),0,$D$3+$D$5*(RAND()-0.5))</f>
        <v>0</v>
      </c>
      <c r="J115" s="38" t="n">
        <f aca="false">I115+MAX(D115,J114)</f>
        <v>127.364806620571</v>
      </c>
      <c r="K115" s="38" t="n">
        <f aca="false">IF((H115=0),J115-D115,0)</f>
        <v>0</v>
      </c>
      <c r="L115" s="38" t="n">
        <f aca="true">IF(($H115=0),0,$D$4+$D$5*(RAND()-0.5))</f>
        <v>1.8015969444058</v>
      </c>
      <c r="M115" s="38" t="n">
        <f aca="false">L115+MAX(D115,M114)</f>
        <v>138.232558564831</v>
      </c>
      <c r="N115" s="38" t="n">
        <f aca="false">IF((H115=1),M115-D115,0)</f>
        <v>11.1806711128269</v>
      </c>
      <c r="O115" s="16" t="n">
        <v>98</v>
      </c>
      <c r="P115" s="41" t="n">
        <f aca="false">IF((Arterial=0),P114+1,P114)</f>
        <v>41</v>
      </c>
      <c r="Q115" s="41" t="n">
        <f aca="false">IF((Arterial=1),Q114+1,Q114)</f>
        <v>57</v>
      </c>
      <c r="R115" s="42" t="n">
        <f aca="false">IF((RESET=1),0,R115+K115)</f>
        <v>398.936589534329</v>
      </c>
      <c r="S115" s="14" t="e">
        <f aca="false">IF(RESET=1,0,S115+N115)</f>
        <v>#N/A</v>
      </c>
      <c r="T115" s="2" t="n">
        <f aca="false">IF(RESET=1,0,T115+IF(H115=0,1,0))</f>
        <v>37</v>
      </c>
      <c r="U115" s="2" t="e">
        <f aca="false">IF(RESET=1,0,U115+H115)</f>
        <v>#N/A</v>
      </c>
      <c r="V115" s="14" t="n">
        <f aca="false">R115/(T115+0.00001)</f>
        <v>10.7820670733421</v>
      </c>
      <c r="W115" s="14" t="e">
        <f aca="false">S115/(U115+0.0001)</f>
        <v>#N/A</v>
      </c>
      <c r="X115" s="39" t="n">
        <f aca="false">IF(Informed=1,K115,0)</f>
        <v>0</v>
      </c>
      <c r="Y115" s="39" t="n">
        <f aca="false">IF(Informed=0,K115,0)</f>
        <v>0</v>
      </c>
      <c r="Z115" s="39" t="n">
        <f aca="false">IF(Informed=1,N115,0)</f>
        <v>11.1806711128269</v>
      </c>
      <c r="AA115" s="39" t="n">
        <f aca="false">IF(Informed=0,N115,0)</f>
        <v>0</v>
      </c>
      <c r="AB115" s="43" t="n">
        <f aca="false">IF(Arterial=0,IF(Informed=1,1,0),0)</f>
        <v>0</v>
      </c>
      <c r="AC115" s="43" t="n">
        <f aca="false">IF(Arterial=0,IF(Informed=0,1,0),0)</f>
        <v>0</v>
      </c>
      <c r="AD115" s="43" t="n">
        <f aca="false">IF(Arterial=1,IF(Informed=1,1,0),0)</f>
        <v>1</v>
      </c>
      <c r="AE115" s="43" t="n">
        <f aca="false">IF(Arterial=1,IF(Informed=0,1,0),0)</f>
        <v>0</v>
      </c>
      <c r="AF115" s="35" t="n">
        <f aca="false">IF(AB115=1,(X115-G$1030)^2,0)</f>
        <v>0</v>
      </c>
      <c r="AG115" s="35" t="n">
        <f aca="false">IF(AC115=1,(Y115-H$1030)^2,0)</f>
        <v>0</v>
      </c>
      <c r="AH115" s="35" t="n">
        <f aca="false">IF(AD115=1,(Z115-I$1030)^2,0)</f>
        <v>295.639264668701</v>
      </c>
      <c r="AI115" s="35" t="n">
        <f aca="false">IF(AE115=1,(AA115-J$1030)^2,0)</f>
        <v>0</v>
      </c>
      <c r="AJ115" s="37" t="n">
        <f aca="true">IF(RAND()&lt;$D$6,1,0)</f>
        <v>0</v>
      </c>
      <c r="AK115" s="14" t="n">
        <f aca="false">AK114+IF((AJ115=1),IF((H115=0),1,0),0)</f>
        <v>0</v>
      </c>
      <c r="AL115" s="14" t="n">
        <f aca="false">AL114+IF((AJ115=1),IF((H115=1),1,0),0)</f>
        <v>0</v>
      </c>
      <c r="AM115" s="37" t="n">
        <f aca="false">IF(AK115=0,9999,IF($H115=0,IF($AJ115&lt;1,AM114+1,0),AM114))</f>
        <v>9999</v>
      </c>
      <c r="AN115" s="37" t="n">
        <f aca="false">IF(AL115=0,9999,IF($H115=1,IF($AJ115&lt;1,AN114+1,0),AN114))</f>
        <v>9999</v>
      </c>
      <c r="AO115" s="37" t="n">
        <f aca="false">IF($A115-AM115&gt;0,1/(1+AM115),0)</f>
        <v>0</v>
      </c>
      <c r="AP115" s="37" t="n">
        <f aca="false">IF($A115-AN115&gt;0,1/(1+AN115),0)</f>
        <v>0</v>
      </c>
      <c r="AQ115" s="7" t="n">
        <f aca="false">IF(AK115=0,0,MAX(MIN(1,AO115^Power),0))</f>
        <v>0</v>
      </c>
      <c r="AR115" s="7" t="n">
        <f aca="false">IF(AL115=0,0,MAX(MIN(1,AP115^Power),0))</f>
        <v>0</v>
      </c>
      <c r="AS115" s="7" t="n">
        <f aca="false">IF($AJ115=1,IF($H115=0,K115,AS114),AS114)</f>
        <v>0</v>
      </c>
      <c r="AT115" s="7" t="n">
        <f aca="false">IF($AJ115=1,IF($H115=1,N115,AT114),AT114)</f>
        <v>0</v>
      </c>
    </row>
    <row r="116" customFormat="false" ht="13" hidden="false" customHeight="false" outlineLevel="0" collapsed="false">
      <c r="A116" s="16" t="n">
        <v>99</v>
      </c>
      <c r="B116" s="37" t="n">
        <f aca="true">IF(RAND()&lt;$D$8,1,0)</f>
        <v>1</v>
      </c>
      <c r="C116" s="20" t="n">
        <f aca="true">-LN(RAND())/$D$2</f>
        <v>0.762412279088864</v>
      </c>
      <c r="D116" s="38" t="n">
        <f aca="false">D115+C116</f>
        <v>127.814299731092</v>
      </c>
      <c r="E116" s="39" t="n">
        <f aca="false">MAX($E$3,AS115)</f>
        <v>0</v>
      </c>
      <c r="F116" s="39" t="n">
        <f aca="false">MAX($E$3,AT115)</f>
        <v>0</v>
      </c>
      <c r="G116" s="40" t="n">
        <v>0.5</v>
      </c>
      <c r="H116" s="38" t="n">
        <f aca="true">IF((B116=1),(IF((F116&lt;E116),1,(IF((F116=E116),(IF(RAND()&lt;G116,1,0)),0)))),(IF((RAND()&lt;G116),1,0)))</f>
        <v>0</v>
      </c>
      <c r="I116" s="38" t="n">
        <f aca="true">IF((H116=1),0,$D$3+$D$5*(RAND()-0.5))</f>
        <v>1.85132804017229</v>
      </c>
      <c r="J116" s="38" t="n">
        <f aca="false">I116+MAX(D116,J115)</f>
        <v>129.665627771265</v>
      </c>
      <c r="K116" s="38" t="n">
        <f aca="false">IF((H116=0),J116-D116,0)</f>
        <v>1.85132804017228</v>
      </c>
      <c r="L116" s="38" t="n">
        <f aca="true">IF(($H116=0),0,$D$4+$D$5*(RAND()-0.5))</f>
        <v>0</v>
      </c>
      <c r="M116" s="38" t="n">
        <f aca="false">L116+MAX(D116,M115)</f>
        <v>138.232558564831</v>
      </c>
      <c r="N116" s="38" t="n">
        <f aca="false">IF((H116=1),M116-D116,0)</f>
        <v>0</v>
      </c>
      <c r="O116" s="16" t="n">
        <v>99</v>
      </c>
      <c r="P116" s="41" t="n">
        <f aca="false">IF((Arterial=0),P115+1,P115)</f>
        <v>42</v>
      </c>
      <c r="Q116" s="41" t="n">
        <f aca="false">IF((Arterial=1),Q115+1,Q115)</f>
        <v>57</v>
      </c>
      <c r="R116" s="42" t="e">
        <f aca="false">IF((RESET=1),0,R116+K116)</f>
        <v>#N/A</v>
      </c>
      <c r="S116" s="14" t="n">
        <f aca="false">IF(RESET=1,0,S116+N116)</f>
        <v>345.78516598465</v>
      </c>
      <c r="T116" s="2" t="e">
        <f aca="false">IF(RESET=1,0,T116+IF(H116=0,1,0))</f>
        <v>#N/A</v>
      </c>
      <c r="U116" s="2" t="n">
        <f aca="false">IF(RESET=1,0,U116+H116)</f>
        <v>38</v>
      </c>
      <c r="V116" s="14" t="e">
        <f aca="false">R116/(T116+0.00001)</f>
        <v>#N/A</v>
      </c>
      <c r="W116" s="14" t="n">
        <f aca="false">S116/(U116+0.0001)</f>
        <v>9.09958568489689</v>
      </c>
      <c r="X116" s="39" t="n">
        <f aca="false">IF(Informed=1,K116,0)</f>
        <v>1.85132804017228</v>
      </c>
      <c r="Y116" s="39" t="n">
        <f aca="false">IF(Informed=0,K116,0)</f>
        <v>0</v>
      </c>
      <c r="Z116" s="39" t="n">
        <f aca="false">IF(Informed=1,N116,0)</f>
        <v>0</v>
      </c>
      <c r="AA116" s="39" t="n">
        <f aca="false">IF(Informed=0,N116,0)</f>
        <v>0</v>
      </c>
      <c r="AB116" s="43" t="n">
        <f aca="false">IF(Arterial=0,IF(Informed=1,1,0),0)</f>
        <v>1</v>
      </c>
      <c r="AC116" s="43" t="n">
        <f aca="false">IF(Arterial=0,IF(Informed=0,1,0),0)</f>
        <v>0</v>
      </c>
      <c r="AD116" s="43" t="n">
        <f aca="false">IF(Arterial=1,IF(Informed=1,1,0),0)</f>
        <v>0</v>
      </c>
      <c r="AE116" s="43" t="n">
        <f aca="false">IF(Arterial=1,IF(Informed=0,1,0),0)</f>
        <v>0</v>
      </c>
      <c r="AF116" s="35" t="n">
        <f aca="false">IF(AB116=1,(X116-G$1030)^2,0)</f>
        <v>78.4703682942923</v>
      </c>
      <c r="AG116" s="35" t="n">
        <f aca="false">IF(AC116=1,(Y116-H$1030)^2,0)</f>
        <v>0</v>
      </c>
      <c r="AH116" s="35" t="n">
        <f aca="false">IF(AD116=1,(Z116-I$1030)^2,0)</f>
        <v>0</v>
      </c>
      <c r="AI116" s="35" t="n">
        <f aca="false">IF(AE116=1,(AA116-J$1030)^2,0)</f>
        <v>0</v>
      </c>
      <c r="AJ116" s="37" t="n">
        <f aca="true">IF(RAND()&lt;$D$6,1,0)</f>
        <v>0</v>
      </c>
      <c r="AK116" s="14" t="n">
        <f aca="false">AK115+IF((AJ116=1),IF((H116=0),1,0),0)</f>
        <v>0</v>
      </c>
      <c r="AL116" s="14" t="n">
        <f aca="false">AL115+IF((AJ116=1),IF((H116=1),1,0),0)</f>
        <v>0</v>
      </c>
      <c r="AM116" s="37" t="n">
        <f aca="false">IF(AK116=0,9999,IF($H116=0,IF($AJ116&lt;1,AM115+1,0),AM115))</f>
        <v>9999</v>
      </c>
      <c r="AN116" s="37" t="n">
        <f aca="false">IF(AL116=0,9999,IF($H116=1,IF($AJ116&lt;1,AN115+1,0),AN115))</f>
        <v>9999</v>
      </c>
      <c r="AO116" s="37" t="n">
        <f aca="false">IF($A116-AM116&gt;0,1/(1+AM116),0)</f>
        <v>0</v>
      </c>
      <c r="AP116" s="37" t="n">
        <f aca="false">IF($A116-AN116&gt;0,1/(1+AN116),0)</f>
        <v>0</v>
      </c>
      <c r="AQ116" s="7" t="n">
        <f aca="false">IF(AK116=0,0,MAX(MIN(1,AO116^Power),0))</f>
        <v>0</v>
      </c>
      <c r="AR116" s="7" t="n">
        <f aca="false">IF(AL116=0,0,MAX(MIN(1,AP116^Power),0))</f>
        <v>0</v>
      </c>
      <c r="AS116" s="7" t="n">
        <f aca="false">IF($AJ116=1,IF($H116=0,K116,AS115),AS115)</f>
        <v>0</v>
      </c>
      <c r="AT116" s="7" t="n">
        <f aca="false">IF($AJ116=1,IF($H116=1,N116,AT115),AT115)</f>
        <v>0</v>
      </c>
    </row>
    <row r="117" customFormat="false" ht="13" hidden="false" customHeight="false" outlineLevel="0" collapsed="false">
      <c r="A117" s="16" t="n">
        <v>100</v>
      </c>
      <c r="B117" s="37" t="n">
        <f aca="true">IF(RAND()&lt;$D$8,1,0)</f>
        <v>1</v>
      </c>
      <c r="C117" s="20" t="n">
        <f aca="true">-LN(RAND())/$D$2</f>
        <v>0.895863232476913</v>
      </c>
      <c r="D117" s="38" t="n">
        <f aca="false">D116+C117</f>
        <v>128.710162963569</v>
      </c>
      <c r="E117" s="39" t="n">
        <f aca="false">MAX($E$3,AS116)</f>
        <v>0</v>
      </c>
      <c r="F117" s="39" t="n">
        <f aca="false">MAX($E$3,AT116)</f>
        <v>0</v>
      </c>
      <c r="G117" s="40" t="n">
        <v>0.5</v>
      </c>
      <c r="H117" s="38" t="n">
        <f aca="true">IF((B117=1),(IF((F117&lt;E117),1,(IF((F117=E117),(IF(RAND()&lt;G117,1,0)),0)))),(IF((RAND()&lt;G117),1,0)))</f>
        <v>0</v>
      </c>
      <c r="I117" s="38" t="n">
        <f aca="true">IF((H117=1),0,$D$3+$D$5*(RAND()-0.5))</f>
        <v>2.14520877092201</v>
      </c>
      <c r="J117" s="38" t="n">
        <f aca="false">I117+MAX(D117,J116)</f>
        <v>131.810836542187</v>
      </c>
      <c r="K117" s="38" t="n">
        <f aca="false">IF((H117=0),J117-D117,0)</f>
        <v>3.10067357861738</v>
      </c>
      <c r="L117" s="38" t="n">
        <f aca="true">IF(($H117=0),0,$D$4+$D$5*(RAND()-0.5))</f>
        <v>0</v>
      </c>
      <c r="M117" s="38" t="n">
        <f aca="false">L117+MAX(D117,M116)</f>
        <v>138.232558564831</v>
      </c>
      <c r="N117" s="38" t="n">
        <f aca="false">IF((H117=1),M117-D117,0)</f>
        <v>0</v>
      </c>
      <c r="O117" s="16" t="n">
        <v>100</v>
      </c>
      <c r="P117" s="41" t="n">
        <f aca="false">IF((Arterial=0),P116+1,P116)</f>
        <v>43</v>
      </c>
      <c r="Q117" s="41" t="n">
        <f aca="false">IF((Arterial=1),Q116+1,Q116)</f>
        <v>57</v>
      </c>
      <c r="R117" s="42" t="e">
        <f aca="false">IF((RESET=1),0,R117+K117)</f>
        <v>#N/A</v>
      </c>
      <c r="S117" s="14" t="n">
        <f aca="false">IF(RESET=1,0,S117+N117)</f>
        <v>437.678432487059</v>
      </c>
      <c r="T117" s="2" t="e">
        <f aca="false">IF(RESET=1,0,T117+IF(H117=0,1,0))</f>
        <v>#N/A</v>
      </c>
      <c r="U117" s="2" t="n">
        <f aca="false">IF(RESET=1,0,U117+H117)</f>
        <v>48</v>
      </c>
      <c r="V117" s="14" t="e">
        <f aca="false">R117/(T117+0.00001)</f>
        <v>#N/A</v>
      </c>
      <c r="W117" s="14" t="n">
        <f aca="false">S117/(U117+0.0001)</f>
        <v>9.11828168039357</v>
      </c>
      <c r="X117" s="39" t="n">
        <f aca="false">IF(Informed=1,K117,0)</f>
        <v>3.10067357861738</v>
      </c>
      <c r="Y117" s="39" t="n">
        <f aca="false">IF(Informed=0,K117,0)</f>
        <v>0</v>
      </c>
      <c r="Z117" s="39" t="n">
        <f aca="false">IF(Informed=1,N117,0)</f>
        <v>0</v>
      </c>
      <c r="AA117" s="39" t="n">
        <f aca="false">IF(Informed=0,N117,0)</f>
        <v>0</v>
      </c>
      <c r="AB117" s="43" t="n">
        <f aca="false">IF(Arterial=0,IF(Informed=1,1,0),0)</f>
        <v>1</v>
      </c>
      <c r="AC117" s="43" t="n">
        <f aca="false">IF(Arterial=0,IF(Informed=0,1,0),0)</f>
        <v>0</v>
      </c>
      <c r="AD117" s="43" t="n">
        <f aca="false">IF(Arterial=1,IF(Informed=1,1,0),0)</f>
        <v>0</v>
      </c>
      <c r="AE117" s="43" t="n">
        <f aca="false">IF(Arterial=1,IF(Informed=0,1,0),0)</f>
        <v>0</v>
      </c>
      <c r="AF117" s="35" t="n">
        <f aca="false">IF(AB117=1,(X117-G$1030)^2,0)</f>
        <v>57.8969519640037</v>
      </c>
      <c r="AG117" s="35" t="n">
        <f aca="false">IF(AC117=1,(Y117-H$1030)^2,0)</f>
        <v>0</v>
      </c>
      <c r="AH117" s="35" t="n">
        <f aca="false">IF(AD117=1,(Z117-I$1030)^2,0)</f>
        <v>0</v>
      </c>
      <c r="AI117" s="35" t="n">
        <f aca="false">IF(AE117=1,(AA117-J$1030)^2,0)</f>
        <v>0</v>
      </c>
      <c r="AJ117" s="37" t="n">
        <f aca="true">IF(RAND()&lt;$D$6,1,0)</f>
        <v>0</v>
      </c>
      <c r="AK117" s="14" t="n">
        <f aca="false">AK116+IF((AJ117=1),IF((H117=0),1,0),0)</f>
        <v>0</v>
      </c>
      <c r="AL117" s="14" t="n">
        <f aca="false">AL116+IF((AJ117=1),IF((H117=1),1,0),0)</f>
        <v>0</v>
      </c>
      <c r="AM117" s="37" t="n">
        <f aca="false">IF(AK117=0,9999,IF($H117=0,IF($AJ117&lt;1,AM116+1,0),AM116))</f>
        <v>9999</v>
      </c>
      <c r="AN117" s="37" t="n">
        <f aca="false">IF(AL117=0,9999,IF($H117=1,IF($AJ117&lt;1,AN116+1,0),AN116))</f>
        <v>9999</v>
      </c>
      <c r="AO117" s="37" t="n">
        <f aca="false">IF($A117-AM117&gt;0,1/(1+AM117),0)</f>
        <v>0</v>
      </c>
      <c r="AP117" s="37" t="n">
        <f aca="false">IF($A117-AN117&gt;0,1/(1+AN117),0)</f>
        <v>0</v>
      </c>
      <c r="AQ117" s="7" t="n">
        <f aca="false">IF(AK117=0,0,MAX(MIN(1,AO117^Power),0))</f>
        <v>0</v>
      </c>
      <c r="AR117" s="7" t="n">
        <f aca="false">IF(AL117=0,0,MAX(MIN(1,AP117^Power),0))</f>
        <v>0</v>
      </c>
      <c r="AS117" s="7" t="n">
        <f aca="false">IF($AJ117=1,IF($H117=0,K117,AS116),AS116)</f>
        <v>0</v>
      </c>
      <c r="AT117" s="7" t="n">
        <f aca="false">IF($AJ117=1,IF($H117=1,N117,AT116),AT116)</f>
        <v>0</v>
      </c>
    </row>
    <row r="118" customFormat="false" ht="13" hidden="false" customHeight="false" outlineLevel="0" collapsed="false">
      <c r="A118" s="16" t="n">
        <v>101</v>
      </c>
      <c r="B118" s="37" t="n">
        <f aca="true">IF(RAND()&lt;$D$8,1,0)</f>
        <v>0</v>
      </c>
      <c r="C118" s="20" t="n">
        <f aca="true">-LN(RAND())/$D$2</f>
        <v>1.55209709081892</v>
      </c>
      <c r="D118" s="38" t="n">
        <f aca="false">D117+C118</f>
        <v>130.262260054388</v>
      </c>
      <c r="E118" s="39" t="n">
        <f aca="false">MAX($E$3,AS117)</f>
        <v>0</v>
      </c>
      <c r="F118" s="39" t="n">
        <f aca="false">MAX($E$3,AT117)</f>
        <v>0</v>
      </c>
      <c r="G118" s="40" t="n">
        <v>0.5</v>
      </c>
      <c r="H118" s="38" t="n">
        <f aca="true">IF((B118=1),(IF((F118&lt;E118),1,(IF((F118=E118),(IF(RAND()&lt;G118,1,0)),0)))),(IF((RAND()&lt;G118),1,0)))</f>
        <v>0</v>
      </c>
      <c r="I118" s="38" t="n">
        <f aca="true">IF((H118=1),0,$D$3+$D$5*(RAND()-0.5))</f>
        <v>2.01684976230975</v>
      </c>
      <c r="J118" s="38" t="n">
        <f aca="false">I118+MAX(D118,J117)</f>
        <v>133.827686304497</v>
      </c>
      <c r="K118" s="38" t="n">
        <f aca="false">IF((H118=0),J118-D118,0)</f>
        <v>3.5654262501082</v>
      </c>
      <c r="L118" s="38" t="n">
        <f aca="true">IF(($H118=0),0,$D$4+$D$5*(RAND()-0.5))</f>
        <v>0</v>
      </c>
      <c r="M118" s="38" t="n">
        <f aca="false">L118+MAX(D118,M117)</f>
        <v>138.232558564831</v>
      </c>
      <c r="N118" s="38" t="n">
        <f aca="false">IF((H118=1),M118-D118,0)</f>
        <v>0</v>
      </c>
      <c r="O118" s="16" t="n">
        <v>101</v>
      </c>
      <c r="P118" s="41" t="n">
        <f aca="false">IF((Arterial=0),P117+1,P117)</f>
        <v>44</v>
      </c>
      <c r="Q118" s="41" t="n">
        <f aca="false">IF((Arterial=1),Q117+1,Q117)</f>
        <v>57</v>
      </c>
      <c r="R118" s="42" t="e">
        <f aca="false">IF((RESET=1),0,R118+K118)</f>
        <v>#N/A</v>
      </c>
      <c r="S118" s="14" t="n">
        <f aca="false">IF(RESET=1,0,S118+N118)</f>
        <v>271.24427104694</v>
      </c>
      <c r="T118" s="2" t="e">
        <f aca="false">IF(RESET=1,0,T118+IF(H118=0,1,0))</f>
        <v>#N/A</v>
      </c>
      <c r="U118" s="2" t="n">
        <f aca="false">IF(RESET=1,0,U118+H118)</f>
        <v>29</v>
      </c>
      <c r="V118" s="14" t="e">
        <f aca="false">R118/(T118+0.00001)</f>
        <v>#N/A</v>
      </c>
      <c r="W118" s="14" t="n">
        <f aca="false">S118/(U118+0.0001)</f>
        <v>9.35321847327905</v>
      </c>
      <c r="X118" s="39" t="n">
        <f aca="false">IF(Informed=1,K118,0)</f>
        <v>0</v>
      </c>
      <c r="Y118" s="39" t="n">
        <f aca="false">IF(Informed=0,K118,0)</f>
        <v>3.5654262501082</v>
      </c>
      <c r="Z118" s="39" t="n">
        <f aca="false">IF(Informed=1,N118,0)</f>
        <v>0</v>
      </c>
      <c r="AA118" s="39" t="n">
        <f aca="false">IF(Informed=0,N118,0)</f>
        <v>0</v>
      </c>
      <c r="AB118" s="43" t="n">
        <f aca="false">IF(Arterial=0,IF(Informed=1,1,0),0)</f>
        <v>0</v>
      </c>
      <c r="AC118" s="43" t="n">
        <f aca="false">IF(Arterial=0,IF(Informed=0,1,0),0)</f>
        <v>1</v>
      </c>
      <c r="AD118" s="43" t="n">
        <f aca="false">IF(Arterial=1,IF(Informed=1,1,0),0)</f>
        <v>0</v>
      </c>
      <c r="AE118" s="43" t="n">
        <f aca="false">IF(Arterial=1,IF(Informed=0,1,0),0)</f>
        <v>0</v>
      </c>
      <c r="AF118" s="35" t="n">
        <f aca="false">IF(AB118=1,(X118-G$1030)^2,0)</f>
        <v>0</v>
      </c>
      <c r="AG118" s="35" t="n">
        <f aca="false">IF(AC118=1,(Y118-H$1030)^2,0)</f>
        <v>54.1454471818829</v>
      </c>
      <c r="AH118" s="35" t="n">
        <f aca="false">IF(AD118=1,(Z118-I$1030)^2,0)</f>
        <v>0</v>
      </c>
      <c r="AI118" s="35" t="n">
        <f aca="false">IF(AE118=1,(AA118-J$1030)^2,0)</f>
        <v>0</v>
      </c>
      <c r="AJ118" s="37" t="n">
        <f aca="true">IF(RAND()&lt;$D$6,1,0)</f>
        <v>0</v>
      </c>
      <c r="AK118" s="14" t="n">
        <f aca="false">AK117+IF((AJ118=1),IF((H118=0),1,0),0)</f>
        <v>0</v>
      </c>
      <c r="AL118" s="14" t="n">
        <f aca="false">AL117+IF((AJ118=1),IF((H118=1),1,0),0)</f>
        <v>0</v>
      </c>
      <c r="AM118" s="37" t="n">
        <f aca="false">IF(AK118=0,9999,IF($H118=0,IF($AJ118&lt;1,AM117+1,0),AM117))</f>
        <v>9999</v>
      </c>
      <c r="AN118" s="37" t="n">
        <f aca="false">IF(AL118=0,9999,IF($H118=1,IF($AJ118&lt;1,AN117+1,0),AN117))</f>
        <v>9999</v>
      </c>
      <c r="AO118" s="37" t="n">
        <f aca="false">IF($A118-AM118&gt;0,1/(1+AM118),0)</f>
        <v>0</v>
      </c>
      <c r="AP118" s="37" t="n">
        <f aca="false">IF($A118-AN118&gt;0,1/(1+AN118),0)</f>
        <v>0</v>
      </c>
      <c r="AQ118" s="7" t="n">
        <f aca="false">IF(AK118=0,0,MAX(MIN(1,AO118^Power),0))</f>
        <v>0</v>
      </c>
      <c r="AR118" s="7" t="n">
        <f aca="false">IF(AL118=0,0,MAX(MIN(1,AP118^Power),0))</f>
        <v>0</v>
      </c>
      <c r="AS118" s="7" t="n">
        <f aca="false">IF($AJ118=1,IF($H118=0,K118,AS117),AS117)</f>
        <v>0</v>
      </c>
      <c r="AT118" s="7" t="n">
        <f aca="false">IF($AJ118=1,IF($H118=1,N118,AT117),AT117)</f>
        <v>0</v>
      </c>
    </row>
    <row r="119" customFormat="false" ht="13" hidden="false" customHeight="false" outlineLevel="0" collapsed="false">
      <c r="A119" s="16" t="n">
        <v>102</v>
      </c>
      <c r="B119" s="37" t="n">
        <f aca="true">IF(RAND()&lt;$D$8,1,0)</f>
        <v>1</v>
      </c>
      <c r="C119" s="20" t="n">
        <f aca="true">-LN(RAND())/$D$2</f>
        <v>1.19079686797658</v>
      </c>
      <c r="D119" s="38" t="n">
        <f aca="false">D118+C119</f>
        <v>131.453056922365</v>
      </c>
      <c r="E119" s="39" t="n">
        <f aca="false">MAX($E$3,AS118)</f>
        <v>0</v>
      </c>
      <c r="F119" s="39" t="n">
        <f aca="false">MAX($E$3,AT118)</f>
        <v>0</v>
      </c>
      <c r="G119" s="40" t="n">
        <v>0.5</v>
      </c>
      <c r="H119" s="38" t="n">
        <f aca="true">IF((B119=1),(IF((F119&lt;E119),1,(IF((F119=E119),(IF(RAND()&lt;G119,1,0)),0)))),(IF((RAND()&lt;G119),1,0)))</f>
        <v>1</v>
      </c>
      <c r="I119" s="38" t="n">
        <f aca="true">IF((H119=1),0,$D$3+$D$5*(RAND()-0.5))</f>
        <v>0</v>
      </c>
      <c r="J119" s="38" t="n">
        <f aca="false">I119+MAX(D119,J118)</f>
        <v>133.827686304497</v>
      </c>
      <c r="K119" s="38" t="n">
        <f aca="false">IF((H119=0),J119-D119,0)</f>
        <v>0</v>
      </c>
      <c r="L119" s="38" t="n">
        <f aca="true">IF(($H119=0),0,$D$4+$D$5*(RAND()-0.5))</f>
        <v>1.87495379761879</v>
      </c>
      <c r="M119" s="38" t="n">
        <f aca="false">L119+MAX(D119,M118)</f>
        <v>140.107512362449</v>
      </c>
      <c r="N119" s="38" t="n">
        <f aca="false">IF((H119=1),M119-D119,0)</f>
        <v>8.65445544008441</v>
      </c>
      <c r="O119" s="16" t="n">
        <v>102</v>
      </c>
      <c r="P119" s="41" t="n">
        <f aca="false">IF((Arterial=0),P118+1,P118)</f>
        <v>44</v>
      </c>
      <c r="Q119" s="41" t="n">
        <f aca="false">IF((Arterial=1),Q118+1,Q118)</f>
        <v>58</v>
      </c>
      <c r="R119" s="42" t="n">
        <f aca="false">IF((RESET=1),0,R119+K119)</f>
        <v>443.60461159819</v>
      </c>
      <c r="S119" s="14" t="e">
        <f aca="false">IF(RESET=1,0,S119+N119)</f>
        <v>#N/A</v>
      </c>
      <c r="T119" s="2" t="n">
        <f aca="false">IF(RESET=1,0,T119+IF(H119=0,1,0))</f>
        <v>43</v>
      </c>
      <c r="U119" s="2" t="e">
        <f aca="false">IF(RESET=1,0,U119+H119)</f>
        <v>#N/A</v>
      </c>
      <c r="V119" s="14" t="n">
        <f aca="false">R119/(T119+0.00001)</f>
        <v>10.3163839170779</v>
      </c>
      <c r="W119" s="14" t="e">
        <f aca="false">S119/(U119+0.0001)</f>
        <v>#N/A</v>
      </c>
      <c r="X119" s="39" t="n">
        <f aca="false">IF(Informed=1,K119,0)</f>
        <v>0</v>
      </c>
      <c r="Y119" s="39" t="n">
        <f aca="false">IF(Informed=0,K119,0)</f>
        <v>0</v>
      </c>
      <c r="Z119" s="39" t="n">
        <f aca="false">IF(Informed=1,N119,0)</f>
        <v>8.65445544008441</v>
      </c>
      <c r="AA119" s="39" t="n">
        <f aca="false">IF(Informed=0,N119,0)</f>
        <v>0</v>
      </c>
      <c r="AB119" s="43" t="n">
        <f aca="false">IF(Arterial=0,IF(Informed=1,1,0),0)</f>
        <v>0</v>
      </c>
      <c r="AC119" s="43" t="n">
        <f aca="false">IF(Arterial=0,IF(Informed=0,1,0),0)</f>
        <v>0</v>
      </c>
      <c r="AD119" s="43" t="n">
        <f aca="false">IF(Arterial=1,IF(Informed=1,1,0),0)</f>
        <v>1</v>
      </c>
      <c r="AE119" s="43" t="n">
        <f aca="false">IF(Arterial=1,IF(Informed=0,1,0),0)</f>
        <v>0</v>
      </c>
      <c r="AF119" s="35" t="n">
        <f aca="false">IF(AB119=1,(X119-G$1030)^2,0)</f>
        <v>0</v>
      </c>
      <c r="AG119" s="35" t="n">
        <f aca="false">IF(AC119=1,(Y119-H$1030)^2,0)</f>
        <v>0</v>
      </c>
      <c r="AH119" s="35" t="n">
        <f aca="false">IF(AD119=1,(Z119-I$1030)^2,0)</f>
        <v>388.893361832209</v>
      </c>
      <c r="AI119" s="35" t="n">
        <f aca="false">IF(AE119=1,(AA119-J$1030)^2,0)</f>
        <v>0</v>
      </c>
      <c r="AJ119" s="37" t="n">
        <f aca="true">IF(RAND()&lt;$D$6,1,0)</f>
        <v>0</v>
      </c>
      <c r="AK119" s="14" t="n">
        <f aca="false">AK118+IF((AJ119=1),IF((H119=0),1,0),0)</f>
        <v>0</v>
      </c>
      <c r="AL119" s="14" t="n">
        <f aca="false">AL118+IF((AJ119=1),IF((H119=1),1,0),0)</f>
        <v>0</v>
      </c>
      <c r="AM119" s="37" t="n">
        <f aca="false">IF(AK119=0,9999,IF($H119=0,IF($AJ119&lt;1,AM118+1,0),AM118))</f>
        <v>9999</v>
      </c>
      <c r="AN119" s="37" t="n">
        <f aca="false">IF(AL119=0,9999,IF($H119=1,IF($AJ119&lt;1,AN118+1,0),AN118))</f>
        <v>9999</v>
      </c>
      <c r="AO119" s="37" t="n">
        <f aca="false">IF($A119-AM119&gt;0,1/(1+AM119),0)</f>
        <v>0</v>
      </c>
      <c r="AP119" s="37" t="n">
        <f aca="false">IF($A119-AN119&gt;0,1/(1+AN119),0)</f>
        <v>0</v>
      </c>
      <c r="AQ119" s="7" t="n">
        <f aca="false">IF(AK119=0,0,MAX(MIN(1,AO119^Power),0))</f>
        <v>0</v>
      </c>
      <c r="AR119" s="7" t="n">
        <f aca="false">IF(AL119=0,0,MAX(MIN(1,AP119^Power),0))</f>
        <v>0</v>
      </c>
      <c r="AS119" s="7" t="n">
        <f aca="false">IF($AJ119=1,IF($H119=0,K119,AS118),AS118)</f>
        <v>0</v>
      </c>
      <c r="AT119" s="7" t="n">
        <f aca="false">IF($AJ119=1,IF($H119=1,N119,AT118),AT118)</f>
        <v>0</v>
      </c>
    </row>
    <row r="120" customFormat="false" ht="13" hidden="false" customHeight="false" outlineLevel="0" collapsed="false">
      <c r="A120" s="16" t="n">
        <v>103</v>
      </c>
      <c r="B120" s="37" t="n">
        <f aca="true">IF(RAND()&lt;$D$8,1,0)</f>
        <v>1</v>
      </c>
      <c r="C120" s="20" t="n">
        <f aca="true">-LN(RAND())/$D$2</f>
        <v>0.609361309234049</v>
      </c>
      <c r="D120" s="38" t="n">
        <f aca="false">D119+C120</f>
        <v>132.062418231599</v>
      </c>
      <c r="E120" s="39" t="n">
        <f aca="false">MAX($E$3,AS119)</f>
        <v>0</v>
      </c>
      <c r="F120" s="39" t="n">
        <f aca="false">MAX($E$3,AT119)</f>
        <v>0</v>
      </c>
      <c r="G120" s="40" t="n">
        <v>0.5</v>
      </c>
      <c r="H120" s="38" t="n">
        <f aca="true">IF((B120=1),(IF((F120&lt;E120),1,(IF((F120=E120),(IF(RAND()&lt;G120,1,0)),0)))),(IF((RAND()&lt;G120),1,0)))</f>
        <v>1</v>
      </c>
      <c r="I120" s="38" t="n">
        <f aca="true">IF((H120=1),0,$D$3+$D$5*(RAND()-0.5))</f>
        <v>0</v>
      </c>
      <c r="J120" s="38" t="n">
        <f aca="false">I120+MAX(D120,J119)</f>
        <v>133.827686304497</v>
      </c>
      <c r="K120" s="38" t="n">
        <f aca="false">IF((H120=0),J120-D120,0)</f>
        <v>0</v>
      </c>
      <c r="L120" s="38" t="n">
        <f aca="true">IF(($H120=0),0,$D$4+$D$5*(RAND()-0.5))</f>
        <v>1.87261981990502</v>
      </c>
      <c r="M120" s="38" t="n">
        <f aca="false">L120+MAX(D120,M119)</f>
        <v>141.980132182354</v>
      </c>
      <c r="N120" s="38" t="n">
        <f aca="false">IF((H120=1),M120-D120,0)</f>
        <v>9.91771395075537</v>
      </c>
      <c r="O120" s="16" t="n">
        <v>103</v>
      </c>
      <c r="P120" s="41" t="n">
        <f aca="false">IF((Arterial=0),P119+1,P119)</f>
        <v>44</v>
      </c>
      <c r="Q120" s="41" t="n">
        <f aca="false">IF((Arterial=1),Q119+1,Q119)</f>
        <v>59</v>
      </c>
      <c r="R120" s="42" t="n">
        <f aca="false">IF((RESET=1),0,R120+K120)</f>
        <v>497.66007447592</v>
      </c>
      <c r="S120" s="14" t="e">
        <f aca="false">IF(RESET=1,0,S120+N120)</f>
        <v>#N/A</v>
      </c>
      <c r="T120" s="2" t="n">
        <f aca="false">IF(RESET=1,0,T120+IF(H120=0,1,0))</f>
        <v>47</v>
      </c>
      <c r="U120" s="2" t="e">
        <f aca="false">IF(RESET=1,0,U120+H120)</f>
        <v>#N/A</v>
      </c>
      <c r="V120" s="14" t="n">
        <f aca="false">R120/(T120+0.00001)</f>
        <v>10.5885099700175</v>
      </c>
      <c r="W120" s="14" t="e">
        <f aca="false">S120/(U120+0.0001)</f>
        <v>#N/A</v>
      </c>
      <c r="X120" s="39" t="n">
        <f aca="false">IF(Informed=1,K120,0)</f>
        <v>0</v>
      </c>
      <c r="Y120" s="39" t="n">
        <f aca="false">IF(Informed=0,K120,0)</f>
        <v>0</v>
      </c>
      <c r="Z120" s="39" t="n">
        <f aca="false">IF(Informed=1,N120,0)</f>
        <v>9.91771395075537</v>
      </c>
      <c r="AA120" s="39" t="n">
        <f aca="false">IF(Informed=0,N120,0)</f>
        <v>0</v>
      </c>
      <c r="AB120" s="43" t="n">
        <f aca="false">IF(Arterial=0,IF(Informed=1,1,0),0)</f>
        <v>0</v>
      </c>
      <c r="AC120" s="43" t="n">
        <f aca="false">IF(Arterial=0,IF(Informed=0,1,0),0)</f>
        <v>0</v>
      </c>
      <c r="AD120" s="43" t="n">
        <f aca="false">IF(Arterial=1,IF(Informed=1,1,0),0)</f>
        <v>1</v>
      </c>
      <c r="AE120" s="43" t="n">
        <f aca="false">IF(Arterial=1,IF(Informed=0,1,0),0)</f>
        <v>0</v>
      </c>
      <c r="AF120" s="35" t="n">
        <f aca="false">IF(AB120=1,(X120-G$1030)^2,0)</f>
        <v>0</v>
      </c>
      <c r="AG120" s="35" t="n">
        <f aca="false">IF(AC120=1,(Y120-H$1030)^2,0)</f>
        <v>0</v>
      </c>
      <c r="AH120" s="35" t="n">
        <f aca="false">IF(AD120=1,(Z120-I$1030)^2,0)</f>
        <v>340.665309793934</v>
      </c>
      <c r="AI120" s="35" t="n">
        <f aca="false">IF(AE120=1,(AA120-J$1030)^2,0)</f>
        <v>0</v>
      </c>
      <c r="AJ120" s="37" t="n">
        <f aca="true">IF(RAND()&lt;$D$6,1,0)</f>
        <v>0</v>
      </c>
      <c r="AK120" s="14" t="n">
        <f aca="false">AK119+IF((AJ120=1),IF((H120=0),1,0),0)</f>
        <v>0</v>
      </c>
      <c r="AL120" s="14" t="n">
        <f aca="false">AL119+IF((AJ120=1),IF((H120=1),1,0),0)</f>
        <v>0</v>
      </c>
      <c r="AM120" s="37" t="n">
        <f aca="false">IF(AK120=0,9999,IF($H120=0,IF($AJ120&lt;1,AM119+1,0),AM119))</f>
        <v>9999</v>
      </c>
      <c r="AN120" s="37" t="n">
        <f aca="false">IF(AL120=0,9999,IF($H120=1,IF($AJ120&lt;1,AN119+1,0),AN119))</f>
        <v>9999</v>
      </c>
      <c r="AO120" s="37" t="n">
        <f aca="false">IF($A120-AM120&gt;0,1/(1+AM120),0)</f>
        <v>0</v>
      </c>
      <c r="AP120" s="37" t="n">
        <f aca="false">IF($A120-AN120&gt;0,1/(1+AN120),0)</f>
        <v>0</v>
      </c>
      <c r="AQ120" s="7" t="n">
        <f aca="false">IF(AK120=0,0,MAX(MIN(1,AO120^Power),0))</f>
        <v>0</v>
      </c>
      <c r="AR120" s="7" t="n">
        <f aca="false">IF(AL120=0,0,MAX(MIN(1,AP120^Power),0))</f>
        <v>0</v>
      </c>
      <c r="AS120" s="7" t="n">
        <f aca="false">IF($AJ120=1,IF($H120=0,K120,AS119),AS119)</f>
        <v>0</v>
      </c>
      <c r="AT120" s="7" t="n">
        <f aca="false">IF($AJ120=1,IF($H120=1,N120,AT119),AT119)</f>
        <v>0</v>
      </c>
    </row>
    <row r="121" customFormat="false" ht="13" hidden="false" customHeight="false" outlineLevel="0" collapsed="false">
      <c r="A121" s="16" t="n">
        <v>104</v>
      </c>
      <c r="B121" s="37" t="n">
        <f aca="true">IF(RAND()&lt;$D$8,1,0)</f>
        <v>0</v>
      </c>
      <c r="C121" s="20" t="n">
        <f aca="true">-LN(RAND())/$D$2</f>
        <v>2.12017259543387</v>
      </c>
      <c r="D121" s="38" t="n">
        <f aca="false">D120+C121</f>
        <v>134.182590827033</v>
      </c>
      <c r="E121" s="39" t="n">
        <f aca="false">MAX($E$3,AS120)</f>
        <v>0</v>
      </c>
      <c r="F121" s="39" t="n">
        <f aca="false">MAX($E$3,AT120)</f>
        <v>0</v>
      </c>
      <c r="G121" s="40" t="n">
        <v>0.5</v>
      </c>
      <c r="H121" s="38" t="n">
        <f aca="true">IF((B121=1),(IF((F121&lt;E121),1,(IF((F121=E121),(IF(RAND()&lt;G121,1,0)),0)))),(IF((RAND()&lt;G121),1,0)))</f>
        <v>0</v>
      </c>
      <c r="I121" s="38" t="n">
        <f aca="true">IF((H121=1),0,$D$3+$D$5*(RAND()-0.5))</f>
        <v>1.7798543601823</v>
      </c>
      <c r="J121" s="38" t="n">
        <f aca="false">I121+MAX(D121,J120)</f>
        <v>135.962445187215</v>
      </c>
      <c r="K121" s="38" t="n">
        <f aca="false">IF((H121=0),J121-D121,0)</f>
        <v>1.7798543601823</v>
      </c>
      <c r="L121" s="38" t="n">
        <f aca="true">IF(($H121=0),0,$D$4+$D$5*(RAND()-0.5))</f>
        <v>0</v>
      </c>
      <c r="M121" s="38" t="n">
        <f aca="false">L121+MAX(D121,M120)</f>
        <v>141.980132182354</v>
      </c>
      <c r="N121" s="38" t="n">
        <f aca="false">IF((H121=1),M121-D121,0)</f>
        <v>0</v>
      </c>
      <c r="O121" s="16" t="n">
        <v>104</v>
      </c>
      <c r="P121" s="41" t="n">
        <f aca="false">IF((Arterial=0),P120+1,P120)</f>
        <v>45</v>
      </c>
      <c r="Q121" s="41" t="n">
        <f aca="false">IF((Arterial=1),Q120+1,Q120)</f>
        <v>59</v>
      </c>
      <c r="R121" s="42" t="e">
        <f aca="false">IF((RESET=1),0,R121+K121)</f>
        <v>#N/A</v>
      </c>
      <c r="S121" s="14" t="n">
        <f aca="false">IF(RESET=1,0,S121+N121)</f>
        <v>411.481720328558</v>
      </c>
      <c r="T121" s="2" t="e">
        <f aca="false">IF(RESET=1,0,T121+IF(H121=0,1,0))</f>
        <v>#N/A</v>
      </c>
      <c r="U121" s="2" t="n">
        <f aca="false">IF(RESET=1,0,U121+H121)</f>
        <v>40</v>
      </c>
      <c r="V121" s="14" t="e">
        <f aca="false">R121/(T121+0.00001)</f>
        <v>#N/A</v>
      </c>
      <c r="W121" s="14" t="n">
        <f aca="false">S121/(U121+0.0001)</f>
        <v>10.2870172906707</v>
      </c>
      <c r="X121" s="39" t="n">
        <f aca="false">IF(Informed=1,K121,0)</f>
        <v>0</v>
      </c>
      <c r="Y121" s="39" t="n">
        <f aca="false">IF(Informed=0,K121,0)</f>
        <v>1.7798543601823</v>
      </c>
      <c r="Z121" s="39" t="n">
        <f aca="false">IF(Informed=1,N121,0)</f>
        <v>0</v>
      </c>
      <c r="AA121" s="39" t="n">
        <f aca="false">IF(Informed=0,N121,0)</f>
        <v>0</v>
      </c>
      <c r="AB121" s="43" t="n">
        <f aca="false">IF(Arterial=0,IF(Informed=1,1,0),0)</f>
        <v>0</v>
      </c>
      <c r="AC121" s="43" t="n">
        <f aca="false">IF(Arterial=0,IF(Informed=0,1,0),0)</f>
        <v>1</v>
      </c>
      <c r="AD121" s="43" t="n">
        <f aca="false">IF(Arterial=1,IF(Informed=1,1,0),0)</f>
        <v>0</v>
      </c>
      <c r="AE121" s="43" t="n">
        <f aca="false">IF(Arterial=1,IF(Informed=0,1,0),0)</f>
        <v>0</v>
      </c>
      <c r="AF121" s="35" t="n">
        <f aca="false">IF(AB121=1,(X121-G$1030)^2,0)</f>
        <v>0</v>
      </c>
      <c r="AG121" s="35" t="n">
        <f aca="false">IF(AC121=1,(Y121-H$1030)^2,0)</f>
        <v>83.6114721309274</v>
      </c>
      <c r="AH121" s="35" t="n">
        <f aca="false">IF(AD121=1,(Z121-I$1030)^2,0)</f>
        <v>0</v>
      </c>
      <c r="AI121" s="35" t="n">
        <f aca="false">IF(AE121=1,(AA121-J$1030)^2,0)</f>
        <v>0</v>
      </c>
      <c r="AJ121" s="37" t="n">
        <f aca="true">IF(RAND()&lt;$D$6,1,0)</f>
        <v>0</v>
      </c>
      <c r="AK121" s="14" t="n">
        <f aca="false">AK120+IF((AJ121=1),IF((H121=0),1,0),0)</f>
        <v>0</v>
      </c>
      <c r="AL121" s="14" t="n">
        <f aca="false">AL120+IF((AJ121=1),IF((H121=1),1,0),0)</f>
        <v>0</v>
      </c>
      <c r="AM121" s="37" t="n">
        <f aca="false">IF(AK121=0,9999,IF($H121=0,IF($AJ121&lt;1,AM120+1,0),AM120))</f>
        <v>9999</v>
      </c>
      <c r="AN121" s="37" t="n">
        <f aca="false">IF(AL121=0,9999,IF($H121=1,IF($AJ121&lt;1,AN120+1,0),AN120))</f>
        <v>9999</v>
      </c>
      <c r="AO121" s="37" t="n">
        <f aca="false">IF($A121-AM121&gt;0,1/(1+AM121),0)</f>
        <v>0</v>
      </c>
      <c r="AP121" s="37" t="n">
        <f aca="false">IF($A121-AN121&gt;0,1/(1+AN121),0)</f>
        <v>0</v>
      </c>
      <c r="AQ121" s="7" t="n">
        <f aca="false">IF(AK121=0,0,MAX(MIN(1,AO121^Power),0))</f>
        <v>0</v>
      </c>
      <c r="AR121" s="7" t="n">
        <f aca="false">IF(AL121=0,0,MAX(MIN(1,AP121^Power),0))</f>
        <v>0</v>
      </c>
      <c r="AS121" s="7" t="n">
        <f aca="false">IF($AJ121=1,IF($H121=0,K121,AS120),AS120)</f>
        <v>0</v>
      </c>
      <c r="AT121" s="7" t="n">
        <f aca="false">IF($AJ121=1,IF($H121=1,N121,AT120),AT120)</f>
        <v>0</v>
      </c>
    </row>
    <row r="122" customFormat="false" ht="13" hidden="false" customHeight="false" outlineLevel="0" collapsed="false">
      <c r="A122" s="16" t="n">
        <v>105</v>
      </c>
      <c r="B122" s="37" t="n">
        <f aca="true">IF(RAND()&lt;$D$8,1,0)</f>
        <v>0</v>
      </c>
      <c r="C122" s="20" t="n">
        <f aca="true">-LN(RAND())/$D$2</f>
        <v>0.121399694627168</v>
      </c>
      <c r="D122" s="38" t="n">
        <f aca="false">D121+C122</f>
        <v>134.30399052166</v>
      </c>
      <c r="E122" s="39" t="n">
        <f aca="false">MAX($E$3,AS121)</f>
        <v>0</v>
      </c>
      <c r="F122" s="39" t="n">
        <f aca="false">MAX($E$3,AT121)</f>
        <v>0</v>
      </c>
      <c r="G122" s="40" t="n">
        <v>0.5</v>
      </c>
      <c r="H122" s="38" t="n">
        <f aca="true">IF((B122=1),(IF((F122&lt;E122),1,(IF((F122=E122),(IF(RAND()&lt;G122,1,0)),0)))),(IF((RAND()&lt;G122),1,0)))</f>
        <v>1</v>
      </c>
      <c r="I122" s="38" t="n">
        <f aca="true">IF((H122=1),0,$D$3+$D$5*(RAND()-0.5))</f>
        <v>0</v>
      </c>
      <c r="J122" s="38" t="n">
        <f aca="false">I122+MAX(D122,J121)</f>
        <v>135.962445187215</v>
      </c>
      <c r="K122" s="38" t="n">
        <f aca="false">IF((H122=0),J122-D122,0)</f>
        <v>0</v>
      </c>
      <c r="L122" s="38" t="n">
        <f aca="true">IF(($H122=0),0,$D$4+$D$5*(RAND()-0.5))</f>
        <v>2.16459943234878</v>
      </c>
      <c r="M122" s="38" t="n">
        <f aca="false">L122+MAX(D122,M121)</f>
        <v>144.144731614703</v>
      </c>
      <c r="N122" s="38" t="n">
        <f aca="false">IF((H122=1),M122-D122,0)</f>
        <v>9.84074109304311</v>
      </c>
      <c r="O122" s="16" t="n">
        <v>105</v>
      </c>
      <c r="P122" s="41" t="n">
        <f aca="false">IF((Arterial=0),P121+1,P121)</f>
        <v>45</v>
      </c>
      <c r="Q122" s="41" t="n">
        <f aca="false">IF((Arterial=1),Q121+1,Q121)</f>
        <v>60</v>
      </c>
      <c r="R122" s="42" t="n">
        <f aca="false">IF((RESET=1),0,R122+K122)</f>
        <v>477.864007099721</v>
      </c>
      <c r="S122" s="14" t="e">
        <f aca="false">IF(RESET=1,0,S122+N122)</f>
        <v>#N/A</v>
      </c>
      <c r="T122" s="2" t="n">
        <f aca="false">IF(RESET=1,0,T122+IF(H122=0,1,0))</f>
        <v>41</v>
      </c>
      <c r="U122" s="2" t="e">
        <f aca="false">IF(RESET=1,0,U122+H122)</f>
        <v>#N/A</v>
      </c>
      <c r="V122" s="14" t="n">
        <f aca="false">R122/(T122+0.00001)</f>
        <v>11.6552168426232</v>
      </c>
      <c r="W122" s="14" t="e">
        <f aca="false">S122/(U122+0.0001)</f>
        <v>#N/A</v>
      </c>
      <c r="X122" s="39" t="n">
        <f aca="false">IF(Informed=1,K122,0)</f>
        <v>0</v>
      </c>
      <c r="Y122" s="39" t="n">
        <f aca="false">IF(Informed=0,K122,0)</f>
        <v>0</v>
      </c>
      <c r="Z122" s="39" t="n">
        <f aca="false">IF(Informed=1,N122,0)</f>
        <v>0</v>
      </c>
      <c r="AA122" s="39" t="n">
        <f aca="false">IF(Informed=0,N122,0)</f>
        <v>9.84074109304311</v>
      </c>
      <c r="AB122" s="43" t="n">
        <f aca="false">IF(Arterial=0,IF(Informed=1,1,0),0)</f>
        <v>0</v>
      </c>
      <c r="AC122" s="43" t="n">
        <f aca="false">IF(Arterial=0,IF(Informed=0,1,0),0)</f>
        <v>0</v>
      </c>
      <c r="AD122" s="43" t="n">
        <f aca="false">IF(Arterial=1,IF(Informed=1,1,0),0)</f>
        <v>0</v>
      </c>
      <c r="AE122" s="43" t="n">
        <f aca="false">IF(Arterial=1,IF(Informed=0,1,0),0)</f>
        <v>1</v>
      </c>
      <c r="AF122" s="35" t="n">
        <f aca="false">IF(AB122=1,(X122-G$1030)^2,0)</f>
        <v>0</v>
      </c>
      <c r="AG122" s="35" t="n">
        <f aca="false">IF(AC122=1,(Y122-H$1030)^2,0)</f>
        <v>0</v>
      </c>
      <c r="AH122" s="35" t="n">
        <f aca="false">IF(AD122=1,(Z122-I$1030)^2,0)</f>
        <v>0</v>
      </c>
      <c r="AI122" s="35" t="n">
        <f aca="false">IF(AE122=1,(AA122-J$1030)^2,0)</f>
        <v>389.017789392912</v>
      </c>
      <c r="AJ122" s="37" t="n">
        <f aca="true">IF(RAND()&lt;$D$6,1,0)</f>
        <v>0</v>
      </c>
      <c r="AK122" s="14" t="n">
        <f aca="false">AK121+IF((AJ122=1),IF((H122=0),1,0),0)</f>
        <v>0</v>
      </c>
      <c r="AL122" s="14" t="n">
        <f aca="false">AL121+IF((AJ122=1),IF((H122=1),1,0),0)</f>
        <v>0</v>
      </c>
      <c r="AM122" s="37" t="n">
        <f aca="false">IF(AK122=0,9999,IF($H122=0,IF($AJ122&lt;1,AM121+1,0),AM121))</f>
        <v>9999</v>
      </c>
      <c r="AN122" s="37" t="n">
        <f aca="false">IF(AL122=0,9999,IF($H122=1,IF($AJ122&lt;1,AN121+1,0),AN121))</f>
        <v>9999</v>
      </c>
      <c r="AO122" s="37" t="n">
        <f aca="false">IF($A122-AM122&gt;0,1/(1+AM122),0)</f>
        <v>0</v>
      </c>
      <c r="AP122" s="37" t="n">
        <f aca="false">IF($A122-AN122&gt;0,1/(1+AN122),0)</f>
        <v>0</v>
      </c>
      <c r="AQ122" s="7" t="n">
        <f aca="false">IF(AK122=0,0,MAX(MIN(1,AO122^Power),0))</f>
        <v>0</v>
      </c>
      <c r="AR122" s="7" t="n">
        <f aca="false">IF(AL122=0,0,MAX(MIN(1,AP122^Power),0))</f>
        <v>0</v>
      </c>
      <c r="AS122" s="7" t="n">
        <f aca="false">IF($AJ122=1,IF($H122=0,K122,AS121),AS121)</f>
        <v>0</v>
      </c>
      <c r="AT122" s="7" t="n">
        <f aca="false">IF($AJ122=1,IF($H122=1,N122,AT121),AT121)</f>
        <v>0</v>
      </c>
    </row>
    <row r="123" customFormat="false" ht="13" hidden="false" customHeight="false" outlineLevel="0" collapsed="false">
      <c r="A123" s="16" t="n">
        <v>106</v>
      </c>
      <c r="B123" s="37" t="n">
        <f aca="true">IF(RAND()&lt;$D$8,1,0)</f>
        <v>1</v>
      </c>
      <c r="C123" s="20" t="n">
        <f aca="true">-LN(RAND())/$D$2</f>
        <v>1.48387451614446</v>
      </c>
      <c r="D123" s="38" t="n">
        <f aca="false">D122+C123</f>
        <v>135.787865037804</v>
      </c>
      <c r="E123" s="39" t="n">
        <f aca="false">MAX($E$3,AS122)</f>
        <v>0</v>
      </c>
      <c r="F123" s="39" t="n">
        <f aca="false">MAX($E$3,AT122)</f>
        <v>0</v>
      </c>
      <c r="G123" s="40" t="n">
        <v>0.5</v>
      </c>
      <c r="H123" s="38" t="n">
        <f aca="true">IF((B123=1),(IF((F123&lt;E123),1,(IF((F123=E123),(IF(RAND()&lt;G123,1,0)),0)))),(IF((RAND()&lt;G123),1,0)))</f>
        <v>0</v>
      </c>
      <c r="I123" s="38" t="n">
        <f aca="true">IF((H123=1),0,$D$3+$D$5*(RAND()-0.5))</f>
        <v>1.85787299794329</v>
      </c>
      <c r="J123" s="38" t="n">
        <f aca="false">I123+MAX(D123,J122)</f>
        <v>137.820318185158</v>
      </c>
      <c r="K123" s="38" t="n">
        <f aca="false">IF((H123=0),J123-D123,0)</f>
        <v>2.03245314735398</v>
      </c>
      <c r="L123" s="38" t="n">
        <f aca="true">IF(($H123=0),0,$D$4+$D$5*(RAND()-0.5))</f>
        <v>0</v>
      </c>
      <c r="M123" s="38" t="n">
        <f aca="false">L123+MAX(D123,M122)</f>
        <v>144.144731614703</v>
      </c>
      <c r="N123" s="38" t="n">
        <f aca="false">IF((H123=1),M123-D123,0)</f>
        <v>0</v>
      </c>
      <c r="O123" s="16" t="n">
        <v>106</v>
      </c>
      <c r="P123" s="41" t="n">
        <f aca="false">IF((Arterial=0),P122+1,P122)</f>
        <v>46</v>
      </c>
      <c r="Q123" s="41" t="n">
        <f aca="false">IF((Arterial=1),Q122+1,Q122)</f>
        <v>60</v>
      </c>
      <c r="R123" s="42" t="e">
        <f aca="false">IF((RESET=1),0,R123+K123)</f>
        <v>#N/A</v>
      </c>
      <c r="S123" s="14" t="n">
        <f aca="false">IF(RESET=1,0,S123+N123)</f>
        <v>450.734254104728</v>
      </c>
      <c r="T123" s="2" t="e">
        <f aca="false">IF(RESET=1,0,T123+IF(H123=0,1,0))</f>
        <v>#N/A</v>
      </c>
      <c r="U123" s="2" t="n">
        <f aca="false">IF(RESET=1,0,U123+H123)</f>
        <v>44</v>
      </c>
      <c r="V123" s="14" t="e">
        <f aca="false">R123/(T123+0.00001)</f>
        <v>#N/A</v>
      </c>
      <c r="W123" s="14" t="n">
        <f aca="false">S123/(U123+0.0001)</f>
        <v>10.2439370388869</v>
      </c>
      <c r="X123" s="39" t="n">
        <f aca="false">IF(Informed=1,K123,0)</f>
        <v>2.03245314735398</v>
      </c>
      <c r="Y123" s="39" t="n">
        <f aca="false">IF(Informed=0,K123,0)</f>
        <v>0</v>
      </c>
      <c r="Z123" s="39" t="n">
        <f aca="false">IF(Informed=1,N123,0)</f>
        <v>0</v>
      </c>
      <c r="AA123" s="39" t="n">
        <f aca="false">IF(Informed=0,N123,0)</f>
        <v>0</v>
      </c>
      <c r="AB123" s="43" t="n">
        <f aca="false">IF(Arterial=0,IF(Informed=1,1,0),0)</f>
        <v>1</v>
      </c>
      <c r="AC123" s="43" t="n">
        <f aca="false">IF(Arterial=0,IF(Informed=0,1,0),0)</f>
        <v>0</v>
      </c>
      <c r="AD123" s="43" t="n">
        <f aca="false">IF(Arterial=1,IF(Informed=1,1,0),0)</f>
        <v>0</v>
      </c>
      <c r="AE123" s="43" t="n">
        <f aca="false">IF(Arterial=1,IF(Informed=0,1,0),0)</f>
        <v>0</v>
      </c>
      <c r="AF123" s="35" t="n">
        <f aca="false">IF(AB123=1,(X123-G$1030)^2,0)</f>
        <v>75.2942353393061</v>
      </c>
      <c r="AG123" s="35" t="n">
        <f aca="false">IF(AC123=1,(Y123-H$1030)^2,0)</f>
        <v>0</v>
      </c>
      <c r="AH123" s="35" t="n">
        <f aca="false">IF(AD123=1,(Z123-I$1030)^2,0)</f>
        <v>0</v>
      </c>
      <c r="AI123" s="35" t="n">
        <f aca="false">IF(AE123=1,(AA123-J$1030)^2,0)</f>
        <v>0</v>
      </c>
      <c r="AJ123" s="37" t="n">
        <f aca="true">IF(RAND()&lt;$D$6,1,0)</f>
        <v>0</v>
      </c>
      <c r="AK123" s="14" t="n">
        <f aca="false">AK122+IF((AJ123=1),IF((H123=0),1,0),0)</f>
        <v>0</v>
      </c>
      <c r="AL123" s="14" t="n">
        <f aca="false">AL122+IF((AJ123=1),IF((H123=1),1,0),0)</f>
        <v>0</v>
      </c>
      <c r="AM123" s="37" t="n">
        <f aca="false">IF(AK123=0,9999,IF($H123=0,IF($AJ123&lt;1,AM122+1,0),AM122))</f>
        <v>9999</v>
      </c>
      <c r="AN123" s="37" t="n">
        <f aca="false">IF(AL123=0,9999,IF($H123=1,IF($AJ123&lt;1,AN122+1,0),AN122))</f>
        <v>9999</v>
      </c>
      <c r="AO123" s="37" t="n">
        <f aca="false">IF($A123-AM123&gt;0,1/(1+AM123),0)</f>
        <v>0</v>
      </c>
      <c r="AP123" s="37" t="n">
        <f aca="false">IF($A123-AN123&gt;0,1/(1+AN123),0)</f>
        <v>0</v>
      </c>
      <c r="AQ123" s="7" t="n">
        <f aca="false">IF(AK123=0,0,MAX(MIN(1,AO123^Power),0))</f>
        <v>0</v>
      </c>
      <c r="AR123" s="7" t="n">
        <f aca="false">IF(AL123=0,0,MAX(MIN(1,AP123^Power),0))</f>
        <v>0</v>
      </c>
      <c r="AS123" s="7" t="n">
        <f aca="false">IF($AJ123=1,IF($H123=0,K123,AS122),AS122)</f>
        <v>0</v>
      </c>
      <c r="AT123" s="7" t="n">
        <f aca="false">IF($AJ123=1,IF($H123=1,N123,AT122),AT122)</f>
        <v>0</v>
      </c>
    </row>
    <row r="124" customFormat="false" ht="13" hidden="false" customHeight="false" outlineLevel="0" collapsed="false">
      <c r="A124" s="16" t="n">
        <v>107</v>
      </c>
      <c r="B124" s="37" t="n">
        <f aca="true">IF(RAND()&lt;$D$8,1,0)</f>
        <v>0</v>
      </c>
      <c r="C124" s="20" t="n">
        <f aca="true">-LN(RAND())/$D$2</f>
        <v>3.68504157926632</v>
      </c>
      <c r="D124" s="38" t="n">
        <f aca="false">D123+C124</f>
        <v>139.472906617071</v>
      </c>
      <c r="E124" s="39" t="n">
        <f aca="false">MAX($E$3,AS123)</f>
        <v>0</v>
      </c>
      <c r="F124" s="39" t="n">
        <f aca="false">MAX($E$3,AT123)</f>
        <v>0</v>
      </c>
      <c r="G124" s="40" t="n">
        <v>0.5</v>
      </c>
      <c r="H124" s="38" t="n">
        <f aca="true">IF((B124=1),(IF((F124&lt;E124),1,(IF((F124=E124),(IF(RAND()&lt;G124,1,0)),0)))),(IF((RAND()&lt;G124),1,0)))</f>
        <v>1</v>
      </c>
      <c r="I124" s="38" t="n">
        <f aca="true">IF((H124=1),0,$D$3+$D$5*(RAND()-0.5))</f>
        <v>0</v>
      </c>
      <c r="J124" s="38" t="n">
        <f aca="false">I124+MAX(D124,J123)</f>
        <v>139.472906617071</v>
      </c>
      <c r="K124" s="38" t="n">
        <f aca="false">IF((H124=0),J124-D124,0)</f>
        <v>0</v>
      </c>
      <c r="L124" s="38" t="n">
        <f aca="true">IF(($H124=0),0,$D$4+$D$5*(RAND()-0.5))</f>
        <v>1.81315252838434</v>
      </c>
      <c r="M124" s="38" t="n">
        <f aca="false">L124+MAX(D124,M123)</f>
        <v>145.957884143087</v>
      </c>
      <c r="N124" s="38" t="n">
        <f aca="false">IF((H124=1),M124-D124,0)</f>
        <v>6.48497752601668</v>
      </c>
      <c r="O124" s="16" t="n">
        <v>107</v>
      </c>
      <c r="P124" s="41" t="n">
        <f aca="false">IF((Arterial=0),P123+1,P123)</f>
        <v>46</v>
      </c>
      <c r="Q124" s="41" t="n">
        <f aca="false">IF((Arterial=1),Q123+1,Q123)</f>
        <v>61</v>
      </c>
      <c r="R124" s="42" t="n">
        <f aca="false">IF((RESET=1),0,R124+K124)</f>
        <v>317.464527207342</v>
      </c>
      <c r="S124" s="14" t="e">
        <f aca="false">IF(RESET=1,0,S124+N124)</f>
        <v>#N/A</v>
      </c>
      <c r="T124" s="2" t="n">
        <f aca="false">IF(RESET=1,0,T124+IF(H124=0,1,0))</f>
        <v>37</v>
      </c>
      <c r="U124" s="2" t="e">
        <f aca="false">IF(RESET=1,0,U124+H124)</f>
        <v>#N/A</v>
      </c>
      <c r="V124" s="14" t="n">
        <f aca="false">R124/(T124+0.00001)</f>
        <v>8.58012003800383</v>
      </c>
      <c r="W124" s="14" t="e">
        <f aca="false">S124/(U124+0.0001)</f>
        <v>#N/A</v>
      </c>
      <c r="X124" s="39" t="n">
        <f aca="false">IF(Informed=1,K124,0)</f>
        <v>0</v>
      </c>
      <c r="Y124" s="39" t="n">
        <f aca="false">IF(Informed=0,K124,0)</f>
        <v>0</v>
      </c>
      <c r="Z124" s="39" t="n">
        <f aca="false">IF(Informed=1,N124,0)</f>
        <v>0</v>
      </c>
      <c r="AA124" s="39" t="n">
        <f aca="false">IF(Informed=0,N124,0)</f>
        <v>6.48497752601668</v>
      </c>
      <c r="AB124" s="43" t="n">
        <f aca="false">IF(Arterial=0,IF(Informed=1,1,0),0)</f>
        <v>0</v>
      </c>
      <c r="AC124" s="43" t="n">
        <f aca="false">IF(Arterial=0,IF(Informed=0,1,0),0)</f>
        <v>0</v>
      </c>
      <c r="AD124" s="43" t="n">
        <f aca="false">IF(Arterial=1,IF(Informed=1,1,0),0)</f>
        <v>0</v>
      </c>
      <c r="AE124" s="43" t="n">
        <f aca="false">IF(Arterial=1,IF(Informed=0,1,0),0)</f>
        <v>1</v>
      </c>
      <c r="AF124" s="35" t="n">
        <f aca="false">IF(AB124=1,(X124-G$1030)^2,0)</f>
        <v>0</v>
      </c>
      <c r="AG124" s="35" t="n">
        <f aca="false">IF(AC124=1,(Y124-H$1030)^2,0)</f>
        <v>0</v>
      </c>
      <c r="AH124" s="35" t="n">
        <f aca="false">IF(AD124=1,(Z124-I$1030)^2,0)</f>
        <v>0</v>
      </c>
      <c r="AI124" s="35" t="n">
        <f aca="false">IF(AE124=1,(AA124-J$1030)^2,0)</f>
        <v>532.653971440978</v>
      </c>
      <c r="AJ124" s="37" t="n">
        <f aca="true">IF(RAND()&lt;$D$6,1,0)</f>
        <v>0</v>
      </c>
      <c r="AK124" s="14" t="n">
        <f aca="false">AK123+IF((AJ124=1),IF((H124=0),1,0),0)</f>
        <v>0</v>
      </c>
      <c r="AL124" s="14" t="n">
        <f aca="false">AL123+IF((AJ124=1),IF((H124=1),1,0),0)</f>
        <v>0</v>
      </c>
      <c r="AM124" s="37" t="n">
        <f aca="false">IF(AK124=0,9999,IF($H124=0,IF($AJ124&lt;1,AM123+1,0),AM123))</f>
        <v>9999</v>
      </c>
      <c r="AN124" s="37" t="n">
        <f aca="false">IF(AL124=0,9999,IF($H124=1,IF($AJ124&lt;1,AN123+1,0),AN123))</f>
        <v>9999</v>
      </c>
      <c r="AO124" s="37" t="n">
        <f aca="false">IF($A124-AM124&gt;0,1/(1+AM124),0)</f>
        <v>0</v>
      </c>
      <c r="AP124" s="37" t="n">
        <f aca="false">IF($A124-AN124&gt;0,1/(1+AN124),0)</f>
        <v>0</v>
      </c>
      <c r="AQ124" s="7" t="n">
        <f aca="false">IF(AK124=0,0,MAX(MIN(1,AO124^Power),0))</f>
        <v>0</v>
      </c>
      <c r="AR124" s="7" t="n">
        <f aca="false">IF(AL124=0,0,MAX(MIN(1,AP124^Power),0))</f>
        <v>0</v>
      </c>
      <c r="AS124" s="7" t="n">
        <f aca="false">IF($AJ124=1,IF($H124=0,K124,AS123),AS123)</f>
        <v>0</v>
      </c>
      <c r="AT124" s="7" t="n">
        <f aca="false">IF($AJ124=1,IF($H124=1,N124,AT123),AT123)</f>
        <v>0</v>
      </c>
    </row>
    <row r="125" customFormat="false" ht="13" hidden="false" customHeight="false" outlineLevel="0" collapsed="false">
      <c r="A125" s="16" t="n">
        <v>108</v>
      </c>
      <c r="B125" s="37" t="n">
        <f aca="true">IF(RAND()&lt;$D$8,1,0)</f>
        <v>1</v>
      </c>
      <c r="C125" s="20" t="n">
        <f aca="true">-LN(RAND())/$D$2</f>
        <v>0.361959142900453</v>
      </c>
      <c r="D125" s="38" t="n">
        <f aca="false">D124+C125</f>
        <v>139.834865759971</v>
      </c>
      <c r="E125" s="39" t="n">
        <f aca="false">MAX($E$3,AS124)</f>
        <v>0</v>
      </c>
      <c r="F125" s="39" t="n">
        <f aca="false">MAX($E$3,AT124)</f>
        <v>0</v>
      </c>
      <c r="G125" s="40" t="n">
        <v>0.5</v>
      </c>
      <c r="H125" s="38" t="n">
        <f aca="true">IF((B125=1),(IF((F125&lt;E125),1,(IF((F125=E125),(IF(RAND()&lt;G125,1,0)),0)))),(IF((RAND()&lt;G125),1,0)))</f>
        <v>1</v>
      </c>
      <c r="I125" s="38" t="n">
        <f aca="true">IF((H125=1),0,$D$3+$D$5*(RAND()-0.5))</f>
        <v>0</v>
      </c>
      <c r="J125" s="38" t="n">
        <f aca="false">I125+MAX(D125,J124)</f>
        <v>139.834865759971</v>
      </c>
      <c r="K125" s="38" t="n">
        <f aca="false">IF((H125=0),J125-D125,0)</f>
        <v>0</v>
      </c>
      <c r="L125" s="38" t="n">
        <f aca="true">IF(($H125=0),0,$D$4+$D$5*(RAND()-0.5))</f>
        <v>2.21070994338603</v>
      </c>
      <c r="M125" s="38" t="n">
        <f aca="false">L125+MAX(D125,M124)</f>
        <v>148.168594086473</v>
      </c>
      <c r="N125" s="38" t="n">
        <f aca="false">IF((H125=1),M125-D125,0)</f>
        <v>8.33372832650227</v>
      </c>
      <c r="O125" s="16" t="n">
        <v>108</v>
      </c>
      <c r="P125" s="41" t="n">
        <f aca="false">IF((Arterial=0),P124+1,P124)</f>
        <v>46</v>
      </c>
      <c r="Q125" s="41" t="n">
        <f aca="false">IF((Arterial=1),Q124+1,Q124)</f>
        <v>62</v>
      </c>
      <c r="R125" s="42" t="n">
        <f aca="false">IF((RESET=1),0,R125+K125)</f>
        <v>457.675005729898</v>
      </c>
      <c r="S125" s="14" t="e">
        <f aca="false">IF(RESET=1,0,S125+N125)</f>
        <v>#N/A</v>
      </c>
      <c r="T125" s="2" t="n">
        <f aca="false">IF(RESET=1,0,T125+IF(H125=0,1,0))</f>
        <v>42</v>
      </c>
      <c r="U125" s="2" t="e">
        <f aca="false">IF(RESET=1,0,U125+H125)</f>
        <v>#N/A</v>
      </c>
      <c r="V125" s="14" t="n">
        <f aca="false">R125/(T125+0.00001)</f>
        <v>10.8970213514211</v>
      </c>
      <c r="W125" s="14" t="e">
        <f aca="false">S125/(U125+0.0001)</f>
        <v>#N/A</v>
      </c>
      <c r="X125" s="39" t="n">
        <f aca="false">IF(Informed=1,K125,0)</f>
        <v>0</v>
      </c>
      <c r="Y125" s="39" t="n">
        <f aca="false">IF(Informed=0,K125,0)</f>
        <v>0</v>
      </c>
      <c r="Z125" s="39" t="n">
        <f aca="false">IF(Informed=1,N125,0)</f>
        <v>8.33372832650227</v>
      </c>
      <c r="AA125" s="39" t="n">
        <f aca="false">IF(Informed=0,N125,0)</f>
        <v>0</v>
      </c>
      <c r="AB125" s="43" t="n">
        <f aca="false">IF(Arterial=0,IF(Informed=1,1,0),0)</f>
        <v>0</v>
      </c>
      <c r="AC125" s="43" t="n">
        <f aca="false">IF(Arterial=0,IF(Informed=0,1,0),0)</f>
        <v>0</v>
      </c>
      <c r="AD125" s="43" t="n">
        <f aca="false">IF(Arterial=1,IF(Informed=1,1,0),0)</f>
        <v>1</v>
      </c>
      <c r="AE125" s="43" t="n">
        <f aca="false">IF(Arterial=1,IF(Informed=0,1,0),0)</f>
        <v>0</v>
      </c>
      <c r="AF125" s="35" t="n">
        <f aca="false">IF(AB125=1,(X125-G$1030)^2,0)</f>
        <v>0</v>
      </c>
      <c r="AG125" s="35" t="n">
        <f aca="false">IF(AC125=1,(Y125-H$1030)^2,0)</f>
        <v>0</v>
      </c>
      <c r="AH125" s="35" t="n">
        <f aca="false">IF(AD125=1,(Z125-I$1030)^2,0)</f>
        <v>401.645948410958</v>
      </c>
      <c r="AI125" s="35" t="n">
        <f aca="false">IF(AE125=1,(AA125-J$1030)^2,0)</f>
        <v>0</v>
      </c>
      <c r="AJ125" s="37" t="n">
        <f aca="true">IF(RAND()&lt;$D$6,1,0)</f>
        <v>0</v>
      </c>
      <c r="AK125" s="14" t="n">
        <f aca="false">AK124+IF((AJ125=1),IF((H125=0),1,0),0)</f>
        <v>0</v>
      </c>
      <c r="AL125" s="14" t="n">
        <f aca="false">AL124+IF((AJ125=1),IF((H125=1),1,0),0)</f>
        <v>0</v>
      </c>
      <c r="AM125" s="37" t="n">
        <f aca="false">IF(AK125=0,9999,IF($H125=0,IF($AJ125&lt;1,AM124+1,0),AM124))</f>
        <v>9999</v>
      </c>
      <c r="AN125" s="37" t="n">
        <f aca="false">IF(AL125=0,9999,IF($H125=1,IF($AJ125&lt;1,AN124+1,0),AN124))</f>
        <v>9999</v>
      </c>
      <c r="AO125" s="37" t="n">
        <f aca="false">IF($A125-AM125&gt;0,1/(1+AM125),0)</f>
        <v>0</v>
      </c>
      <c r="AP125" s="37" t="n">
        <f aca="false">IF($A125-AN125&gt;0,1/(1+AN125),0)</f>
        <v>0</v>
      </c>
      <c r="AQ125" s="7" t="n">
        <f aca="false">IF(AK125=0,0,MAX(MIN(1,AO125^Power),0))</f>
        <v>0</v>
      </c>
      <c r="AR125" s="7" t="n">
        <f aca="false">IF(AL125=0,0,MAX(MIN(1,AP125^Power),0))</f>
        <v>0</v>
      </c>
      <c r="AS125" s="7" t="n">
        <f aca="false">IF($AJ125=1,IF($H125=0,K125,AS124),AS124)</f>
        <v>0</v>
      </c>
      <c r="AT125" s="7" t="n">
        <f aca="false">IF($AJ125=1,IF($H125=1,N125,AT124),AT124)</f>
        <v>0</v>
      </c>
    </row>
    <row r="126" customFormat="false" ht="13" hidden="false" customHeight="false" outlineLevel="0" collapsed="false">
      <c r="A126" s="16" t="n">
        <v>109</v>
      </c>
      <c r="B126" s="37" t="n">
        <f aca="true">IF(RAND()&lt;$D$8,1,0)</f>
        <v>0</v>
      </c>
      <c r="C126" s="20" t="n">
        <f aca="true">-LN(RAND())/$D$2</f>
        <v>1.42381250472988</v>
      </c>
      <c r="D126" s="38" t="n">
        <f aca="false">D125+C126</f>
        <v>141.258678264701</v>
      </c>
      <c r="E126" s="39" t="n">
        <f aca="false">MAX($E$3,AS125)</f>
        <v>0</v>
      </c>
      <c r="F126" s="39" t="n">
        <f aca="false">MAX($E$3,AT125)</f>
        <v>0</v>
      </c>
      <c r="G126" s="40" t="n">
        <v>0.5</v>
      </c>
      <c r="H126" s="38" t="n">
        <f aca="true">IF((B126=1),(IF((F126&lt;E126),1,(IF((F126=E126),(IF(RAND()&lt;G126,1,0)),0)))),(IF((RAND()&lt;G126),1,0)))</f>
        <v>1</v>
      </c>
      <c r="I126" s="38" t="n">
        <f aca="true">IF((H126=1),0,$D$3+$D$5*(RAND()-0.5))</f>
        <v>0</v>
      </c>
      <c r="J126" s="38" t="n">
        <f aca="false">I126+MAX(D126,J125)</f>
        <v>141.258678264701</v>
      </c>
      <c r="K126" s="38" t="n">
        <f aca="false">IF((H126=0),J126-D126,0)</f>
        <v>0</v>
      </c>
      <c r="L126" s="38" t="n">
        <f aca="true">IF(($H126=0),0,$D$4+$D$5*(RAND()-0.5))</f>
        <v>1.98080874757737</v>
      </c>
      <c r="M126" s="38" t="n">
        <f aca="false">L126+MAX(D126,M125)</f>
        <v>150.149402834051</v>
      </c>
      <c r="N126" s="38" t="n">
        <f aca="false">IF((H126=1),M126-D126,0)</f>
        <v>8.89072456934974</v>
      </c>
      <c r="O126" s="16" t="n">
        <v>109</v>
      </c>
      <c r="P126" s="41" t="n">
        <f aca="false">IF((Arterial=0),P125+1,P125)</f>
        <v>46</v>
      </c>
      <c r="Q126" s="41" t="n">
        <f aca="false">IF((Arterial=1),Q125+1,Q125)</f>
        <v>63</v>
      </c>
      <c r="R126" s="42" t="n">
        <f aca="false">IF((RESET=1),0,R126+K126)</f>
        <v>417.224659568076</v>
      </c>
      <c r="S126" s="14" t="e">
        <f aca="false">IF(RESET=1,0,S126+N126)</f>
        <v>#N/A</v>
      </c>
      <c r="T126" s="2" t="n">
        <f aca="false">IF(RESET=1,0,T126+IF(H126=0,1,0))</f>
        <v>45</v>
      </c>
      <c r="U126" s="2" t="e">
        <f aca="false">IF(RESET=1,0,U126+H126)</f>
        <v>#N/A</v>
      </c>
      <c r="V126" s="14" t="n">
        <f aca="false">R126/(T126+0.00001)</f>
        <v>9.27165704114458</v>
      </c>
      <c r="W126" s="14" t="e">
        <f aca="false">S126/(U126+0.0001)</f>
        <v>#N/A</v>
      </c>
      <c r="X126" s="39" t="n">
        <f aca="false">IF(Informed=1,K126,0)</f>
        <v>0</v>
      </c>
      <c r="Y126" s="39" t="n">
        <f aca="false">IF(Informed=0,K126,0)</f>
        <v>0</v>
      </c>
      <c r="Z126" s="39" t="n">
        <f aca="false">IF(Informed=1,N126,0)</f>
        <v>0</v>
      </c>
      <c r="AA126" s="39" t="n">
        <f aca="false">IF(Informed=0,N126,0)</f>
        <v>8.89072456934974</v>
      </c>
      <c r="AB126" s="43" t="n">
        <f aca="false">IF(Arterial=0,IF(Informed=1,1,0),0)</f>
        <v>0</v>
      </c>
      <c r="AC126" s="43" t="n">
        <f aca="false">IF(Arterial=0,IF(Informed=0,1,0),0)</f>
        <v>0</v>
      </c>
      <c r="AD126" s="43" t="n">
        <f aca="false">IF(Arterial=1,IF(Informed=1,1,0),0)</f>
        <v>0</v>
      </c>
      <c r="AE126" s="43" t="n">
        <f aca="false">IF(Arterial=1,IF(Informed=0,1,0),0)</f>
        <v>1</v>
      </c>
      <c r="AF126" s="35" t="n">
        <f aca="false">IF(AB126=1,(X126-G$1030)^2,0)</f>
        <v>0</v>
      </c>
      <c r="AG126" s="35" t="n">
        <f aca="false">IF(AC126=1,(Y126-H$1030)^2,0)</f>
        <v>0</v>
      </c>
      <c r="AH126" s="35" t="n">
        <f aca="false">IF(AD126=1,(Z126-I$1030)^2,0)</f>
        <v>0</v>
      </c>
      <c r="AI126" s="35" t="n">
        <f aca="false">IF(AE126=1,(AA126-J$1030)^2,0)</f>
        <v>427.395687004082</v>
      </c>
      <c r="AJ126" s="37" t="n">
        <f aca="true">IF(RAND()&lt;$D$6,1,0)</f>
        <v>0</v>
      </c>
      <c r="AK126" s="14" t="n">
        <f aca="false">AK125+IF((AJ126=1),IF((H126=0),1,0),0)</f>
        <v>0</v>
      </c>
      <c r="AL126" s="14" t="n">
        <f aca="false">AL125+IF((AJ126=1),IF((H126=1),1,0),0)</f>
        <v>0</v>
      </c>
      <c r="AM126" s="37" t="n">
        <f aca="false">IF(AK126=0,9999,IF($H126=0,IF($AJ126&lt;1,AM125+1,0),AM125))</f>
        <v>9999</v>
      </c>
      <c r="AN126" s="37" t="n">
        <f aca="false">IF(AL126=0,9999,IF($H126=1,IF($AJ126&lt;1,AN125+1,0),AN125))</f>
        <v>9999</v>
      </c>
      <c r="AO126" s="37" t="n">
        <f aca="false">IF($A126-AM126&gt;0,1/(1+AM126),0)</f>
        <v>0</v>
      </c>
      <c r="AP126" s="37" t="n">
        <f aca="false">IF($A126-AN126&gt;0,1/(1+AN126),0)</f>
        <v>0</v>
      </c>
      <c r="AQ126" s="7" t="n">
        <f aca="false">IF(AK126=0,0,MAX(MIN(1,AO126^Power),0))</f>
        <v>0</v>
      </c>
      <c r="AR126" s="7" t="n">
        <f aca="false">IF(AL126=0,0,MAX(MIN(1,AP126^Power),0))</f>
        <v>0</v>
      </c>
      <c r="AS126" s="7" t="n">
        <f aca="false">IF($AJ126=1,IF($H126=0,K126,AS125),AS125)</f>
        <v>0</v>
      </c>
      <c r="AT126" s="7" t="n">
        <f aca="false">IF($AJ126=1,IF($H126=1,N126,AT125),AT125)</f>
        <v>0</v>
      </c>
    </row>
    <row r="127" customFormat="false" ht="13" hidden="false" customHeight="false" outlineLevel="0" collapsed="false">
      <c r="A127" s="16" t="n">
        <v>110</v>
      </c>
      <c r="B127" s="37" t="n">
        <f aca="true">IF(RAND()&lt;$D$8,1,0)</f>
        <v>0</v>
      </c>
      <c r="C127" s="20" t="n">
        <f aca="true">-LN(RAND())/$D$2</f>
        <v>2.31011408805399</v>
      </c>
      <c r="D127" s="38" t="n">
        <f aca="false">D126+C127</f>
        <v>143.568792352755</v>
      </c>
      <c r="E127" s="39" t="n">
        <f aca="false">MAX($E$3,AS126)</f>
        <v>0</v>
      </c>
      <c r="F127" s="39" t="n">
        <f aca="false">MAX($E$3,AT126)</f>
        <v>0</v>
      </c>
      <c r="G127" s="40" t="n">
        <v>0.5</v>
      </c>
      <c r="H127" s="38" t="n">
        <f aca="true">IF((B127=1),(IF((F127&lt;E127),1,(IF((F127=E127),(IF(RAND()&lt;G127,1,0)),0)))),(IF((RAND()&lt;G127),1,0)))</f>
        <v>1</v>
      </c>
      <c r="I127" s="38" t="n">
        <f aca="true">IF((H127=1),0,$D$3+$D$5*(RAND()-0.5))</f>
        <v>0</v>
      </c>
      <c r="J127" s="38" t="n">
        <f aca="false">I127+MAX(D127,J126)</f>
        <v>143.568792352755</v>
      </c>
      <c r="K127" s="38" t="n">
        <f aca="false">IF((H127=0),J127-D127,0)</f>
        <v>0</v>
      </c>
      <c r="L127" s="38" t="n">
        <f aca="true">IF(($H127=0),0,$D$4+$D$5*(RAND()-0.5))</f>
        <v>2.048253867733</v>
      </c>
      <c r="M127" s="38" t="n">
        <f aca="false">L127+MAX(D127,M126)</f>
        <v>152.197656701784</v>
      </c>
      <c r="N127" s="38" t="n">
        <f aca="false">IF((H127=1),M127-D127,0)</f>
        <v>8.62886434902876</v>
      </c>
      <c r="O127" s="16" t="n">
        <v>110</v>
      </c>
      <c r="P127" s="41" t="n">
        <f aca="false">IF((Arterial=0),P126+1,P126)</f>
        <v>46</v>
      </c>
      <c r="Q127" s="41" t="n">
        <f aca="false">IF((Arterial=1),Q126+1,Q126)</f>
        <v>64</v>
      </c>
      <c r="R127" s="42" t="n">
        <f aca="false">IF((RESET=1),0,R127+K127)</f>
        <v>514.208127304461</v>
      </c>
      <c r="S127" s="14" t="e">
        <f aca="false">IF(RESET=1,0,S127+N127)</f>
        <v>#N/A</v>
      </c>
      <c r="T127" s="2" t="n">
        <f aca="false">IF(RESET=1,0,T127+IF(H127=0,1,0))</f>
        <v>44</v>
      </c>
      <c r="U127" s="2" t="e">
        <f aca="false">IF(RESET=1,0,U127+H127)</f>
        <v>#N/A</v>
      </c>
      <c r="V127" s="14" t="n">
        <f aca="false">R127/(T127+0.00001)</f>
        <v>11.6865456917955</v>
      </c>
      <c r="W127" s="14" t="e">
        <f aca="false">S127/(U127+0.0001)</f>
        <v>#N/A</v>
      </c>
      <c r="X127" s="39" t="n">
        <f aca="false">IF(Informed=1,K127,0)</f>
        <v>0</v>
      </c>
      <c r="Y127" s="39" t="n">
        <f aca="false">IF(Informed=0,K127,0)</f>
        <v>0</v>
      </c>
      <c r="Z127" s="39" t="n">
        <f aca="false">IF(Informed=1,N127,0)</f>
        <v>0</v>
      </c>
      <c r="AA127" s="39" t="n">
        <f aca="false">IF(Informed=0,N127,0)</f>
        <v>8.62886434902876</v>
      </c>
      <c r="AB127" s="43" t="n">
        <f aca="false">IF(Arterial=0,IF(Informed=1,1,0),0)</f>
        <v>0</v>
      </c>
      <c r="AC127" s="43" t="n">
        <f aca="false">IF(Arterial=0,IF(Informed=0,1,0),0)</f>
        <v>0</v>
      </c>
      <c r="AD127" s="43" t="n">
        <f aca="false">IF(Arterial=1,IF(Informed=1,1,0),0)</f>
        <v>0</v>
      </c>
      <c r="AE127" s="43" t="n">
        <f aca="false">IF(Arterial=1,IF(Informed=0,1,0),0)</f>
        <v>1</v>
      </c>
      <c r="AF127" s="35" t="n">
        <f aca="false">IF(AB127=1,(X127-G$1030)^2,0)</f>
        <v>0</v>
      </c>
      <c r="AG127" s="35" t="n">
        <f aca="false">IF(AC127=1,(Y127-H$1030)^2,0)</f>
        <v>0</v>
      </c>
      <c r="AH127" s="35" t="n">
        <f aca="false">IF(AD127=1,(Z127-I$1030)^2,0)</f>
        <v>0</v>
      </c>
      <c r="AI127" s="35" t="n">
        <f aca="false">IF(AE127=1,(AA127-J$1030)^2,0)</f>
        <v>438.291418715118</v>
      </c>
      <c r="AJ127" s="37" t="n">
        <f aca="true">IF(RAND()&lt;$D$6,1,0)</f>
        <v>0</v>
      </c>
      <c r="AK127" s="14" t="n">
        <f aca="false">AK126+IF((AJ127=1),IF((H127=0),1,0),0)</f>
        <v>0</v>
      </c>
      <c r="AL127" s="14" t="n">
        <f aca="false">AL126+IF((AJ127=1),IF((H127=1),1,0),0)</f>
        <v>0</v>
      </c>
      <c r="AM127" s="37" t="n">
        <f aca="false">IF(AK127=0,9999,IF($H127=0,IF($AJ127&lt;1,AM126+1,0),AM126))</f>
        <v>9999</v>
      </c>
      <c r="AN127" s="37" t="n">
        <f aca="false">IF(AL127=0,9999,IF($H127=1,IF($AJ127&lt;1,AN126+1,0),AN126))</f>
        <v>9999</v>
      </c>
      <c r="AO127" s="37" t="n">
        <f aca="false">IF($A127-AM127&gt;0,1/(1+AM127),0)</f>
        <v>0</v>
      </c>
      <c r="AP127" s="37" t="n">
        <f aca="false">IF($A127-AN127&gt;0,1/(1+AN127),0)</f>
        <v>0</v>
      </c>
      <c r="AQ127" s="7" t="n">
        <f aca="false">IF(AK127=0,0,MAX(MIN(1,AO127^Power),0))</f>
        <v>0</v>
      </c>
      <c r="AR127" s="7" t="n">
        <f aca="false">IF(AL127=0,0,MAX(MIN(1,AP127^Power),0))</f>
        <v>0</v>
      </c>
      <c r="AS127" s="7" t="n">
        <f aca="false">IF($AJ127=1,IF($H127=0,K127,AS126),AS126)</f>
        <v>0</v>
      </c>
      <c r="AT127" s="7" t="n">
        <f aca="false">IF($AJ127=1,IF($H127=1,N127,AT126),AT126)</f>
        <v>0</v>
      </c>
    </row>
    <row r="128" customFormat="false" ht="13" hidden="false" customHeight="false" outlineLevel="0" collapsed="false">
      <c r="A128" s="16" t="n">
        <v>111</v>
      </c>
      <c r="B128" s="37" t="n">
        <f aca="true">IF(RAND()&lt;$D$8,1,0)</f>
        <v>0</v>
      </c>
      <c r="C128" s="20" t="n">
        <f aca="true">-LN(RAND())/$D$2</f>
        <v>0.396404300643256</v>
      </c>
      <c r="D128" s="38" t="n">
        <f aca="false">D127+C128</f>
        <v>143.965196653398</v>
      </c>
      <c r="E128" s="39" t="n">
        <f aca="false">MAX($E$3,AS127)</f>
        <v>0</v>
      </c>
      <c r="F128" s="39" t="n">
        <f aca="false">MAX($E$3,AT127)</f>
        <v>0</v>
      </c>
      <c r="G128" s="40" t="n">
        <v>0.5</v>
      </c>
      <c r="H128" s="38" t="n">
        <f aca="true">IF((B128=1),(IF((F128&lt;E128),1,(IF((F128=E128),(IF(RAND()&lt;G128,1,0)),0)))),(IF((RAND()&lt;G128),1,0)))</f>
        <v>0</v>
      </c>
      <c r="I128" s="38" t="n">
        <f aca="true">IF((H128=1),0,$D$3+$D$5*(RAND()-0.5))</f>
        <v>2.16932677116307</v>
      </c>
      <c r="J128" s="38" t="n">
        <f aca="false">I128+MAX(D128,J127)</f>
        <v>146.134523424561</v>
      </c>
      <c r="K128" s="38" t="n">
        <f aca="false">IF((H128=0),J128-D128,0)</f>
        <v>2.16932677116307</v>
      </c>
      <c r="L128" s="38" t="n">
        <f aca="true">IF(($H128=0),0,$D$4+$D$5*(RAND()-0.5))</f>
        <v>0</v>
      </c>
      <c r="M128" s="38" t="n">
        <f aca="false">L128+MAX(D128,M127)</f>
        <v>152.197656701784</v>
      </c>
      <c r="N128" s="38" t="n">
        <f aca="false">IF((H128=1),M128-D128,0)</f>
        <v>0</v>
      </c>
      <c r="O128" s="16" t="n">
        <v>111</v>
      </c>
      <c r="P128" s="41" t="n">
        <f aca="false">IF((Arterial=0),P127+1,P127)</f>
        <v>47</v>
      </c>
      <c r="Q128" s="41" t="n">
        <f aca="false">IF((Arterial=1),Q127+1,Q127)</f>
        <v>64</v>
      </c>
      <c r="R128" s="42" t="e">
        <f aca="false">IF((RESET=1),0,R128+K128)</f>
        <v>#N/A</v>
      </c>
      <c r="S128" s="14" t="n">
        <f aca="false">IF(RESET=1,0,S128+N128)</f>
        <v>414.061446223654</v>
      </c>
      <c r="T128" s="2" t="e">
        <f aca="false">IF(RESET=1,0,T128+IF(H128=0,1,0))</f>
        <v>#N/A</v>
      </c>
      <c r="U128" s="2" t="n">
        <f aca="false">IF(RESET=1,0,U128+H128)</f>
        <v>38</v>
      </c>
      <c r="V128" s="14" t="e">
        <f aca="false">R128/(T128+0.00001)</f>
        <v>#N/A</v>
      </c>
      <c r="W128" s="14" t="n">
        <f aca="false">S128/(U128+0.0001)</f>
        <v>10.896325173451</v>
      </c>
      <c r="X128" s="39" t="n">
        <f aca="false">IF(Informed=1,K128,0)</f>
        <v>0</v>
      </c>
      <c r="Y128" s="39" t="n">
        <f aca="false">IF(Informed=0,K128,0)</f>
        <v>2.16932677116307</v>
      </c>
      <c r="Z128" s="39" t="n">
        <f aca="false">IF(Informed=1,N128,0)</f>
        <v>0</v>
      </c>
      <c r="AA128" s="39" t="n">
        <f aca="false">IF(Informed=0,N128,0)</f>
        <v>0</v>
      </c>
      <c r="AB128" s="43" t="n">
        <f aca="false">IF(Arterial=0,IF(Informed=1,1,0),0)</f>
        <v>0</v>
      </c>
      <c r="AC128" s="43" t="n">
        <f aca="false">IF(Arterial=0,IF(Informed=0,1,0),0)</f>
        <v>1</v>
      </c>
      <c r="AD128" s="43" t="n">
        <f aca="false">IF(Arterial=1,IF(Informed=1,1,0),0)</f>
        <v>0</v>
      </c>
      <c r="AE128" s="43" t="n">
        <f aca="false">IF(Arterial=1,IF(Informed=0,1,0),0)</f>
        <v>0</v>
      </c>
      <c r="AF128" s="35" t="n">
        <f aca="false">IF(AB128=1,(X128-G$1030)^2,0)</f>
        <v>0</v>
      </c>
      <c r="AG128" s="35" t="n">
        <f aca="false">IF(AC128=1,(Y128-H$1030)^2,0)</f>
        <v>76.6405432702841</v>
      </c>
      <c r="AH128" s="35" t="n">
        <f aca="false">IF(AD128=1,(Z128-I$1030)^2,0)</f>
        <v>0</v>
      </c>
      <c r="AI128" s="35" t="n">
        <f aca="false">IF(AE128=1,(AA128-J$1030)^2,0)</f>
        <v>0</v>
      </c>
      <c r="AJ128" s="37" t="n">
        <f aca="true">IF(RAND()&lt;$D$6,1,0)</f>
        <v>0</v>
      </c>
      <c r="AK128" s="14" t="n">
        <f aca="false">AK127+IF((AJ128=1),IF((H128=0),1,0),0)</f>
        <v>0</v>
      </c>
      <c r="AL128" s="14" t="n">
        <f aca="false">AL127+IF((AJ128=1),IF((H128=1),1,0),0)</f>
        <v>0</v>
      </c>
      <c r="AM128" s="37" t="n">
        <f aca="false">IF(AK128=0,9999,IF($H128=0,IF($AJ128&lt;1,AM127+1,0),AM127))</f>
        <v>9999</v>
      </c>
      <c r="AN128" s="37" t="n">
        <f aca="false">IF(AL128=0,9999,IF($H128=1,IF($AJ128&lt;1,AN127+1,0),AN127))</f>
        <v>9999</v>
      </c>
      <c r="AO128" s="37" t="n">
        <f aca="false">IF($A128-AM128&gt;0,1/(1+AM128),0)</f>
        <v>0</v>
      </c>
      <c r="AP128" s="37" t="n">
        <f aca="false">IF($A128-AN128&gt;0,1/(1+AN128),0)</f>
        <v>0</v>
      </c>
      <c r="AQ128" s="7" t="n">
        <f aca="false">IF(AK128=0,0,MAX(MIN(1,AO128^Power),0))</f>
        <v>0</v>
      </c>
      <c r="AR128" s="7" t="n">
        <f aca="false">IF(AL128=0,0,MAX(MIN(1,AP128^Power),0))</f>
        <v>0</v>
      </c>
      <c r="AS128" s="7" t="n">
        <f aca="false">IF($AJ128=1,IF($H128=0,K128,AS127),AS127)</f>
        <v>0</v>
      </c>
      <c r="AT128" s="7" t="n">
        <f aca="false">IF($AJ128=1,IF($H128=1,N128,AT127),AT127)</f>
        <v>0</v>
      </c>
    </row>
    <row r="129" customFormat="false" ht="13" hidden="false" customHeight="false" outlineLevel="0" collapsed="false">
      <c r="A129" s="16" t="n">
        <v>112</v>
      </c>
      <c r="B129" s="37" t="n">
        <f aca="true">IF(RAND()&lt;$D$8,1,0)</f>
        <v>0</v>
      </c>
      <c r="C129" s="20" t="n">
        <f aca="true">-LN(RAND())/$D$2</f>
        <v>0.959301799050422</v>
      </c>
      <c r="D129" s="38" t="n">
        <f aca="false">D128+C129</f>
        <v>144.924498452449</v>
      </c>
      <c r="E129" s="39" t="n">
        <f aca="false">MAX($E$3,AS128)</f>
        <v>0</v>
      </c>
      <c r="F129" s="39" t="n">
        <f aca="false">MAX($E$3,AT128)</f>
        <v>0</v>
      </c>
      <c r="G129" s="40" t="n">
        <v>0.5</v>
      </c>
      <c r="H129" s="38" t="n">
        <f aca="true">IF((B129=1),(IF((F129&lt;E129),1,(IF((F129=E129),(IF(RAND()&lt;G129,1,0)),0)))),(IF((RAND()&lt;G129),1,0)))</f>
        <v>0</v>
      </c>
      <c r="I129" s="38" t="n">
        <f aca="true">IF((H129=1),0,$D$3+$D$5*(RAND()-0.5))</f>
        <v>1.86462007416165</v>
      </c>
      <c r="J129" s="38" t="n">
        <f aca="false">I129+MAX(D129,J128)</f>
        <v>147.999143498723</v>
      </c>
      <c r="K129" s="38" t="n">
        <f aca="false">IF((H129=0),J129-D129,0)</f>
        <v>3.0746450462743</v>
      </c>
      <c r="L129" s="38" t="n">
        <f aca="true">IF(($H129=0),0,$D$4+$D$5*(RAND()-0.5))</f>
        <v>0</v>
      </c>
      <c r="M129" s="38" t="n">
        <f aca="false">L129+MAX(D129,M128)</f>
        <v>152.197656701784</v>
      </c>
      <c r="N129" s="38" t="n">
        <f aca="false">IF((H129=1),M129-D129,0)</f>
        <v>0</v>
      </c>
      <c r="O129" s="16" t="n">
        <v>112</v>
      </c>
      <c r="P129" s="41" t="n">
        <f aca="false">IF((Arterial=0),P128+1,P128)</f>
        <v>48</v>
      </c>
      <c r="Q129" s="41" t="n">
        <f aca="false">IF((Arterial=1),Q128+1,Q128)</f>
        <v>64</v>
      </c>
      <c r="R129" s="42" t="e">
        <f aca="false">IF((RESET=1),0,R129+K129)</f>
        <v>#N/A</v>
      </c>
      <c r="S129" s="14" t="n">
        <f aca="false">IF(RESET=1,0,S129+N129)</f>
        <v>269.16781123454</v>
      </c>
      <c r="T129" s="2" t="e">
        <f aca="false">IF(RESET=1,0,T129+IF(H129=0,1,0))</f>
        <v>#N/A</v>
      </c>
      <c r="U129" s="2" t="n">
        <f aca="false">IF(RESET=1,0,U129+H129)</f>
        <v>28</v>
      </c>
      <c r="V129" s="14" t="e">
        <f aca="false">R129/(T129+0.00001)</f>
        <v>#N/A</v>
      </c>
      <c r="W129" s="14" t="n">
        <f aca="false">S129/(U129+0.0001)</f>
        <v>9.61310178301293</v>
      </c>
      <c r="X129" s="39" t="n">
        <f aca="false">IF(Informed=1,K129,0)</f>
        <v>0</v>
      </c>
      <c r="Y129" s="39" t="n">
        <f aca="false">IF(Informed=0,K129,0)</f>
        <v>3.0746450462743</v>
      </c>
      <c r="Z129" s="39" t="n">
        <f aca="false">IF(Informed=1,N129,0)</f>
        <v>0</v>
      </c>
      <c r="AA129" s="39" t="n">
        <f aca="false">IF(Informed=0,N129,0)</f>
        <v>0</v>
      </c>
      <c r="AB129" s="43" t="n">
        <f aca="false">IF(Arterial=0,IF(Informed=1,1,0),0)</f>
        <v>0</v>
      </c>
      <c r="AC129" s="43" t="n">
        <f aca="false">IF(Arterial=0,IF(Informed=0,1,0),0)</f>
        <v>1</v>
      </c>
      <c r="AD129" s="43" t="n">
        <f aca="false">IF(Arterial=1,IF(Informed=1,1,0),0)</f>
        <v>0</v>
      </c>
      <c r="AE129" s="43" t="n">
        <f aca="false">IF(Arterial=1,IF(Informed=0,1,0),0)</f>
        <v>0</v>
      </c>
      <c r="AF129" s="35" t="n">
        <f aca="false">IF(AB129=1,(X129-G$1030)^2,0)</f>
        <v>0</v>
      </c>
      <c r="AG129" s="35" t="n">
        <f aca="false">IF(AC129=1,(Y129-H$1030)^2,0)</f>
        <v>61.609001949044</v>
      </c>
      <c r="AH129" s="35" t="n">
        <f aca="false">IF(AD129=1,(Z129-I$1030)^2,0)</f>
        <v>0</v>
      </c>
      <c r="AI129" s="35" t="n">
        <f aca="false">IF(AE129=1,(AA129-J$1030)^2,0)</f>
        <v>0</v>
      </c>
      <c r="AJ129" s="37" t="n">
        <f aca="true">IF(RAND()&lt;$D$6,1,0)</f>
        <v>0</v>
      </c>
      <c r="AK129" s="14" t="n">
        <f aca="false">AK128+IF((AJ129=1),IF((H129=0),1,0),0)</f>
        <v>0</v>
      </c>
      <c r="AL129" s="14" t="n">
        <f aca="false">AL128+IF((AJ129=1),IF((H129=1),1,0),0)</f>
        <v>0</v>
      </c>
      <c r="AM129" s="37" t="n">
        <f aca="false">IF(AK129=0,9999,IF($H129=0,IF($AJ129&lt;1,AM128+1,0),AM128))</f>
        <v>9999</v>
      </c>
      <c r="AN129" s="37" t="n">
        <f aca="false">IF(AL129=0,9999,IF($H129=1,IF($AJ129&lt;1,AN128+1,0),AN128))</f>
        <v>9999</v>
      </c>
      <c r="AO129" s="37" t="n">
        <f aca="false">IF($A129-AM129&gt;0,1/(1+AM129),0)</f>
        <v>0</v>
      </c>
      <c r="AP129" s="37" t="n">
        <f aca="false">IF($A129-AN129&gt;0,1/(1+AN129),0)</f>
        <v>0</v>
      </c>
      <c r="AQ129" s="7" t="n">
        <f aca="false">IF(AK129=0,0,MAX(MIN(1,AO129^Power),0))</f>
        <v>0</v>
      </c>
      <c r="AR129" s="7" t="n">
        <f aca="false">IF(AL129=0,0,MAX(MIN(1,AP129^Power),0))</f>
        <v>0</v>
      </c>
      <c r="AS129" s="7" t="n">
        <f aca="false">IF($AJ129=1,IF($H129=0,K129,AS128),AS128)</f>
        <v>0</v>
      </c>
      <c r="AT129" s="7" t="n">
        <f aca="false">IF($AJ129=1,IF($H129=1,N129,AT128),AT128)</f>
        <v>0</v>
      </c>
    </row>
    <row r="130" customFormat="false" ht="13" hidden="false" customHeight="false" outlineLevel="0" collapsed="false">
      <c r="A130" s="16" t="n">
        <v>113</v>
      </c>
      <c r="B130" s="37" t="n">
        <f aca="true">IF(RAND()&lt;$D$8,1,0)</f>
        <v>1</v>
      </c>
      <c r="C130" s="20" t="n">
        <f aca="true">-LN(RAND())/$D$2</f>
        <v>0.0530053857613444</v>
      </c>
      <c r="D130" s="38" t="n">
        <f aca="false">D129+C130</f>
        <v>144.97750383821</v>
      </c>
      <c r="E130" s="39" t="n">
        <f aca="false">MAX($E$3,AS129)</f>
        <v>0</v>
      </c>
      <c r="F130" s="39" t="n">
        <f aca="false">MAX($E$3,AT129)</f>
        <v>0</v>
      </c>
      <c r="G130" s="40" t="n">
        <v>0.5</v>
      </c>
      <c r="H130" s="38" t="n">
        <f aca="true">IF((B130=1),(IF((F130&lt;E130),1,(IF((F130=E130),(IF(RAND()&lt;G130,1,0)),0)))),(IF((RAND()&lt;G130),1,0)))</f>
        <v>1</v>
      </c>
      <c r="I130" s="38" t="n">
        <f aca="true">IF((H130=1),0,$D$3+$D$5*(RAND()-0.5))</f>
        <v>0</v>
      </c>
      <c r="J130" s="38" t="n">
        <f aca="false">I130+MAX(D130,J129)</f>
        <v>147.999143498723</v>
      </c>
      <c r="K130" s="38" t="n">
        <f aca="false">IF((H130=0),J130-D130,0)</f>
        <v>0</v>
      </c>
      <c r="L130" s="38" t="n">
        <f aca="true">IF(($H130=0),0,$D$4+$D$5*(RAND()-0.5))</f>
        <v>1.91032323792662</v>
      </c>
      <c r="M130" s="38" t="n">
        <f aca="false">L130+MAX(D130,M129)</f>
        <v>154.10797993971</v>
      </c>
      <c r="N130" s="38" t="n">
        <f aca="false">IF((H130=1),M130-D130,0)</f>
        <v>9.13047610150036</v>
      </c>
      <c r="O130" s="16" t="n">
        <v>113</v>
      </c>
      <c r="P130" s="41" t="n">
        <f aca="false">IF((Arterial=0),P129+1,P129)</f>
        <v>48</v>
      </c>
      <c r="Q130" s="41" t="n">
        <f aca="false">IF((Arterial=1),Q129+1,Q129)</f>
        <v>65</v>
      </c>
      <c r="R130" s="42" t="n">
        <f aca="false">IF((RESET=1),0,R130+K130)</f>
        <v>409.476799326319</v>
      </c>
      <c r="S130" s="14" t="e">
        <f aca="false">IF(RESET=1,0,S130+N130)</f>
        <v>#N/A</v>
      </c>
      <c r="T130" s="2" t="n">
        <f aca="false">IF(RESET=1,0,T130+IF(H130=0,1,0))</f>
        <v>39</v>
      </c>
      <c r="U130" s="2" t="e">
        <f aca="false">IF(RESET=1,0,U130+H130)</f>
        <v>#N/A</v>
      </c>
      <c r="V130" s="14" t="n">
        <f aca="false">R130/(T130+0.00001)</f>
        <v>10.4994024187768</v>
      </c>
      <c r="W130" s="14" t="e">
        <f aca="false">S130/(U130+0.0001)</f>
        <v>#N/A</v>
      </c>
      <c r="X130" s="39" t="n">
        <f aca="false">IF(Informed=1,K130,0)</f>
        <v>0</v>
      </c>
      <c r="Y130" s="39" t="n">
        <f aca="false">IF(Informed=0,K130,0)</f>
        <v>0</v>
      </c>
      <c r="Z130" s="39" t="n">
        <f aca="false">IF(Informed=1,N130,0)</f>
        <v>9.13047610150036</v>
      </c>
      <c r="AA130" s="39" t="n">
        <f aca="false">IF(Informed=0,N130,0)</f>
        <v>0</v>
      </c>
      <c r="AB130" s="43" t="n">
        <f aca="false">IF(Arterial=0,IF(Informed=1,1,0),0)</f>
        <v>0</v>
      </c>
      <c r="AC130" s="43" t="n">
        <f aca="false">IF(Arterial=0,IF(Informed=0,1,0),0)</f>
        <v>0</v>
      </c>
      <c r="AD130" s="43" t="n">
        <f aca="false">IF(Arterial=1,IF(Informed=1,1,0),0)</f>
        <v>1</v>
      </c>
      <c r="AE130" s="43" t="n">
        <f aca="false">IF(Arterial=1,IF(Informed=0,1,0),0)</f>
        <v>0</v>
      </c>
      <c r="AF130" s="35" t="n">
        <f aca="false">IF(AB130=1,(X130-G$1030)^2,0)</f>
        <v>0</v>
      </c>
      <c r="AG130" s="35" t="n">
        <f aca="false">IF(AC130=1,(Y130-H$1030)^2,0)</f>
        <v>0</v>
      </c>
      <c r="AH130" s="35" t="n">
        <f aca="false">IF(AD130=1,(Z130-I$1030)^2,0)</f>
        <v>370.345341456182</v>
      </c>
      <c r="AI130" s="35" t="n">
        <f aca="false">IF(AE130=1,(AA130-J$1030)^2,0)</f>
        <v>0</v>
      </c>
      <c r="AJ130" s="37" t="n">
        <f aca="true">IF(RAND()&lt;$D$6,1,0)</f>
        <v>0</v>
      </c>
      <c r="AK130" s="14" t="n">
        <f aca="false">AK129+IF((AJ130=1),IF((H130=0),1,0),0)</f>
        <v>0</v>
      </c>
      <c r="AL130" s="14" t="n">
        <f aca="false">AL129+IF((AJ130=1),IF((H130=1),1,0),0)</f>
        <v>0</v>
      </c>
      <c r="AM130" s="37" t="n">
        <f aca="false">IF(AK130=0,9999,IF($H130=0,IF($AJ130&lt;1,AM129+1,0),AM129))</f>
        <v>9999</v>
      </c>
      <c r="AN130" s="37" t="n">
        <f aca="false">IF(AL130=0,9999,IF($H130=1,IF($AJ130&lt;1,AN129+1,0),AN129))</f>
        <v>9999</v>
      </c>
      <c r="AO130" s="37" t="n">
        <f aca="false">IF($A130-AM130&gt;0,1/(1+AM130),0)</f>
        <v>0</v>
      </c>
      <c r="AP130" s="37" t="n">
        <f aca="false">IF($A130-AN130&gt;0,1/(1+AN130),0)</f>
        <v>0</v>
      </c>
      <c r="AQ130" s="7" t="n">
        <f aca="false">IF(AK130=0,0,MAX(MIN(1,AO130^Power),0))</f>
        <v>0</v>
      </c>
      <c r="AR130" s="7" t="n">
        <f aca="false">IF(AL130=0,0,MAX(MIN(1,AP130^Power),0))</f>
        <v>0</v>
      </c>
      <c r="AS130" s="7" t="n">
        <f aca="false">IF($AJ130=1,IF($H130=0,K130,AS129),AS129)</f>
        <v>0</v>
      </c>
      <c r="AT130" s="7" t="n">
        <f aca="false">IF($AJ130=1,IF($H130=1,N130,AT129),AT129)</f>
        <v>0</v>
      </c>
    </row>
    <row r="131" customFormat="false" ht="13" hidden="false" customHeight="false" outlineLevel="0" collapsed="false">
      <c r="A131" s="16" t="n">
        <v>114</v>
      </c>
      <c r="B131" s="37" t="n">
        <f aca="true">IF(RAND()&lt;$D$8,1,0)</f>
        <v>0</v>
      </c>
      <c r="C131" s="20" t="n">
        <f aca="true">-LN(RAND())/$D$2</f>
        <v>0.248127468660694</v>
      </c>
      <c r="D131" s="38" t="n">
        <f aca="false">D130+C131</f>
        <v>145.225631306871</v>
      </c>
      <c r="E131" s="39" t="n">
        <f aca="false">MAX($E$3,AS130)</f>
        <v>0</v>
      </c>
      <c r="F131" s="39" t="n">
        <f aca="false">MAX($E$3,AT130)</f>
        <v>0</v>
      </c>
      <c r="G131" s="40" t="n">
        <v>0.5</v>
      </c>
      <c r="H131" s="38" t="n">
        <f aca="true">IF((B131=1),(IF((F131&lt;E131),1,(IF((F131=E131),(IF(RAND()&lt;G131,1,0)),0)))),(IF((RAND()&lt;G131),1,0)))</f>
        <v>0</v>
      </c>
      <c r="I131" s="38" t="n">
        <f aca="true">IF((H131=1),0,$D$3+$D$5*(RAND()-0.5))</f>
        <v>2.23642387034011</v>
      </c>
      <c r="J131" s="38" t="n">
        <f aca="false">I131+MAX(D131,J130)</f>
        <v>150.235567369063</v>
      </c>
      <c r="K131" s="38" t="n">
        <f aca="false">IF((H131=0),J131-D131,0)</f>
        <v>5.00993606219237</v>
      </c>
      <c r="L131" s="38" t="n">
        <f aca="true">IF(($H131=0),0,$D$4+$D$5*(RAND()-0.5))</f>
        <v>0</v>
      </c>
      <c r="M131" s="38" t="n">
        <f aca="false">L131+MAX(D131,M130)</f>
        <v>154.10797993971</v>
      </c>
      <c r="N131" s="38" t="n">
        <f aca="false">IF((H131=1),M131-D131,0)</f>
        <v>0</v>
      </c>
      <c r="O131" s="16" t="n">
        <v>114</v>
      </c>
      <c r="P131" s="41" t="n">
        <f aca="false">IF((Arterial=0),P130+1,P130)</f>
        <v>49</v>
      </c>
      <c r="Q131" s="41" t="n">
        <f aca="false">IF((Arterial=1),Q130+1,Q130)</f>
        <v>65</v>
      </c>
      <c r="R131" s="42" t="e">
        <f aca="false">IF((RESET=1),0,R131+K131)</f>
        <v>#N/A</v>
      </c>
      <c r="S131" s="14" t="n">
        <f aca="false">IF(RESET=1,0,S131+N131)</f>
        <v>422.802765453034</v>
      </c>
      <c r="T131" s="2" t="e">
        <f aca="false">IF(RESET=1,0,T131+IF(H131=0,1,0))</f>
        <v>#N/A</v>
      </c>
      <c r="U131" s="2" t="n">
        <f aca="false">IF(RESET=1,0,U131+H131)</f>
        <v>40</v>
      </c>
      <c r="V131" s="14" t="e">
        <f aca="false">R131/(T131+0.00001)</f>
        <v>#N/A</v>
      </c>
      <c r="W131" s="14" t="n">
        <f aca="false">S131/(U131+0.0001)</f>
        <v>10.5700427112191</v>
      </c>
      <c r="X131" s="39" t="n">
        <f aca="false">IF(Informed=1,K131,0)</f>
        <v>0</v>
      </c>
      <c r="Y131" s="39" t="n">
        <f aca="false">IF(Informed=0,K131,0)</f>
        <v>5.00993606219237</v>
      </c>
      <c r="Z131" s="39" t="n">
        <f aca="false">IF(Informed=1,N131,0)</f>
        <v>0</v>
      </c>
      <c r="AA131" s="39" t="n">
        <f aca="false">IF(Informed=0,N131,0)</f>
        <v>0</v>
      </c>
      <c r="AB131" s="43" t="n">
        <f aca="false">IF(Arterial=0,IF(Informed=1,1,0),0)</f>
        <v>0</v>
      </c>
      <c r="AC131" s="43" t="n">
        <f aca="false">IF(Arterial=0,IF(Informed=0,1,0),0)</f>
        <v>1</v>
      </c>
      <c r="AD131" s="43" t="n">
        <f aca="false">IF(Arterial=1,IF(Informed=1,1,0),0)</f>
        <v>0</v>
      </c>
      <c r="AE131" s="43" t="n">
        <f aca="false">IF(Arterial=1,IF(Informed=0,1,0),0)</f>
        <v>0</v>
      </c>
      <c r="AF131" s="35" t="n">
        <f aca="false">IF(AB131=1,(X131-G$1030)^2,0)</f>
        <v>0</v>
      </c>
      <c r="AG131" s="35" t="n">
        <f aca="false">IF(AC131=1,(Y131-H$1030)^2,0)</f>
        <v>34.9736122246475</v>
      </c>
      <c r="AH131" s="35" t="n">
        <f aca="false">IF(AD131=1,(Z131-I$1030)^2,0)</f>
        <v>0</v>
      </c>
      <c r="AI131" s="35" t="n">
        <f aca="false">IF(AE131=1,(AA131-J$1030)^2,0)</f>
        <v>0</v>
      </c>
      <c r="AJ131" s="37" t="n">
        <f aca="true">IF(RAND()&lt;$D$6,1,0)</f>
        <v>0</v>
      </c>
      <c r="AK131" s="14" t="n">
        <f aca="false">AK130+IF((AJ131=1),IF((H131=0),1,0),0)</f>
        <v>0</v>
      </c>
      <c r="AL131" s="14" t="n">
        <f aca="false">AL130+IF((AJ131=1),IF((H131=1),1,0),0)</f>
        <v>0</v>
      </c>
      <c r="AM131" s="37" t="n">
        <f aca="false">IF(AK131=0,9999,IF($H131=0,IF($AJ131&lt;1,AM130+1,0),AM130))</f>
        <v>9999</v>
      </c>
      <c r="AN131" s="37" t="n">
        <f aca="false">IF(AL131=0,9999,IF($H131=1,IF($AJ131&lt;1,AN130+1,0),AN130))</f>
        <v>9999</v>
      </c>
      <c r="AO131" s="37" t="n">
        <f aca="false">IF($A131-AM131&gt;0,1/(1+AM131),0)</f>
        <v>0</v>
      </c>
      <c r="AP131" s="37" t="n">
        <f aca="false">IF($A131-AN131&gt;0,1/(1+AN131),0)</f>
        <v>0</v>
      </c>
      <c r="AQ131" s="7" t="n">
        <f aca="false">IF(AK131=0,0,MAX(MIN(1,AO131^Power),0))</f>
        <v>0</v>
      </c>
      <c r="AR131" s="7" t="n">
        <f aca="false">IF(AL131=0,0,MAX(MIN(1,AP131^Power),0))</f>
        <v>0</v>
      </c>
      <c r="AS131" s="7" t="n">
        <f aca="false">IF($AJ131=1,IF($H131=0,K131,AS130),AS130)</f>
        <v>0</v>
      </c>
      <c r="AT131" s="7" t="n">
        <f aca="false">IF($AJ131=1,IF($H131=1,N131,AT130),AT130)</f>
        <v>0</v>
      </c>
    </row>
    <row r="132" customFormat="false" ht="13" hidden="false" customHeight="false" outlineLevel="0" collapsed="false">
      <c r="A132" s="16" t="n">
        <v>115</v>
      </c>
      <c r="B132" s="37" t="n">
        <f aca="true">IF(RAND()&lt;$D$8,1,0)</f>
        <v>1</v>
      </c>
      <c r="C132" s="20" t="n">
        <f aca="true">-LN(RAND())/$D$2</f>
        <v>0.0927872723250757</v>
      </c>
      <c r="D132" s="38" t="n">
        <f aca="false">D131+C132</f>
        <v>145.318418579196</v>
      </c>
      <c r="E132" s="39" t="n">
        <f aca="false">MAX($E$3,AS131)</f>
        <v>0</v>
      </c>
      <c r="F132" s="39" t="n">
        <f aca="false">MAX($E$3,AT131)</f>
        <v>0</v>
      </c>
      <c r="G132" s="40" t="n">
        <v>0.5</v>
      </c>
      <c r="H132" s="38" t="n">
        <f aca="true">IF((B132=1),(IF((F132&lt;E132),1,(IF((F132=E132),(IF(RAND()&lt;G132,1,0)),0)))),(IF((RAND()&lt;G132),1,0)))</f>
        <v>1</v>
      </c>
      <c r="I132" s="38" t="n">
        <f aca="true">IF((H132=1),0,$D$3+$D$5*(RAND()-0.5))</f>
        <v>0</v>
      </c>
      <c r="J132" s="38" t="n">
        <f aca="false">I132+MAX(D132,J131)</f>
        <v>150.235567369063</v>
      </c>
      <c r="K132" s="38" t="n">
        <f aca="false">IF((H132=0),J132-D132,0)</f>
        <v>0</v>
      </c>
      <c r="L132" s="38" t="n">
        <f aca="true">IF(($H132=0),0,$D$4+$D$5*(RAND()-0.5))</f>
        <v>1.90490536297886</v>
      </c>
      <c r="M132" s="38" t="n">
        <f aca="false">L132+MAX(D132,M131)</f>
        <v>156.012885302689</v>
      </c>
      <c r="N132" s="38" t="n">
        <f aca="false">IF((H132=1),M132-D132,0)</f>
        <v>10.6944667234935</v>
      </c>
      <c r="O132" s="16" t="n">
        <v>115</v>
      </c>
      <c r="P132" s="41" t="n">
        <f aca="false">IF((Arterial=0),P131+1,P131)</f>
        <v>49</v>
      </c>
      <c r="Q132" s="41" t="n">
        <f aca="false">IF((Arterial=1),Q131+1,Q131)</f>
        <v>66</v>
      </c>
      <c r="R132" s="42" t="n">
        <f aca="false">IF((RESET=1),0,R132+K132)</f>
        <v>467.469345845956</v>
      </c>
      <c r="S132" s="14" t="e">
        <f aca="false">IF(RESET=1,0,S132+N132)</f>
        <v>#N/A</v>
      </c>
      <c r="T132" s="2" t="n">
        <f aca="false">IF(RESET=1,0,T132+IF(H132=0,1,0))</f>
        <v>39</v>
      </c>
      <c r="U132" s="2" t="e">
        <f aca="false">IF(RESET=1,0,U132+H132)</f>
        <v>#N/A</v>
      </c>
      <c r="V132" s="14" t="n">
        <f aca="false">R132/(T132+0.00001)</f>
        <v>11.9863904097962</v>
      </c>
      <c r="W132" s="14" t="e">
        <f aca="false">S132/(U132+0.0001)</f>
        <v>#N/A</v>
      </c>
      <c r="X132" s="39" t="n">
        <f aca="false">IF(Informed=1,K132,0)</f>
        <v>0</v>
      </c>
      <c r="Y132" s="39" t="n">
        <f aca="false">IF(Informed=0,K132,0)</f>
        <v>0</v>
      </c>
      <c r="Z132" s="39" t="n">
        <f aca="false">IF(Informed=1,N132,0)</f>
        <v>10.6944667234935</v>
      </c>
      <c r="AA132" s="39" t="n">
        <f aca="false">IF(Informed=0,N132,0)</f>
        <v>0</v>
      </c>
      <c r="AB132" s="43" t="n">
        <f aca="false">IF(Arterial=0,IF(Informed=1,1,0),0)</f>
        <v>0</v>
      </c>
      <c r="AC132" s="43" t="n">
        <f aca="false">IF(Arterial=0,IF(Informed=0,1,0),0)</f>
        <v>0</v>
      </c>
      <c r="AD132" s="43" t="n">
        <f aca="false">IF(Arterial=1,IF(Informed=1,1,0),0)</f>
        <v>1</v>
      </c>
      <c r="AE132" s="43" t="n">
        <f aca="false">IF(Arterial=1,IF(Informed=0,1,0),0)</f>
        <v>0</v>
      </c>
      <c r="AF132" s="35" t="n">
        <f aca="false">IF(AB132=1,(X132-G$1030)^2,0)</f>
        <v>0</v>
      </c>
      <c r="AG132" s="35" t="n">
        <f aca="false">IF(AC132=1,(Y132-H$1030)^2,0)</f>
        <v>0</v>
      </c>
      <c r="AH132" s="35" t="n">
        <f aca="false">IF(AD132=1,(Z132-I$1030)^2,0)</f>
        <v>312.595415081573</v>
      </c>
      <c r="AI132" s="35" t="n">
        <f aca="false">IF(AE132=1,(AA132-J$1030)^2,0)</f>
        <v>0</v>
      </c>
      <c r="AJ132" s="37" t="n">
        <f aca="true">IF(RAND()&lt;$D$6,1,0)</f>
        <v>0</v>
      </c>
      <c r="AK132" s="14" t="n">
        <f aca="false">AK131+IF((AJ132=1),IF((H132=0),1,0),0)</f>
        <v>0</v>
      </c>
      <c r="AL132" s="14" t="n">
        <f aca="false">AL131+IF((AJ132=1),IF((H132=1),1,0),0)</f>
        <v>0</v>
      </c>
      <c r="AM132" s="37" t="n">
        <f aca="false">IF(AK132=0,9999,IF($H132=0,IF($AJ132&lt;1,AM131+1,0),AM131))</f>
        <v>9999</v>
      </c>
      <c r="AN132" s="37" t="n">
        <f aca="false">IF(AL132=0,9999,IF($H132=1,IF($AJ132&lt;1,AN131+1,0),AN131))</f>
        <v>9999</v>
      </c>
      <c r="AO132" s="37" t="n">
        <f aca="false">IF($A132-AM132&gt;0,1/(1+AM132),0)</f>
        <v>0</v>
      </c>
      <c r="AP132" s="37" t="n">
        <f aca="false">IF($A132-AN132&gt;0,1/(1+AN132),0)</f>
        <v>0</v>
      </c>
      <c r="AQ132" s="7" t="n">
        <f aca="false">IF(AK132=0,0,MAX(MIN(1,AO132^Power),0))</f>
        <v>0</v>
      </c>
      <c r="AR132" s="7" t="n">
        <f aca="false">IF(AL132=0,0,MAX(MIN(1,AP132^Power),0))</f>
        <v>0</v>
      </c>
      <c r="AS132" s="7" t="n">
        <f aca="false">IF($AJ132=1,IF($H132=0,K132,AS131),AS131)</f>
        <v>0</v>
      </c>
      <c r="AT132" s="7" t="n">
        <f aca="false">IF($AJ132=1,IF($H132=1,N132,AT131),AT131)</f>
        <v>0</v>
      </c>
    </row>
    <row r="133" customFormat="false" ht="13" hidden="false" customHeight="false" outlineLevel="0" collapsed="false">
      <c r="A133" s="16" t="n">
        <v>116</v>
      </c>
      <c r="B133" s="37" t="n">
        <f aca="true">IF(RAND()&lt;$D$8,1,0)</f>
        <v>1</v>
      </c>
      <c r="C133" s="20" t="n">
        <f aca="true">-LN(RAND())/$D$2</f>
        <v>2.74543147630702</v>
      </c>
      <c r="D133" s="38" t="n">
        <f aca="false">D132+C133</f>
        <v>148.063850055503</v>
      </c>
      <c r="E133" s="39" t="n">
        <f aca="false">MAX($E$3,AS132)</f>
        <v>0</v>
      </c>
      <c r="F133" s="39" t="n">
        <f aca="false">MAX($E$3,AT132)</f>
        <v>0</v>
      </c>
      <c r="G133" s="40" t="n">
        <v>0.5</v>
      </c>
      <c r="H133" s="38" t="n">
        <f aca="true">IF((B133=1),(IF((F133&lt;E133),1,(IF((F133=E133),(IF(RAND()&lt;G133,1,0)),0)))),(IF((RAND()&lt;G133),1,0)))</f>
        <v>0</v>
      </c>
      <c r="I133" s="38" t="n">
        <f aca="true">IF((H133=1),0,$D$3+$D$5*(RAND()-0.5))</f>
        <v>1.82352466162575</v>
      </c>
      <c r="J133" s="38" t="n">
        <f aca="false">I133+MAX(D133,J132)</f>
        <v>152.059092030689</v>
      </c>
      <c r="K133" s="38" t="n">
        <f aca="false">IF((H133=0),J133-D133,0)</f>
        <v>3.99524197518602</v>
      </c>
      <c r="L133" s="38" t="n">
        <f aca="true">IF(($H133=0),0,$D$4+$D$5*(RAND()-0.5))</f>
        <v>0</v>
      </c>
      <c r="M133" s="38" t="n">
        <f aca="false">L133+MAX(D133,M132)</f>
        <v>156.012885302689</v>
      </c>
      <c r="N133" s="38" t="n">
        <f aca="false">IF((H133=1),M133-D133,0)</f>
        <v>0</v>
      </c>
      <c r="O133" s="16" t="n">
        <v>116</v>
      </c>
      <c r="P133" s="41" t="n">
        <f aca="false">IF((Arterial=0),P132+1,P132)</f>
        <v>50</v>
      </c>
      <c r="Q133" s="41" t="n">
        <f aca="false">IF((Arterial=1),Q132+1,Q132)</f>
        <v>66</v>
      </c>
      <c r="R133" s="42" t="e">
        <f aca="false">IF((RESET=1),0,R133+K133)</f>
        <v>#N/A</v>
      </c>
      <c r="S133" s="14" t="n">
        <f aca="false">IF(RESET=1,0,S133+N133)</f>
        <v>376.558990465673</v>
      </c>
      <c r="T133" s="2" t="e">
        <f aca="false">IF(RESET=1,0,T133+IF(H133=0,1,0))</f>
        <v>#N/A</v>
      </c>
      <c r="U133" s="2" t="n">
        <f aca="false">IF(RESET=1,0,U133+H133)</f>
        <v>38</v>
      </c>
      <c r="V133" s="14" t="e">
        <f aca="false">R133/(T133+0.00001)</f>
        <v>#N/A</v>
      </c>
      <c r="W133" s="14" t="n">
        <f aca="false">S133/(U133+0.0001)</f>
        <v>9.90942104009392</v>
      </c>
      <c r="X133" s="39" t="n">
        <f aca="false">IF(Informed=1,K133,0)</f>
        <v>3.99524197518602</v>
      </c>
      <c r="Y133" s="39" t="n">
        <f aca="false">IF(Informed=0,K133,0)</f>
        <v>0</v>
      </c>
      <c r="Z133" s="39" t="n">
        <f aca="false">IF(Informed=1,N133,0)</f>
        <v>0</v>
      </c>
      <c r="AA133" s="39" t="n">
        <f aca="false">IF(Informed=0,N133,0)</f>
        <v>0</v>
      </c>
      <c r="AB133" s="43" t="n">
        <f aca="false">IF(Arterial=0,IF(Informed=1,1,0),0)</f>
        <v>1</v>
      </c>
      <c r="AC133" s="43" t="n">
        <f aca="false">IF(Arterial=0,IF(Informed=0,1,0),0)</f>
        <v>0</v>
      </c>
      <c r="AD133" s="43" t="n">
        <f aca="false">IF(Arterial=1,IF(Informed=1,1,0),0)</f>
        <v>0</v>
      </c>
      <c r="AE133" s="43" t="n">
        <f aca="false">IF(Arterial=1,IF(Informed=0,1,0),0)</f>
        <v>0</v>
      </c>
      <c r="AF133" s="35" t="n">
        <f aca="false">IF(AB133=1,(X133-G$1030)^2,0)</f>
        <v>45.0836543781288</v>
      </c>
      <c r="AG133" s="35" t="n">
        <f aca="false">IF(AC133=1,(Y133-H$1030)^2,0)</f>
        <v>0</v>
      </c>
      <c r="AH133" s="35" t="n">
        <f aca="false">IF(AD133=1,(Z133-I$1030)^2,0)</f>
        <v>0</v>
      </c>
      <c r="AI133" s="35" t="n">
        <f aca="false">IF(AE133=1,(AA133-J$1030)^2,0)</f>
        <v>0</v>
      </c>
      <c r="AJ133" s="37" t="n">
        <f aca="true">IF(RAND()&lt;$D$6,1,0)</f>
        <v>0</v>
      </c>
      <c r="AK133" s="14" t="n">
        <f aca="false">AK132+IF((AJ133=1),IF((H133=0),1,0),0)</f>
        <v>0</v>
      </c>
      <c r="AL133" s="14" t="n">
        <f aca="false">AL132+IF((AJ133=1),IF((H133=1),1,0),0)</f>
        <v>0</v>
      </c>
      <c r="AM133" s="37" t="n">
        <f aca="false">IF(AK133=0,9999,IF($H133=0,IF($AJ133&lt;1,AM132+1,0),AM132))</f>
        <v>9999</v>
      </c>
      <c r="AN133" s="37" t="n">
        <f aca="false">IF(AL133=0,9999,IF($H133=1,IF($AJ133&lt;1,AN132+1,0),AN132))</f>
        <v>9999</v>
      </c>
      <c r="AO133" s="37" t="n">
        <f aca="false">IF($A133-AM133&gt;0,1/(1+AM133),0)</f>
        <v>0</v>
      </c>
      <c r="AP133" s="37" t="n">
        <f aca="false">IF($A133-AN133&gt;0,1/(1+AN133),0)</f>
        <v>0</v>
      </c>
      <c r="AQ133" s="7" t="n">
        <f aca="false">IF(AK133=0,0,MAX(MIN(1,AO133^Power),0))</f>
        <v>0</v>
      </c>
      <c r="AR133" s="7" t="n">
        <f aca="false">IF(AL133=0,0,MAX(MIN(1,AP133^Power),0))</f>
        <v>0</v>
      </c>
      <c r="AS133" s="7" t="n">
        <f aca="false">IF($AJ133=1,IF($H133=0,K133,AS132),AS132)</f>
        <v>0</v>
      </c>
      <c r="AT133" s="7" t="n">
        <f aca="false">IF($AJ133=1,IF($H133=1,N133,AT132),AT132)</f>
        <v>0</v>
      </c>
    </row>
    <row r="134" customFormat="false" ht="13" hidden="false" customHeight="false" outlineLevel="0" collapsed="false">
      <c r="A134" s="16" t="n">
        <v>117</v>
      </c>
      <c r="B134" s="37" t="n">
        <f aca="true">IF(RAND()&lt;$D$8,1,0)</f>
        <v>1</v>
      </c>
      <c r="C134" s="20" t="n">
        <f aca="true">-LN(RAND())/$D$2</f>
        <v>1.12085616929344</v>
      </c>
      <c r="D134" s="38" t="n">
        <f aca="false">D133+C134</f>
        <v>149.184706224796</v>
      </c>
      <c r="E134" s="39" t="n">
        <f aca="false">MAX($E$3,AS133)</f>
        <v>0</v>
      </c>
      <c r="F134" s="39" t="n">
        <f aca="false">MAX($E$3,AT133)</f>
        <v>0</v>
      </c>
      <c r="G134" s="40" t="n">
        <v>0.5</v>
      </c>
      <c r="H134" s="38" t="n">
        <f aca="true">IF((B134=1),(IF((F134&lt;E134),1,(IF((F134=E134),(IF(RAND()&lt;G134,1,0)),0)))),(IF((RAND()&lt;G134),1,0)))</f>
        <v>0</v>
      </c>
      <c r="I134" s="38" t="n">
        <f aca="true">IF((H134=1),0,$D$3+$D$5*(RAND()-0.5))</f>
        <v>2.00023920504436</v>
      </c>
      <c r="J134" s="38" t="n">
        <f aca="false">I134+MAX(D134,J133)</f>
        <v>154.059331235733</v>
      </c>
      <c r="K134" s="38" t="n">
        <f aca="false">IF((H134=0),J134-D134,0)</f>
        <v>4.87462501093694</v>
      </c>
      <c r="L134" s="38" t="n">
        <f aca="true">IF(($H134=0),0,$D$4+$D$5*(RAND()-0.5))</f>
        <v>0</v>
      </c>
      <c r="M134" s="38" t="n">
        <f aca="false">L134+MAX(D134,M133)</f>
        <v>156.012885302689</v>
      </c>
      <c r="N134" s="38" t="n">
        <f aca="false">IF((H134=1),M134-D134,0)</f>
        <v>0</v>
      </c>
      <c r="O134" s="16" t="n">
        <v>117</v>
      </c>
      <c r="P134" s="41" t="n">
        <f aca="false">IF((Arterial=0),P133+1,P133)</f>
        <v>51</v>
      </c>
      <c r="Q134" s="41" t="n">
        <f aca="false">IF((Arterial=1),Q133+1,Q133)</f>
        <v>66</v>
      </c>
      <c r="R134" s="42" t="e">
        <f aca="false">IF((RESET=1),0,R134+K134)</f>
        <v>#N/A</v>
      </c>
      <c r="S134" s="14" t="n">
        <f aca="false">IF(RESET=1,0,S134+N134)</f>
        <v>389.32869933061</v>
      </c>
      <c r="T134" s="2" t="e">
        <f aca="false">IF(RESET=1,0,T134+IF(H134=0,1,0))</f>
        <v>#N/A</v>
      </c>
      <c r="U134" s="2" t="n">
        <f aca="false">IF(RESET=1,0,U134+H134)</f>
        <v>40</v>
      </c>
      <c r="V134" s="14" t="e">
        <f aca="false">R134/(T134+0.00001)</f>
        <v>#N/A</v>
      </c>
      <c r="W134" s="14" t="n">
        <f aca="false">S134/(U134+0.0001)</f>
        <v>9.73319315028236</v>
      </c>
      <c r="X134" s="39" t="n">
        <f aca="false">IF(Informed=1,K134,0)</f>
        <v>4.87462501093694</v>
      </c>
      <c r="Y134" s="39" t="n">
        <f aca="false">IF(Informed=0,K134,0)</f>
        <v>0</v>
      </c>
      <c r="Z134" s="39" t="n">
        <f aca="false">IF(Informed=1,N134,0)</f>
        <v>0</v>
      </c>
      <c r="AA134" s="39" t="n">
        <f aca="false">IF(Informed=0,N134,0)</f>
        <v>0</v>
      </c>
      <c r="AB134" s="43" t="n">
        <f aca="false">IF(Arterial=0,IF(Informed=1,1,0),0)</f>
        <v>1</v>
      </c>
      <c r="AC134" s="43" t="n">
        <f aca="false">IF(Arterial=0,IF(Informed=0,1,0),0)</f>
        <v>0</v>
      </c>
      <c r="AD134" s="43" t="n">
        <f aca="false">IF(Arterial=1,IF(Informed=1,1,0),0)</f>
        <v>0</v>
      </c>
      <c r="AE134" s="43" t="n">
        <f aca="false">IF(Arterial=1,IF(Informed=0,1,0),0)</f>
        <v>0</v>
      </c>
      <c r="AF134" s="35" t="n">
        <f aca="false">IF(AB134=1,(X134-G$1030)^2,0)</f>
        <v>34.0478462067514</v>
      </c>
      <c r="AG134" s="35" t="n">
        <f aca="false">IF(AC134=1,(Y134-H$1030)^2,0)</f>
        <v>0</v>
      </c>
      <c r="AH134" s="35" t="n">
        <f aca="false">IF(AD134=1,(Z134-I$1030)^2,0)</f>
        <v>0</v>
      </c>
      <c r="AI134" s="35" t="n">
        <f aca="false">IF(AE134=1,(AA134-J$1030)^2,0)</f>
        <v>0</v>
      </c>
      <c r="AJ134" s="37" t="n">
        <f aca="true">IF(RAND()&lt;$D$6,1,0)</f>
        <v>0</v>
      </c>
      <c r="AK134" s="14" t="n">
        <f aca="false">AK133+IF((AJ134=1),IF((H134=0),1,0),0)</f>
        <v>0</v>
      </c>
      <c r="AL134" s="14" t="n">
        <f aca="false">AL133+IF((AJ134=1),IF((H134=1),1,0),0)</f>
        <v>0</v>
      </c>
      <c r="AM134" s="37" t="n">
        <f aca="false">IF(AK134=0,9999,IF($H134=0,IF($AJ134&lt;1,AM133+1,0),AM133))</f>
        <v>9999</v>
      </c>
      <c r="AN134" s="37" t="n">
        <f aca="false">IF(AL134=0,9999,IF($H134=1,IF($AJ134&lt;1,AN133+1,0),AN133))</f>
        <v>9999</v>
      </c>
      <c r="AO134" s="37" t="n">
        <f aca="false">IF($A134-AM134&gt;0,1/(1+AM134),0)</f>
        <v>0</v>
      </c>
      <c r="AP134" s="37" t="n">
        <f aca="false">IF($A134-AN134&gt;0,1/(1+AN134),0)</f>
        <v>0</v>
      </c>
      <c r="AQ134" s="7" t="n">
        <f aca="false">IF(AK134=0,0,MAX(MIN(1,AO134^Power),0))</f>
        <v>0</v>
      </c>
      <c r="AR134" s="7" t="n">
        <f aca="false">IF(AL134=0,0,MAX(MIN(1,AP134^Power),0))</f>
        <v>0</v>
      </c>
      <c r="AS134" s="7" t="n">
        <f aca="false">IF($AJ134=1,IF($H134=0,K134,AS133),AS133)</f>
        <v>0</v>
      </c>
      <c r="AT134" s="7" t="n">
        <f aca="false">IF($AJ134=1,IF($H134=1,N134,AT133),AT133)</f>
        <v>0</v>
      </c>
    </row>
    <row r="135" customFormat="false" ht="13" hidden="false" customHeight="false" outlineLevel="0" collapsed="false">
      <c r="A135" s="16" t="n">
        <v>118</v>
      </c>
      <c r="B135" s="37" t="n">
        <f aca="true">IF(RAND()&lt;$D$8,1,0)</f>
        <v>0</v>
      </c>
      <c r="C135" s="20" t="n">
        <f aca="true">-LN(RAND())/$D$2</f>
        <v>0.740945042842411</v>
      </c>
      <c r="D135" s="38" t="n">
        <f aca="false">D134+C135</f>
        <v>149.925651267639</v>
      </c>
      <c r="E135" s="39" t="n">
        <f aca="false">MAX($E$3,AS134)</f>
        <v>0</v>
      </c>
      <c r="F135" s="39" t="n">
        <f aca="false">MAX($E$3,AT134)</f>
        <v>0</v>
      </c>
      <c r="G135" s="40" t="n">
        <v>0.5</v>
      </c>
      <c r="H135" s="38" t="n">
        <f aca="true">IF((B135=1),(IF((F135&lt;E135),1,(IF((F135=E135),(IF(RAND()&lt;G135,1,0)),0)))),(IF((RAND()&lt;G135),1,0)))</f>
        <v>0</v>
      </c>
      <c r="I135" s="38" t="n">
        <f aca="true">IF((H135=1),0,$D$3+$D$5*(RAND()-0.5))</f>
        <v>1.75596402654089</v>
      </c>
      <c r="J135" s="38" t="n">
        <f aca="false">I135+MAX(D135,J134)</f>
        <v>155.815295262274</v>
      </c>
      <c r="K135" s="38" t="n">
        <f aca="false">IF((H135=0),J135-D135,0)</f>
        <v>5.88964399463541</v>
      </c>
      <c r="L135" s="38" t="n">
        <f aca="true">IF(($H135=0),0,$D$4+$D$5*(RAND()-0.5))</f>
        <v>0</v>
      </c>
      <c r="M135" s="38" t="n">
        <f aca="false">L135+MAX(D135,M134)</f>
        <v>156.012885302689</v>
      </c>
      <c r="N135" s="38" t="n">
        <f aca="false">IF((H135=1),M135-D135,0)</f>
        <v>0</v>
      </c>
      <c r="O135" s="16" t="n">
        <v>118</v>
      </c>
      <c r="P135" s="41" t="n">
        <f aca="false">IF((Arterial=0),P134+1,P134)</f>
        <v>52</v>
      </c>
      <c r="Q135" s="41" t="n">
        <f aca="false">IF((Arterial=1),Q134+1,Q134)</f>
        <v>66</v>
      </c>
      <c r="R135" s="42" t="e">
        <f aca="false">IF((RESET=1),0,R135+K135)</f>
        <v>#N/A</v>
      </c>
      <c r="S135" s="14" t="n">
        <f aca="false">IF(RESET=1,0,S135+N135)</f>
        <v>502.514315405853</v>
      </c>
      <c r="T135" s="2" t="e">
        <f aca="false">IF(RESET=1,0,T135+IF(H135=0,1,0))</f>
        <v>#N/A</v>
      </c>
      <c r="U135" s="2" t="n">
        <f aca="false">IF(RESET=1,0,U135+H135)</f>
        <v>40</v>
      </c>
      <c r="V135" s="14" t="e">
        <f aca="false">R135/(T135+0.00001)</f>
        <v>#N/A</v>
      </c>
      <c r="W135" s="14" t="n">
        <f aca="false">S135/(U135+0.0001)</f>
        <v>12.5628264780801</v>
      </c>
      <c r="X135" s="39" t="n">
        <f aca="false">IF(Informed=1,K135,0)</f>
        <v>0</v>
      </c>
      <c r="Y135" s="39" t="n">
        <f aca="false">IF(Informed=0,K135,0)</f>
        <v>5.88964399463541</v>
      </c>
      <c r="Z135" s="39" t="n">
        <f aca="false">IF(Informed=1,N135,0)</f>
        <v>0</v>
      </c>
      <c r="AA135" s="39" t="n">
        <f aca="false">IF(Informed=0,N135,0)</f>
        <v>0</v>
      </c>
      <c r="AB135" s="43" t="n">
        <f aca="false">IF(Arterial=0,IF(Informed=1,1,0),0)</f>
        <v>0</v>
      </c>
      <c r="AC135" s="43" t="n">
        <f aca="false">IF(Arterial=0,IF(Informed=0,1,0),0)</f>
        <v>1</v>
      </c>
      <c r="AD135" s="43" t="n">
        <f aca="false">IF(Arterial=1,IF(Informed=1,1,0),0)</f>
        <v>0</v>
      </c>
      <c r="AE135" s="43" t="n">
        <f aca="false">IF(Arterial=1,IF(Informed=0,1,0),0)</f>
        <v>0</v>
      </c>
      <c r="AF135" s="35" t="n">
        <f aca="false">IF(AB135=1,(X135-G$1030)^2,0)</f>
        <v>0</v>
      </c>
      <c r="AG135" s="35" t="n">
        <f aca="false">IF(AC135=1,(Y135-H$1030)^2,0)</f>
        <v>25.3425781862118</v>
      </c>
      <c r="AH135" s="35" t="n">
        <f aca="false">IF(AD135=1,(Z135-I$1030)^2,0)</f>
        <v>0</v>
      </c>
      <c r="AI135" s="35" t="n">
        <f aca="false">IF(AE135=1,(AA135-J$1030)^2,0)</f>
        <v>0</v>
      </c>
      <c r="AJ135" s="37" t="n">
        <f aca="true">IF(RAND()&lt;$D$6,1,0)</f>
        <v>0</v>
      </c>
      <c r="AK135" s="14" t="n">
        <f aca="false">AK134+IF((AJ135=1),IF((H135=0),1,0),0)</f>
        <v>0</v>
      </c>
      <c r="AL135" s="14" t="n">
        <f aca="false">AL134+IF((AJ135=1),IF((H135=1),1,0),0)</f>
        <v>0</v>
      </c>
      <c r="AM135" s="37" t="n">
        <f aca="false">IF(AK135=0,9999,IF($H135=0,IF($AJ135&lt;1,AM134+1,0),AM134))</f>
        <v>9999</v>
      </c>
      <c r="AN135" s="37" t="n">
        <f aca="false">IF(AL135=0,9999,IF($H135=1,IF($AJ135&lt;1,AN134+1,0),AN134))</f>
        <v>9999</v>
      </c>
      <c r="AO135" s="37" t="n">
        <f aca="false">IF($A135-AM135&gt;0,1/(1+AM135),0)</f>
        <v>0</v>
      </c>
      <c r="AP135" s="37" t="n">
        <f aca="false">IF($A135-AN135&gt;0,1/(1+AN135),0)</f>
        <v>0</v>
      </c>
      <c r="AQ135" s="7" t="n">
        <f aca="false">IF(AK135=0,0,MAX(MIN(1,AO135^Power),0))</f>
        <v>0</v>
      </c>
      <c r="AR135" s="7" t="n">
        <f aca="false">IF(AL135=0,0,MAX(MIN(1,AP135^Power),0))</f>
        <v>0</v>
      </c>
      <c r="AS135" s="7" t="n">
        <f aca="false">IF($AJ135=1,IF($H135=0,K135,AS134),AS134)</f>
        <v>0</v>
      </c>
      <c r="AT135" s="7" t="n">
        <f aca="false">IF($AJ135=1,IF($H135=1,N135,AT134),AT134)</f>
        <v>0</v>
      </c>
    </row>
    <row r="136" customFormat="false" ht="13" hidden="false" customHeight="false" outlineLevel="0" collapsed="false">
      <c r="A136" s="16" t="n">
        <v>119</v>
      </c>
      <c r="B136" s="37" t="n">
        <f aca="true">IF(RAND()&lt;$D$8,1,0)</f>
        <v>1</v>
      </c>
      <c r="C136" s="20" t="n">
        <f aca="true">-LN(RAND())/$D$2</f>
        <v>0.23430951202298</v>
      </c>
      <c r="D136" s="38" t="n">
        <f aca="false">D135+C136</f>
        <v>150.159960779662</v>
      </c>
      <c r="E136" s="39" t="n">
        <f aca="false">MAX($E$3,AS135)</f>
        <v>0</v>
      </c>
      <c r="F136" s="39" t="n">
        <f aca="false">MAX($E$3,AT135)</f>
        <v>0</v>
      </c>
      <c r="G136" s="40" t="n">
        <v>0.5</v>
      </c>
      <c r="H136" s="38" t="n">
        <f aca="true">IF((B136=1),(IF((F136&lt;E136),1,(IF((F136=E136),(IF(RAND()&lt;G136,1,0)),0)))),(IF((RAND()&lt;G136),1,0)))</f>
        <v>0</v>
      </c>
      <c r="I136" s="38" t="n">
        <f aca="true">IF((H136=1),0,$D$3+$D$5*(RAND()-0.5))</f>
        <v>1.86222041185525</v>
      </c>
      <c r="J136" s="38" t="n">
        <f aca="false">I136+MAX(D136,J135)</f>
        <v>157.677515674129</v>
      </c>
      <c r="K136" s="38" t="n">
        <f aca="false">IF((H136=0),J136-D136,0)</f>
        <v>7.51755489446768</v>
      </c>
      <c r="L136" s="38" t="n">
        <f aca="true">IF(($H136=0),0,$D$4+$D$5*(RAND()-0.5))</f>
        <v>0</v>
      </c>
      <c r="M136" s="38" t="n">
        <f aca="false">L136+MAX(D136,M135)</f>
        <v>156.012885302689</v>
      </c>
      <c r="N136" s="38" t="n">
        <f aca="false">IF((H136=1),M136-D136,0)</f>
        <v>0</v>
      </c>
      <c r="O136" s="16" t="n">
        <v>119</v>
      </c>
      <c r="P136" s="41" t="n">
        <f aca="false">IF((Arterial=0),P135+1,P135)</f>
        <v>53</v>
      </c>
      <c r="Q136" s="41" t="n">
        <f aca="false">IF((Arterial=1),Q135+1,Q135)</f>
        <v>66</v>
      </c>
      <c r="R136" s="42" t="e">
        <f aca="false">IF((RESET=1),0,R136+K136)</f>
        <v>#N/A</v>
      </c>
      <c r="S136" s="14" t="n">
        <f aca="false">IF(RESET=1,0,S136+N136)</f>
        <v>486.521241598417</v>
      </c>
      <c r="T136" s="2" t="e">
        <f aca="false">IF(RESET=1,0,T136+IF(H136=0,1,0))</f>
        <v>#N/A</v>
      </c>
      <c r="U136" s="2" t="n">
        <f aca="false">IF(RESET=1,0,U136+H136)</f>
        <v>44</v>
      </c>
      <c r="V136" s="14" t="e">
        <f aca="false">R136/(T136+0.00001)</f>
        <v>#N/A</v>
      </c>
      <c r="W136" s="14" t="n">
        <f aca="false">S136/(U136+0.0001)</f>
        <v>11.0572758152463</v>
      </c>
      <c r="X136" s="39" t="n">
        <f aca="false">IF(Informed=1,K136,0)</f>
        <v>7.51755489446768</v>
      </c>
      <c r="Y136" s="39" t="n">
        <f aca="false">IF(Informed=0,K136,0)</f>
        <v>0</v>
      </c>
      <c r="Z136" s="39" t="n">
        <f aca="false">IF(Informed=1,N136,0)</f>
        <v>0</v>
      </c>
      <c r="AA136" s="39" t="n">
        <f aca="false">IF(Informed=0,N136,0)</f>
        <v>0</v>
      </c>
      <c r="AB136" s="43" t="n">
        <f aca="false">IF(Arterial=0,IF(Informed=1,1,0),0)</f>
        <v>1</v>
      </c>
      <c r="AC136" s="43" t="n">
        <f aca="false">IF(Arterial=0,IF(Informed=0,1,0),0)</f>
        <v>0</v>
      </c>
      <c r="AD136" s="43" t="n">
        <f aca="false">IF(Arterial=1,IF(Informed=1,1,0),0)</f>
        <v>0</v>
      </c>
      <c r="AE136" s="43" t="n">
        <f aca="false">IF(Arterial=1,IF(Informed=0,1,0),0)</f>
        <v>0</v>
      </c>
      <c r="AF136" s="35" t="n">
        <f aca="false">IF(AB136=1,(X136-G$1030)^2,0)</f>
        <v>10.1896514644451</v>
      </c>
      <c r="AG136" s="35" t="n">
        <f aca="false">IF(AC136=1,(Y136-H$1030)^2,0)</f>
        <v>0</v>
      </c>
      <c r="AH136" s="35" t="n">
        <f aca="false">IF(AD136=1,(Z136-I$1030)^2,0)</f>
        <v>0</v>
      </c>
      <c r="AI136" s="35" t="n">
        <f aca="false">IF(AE136=1,(AA136-J$1030)^2,0)</f>
        <v>0</v>
      </c>
      <c r="AJ136" s="37" t="n">
        <f aca="true">IF(RAND()&lt;$D$6,1,0)</f>
        <v>0</v>
      </c>
      <c r="AK136" s="14" t="n">
        <f aca="false">AK135+IF((AJ136=1),IF((H136=0),1,0),0)</f>
        <v>0</v>
      </c>
      <c r="AL136" s="14" t="n">
        <f aca="false">AL135+IF((AJ136=1),IF((H136=1),1,0),0)</f>
        <v>0</v>
      </c>
      <c r="AM136" s="37" t="n">
        <f aca="false">IF(AK136=0,9999,IF($H136=0,IF($AJ136&lt;1,AM135+1,0),AM135))</f>
        <v>9999</v>
      </c>
      <c r="AN136" s="37" t="n">
        <f aca="false">IF(AL136=0,9999,IF($H136=1,IF($AJ136&lt;1,AN135+1,0),AN135))</f>
        <v>9999</v>
      </c>
      <c r="AO136" s="37" t="n">
        <f aca="false">IF($A136-AM136&gt;0,1/(1+AM136),0)</f>
        <v>0</v>
      </c>
      <c r="AP136" s="37" t="n">
        <f aca="false">IF($A136-AN136&gt;0,1/(1+AN136),0)</f>
        <v>0</v>
      </c>
      <c r="AQ136" s="7" t="n">
        <f aca="false">IF(AK136=0,0,MAX(MIN(1,AO136^Power),0))</f>
        <v>0</v>
      </c>
      <c r="AR136" s="7" t="n">
        <f aca="false">IF(AL136=0,0,MAX(MIN(1,AP136^Power),0))</f>
        <v>0</v>
      </c>
      <c r="AS136" s="7" t="n">
        <f aca="false">IF($AJ136=1,IF($H136=0,K136,AS135),AS135)</f>
        <v>0</v>
      </c>
      <c r="AT136" s="7" t="n">
        <f aca="false">IF($AJ136=1,IF($H136=1,N136,AT135),AT135)</f>
        <v>0</v>
      </c>
    </row>
    <row r="137" customFormat="false" ht="13" hidden="false" customHeight="false" outlineLevel="0" collapsed="false">
      <c r="A137" s="16" t="n">
        <v>120</v>
      </c>
      <c r="B137" s="37" t="n">
        <f aca="true">IF(RAND()&lt;$D$8,1,0)</f>
        <v>0</v>
      </c>
      <c r="C137" s="20" t="n">
        <f aca="true">-LN(RAND())/$D$2</f>
        <v>0.484800800146171</v>
      </c>
      <c r="D137" s="38" t="n">
        <f aca="false">D136+C137</f>
        <v>150.644761579808</v>
      </c>
      <c r="E137" s="39" t="n">
        <f aca="false">MAX($E$3,AS136)</f>
        <v>0</v>
      </c>
      <c r="F137" s="39" t="n">
        <f aca="false">MAX($E$3,AT136)</f>
        <v>0</v>
      </c>
      <c r="G137" s="40" t="n">
        <v>0.5</v>
      </c>
      <c r="H137" s="38" t="n">
        <f aca="true">IF((B137=1),(IF((F137&lt;E137),1,(IF((F137=E137),(IF(RAND()&lt;G137,1,0)),0)))),(IF((RAND()&lt;G137),1,0)))</f>
        <v>0</v>
      </c>
      <c r="I137" s="38" t="n">
        <f aca="true">IF((H137=1),0,$D$3+$D$5*(RAND()-0.5))</f>
        <v>2.13693845181779</v>
      </c>
      <c r="J137" s="38" t="n">
        <f aca="false">I137+MAX(D137,J136)</f>
        <v>159.814454125947</v>
      </c>
      <c r="K137" s="38" t="n">
        <f aca="false">IF((H137=0),J137-D137,0)</f>
        <v>9.16969254613932</v>
      </c>
      <c r="L137" s="38" t="n">
        <f aca="true">IF(($H137=0),0,$D$4+$D$5*(RAND()-0.5))</f>
        <v>0</v>
      </c>
      <c r="M137" s="38" t="n">
        <f aca="false">L137+MAX(D137,M136)</f>
        <v>156.012885302689</v>
      </c>
      <c r="N137" s="38" t="n">
        <f aca="false">IF((H137=1),M137-D137,0)</f>
        <v>0</v>
      </c>
      <c r="O137" s="16" t="n">
        <v>120</v>
      </c>
      <c r="P137" s="41" t="n">
        <f aca="false">IF((Arterial=0),P136+1,P136)</f>
        <v>54</v>
      </c>
      <c r="Q137" s="41" t="n">
        <f aca="false">IF((Arterial=1),Q136+1,Q136)</f>
        <v>66</v>
      </c>
      <c r="R137" s="42" t="e">
        <f aca="false">IF((RESET=1),0,R137+K137)</f>
        <v>#N/A</v>
      </c>
      <c r="S137" s="14" t="n">
        <f aca="false">IF(RESET=1,0,S137+N137)</f>
        <v>416.284092012692</v>
      </c>
      <c r="T137" s="2" t="e">
        <f aca="false">IF(RESET=1,0,T137+IF(H137=0,1,0))</f>
        <v>#N/A</v>
      </c>
      <c r="U137" s="2" t="n">
        <f aca="false">IF(RESET=1,0,U137+H137)</f>
        <v>36</v>
      </c>
      <c r="V137" s="14" t="e">
        <f aca="false">R137/(T137+0.00001)</f>
        <v>#N/A</v>
      </c>
      <c r="W137" s="14" t="n">
        <f aca="false">S137/(U137+0.0001)</f>
        <v>11.5634148797557</v>
      </c>
      <c r="X137" s="39" t="n">
        <f aca="false">IF(Informed=1,K137,0)</f>
        <v>0</v>
      </c>
      <c r="Y137" s="39" t="n">
        <f aca="false">IF(Informed=0,K137,0)</f>
        <v>9.16969254613932</v>
      </c>
      <c r="Z137" s="39" t="n">
        <f aca="false">IF(Informed=1,N137,0)</f>
        <v>0</v>
      </c>
      <c r="AA137" s="39" t="n">
        <f aca="false">IF(Informed=0,N137,0)</f>
        <v>0</v>
      </c>
      <c r="AB137" s="43" t="n">
        <f aca="false">IF(Arterial=0,IF(Informed=1,1,0),0)</f>
        <v>0</v>
      </c>
      <c r="AC137" s="43" t="n">
        <f aca="false">IF(Arterial=0,IF(Informed=0,1,0),0)</f>
        <v>1</v>
      </c>
      <c r="AD137" s="43" t="n">
        <f aca="false">IF(Arterial=1,IF(Informed=1,1,0),0)</f>
        <v>0</v>
      </c>
      <c r="AE137" s="43" t="n">
        <f aca="false">IF(Arterial=1,IF(Informed=0,1,0),0)</f>
        <v>0</v>
      </c>
      <c r="AF137" s="35" t="n">
        <f aca="false">IF(AB137=1,(X137-G$1030)^2,0)</f>
        <v>0</v>
      </c>
      <c r="AG137" s="35" t="n">
        <f aca="false">IF(AC137=1,(Y137-H$1030)^2,0)</f>
        <v>3.07684121626276</v>
      </c>
      <c r="AH137" s="35" t="n">
        <f aca="false">IF(AD137=1,(Z137-I$1030)^2,0)</f>
        <v>0</v>
      </c>
      <c r="AI137" s="35" t="n">
        <f aca="false">IF(AE137=1,(AA137-J$1030)^2,0)</f>
        <v>0</v>
      </c>
      <c r="AJ137" s="37" t="n">
        <f aca="true">IF(RAND()&lt;$D$6,1,0)</f>
        <v>0</v>
      </c>
      <c r="AK137" s="14" t="n">
        <f aca="false">AK136+IF((AJ137=1),IF((H137=0),1,0),0)</f>
        <v>0</v>
      </c>
      <c r="AL137" s="14" t="n">
        <f aca="false">AL136+IF((AJ137=1),IF((H137=1),1,0),0)</f>
        <v>0</v>
      </c>
      <c r="AM137" s="37" t="n">
        <f aca="false">IF(AK137=0,9999,IF($H137=0,IF($AJ137&lt;1,AM136+1,0),AM136))</f>
        <v>9999</v>
      </c>
      <c r="AN137" s="37" t="n">
        <f aca="false">IF(AL137=0,9999,IF($H137=1,IF($AJ137&lt;1,AN136+1,0),AN136))</f>
        <v>9999</v>
      </c>
      <c r="AO137" s="37" t="n">
        <f aca="false">IF($A137-AM137&gt;0,1/(1+AM137),0)</f>
        <v>0</v>
      </c>
      <c r="AP137" s="37" t="n">
        <f aca="false">IF($A137-AN137&gt;0,1/(1+AN137),0)</f>
        <v>0</v>
      </c>
      <c r="AQ137" s="7" t="n">
        <f aca="false">IF(AK137=0,0,MAX(MIN(1,AO137^Power),0))</f>
        <v>0</v>
      </c>
      <c r="AR137" s="7" t="n">
        <f aca="false">IF(AL137=0,0,MAX(MIN(1,AP137^Power),0))</f>
        <v>0</v>
      </c>
      <c r="AS137" s="7" t="n">
        <f aca="false">IF($AJ137=1,IF($H137=0,K137,AS136),AS136)</f>
        <v>0</v>
      </c>
      <c r="AT137" s="7" t="n">
        <f aca="false">IF($AJ137=1,IF($H137=1,N137,AT136),AT136)</f>
        <v>0</v>
      </c>
    </row>
    <row r="138" customFormat="false" ht="13" hidden="false" customHeight="false" outlineLevel="0" collapsed="false">
      <c r="A138" s="16" t="n">
        <v>121</v>
      </c>
      <c r="B138" s="37" t="n">
        <f aca="true">IF(RAND()&lt;$D$8,1,0)</f>
        <v>0</v>
      </c>
      <c r="C138" s="20" t="n">
        <f aca="true">-LN(RAND())/$D$2</f>
        <v>0.981063321676713</v>
      </c>
      <c r="D138" s="38" t="n">
        <f aca="false">D137+C138</f>
        <v>151.625824901485</v>
      </c>
      <c r="E138" s="39" t="n">
        <f aca="false">MAX($E$3,AS137)</f>
        <v>0</v>
      </c>
      <c r="F138" s="39" t="n">
        <f aca="false">MAX($E$3,AT137)</f>
        <v>0</v>
      </c>
      <c r="G138" s="40" t="n">
        <v>0.5</v>
      </c>
      <c r="H138" s="38" t="n">
        <f aca="true">IF((B138=1),(IF((F138&lt;E138),1,(IF((F138=E138),(IF(RAND()&lt;G138,1,0)),0)))),(IF((RAND()&lt;G138),1,0)))</f>
        <v>1</v>
      </c>
      <c r="I138" s="38" t="n">
        <f aca="true">IF((H138=1),0,$D$3+$D$5*(RAND()-0.5))</f>
        <v>0</v>
      </c>
      <c r="J138" s="38" t="n">
        <f aca="false">I138+MAX(D138,J137)</f>
        <v>159.814454125947</v>
      </c>
      <c r="K138" s="38" t="n">
        <f aca="false">IF((H138=0),J138-D138,0)</f>
        <v>0</v>
      </c>
      <c r="L138" s="38" t="n">
        <f aca="true">IF(($H138=0),0,$D$4+$D$5*(RAND()-0.5))</f>
        <v>2.21106892484741</v>
      </c>
      <c r="M138" s="38" t="n">
        <f aca="false">L138+MAX(D138,M137)</f>
        <v>158.223954227537</v>
      </c>
      <c r="N138" s="38" t="n">
        <f aca="false">IF((H138=1),M138-D138,0)</f>
        <v>6.59812932605215</v>
      </c>
      <c r="O138" s="16" t="n">
        <v>121</v>
      </c>
      <c r="P138" s="41" t="n">
        <f aca="false">IF((Arterial=0),P137+1,P137)</f>
        <v>54</v>
      </c>
      <c r="Q138" s="41" t="n">
        <f aca="false">IF((Arterial=1),Q137+1,Q137)</f>
        <v>67</v>
      </c>
      <c r="R138" s="42" t="n">
        <f aca="false">IF((RESET=1),0,R138+K138)</f>
        <v>325.269114310481</v>
      </c>
      <c r="S138" s="14" t="e">
        <f aca="false">IF(RESET=1,0,S138+N138)</f>
        <v>#N/A</v>
      </c>
      <c r="T138" s="2" t="n">
        <f aca="false">IF(RESET=1,0,T138+IF(H138=0,1,0))</f>
        <v>32</v>
      </c>
      <c r="U138" s="2" t="e">
        <f aca="false">IF(RESET=1,0,U138+H138)</f>
        <v>#N/A</v>
      </c>
      <c r="V138" s="14" t="n">
        <f aca="false">R138/(T138+0.00001)</f>
        <v>10.1646566457473</v>
      </c>
      <c r="W138" s="14" t="e">
        <f aca="false">S138/(U138+0.0001)</f>
        <v>#N/A</v>
      </c>
      <c r="X138" s="39" t="n">
        <f aca="false">IF(Informed=1,K138,0)</f>
        <v>0</v>
      </c>
      <c r="Y138" s="39" t="n">
        <f aca="false">IF(Informed=0,K138,0)</f>
        <v>0</v>
      </c>
      <c r="Z138" s="39" t="n">
        <f aca="false">IF(Informed=1,N138,0)</f>
        <v>0</v>
      </c>
      <c r="AA138" s="39" t="n">
        <f aca="false">IF(Informed=0,N138,0)</f>
        <v>6.59812932605215</v>
      </c>
      <c r="AB138" s="43" t="n">
        <f aca="false">IF(Arterial=0,IF(Informed=1,1,0),0)</f>
        <v>0</v>
      </c>
      <c r="AC138" s="43" t="n">
        <f aca="false">IF(Arterial=0,IF(Informed=0,1,0),0)</f>
        <v>0</v>
      </c>
      <c r="AD138" s="43" t="n">
        <f aca="false">IF(Arterial=1,IF(Informed=1,1,0),0)</f>
        <v>0</v>
      </c>
      <c r="AE138" s="43" t="n">
        <f aca="false">IF(Arterial=1,IF(Informed=0,1,0),0)</f>
        <v>1</v>
      </c>
      <c r="AF138" s="35" t="n">
        <f aca="false">IF(AB138=1,(X138-G$1030)^2,0)</f>
        <v>0</v>
      </c>
      <c r="AG138" s="35" t="n">
        <f aca="false">IF(AC138=1,(Y138-H$1030)^2,0)</f>
        <v>0</v>
      </c>
      <c r="AH138" s="35" t="n">
        <f aca="false">IF(AD138=1,(Z138-I$1030)^2,0)</f>
        <v>0</v>
      </c>
      <c r="AI138" s="35" t="n">
        <f aca="false">IF(AE138=1,(AA138-J$1030)^2,0)</f>
        <v>527.443846667573</v>
      </c>
      <c r="AJ138" s="37" t="n">
        <f aca="true">IF(RAND()&lt;$D$6,1,0)</f>
        <v>0</v>
      </c>
      <c r="AK138" s="14" t="n">
        <f aca="false">AK137+IF((AJ138=1),IF((H138=0),1,0),0)</f>
        <v>0</v>
      </c>
      <c r="AL138" s="14" t="n">
        <f aca="false">AL137+IF((AJ138=1),IF((H138=1),1,0),0)</f>
        <v>0</v>
      </c>
      <c r="AM138" s="37" t="n">
        <f aca="false">IF(AK138=0,9999,IF($H138=0,IF($AJ138&lt;1,AM137+1,0),AM137))</f>
        <v>9999</v>
      </c>
      <c r="AN138" s="37" t="n">
        <f aca="false">IF(AL138=0,9999,IF($H138=1,IF($AJ138&lt;1,AN137+1,0),AN137))</f>
        <v>9999</v>
      </c>
      <c r="AO138" s="37" t="n">
        <f aca="false">IF($A138-AM138&gt;0,1/(1+AM138),0)</f>
        <v>0</v>
      </c>
      <c r="AP138" s="37" t="n">
        <f aca="false">IF($A138-AN138&gt;0,1/(1+AN138),0)</f>
        <v>0</v>
      </c>
      <c r="AQ138" s="7" t="n">
        <f aca="false">IF(AK138=0,0,MAX(MIN(1,AO138^Power),0))</f>
        <v>0</v>
      </c>
      <c r="AR138" s="7" t="n">
        <f aca="false">IF(AL138=0,0,MAX(MIN(1,AP138^Power),0))</f>
        <v>0</v>
      </c>
      <c r="AS138" s="7" t="n">
        <f aca="false">IF($AJ138=1,IF($H138=0,K138,AS137),AS137)</f>
        <v>0</v>
      </c>
      <c r="AT138" s="7" t="n">
        <f aca="false">IF($AJ138=1,IF($H138=1,N138,AT137),AT137)</f>
        <v>0</v>
      </c>
    </row>
    <row r="139" customFormat="false" ht="13" hidden="false" customHeight="false" outlineLevel="0" collapsed="false">
      <c r="A139" s="16" t="n">
        <v>122</v>
      </c>
      <c r="B139" s="37" t="n">
        <f aca="true">IF(RAND()&lt;$D$8,1,0)</f>
        <v>1</v>
      </c>
      <c r="C139" s="20" t="n">
        <f aca="true">-LN(RAND())/$D$2</f>
        <v>0.382742997931357</v>
      </c>
      <c r="D139" s="38" t="n">
        <f aca="false">D138+C139</f>
        <v>152.008567899416</v>
      </c>
      <c r="E139" s="39" t="n">
        <f aca="false">MAX($E$3,AS138)</f>
        <v>0</v>
      </c>
      <c r="F139" s="39" t="n">
        <f aca="false">MAX($E$3,AT138)</f>
        <v>0</v>
      </c>
      <c r="G139" s="40" t="n">
        <v>0.5</v>
      </c>
      <c r="H139" s="38" t="n">
        <f aca="true">IF((B139=1),(IF((F139&lt;E139),1,(IF((F139=E139),(IF(RAND()&lt;G139,1,0)),0)))),(IF((RAND()&lt;G139),1,0)))</f>
        <v>1</v>
      </c>
      <c r="I139" s="38" t="n">
        <f aca="true">IF((H139=1),0,$D$3+$D$5*(RAND()-0.5))</f>
        <v>0</v>
      </c>
      <c r="J139" s="38" t="n">
        <f aca="false">I139+MAX(D139,J138)</f>
        <v>159.814454125947</v>
      </c>
      <c r="K139" s="38" t="n">
        <f aca="false">IF((H139=0),J139-D139,0)</f>
        <v>0</v>
      </c>
      <c r="L139" s="38" t="n">
        <f aca="true">IF(($H139=0),0,$D$4+$D$5*(RAND()-0.5))</f>
        <v>2.18717147401571</v>
      </c>
      <c r="M139" s="38" t="n">
        <f aca="false">L139+MAX(D139,M138)</f>
        <v>160.411125701552</v>
      </c>
      <c r="N139" s="38" t="n">
        <f aca="false">IF((H139=1),M139-D139,0)</f>
        <v>8.4025578021365</v>
      </c>
      <c r="O139" s="16" t="n">
        <v>122</v>
      </c>
      <c r="P139" s="41" t="n">
        <f aca="false">IF((Arterial=0),P138+1,P138)</f>
        <v>54</v>
      </c>
      <c r="Q139" s="41" t="n">
        <f aca="false">IF((Arterial=1),Q138+1,Q138)</f>
        <v>68</v>
      </c>
      <c r="R139" s="42" t="n">
        <f aca="false">IF((RESET=1),0,R139+K139)</f>
        <v>531.563620814444</v>
      </c>
      <c r="S139" s="14" t="e">
        <f aca="false">IF(RESET=1,0,S139+N139)</f>
        <v>#N/A</v>
      </c>
      <c r="T139" s="2" t="n">
        <f aca="false">IF(RESET=1,0,T139+IF(H139=0,1,0))</f>
        <v>41</v>
      </c>
      <c r="U139" s="2" t="e">
        <f aca="false">IF(RESET=1,0,U139+H139)</f>
        <v>#N/A</v>
      </c>
      <c r="V139" s="14" t="n">
        <f aca="false">R139/(T139+0.00001)</f>
        <v>12.9649631991418</v>
      </c>
      <c r="W139" s="14" t="e">
        <f aca="false">S139/(U139+0.0001)</f>
        <v>#N/A</v>
      </c>
      <c r="X139" s="39" t="n">
        <f aca="false">IF(Informed=1,K139,0)</f>
        <v>0</v>
      </c>
      <c r="Y139" s="39" t="n">
        <f aca="false">IF(Informed=0,K139,0)</f>
        <v>0</v>
      </c>
      <c r="Z139" s="39" t="n">
        <f aca="false">IF(Informed=1,N139,0)</f>
        <v>8.4025578021365</v>
      </c>
      <c r="AA139" s="39" t="n">
        <f aca="false">IF(Informed=0,N139,0)</f>
        <v>0</v>
      </c>
      <c r="AB139" s="43" t="n">
        <f aca="false">IF(Arterial=0,IF(Informed=1,1,0),0)</f>
        <v>0</v>
      </c>
      <c r="AC139" s="43" t="n">
        <f aca="false">IF(Arterial=0,IF(Informed=0,1,0),0)</f>
        <v>0</v>
      </c>
      <c r="AD139" s="43" t="n">
        <f aca="false">IF(Arterial=1,IF(Informed=1,1,0),0)</f>
        <v>1</v>
      </c>
      <c r="AE139" s="43" t="n">
        <f aca="false">IF(Arterial=1,IF(Informed=0,1,0),0)</f>
        <v>0</v>
      </c>
      <c r="AF139" s="35" t="n">
        <f aca="false">IF(AB139=1,(X139-G$1030)^2,0)</f>
        <v>0</v>
      </c>
      <c r="AG139" s="35" t="n">
        <f aca="false">IF(AC139=1,(Y139-H$1030)^2,0)</f>
        <v>0</v>
      </c>
      <c r="AH139" s="35" t="n">
        <f aca="false">IF(AD139=1,(Z139-I$1030)^2,0)</f>
        <v>398.891848209204</v>
      </c>
      <c r="AI139" s="35" t="n">
        <f aca="false">IF(AE139=1,(AA139-J$1030)^2,0)</f>
        <v>0</v>
      </c>
      <c r="AJ139" s="37" t="n">
        <f aca="true">IF(RAND()&lt;$D$6,1,0)</f>
        <v>0</v>
      </c>
      <c r="AK139" s="14" t="n">
        <f aca="false">AK138+IF((AJ139=1),IF((H139=0),1,0),0)</f>
        <v>0</v>
      </c>
      <c r="AL139" s="14" t="n">
        <f aca="false">AL138+IF((AJ139=1),IF((H139=1),1,0),0)</f>
        <v>0</v>
      </c>
      <c r="AM139" s="37" t="n">
        <f aca="false">IF(AK139=0,9999,IF($H139=0,IF($AJ139&lt;1,AM138+1,0),AM138))</f>
        <v>9999</v>
      </c>
      <c r="AN139" s="37" t="n">
        <f aca="false">IF(AL139=0,9999,IF($H139=1,IF($AJ139&lt;1,AN138+1,0),AN138))</f>
        <v>9999</v>
      </c>
      <c r="AO139" s="37" t="n">
        <f aca="false">IF($A139-AM139&gt;0,1/(1+AM139),0)</f>
        <v>0</v>
      </c>
      <c r="AP139" s="37" t="n">
        <f aca="false">IF($A139-AN139&gt;0,1/(1+AN139),0)</f>
        <v>0</v>
      </c>
      <c r="AQ139" s="7" t="n">
        <f aca="false">IF(AK139=0,0,MAX(MIN(1,AO139^Power),0))</f>
        <v>0</v>
      </c>
      <c r="AR139" s="7" t="n">
        <f aca="false">IF(AL139=0,0,MAX(MIN(1,AP139^Power),0))</f>
        <v>0</v>
      </c>
      <c r="AS139" s="7" t="n">
        <f aca="false">IF($AJ139=1,IF($H139=0,K139,AS138),AS138)</f>
        <v>0</v>
      </c>
      <c r="AT139" s="7" t="n">
        <f aca="false">IF($AJ139=1,IF($H139=1,N139,AT138),AT138)</f>
        <v>0</v>
      </c>
    </row>
    <row r="140" customFormat="false" ht="13" hidden="false" customHeight="false" outlineLevel="0" collapsed="false">
      <c r="A140" s="16" t="n">
        <v>123</v>
      </c>
      <c r="B140" s="37" t="n">
        <f aca="true">IF(RAND()&lt;$D$8,1,0)</f>
        <v>0</v>
      </c>
      <c r="C140" s="20" t="n">
        <f aca="true">-LN(RAND())/$D$2</f>
        <v>0.400928744670868</v>
      </c>
      <c r="D140" s="38" t="n">
        <f aca="false">D139+C140</f>
        <v>152.409496644087</v>
      </c>
      <c r="E140" s="39" t="n">
        <f aca="false">MAX($E$3,AS139)</f>
        <v>0</v>
      </c>
      <c r="F140" s="39" t="n">
        <f aca="false">MAX($E$3,AT139)</f>
        <v>0</v>
      </c>
      <c r="G140" s="40" t="n">
        <v>0.5</v>
      </c>
      <c r="H140" s="38" t="n">
        <f aca="true">IF((B140=1),(IF((F140&lt;E140),1,(IF((F140=E140),(IF(RAND()&lt;G140,1,0)),0)))),(IF((RAND()&lt;G140),1,0)))</f>
        <v>0</v>
      </c>
      <c r="I140" s="38" t="n">
        <f aca="true">IF((H140=1),0,$D$3+$D$5*(RAND()-0.5))</f>
        <v>2.05769147300815</v>
      </c>
      <c r="J140" s="38" t="n">
        <f aca="false">I140+MAX(D140,J139)</f>
        <v>161.872145598955</v>
      </c>
      <c r="K140" s="38" t="n">
        <f aca="false">IF((H140=0),J140-D140,0)</f>
        <v>9.46264895486854</v>
      </c>
      <c r="L140" s="38" t="n">
        <f aca="true">IF(($H140=0),0,$D$4+$D$5*(RAND()-0.5))</f>
        <v>0</v>
      </c>
      <c r="M140" s="38" t="n">
        <f aca="false">L140+MAX(D140,M139)</f>
        <v>160.411125701552</v>
      </c>
      <c r="N140" s="38" t="n">
        <f aca="false">IF((H140=1),M140-D140,0)</f>
        <v>0</v>
      </c>
      <c r="O140" s="16" t="n">
        <v>123</v>
      </c>
      <c r="P140" s="41" t="n">
        <f aca="false">IF((Arterial=0),P139+1,P139)</f>
        <v>55</v>
      </c>
      <c r="Q140" s="41" t="n">
        <f aca="false">IF((Arterial=1),Q139+1,Q139)</f>
        <v>68</v>
      </c>
      <c r="R140" s="42" t="e">
        <f aca="false">IF((RESET=1),0,R140+K140)</f>
        <v>#N/A</v>
      </c>
      <c r="S140" s="14" t="n">
        <f aca="false">IF(RESET=1,0,S140+N140)</f>
        <v>433.160692651847</v>
      </c>
      <c r="T140" s="2" t="e">
        <f aca="false">IF(RESET=1,0,T140+IF(H140=0,1,0))</f>
        <v>#N/A</v>
      </c>
      <c r="U140" s="2" t="n">
        <f aca="false">IF(RESET=1,0,U140+H140)</f>
        <v>47</v>
      </c>
      <c r="V140" s="14" t="e">
        <f aca="false">R140/(T140+0.00001)</f>
        <v>#N/A</v>
      </c>
      <c r="W140" s="14" t="n">
        <f aca="false">S140/(U140+0.0001)</f>
        <v>9.21616534117687</v>
      </c>
      <c r="X140" s="39" t="n">
        <f aca="false">IF(Informed=1,K140,0)</f>
        <v>0</v>
      </c>
      <c r="Y140" s="39" t="n">
        <f aca="false">IF(Informed=0,K140,0)</f>
        <v>9.46264895486854</v>
      </c>
      <c r="Z140" s="39" t="n">
        <f aca="false">IF(Informed=1,N140,0)</f>
        <v>0</v>
      </c>
      <c r="AA140" s="39" t="n">
        <f aca="false">IF(Informed=0,N140,0)</f>
        <v>0</v>
      </c>
      <c r="AB140" s="43" t="n">
        <f aca="false">IF(Arterial=0,IF(Informed=1,1,0),0)</f>
        <v>0</v>
      </c>
      <c r="AC140" s="43" t="n">
        <f aca="false">IF(Arterial=0,IF(Informed=0,1,0),0)</f>
        <v>1</v>
      </c>
      <c r="AD140" s="43" t="n">
        <f aca="false">IF(Arterial=1,IF(Informed=1,1,0),0)</f>
        <v>0</v>
      </c>
      <c r="AE140" s="43" t="n">
        <f aca="false">IF(Arterial=1,IF(Informed=0,1,0),0)</f>
        <v>0</v>
      </c>
      <c r="AF140" s="35" t="n">
        <f aca="false">IF(AB140=1,(X140-G$1030)^2,0)</f>
        <v>0</v>
      </c>
      <c r="AG140" s="35" t="n">
        <f aca="false">IF(AC140=1,(Y140-H$1030)^2,0)</f>
        <v>2.13491927505417</v>
      </c>
      <c r="AH140" s="35" t="n">
        <f aca="false">IF(AD140=1,(Z140-I$1030)^2,0)</f>
        <v>0</v>
      </c>
      <c r="AI140" s="35" t="n">
        <f aca="false">IF(AE140=1,(AA140-J$1030)^2,0)</f>
        <v>0</v>
      </c>
      <c r="AJ140" s="37" t="n">
        <f aca="true">IF(RAND()&lt;$D$6,1,0)</f>
        <v>0</v>
      </c>
      <c r="AK140" s="14" t="n">
        <f aca="false">AK139+IF((AJ140=1),IF((H140=0),1,0),0)</f>
        <v>0</v>
      </c>
      <c r="AL140" s="14" t="n">
        <f aca="false">AL139+IF((AJ140=1),IF((H140=1),1,0),0)</f>
        <v>0</v>
      </c>
      <c r="AM140" s="37" t="n">
        <f aca="false">IF(AK140=0,9999,IF($H140=0,IF($AJ140&lt;1,AM139+1,0),AM139))</f>
        <v>9999</v>
      </c>
      <c r="AN140" s="37" t="n">
        <f aca="false">IF(AL140=0,9999,IF($H140=1,IF($AJ140&lt;1,AN139+1,0),AN139))</f>
        <v>9999</v>
      </c>
      <c r="AO140" s="37" t="n">
        <f aca="false">IF($A140-AM140&gt;0,1/(1+AM140),0)</f>
        <v>0</v>
      </c>
      <c r="AP140" s="37" t="n">
        <f aca="false">IF($A140-AN140&gt;0,1/(1+AN140),0)</f>
        <v>0</v>
      </c>
      <c r="AQ140" s="7" t="n">
        <f aca="false">IF(AK140=0,0,MAX(MIN(1,AO140^Power),0))</f>
        <v>0</v>
      </c>
      <c r="AR140" s="7" t="n">
        <f aca="false">IF(AL140=0,0,MAX(MIN(1,AP140^Power),0))</f>
        <v>0</v>
      </c>
      <c r="AS140" s="7" t="n">
        <f aca="false">IF($AJ140=1,IF($H140=0,K140,AS139),AS139)</f>
        <v>0</v>
      </c>
      <c r="AT140" s="7" t="n">
        <f aca="false">IF($AJ140=1,IF($H140=1,N140,AT139),AT139)</f>
        <v>0</v>
      </c>
    </row>
    <row r="141" customFormat="false" ht="13" hidden="false" customHeight="false" outlineLevel="0" collapsed="false">
      <c r="A141" s="16" t="n">
        <v>124</v>
      </c>
      <c r="B141" s="37" t="n">
        <f aca="true">IF(RAND()&lt;$D$8,1,0)</f>
        <v>1</v>
      </c>
      <c r="C141" s="20" t="n">
        <f aca="true">-LN(RAND())/$D$2</f>
        <v>1.08027544552338</v>
      </c>
      <c r="D141" s="38" t="n">
        <f aca="false">D140+C141</f>
        <v>153.48977208961</v>
      </c>
      <c r="E141" s="39" t="n">
        <f aca="false">MAX($E$3,AS140)</f>
        <v>0</v>
      </c>
      <c r="F141" s="39" t="n">
        <f aca="false">MAX($E$3,AT140)</f>
        <v>0</v>
      </c>
      <c r="G141" s="40" t="n">
        <v>0.5</v>
      </c>
      <c r="H141" s="38" t="n">
        <f aca="true">IF((B141=1),(IF((F141&lt;E141),1,(IF((F141=E141),(IF(RAND()&lt;G141,1,0)),0)))),(IF((RAND()&lt;G141),1,0)))</f>
        <v>1</v>
      </c>
      <c r="I141" s="38" t="n">
        <f aca="true">IF((H141=1),0,$D$3+$D$5*(RAND()-0.5))</f>
        <v>0</v>
      </c>
      <c r="J141" s="38" t="n">
        <f aca="false">I141+MAX(D141,J140)</f>
        <v>161.872145598955</v>
      </c>
      <c r="K141" s="38" t="n">
        <f aca="false">IF((H141=0),J141-D141,0)</f>
        <v>0</v>
      </c>
      <c r="L141" s="38" t="n">
        <f aca="true">IF(($H141=0),0,$D$4+$D$5*(RAND()-0.5))</f>
        <v>1.94553190671726</v>
      </c>
      <c r="M141" s="38" t="n">
        <f aca="false">L141+MAX(D141,M140)</f>
        <v>162.35665760827</v>
      </c>
      <c r="N141" s="38" t="n">
        <f aca="false">IF((H141=1),M141-D141,0)</f>
        <v>8.86688551865953</v>
      </c>
      <c r="O141" s="16" t="n">
        <v>124</v>
      </c>
      <c r="P141" s="41" t="n">
        <f aca="false">IF((Arterial=0),P140+1,P140)</f>
        <v>55</v>
      </c>
      <c r="Q141" s="41" t="n">
        <f aca="false">IF((Arterial=1),Q140+1,Q140)</f>
        <v>69</v>
      </c>
      <c r="R141" s="42" t="n">
        <f aca="false">IF((RESET=1),0,R141+K141)</f>
        <v>402.959206995468</v>
      </c>
      <c r="S141" s="14" t="e">
        <f aca="false">IF(RESET=1,0,S141+N141)</f>
        <v>#N/A</v>
      </c>
      <c r="T141" s="2" t="n">
        <f aca="false">IF(RESET=1,0,T141+IF(H141=0,1,0))</f>
        <v>35</v>
      </c>
      <c r="U141" s="2" t="e">
        <f aca="false">IF(RESET=1,0,U141+H141)</f>
        <v>#N/A</v>
      </c>
      <c r="V141" s="14" t="n">
        <f aca="false">R141/(T141+0.00001)</f>
        <v>11.5131169104085</v>
      </c>
      <c r="W141" s="14" t="e">
        <f aca="false">S141/(U141+0.0001)</f>
        <v>#N/A</v>
      </c>
      <c r="X141" s="39" t="n">
        <f aca="false">IF(Informed=1,K141,0)</f>
        <v>0</v>
      </c>
      <c r="Y141" s="39" t="n">
        <f aca="false">IF(Informed=0,K141,0)</f>
        <v>0</v>
      </c>
      <c r="Z141" s="39" t="n">
        <f aca="false">IF(Informed=1,N141,0)</f>
        <v>8.86688551865953</v>
      </c>
      <c r="AA141" s="39" t="n">
        <f aca="false">IF(Informed=0,N141,0)</f>
        <v>0</v>
      </c>
      <c r="AB141" s="43" t="n">
        <f aca="false">IF(Arterial=0,IF(Informed=1,1,0),0)</f>
        <v>0</v>
      </c>
      <c r="AC141" s="43" t="n">
        <f aca="false">IF(Arterial=0,IF(Informed=0,1,0),0)</f>
        <v>0</v>
      </c>
      <c r="AD141" s="43" t="n">
        <f aca="false">IF(Arterial=1,IF(Informed=1,1,0),0)</f>
        <v>1</v>
      </c>
      <c r="AE141" s="43" t="n">
        <f aca="false">IF(Arterial=1,IF(Informed=0,1,0),0)</f>
        <v>0</v>
      </c>
      <c r="AF141" s="35" t="n">
        <f aca="false">IF(AB141=1,(X141-G$1030)^2,0)</f>
        <v>0</v>
      </c>
      <c r="AG141" s="35" t="n">
        <f aca="false">IF(AC141=1,(Y141-H$1030)^2,0)</f>
        <v>0</v>
      </c>
      <c r="AH141" s="35" t="n">
        <f aca="false">IF(AD141=1,(Z141-I$1030)^2,0)</f>
        <v>380.56008489945</v>
      </c>
      <c r="AI141" s="35" t="n">
        <f aca="false">IF(AE141=1,(AA141-J$1030)^2,0)</f>
        <v>0</v>
      </c>
      <c r="AJ141" s="37" t="n">
        <f aca="true">IF(RAND()&lt;$D$6,1,0)</f>
        <v>0</v>
      </c>
      <c r="AK141" s="14" t="n">
        <f aca="false">AK140+IF((AJ141=1),IF((H141=0),1,0),0)</f>
        <v>0</v>
      </c>
      <c r="AL141" s="14" t="n">
        <f aca="false">AL140+IF((AJ141=1),IF((H141=1),1,0),0)</f>
        <v>0</v>
      </c>
      <c r="AM141" s="37" t="n">
        <f aca="false">IF(AK141=0,9999,IF($H141=0,IF($AJ141&lt;1,AM140+1,0),AM140))</f>
        <v>9999</v>
      </c>
      <c r="AN141" s="37" t="n">
        <f aca="false">IF(AL141=0,9999,IF($H141=1,IF($AJ141&lt;1,AN140+1,0),AN140))</f>
        <v>9999</v>
      </c>
      <c r="AO141" s="37" t="n">
        <f aca="false">IF($A141-AM141&gt;0,1/(1+AM141),0)</f>
        <v>0</v>
      </c>
      <c r="AP141" s="37" t="n">
        <f aca="false">IF($A141-AN141&gt;0,1/(1+AN141),0)</f>
        <v>0</v>
      </c>
      <c r="AQ141" s="7" t="n">
        <f aca="false">IF(AK141=0,0,MAX(MIN(1,AO141^Power),0))</f>
        <v>0</v>
      </c>
      <c r="AR141" s="7" t="n">
        <f aca="false">IF(AL141=0,0,MAX(MIN(1,AP141^Power),0))</f>
        <v>0</v>
      </c>
      <c r="AS141" s="7" t="n">
        <f aca="false">IF($AJ141=1,IF($H141=0,K141,AS140),AS140)</f>
        <v>0</v>
      </c>
      <c r="AT141" s="7" t="n">
        <f aca="false">IF($AJ141=1,IF($H141=1,N141,AT140),AT140)</f>
        <v>0</v>
      </c>
    </row>
    <row r="142" customFormat="false" ht="13" hidden="false" customHeight="false" outlineLevel="0" collapsed="false">
      <c r="A142" s="16" t="n">
        <v>125</v>
      </c>
      <c r="B142" s="37" t="n">
        <f aca="true">IF(RAND()&lt;$D$8,1,0)</f>
        <v>1</v>
      </c>
      <c r="C142" s="20" t="n">
        <f aca="true">-LN(RAND())/$D$2</f>
        <v>3.45526463271116</v>
      </c>
      <c r="D142" s="38" t="n">
        <f aca="false">D141+C142</f>
        <v>156.945036722321</v>
      </c>
      <c r="E142" s="39" t="n">
        <f aca="false">MAX($E$3,AS141)</f>
        <v>0</v>
      </c>
      <c r="F142" s="39" t="n">
        <f aca="false">MAX($E$3,AT141)</f>
        <v>0</v>
      </c>
      <c r="G142" s="40" t="n">
        <v>0.5</v>
      </c>
      <c r="H142" s="38" t="n">
        <f aca="true">IF((B142=1),(IF((F142&lt;E142),1,(IF((F142=E142),(IF(RAND()&lt;G142,1,0)),0)))),(IF((RAND()&lt;G142),1,0)))</f>
        <v>1</v>
      </c>
      <c r="I142" s="38" t="n">
        <f aca="true">IF((H142=1),0,$D$3+$D$5*(RAND()-0.5))</f>
        <v>0</v>
      </c>
      <c r="J142" s="38" t="n">
        <f aca="false">I142+MAX(D142,J141)</f>
        <v>161.872145598955</v>
      </c>
      <c r="K142" s="38" t="n">
        <f aca="false">IF((H142=0),J142-D142,0)</f>
        <v>0</v>
      </c>
      <c r="L142" s="38" t="n">
        <f aca="true">IF(($H142=0),0,$D$4+$D$5*(RAND()-0.5))</f>
        <v>1.84611363796714</v>
      </c>
      <c r="M142" s="38" t="n">
        <f aca="false">L142+MAX(D142,M141)</f>
        <v>164.202771246237</v>
      </c>
      <c r="N142" s="38" t="n">
        <f aca="false">IF((H142=1),M142-D142,0)</f>
        <v>7.2577345239155</v>
      </c>
      <c r="O142" s="16" t="n">
        <v>125</v>
      </c>
      <c r="P142" s="41" t="n">
        <f aca="false">IF((Arterial=0),P141+1,P141)</f>
        <v>55</v>
      </c>
      <c r="Q142" s="41" t="n">
        <f aca="false">IF((Arterial=1),Q141+1,Q141)</f>
        <v>70</v>
      </c>
      <c r="R142" s="42" t="n">
        <f aca="false">IF((RESET=1),0,R142+K142)</f>
        <v>477.178533357154</v>
      </c>
      <c r="S142" s="14" t="e">
        <f aca="false">IF(RESET=1,0,S142+N142)</f>
        <v>#N/A</v>
      </c>
      <c r="T142" s="2" t="n">
        <f aca="false">IF(RESET=1,0,T142+IF(H142=0,1,0))</f>
        <v>41</v>
      </c>
      <c r="U142" s="2" t="e">
        <f aca="false">IF(RESET=1,0,U142+H142)</f>
        <v>#N/A</v>
      </c>
      <c r="V142" s="14" t="n">
        <f aca="false">R142/(T142+0.00001)</f>
        <v>11.6384979749311</v>
      </c>
      <c r="W142" s="14" t="e">
        <f aca="false">S142/(U142+0.0001)</f>
        <v>#N/A</v>
      </c>
      <c r="X142" s="39" t="n">
        <f aca="false">IF(Informed=1,K142,0)</f>
        <v>0</v>
      </c>
      <c r="Y142" s="39" t="n">
        <f aca="false">IF(Informed=0,K142,0)</f>
        <v>0</v>
      </c>
      <c r="Z142" s="39" t="n">
        <f aca="false">IF(Informed=1,N142,0)</f>
        <v>7.2577345239155</v>
      </c>
      <c r="AA142" s="39" t="n">
        <f aca="false">IF(Informed=0,N142,0)</f>
        <v>0</v>
      </c>
      <c r="AB142" s="43" t="n">
        <f aca="false">IF(Arterial=0,IF(Informed=1,1,0),0)</f>
        <v>0</v>
      </c>
      <c r="AC142" s="43" t="n">
        <f aca="false">IF(Arterial=0,IF(Informed=0,1,0),0)</f>
        <v>0</v>
      </c>
      <c r="AD142" s="43" t="n">
        <f aca="false">IF(Arterial=1,IF(Informed=1,1,0),0)</f>
        <v>1</v>
      </c>
      <c r="AE142" s="43" t="n">
        <f aca="false">IF(Arterial=1,IF(Informed=0,1,0),0)</f>
        <v>0</v>
      </c>
      <c r="AF142" s="35" t="n">
        <f aca="false">IF(AB142=1,(X142-G$1030)^2,0)</f>
        <v>0</v>
      </c>
      <c r="AG142" s="35" t="n">
        <f aca="false">IF(AC142=1,(Y142-H$1030)^2,0)</f>
        <v>0</v>
      </c>
      <c r="AH142" s="35" t="n">
        <f aca="false">IF(AD142=1,(Z142-I$1030)^2,0)</f>
        <v>445.931923784537</v>
      </c>
      <c r="AI142" s="35" t="n">
        <f aca="false">IF(AE142=1,(AA142-J$1030)^2,0)</f>
        <v>0</v>
      </c>
      <c r="AJ142" s="37" t="n">
        <f aca="true">IF(RAND()&lt;$D$6,1,0)</f>
        <v>0</v>
      </c>
      <c r="AK142" s="14" t="n">
        <f aca="false">AK141+IF((AJ142=1),IF((H142=0),1,0),0)</f>
        <v>0</v>
      </c>
      <c r="AL142" s="14" t="n">
        <f aca="false">AL141+IF((AJ142=1),IF((H142=1),1,0),0)</f>
        <v>0</v>
      </c>
      <c r="AM142" s="37" t="n">
        <f aca="false">IF(AK142=0,9999,IF($H142=0,IF($AJ142&lt;1,AM141+1,0),AM141))</f>
        <v>9999</v>
      </c>
      <c r="AN142" s="37" t="n">
        <f aca="false">IF(AL142=0,9999,IF($H142=1,IF($AJ142&lt;1,AN141+1,0),AN141))</f>
        <v>9999</v>
      </c>
      <c r="AO142" s="37" t="n">
        <f aca="false">IF($A142-AM142&gt;0,1/(1+AM142),0)</f>
        <v>0</v>
      </c>
      <c r="AP142" s="37" t="n">
        <f aca="false">IF($A142-AN142&gt;0,1/(1+AN142),0)</f>
        <v>0</v>
      </c>
      <c r="AQ142" s="7" t="n">
        <f aca="false">IF(AK142=0,0,MAX(MIN(1,AO142^Power),0))</f>
        <v>0</v>
      </c>
      <c r="AR142" s="7" t="n">
        <f aca="false">IF(AL142=0,0,MAX(MIN(1,AP142^Power),0))</f>
        <v>0</v>
      </c>
      <c r="AS142" s="7" t="n">
        <f aca="false">IF($AJ142=1,IF($H142=0,K142,AS141),AS141)</f>
        <v>0</v>
      </c>
      <c r="AT142" s="7" t="n">
        <f aca="false">IF($AJ142=1,IF($H142=1,N142,AT141),AT141)</f>
        <v>0</v>
      </c>
    </row>
    <row r="143" customFormat="false" ht="13" hidden="false" customHeight="false" outlineLevel="0" collapsed="false">
      <c r="A143" s="16" t="n">
        <v>126</v>
      </c>
      <c r="B143" s="37" t="n">
        <f aca="true">IF(RAND()&lt;$D$8,1,0)</f>
        <v>1</v>
      </c>
      <c r="C143" s="20" t="n">
        <f aca="true">-LN(RAND())/$D$2</f>
        <v>0.890058286285789</v>
      </c>
      <c r="D143" s="38" t="n">
        <f aca="false">D142+C143</f>
        <v>157.835095008607</v>
      </c>
      <c r="E143" s="39" t="n">
        <f aca="false">MAX($E$3,AS142)</f>
        <v>0</v>
      </c>
      <c r="F143" s="39" t="n">
        <f aca="false">MAX($E$3,AT142)</f>
        <v>0</v>
      </c>
      <c r="G143" s="40" t="n">
        <v>0.5</v>
      </c>
      <c r="H143" s="38" t="n">
        <f aca="true">IF((B143=1),(IF((F143&lt;E143),1,(IF((F143=E143),(IF(RAND()&lt;G143,1,0)),0)))),(IF((RAND()&lt;G143),1,0)))</f>
        <v>1</v>
      </c>
      <c r="I143" s="38" t="n">
        <f aca="true">IF((H143=1),0,$D$3+$D$5*(RAND()-0.5))</f>
        <v>0</v>
      </c>
      <c r="J143" s="38" t="n">
        <f aca="false">I143+MAX(D143,J142)</f>
        <v>161.872145598955</v>
      </c>
      <c r="K143" s="38" t="n">
        <f aca="false">IF((H143=0),J143-D143,0)</f>
        <v>0</v>
      </c>
      <c r="L143" s="38" t="n">
        <f aca="true">IF(($H143=0),0,$D$4+$D$5*(RAND()-0.5))</f>
        <v>2.20204097758272</v>
      </c>
      <c r="M143" s="38" t="n">
        <f aca="false">L143+MAX(D143,M142)</f>
        <v>166.40481222382</v>
      </c>
      <c r="N143" s="38" t="n">
        <f aca="false">IF((H143=1),M143-D143,0)</f>
        <v>8.56971721521245</v>
      </c>
      <c r="O143" s="16" t="n">
        <v>126</v>
      </c>
      <c r="P143" s="41" t="n">
        <f aca="false">IF((Arterial=0),P142+1,P142)</f>
        <v>55</v>
      </c>
      <c r="Q143" s="41" t="n">
        <f aca="false">IF((Arterial=1),Q142+1,Q142)</f>
        <v>71</v>
      </c>
      <c r="R143" s="42" t="n">
        <f aca="false">IF((RESET=1),0,R143+K143)</f>
        <v>512.588043986291</v>
      </c>
      <c r="S143" s="14" t="e">
        <f aca="false">IF(RESET=1,0,S143+N143)</f>
        <v>#N/A</v>
      </c>
      <c r="T143" s="2" t="n">
        <f aca="false">IF(RESET=1,0,T143+IF(H143=0,1,0))</f>
        <v>44</v>
      </c>
      <c r="U143" s="2" t="e">
        <f aca="false">IF(RESET=1,0,U143+H143)</f>
        <v>#N/A</v>
      </c>
      <c r="V143" s="14" t="n">
        <f aca="false">R143/(T143+0.00001)</f>
        <v>11.6497256247508</v>
      </c>
      <c r="W143" s="14" t="e">
        <f aca="false">S143/(U143+0.0001)</f>
        <v>#N/A</v>
      </c>
      <c r="X143" s="39" t="n">
        <f aca="false">IF(Informed=1,K143,0)</f>
        <v>0</v>
      </c>
      <c r="Y143" s="39" t="n">
        <f aca="false">IF(Informed=0,K143,0)</f>
        <v>0</v>
      </c>
      <c r="Z143" s="39" t="n">
        <f aca="false">IF(Informed=1,N143,0)</f>
        <v>8.56971721521245</v>
      </c>
      <c r="AA143" s="39" t="n">
        <f aca="false">IF(Informed=0,N143,0)</f>
        <v>0</v>
      </c>
      <c r="AB143" s="43" t="n">
        <f aca="false">IF(Arterial=0,IF(Informed=1,1,0),0)</f>
        <v>0</v>
      </c>
      <c r="AC143" s="43" t="n">
        <f aca="false">IF(Arterial=0,IF(Informed=0,1,0),0)</f>
        <v>0</v>
      </c>
      <c r="AD143" s="43" t="n">
        <f aca="false">IF(Arterial=1,IF(Informed=1,1,0),0)</f>
        <v>1</v>
      </c>
      <c r="AE143" s="43" t="n">
        <f aca="false">IF(Arterial=1,IF(Informed=0,1,0),0)</f>
        <v>0</v>
      </c>
      <c r="AF143" s="35" t="n">
        <f aca="false">IF(AB143=1,(X143-G$1030)^2,0)</f>
        <v>0</v>
      </c>
      <c r="AG143" s="35" t="n">
        <f aca="false">IF(AC143=1,(Y143-H$1030)^2,0)</f>
        <v>0</v>
      </c>
      <c r="AH143" s="35" t="n">
        <f aca="false">IF(AD143=1,(Z143-I$1030)^2,0)</f>
        <v>392.242682279339</v>
      </c>
      <c r="AI143" s="35" t="n">
        <f aca="false">IF(AE143=1,(AA143-J$1030)^2,0)</f>
        <v>0</v>
      </c>
      <c r="AJ143" s="37" t="n">
        <f aca="true">IF(RAND()&lt;$D$6,1,0)</f>
        <v>0</v>
      </c>
      <c r="AK143" s="14" t="n">
        <f aca="false">AK142+IF((AJ143=1),IF((H143=0),1,0),0)</f>
        <v>0</v>
      </c>
      <c r="AL143" s="14" t="n">
        <f aca="false">AL142+IF((AJ143=1),IF((H143=1),1,0),0)</f>
        <v>0</v>
      </c>
      <c r="AM143" s="37" t="n">
        <f aca="false">IF(AK143=0,9999,IF($H143=0,IF($AJ143&lt;1,AM142+1,0),AM142))</f>
        <v>9999</v>
      </c>
      <c r="AN143" s="37" t="n">
        <f aca="false">IF(AL143=0,9999,IF($H143=1,IF($AJ143&lt;1,AN142+1,0),AN142))</f>
        <v>9999</v>
      </c>
      <c r="AO143" s="37" t="n">
        <f aca="false">IF($A143-AM143&gt;0,1/(1+AM143),0)</f>
        <v>0</v>
      </c>
      <c r="AP143" s="37" t="n">
        <f aca="false">IF($A143-AN143&gt;0,1/(1+AN143),0)</f>
        <v>0</v>
      </c>
      <c r="AQ143" s="7" t="n">
        <f aca="false">IF(AK143=0,0,MAX(MIN(1,AO143^Power),0))</f>
        <v>0</v>
      </c>
      <c r="AR143" s="7" t="n">
        <f aca="false">IF(AL143=0,0,MAX(MIN(1,AP143^Power),0))</f>
        <v>0</v>
      </c>
      <c r="AS143" s="7" t="n">
        <f aca="false">IF($AJ143=1,IF($H143=0,K143,AS142),AS142)</f>
        <v>0</v>
      </c>
      <c r="AT143" s="7" t="n">
        <f aca="false">IF($AJ143=1,IF($H143=1,N143,AT142),AT142)</f>
        <v>0</v>
      </c>
    </row>
    <row r="144" customFormat="false" ht="13" hidden="false" customHeight="false" outlineLevel="0" collapsed="false">
      <c r="A144" s="16" t="n">
        <v>127</v>
      </c>
      <c r="B144" s="37" t="n">
        <f aca="true">IF(RAND()&lt;$D$8,1,0)</f>
        <v>0</v>
      </c>
      <c r="C144" s="20" t="n">
        <f aca="true">-LN(RAND())/$D$2</f>
        <v>0.235331478219607</v>
      </c>
      <c r="D144" s="38" t="n">
        <f aca="false">D143+C144</f>
        <v>158.070426486827</v>
      </c>
      <c r="E144" s="39" t="n">
        <f aca="false">MAX($E$3,AS143)</f>
        <v>0</v>
      </c>
      <c r="F144" s="39" t="n">
        <f aca="false">MAX($E$3,AT143)</f>
        <v>0</v>
      </c>
      <c r="G144" s="40" t="n">
        <v>0.5</v>
      </c>
      <c r="H144" s="38" t="n">
        <f aca="true">IF((B144=1),(IF((F144&lt;E144),1,(IF((F144=E144),(IF(RAND()&lt;G144,1,0)),0)))),(IF((RAND()&lt;G144),1,0)))</f>
        <v>1</v>
      </c>
      <c r="I144" s="38" t="n">
        <f aca="true">IF((H144=1),0,$D$3+$D$5*(RAND()-0.5))</f>
        <v>0</v>
      </c>
      <c r="J144" s="38" t="n">
        <f aca="false">I144+MAX(D144,J143)</f>
        <v>161.872145598955</v>
      </c>
      <c r="K144" s="38" t="n">
        <f aca="false">IF((H144=0),J144-D144,0)</f>
        <v>0</v>
      </c>
      <c r="L144" s="38" t="n">
        <f aca="true">IF(($H144=0),0,$D$4+$D$5*(RAND()-0.5))</f>
        <v>2.2066084210675</v>
      </c>
      <c r="M144" s="38" t="n">
        <f aca="false">L144+MAX(D144,M143)</f>
        <v>168.611420644887</v>
      </c>
      <c r="N144" s="38" t="n">
        <f aca="false">IF((H144=1),M144-D144,0)</f>
        <v>10.5409941580603</v>
      </c>
      <c r="O144" s="16" t="n">
        <v>127</v>
      </c>
      <c r="P144" s="41" t="n">
        <f aca="false">IF((Arterial=0),P143+1,P143)</f>
        <v>55</v>
      </c>
      <c r="Q144" s="41" t="n">
        <f aca="false">IF((Arterial=1),Q143+1,Q143)</f>
        <v>72</v>
      </c>
      <c r="R144" s="42" t="n">
        <f aca="false">IF((RESET=1),0,R144+K144)</f>
        <v>444.348862129526</v>
      </c>
      <c r="S144" s="14" t="e">
        <f aca="false">IF(RESET=1,0,S144+N144)</f>
        <v>#N/A</v>
      </c>
      <c r="T144" s="2" t="n">
        <f aca="false">IF(RESET=1,0,T144+IF(H144=0,1,0))</f>
        <v>40</v>
      </c>
      <c r="U144" s="2" t="e">
        <f aca="false">IF(RESET=1,0,U144+H144)</f>
        <v>#N/A</v>
      </c>
      <c r="V144" s="14" t="n">
        <f aca="false">R144/(T144+0.00001)</f>
        <v>11.1087187760585</v>
      </c>
      <c r="W144" s="14" t="e">
        <f aca="false">S144/(U144+0.0001)</f>
        <v>#N/A</v>
      </c>
      <c r="X144" s="39" t="n">
        <f aca="false">IF(Informed=1,K144,0)</f>
        <v>0</v>
      </c>
      <c r="Y144" s="39" t="n">
        <f aca="false">IF(Informed=0,K144,0)</f>
        <v>0</v>
      </c>
      <c r="Z144" s="39" t="n">
        <f aca="false">IF(Informed=1,N144,0)</f>
        <v>0</v>
      </c>
      <c r="AA144" s="39" t="n">
        <f aca="false">IF(Informed=0,N144,0)</f>
        <v>10.5409941580603</v>
      </c>
      <c r="AB144" s="43" t="n">
        <f aca="false">IF(Arterial=0,IF(Informed=1,1,0),0)</f>
        <v>0</v>
      </c>
      <c r="AC144" s="43" t="n">
        <f aca="false">IF(Arterial=0,IF(Informed=0,1,0),0)</f>
        <v>0</v>
      </c>
      <c r="AD144" s="43" t="n">
        <f aca="false">IF(Arterial=1,IF(Informed=1,1,0),0)</f>
        <v>0</v>
      </c>
      <c r="AE144" s="43" t="n">
        <f aca="false">IF(Arterial=1,IF(Informed=0,1,0),0)</f>
        <v>1</v>
      </c>
      <c r="AF144" s="35" t="n">
        <f aca="false">IF(AB144=1,(X144-G$1030)^2,0)</f>
        <v>0</v>
      </c>
      <c r="AG144" s="35" t="n">
        <f aca="false">IF(AC144=1,(Y144-H$1030)^2,0)</f>
        <v>0</v>
      </c>
      <c r="AH144" s="35" t="n">
        <f aca="false">IF(AD144=1,(Z144-I$1030)^2,0)</f>
        <v>0</v>
      </c>
      <c r="AI144" s="35" t="n">
        <f aca="false">IF(AE144=1,(AA144-J$1030)^2,0)</f>
        <v>361.885213619045</v>
      </c>
      <c r="AJ144" s="37" t="n">
        <f aca="true">IF(RAND()&lt;$D$6,1,0)</f>
        <v>0</v>
      </c>
      <c r="AK144" s="14" t="n">
        <f aca="false">AK143+IF((AJ144=1),IF((H144=0),1,0),0)</f>
        <v>0</v>
      </c>
      <c r="AL144" s="14" t="n">
        <f aca="false">AL143+IF((AJ144=1),IF((H144=1),1,0),0)</f>
        <v>0</v>
      </c>
      <c r="AM144" s="37" t="n">
        <f aca="false">IF(AK144=0,9999,IF($H144=0,IF($AJ144&lt;1,AM143+1,0),AM143))</f>
        <v>9999</v>
      </c>
      <c r="AN144" s="37" t="n">
        <f aca="false">IF(AL144=0,9999,IF($H144=1,IF($AJ144&lt;1,AN143+1,0),AN143))</f>
        <v>9999</v>
      </c>
      <c r="AO144" s="37" t="n">
        <f aca="false">IF($A144-AM144&gt;0,1/(1+AM144),0)</f>
        <v>0</v>
      </c>
      <c r="AP144" s="37" t="n">
        <f aca="false">IF($A144-AN144&gt;0,1/(1+AN144),0)</f>
        <v>0</v>
      </c>
      <c r="AQ144" s="7" t="n">
        <f aca="false">IF(AK144=0,0,MAX(MIN(1,AO144^Power),0))</f>
        <v>0</v>
      </c>
      <c r="AR144" s="7" t="n">
        <f aca="false">IF(AL144=0,0,MAX(MIN(1,AP144^Power),0))</f>
        <v>0</v>
      </c>
      <c r="AS144" s="7" t="n">
        <f aca="false">IF($AJ144=1,IF($H144=0,K144,AS143),AS143)</f>
        <v>0</v>
      </c>
      <c r="AT144" s="7" t="n">
        <f aca="false">IF($AJ144=1,IF($H144=1,N144,AT143),AT143)</f>
        <v>0</v>
      </c>
    </row>
    <row r="145" customFormat="false" ht="13" hidden="false" customHeight="false" outlineLevel="0" collapsed="false">
      <c r="A145" s="16" t="n">
        <v>128</v>
      </c>
      <c r="B145" s="37" t="n">
        <f aca="true">IF(RAND()&lt;$D$8,1,0)</f>
        <v>0</v>
      </c>
      <c r="C145" s="20" t="n">
        <f aca="true">-LN(RAND())/$D$2</f>
        <v>1.15607675044195</v>
      </c>
      <c r="D145" s="38" t="n">
        <f aca="false">D144+C145</f>
        <v>159.226503237269</v>
      </c>
      <c r="E145" s="39" t="n">
        <f aca="false">MAX($E$3,AS144)</f>
        <v>0</v>
      </c>
      <c r="F145" s="39" t="n">
        <f aca="false">MAX($E$3,AT144)</f>
        <v>0</v>
      </c>
      <c r="G145" s="40" t="n">
        <v>0.5</v>
      </c>
      <c r="H145" s="38" t="n">
        <f aca="true">IF((B145=1),(IF((F145&lt;E145),1,(IF((F145=E145),(IF(RAND()&lt;G145,1,0)),0)))),(IF((RAND()&lt;G145),1,0)))</f>
        <v>0</v>
      </c>
      <c r="I145" s="38" t="n">
        <f aca="true">IF((H145=1),0,$D$3+$D$5*(RAND()-0.5))</f>
        <v>1.99791321838763</v>
      </c>
      <c r="J145" s="38" t="n">
        <f aca="false">I145+MAX(D145,J144)</f>
        <v>163.870058817343</v>
      </c>
      <c r="K145" s="38" t="n">
        <f aca="false">IF((H145=0),J145-D145,0)</f>
        <v>4.64355558007429</v>
      </c>
      <c r="L145" s="38" t="n">
        <f aca="true">IF(($H145=0),0,$D$4+$D$5*(RAND()-0.5))</f>
        <v>0</v>
      </c>
      <c r="M145" s="38" t="n">
        <f aca="false">L145+MAX(D145,M144)</f>
        <v>168.611420644887</v>
      </c>
      <c r="N145" s="38" t="n">
        <f aca="false">IF((H145=1),M145-D145,0)</f>
        <v>0</v>
      </c>
      <c r="O145" s="16" t="n">
        <v>128</v>
      </c>
      <c r="P145" s="41" t="n">
        <f aca="false">IF((Arterial=0),P144+1,P144)</f>
        <v>56</v>
      </c>
      <c r="Q145" s="41" t="n">
        <f aca="false">IF((Arterial=1),Q144+1,Q144)</f>
        <v>72</v>
      </c>
      <c r="R145" s="42" t="e">
        <f aca="false">IF((RESET=1),0,R145+K145)</f>
        <v>#N/A</v>
      </c>
      <c r="S145" s="14" t="n">
        <f aca="false">IF(RESET=1,0,S145+N145)</f>
        <v>493.652522907971</v>
      </c>
      <c r="T145" s="2" t="e">
        <f aca="false">IF(RESET=1,0,T145+IF(H145=0,1,0))</f>
        <v>#N/A</v>
      </c>
      <c r="U145" s="2" t="n">
        <f aca="false">IF(RESET=1,0,U145+H145)</f>
        <v>44</v>
      </c>
      <c r="V145" s="14" t="e">
        <f aca="false">R145/(T145+0.00001)</f>
        <v>#N/A</v>
      </c>
      <c r="W145" s="14" t="n">
        <f aca="false">S145/(U145+0.0001)</f>
        <v>11.2193500221129</v>
      </c>
      <c r="X145" s="39" t="n">
        <f aca="false">IF(Informed=1,K145,0)</f>
        <v>0</v>
      </c>
      <c r="Y145" s="39" t="n">
        <f aca="false">IF(Informed=0,K145,0)</f>
        <v>4.64355558007429</v>
      </c>
      <c r="Z145" s="39" t="n">
        <f aca="false">IF(Informed=1,N145,0)</f>
        <v>0</v>
      </c>
      <c r="AA145" s="39" t="n">
        <f aca="false">IF(Informed=0,N145,0)</f>
        <v>0</v>
      </c>
      <c r="AB145" s="43" t="n">
        <f aca="false">IF(Arterial=0,IF(Informed=1,1,0),0)</f>
        <v>0</v>
      </c>
      <c r="AC145" s="43" t="n">
        <f aca="false">IF(Arterial=0,IF(Informed=0,1,0),0)</f>
        <v>1</v>
      </c>
      <c r="AD145" s="43" t="n">
        <f aca="false">IF(Arterial=1,IF(Informed=1,1,0),0)</f>
        <v>0</v>
      </c>
      <c r="AE145" s="43" t="n">
        <f aca="false">IF(Arterial=1,IF(Informed=0,1,0),0)</f>
        <v>0</v>
      </c>
      <c r="AF145" s="35" t="n">
        <f aca="false">IF(AB145=1,(X145-G$1030)^2,0)</f>
        <v>0</v>
      </c>
      <c r="AG145" s="35" t="n">
        <f aca="false">IF(AC145=1,(Y145-H$1030)^2,0)</f>
        <v>39.4412847160572</v>
      </c>
      <c r="AH145" s="35" t="n">
        <f aca="false">IF(AD145=1,(Z145-I$1030)^2,0)</f>
        <v>0</v>
      </c>
      <c r="AI145" s="35" t="n">
        <f aca="false">IF(AE145=1,(AA145-J$1030)^2,0)</f>
        <v>0</v>
      </c>
      <c r="AJ145" s="37" t="n">
        <f aca="true">IF(RAND()&lt;$D$6,1,0)</f>
        <v>0</v>
      </c>
      <c r="AK145" s="14" t="n">
        <f aca="false">AK144+IF((AJ145=1),IF((H145=0),1,0),0)</f>
        <v>0</v>
      </c>
      <c r="AL145" s="14" t="n">
        <f aca="false">AL144+IF((AJ145=1),IF((H145=1),1,0),0)</f>
        <v>0</v>
      </c>
      <c r="AM145" s="37" t="n">
        <f aca="false">IF(AK145=0,9999,IF($H145=0,IF($AJ145&lt;1,AM144+1,0),AM144))</f>
        <v>9999</v>
      </c>
      <c r="AN145" s="37" t="n">
        <f aca="false">IF(AL145=0,9999,IF($H145=1,IF($AJ145&lt;1,AN144+1,0),AN144))</f>
        <v>9999</v>
      </c>
      <c r="AO145" s="37" t="n">
        <f aca="false">IF($A145-AM145&gt;0,1/(1+AM145),0)</f>
        <v>0</v>
      </c>
      <c r="AP145" s="37" t="n">
        <f aca="false">IF($A145-AN145&gt;0,1/(1+AN145),0)</f>
        <v>0</v>
      </c>
      <c r="AQ145" s="7" t="n">
        <f aca="false">IF(AK145=0,0,MAX(MIN(1,AO145^Power),0))</f>
        <v>0</v>
      </c>
      <c r="AR145" s="7" t="n">
        <f aca="false">IF(AL145=0,0,MAX(MIN(1,AP145^Power),0))</f>
        <v>0</v>
      </c>
      <c r="AS145" s="7" t="n">
        <f aca="false">IF($AJ145=1,IF($H145=0,K145,AS144),AS144)</f>
        <v>0</v>
      </c>
      <c r="AT145" s="7" t="n">
        <f aca="false">IF($AJ145=1,IF($H145=1,N145,AT144),AT144)</f>
        <v>0</v>
      </c>
    </row>
    <row r="146" customFormat="false" ht="13" hidden="false" customHeight="false" outlineLevel="0" collapsed="false">
      <c r="A146" s="16" t="n">
        <v>129</v>
      </c>
      <c r="B146" s="37" t="n">
        <f aca="true">IF(RAND()&lt;$D$8,1,0)</f>
        <v>0</v>
      </c>
      <c r="C146" s="20" t="n">
        <f aca="true">-LN(RAND())/$D$2</f>
        <v>0.639263198412548</v>
      </c>
      <c r="D146" s="38" t="n">
        <f aca="false">D145+C146</f>
        <v>159.865766435681</v>
      </c>
      <c r="E146" s="39" t="n">
        <f aca="false">MAX($E$3,AS145)</f>
        <v>0</v>
      </c>
      <c r="F146" s="39" t="n">
        <f aca="false">MAX($E$3,AT145)</f>
        <v>0</v>
      </c>
      <c r="G146" s="40" t="n">
        <v>0.5</v>
      </c>
      <c r="H146" s="38" t="n">
        <f aca="true">IF((B146=1),(IF((F146&lt;E146),1,(IF((F146=E146),(IF(RAND()&lt;G146,1,0)),0)))),(IF((RAND()&lt;G146),1,0)))</f>
        <v>1</v>
      </c>
      <c r="I146" s="38" t="n">
        <f aca="true">IF((H146=1),0,$D$3+$D$5*(RAND()-0.5))</f>
        <v>0</v>
      </c>
      <c r="J146" s="38" t="n">
        <f aca="false">I146+MAX(D146,J145)</f>
        <v>163.870058817343</v>
      </c>
      <c r="K146" s="38" t="n">
        <f aca="false">IF((H146=0),J146-D146,0)</f>
        <v>0</v>
      </c>
      <c r="L146" s="38" t="n">
        <f aca="true">IF(($H146=0),0,$D$4+$D$5*(RAND()-0.5))</f>
        <v>2.05597046717447</v>
      </c>
      <c r="M146" s="38" t="n">
        <f aca="false">L146+MAX(D146,M145)</f>
        <v>170.667391112062</v>
      </c>
      <c r="N146" s="38" t="n">
        <f aca="false">IF((H146=1),M146-D146,0)</f>
        <v>10.8016246763803</v>
      </c>
      <c r="O146" s="16" t="n">
        <v>129</v>
      </c>
      <c r="P146" s="41" t="n">
        <f aca="false">IF((Arterial=0),P145+1,P145)</f>
        <v>56</v>
      </c>
      <c r="Q146" s="41" t="n">
        <f aca="false">IF((Arterial=1),Q145+1,Q145)</f>
        <v>73</v>
      </c>
      <c r="R146" s="42" t="n">
        <f aca="false">IF((RESET=1),0,R146+K146)</f>
        <v>364.289414559051</v>
      </c>
      <c r="S146" s="14" t="e">
        <f aca="false">IF(RESET=1,0,S146+N146)</f>
        <v>#N/A</v>
      </c>
      <c r="T146" s="2" t="n">
        <f aca="false">IF(RESET=1,0,T146+IF(H146=0,1,0))</f>
        <v>36</v>
      </c>
      <c r="U146" s="2" t="e">
        <f aca="false">IF(RESET=1,0,U146+H146)</f>
        <v>#N/A</v>
      </c>
      <c r="V146" s="14" t="n">
        <f aca="false">R146/(T146+0.00001)</f>
        <v>10.1191475935438</v>
      </c>
      <c r="W146" s="14" t="e">
        <f aca="false">S146/(U146+0.0001)</f>
        <v>#N/A</v>
      </c>
      <c r="X146" s="39" t="n">
        <f aca="false">IF(Informed=1,K146,0)</f>
        <v>0</v>
      </c>
      <c r="Y146" s="39" t="n">
        <f aca="false">IF(Informed=0,K146,0)</f>
        <v>0</v>
      </c>
      <c r="Z146" s="39" t="n">
        <f aca="false">IF(Informed=1,N146,0)</f>
        <v>0</v>
      </c>
      <c r="AA146" s="39" t="n">
        <f aca="false">IF(Informed=0,N146,0)</f>
        <v>10.8016246763803</v>
      </c>
      <c r="AB146" s="43" t="n">
        <f aca="false">IF(Arterial=0,IF(Informed=1,1,0),0)</f>
        <v>0</v>
      </c>
      <c r="AC146" s="43" t="n">
        <f aca="false">IF(Arterial=0,IF(Informed=0,1,0),0)</f>
        <v>0</v>
      </c>
      <c r="AD146" s="43" t="n">
        <f aca="false">IF(Arterial=1,IF(Informed=1,1,0),0)</f>
        <v>0</v>
      </c>
      <c r="AE146" s="43" t="n">
        <f aca="false">IF(Arterial=1,IF(Informed=0,1,0),0)</f>
        <v>1</v>
      </c>
      <c r="AF146" s="35" t="n">
        <f aca="false">IF(AB146=1,(X146-G$1030)^2,0)</f>
        <v>0</v>
      </c>
      <c r="AG146" s="35" t="n">
        <f aca="false">IF(AC146=1,(Y146-H$1030)^2,0)</f>
        <v>0</v>
      </c>
      <c r="AH146" s="35" t="n">
        <f aca="false">IF(AD146=1,(Z146-I$1030)^2,0)</f>
        <v>0</v>
      </c>
      <c r="AI146" s="35" t="n">
        <f aca="false">IF(AE146=1,(AA146-J$1030)^2,0)</f>
        <v>352.037046799263</v>
      </c>
      <c r="AJ146" s="37" t="n">
        <f aca="true">IF(RAND()&lt;$D$6,1,0)</f>
        <v>0</v>
      </c>
      <c r="AK146" s="14" t="n">
        <f aca="false">AK145+IF((AJ146=1),IF((H146=0),1,0),0)</f>
        <v>0</v>
      </c>
      <c r="AL146" s="14" t="n">
        <f aca="false">AL145+IF((AJ146=1),IF((H146=1),1,0),0)</f>
        <v>0</v>
      </c>
      <c r="AM146" s="37" t="n">
        <f aca="false">IF(AK146=0,9999,IF($H146=0,IF($AJ146&lt;1,AM145+1,0),AM145))</f>
        <v>9999</v>
      </c>
      <c r="AN146" s="37" t="n">
        <f aca="false">IF(AL146=0,9999,IF($H146=1,IF($AJ146&lt;1,AN145+1,0),AN145))</f>
        <v>9999</v>
      </c>
      <c r="AO146" s="37" t="n">
        <f aca="false">IF($A146-AM146&gt;0,1/(1+AM146),0)</f>
        <v>0</v>
      </c>
      <c r="AP146" s="37" t="n">
        <f aca="false">IF($A146-AN146&gt;0,1/(1+AN146),0)</f>
        <v>0</v>
      </c>
      <c r="AQ146" s="7" t="n">
        <f aca="false">IF(AK146=0,0,MAX(MIN(1,AO146^Power),0))</f>
        <v>0</v>
      </c>
      <c r="AR146" s="7" t="n">
        <f aca="false">IF(AL146=0,0,MAX(MIN(1,AP146^Power),0))</f>
        <v>0</v>
      </c>
      <c r="AS146" s="7" t="n">
        <f aca="false">IF($AJ146=1,IF($H146=0,K146,AS145),AS145)</f>
        <v>0</v>
      </c>
      <c r="AT146" s="7" t="n">
        <f aca="false">IF($AJ146=1,IF($H146=1,N146,AT145),AT145)</f>
        <v>0</v>
      </c>
    </row>
    <row r="147" customFormat="false" ht="13" hidden="false" customHeight="false" outlineLevel="0" collapsed="false">
      <c r="A147" s="16" t="n">
        <v>130</v>
      </c>
      <c r="B147" s="37" t="n">
        <f aca="true">IF(RAND()&lt;$D$8,1,0)</f>
        <v>0</v>
      </c>
      <c r="C147" s="20" t="n">
        <f aca="true">-LN(RAND())/$D$2</f>
        <v>0.723205570015927</v>
      </c>
      <c r="D147" s="38" t="n">
        <f aca="false">D146+C147</f>
        <v>160.588972005697</v>
      </c>
      <c r="E147" s="39" t="n">
        <f aca="false">MAX($E$3,AS146)</f>
        <v>0</v>
      </c>
      <c r="F147" s="39" t="n">
        <f aca="false">MAX($E$3,AT146)</f>
        <v>0</v>
      </c>
      <c r="G147" s="40" t="n">
        <v>0.5</v>
      </c>
      <c r="H147" s="38" t="n">
        <f aca="true">IF((B147=1),(IF((F147&lt;E147),1,(IF((F147=E147),(IF(RAND()&lt;G147,1,0)),0)))),(IF((RAND()&lt;G147),1,0)))</f>
        <v>0</v>
      </c>
      <c r="I147" s="38" t="n">
        <f aca="true">IF((H147=1),0,$D$3+$D$5*(RAND()-0.5))</f>
        <v>1.76127159319742</v>
      </c>
      <c r="J147" s="38" t="n">
        <f aca="false">I147+MAX(D147,J146)</f>
        <v>165.63133041054</v>
      </c>
      <c r="K147" s="38" t="n">
        <f aca="false">IF((H147=0),J147-D147,0)</f>
        <v>5.04235840484324</v>
      </c>
      <c r="L147" s="38" t="n">
        <f aca="true">IF(($H147=0),0,$D$4+$D$5*(RAND()-0.5))</f>
        <v>0</v>
      </c>
      <c r="M147" s="38" t="n">
        <f aca="false">L147+MAX(D147,M146)</f>
        <v>170.667391112062</v>
      </c>
      <c r="N147" s="38" t="n">
        <f aca="false">IF((H147=1),M147-D147,0)</f>
        <v>0</v>
      </c>
      <c r="O147" s="16" t="n">
        <v>130</v>
      </c>
      <c r="P147" s="41" t="n">
        <f aca="false">IF((Arterial=0),P146+1,P146)</f>
        <v>57</v>
      </c>
      <c r="Q147" s="41" t="n">
        <f aca="false">IF((Arterial=1),Q146+1,Q146)</f>
        <v>73</v>
      </c>
      <c r="R147" s="42" t="e">
        <f aca="false">IF((RESET=1),0,R147+K147)</f>
        <v>#N/A</v>
      </c>
      <c r="S147" s="14" t="n">
        <f aca="false">IF(RESET=1,0,S147+N147)</f>
        <v>438.570921374729</v>
      </c>
      <c r="T147" s="2" t="e">
        <f aca="false">IF(RESET=1,0,T147+IF(H147=0,1,0))</f>
        <v>#N/A</v>
      </c>
      <c r="U147" s="2" t="n">
        <f aca="false">IF(RESET=1,0,U147+H147)</f>
        <v>43</v>
      </c>
      <c r="V147" s="14" t="e">
        <f aca="false">R147/(T147+0.00001)</f>
        <v>#N/A</v>
      </c>
      <c r="W147" s="14" t="n">
        <f aca="false">S147/(U147+0.0001)</f>
        <v>10.1993000335983</v>
      </c>
      <c r="X147" s="39" t="n">
        <f aca="false">IF(Informed=1,K147,0)</f>
        <v>0</v>
      </c>
      <c r="Y147" s="39" t="n">
        <f aca="false">IF(Informed=0,K147,0)</f>
        <v>5.04235840484324</v>
      </c>
      <c r="Z147" s="39" t="n">
        <f aca="false">IF(Informed=1,N147,0)</f>
        <v>0</v>
      </c>
      <c r="AA147" s="39" t="n">
        <f aca="false">IF(Informed=0,N147,0)</f>
        <v>0</v>
      </c>
      <c r="AB147" s="43" t="n">
        <f aca="false">IF(Arterial=0,IF(Informed=1,1,0),0)</f>
        <v>0</v>
      </c>
      <c r="AC147" s="43" t="n">
        <f aca="false">IF(Arterial=0,IF(Informed=0,1,0),0)</f>
        <v>1</v>
      </c>
      <c r="AD147" s="43" t="n">
        <f aca="false">IF(Arterial=1,IF(Informed=1,1,0),0)</f>
        <v>0</v>
      </c>
      <c r="AE147" s="43" t="n">
        <f aca="false">IF(Arterial=1,IF(Informed=0,1,0),0)</f>
        <v>0</v>
      </c>
      <c r="AF147" s="35" t="n">
        <f aca="false">IF(AB147=1,(X147-G$1030)^2,0)</f>
        <v>0</v>
      </c>
      <c r="AG147" s="35" t="n">
        <f aca="false">IF(AC147=1,(Y147-H$1030)^2,0)</f>
        <v>34.5911817433984</v>
      </c>
      <c r="AH147" s="35" t="n">
        <f aca="false">IF(AD147=1,(Z147-I$1030)^2,0)</f>
        <v>0</v>
      </c>
      <c r="AI147" s="35" t="n">
        <f aca="false">IF(AE147=1,(AA147-J$1030)^2,0)</f>
        <v>0</v>
      </c>
      <c r="AJ147" s="37" t="n">
        <f aca="true">IF(RAND()&lt;$D$6,1,0)</f>
        <v>0</v>
      </c>
      <c r="AK147" s="14" t="n">
        <f aca="false">AK146+IF((AJ147=1),IF((H147=0),1,0),0)</f>
        <v>0</v>
      </c>
      <c r="AL147" s="14" t="n">
        <f aca="false">AL146+IF((AJ147=1),IF((H147=1),1,0),0)</f>
        <v>0</v>
      </c>
      <c r="AM147" s="37" t="n">
        <f aca="false">IF(AK147=0,9999,IF($H147=0,IF($AJ147&lt;1,AM146+1,0),AM146))</f>
        <v>9999</v>
      </c>
      <c r="AN147" s="37" t="n">
        <f aca="false">IF(AL147=0,9999,IF($H147=1,IF($AJ147&lt;1,AN146+1,0),AN146))</f>
        <v>9999</v>
      </c>
      <c r="AO147" s="37" t="n">
        <f aca="false">IF($A147-AM147&gt;0,1/(1+AM147),0)</f>
        <v>0</v>
      </c>
      <c r="AP147" s="37" t="n">
        <f aca="false">IF($A147-AN147&gt;0,1/(1+AN147),0)</f>
        <v>0</v>
      </c>
      <c r="AQ147" s="7" t="n">
        <f aca="false">IF(AK147=0,0,MAX(MIN(1,AO147^Power),0))</f>
        <v>0</v>
      </c>
      <c r="AR147" s="7" t="n">
        <f aca="false">IF(AL147=0,0,MAX(MIN(1,AP147^Power),0))</f>
        <v>0</v>
      </c>
      <c r="AS147" s="7" t="n">
        <f aca="false">IF($AJ147=1,IF($H147=0,K147,AS146),AS146)</f>
        <v>0</v>
      </c>
      <c r="AT147" s="7" t="n">
        <f aca="false">IF($AJ147=1,IF($H147=1,N147,AT146),AT146)</f>
        <v>0</v>
      </c>
    </row>
    <row r="148" customFormat="false" ht="13" hidden="false" customHeight="false" outlineLevel="0" collapsed="false">
      <c r="A148" s="16" t="n">
        <v>131</v>
      </c>
      <c r="B148" s="37" t="n">
        <f aca="true">IF(RAND()&lt;$D$8,1,0)</f>
        <v>0</v>
      </c>
      <c r="C148" s="20" t="n">
        <f aca="true">-LN(RAND())/$D$2</f>
        <v>0.999085260113603</v>
      </c>
      <c r="D148" s="38" t="n">
        <f aca="false">D147+C148</f>
        <v>161.588057265811</v>
      </c>
      <c r="E148" s="39" t="n">
        <f aca="false">MAX($E$3,AS147)</f>
        <v>0</v>
      </c>
      <c r="F148" s="39" t="n">
        <f aca="false">MAX($E$3,AT147)</f>
        <v>0</v>
      </c>
      <c r="G148" s="40" t="n">
        <v>0.5</v>
      </c>
      <c r="H148" s="38" t="n">
        <f aca="true">IF((B148=1),(IF((F148&lt;E148),1,(IF((F148=E148),(IF(RAND()&lt;G148,1,0)),0)))),(IF((RAND()&lt;G148),1,0)))</f>
        <v>0</v>
      </c>
      <c r="I148" s="38" t="n">
        <f aca="true">IF((H148=1),0,$D$3+$D$5*(RAND()-0.5))</f>
        <v>2.03244677911161</v>
      </c>
      <c r="J148" s="38" t="n">
        <f aca="false">I148+MAX(D148,J147)</f>
        <v>167.663777189652</v>
      </c>
      <c r="K148" s="38" t="n">
        <f aca="false">IF((H148=0),J148-D148,0)</f>
        <v>6.07571992384126</v>
      </c>
      <c r="L148" s="38" t="n">
        <f aca="true">IF(($H148=0),0,$D$4+$D$5*(RAND()-0.5))</f>
        <v>0</v>
      </c>
      <c r="M148" s="38" t="n">
        <f aca="false">L148+MAX(D148,M147)</f>
        <v>170.667391112062</v>
      </c>
      <c r="N148" s="38" t="n">
        <f aca="false">IF((H148=1),M148-D148,0)</f>
        <v>0</v>
      </c>
      <c r="O148" s="16" t="n">
        <v>131</v>
      </c>
      <c r="P148" s="41" t="n">
        <f aca="false">IF((Arterial=0),P147+1,P147)</f>
        <v>58</v>
      </c>
      <c r="Q148" s="41" t="n">
        <f aca="false">IF((Arterial=1),Q147+1,Q147)</f>
        <v>73</v>
      </c>
      <c r="R148" s="42" t="e">
        <f aca="false">IF((RESET=1),0,R148+K148)</f>
        <v>#N/A</v>
      </c>
      <c r="S148" s="14" t="n">
        <f aca="false">IF(RESET=1,0,S148+N148)</f>
        <v>382.235005402603</v>
      </c>
      <c r="T148" s="2" t="e">
        <f aca="false">IF(RESET=1,0,T148+IF(H148=0,1,0))</f>
        <v>#N/A</v>
      </c>
      <c r="U148" s="2" t="n">
        <f aca="false">IF(RESET=1,0,U148+H148)</f>
        <v>36</v>
      </c>
      <c r="V148" s="14" t="e">
        <f aca="false">R148/(T148+0.00001)</f>
        <v>#N/A</v>
      </c>
      <c r="W148" s="14" t="n">
        <f aca="false">S148/(U148+0.0001)</f>
        <v>10.6176095456013</v>
      </c>
      <c r="X148" s="39" t="n">
        <f aca="false">IF(Informed=1,K148,0)</f>
        <v>0</v>
      </c>
      <c r="Y148" s="39" t="n">
        <f aca="false">IF(Informed=0,K148,0)</f>
        <v>6.07571992384126</v>
      </c>
      <c r="Z148" s="39" t="n">
        <f aca="false">IF(Informed=1,N148,0)</f>
        <v>0</v>
      </c>
      <c r="AA148" s="39" t="n">
        <f aca="false">IF(Informed=0,N148,0)</f>
        <v>0</v>
      </c>
      <c r="AB148" s="43" t="n">
        <f aca="false">IF(Arterial=0,IF(Informed=1,1,0),0)</f>
        <v>0</v>
      </c>
      <c r="AC148" s="43" t="n">
        <f aca="false">IF(Arterial=0,IF(Informed=0,1,0),0)</f>
        <v>1</v>
      </c>
      <c r="AD148" s="43" t="n">
        <f aca="false">IF(Arterial=1,IF(Informed=1,1,0),0)</f>
        <v>0</v>
      </c>
      <c r="AE148" s="43" t="n">
        <f aca="false">IF(Arterial=1,IF(Informed=0,1,0),0)</f>
        <v>0</v>
      </c>
      <c r="AF148" s="35" t="n">
        <f aca="false">IF(AB148=1,(X148-G$1030)^2,0)</f>
        <v>0</v>
      </c>
      <c r="AG148" s="35" t="n">
        <f aca="false">IF(AC148=1,(Y148-H$1030)^2,0)</f>
        <v>23.5037374136827</v>
      </c>
      <c r="AH148" s="35" t="n">
        <f aca="false">IF(AD148=1,(Z148-I$1030)^2,0)</f>
        <v>0</v>
      </c>
      <c r="AI148" s="35" t="n">
        <f aca="false">IF(AE148=1,(AA148-J$1030)^2,0)</f>
        <v>0</v>
      </c>
      <c r="AJ148" s="37" t="n">
        <f aca="true">IF(RAND()&lt;$D$6,1,0)</f>
        <v>0</v>
      </c>
      <c r="AK148" s="14" t="n">
        <f aca="false">AK147+IF((AJ148=1),IF((H148=0),1,0),0)</f>
        <v>0</v>
      </c>
      <c r="AL148" s="14" t="n">
        <f aca="false">AL147+IF((AJ148=1),IF((H148=1),1,0),0)</f>
        <v>0</v>
      </c>
      <c r="AM148" s="37" t="n">
        <f aca="false">IF(AK148=0,9999,IF($H148=0,IF($AJ148&lt;1,AM147+1,0),AM147))</f>
        <v>9999</v>
      </c>
      <c r="AN148" s="37" t="n">
        <f aca="false">IF(AL148=0,9999,IF($H148=1,IF($AJ148&lt;1,AN147+1,0),AN147))</f>
        <v>9999</v>
      </c>
      <c r="AO148" s="37" t="n">
        <f aca="false">IF($A148-AM148&gt;0,1/(1+AM148),0)</f>
        <v>0</v>
      </c>
      <c r="AP148" s="37" t="n">
        <f aca="false">IF($A148-AN148&gt;0,1/(1+AN148),0)</f>
        <v>0</v>
      </c>
      <c r="AQ148" s="7" t="n">
        <f aca="false">IF(AK148=0,0,MAX(MIN(1,AO148^Power),0))</f>
        <v>0</v>
      </c>
      <c r="AR148" s="7" t="n">
        <f aca="false">IF(AL148=0,0,MAX(MIN(1,AP148^Power),0))</f>
        <v>0</v>
      </c>
      <c r="AS148" s="7" t="n">
        <f aca="false">IF($AJ148=1,IF($H148=0,K148,AS147),AS147)</f>
        <v>0</v>
      </c>
      <c r="AT148" s="7" t="n">
        <f aca="false">IF($AJ148=1,IF($H148=1,N148,AT147),AT147)</f>
        <v>0</v>
      </c>
    </row>
    <row r="149" customFormat="false" ht="13" hidden="false" customHeight="false" outlineLevel="0" collapsed="false">
      <c r="A149" s="16" t="n">
        <v>132</v>
      </c>
      <c r="B149" s="37" t="n">
        <f aca="true">IF(RAND()&lt;$D$8,1,0)</f>
        <v>0</v>
      </c>
      <c r="C149" s="20" t="n">
        <f aca="true">-LN(RAND())/$D$2</f>
        <v>1.72947734325935</v>
      </c>
      <c r="D149" s="38" t="n">
        <f aca="false">D148+C149</f>
        <v>163.31753460907</v>
      </c>
      <c r="E149" s="39" t="n">
        <f aca="false">MAX($E$3,AS148)</f>
        <v>0</v>
      </c>
      <c r="F149" s="39" t="n">
        <f aca="false">MAX($E$3,AT148)</f>
        <v>0</v>
      </c>
      <c r="G149" s="40" t="n">
        <v>0.5</v>
      </c>
      <c r="H149" s="38" t="n">
        <f aca="true">IF((B149=1),(IF((F149&lt;E149),1,(IF((F149=E149),(IF(RAND()&lt;G149,1,0)),0)))),(IF((RAND()&lt;G149),1,0)))</f>
        <v>1</v>
      </c>
      <c r="I149" s="38" t="n">
        <f aca="true">IF((H149=1),0,$D$3+$D$5*(RAND()-0.5))</f>
        <v>0</v>
      </c>
      <c r="J149" s="38" t="n">
        <f aca="false">I149+MAX(D149,J148)</f>
        <v>167.663777189652</v>
      </c>
      <c r="K149" s="38" t="n">
        <f aca="false">IF((H149=0),J149-D149,0)</f>
        <v>0</v>
      </c>
      <c r="L149" s="38" t="n">
        <f aca="true">IF(($H149=0),0,$D$4+$D$5*(RAND()-0.5))</f>
        <v>1.76328907927206</v>
      </c>
      <c r="M149" s="38" t="n">
        <f aca="false">L149+MAX(D149,M148)</f>
        <v>172.430680191334</v>
      </c>
      <c r="N149" s="38" t="n">
        <f aca="false">IF((H149=1),M149-D149,0)</f>
        <v>9.11314558226349</v>
      </c>
      <c r="O149" s="16" t="n">
        <v>132</v>
      </c>
      <c r="P149" s="41" t="n">
        <f aca="false">IF((Arterial=0),P148+1,P148)</f>
        <v>58</v>
      </c>
      <c r="Q149" s="41" t="n">
        <f aca="false">IF((Arterial=1),Q148+1,Q148)</f>
        <v>74</v>
      </c>
      <c r="R149" s="42" t="n">
        <f aca="false">IF((RESET=1),0,R149+K149)</f>
        <v>305.400499205396</v>
      </c>
      <c r="S149" s="14" t="e">
        <f aca="false">IF(RESET=1,0,S149+N149)</f>
        <v>#N/A</v>
      </c>
      <c r="T149" s="2" t="n">
        <f aca="false">IF(RESET=1,0,T149+IF(H149=0,1,0))</f>
        <v>32</v>
      </c>
      <c r="U149" s="2" t="e">
        <f aca="false">IF(RESET=1,0,U149+H149)</f>
        <v>#N/A</v>
      </c>
      <c r="V149" s="14" t="n">
        <f aca="false">R149/(T149+0.00001)</f>
        <v>9.54376261774279</v>
      </c>
      <c r="W149" s="14" t="e">
        <f aca="false">S149/(U149+0.0001)</f>
        <v>#N/A</v>
      </c>
      <c r="X149" s="39" t="n">
        <f aca="false">IF(Informed=1,K149,0)</f>
        <v>0</v>
      </c>
      <c r="Y149" s="39" t="n">
        <f aca="false">IF(Informed=0,K149,0)</f>
        <v>0</v>
      </c>
      <c r="Z149" s="39" t="n">
        <f aca="false">IF(Informed=1,N149,0)</f>
        <v>0</v>
      </c>
      <c r="AA149" s="39" t="n">
        <f aca="false">IF(Informed=0,N149,0)</f>
        <v>9.11314558226349</v>
      </c>
      <c r="AB149" s="43" t="n">
        <f aca="false">IF(Arterial=0,IF(Informed=1,1,0),0)</f>
        <v>0</v>
      </c>
      <c r="AC149" s="43" t="n">
        <f aca="false">IF(Arterial=0,IF(Informed=0,1,0),0)</f>
        <v>0</v>
      </c>
      <c r="AD149" s="43" t="n">
        <f aca="false">IF(Arterial=1,IF(Informed=1,1,0),0)</f>
        <v>0</v>
      </c>
      <c r="AE149" s="43" t="n">
        <f aca="false">IF(Arterial=1,IF(Informed=0,1,0),0)</f>
        <v>1</v>
      </c>
      <c r="AF149" s="35" t="n">
        <f aca="false">IF(AB149=1,(X149-G$1030)^2,0)</f>
        <v>0</v>
      </c>
      <c r="AG149" s="35" t="n">
        <f aca="false">IF(AC149=1,(Y149-H$1030)^2,0)</f>
        <v>0</v>
      </c>
      <c r="AH149" s="35" t="n">
        <f aca="false">IF(AD149=1,(Z149-I$1030)^2,0)</f>
        <v>0</v>
      </c>
      <c r="AI149" s="35" t="n">
        <f aca="false">IF(AE149=1,(AA149-J$1030)^2,0)</f>
        <v>418.248694060803</v>
      </c>
      <c r="AJ149" s="37" t="n">
        <f aca="true">IF(RAND()&lt;$D$6,1,0)</f>
        <v>0</v>
      </c>
      <c r="AK149" s="14" t="n">
        <f aca="false">AK148+IF((AJ149=1),IF((H149=0),1,0),0)</f>
        <v>0</v>
      </c>
      <c r="AL149" s="14" t="n">
        <f aca="false">AL148+IF((AJ149=1),IF((H149=1),1,0),0)</f>
        <v>0</v>
      </c>
      <c r="AM149" s="37" t="n">
        <f aca="false">IF(AK149=0,9999,IF($H149=0,IF($AJ149&lt;1,AM148+1,0),AM148))</f>
        <v>9999</v>
      </c>
      <c r="AN149" s="37" t="n">
        <f aca="false">IF(AL149=0,9999,IF($H149=1,IF($AJ149&lt;1,AN148+1,0),AN148))</f>
        <v>9999</v>
      </c>
      <c r="AO149" s="37" t="n">
        <f aca="false">IF($A149-AM149&gt;0,1/(1+AM149),0)</f>
        <v>0</v>
      </c>
      <c r="AP149" s="37" t="n">
        <f aca="false">IF($A149-AN149&gt;0,1/(1+AN149),0)</f>
        <v>0</v>
      </c>
      <c r="AQ149" s="7" t="n">
        <f aca="false">IF(AK149=0,0,MAX(MIN(1,AO149^Power),0))</f>
        <v>0</v>
      </c>
      <c r="AR149" s="7" t="n">
        <f aca="false">IF(AL149=0,0,MAX(MIN(1,AP149^Power),0))</f>
        <v>0</v>
      </c>
      <c r="AS149" s="7" t="n">
        <f aca="false">IF($AJ149=1,IF($H149=0,K149,AS148),AS148)</f>
        <v>0</v>
      </c>
      <c r="AT149" s="7" t="n">
        <f aca="false">IF($AJ149=1,IF($H149=1,N149,AT148),AT148)</f>
        <v>0</v>
      </c>
    </row>
    <row r="150" customFormat="false" ht="13" hidden="false" customHeight="false" outlineLevel="0" collapsed="false">
      <c r="A150" s="16" t="n">
        <v>133</v>
      </c>
      <c r="B150" s="37" t="n">
        <f aca="true">IF(RAND()&lt;$D$8,1,0)</f>
        <v>0</v>
      </c>
      <c r="C150" s="20" t="n">
        <f aca="true">-LN(RAND())/$D$2</f>
        <v>1.18355330739874</v>
      </c>
      <c r="D150" s="38" t="n">
        <f aca="false">D149+C150</f>
        <v>164.501087916469</v>
      </c>
      <c r="E150" s="39" t="n">
        <f aca="false">MAX($E$3,AS149)</f>
        <v>0</v>
      </c>
      <c r="F150" s="39" t="n">
        <f aca="false">MAX($E$3,AT149)</f>
        <v>0</v>
      </c>
      <c r="G150" s="40" t="n">
        <v>0.5</v>
      </c>
      <c r="H150" s="38" t="n">
        <f aca="true">IF((B150=1),(IF((F150&lt;E150),1,(IF((F150=E150),(IF(RAND()&lt;G150,1,0)),0)))),(IF((RAND()&lt;G150),1,0)))</f>
        <v>1</v>
      </c>
      <c r="I150" s="38" t="n">
        <f aca="true">IF((H150=1),0,$D$3+$D$5*(RAND()-0.5))</f>
        <v>0</v>
      </c>
      <c r="J150" s="38" t="n">
        <f aca="false">I150+MAX(D150,J149)</f>
        <v>167.663777189652</v>
      </c>
      <c r="K150" s="38" t="n">
        <f aca="false">IF((H150=0),J150-D150,0)</f>
        <v>0</v>
      </c>
      <c r="L150" s="38" t="n">
        <f aca="true">IF(($H150=0),0,$D$4+$D$5*(RAND()-0.5))</f>
        <v>2.09760366774446</v>
      </c>
      <c r="M150" s="38" t="n">
        <f aca="false">L150+MAX(D150,M149)</f>
        <v>174.528283859078</v>
      </c>
      <c r="N150" s="38" t="n">
        <f aca="false">IF((H150=1),M150-D150,0)</f>
        <v>10.0271959426092</v>
      </c>
      <c r="O150" s="16" t="n">
        <v>133</v>
      </c>
      <c r="P150" s="41" t="n">
        <f aca="false">IF((Arterial=0),P149+1,P149)</f>
        <v>58</v>
      </c>
      <c r="Q150" s="41" t="n">
        <f aca="false">IF((Arterial=1),Q149+1,Q149)</f>
        <v>75</v>
      </c>
      <c r="R150" s="42" t="n">
        <f aca="false">IF((RESET=1),0,R150+K150)</f>
        <v>387.401135753652</v>
      </c>
      <c r="S150" s="14" t="e">
        <f aca="false">IF(RESET=1,0,S150+N150)</f>
        <v>#N/A</v>
      </c>
      <c r="T150" s="2" t="n">
        <f aca="false">IF(RESET=1,0,T150+IF(H150=0,1,0))</f>
        <v>33</v>
      </c>
      <c r="U150" s="2" t="e">
        <f aca="false">IF(RESET=1,0,U150+H150)</f>
        <v>#N/A</v>
      </c>
      <c r="V150" s="14" t="n">
        <f aca="false">R150/(T150+0.00001)</f>
        <v>11.7394247987698</v>
      </c>
      <c r="W150" s="14" t="e">
        <f aca="false">S150/(U150+0.0001)</f>
        <v>#N/A</v>
      </c>
      <c r="X150" s="39" t="n">
        <f aca="false">IF(Informed=1,K150,0)</f>
        <v>0</v>
      </c>
      <c r="Y150" s="39" t="n">
        <f aca="false">IF(Informed=0,K150,0)</f>
        <v>0</v>
      </c>
      <c r="Z150" s="39" t="n">
        <f aca="false">IF(Informed=1,N150,0)</f>
        <v>0</v>
      </c>
      <c r="AA150" s="39" t="n">
        <f aca="false">IF(Informed=0,N150,0)</f>
        <v>10.0271959426092</v>
      </c>
      <c r="AB150" s="43" t="n">
        <f aca="false">IF(Arterial=0,IF(Informed=1,1,0),0)</f>
        <v>0</v>
      </c>
      <c r="AC150" s="43" t="n">
        <f aca="false">IF(Arterial=0,IF(Informed=0,1,0),0)</f>
        <v>0</v>
      </c>
      <c r="AD150" s="43" t="n">
        <f aca="false">IF(Arterial=1,IF(Informed=1,1,0),0)</f>
        <v>0</v>
      </c>
      <c r="AE150" s="43" t="n">
        <f aca="false">IF(Arterial=1,IF(Informed=0,1,0),0)</f>
        <v>1</v>
      </c>
      <c r="AF150" s="35" t="n">
        <f aca="false">IF(AB150=1,(X150-G$1030)^2,0)</f>
        <v>0</v>
      </c>
      <c r="AG150" s="35" t="n">
        <f aca="false">IF(AC150=1,(Y150-H$1030)^2,0)</f>
        <v>0</v>
      </c>
      <c r="AH150" s="35" t="n">
        <f aca="false">IF(AD150=1,(Z150-I$1030)^2,0)</f>
        <v>0</v>
      </c>
      <c r="AI150" s="35" t="n">
        <f aca="false">IF(AE150=1,(AA150-J$1030)^2,0)</f>
        <v>381.69745771242</v>
      </c>
      <c r="AJ150" s="37" t="n">
        <f aca="true">IF(RAND()&lt;$D$6,1,0)</f>
        <v>0</v>
      </c>
      <c r="AK150" s="14" t="n">
        <f aca="false">AK149+IF((AJ150=1),IF((H150=0),1,0),0)</f>
        <v>0</v>
      </c>
      <c r="AL150" s="14" t="n">
        <f aca="false">AL149+IF((AJ150=1),IF((H150=1),1,0),0)</f>
        <v>0</v>
      </c>
      <c r="AM150" s="37" t="n">
        <f aca="false">IF(AK150=0,9999,IF($H150=0,IF($AJ150&lt;1,AM149+1,0),AM149))</f>
        <v>9999</v>
      </c>
      <c r="AN150" s="37" t="n">
        <f aca="false">IF(AL150=0,9999,IF($H150=1,IF($AJ150&lt;1,AN149+1,0),AN149))</f>
        <v>9999</v>
      </c>
      <c r="AO150" s="37" t="n">
        <f aca="false">IF($A150-AM150&gt;0,1/(1+AM150),0)</f>
        <v>0</v>
      </c>
      <c r="AP150" s="37" t="n">
        <f aca="false">IF($A150-AN150&gt;0,1/(1+AN150),0)</f>
        <v>0</v>
      </c>
      <c r="AQ150" s="7" t="n">
        <f aca="false">IF(AK150=0,0,MAX(MIN(1,AO150^Power),0))</f>
        <v>0</v>
      </c>
      <c r="AR150" s="7" t="n">
        <f aca="false">IF(AL150=0,0,MAX(MIN(1,AP150^Power),0))</f>
        <v>0</v>
      </c>
      <c r="AS150" s="7" t="n">
        <f aca="false">IF($AJ150=1,IF($H150=0,K150,AS149),AS149)</f>
        <v>0</v>
      </c>
      <c r="AT150" s="7" t="n">
        <f aca="false">IF($AJ150=1,IF($H150=1,N150,AT149),AT149)</f>
        <v>0</v>
      </c>
    </row>
    <row r="151" customFormat="false" ht="13" hidden="false" customHeight="false" outlineLevel="0" collapsed="false">
      <c r="A151" s="16" t="n">
        <v>134</v>
      </c>
      <c r="B151" s="37" t="n">
        <f aca="true">IF(RAND()&lt;$D$8,1,0)</f>
        <v>1</v>
      </c>
      <c r="C151" s="20" t="n">
        <f aca="true">-LN(RAND())/$D$2</f>
        <v>0.700771814027867</v>
      </c>
      <c r="D151" s="38" t="n">
        <f aca="false">D150+C151</f>
        <v>165.201859730497</v>
      </c>
      <c r="E151" s="39" t="n">
        <f aca="false">MAX($E$3,AS150)</f>
        <v>0</v>
      </c>
      <c r="F151" s="39" t="n">
        <f aca="false">MAX($E$3,AT150)</f>
        <v>0</v>
      </c>
      <c r="G151" s="40" t="n">
        <v>0.5</v>
      </c>
      <c r="H151" s="38" t="n">
        <f aca="true">IF((B151=1),(IF((F151&lt;E151),1,(IF((F151=E151),(IF(RAND()&lt;G151,1,0)),0)))),(IF((RAND()&lt;G151),1,0)))</f>
        <v>1</v>
      </c>
      <c r="I151" s="38" t="n">
        <f aca="true">IF((H151=1),0,$D$3+$D$5*(RAND()-0.5))</f>
        <v>0</v>
      </c>
      <c r="J151" s="38" t="n">
        <f aca="false">I151+MAX(D151,J150)</f>
        <v>167.663777189652</v>
      </c>
      <c r="K151" s="38" t="n">
        <f aca="false">IF((H151=0),J151-D151,0)</f>
        <v>0</v>
      </c>
      <c r="L151" s="38" t="n">
        <f aca="true">IF(($H151=0),0,$D$4+$D$5*(RAND()-0.5))</f>
        <v>2.0335990471864</v>
      </c>
      <c r="M151" s="38" t="n">
        <f aca="false">L151+MAX(D151,M150)</f>
        <v>176.561882906264</v>
      </c>
      <c r="N151" s="38" t="n">
        <f aca="false">IF((H151=1),M151-D151,0)</f>
        <v>11.3600231757678</v>
      </c>
      <c r="O151" s="16" t="n">
        <v>134</v>
      </c>
      <c r="P151" s="41" t="n">
        <f aca="false">IF((Arterial=0),P150+1,P150)</f>
        <v>58</v>
      </c>
      <c r="Q151" s="41" t="n">
        <f aca="false">IF((Arterial=1),Q150+1,Q150)</f>
        <v>76</v>
      </c>
      <c r="R151" s="42" t="n">
        <f aca="false">IF((RESET=1),0,R151+K151)</f>
        <v>417.636903350444</v>
      </c>
      <c r="S151" s="14" t="e">
        <f aca="false">IF(RESET=1,0,S151+N151)</f>
        <v>#N/A</v>
      </c>
      <c r="T151" s="2" t="n">
        <f aca="false">IF(RESET=1,0,T151+IF(H151=0,1,0))</f>
        <v>42</v>
      </c>
      <c r="U151" s="2" t="e">
        <f aca="false">IF(RESET=1,0,U151+H151)</f>
        <v>#N/A</v>
      </c>
      <c r="V151" s="14" t="n">
        <f aca="false">R151/(T151+0.00001)</f>
        <v>9.94373342650262</v>
      </c>
      <c r="W151" s="14" t="e">
        <f aca="false">S151/(U151+0.0001)</f>
        <v>#N/A</v>
      </c>
      <c r="X151" s="39" t="n">
        <f aca="false">IF(Informed=1,K151,0)</f>
        <v>0</v>
      </c>
      <c r="Y151" s="39" t="n">
        <f aca="false">IF(Informed=0,K151,0)</f>
        <v>0</v>
      </c>
      <c r="Z151" s="39" t="n">
        <f aca="false">IF(Informed=1,N151,0)</f>
        <v>11.3600231757678</v>
      </c>
      <c r="AA151" s="39" t="n">
        <f aca="false">IF(Informed=0,N151,0)</f>
        <v>0</v>
      </c>
      <c r="AB151" s="43" t="n">
        <f aca="false">IF(Arterial=0,IF(Informed=1,1,0),0)</f>
        <v>0</v>
      </c>
      <c r="AC151" s="43" t="n">
        <f aca="false">IF(Arterial=0,IF(Informed=0,1,0),0)</f>
        <v>0</v>
      </c>
      <c r="AD151" s="43" t="n">
        <f aca="false">IF(Arterial=1,IF(Informed=1,1,0),0)</f>
        <v>1</v>
      </c>
      <c r="AE151" s="43" t="n">
        <f aca="false">IF(Arterial=1,IF(Informed=0,1,0),0)</f>
        <v>0</v>
      </c>
      <c r="AF151" s="35" t="n">
        <f aca="false">IF(AB151=1,(X151-G$1030)^2,0)</f>
        <v>0</v>
      </c>
      <c r="AG151" s="35" t="n">
        <f aca="false">IF(AC151=1,(Y151-H$1030)^2,0)</f>
        <v>0</v>
      </c>
      <c r="AH151" s="35" t="n">
        <f aca="false">IF(AD151=1,(Z151-I$1030)^2,0)</f>
        <v>289.503814377933</v>
      </c>
      <c r="AI151" s="35" t="n">
        <f aca="false">IF(AE151=1,(AA151-J$1030)^2,0)</f>
        <v>0</v>
      </c>
      <c r="AJ151" s="37" t="n">
        <f aca="true">IF(RAND()&lt;$D$6,1,0)</f>
        <v>0</v>
      </c>
      <c r="AK151" s="14" t="n">
        <f aca="false">AK150+IF((AJ151=1),IF((H151=0),1,0),0)</f>
        <v>0</v>
      </c>
      <c r="AL151" s="14" t="n">
        <f aca="false">AL150+IF((AJ151=1),IF((H151=1),1,0),0)</f>
        <v>0</v>
      </c>
      <c r="AM151" s="37" t="n">
        <f aca="false">IF(AK151=0,9999,IF($H151=0,IF($AJ151&lt;1,AM150+1,0),AM150))</f>
        <v>9999</v>
      </c>
      <c r="AN151" s="37" t="n">
        <f aca="false">IF(AL151=0,9999,IF($H151=1,IF($AJ151&lt;1,AN150+1,0),AN150))</f>
        <v>9999</v>
      </c>
      <c r="AO151" s="37" t="n">
        <f aca="false">IF($A151-AM151&gt;0,1/(1+AM151),0)</f>
        <v>0</v>
      </c>
      <c r="AP151" s="37" t="n">
        <f aca="false">IF($A151-AN151&gt;0,1/(1+AN151),0)</f>
        <v>0</v>
      </c>
      <c r="AQ151" s="7" t="n">
        <f aca="false">IF(AK151=0,0,MAX(MIN(1,AO151^Power),0))</f>
        <v>0</v>
      </c>
      <c r="AR151" s="7" t="n">
        <f aca="false">IF(AL151=0,0,MAX(MIN(1,AP151^Power),0))</f>
        <v>0</v>
      </c>
      <c r="AS151" s="7" t="n">
        <f aca="false">IF($AJ151=1,IF($H151=0,K151,AS150),AS150)</f>
        <v>0</v>
      </c>
      <c r="AT151" s="7" t="n">
        <f aca="false">IF($AJ151=1,IF($H151=1,N151,AT150),AT150)</f>
        <v>0</v>
      </c>
    </row>
    <row r="152" customFormat="false" ht="13" hidden="false" customHeight="false" outlineLevel="0" collapsed="false">
      <c r="A152" s="16" t="n">
        <v>135</v>
      </c>
      <c r="B152" s="37" t="n">
        <f aca="true">IF(RAND()&lt;$D$8,1,0)</f>
        <v>0</v>
      </c>
      <c r="C152" s="20" t="n">
        <f aca="true">-LN(RAND())/$D$2</f>
        <v>0.0352337920604598</v>
      </c>
      <c r="D152" s="38" t="n">
        <f aca="false">D151+C152</f>
        <v>165.237093522557</v>
      </c>
      <c r="E152" s="39" t="n">
        <f aca="false">MAX($E$3,AS151)</f>
        <v>0</v>
      </c>
      <c r="F152" s="39" t="n">
        <f aca="false">MAX($E$3,AT151)</f>
        <v>0</v>
      </c>
      <c r="G152" s="40" t="n">
        <v>0.5</v>
      </c>
      <c r="H152" s="38" t="n">
        <f aca="true">IF((B152=1),(IF((F152&lt;E152),1,(IF((F152=E152),(IF(RAND()&lt;G152,1,0)),0)))),(IF((RAND()&lt;G152),1,0)))</f>
        <v>0</v>
      </c>
      <c r="I152" s="38" t="n">
        <f aca="true">IF((H152=1),0,$D$3+$D$5*(RAND()-0.5))</f>
        <v>2.1292156640605</v>
      </c>
      <c r="J152" s="38" t="n">
        <f aca="false">I152+MAX(D152,J151)</f>
        <v>169.792992853713</v>
      </c>
      <c r="K152" s="38" t="n">
        <f aca="false">IF((H152=0),J152-D152,0)</f>
        <v>4.55589933115533</v>
      </c>
      <c r="L152" s="38" t="n">
        <f aca="true">IF(($H152=0),0,$D$4+$D$5*(RAND()-0.5))</f>
        <v>0</v>
      </c>
      <c r="M152" s="38" t="n">
        <f aca="false">L152+MAX(D152,M151)</f>
        <v>176.561882906264</v>
      </c>
      <c r="N152" s="38" t="n">
        <f aca="false">IF((H152=1),M152-D152,0)</f>
        <v>0</v>
      </c>
      <c r="O152" s="16" t="n">
        <v>135</v>
      </c>
      <c r="P152" s="41" t="n">
        <f aca="false">IF((Arterial=0),P151+1,P151)</f>
        <v>59</v>
      </c>
      <c r="Q152" s="41" t="n">
        <f aca="false">IF((Arterial=1),Q151+1,Q151)</f>
        <v>76</v>
      </c>
      <c r="R152" s="42" t="e">
        <f aca="false">IF((RESET=1),0,R152+K152)</f>
        <v>#N/A</v>
      </c>
      <c r="S152" s="14" t="n">
        <f aca="false">IF(RESET=1,0,S152+N152)</f>
        <v>550.162681355421</v>
      </c>
      <c r="T152" s="2" t="e">
        <f aca="false">IF(RESET=1,0,T152+IF(H152=0,1,0))</f>
        <v>#N/A</v>
      </c>
      <c r="U152" s="2" t="n">
        <f aca="false">IF(RESET=1,0,U152+H152)</f>
        <v>43</v>
      </c>
      <c r="V152" s="14" t="e">
        <f aca="false">R152/(T152+0.00001)</f>
        <v>#N/A</v>
      </c>
      <c r="W152" s="14" t="n">
        <f aca="false">S152/(U152+0.0001)</f>
        <v>12.7944512072163</v>
      </c>
      <c r="X152" s="39" t="n">
        <f aca="false">IF(Informed=1,K152,0)</f>
        <v>0</v>
      </c>
      <c r="Y152" s="39" t="n">
        <f aca="false">IF(Informed=0,K152,0)</f>
        <v>4.55589933115533</v>
      </c>
      <c r="Z152" s="39" t="n">
        <f aca="false">IF(Informed=1,N152,0)</f>
        <v>0</v>
      </c>
      <c r="AA152" s="39" t="n">
        <f aca="false">IF(Informed=0,N152,0)</f>
        <v>0</v>
      </c>
      <c r="AB152" s="43" t="n">
        <f aca="false">IF(Arterial=0,IF(Informed=1,1,0),0)</f>
        <v>0</v>
      </c>
      <c r="AC152" s="43" t="n">
        <f aca="false">IF(Arterial=0,IF(Informed=0,1,0),0)</f>
        <v>1</v>
      </c>
      <c r="AD152" s="43" t="n">
        <f aca="false">IF(Arterial=1,IF(Informed=1,1,0),0)</f>
        <v>0</v>
      </c>
      <c r="AE152" s="43" t="n">
        <f aca="false">IF(Arterial=1,IF(Informed=0,1,0),0)</f>
        <v>0</v>
      </c>
      <c r="AF152" s="35" t="n">
        <f aca="false">IF(AB152=1,(X152-G$1030)^2,0)</f>
        <v>0</v>
      </c>
      <c r="AG152" s="35" t="n">
        <f aca="false">IF(AC152=1,(Y152-H$1030)^2,0)</f>
        <v>40.5499710845885</v>
      </c>
      <c r="AH152" s="35" t="n">
        <f aca="false">IF(AD152=1,(Z152-I$1030)^2,0)</f>
        <v>0</v>
      </c>
      <c r="AI152" s="35" t="n">
        <f aca="false">IF(AE152=1,(AA152-J$1030)^2,0)</f>
        <v>0</v>
      </c>
      <c r="AJ152" s="37" t="n">
        <f aca="true">IF(RAND()&lt;$D$6,1,0)</f>
        <v>0</v>
      </c>
      <c r="AK152" s="14" t="n">
        <f aca="false">AK151+IF((AJ152=1),IF((H152=0),1,0),0)</f>
        <v>0</v>
      </c>
      <c r="AL152" s="14" t="n">
        <f aca="false">AL151+IF((AJ152=1),IF((H152=1),1,0),0)</f>
        <v>0</v>
      </c>
      <c r="AM152" s="37" t="n">
        <f aca="false">IF(AK152=0,9999,IF($H152=0,IF($AJ152&lt;1,AM151+1,0),AM151))</f>
        <v>9999</v>
      </c>
      <c r="AN152" s="37" t="n">
        <f aca="false">IF(AL152=0,9999,IF($H152=1,IF($AJ152&lt;1,AN151+1,0),AN151))</f>
        <v>9999</v>
      </c>
      <c r="AO152" s="37" t="n">
        <f aca="false">IF($A152-AM152&gt;0,1/(1+AM152),0)</f>
        <v>0</v>
      </c>
      <c r="AP152" s="37" t="n">
        <f aca="false">IF($A152-AN152&gt;0,1/(1+AN152),0)</f>
        <v>0</v>
      </c>
      <c r="AQ152" s="7" t="n">
        <f aca="false">IF(AK152=0,0,MAX(MIN(1,AO152^Power),0))</f>
        <v>0</v>
      </c>
      <c r="AR152" s="7" t="n">
        <f aca="false">IF(AL152=0,0,MAX(MIN(1,AP152^Power),0))</f>
        <v>0</v>
      </c>
      <c r="AS152" s="7" t="n">
        <f aca="false">IF($AJ152=1,IF($H152=0,K152,AS151),AS151)</f>
        <v>0</v>
      </c>
      <c r="AT152" s="7" t="n">
        <f aca="false">IF($AJ152=1,IF($H152=1,N152,AT151),AT151)</f>
        <v>0</v>
      </c>
    </row>
    <row r="153" customFormat="false" ht="13" hidden="false" customHeight="false" outlineLevel="0" collapsed="false">
      <c r="A153" s="16" t="n">
        <v>136</v>
      </c>
      <c r="B153" s="37" t="n">
        <f aca="true">IF(RAND()&lt;$D$8,1,0)</f>
        <v>0</v>
      </c>
      <c r="C153" s="20" t="n">
        <f aca="true">-LN(RAND())/$D$2</f>
        <v>1.77331242921321</v>
      </c>
      <c r="D153" s="38" t="n">
        <f aca="false">D152+C153</f>
        <v>167.01040595177</v>
      </c>
      <c r="E153" s="39" t="n">
        <f aca="false">MAX($E$3,AS152)</f>
        <v>0</v>
      </c>
      <c r="F153" s="39" t="n">
        <f aca="false">MAX($E$3,AT152)</f>
        <v>0</v>
      </c>
      <c r="G153" s="40" t="n">
        <v>0.5</v>
      </c>
      <c r="H153" s="38" t="n">
        <f aca="true">IF((B153=1),(IF((F153&lt;E153),1,(IF((F153=E153),(IF(RAND()&lt;G153,1,0)),0)))),(IF((RAND()&lt;G153),1,0)))</f>
        <v>0</v>
      </c>
      <c r="I153" s="38" t="n">
        <f aca="true">IF((H153=1),0,$D$3+$D$5*(RAND()-0.5))</f>
        <v>1.95193211599253</v>
      </c>
      <c r="J153" s="38" t="n">
        <f aca="false">I153+MAX(D153,J152)</f>
        <v>171.744924969705</v>
      </c>
      <c r="K153" s="38" t="n">
        <f aca="false">IF((H153=0),J153-D153,0)</f>
        <v>4.73451901793465</v>
      </c>
      <c r="L153" s="38" t="n">
        <f aca="true">IF(($H153=0),0,$D$4+$D$5*(RAND()-0.5))</f>
        <v>0</v>
      </c>
      <c r="M153" s="38" t="n">
        <f aca="false">L153+MAX(D153,M152)</f>
        <v>176.561882906264</v>
      </c>
      <c r="N153" s="38" t="n">
        <f aca="false">IF((H153=1),M153-D153,0)</f>
        <v>0</v>
      </c>
      <c r="O153" s="16" t="n">
        <v>136</v>
      </c>
      <c r="P153" s="41" t="n">
        <f aca="false">IF((Arterial=0),P152+1,P152)</f>
        <v>60</v>
      </c>
      <c r="Q153" s="41" t="n">
        <f aca="false">IF((Arterial=1),Q152+1,Q152)</f>
        <v>76</v>
      </c>
      <c r="R153" s="42" t="e">
        <f aca="false">IF((RESET=1),0,R153+K153)</f>
        <v>#N/A</v>
      </c>
      <c r="S153" s="14" t="n">
        <f aca="false">IF(RESET=1,0,S153+N153)</f>
        <v>478.215887505607</v>
      </c>
      <c r="T153" s="2" t="e">
        <f aca="false">IF(RESET=1,0,T153+IF(H153=0,1,0))</f>
        <v>#N/A</v>
      </c>
      <c r="U153" s="2" t="n">
        <f aca="false">IF(RESET=1,0,U153+H153)</f>
        <v>38</v>
      </c>
      <c r="V153" s="14" t="e">
        <f aca="false">R153/(T153+0.00001)</f>
        <v>#N/A</v>
      </c>
      <c r="W153" s="14" t="n">
        <f aca="false">S153/(U153+0.0001)</f>
        <v>12.584595501212</v>
      </c>
      <c r="X153" s="39" t="n">
        <f aca="false">IF(Informed=1,K153,0)</f>
        <v>0</v>
      </c>
      <c r="Y153" s="39" t="n">
        <f aca="false">IF(Informed=0,K153,0)</f>
        <v>4.73451901793465</v>
      </c>
      <c r="Z153" s="39" t="n">
        <f aca="false">IF(Informed=1,N153,0)</f>
        <v>0</v>
      </c>
      <c r="AA153" s="39" t="n">
        <f aca="false">IF(Informed=0,N153,0)</f>
        <v>0</v>
      </c>
      <c r="AB153" s="43" t="n">
        <f aca="false">IF(Arterial=0,IF(Informed=1,1,0),0)</f>
        <v>0</v>
      </c>
      <c r="AC153" s="43" t="n">
        <f aca="false">IF(Arterial=0,IF(Informed=0,1,0),0)</f>
        <v>1</v>
      </c>
      <c r="AD153" s="43" t="n">
        <f aca="false">IF(Arterial=1,IF(Informed=1,1,0),0)</f>
        <v>0</v>
      </c>
      <c r="AE153" s="43" t="n">
        <f aca="false">IF(Arterial=1,IF(Informed=0,1,0),0)</f>
        <v>0</v>
      </c>
      <c r="AF153" s="35" t="n">
        <f aca="false">IF(AB153=1,(X153-G$1030)^2,0)</f>
        <v>0</v>
      </c>
      <c r="AG153" s="35" t="n">
        <f aca="false">IF(AC153=1,(Y153-H$1030)^2,0)</f>
        <v>38.3070165002956</v>
      </c>
      <c r="AH153" s="35" t="n">
        <f aca="false">IF(AD153=1,(Z153-I$1030)^2,0)</f>
        <v>0</v>
      </c>
      <c r="AI153" s="35" t="n">
        <f aca="false">IF(AE153=1,(AA153-J$1030)^2,0)</f>
        <v>0</v>
      </c>
      <c r="AJ153" s="37" t="n">
        <f aca="true">IF(RAND()&lt;$D$6,1,0)</f>
        <v>0</v>
      </c>
      <c r="AK153" s="14" t="n">
        <f aca="false">AK152+IF((AJ153=1),IF((H153=0),1,0),0)</f>
        <v>0</v>
      </c>
      <c r="AL153" s="14" t="n">
        <f aca="false">AL152+IF((AJ153=1),IF((H153=1),1,0),0)</f>
        <v>0</v>
      </c>
      <c r="AM153" s="37" t="n">
        <f aca="false">IF(AK153=0,9999,IF($H153=0,IF($AJ153&lt;1,AM152+1,0),AM152))</f>
        <v>9999</v>
      </c>
      <c r="AN153" s="37" t="n">
        <f aca="false">IF(AL153=0,9999,IF($H153=1,IF($AJ153&lt;1,AN152+1,0),AN152))</f>
        <v>9999</v>
      </c>
      <c r="AO153" s="37" t="n">
        <f aca="false">IF($A153-AM153&gt;0,1/(1+AM153),0)</f>
        <v>0</v>
      </c>
      <c r="AP153" s="37" t="n">
        <f aca="false">IF($A153-AN153&gt;0,1/(1+AN153),0)</f>
        <v>0</v>
      </c>
      <c r="AQ153" s="7" t="n">
        <f aca="false">IF(AK153=0,0,MAX(MIN(1,AO153^Power),0))</f>
        <v>0</v>
      </c>
      <c r="AR153" s="7" t="n">
        <f aca="false">IF(AL153=0,0,MAX(MIN(1,AP153^Power),0))</f>
        <v>0</v>
      </c>
      <c r="AS153" s="7" t="n">
        <f aca="false">IF($AJ153=1,IF($H153=0,K153,AS152),AS152)</f>
        <v>0</v>
      </c>
      <c r="AT153" s="7" t="n">
        <f aca="false">IF($AJ153=1,IF($H153=1,N153,AT152),AT152)</f>
        <v>0</v>
      </c>
    </row>
    <row r="154" customFormat="false" ht="13" hidden="false" customHeight="false" outlineLevel="0" collapsed="false">
      <c r="A154" s="16" t="n">
        <v>137</v>
      </c>
      <c r="B154" s="37" t="n">
        <f aca="true">IF(RAND()&lt;$D$8,1,0)</f>
        <v>1</v>
      </c>
      <c r="C154" s="20" t="n">
        <f aca="true">-LN(RAND())/$D$2</f>
        <v>0.668574719764736</v>
      </c>
      <c r="D154" s="38" t="n">
        <f aca="false">D153+C154</f>
        <v>167.678980671535</v>
      </c>
      <c r="E154" s="39" t="n">
        <f aca="false">MAX($E$3,AS153)</f>
        <v>0</v>
      </c>
      <c r="F154" s="39" t="n">
        <f aca="false">MAX($E$3,AT153)</f>
        <v>0</v>
      </c>
      <c r="G154" s="40" t="n">
        <v>0.5</v>
      </c>
      <c r="H154" s="38" t="n">
        <f aca="true">IF((B154=1),(IF((F154&lt;E154),1,(IF((F154=E154),(IF(RAND()&lt;G154,1,0)),0)))),(IF((RAND()&lt;G154),1,0)))</f>
        <v>0</v>
      </c>
      <c r="I154" s="38" t="n">
        <f aca="true">IF((H154=1),0,$D$3+$D$5*(RAND()-0.5))</f>
        <v>2.14886358418793</v>
      </c>
      <c r="J154" s="38" t="n">
        <f aca="false">I154+MAX(D154,J153)</f>
        <v>173.893788553893</v>
      </c>
      <c r="K154" s="38" t="n">
        <f aca="false">IF((H154=0),J154-D154,0)</f>
        <v>6.21480788235783</v>
      </c>
      <c r="L154" s="38" t="n">
        <f aca="true">IF(($H154=0),0,$D$4+$D$5*(RAND()-0.5))</f>
        <v>0</v>
      </c>
      <c r="M154" s="38" t="n">
        <f aca="false">L154+MAX(D154,M153)</f>
        <v>176.561882906264</v>
      </c>
      <c r="N154" s="38" t="n">
        <f aca="false">IF((H154=1),M154-D154,0)</f>
        <v>0</v>
      </c>
      <c r="O154" s="16" t="n">
        <v>137</v>
      </c>
      <c r="P154" s="41" t="n">
        <f aca="false">IF((Arterial=0),P153+1,P153)</f>
        <v>61</v>
      </c>
      <c r="Q154" s="41" t="n">
        <f aca="false">IF((Arterial=1),Q153+1,Q153)</f>
        <v>76</v>
      </c>
      <c r="R154" s="42" t="e">
        <f aca="false">IF((RESET=1),0,R154+K154)</f>
        <v>#N/A</v>
      </c>
      <c r="S154" s="14" t="n">
        <f aca="false">IF(RESET=1,0,S154+N154)</f>
        <v>456.441273513395</v>
      </c>
      <c r="T154" s="2" t="e">
        <f aca="false">IF(RESET=1,0,T154+IF(H154=0,1,0))</f>
        <v>#N/A</v>
      </c>
      <c r="U154" s="2" t="n">
        <f aca="false">IF(RESET=1,0,U154+H154)</f>
        <v>41</v>
      </c>
      <c r="V154" s="14" t="e">
        <f aca="false">R154/(T154+0.00001)</f>
        <v>#N/A</v>
      </c>
      <c r="W154" s="14" t="n">
        <f aca="false">S154/(U154+0.0001)</f>
        <v>11.1326868352369</v>
      </c>
      <c r="X154" s="39" t="n">
        <f aca="false">IF(Informed=1,K154,0)</f>
        <v>6.21480788235783</v>
      </c>
      <c r="Y154" s="39" t="n">
        <f aca="false">IF(Informed=0,K154,0)</f>
        <v>0</v>
      </c>
      <c r="Z154" s="39" t="n">
        <f aca="false">IF(Informed=1,N154,0)</f>
        <v>0</v>
      </c>
      <c r="AA154" s="39" t="n">
        <f aca="false">IF(Informed=0,N154,0)</f>
        <v>0</v>
      </c>
      <c r="AB154" s="43" t="n">
        <f aca="false">IF(Arterial=0,IF(Informed=1,1,0),0)</f>
        <v>1</v>
      </c>
      <c r="AC154" s="43" t="n">
        <f aca="false">IF(Arterial=0,IF(Informed=0,1,0),0)</f>
        <v>0</v>
      </c>
      <c r="AD154" s="43" t="n">
        <f aca="false">IF(Arterial=1,IF(Informed=1,1,0),0)</f>
        <v>0</v>
      </c>
      <c r="AE154" s="43" t="n">
        <f aca="false">IF(Arterial=1,IF(Informed=0,1,0),0)</f>
        <v>0</v>
      </c>
      <c r="AF154" s="35" t="n">
        <f aca="false">IF(AB154=1,(X154-G$1030)^2,0)</f>
        <v>20.2038595479961</v>
      </c>
      <c r="AG154" s="35" t="n">
        <f aca="false">IF(AC154=1,(Y154-H$1030)^2,0)</f>
        <v>0</v>
      </c>
      <c r="AH154" s="35" t="n">
        <f aca="false">IF(AD154=1,(Z154-I$1030)^2,0)</f>
        <v>0</v>
      </c>
      <c r="AI154" s="35" t="n">
        <f aca="false">IF(AE154=1,(AA154-J$1030)^2,0)</f>
        <v>0</v>
      </c>
      <c r="AJ154" s="37" t="n">
        <f aca="true">IF(RAND()&lt;$D$6,1,0)</f>
        <v>0</v>
      </c>
      <c r="AK154" s="14" t="n">
        <f aca="false">AK153+IF((AJ154=1),IF((H154=0),1,0),0)</f>
        <v>0</v>
      </c>
      <c r="AL154" s="14" t="n">
        <f aca="false">AL153+IF((AJ154=1),IF((H154=1),1,0),0)</f>
        <v>0</v>
      </c>
      <c r="AM154" s="37" t="n">
        <f aca="false">IF(AK154=0,9999,IF($H154=0,IF($AJ154&lt;1,AM153+1,0),AM153))</f>
        <v>9999</v>
      </c>
      <c r="AN154" s="37" t="n">
        <f aca="false">IF(AL154=0,9999,IF($H154=1,IF($AJ154&lt;1,AN153+1,0),AN153))</f>
        <v>9999</v>
      </c>
      <c r="AO154" s="37" t="n">
        <f aca="false">IF($A154-AM154&gt;0,1/(1+AM154),0)</f>
        <v>0</v>
      </c>
      <c r="AP154" s="37" t="n">
        <f aca="false">IF($A154-AN154&gt;0,1/(1+AN154),0)</f>
        <v>0</v>
      </c>
      <c r="AQ154" s="7" t="n">
        <f aca="false">IF(AK154=0,0,MAX(MIN(1,AO154^Power),0))</f>
        <v>0</v>
      </c>
      <c r="AR154" s="7" t="n">
        <f aca="false">IF(AL154=0,0,MAX(MIN(1,AP154^Power),0))</f>
        <v>0</v>
      </c>
      <c r="AS154" s="7" t="n">
        <f aca="false">IF($AJ154=1,IF($H154=0,K154,AS153),AS153)</f>
        <v>0</v>
      </c>
      <c r="AT154" s="7" t="n">
        <f aca="false">IF($AJ154=1,IF($H154=1,N154,AT153),AT153)</f>
        <v>0</v>
      </c>
    </row>
    <row r="155" customFormat="false" ht="13" hidden="false" customHeight="false" outlineLevel="0" collapsed="false">
      <c r="A155" s="16" t="n">
        <v>138</v>
      </c>
      <c r="B155" s="37" t="n">
        <f aca="true">IF(RAND()&lt;$D$8,1,0)</f>
        <v>1</v>
      </c>
      <c r="C155" s="20" t="n">
        <f aca="true">-LN(RAND())/$D$2</f>
        <v>0.0825875351302714</v>
      </c>
      <c r="D155" s="38" t="n">
        <f aca="false">D154+C155</f>
        <v>167.761568206665</v>
      </c>
      <c r="E155" s="39" t="n">
        <f aca="false">MAX($E$3,AS154)</f>
        <v>0</v>
      </c>
      <c r="F155" s="39" t="n">
        <f aca="false">MAX($E$3,AT154)</f>
        <v>0</v>
      </c>
      <c r="G155" s="40" t="n">
        <v>0.5</v>
      </c>
      <c r="H155" s="38" t="n">
        <f aca="true">IF((B155=1),(IF((F155&lt;E155),1,(IF((F155=E155),(IF(RAND()&lt;G155,1,0)),0)))),(IF((RAND()&lt;G155),1,0)))</f>
        <v>0</v>
      </c>
      <c r="I155" s="38" t="n">
        <f aca="true">IF((H155=1),0,$D$3+$D$5*(RAND()-0.5))</f>
        <v>2.00291418693567</v>
      </c>
      <c r="J155" s="38" t="n">
        <f aca="false">I155+MAX(D155,J154)</f>
        <v>175.896702740829</v>
      </c>
      <c r="K155" s="38" t="n">
        <f aca="false">IF((H155=0),J155-D155,0)</f>
        <v>8.13513453416323</v>
      </c>
      <c r="L155" s="38" t="n">
        <f aca="true">IF(($H155=0),0,$D$4+$D$5*(RAND()-0.5))</f>
        <v>0</v>
      </c>
      <c r="M155" s="38" t="n">
        <f aca="false">L155+MAX(D155,M154)</f>
        <v>176.561882906264</v>
      </c>
      <c r="N155" s="38" t="n">
        <f aca="false">IF((H155=1),M155-D155,0)</f>
        <v>0</v>
      </c>
      <c r="O155" s="16" t="n">
        <v>138</v>
      </c>
      <c r="P155" s="41" t="n">
        <f aca="false">IF((Arterial=0),P154+1,P154)</f>
        <v>62</v>
      </c>
      <c r="Q155" s="41" t="n">
        <f aca="false">IF((Arterial=1),Q154+1,Q154)</f>
        <v>76</v>
      </c>
      <c r="R155" s="42" t="e">
        <f aca="false">IF((RESET=1),0,R155+K155)</f>
        <v>#N/A</v>
      </c>
      <c r="S155" s="14" t="n">
        <f aca="false">IF(RESET=1,0,S155+N155)</f>
        <v>502.427830643257</v>
      </c>
      <c r="T155" s="2" t="e">
        <f aca="false">IF(RESET=1,0,T155+IF(H155=0,1,0))</f>
        <v>#N/A</v>
      </c>
      <c r="U155" s="2" t="n">
        <f aca="false">IF(RESET=1,0,U155+H155)</f>
        <v>41</v>
      </c>
      <c r="V155" s="14" t="e">
        <f aca="false">R155/(T155+0.00001)</f>
        <v>#N/A</v>
      </c>
      <c r="W155" s="14" t="n">
        <f aca="false">S155/(U155+0.0001)</f>
        <v>12.2543074442076</v>
      </c>
      <c r="X155" s="39" t="n">
        <f aca="false">IF(Informed=1,K155,0)</f>
        <v>8.13513453416323</v>
      </c>
      <c r="Y155" s="39" t="n">
        <f aca="false">IF(Informed=0,K155,0)</f>
        <v>0</v>
      </c>
      <c r="Z155" s="39" t="n">
        <f aca="false">IF(Informed=1,N155,0)</f>
        <v>0</v>
      </c>
      <c r="AA155" s="39" t="n">
        <f aca="false">IF(Informed=0,N155,0)</f>
        <v>0</v>
      </c>
      <c r="AB155" s="43" t="n">
        <f aca="false">IF(Arterial=0,IF(Informed=1,1,0),0)</f>
        <v>1</v>
      </c>
      <c r="AC155" s="43" t="n">
        <f aca="false">IF(Arterial=0,IF(Informed=0,1,0),0)</f>
        <v>0</v>
      </c>
      <c r="AD155" s="43" t="n">
        <f aca="false">IF(Arterial=1,IF(Informed=1,1,0),0)</f>
        <v>0</v>
      </c>
      <c r="AE155" s="43" t="n">
        <f aca="false">IF(Arterial=1,IF(Informed=0,1,0),0)</f>
        <v>0</v>
      </c>
      <c r="AF155" s="35" t="n">
        <f aca="false">IF(AB155=1,(X155-G$1030)^2,0)</f>
        <v>6.62827530242002</v>
      </c>
      <c r="AG155" s="35" t="n">
        <f aca="false">IF(AC155=1,(Y155-H$1030)^2,0)</f>
        <v>0</v>
      </c>
      <c r="AH155" s="35" t="n">
        <f aca="false">IF(AD155=1,(Z155-I$1030)^2,0)</f>
        <v>0</v>
      </c>
      <c r="AI155" s="35" t="n">
        <f aca="false">IF(AE155=1,(AA155-J$1030)^2,0)</f>
        <v>0</v>
      </c>
      <c r="AJ155" s="37" t="n">
        <f aca="true">IF(RAND()&lt;$D$6,1,0)</f>
        <v>0</v>
      </c>
      <c r="AK155" s="14" t="n">
        <f aca="false">AK154+IF((AJ155=1),IF((H155=0),1,0),0)</f>
        <v>0</v>
      </c>
      <c r="AL155" s="14" t="n">
        <f aca="false">AL154+IF((AJ155=1),IF((H155=1),1,0),0)</f>
        <v>0</v>
      </c>
      <c r="AM155" s="37" t="n">
        <f aca="false">IF(AK155=0,9999,IF($H155=0,IF($AJ155&lt;1,AM154+1,0),AM154))</f>
        <v>9999</v>
      </c>
      <c r="AN155" s="37" t="n">
        <f aca="false">IF(AL155=0,9999,IF($H155=1,IF($AJ155&lt;1,AN154+1,0),AN154))</f>
        <v>9999</v>
      </c>
      <c r="AO155" s="37" t="n">
        <f aca="false">IF($A155-AM155&gt;0,1/(1+AM155),0)</f>
        <v>0</v>
      </c>
      <c r="AP155" s="37" t="n">
        <f aca="false">IF($A155-AN155&gt;0,1/(1+AN155),0)</f>
        <v>0</v>
      </c>
      <c r="AQ155" s="7" t="n">
        <f aca="false">IF(AK155=0,0,MAX(MIN(1,AO155^Power),0))</f>
        <v>0</v>
      </c>
      <c r="AR155" s="7" t="n">
        <f aca="false">IF(AL155=0,0,MAX(MIN(1,AP155^Power),0))</f>
        <v>0</v>
      </c>
      <c r="AS155" s="7" t="n">
        <f aca="false">IF($AJ155=1,IF($H155=0,K155,AS154),AS154)</f>
        <v>0</v>
      </c>
      <c r="AT155" s="7" t="n">
        <f aca="false">IF($AJ155=1,IF($H155=1,N155,AT154),AT154)</f>
        <v>0</v>
      </c>
    </row>
    <row r="156" customFormat="false" ht="13" hidden="false" customHeight="false" outlineLevel="0" collapsed="false">
      <c r="A156" s="16" t="n">
        <v>139</v>
      </c>
      <c r="B156" s="37" t="n">
        <f aca="true">IF(RAND()&lt;$D$8,1,0)</f>
        <v>0</v>
      </c>
      <c r="C156" s="20" t="n">
        <f aca="true">-LN(RAND())/$D$2</f>
        <v>0.652894732822697</v>
      </c>
      <c r="D156" s="38" t="n">
        <f aca="false">D155+C156</f>
        <v>168.414462939488</v>
      </c>
      <c r="E156" s="39" t="n">
        <f aca="false">MAX($E$3,AS155)</f>
        <v>0</v>
      </c>
      <c r="F156" s="39" t="n">
        <f aca="false">MAX($E$3,AT155)</f>
        <v>0</v>
      </c>
      <c r="G156" s="40" t="n">
        <v>0.5</v>
      </c>
      <c r="H156" s="38" t="n">
        <f aca="true">IF((B156=1),(IF((F156&lt;E156),1,(IF((F156=E156),(IF(RAND()&lt;G156,1,0)),0)))),(IF((RAND()&lt;G156),1,0)))</f>
        <v>1</v>
      </c>
      <c r="I156" s="38" t="n">
        <f aca="true">IF((H156=1),0,$D$3+$D$5*(RAND()-0.5))</f>
        <v>0</v>
      </c>
      <c r="J156" s="38" t="n">
        <f aca="false">I156+MAX(D156,J155)</f>
        <v>175.896702740829</v>
      </c>
      <c r="K156" s="38" t="n">
        <f aca="false">IF((H156=0),J156-D156,0)</f>
        <v>0</v>
      </c>
      <c r="L156" s="38" t="n">
        <f aca="true">IF(($H156=0),0,$D$4+$D$5*(RAND()-0.5))</f>
        <v>1.83524420371591</v>
      </c>
      <c r="M156" s="38" t="n">
        <f aca="false">L156+MAX(D156,M155)</f>
        <v>178.39712710998</v>
      </c>
      <c r="N156" s="38" t="n">
        <f aca="false">IF((H156=1),M156-D156,0)</f>
        <v>9.98266417049231</v>
      </c>
      <c r="O156" s="16" t="n">
        <v>139</v>
      </c>
      <c r="P156" s="41" t="n">
        <f aca="false">IF((Arterial=0),P155+1,P155)</f>
        <v>62</v>
      </c>
      <c r="Q156" s="41" t="n">
        <f aca="false">IF((Arterial=1),Q155+1,Q155)</f>
        <v>77</v>
      </c>
      <c r="R156" s="42" t="n">
        <f aca="false">IF((RESET=1),0,R156+K156)</f>
        <v>504.150754143811</v>
      </c>
      <c r="S156" s="14" t="e">
        <f aca="false">IF(RESET=1,0,S156+N156)</f>
        <v>#N/A</v>
      </c>
      <c r="T156" s="2" t="n">
        <f aca="false">IF(RESET=1,0,T156+IF(H156=0,1,0))</f>
        <v>43</v>
      </c>
      <c r="U156" s="2" t="e">
        <f aca="false">IF(RESET=1,0,U156+H156)</f>
        <v>#N/A</v>
      </c>
      <c r="V156" s="14" t="n">
        <f aca="false">R156/(T156+0.00001)</f>
        <v>11.7244334162669</v>
      </c>
      <c r="W156" s="14" t="e">
        <f aca="false">S156/(U156+0.0001)</f>
        <v>#N/A</v>
      </c>
      <c r="X156" s="39" t="n">
        <f aca="false">IF(Informed=1,K156,0)</f>
        <v>0</v>
      </c>
      <c r="Y156" s="39" t="n">
        <f aca="false">IF(Informed=0,K156,0)</f>
        <v>0</v>
      </c>
      <c r="Z156" s="39" t="n">
        <f aca="false">IF(Informed=1,N156,0)</f>
        <v>0</v>
      </c>
      <c r="AA156" s="39" t="n">
        <f aca="false">IF(Informed=0,N156,0)</f>
        <v>9.98266417049231</v>
      </c>
      <c r="AB156" s="43" t="n">
        <f aca="false">IF(Arterial=0,IF(Informed=1,1,0),0)</f>
        <v>0</v>
      </c>
      <c r="AC156" s="43" t="n">
        <f aca="false">IF(Arterial=0,IF(Informed=0,1,0),0)</f>
        <v>0</v>
      </c>
      <c r="AD156" s="43" t="n">
        <f aca="false">IF(Arterial=1,IF(Informed=1,1,0),0)</f>
        <v>0</v>
      </c>
      <c r="AE156" s="43" t="n">
        <f aca="false">IF(Arterial=1,IF(Informed=0,1,0),0)</f>
        <v>1</v>
      </c>
      <c r="AF156" s="35" t="n">
        <f aca="false">IF(AB156=1,(X156-G$1030)^2,0)</f>
        <v>0</v>
      </c>
      <c r="AG156" s="35" t="n">
        <f aca="false">IF(AC156=1,(Y156-H$1030)^2,0)</f>
        <v>0</v>
      </c>
      <c r="AH156" s="35" t="n">
        <f aca="false">IF(AD156=1,(Z156-I$1030)^2,0)</f>
        <v>0</v>
      </c>
      <c r="AI156" s="35" t="n">
        <f aca="false">IF(AE156=1,(AA156-J$1030)^2,0)</f>
        <v>383.439482295103</v>
      </c>
      <c r="AJ156" s="37" t="n">
        <f aca="true">IF(RAND()&lt;$D$6,1,0)</f>
        <v>0</v>
      </c>
      <c r="AK156" s="14" t="n">
        <f aca="false">AK155+IF((AJ156=1),IF((H156=0),1,0),0)</f>
        <v>0</v>
      </c>
      <c r="AL156" s="14" t="n">
        <f aca="false">AL155+IF((AJ156=1),IF((H156=1),1,0),0)</f>
        <v>0</v>
      </c>
      <c r="AM156" s="37" t="n">
        <f aca="false">IF(AK156=0,9999,IF($H156=0,IF($AJ156&lt;1,AM155+1,0),AM155))</f>
        <v>9999</v>
      </c>
      <c r="AN156" s="37" t="n">
        <f aca="false">IF(AL156=0,9999,IF($H156=1,IF($AJ156&lt;1,AN155+1,0),AN155))</f>
        <v>9999</v>
      </c>
      <c r="AO156" s="37" t="n">
        <f aca="false">IF($A156-AM156&gt;0,1/(1+AM156),0)</f>
        <v>0</v>
      </c>
      <c r="AP156" s="37" t="n">
        <f aca="false">IF($A156-AN156&gt;0,1/(1+AN156),0)</f>
        <v>0</v>
      </c>
      <c r="AQ156" s="7" t="n">
        <f aca="false">IF(AK156=0,0,MAX(MIN(1,AO156^Power),0))</f>
        <v>0</v>
      </c>
      <c r="AR156" s="7" t="n">
        <f aca="false">IF(AL156=0,0,MAX(MIN(1,AP156^Power),0))</f>
        <v>0</v>
      </c>
      <c r="AS156" s="7" t="n">
        <f aca="false">IF($AJ156=1,IF($H156=0,K156,AS155),AS155)</f>
        <v>0</v>
      </c>
      <c r="AT156" s="7" t="n">
        <f aca="false">IF($AJ156=1,IF($H156=1,N156,AT155),AT155)</f>
        <v>0</v>
      </c>
    </row>
    <row r="157" customFormat="false" ht="13" hidden="false" customHeight="false" outlineLevel="0" collapsed="false">
      <c r="A157" s="16" t="n">
        <v>140</v>
      </c>
      <c r="B157" s="37" t="n">
        <f aca="true">IF(RAND()&lt;$D$8,1,0)</f>
        <v>0</v>
      </c>
      <c r="C157" s="20" t="n">
        <f aca="true">-LN(RAND())/$D$2</f>
        <v>1.97741362567993</v>
      </c>
      <c r="D157" s="38" t="n">
        <f aca="false">D156+C157</f>
        <v>170.391876565168</v>
      </c>
      <c r="E157" s="39" t="n">
        <f aca="false">MAX($E$3,AS156)</f>
        <v>0</v>
      </c>
      <c r="F157" s="39" t="n">
        <f aca="false">MAX($E$3,AT156)</f>
        <v>0</v>
      </c>
      <c r="G157" s="40" t="n">
        <v>0.5</v>
      </c>
      <c r="H157" s="38" t="n">
        <f aca="true">IF((B157=1),(IF((F157&lt;E157),1,(IF((F157=E157),(IF(RAND()&lt;G157,1,0)),0)))),(IF((RAND()&lt;G157),1,0)))</f>
        <v>0</v>
      </c>
      <c r="I157" s="38" t="n">
        <f aca="true">IF((H157=1),0,$D$3+$D$5*(RAND()-0.5))</f>
        <v>1.95666316425304</v>
      </c>
      <c r="J157" s="38" t="n">
        <f aca="false">I157+MAX(D157,J156)</f>
        <v>177.853365905082</v>
      </c>
      <c r="K157" s="38" t="n">
        <f aca="false">IF((H157=0),J157-D157,0)</f>
        <v>7.46148933991367</v>
      </c>
      <c r="L157" s="38" t="n">
        <f aca="true">IF(($H157=0),0,$D$4+$D$5*(RAND()-0.5))</f>
        <v>0</v>
      </c>
      <c r="M157" s="38" t="n">
        <f aca="false">L157+MAX(D157,M156)</f>
        <v>178.39712710998</v>
      </c>
      <c r="N157" s="38" t="n">
        <f aca="false">IF((H157=1),M157-D157,0)</f>
        <v>0</v>
      </c>
      <c r="O157" s="16" t="n">
        <v>140</v>
      </c>
      <c r="P157" s="41" t="n">
        <f aca="false">IF((Arterial=0),P156+1,P156)</f>
        <v>63</v>
      </c>
      <c r="Q157" s="41" t="n">
        <f aca="false">IF((Arterial=1),Q156+1,Q156)</f>
        <v>77</v>
      </c>
      <c r="R157" s="42" t="e">
        <f aca="false">IF((RESET=1),0,R157+K157)</f>
        <v>#N/A</v>
      </c>
      <c r="S157" s="14" t="n">
        <f aca="false">IF(RESET=1,0,S157+N157)</f>
        <v>403.243508770673</v>
      </c>
      <c r="T157" s="2" t="e">
        <f aca="false">IF(RESET=1,0,T157+IF(H157=0,1,0))</f>
        <v>#N/A</v>
      </c>
      <c r="U157" s="2" t="n">
        <f aca="false">IF(RESET=1,0,U157+H157)</f>
        <v>35</v>
      </c>
      <c r="V157" s="14" t="e">
        <f aca="false">R157/(T157+0.00001)</f>
        <v>#N/A</v>
      </c>
      <c r="W157" s="14" t="n">
        <f aca="false">S157/(U157+0.0001)</f>
        <v>11.5212101899901</v>
      </c>
      <c r="X157" s="39" t="n">
        <f aca="false">IF(Informed=1,K157,0)</f>
        <v>0</v>
      </c>
      <c r="Y157" s="39" t="n">
        <f aca="false">IF(Informed=0,K157,0)</f>
        <v>7.46148933991367</v>
      </c>
      <c r="Z157" s="39" t="n">
        <f aca="false">IF(Informed=1,N157,0)</f>
        <v>0</v>
      </c>
      <c r="AA157" s="39" t="n">
        <f aca="false">IF(Informed=0,N157,0)</f>
        <v>0</v>
      </c>
      <c r="AB157" s="43" t="n">
        <f aca="false">IF(Arterial=0,IF(Informed=1,1,0),0)</f>
        <v>0</v>
      </c>
      <c r="AC157" s="43" t="n">
        <f aca="false">IF(Arterial=0,IF(Informed=0,1,0),0)</f>
        <v>1</v>
      </c>
      <c r="AD157" s="43" t="n">
        <f aca="false">IF(Arterial=1,IF(Informed=1,1,0),0)</f>
        <v>0</v>
      </c>
      <c r="AE157" s="43" t="n">
        <f aca="false">IF(Arterial=1,IF(Informed=0,1,0),0)</f>
        <v>0</v>
      </c>
      <c r="AF157" s="35" t="n">
        <f aca="false">IF(AB157=1,(X157-G$1030)^2,0)</f>
        <v>0</v>
      </c>
      <c r="AG157" s="35" t="n">
        <f aca="false">IF(AC157=1,(Y157-H$1030)^2,0)</f>
        <v>11.9874929739854</v>
      </c>
      <c r="AH157" s="35" t="n">
        <f aca="false">IF(AD157=1,(Z157-I$1030)^2,0)</f>
        <v>0</v>
      </c>
      <c r="AI157" s="35" t="n">
        <f aca="false">IF(AE157=1,(AA157-J$1030)^2,0)</f>
        <v>0</v>
      </c>
      <c r="AJ157" s="37" t="n">
        <f aca="true">IF(RAND()&lt;$D$6,1,0)</f>
        <v>0</v>
      </c>
      <c r="AK157" s="14" t="n">
        <f aca="false">AK156+IF((AJ157=1),IF((H157=0),1,0),0)</f>
        <v>0</v>
      </c>
      <c r="AL157" s="14" t="n">
        <f aca="false">AL156+IF((AJ157=1),IF((H157=1),1,0),0)</f>
        <v>0</v>
      </c>
      <c r="AM157" s="37" t="n">
        <f aca="false">IF(AK157=0,9999,IF($H157=0,IF($AJ157&lt;1,AM156+1,0),AM156))</f>
        <v>9999</v>
      </c>
      <c r="AN157" s="37" t="n">
        <f aca="false">IF(AL157=0,9999,IF($H157=1,IF($AJ157&lt;1,AN156+1,0),AN156))</f>
        <v>9999</v>
      </c>
      <c r="AO157" s="37" t="n">
        <f aca="false">IF($A157-AM157&gt;0,1/(1+AM157),0)</f>
        <v>0</v>
      </c>
      <c r="AP157" s="37" t="n">
        <f aca="false">IF($A157-AN157&gt;0,1/(1+AN157),0)</f>
        <v>0</v>
      </c>
      <c r="AQ157" s="7" t="n">
        <f aca="false">IF(AK157=0,0,MAX(MIN(1,AO157^Power),0))</f>
        <v>0</v>
      </c>
      <c r="AR157" s="7" t="n">
        <f aca="false">IF(AL157=0,0,MAX(MIN(1,AP157^Power),0))</f>
        <v>0</v>
      </c>
      <c r="AS157" s="7" t="n">
        <f aca="false">IF($AJ157=1,IF($H157=0,K157,AS156),AS156)</f>
        <v>0</v>
      </c>
      <c r="AT157" s="7" t="n">
        <f aca="false">IF($AJ157=1,IF($H157=1,N157,AT156),AT156)</f>
        <v>0</v>
      </c>
    </row>
    <row r="158" customFormat="false" ht="13" hidden="false" customHeight="false" outlineLevel="0" collapsed="false">
      <c r="A158" s="16" t="n">
        <v>141</v>
      </c>
      <c r="B158" s="37" t="n">
        <f aca="true">IF(RAND()&lt;$D$8,1,0)</f>
        <v>1</v>
      </c>
      <c r="C158" s="20" t="n">
        <f aca="true">-LN(RAND())/$D$2</f>
        <v>0.638761151889925</v>
      </c>
      <c r="D158" s="38" t="n">
        <f aca="false">D157+C158</f>
        <v>171.030637717058</v>
      </c>
      <c r="E158" s="39" t="n">
        <f aca="false">MAX($E$3,AS157)</f>
        <v>0</v>
      </c>
      <c r="F158" s="39" t="n">
        <f aca="false">MAX($E$3,AT157)</f>
        <v>0</v>
      </c>
      <c r="G158" s="40" t="n">
        <v>0.5</v>
      </c>
      <c r="H158" s="38" t="n">
        <f aca="true">IF((B158=1),(IF((F158&lt;E158),1,(IF((F158=E158),(IF(RAND()&lt;G158,1,0)),0)))),(IF((RAND()&lt;G158),1,0)))</f>
        <v>1</v>
      </c>
      <c r="I158" s="38" t="n">
        <f aca="true">IF((H158=1),0,$D$3+$D$5*(RAND()-0.5))</f>
        <v>0</v>
      </c>
      <c r="J158" s="38" t="n">
        <f aca="false">I158+MAX(D158,J157)</f>
        <v>177.853365905082</v>
      </c>
      <c r="K158" s="38" t="n">
        <f aca="false">IF((H158=0),J158-D158,0)</f>
        <v>0</v>
      </c>
      <c r="L158" s="38" t="n">
        <f aca="true">IF(($H158=0),0,$D$4+$D$5*(RAND()-0.5))</f>
        <v>2.01374297244257</v>
      </c>
      <c r="M158" s="38" t="n">
        <f aca="false">L158+MAX(D158,M157)</f>
        <v>180.410870082423</v>
      </c>
      <c r="N158" s="38" t="n">
        <f aca="false">IF((H158=1),M158-D158,0)</f>
        <v>9.38023236536503</v>
      </c>
      <c r="O158" s="16" t="n">
        <v>141</v>
      </c>
      <c r="P158" s="41" t="n">
        <f aca="false">IF((Arterial=0),P157+1,P157)</f>
        <v>63</v>
      </c>
      <c r="Q158" s="41" t="n">
        <f aca="false">IF((Arterial=1),Q157+1,Q157)</f>
        <v>78</v>
      </c>
      <c r="R158" s="42" t="n">
        <f aca="false">IF((RESET=1),0,R158+K158)</f>
        <v>456.006859150952</v>
      </c>
      <c r="S158" s="14" t="e">
        <f aca="false">IF(RESET=1,0,S158+N158)</f>
        <v>#N/A</v>
      </c>
      <c r="T158" s="2" t="n">
        <f aca="false">IF(RESET=1,0,T158+IF(H158=0,1,0))</f>
        <v>35</v>
      </c>
      <c r="U158" s="2" t="e">
        <f aca="false">IF(RESET=1,0,U158+H158)</f>
        <v>#N/A</v>
      </c>
      <c r="V158" s="14" t="n">
        <f aca="false">R158/(T158+0.00001)</f>
        <v>13.028763681809</v>
      </c>
      <c r="W158" s="14" t="e">
        <f aca="false">S158/(U158+0.0001)</f>
        <v>#N/A</v>
      </c>
      <c r="X158" s="39" t="n">
        <f aca="false">IF(Informed=1,K158,0)</f>
        <v>0</v>
      </c>
      <c r="Y158" s="39" t="n">
        <f aca="false">IF(Informed=0,K158,0)</f>
        <v>0</v>
      </c>
      <c r="Z158" s="39" t="n">
        <f aca="false">IF(Informed=1,N158,0)</f>
        <v>9.38023236536503</v>
      </c>
      <c r="AA158" s="39" t="n">
        <f aca="false">IF(Informed=0,N158,0)</f>
        <v>0</v>
      </c>
      <c r="AB158" s="43" t="n">
        <f aca="false">IF(Arterial=0,IF(Informed=1,1,0),0)</f>
        <v>0</v>
      </c>
      <c r="AC158" s="43" t="n">
        <f aca="false">IF(Arterial=0,IF(Informed=0,1,0),0)</f>
        <v>0</v>
      </c>
      <c r="AD158" s="43" t="n">
        <f aca="false">IF(Arterial=1,IF(Informed=1,1,0),0)</f>
        <v>1</v>
      </c>
      <c r="AE158" s="43" t="n">
        <f aca="false">IF(Arterial=1,IF(Informed=0,1,0),0)</f>
        <v>0</v>
      </c>
      <c r="AF158" s="35" t="n">
        <f aca="false">IF(AB158=1,(X158-G$1030)^2,0)</f>
        <v>0</v>
      </c>
      <c r="AG158" s="35" t="n">
        <f aca="false">IF(AC158=1,(Y158-H$1030)^2,0)</f>
        <v>0</v>
      </c>
      <c r="AH158" s="35" t="n">
        <f aca="false">IF(AD158=1,(Z158-I$1030)^2,0)</f>
        <v>360.794921392883</v>
      </c>
      <c r="AI158" s="35" t="n">
        <f aca="false">IF(AE158=1,(AA158-J$1030)^2,0)</f>
        <v>0</v>
      </c>
      <c r="AJ158" s="37" t="n">
        <f aca="true">IF(RAND()&lt;$D$6,1,0)</f>
        <v>0</v>
      </c>
      <c r="AK158" s="14" t="n">
        <f aca="false">AK157+IF((AJ158=1),IF((H158=0),1,0),0)</f>
        <v>0</v>
      </c>
      <c r="AL158" s="14" t="n">
        <f aca="false">AL157+IF((AJ158=1),IF((H158=1),1,0),0)</f>
        <v>0</v>
      </c>
      <c r="AM158" s="37" t="n">
        <f aca="false">IF(AK158=0,9999,IF($H158=0,IF($AJ158&lt;1,AM157+1,0),AM157))</f>
        <v>9999</v>
      </c>
      <c r="AN158" s="37" t="n">
        <f aca="false">IF(AL158=0,9999,IF($H158=1,IF($AJ158&lt;1,AN157+1,0),AN157))</f>
        <v>9999</v>
      </c>
      <c r="AO158" s="37" t="n">
        <f aca="false">IF($A158-AM158&gt;0,1/(1+AM158),0)</f>
        <v>0</v>
      </c>
      <c r="AP158" s="37" t="n">
        <f aca="false">IF($A158-AN158&gt;0,1/(1+AN158),0)</f>
        <v>0</v>
      </c>
      <c r="AQ158" s="7" t="n">
        <f aca="false">IF(AK158=0,0,MAX(MIN(1,AO158^Power),0))</f>
        <v>0</v>
      </c>
      <c r="AR158" s="7" t="n">
        <f aca="false">IF(AL158=0,0,MAX(MIN(1,AP158^Power),0))</f>
        <v>0</v>
      </c>
      <c r="AS158" s="7" t="n">
        <f aca="false">IF($AJ158=1,IF($H158=0,K158,AS157),AS157)</f>
        <v>0</v>
      </c>
      <c r="AT158" s="7" t="n">
        <f aca="false">IF($AJ158=1,IF($H158=1,N158,AT157),AT157)</f>
        <v>0</v>
      </c>
    </row>
    <row r="159" customFormat="false" ht="13" hidden="false" customHeight="false" outlineLevel="0" collapsed="false">
      <c r="A159" s="16" t="n">
        <v>142</v>
      </c>
      <c r="B159" s="37" t="n">
        <f aca="true">IF(RAND()&lt;$D$8,1,0)</f>
        <v>0</v>
      </c>
      <c r="C159" s="20" t="n">
        <f aca="true">-LN(RAND())/$D$2</f>
        <v>1.52601772358625</v>
      </c>
      <c r="D159" s="38" t="n">
        <f aca="false">D158+C159</f>
        <v>172.556655440644</v>
      </c>
      <c r="E159" s="39" t="n">
        <f aca="false">MAX($E$3,AS158)</f>
        <v>0</v>
      </c>
      <c r="F159" s="39" t="n">
        <f aca="false">MAX($E$3,AT158)</f>
        <v>0</v>
      </c>
      <c r="G159" s="40" t="n">
        <v>0.5</v>
      </c>
      <c r="H159" s="38" t="n">
        <f aca="true">IF((B159=1),(IF((F159&lt;E159),1,(IF((F159=E159),(IF(RAND()&lt;G159,1,0)),0)))),(IF((RAND()&lt;G159),1,0)))</f>
        <v>0</v>
      </c>
      <c r="I159" s="38" t="n">
        <f aca="true">IF((H159=1),0,$D$3+$D$5*(RAND()-0.5))</f>
        <v>1.95582312329976</v>
      </c>
      <c r="J159" s="38" t="n">
        <f aca="false">I159+MAX(D159,J158)</f>
        <v>179.809189028381</v>
      </c>
      <c r="K159" s="38" t="n">
        <f aca="false">IF((H159=0),J159-D159,0)</f>
        <v>7.25253358773725</v>
      </c>
      <c r="L159" s="38" t="n">
        <f aca="true">IF(($H159=0),0,$D$4+$D$5*(RAND()-0.5))</f>
        <v>0</v>
      </c>
      <c r="M159" s="38" t="n">
        <f aca="false">L159+MAX(D159,M158)</f>
        <v>180.410870082423</v>
      </c>
      <c r="N159" s="38" t="n">
        <f aca="false">IF((H159=1),M159-D159,0)</f>
        <v>0</v>
      </c>
      <c r="O159" s="16" t="n">
        <v>142</v>
      </c>
      <c r="P159" s="41" t="n">
        <f aca="false">IF((Arterial=0),P158+1,P158)</f>
        <v>64</v>
      </c>
      <c r="Q159" s="41" t="n">
        <f aca="false">IF((Arterial=1),Q158+1,Q158)</f>
        <v>78</v>
      </c>
      <c r="R159" s="42" t="e">
        <f aca="false">IF((RESET=1),0,R159+K159)</f>
        <v>#N/A</v>
      </c>
      <c r="S159" s="14" t="n">
        <f aca="false">IF(RESET=1,0,S159+N159)</f>
        <v>457.1753959365</v>
      </c>
      <c r="T159" s="2" t="e">
        <f aca="false">IF(RESET=1,0,T159+IF(H159=0,1,0))</f>
        <v>#N/A</v>
      </c>
      <c r="U159" s="2" t="n">
        <f aca="false">IF(RESET=1,0,U159+H159)</f>
        <v>37</v>
      </c>
      <c r="V159" s="14" t="e">
        <f aca="false">R159/(T159+0.00001)</f>
        <v>#N/A</v>
      </c>
      <c r="W159" s="14" t="n">
        <f aca="false">S159/(U159+0.0001)</f>
        <v>12.3560583873152</v>
      </c>
      <c r="X159" s="39" t="n">
        <f aca="false">IF(Informed=1,K159,0)</f>
        <v>0</v>
      </c>
      <c r="Y159" s="39" t="n">
        <f aca="false">IF(Informed=0,K159,0)</f>
        <v>7.25253358773725</v>
      </c>
      <c r="Z159" s="39" t="n">
        <f aca="false">IF(Informed=1,N159,0)</f>
        <v>0</v>
      </c>
      <c r="AA159" s="39" t="n">
        <f aca="false">IF(Informed=0,N159,0)</f>
        <v>0</v>
      </c>
      <c r="AB159" s="43" t="n">
        <f aca="false">IF(Arterial=0,IF(Informed=1,1,0),0)</f>
        <v>0</v>
      </c>
      <c r="AC159" s="43" t="n">
        <f aca="false">IF(Arterial=0,IF(Informed=0,1,0),0)</f>
        <v>1</v>
      </c>
      <c r="AD159" s="43" t="n">
        <f aca="false">IF(Arterial=1,IF(Informed=1,1,0),0)</f>
        <v>0</v>
      </c>
      <c r="AE159" s="43" t="n">
        <f aca="false">IF(Arterial=1,IF(Informed=0,1,0),0)</f>
        <v>0</v>
      </c>
      <c r="AF159" s="35" t="n">
        <f aca="false">IF(AB159=1,(X159-G$1030)^2,0)</f>
        <v>0</v>
      </c>
      <c r="AG159" s="35" t="n">
        <f aca="false">IF(AC159=1,(Y159-H$1030)^2,0)</f>
        <v>13.4780887729528</v>
      </c>
      <c r="AH159" s="35" t="n">
        <f aca="false">IF(AD159=1,(Z159-I$1030)^2,0)</f>
        <v>0</v>
      </c>
      <c r="AI159" s="35" t="n">
        <f aca="false">IF(AE159=1,(AA159-J$1030)^2,0)</f>
        <v>0</v>
      </c>
      <c r="AJ159" s="37" t="n">
        <f aca="true">IF(RAND()&lt;$D$6,1,0)</f>
        <v>0</v>
      </c>
      <c r="AK159" s="14" t="n">
        <f aca="false">AK158+IF((AJ159=1),IF((H159=0),1,0),0)</f>
        <v>0</v>
      </c>
      <c r="AL159" s="14" t="n">
        <f aca="false">AL158+IF((AJ159=1),IF((H159=1),1,0),0)</f>
        <v>0</v>
      </c>
      <c r="AM159" s="37" t="n">
        <f aca="false">IF(AK159=0,9999,IF($H159=0,IF($AJ159&lt;1,AM158+1,0),AM158))</f>
        <v>9999</v>
      </c>
      <c r="AN159" s="37" t="n">
        <f aca="false">IF(AL159=0,9999,IF($H159=1,IF($AJ159&lt;1,AN158+1,0),AN158))</f>
        <v>9999</v>
      </c>
      <c r="AO159" s="37" t="n">
        <f aca="false">IF($A159-AM159&gt;0,1/(1+AM159),0)</f>
        <v>0</v>
      </c>
      <c r="AP159" s="37" t="n">
        <f aca="false">IF($A159-AN159&gt;0,1/(1+AN159),0)</f>
        <v>0</v>
      </c>
      <c r="AQ159" s="7" t="n">
        <f aca="false">IF(AK159=0,0,MAX(MIN(1,AO159^Power),0))</f>
        <v>0</v>
      </c>
      <c r="AR159" s="7" t="n">
        <f aca="false">IF(AL159=0,0,MAX(MIN(1,AP159^Power),0))</f>
        <v>0</v>
      </c>
      <c r="AS159" s="7" t="n">
        <f aca="false">IF($AJ159=1,IF($H159=0,K159,AS158),AS158)</f>
        <v>0</v>
      </c>
      <c r="AT159" s="7" t="n">
        <f aca="false">IF($AJ159=1,IF($H159=1,N159,AT158),AT158)</f>
        <v>0</v>
      </c>
    </row>
    <row r="160" customFormat="false" ht="13" hidden="false" customHeight="false" outlineLevel="0" collapsed="false">
      <c r="A160" s="16" t="n">
        <v>143</v>
      </c>
      <c r="B160" s="37" t="n">
        <f aca="true">IF(RAND()&lt;$D$8,1,0)</f>
        <v>0</v>
      </c>
      <c r="C160" s="20" t="n">
        <f aca="true">-LN(RAND())/$D$2</f>
        <v>0.0359341925046283</v>
      </c>
      <c r="D160" s="38" t="n">
        <f aca="false">D159+C160</f>
        <v>172.592589633149</v>
      </c>
      <c r="E160" s="39" t="n">
        <f aca="false">MAX($E$3,AS159)</f>
        <v>0</v>
      </c>
      <c r="F160" s="39" t="n">
        <f aca="false">MAX($E$3,AT159)</f>
        <v>0</v>
      </c>
      <c r="G160" s="40" t="n">
        <v>0.5</v>
      </c>
      <c r="H160" s="38" t="n">
        <f aca="true">IF((B160=1),(IF((F160&lt;E160),1,(IF((F160=E160),(IF(RAND()&lt;G160,1,0)),0)))),(IF((RAND()&lt;G160),1,0)))</f>
        <v>1</v>
      </c>
      <c r="I160" s="38" t="n">
        <f aca="true">IF((H160=1),0,$D$3+$D$5*(RAND()-0.5))</f>
        <v>0</v>
      </c>
      <c r="J160" s="38" t="n">
        <f aca="false">I160+MAX(D160,J159)</f>
        <v>179.809189028381</v>
      </c>
      <c r="K160" s="38" t="n">
        <f aca="false">IF((H160=0),J160-D160,0)</f>
        <v>0</v>
      </c>
      <c r="L160" s="38" t="n">
        <f aca="true">IF(($H160=0),0,$D$4+$D$5*(RAND()-0.5))</f>
        <v>2.21591158065892</v>
      </c>
      <c r="M160" s="38" t="n">
        <f aca="false">L160+MAX(D160,M159)</f>
        <v>182.626781663082</v>
      </c>
      <c r="N160" s="38" t="n">
        <f aca="false">IF((H160=1),M160-D160,0)</f>
        <v>10.0341920299331</v>
      </c>
      <c r="O160" s="16" t="n">
        <v>143</v>
      </c>
      <c r="P160" s="41" t="n">
        <f aca="false">IF((Arterial=0),P159+1,P159)</f>
        <v>64</v>
      </c>
      <c r="Q160" s="41" t="n">
        <f aca="false">IF((Arterial=1),Q159+1,Q159)</f>
        <v>79</v>
      </c>
      <c r="R160" s="42" t="n">
        <f aca="false">IF((RESET=1),0,R160+K160)</f>
        <v>474.703225364523</v>
      </c>
      <c r="S160" s="14" t="e">
        <f aca="false">IF(RESET=1,0,S160+N160)</f>
        <v>#N/A</v>
      </c>
      <c r="T160" s="2" t="n">
        <f aca="false">IF(RESET=1,0,T160+IF(H160=0,1,0))</f>
        <v>40</v>
      </c>
      <c r="U160" s="2" t="e">
        <f aca="false">IF(RESET=1,0,U160+H160)</f>
        <v>#N/A</v>
      </c>
      <c r="V160" s="14" t="n">
        <f aca="false">R160/(T160+0.00001)</f>
        <v>11.8675776672187</v>
      </c>
      <c r="W160" s="14" t="e">
        <f aca="false">S160/(U160+0.0001)</f>
        <v>#N/A</v>
      </c>
      <c r="X160" s="39" t="n">
        <f aca="false">IF(Informed=1,K160,0)</f>
        <v>0</v>
      </c>
      <c r="Y160" s="39" t="n">
        <f aca="false">IF(Informed=0,K160,0)</f>
        <v>0</v>
      </c>
      <c r="Z160" s="39" t="n">
        <f aca="false">IF(Informed=1,N160,0)</f>
        <v>0</v>
      </c>
      <c r="AA160" s="39" t="n">
        <f aca="false">IF(Informed=0,N160,0)</f>
        <v>10.0341920299331</v>
      </c>
      <c r="AB160" s="43" t="n">
        <f aca="false">IF(Arterial=0,IF(Informed=1,1,0),0)</f>
        <v>0</v>
      </c>
      <c r="AC160" s="43" t="n">
        <f aca="false">IF(Arterial=0,IF(Informed=0,1,0),0)</f>
        <v>0</v>
      </c>
      <c r="AD160" s="43" t="n">
        <f aca="false">IF(Arterial=1,IF(Informed=1,1,0),0)</f>
        <v>0</v>
      </c>
      <c r="AE160" s="43" t="n">
        <f aca="false">IF(Arterial=1,IF(Informed=0,1,0),0)</f>
        <v>1</v>
      </c>
      <c r="AF160" s="35" t="n">
        <f aca="false">IF(AB160=1,(X160-G$1030)^2,0)</f>
        <v>0</v>
      </c>
      <c r="AG160" s="35" t="n">
        <f aca="false">IF(AC160=1,(Y160-H$1030)^2,0)</f>
        <v>0</v>
      </c>
      <c r="AH160" s="35" t="n">
        <f aca="false">IF(AD160=1,(Z160-I$1030)^2,0)</f>
        <v>0</v>
      </c>
      <c r="AI160" s="35" t="n">
        <f aca="false">IF(AE160=1,(AA160-J$1030)^2,0)</f>
        <v>381.424140435518</v>
      </c>
      <c r="AJ160" s="37" t="n">
        <f aca="true">IF(RAND()&lt;$D$6,1,0)</f>
        <v>0</v>
      </c>
      <c r="AK160" s="14" t="n">
        <f aca="false">AK159+IF((AJ160=1),IF((H160=0),1,0),0)</f>
        <v>0</v>
      </c>
      <c r="AL160" s="14" t="n">
        <f aca="false">AL159+IF((AJ160=1),IF((H160=1),1,0),0)</f>
        <v>0</v>
      </c>
      <c r="AM160" s="37" t="n">
        <f aca="false">IF(AK160=0,9999,IF($H160=0,IF($AJ160&lt;1,AM159+1,0),AM159))</f>
        <v>9999</v>
      </c>
      <c r="AN160" s="37" t="n">
        <f aca="false">IF(AL160=0,9999,IF($H160=1,IF($AJ160&lt;1,AN159+1,0),AN159))</f>
        <v>9999</v>
      </c>
      <c r="AO160" s="37" t="n">
        <f aca="false">IF($A160-AM160&gt;0,1/(1+AM160),0)</f>
        <v>0</v>
      </c>
      <c r="AP160" s="37" t="n">
        <f aca="false">IF($A160-AN160&gt;0,1/(1+AN160),0)</f>
        <v>0</v>
      </c>
      <c r="AQ160" s="7" t="n">
        <f aca="false">IF(AK160=0,0,MAX(MIN(1,AO160^Power),0))</f>
        <v>0</v>
      </c>
      <c r="AR160" s="7" t="n">
        <f aca="false">IF(AL160=0,0,MAX(MIN(1,AP160^Power),0))</f>
        <v>0</v>
      </c>
      <c r="AS160" s="7" t="n">
        <f aca="false">IF($AJ160=1,IF($H160=0,K160,AS159),AS159)</f>
        <v>0</v>
      </c>
      <c r="AT160" s="7" t="n">
        <f aca="false">IF($AJ160=1,IF($H160=1,N160,AT159),AT159)</f>
        <v>0</v>
      </c>
    </row>
    <row r="161" customFormat="false" ht="13" hidden="false" customHeight="false" outlineLevel="0" collapsed="false">
      <c r="A161" s="16" t="n">
        <v>144</v>
      </c>
      <c r="B161" s="37" t="n">
        <f aca="true">IF(RAND()&lt;$D$8,1,0)</f>
        <v>0</v>
      </c>
      <c r="C161" s="20" t="n">
        <f aca="true">-LN(RAND())/$D$2</f>
        <v>0.617494307110427</v>
      </c>
      <c r="D161" s="38" t="n">
        <f aca="false">D160+C161</f>
        <v>173.210083940259</v>
      </c>
      <c r="E161" s="39" t="n">
        <f aca="false">MAX($E$3,AS160)</f>
        <v>0</v>
      </c>
      <c r="F161" s="39" t="n">
        <f aca="false">MAX($E$3,AT160)</f>
        <v>0</v>
      </c>
      <c r="G161" s="40" t="n">
        <v>0.5</v>
      </c>
      <c r="H161" s="38" t="n">
        <f aca="true">IF((B161=1),(IF((F161&lt;E161),1,(IF((F161=E161),(IF(RAND()&lt;G161,1,0)),0)))),(IF((RAND()&lt;G161),1,0)))</f>
        <v>0</v>
      </c>
      <c r="I161" s="38" t="n">
        <f aca="true">IF((H161=1),0,$D$3+$D$5*(RAND()-0.5))</f>
        <v>2.22244063014382</v>
      </c>
      <c r="J161" s="38" t="n">
        <f aca="false">I161+MAX(D161,J160)</f>
        <v>182.031629658525</v>
      </c>
      <c r="K161" s="38" t="n">
        <f aca="false">IF((H161=0),J161-D161,0)</f>
        <v>8.82154571826598</v>
      </c>
      <c r="L161" s="38" t="n">
        <f aca="true">IF(($H161=0),0,$D$4+$D$5*(RAND()-0.5))</f>
        <v>0</v>
      </c>
      <c r="M161" s="38" t="n">
        <f aca="false">L161+MAX(D161,M160)</f>
        <v>182.626781663082</v>
      </c>
      <c r="N161" s="38" t="n">
        <f aca="false">IF((H161=1),M161-D161,0)</f>
        <v>0</v>
      </c>
      <c r="O161" s="16" t="n">
        <v>144</v>
      </c>
      <c r="P161" s="41" t="n">
        <f aca="false">IF((Arterial=0),P160+1,P160)</f>
        <v>65</v>
      </c>
      <c r="Q161" s="41" t="n">
        <f aca="false">IF((Arterial=1),Q160+1,Q160)</f>
        <v>79</v>
      </c>
      <c r="R161" s="42" t="e">
        <f aca="false">IF((RESET=1),0,R161+K161)</f>
        <v>#N/A</v>
      </c>
      <c r="S161" s="14" t="n">
        <f aca="false">IF(RESET=1,0,S161+N161)</f>
        <v>325.554827501306</v>
      </c>
      <c r="T161" s="2" t="e">
        <f aca="false">IF(RESET=1,0,T161+IF(H161=0,1,0))</f>
        <v>#N/A</v>
      </c>
      <c r="U161" s="2" t="n">
        <f aca="false">IF(RESET=1,0,U161+H161)</f>
        <v>32</v>
      </c>
      <c r="V161" s="14" t="e">
        <f aca="false">R161/(T161+0.00001)</f>
        <v>#N/A</v>
      </c>
      <c r="W161" s="14" t="n">
        <f aca="false">S161/(U161+0.0001)</f>
        <v>10.1735565670515</v>
      </c>
      <c r="X161" s="39" t="n">
        <f aca="false">IF(Informed=1,K161,0)</f>
        <v>0</v>
      </c>
      <c r="Y161" s="39" t="n">
        <f aca="false">IF(Informed=0,K161,0)</f>
        <v>8.82154571826598</v>
      </c>
      <c r="Z161" s="39" t="n">
        <f aca="false">IF(Informed=1,N161,0)</f>
        <v>0</v>
      </c>
      <c r="AA161" s="39" t="n">
        <f aca="false">IF(Informed=0,N161,0)</f>
        <v>0</v>
      </c>
      <c r="AB161" s="43" t="n">
        <f aca="false">IF(Arterial=0,IF(Informed=1,1,0),0)</f>
        <v>0</v>
      </c>
      <c r="AC161" s="43" t="n">
        <f aca="false">IF(Arterial=0,IF(Informed=0,1,0),0)</f>
        <v>1</v>
      </c>
      <c r="AD161" s="43" t="n">
        <f aca="false">IF(Arterial=1,IF(Informed=1,1,0),0)</f>
        <v>0</v>
      </c>
      <c r="AE161" s="43" t="n">
        <f aca="false">IF(Arterial=1,IF(Informed=0,1,0),0)</f>
        <v>0</v>
      </c>
      <c r="AF161" s="35" t="n">
        <f aca="false">IF(AB161=1,(X161-G$1030)^2,0)</f>
        <v>0</v>
      </c>
      <c r="AG161" s="35" t="n">
        <f aca="false">IF(AC161=1,(Y161-H$1030)^2,0)</f>
        <v>4.41941105181199</v>
      </c>
      <c r="AH161" s="35" t="n">
        <f aca="false">IF(AD161=1,(Z161-I$1030)^2,0)</f>
        <v>0</v>
      </c>
      <c r="AI161" s="35" t="n">
        <f aca="false">IF(AE161=1,(AA161-J$1030)^2,0)</f>
        <v>0</v>
      </c>
      <c r="AJ161" s="37" t="n">
        <f aca="true">IF(RAND()&lt;$D$6,1,0)</f>
        <v>0</v>
      </c>
      <c r="AK161" s="14" t="n">
        <f aca="false">AK160+IF((AJ161=1),IF((H161=0),1,0),0)</f>
        <v>0</v>
      </c>
      <c r="AL161" s="14" t="n">
        <f aca="false">AL160+IF((AJ161=1),IF((H161=1),1,0),0)</f>
        <v>0</v>
      </c>
      <c r="AM161" s="37" t="n">
        <f aca="false">IF(AK161=0,9999,IF($H161=0,IF($AJ161&lt;1,AM160+1,0),AM160))</f>
        <v>9999</v>
      </c>
      <c r="AN161" s="37" t="n">
        <f aca="false">IF(AL161=0,9999,IF($H161=1,IF($AJ161&lt;1,AN160+1,0),AN160))</f>
        <v>9999</v>
      </c>
      <c r="AO161" s="37" t="n">
        <f aca="false">IF($A161-AM161&gt;0,1/(1+AM161),0)</f>
        <v>0</v>
      </c>
      <c r="AP161" s="37" t="n">
        <f aca="false">IF($A161-AN161&gt;0,1/(1+AN161),0)</f>
        <v>0</v>
      </c>
      <c r="AQ161" s="7" t="n">
        <f aca="false">IF(AK161=0,0,MAX(MIN(1,AO161^Power),0))</f>
        <v>0</v>
      </c>
      <c r="AR161" s="7" t="n">
        <f aca="false">IF(AL161=0,0,MAX(MIN(1,AP161^Power),0))</f>
        <v>0</v>
      </c>
      <c r="AS161" s="7" t="n">
        <f aca="false">IF($AJ161=1,IF($H161=0,K161,AS160),AS160)</f>
        <v>0</v>
      </c>
      <c r="AT161" s="7" t="n">
        <f aca="false">IF($AJ161=1,IF($H161=1,N161,AT160),AT160)</f>
        <v>0</v>
      </c>
    </row>
    <row r="162" customFormat="false" ht="13" hidden="false" customHeight="false" outlineLevel="0" collapsed="false">
      <c r="A162" s="16" t="n">
        <v>145</v>
      </c>
      <c r="B162" s="37" t="n">
        <f aca="true">IF(RAND()&lt;$D$8,1,0)</f>
        <v>1</v>
      </c>
      <c r="C162" s="20" t="n">
        <f aca="true">-LN(RAND())/$D$2</f>
        <v>1.68053532103988</v>
      </c>
      <c r="D162" s="38" t="n">
        <f aca="false">D161+C162</f>
        <v>174.890619261299</v>
      </c>
      <c r="E162" s="39" t="n">
        <f aca="false">MAX($E$3,AS161)</f>
        <v>0</v>
      </c>
      <c r="F162" s="39" t="n">
        <f aca="false">MAX($E$3,AT161)</f>
        <v>0</v>
      </c>
      <c r="G162" s="40" t="n">
        <v>0.5</v>
      </c>
      <c r="H162" s="38" t="n">
        <f aca="true">IF((B162=1),(IF((F162&lt;E162),1,(IF((F162=E162),(IF(RAND()&lt;G162,1,0)),0)))),(IF((RAND()&lt;G162),1,0)))</f>
        <v>0</v>
      </c>
      <c r="I162" s="38" t="n">
        <f aca="true">IF((H162=1),0,$D$3+$D$5*(RAND()-0.5))</f>
        <v>2.1084698169807</v>
      </c>
      <c r="J162" s="38" t="n">
        <f aca="false">I162+MAX(D162,J161)</f>
        <v>184.140099475506</v>
      </c>
      <c r="K162" s="38" t="n">
        <f aca="false">IF((H162=0),J162-D162,0)</f>
        <v>9.24948021420678</v>
      </c>
      <c r="L162" s="38" t="n">
        <f aca="true">IF(($H162=0),0,$D$4+$D$5*(RAND()-0.5))</f>
        <v>0</v>
      </c>
      <c r="M162" s="38" t="n">
        <f aca="false">L162+MAX(D162,M161)</f>
        <v>182.626781663082</v>
      </c>
      <c r="N162" s="38" t="n">
        <f aca="false">IF((H162=1),M162-D162,0)</f>
        <v>0</v>
      </c>
      <c r="O162" s="16" t="n">
        <v>145</v>
      </c>
      <c r="P162" s="41" t="n">
        <f aca="false">IF((Arterial=0),P161+1,P161)</f>
        <v>66</v>
      </c>
      <c r="Q162" s="41" t="n">
        <f aca="false">IF((Arterial=1),Q161+1,Q161)</f>
        <v>79</v>
      </c>
      <c r="R162" s="42" t="e">
        <f aca="false">IF((RESET=1),0,R162+K162)</f>
        <v>#N/A</v>
      </c>
      <c r="S162" s="14" t="n">
        <f aca="false">IF(RESET=1,0,S162+N162)</f>
        <v>469.922949854592</v>
      </c>
      <c r="T162" s="2" t="e">
        <f aca="false">IF(RESET=1,0,T162+IF(H162=0,1,0))</f>
        <v>#N/A</v>
      </c>
      <c r="U162" s="2" t="n">
        <f aca="false">IF(RESET=1,0,U162+H162)</f>
        <v>40</v>
      </c>
      <c r="V162" s="14" t="e">
        <f aca="false">R162/(T162+0.00001)</f>
        <v>#N/A</v>
      </c>
      <c r="W162" s="14" t="n">
        <f aca="false">S162/(U162+0.0001)</f>
        <v>11.7480443762539</v>
      </c>
      <c r="X162" s="39" t="n">
        <f aca="false">IF(Informed=1,K162,0)</f>
        <v>9.24948021420678</v>
      </c>
      <c r="Y162" s="39" t="n">
        <f aca="false">IF(Informed=0,K162,0)</f>
        <v>0</v>
      </c>
      <c r="Z162" s="39" t="n">
        <f aca="false">IF(Informed=1,N162,0)</f>
        <v>0</v>
      </c>
      <c r="AA162" s="39" t="n">
        <f aca="false">IF(Informed=0,N162,0)</f>
        <v>0</v>
      </c>
      <c r="AB162" s="43" t="n">
        <f aca="false">IF(Arterial=0,IF(Informed=1,1,0),0)</f>
        <v>1</v>
      </c>
      <c r="AC162" s="43" t="n">
        <f aca="false">IF(Arterial=0,IF(Informed=0,1,0),0)</f>
        <v>0</v>
      </c>
      <c r="AD162" s="43" t="n">
        <f aca="false">IF(Arterial=1,IF(Informed=1,1,0),0)</f>
        <v>0</v>
      </c>
      <c r="AE162" s="43" t="n">
        <f aca="false">IF(Arterial=1,IF(Informed=0,1,0),0)</f>
        <v>0</v>
      </c>
      <c r="AF162" s="35" t="n">
        <f aca="false">IF(AB162=1,(X162-G$1030)^2,0)</f>
        <v>2.13217827972355</v>
      </c>
      <c r="AG162" s="35" t="n">
        <f aca="false">IF(AC162=1,(Y162-H$1030)^2,0)</f>
        <v>0</v>
      </c>
      <c r="AH162" s="35" t="n">
        <f aca="false">IF(AD162=1,(Z162-I$1030)^2,0)</f>
        <v>0</v>
      </c>
      <c r="AI162" s="35" t="n">
        <f aca="false">IF(AE162=1,(AA162-J$1030)^2,0)</f>
        <v>0</v>
      </c>
      <c r="AJ162" s="37" t="n">
        <f aca="true">IF(RAND()&lt;$D$6,1,0)</f>
        <v>0</v>
      </c>
      <c r="AK162" s="14" t="n">
        <f aca="false">AK161+IF((AJ162=1),IF((H162=0),1,0),0)</f>
        <v>0</v>
      </c>
      <c r="AL162" s="14" t="n">
        <f aca="false">AL161+IF((AJ162=1),IF((H162=1),1,0),0)</f>
        <v>0</v>
      </c>
      <c r="AM162" s="37" t="n">
        <f aca="false">IF(AK162=0,9999,IF($H162=0,IF($AJ162&lt;1,AM161+1,0),AM161))</f>
        <v>9999</v>
      </c>
      <c r="AN162" s="37" t="n">
        <f aca="false">IF(AL162=0,9999,IF($H162=1,IF($AJ162&lt;1,AN161+1,0),AN161))</f>
        <v>9999</v>
      </c>
      <c r="AO162" s="37" t="n">
        <f aca="false">IF($A162-AM162&gt;0,1/(1+AM162),0)</f>
        <v>0</v>
      </c>
      <c r="AP162" s="37" t="n">
        <f aca="false">IF($A162-AN162&gt;0,1/(1+AN162),0)</f>
        <v>0</v>
      </c>
      <c r="AQ162" s="7" t="n">
        <f aca="false">IF(AK162=0,0,MAX(MIN(1,AO162^Power),0))</f>
        <v>0</v>
      </c>
      <c r="AR162" s="7" t="n">
        <f aca="false">IF(AL162=0,0,MAX(MIN(1,AP162^Power),0))</f>
        <v>0</v>
      </c>
      <c r="AS162" s="7" t="n">
        <f aca="false">IF($AJ162=1,IF($H162=0,K162,AS161),AS161)</f>
        <v>0</v>
      </c>
      <c r="AT162" s="7" t="n">
        <f aca="false">IF($AJ162=1,IF($H162=1,N162,AT161),AT161)</f>
        <v>0</v>
      </c>
    </row>
    <row r="163" customFormat="false" ht="13" hidden="false" customHeight="false" outlineLevel="0" collapsed="false">
      <c r="A163" s="16" t="n">
        <v>146</v>
      </c>
      <c r="B163" s="37" t="n">
        <f aca="true">IF(RAND()&lt;$D$8,1,0)</f>
        <v>0</v>
      </c>
      <c r="C163" s="20" t="n">
        <f aca="true">-LN(RAND())/$D$2</f>
        <v>0.223651262710313</v>
      </c>
      <c r="D163" s="38" t="n">
        <f aca="false">D162+C163</f>
        <v>175.114270524009</v>
      </c>
      <c r="E163" s="39" t="n">
        <f aca="false">MAX($E$3,AS162)</f>
        <v>0</v>
      </c>
      <c r="F163" s="39" t="n">
        <f aca="false">MAX($E$3,AT162)</f>
        <v>0</v>
      </c>
      <c r="G163" s="40" t="n">
        <v>0.5</v>
      </c>
      <c r="H163" s="38" t="n">
        <f aca="true">IF((B163=1),(IF((F163&lt;E163),1,(IF((F163=E163),(IF(RAND()&lt;G163,1,0)),0)))),(IF((RAND()&lt;G163),1,0)))</f>
        <v>0</v>
      </c>
      <c r="I163" s="38" t="n">
        <f aca="true">IF((H163=1),0,$D$3+$D$5*(RAND()-0.5))</f>
        <v>1.91976889086651</v>
      </c>
      <c r="J163" s="38" t="n">
        <f aca="false">I163+MAX(D163,J162)</f>
        <v>186.059868366372</v>
      </c>
      <c r="K163" s="38" t="n">
        <f aca="false">IF((H163=0),J163-D163,0)</f>
        <v>10.945597842363</v>
      </c>
      <c r="L163" s="38" t="n">
        <f aca="true">IF(($H163=0),0,$D$4+$D$5*(RAND()-0.5))</f>
        <v>0</v>
      </c>
      <c r="M163" s="38" t="n">
        <f aca="false">L163+MAX(D163,M162)</f>
        <v>182.626781663082</v>
      </c>
      <c r="N163" s="38" t="n">
        <f aca="false">IF((H163=1),M163-D163,0)</f>
        <v>0</v>
      </c>
      <c r="O163" s="16" t="n">
        <v>146</v>
      </c>
      <c r="P163" s="41" t="n">
        <f aca="false">IF((Arterial=0),P162+1,P162)</f>
        <v>67</v>
      </c>
      <c r="Q163" s="41" t="n">
        <f aca="false">IF((Arterial=1),Q162+1,Q162)</f>
        <v>79</v>
      </c>
      <c r="R163" s="42" t="e">
        <f aca="false">IF((RESET=1),0,R163+K163)</f>
        <v>#N/A</v>
      </c>
      <c r="S163" s="14" t="n">
        <f aca="false">IF(RESET=1,0,S163+N163)</f>
        <v>498.229247708975</v>
      </c>
      <c r="T163" s="2" t="e">
        <f aca="false">IF(RESET=1,0,T163+IF(H163=0,1,0))</f>
        <v>#N/A</v>
      </c>
      <c r="U163" s="2" t="n">
        <f aca="false">IF(RESET=1,0,U163+H163)</f>
        <v>44</v>
      </c>
      <c r="V163" s="14" t="e">
        <f aca="false">R163/(T163+0.00001)</f>
        <v>#N/A</v>
      </c>
      <c r="W163" s="14" t="n">
        <f aca="false">S163/(U163+0.0001)</f>
        <v>11.3233662584625</v>
      </c>
      <c r="X163" s="39" t="n">
        <f aca="false">IF(Informed=1,K163,0)</f>
        <v>0</v>
      </c>
      <c r="Y163" s="39" t="n">
        <f aca="false">IF(Informed=0,K163,0)</f>
        <v>10.945597842363</v>
      </c>
      <c r="Z163" s="39" t="n">
        <f aca="false">IF(Informed=1,N163,0)</f>
        <v>0</v>
      </c>
      <c r="AA163" s="39" t="n">
        <f aca="false">IF(Informed=0,N163,0)</f>
        <v>0</v>
      </c>
      <c r="AB163" s="43" t="n">
        <f aca="false">IF(Arterial=0,IF(Informed=1,1,0),0)</f>
        <v>0</v>
      </c>
      <c r="AC163" s="43" t="n">
        <f aca="false">IF(Arterial=0,IF(Informed=0,1,0),0)</f>
        <v>1</v>
      </c>
      <c r="AD163" s="43" t="n">
        <f aca="false">IF(Arterial=1,IF(Informed=1,1,0),0)</f>
        <v>0</v>
      </c>
      <c r="AE163" s="43" t="n">
        <f aca="false">IF(Arterial=1,IF(Informed=0,1,0),0)</f>
        <v>0</v>
      </c>
      <c r="AF163" s="35" t="n">
        <f aca="false">IF(AB163=1,(X163-G$1030)^2,0)</f>
        <v>0</v>
      </c>
      <c r="AG163" s="35" t="n">
        <f aca="false">IF(AC163=1,(Y163-H$1030)^2,0)</f>
        <v>0.00047578915418885</v>
      </c>
      <c r="AH163" s="35" t="n">
        <f aca="false">IF(AD163=1,(Z163-I$1030)^2,0)</f>
        <v>0</v>
      </c>
      <c r="AI163" s="35" t="n">
        <f aca="false">IF(AE163=1,(AA163-J$1030)^2,0)</f>
        <v>0</v>
      </c>
      <c r="AJ163" s="37" t="n">
        <f aca="true">IF(RAND()&lt;$D$6,1,0)</f>
        <v>0</v>
      </c>
      <c r="AK163" s="14" t="n">
        <f aca="false">AK162+IF((AJ163=1),IF((H163=0),1,0),0)</f>
        <v>0</v>
      </c>
      <c r="AL163" s="14" t="n">
        <f aca="false">AL162+IF((AJ163=1),IF((H163=1),1,0),0)</f>
        <v>0</v>
      </c>
      <c r="AM163" s="37" t="n">
        <f aca="false">IF(AK163=0,9999,IF($H163=0,IF($AJ163&lt;1,AM162+1,0),AM162))</f>
        <v>9999</v>
      </c>
      <c r="AN163" s="37" t="n">
        <f aca="false">IF(AL163=0,9999,IF($H163=1,IF($AJ163&lt;1,AN162+1,0),AN162))</f>
        <v>9999</v>
      </c>
      <c r="AO163" s="37" t="n">
        <f aca="false">IF($A163-AM163&gt;0,1/(1+AM163),0)</f>
        <v>0</v>
      </c>
      <c r="AP163" s="37" t="n">
        <f aca="false">IF($A163-AN163&gt;0,1/(1+AN163),0)</f>
        <v>0</v>
      </c>
      <c r="AQ163" s="7" t="n">
        <f aca="false">IF(AK163=0,0,MAX(MIN(1,AO163^Power),0))</f>
        <v>0</v>
      </c>
      <c r="AR163" s="7" t="n">
        <f aca="false">IF(AL163=0,0,MAX(MIN(1,AP163^Power),0))</f>
        <v>0</v>
      </c>
      <c r="AS163" s="7" t="n">
        <f aca="false">IF($AJ163=1,IF($H163=0,K163,AS162),AS162)</f>
        <v>0</v>
      </c>
      <c r="AT163" s="7" t="n">
        <f aca="false">IF($AJ163=1,IF($H163=1,N163,AT162),AT162)</f>
        <v>0</v>
      </c>
    </row>
    <row r="164" customFormat="false" ht="13" hidden="false" customHeight="false" outlineLevel="0" collapsed="false">
      <c r="A164" s="16" t="n">
        <v>147</v>
      </c>
      <c r="B164" s="37" t="n">
        <f aca="true">IF(RAND()&lt;$D$8,1,0)</f>
        <v>0</v>
      </c>
      <c r="C164" s="20" t="n">
        <f aca="true">-LN(RAND())/$D$2</f>
        <v>0.162024969865438</v>
      </c>
      <c r="D164" s="38" t="n">
        <f aca="false">D163+C164</f>
        <v>175.276295493875</v>
      </c>
      <c r="E164" s="39" t="n">
        <f aca="false">MAX($E$3,AS163)</f>
        <v>0</v>
      </c>
      <c r="F164" s="39" t="n">
        <f aca="false">MAX($E$3,AT163)</f>
        <v>0</v>
      </c>
      <c r="G164" s="40" t="n">
        <v>0.5</v>
      </c>
      <c r="H164" s="38" t="n">
        <f aca="true">IF((B164=1),(IF((F164&lt;E164),1,(IF((F164=E164),(IF(RAND()&lt;G164,1,0)),0)))),(IF((RAND()&lt;G164),1,0)))</f>
        <v>1</v>
      </c>
      <c r="I164" s="38" t="n">
        <f aca="true">IF((H164=1),0,$D$3+$D$5*(RAND()-0.5))</f>
        <v>0</v>
      </c>
      <c r="J164" s="38" t="n">
        <f aca="false">I164+MAX(D164,J163)</f>
        <v>186.059868366372</v>
      </c>
      <c r="K164" s="38" t="n">
        <f aca="false">IF((H164=0),J164-D164,0)</f>
        <v>0</v>
      </c>
      <c r="L164" s="38" t="n">
        <f aca="true">IF(($H164=0),0,$D$4+$D$5*(RAND()-0.5))</f>
        <v>2.16552120091455</v>
      </c>
      <c r="M164" s="38" t="n">
        <f aca="false">L164+MAX(D164,M163)</f>
        <v>184.792302863996</v>
      </c>
      <c r="N164" s="38" t="n">
        <f aca="false">IF((H164=1),M164-D164,0)</f>
        <v>9.51600737012154</v>
      </c>
      <c r="O164" s="16" t="n">
        <v>147</v>
      </c>
      <c r="P164" s="41" t="n">
        <f aca="false">IF((Arterial=0),P163+1,P163)</f>
        <v>67</v>
      </c>
      <c r="Q164" s="41" t="n">
        <f aca="false">IF((Arterial=1),Q163+1,Q163)</f>
        <v>80</v>
      </c>
      <c r="R164" s="42" t="n">
        <f aca="false">IF((RESET=1),0,R164+K164)</f>
        <v>458.237749108948</v>
      </c>
      <c r="S164" s="14" t="e">
        <f aca="false">IF(RESET=1,0,S164+N164)</f>
        <v>#N/A</v>
      </c>
      <c r="T164" s="2" t="n">
        <f aca="false">IF(RESET=1,0,T164+IF(H164=0,1,0))</f>
        <v>37</v>
      </c>
      <c r="U164" s="2" t="e">
        <f aca="false">IF(RESET=1,0,U164+H164)</f>
        <v>#N/A</v>
      </c>
      <c r="V164" s="14" t="n">
        <f aca="false">R164/(T164+0.00001)</f>
        <v>12.3848006827281</v>
      </c>
      <c r="W164" s="14" t="e">
        <f aca="false">S164/(U164+0.0001)</f>
        <v>#N/A</v>
      </c>
      <c r="X164" s="39" t="n">
        <f aca="false">IF(Informed=1,K164,0)</f>
        <v>0</v>
      </c>
      <c r="Y164" s="39" t="n">
        <f aca="false">IF(Informed=0,K164,0)</f>
        <v>0</v>
      </c>
      <c r="Z164" s="39" t="n">
        <f aca="false">IF(Informed=1,N164,0)</f>
        <v>0</v>
      </c>
      <c r="AA164" s="39" t="n">
        <f aca="false">IF(Informed=0,N164,0)</f>
        <v>9.51600737012154</v>
      </c>
      <c r="AB164" s="43" t="n">
        <f aca="false">IF(Arterial=0,IF(Informed=1,1,0),0)</f>
        <v>0</v>
      </c>
      <c r="AC164" s="43" t="n">
        <f aca="false">IF(Arterial=0,IF(Informed=0,1,0),0)</f>
        <v>0</v>
      </c>
      <c r="AD164" s="43" t="n">
        <f aca="false">IF(Arterial=1,IF(Informed=1,1,0),0)</f>
        <v>0</v>
      </c>
      <c r="AE164" s="43" t="n">
        <f aca="false">IF(Arterial=1,IF(Informed=0,1,0),0)</f>
        <v>1</v>
      </c>
      <c r="AF164" s="35" t="n">
        <f aca="false">IF(AB164=1,(X164-G$1030)^2,0)</f>
        <v>0</v>
      </c>
      <c r="AG164" s="35" t="n">
        <f aca="false">IF(AC164=1,(Y164-H$1030)^2,0)</f>
        <v>0</v>
      </c>
      <c r="AH164" s="35" t="n">
        <f aca="false">IF(AD164=1,(Z164-I$1030)^2,0)</f>
        <v>0</v>
      </c>
      <c r="AI164" s="35" t="n">
        <f aca="false">IF(AE164=1,(AA164-J$1030)^2,0)</f>
        <v>401.933034566911</v>
      </c>
      <c r="AJ164" s="37" t="n">
        <f aca="true">IF(RAND()&lt;$D$6,1,0)</f>
        <v>0</v>
      </c>
      <c r="AK164" s="14" t="n">
        <f aca="false">AK163+IF((AJ164=1),IF((H164=0),1,0),0)</f>
        <v>0</v>
      </c>
      <c r="AL164" s="14" t="n">
        <f aca="false">AL163+IF((AJ164=1),IF((H164=1),1,0),0)</f>
        <v>0</v>
      </c>
      <c r="AM164" s="37" t="n">
        <f aca="false">IF(AK164=0,9999,IF($H164=0,IF($AJ164&lt;1,AM163+1,0),AM163))</f>
        <v>9999</v>
      </c>
      <c r="AN164" s="37" t="n">
        <f aca="false">IF(AL164=0,9999,IF($H164=1,IF($AJ164&lt;1,AN163+1,0),AN163))</f>
        <v>9999</v>
      </c>
      <c r="AO164" s="37" t="n">
        <f aca="false">IF($A164-AM164&gt;0,1/(1+AM164),0)</f>
        <v>0</v>
      </c>
      <c r="AP164" s="37" t="n">
        <f aca="false">IF($A164-AN164&gt;0,1/(1+AN164),0)</f>
        <v>0</v>
      </c>
      <c r="AQ164" s="7" t="n">
        <f aca="false">IF(AK164=0,0,MAX(MIN(1,AO164^Power),0))</f>
        <v>0</v>
      </c>
      <c r="AR164" s="7" t="n">
        <f aca="false">IF(AL164=0,0,MAX(MIN(1,AP164^Power),0))</f>
        <v>0</v>
      </c>
      <c r="AS164" s="7" t="n">
        <f aca="false">IF($AJ164=1,IF($H164=0,K164,AS163),AS163)</f>
        <v>0</v>
      </c>
      <c r="AT164" s="7" t="n">
        <f aca="false">IF($AJ164=1,IF($H164=1,N164,AT163),AT163)</f>
        <v>0</v>
      </c>
    </row>
    <row r="165" customFormat="false" ht="13" hidden="false" customHeight="false" outlineLevel="0" collapsed="false">
      <c r="A165" s="16" t="n">
        <v>148</v>
      </c>
      <c r="B165" s="37" t="n">
        <f aca="true">IF(RAND()&lt;$D$8,1,0)</f>
        <v>0</v>
      </c>
      <c r="C165" s="20" t="n">
        <f aca="true">-LN(RAND())/$D$2</f>
        <v>2.59250091876396</v>
      </c>
      <c r="D165" s="38" t="n">
        <f aca="false">D164+C165</f>
        <v>177.868796412639</v>
      </c>
      <c r="E165" s="39" t="n">
        <f aca="false">MAX($E$3,AS164)</f>
        <v>0</v>
      </c>
      <c r="F165" s="39" t="n">
        <f aca="false">MAX($E$3,AT164)</f>
        <v>0</v>
      </c>
      <c r="G165" s="40" t="n">
        <v>0.5</v>
      </c>
      <c r="H165" s="38" t="n">
        <f aca="true">IF((B165=1),(IF((F165&lt;E165),1,(IF((F165=E165),(IF(RAND()&lt;G165,1,0)),0)))),(IF((RAND()&lt;G165),1,0)))</f>
        <v>0</v>
      </c>
      <c r="I165" s="38" t="n">
        <f aca="true">IF((H165=1),0,$D$3+$D$5*(RAND()-0.5))</f>
        <v>1.90377844156436</v>
      </c>
      <c r="J165" s="38" t="n">
        <f aca="false">I165+MAX(D165,J164)</f>
        <v>187.963646807937</v>
      </c>
      <c r="K165" s="38" t="n">
        <f aca="false">IF((H165=0),J165-D165,0)</f>
        <v>10.094850395298</v>
      </c>
      <c r="L165" s="38" t="n">
        <f aca="true">IF(($H165=0),0,$D$4+$D$5*(RAND()-0.5))</f>
        <v>0</v>
      </c>
      <c r="M165" s="38" t="n">
        <f aca="false">L165+MAX(D165,M164)</f>
        <v>184.792302863996</v>
      </c>
      <c r="N165" s="38" t="n">
        <f aca="false">IF((H165=1),M165-D165,0)</f>
        <v>0</v>
      </c>
      <c r="O165" s="16" t="n">
        <v>148</v>
      </c>
      <c r="P165" s="41" t="n">
        <f aca="false">IF((Arterial=0),P164+1,P164)</f>
        <v>68</v>
      </c>
      <c r="Q165" s="41" t="n">
        <f aca="false">IF((Arterial=1),Q164+1,Q164)</f>
        <v>80</v>
      </c>
      <c r="R165" s="42" t="e">
        <f aca="false">IF((RESET=1),0,R165+K165)</f>
        <v>#N/A</v>
      </c>
      <c r="S165" s="14" t="n">
        <f aca="false">IF(RESET=1,0,S165+N165)</f>
        <v>352.20162770158</v>
      </c>
      <c r="T165" s="2" t="e">
        <f aca="false">IF(RESET=1,0,T165+IF(H165=0,1,0))</f>
        <v>#N/A</v>
      </c>
      <c r="U165" s="2" t="n">
        <f aca="false">IF(RESET=1,0,U165+H165)</f>
        <v>31</v>
      </c>
      <c r="V165" s="14" t="e">
        <f aca="false">R165/(T165+0.00001)</f>
        <v>#N/A</v>
      </c>
      <c r="W165" s="14" t="n">
        <f aca="false">S165/(U165+0.0001)</f>
        <v>11.3613061797085</v>
      </c>
      <c r="X165" s="39" t="n">
        <f aca="false">IF(Informed=1,K165,0)</f>
        <v>0</v>
      </c>
      <c r="Y165" s="39" t="n">
        <f aca="false">IF(Informed=0,K165,0)</f>
        <v>10.094850395298</v>
      </c>
      <c r="Z165" s="39" t="n">
        <f aca="false">IF(Informed=1,N165,0)</f>
        <v>0</v>
      </c>
      <c r="AA165" s="39" t="n">
        <f aca="false">IF(Informed=0,N165,0)</f>
        <v>0</v>
      </c>
      <c r="AB165" s="43" t="n">
        <f aca="false">IF(Arterial=0,IF(Informed=1,1,0),0)</f>
        <v>0</v>
      </c>
      <c r="AC165" s="43" t="n">
        <f aca="false">IF(Arterial=0,IF(Informed=0,1,0),0)</f>
        <v>1</v>
      </c>
      <c r="AD165" s="43" t="n">
        <f aca="false">IF(Arterial=1,IF(Informed=1,1,0),0)</f>
        <v>0</v>
      </c>
      <c r="AE165" s="43" t="n">
        <f aca="false">IF(Arterial=1,IF(Informed=0,1,0),0)</f>
        <v>0</v>
      </c>
      <c r="AF165" s="35" t="n">
        <f aca="false">IF(AB165=1,(X165-G$1030)^2,0)</f>
        <v>0</v>
      </c>
      <c r="AG165" s="35" t="n">
        <f aca="false">IF(AC165=1,(Y165-H$1030)^2,0)</f>
        <v>0.687132994533372</v>
      </c>
      <c r="AH165" s="35" t="n">
        <f aca="false">IF(AD165=1,(Z165-I$1030)^2,0)</f>
        <v>0</v>
      </c>
      <c r="AI165" s="35" t="n">
        <f aca="false">IF(AE165=1,(AA165-J$1030)^2,0)</f>
        <v>0</v>
      </c>
      <c r="AJ165" s="37" t="n">
        <f aca="true">IF(RAND()&lt;$D$6,1,0)</f>
        <v>0</v>
      </c>
      <c r="AK165" s="14" t="n">
        <f aca="false">AK164+IF((AJ165=1),IF((H165=0),1,0),0)</f>
        <v>0</v>
      </c>
      <c r="AL165" s="14" t="n">
        <f aca="false">AL164+IF((AJ165=1),IF((H165=1),1,0),0)</f>
        <v>0</v>
      </c>
      <c r="AM165" s="37" t="n">
        <f aca="false">IF(AK165=0,9999,IF($H165=0,IF($AJ165&lt;1,AM164+1,0),AM164))</f>
        <v>9999</v>
      </c>
      <c r="AN165" s="37" t="n">
        <f aca="false">IF(AL165=0,9999,IF($H165=1,IF($AJ165&lt;1,AN164+1,0),AN164))</f>
        <v>9999</v>
      </c>
      <c r="AO165" s="37" t="n">
        <f aca="false">IF($A165-AM165&gt;0,1/(1+AM165),0)</f>
        <v>0</v>
      </c>
      <c r="AP165" s="37" t="n">
        <f aca="false">IF($A165-AN165&gt;0,1/(1+AN165),0)</f>
        <v>0</v>
      </c>
      <c r="AQ165" s="7" t="n">
        <f aca="false">IF(AK165=0,0,MAX(MIN(1,AO165^Power),0))</f>
        <v>0</v>
      </c>
      <c r="AR165" s="7" t="n">
        <f aca="false">IF(AL165=0,0,MAX(MIN(1,AP165^Power),0))</f>
        <v>0</v>
      </c>
      <c r="AS165" s="7" t="n">
        <f aca="false">IF($AJ165=1,IF($H165=0,K165,AS164),AS164)</f>
        <v>0</v>
      </c>
      <c r="AT165" s="7" t="n">
        <f aca="false">IF($AJ165=1,IF($H165=1,N165,AT164),AT164)</f>
        <v>0</v>
      </c>
    </row>
    <row r="166" customFormat="false" ht="13" hidden="false" customHeight="false" outlineLevel="0" collapsed="false">
      <c r="A166" s="16" t="n">
        <v>149</v>
      </c>
      <c r="B166" s="37" t="n">
        <f aca="true">IF(RAND()&lt;$D$8,1,0)</f>
        <v>0</v>
      </c>
      <c r="C166" s="20" t="n">
        <f aca="true">-LN(RAND())/$D$2</f>
        <v>2.33657175912317</v>
      </c>
      <c r="D166" s="38" t="n">
        <f aca="false">D165+C166</f>
        <v>180.205368171762</v>
      </c>
      <c r="E166" s="39" t="n">
        <f aca="false">MAX($E$3,AS165)</f>
        <v>0</v>
      </c>
      <c r="F166" s="39" t="n">
        <f aca="false">MAX($E$3,AT165)</f>
        <v>0</v>
      </c>
      <c r="G166" s="40" t="n">
        <v>0.5</v>
      </c>
      <c r="H166" s="38" t="n">
        <f aca="true">IF((B166=1),(IF((F166&lt;E166),1,(IF((F166=E166),(IF(RAND()&lt;G166,1,0)),0)))),(IF((RAND()&lt;G166),1,0)))</f>
        <v>1</v>
      </c>
      <c r="I166" s="38" t="n">
        <f aca="true">IF((H166=1),0,$D$3+$D$5*(RAND()-0.5))</f>
        <v>0</v>
      </c>
      <c r="J166" s="38" t="n">
        <f aca="false">I166+MAX(D166,J165)</f>
        <v>187.963646807937</v>
      </c>
      <c r="K166" s="38" t="n">
        <f aca="false">IF((H166=0),J166-D166,0)</f>
        <v>0</v>
      </c>
      <c r="L166" s="38" t="n">
        <f aca="true">IF(($H166=0),0,$D$4+$D$5*(RAND()-0.5))</f>
        <v>1.82062012214465</v>
      </c>
      <c r="M166" s="38" t="n">
        <f aca="false">L166+MAX(D166,M165)</f>
        <v>186.612922986141</v>
      </c>
      <c r="N166" s="38" t="n">
        <f aca="false">IF((H166=1),M166-D166,0)</f>
        <v>6.40755481437907</v>
      </c>
      <c r="O166" s="16" t="n">
        <v>149</v>
      </c>
      <c r="P166" s="41" t="n">
        <f aca="false">IF((Arterial=0),P165+1,P165)</f>
        <v>68</v>
      </c>
      <c r="Q166" s="41" t="n">
        <f aca="false">IF((Arterial=1),Q165+1,Q165)</f>
        <v>81</v>
      </c>
      <c r="R166" s="42" t="n">
        <f aca="false">IF((RESET=1),0,R166+K166)</f>
        <v>494.248176506881</v>
      </c>
      <c r="S166" s="14" t="e">
        <f aca="false">IF(RESET=1,0,S166+N166)</f>
        <v>#N/A</v>
      </c>
      <c r="T166" s="2" t="n">
        <f aca="false">IF(RESET=1,0,T166+IF(H166=0,1,0))</f>
        <v>41</v>
      </c>
      <c r="U166" s="2" t="e">
        <f aca="false">IF(RESET=1,0,U166+H166)</f>
        <v>#N/A</v>
      </c>
      <c r="V166" s="14" t="n">
        <f aca="false">R166/(T166+0.00001)</f>
        <v>12.054830633136</v>
      </c>
      <c r="W166" s="14" t="e">
        <f aca="false">S166/(U166+0.0001)</f>
        <v>#N/A</v>
      </c>
      <c r="X166" s="39" t="n">
        <f aca="false">IF(Informed=1,K166,0)</f>
        <v>0</v>
      </c>
      <c r="Y166" s="39" t="n">
        <f aca="false">IF(Informed=0,K166,0)</f>
        <v>0</v>
      </c>
      <c r="Z166" s="39" t="n">
        <f aca="false">IF(Informed=1,N166,0)</f>
        <v>0</v>
      </c>
      <c r="AA166" s="39" t="n">
        <f aca="false">IF(Informed=0,N166,0)</f>
        <v>6.40755481437907</v>
      </c>
      <c r="AB166" s="43" t="n">
        <f aca="false">IF(Arterial=0,IF(Informed=1,1,0),0)</f>
        <v>0</v>
      </c>
      <c r="AC166" s="43" t="n">
        <f aca="false">IF(Arterial=0,IF(Informed=0,1,0),0)</f>
        <v>0</v>
      </c>
      <c r="AD166" s="43" t="n">
        <f aca="false">IF(Arterial=1,IF(Informed=1,1,0),0)</f>
        <v>0</v>
      </c>
      <c r="AE166" s="43" t="n">
        <f aca="false">IF(Arterial=1,IF(Informed=0,1,0),0)</f>
        <v>1</v>
      </c>
      <c r="AF166" s="35" t="n">
        <f aca="false">IF(AB166=1,(X166-G$1030)^2,0)</f>
        <v>0</v>
      </c>
      <c r="AG166" s="35" t="n">
        <f aca="false">IF(AC166=1,(Y166-H$1030)^2,0)</f>
        <v>0</v>
      </c>
      <c r="AH166" s="35" t="n">
        <f aca="false">IF(AD166=1,(Z166-I$1030)^2,0)</f>
        <v>0</v>
      </c>
      <c r="AI166" s="35" t="n">
        <f aca="false">IF(AE166=1,(AA166-J$1030)^2,0)</f>
        <v>536.233689301994</v>
      </c>
      <c r="AJ166" s="37" t="n">
        <f aca="true">IF(RAND()&lt;$D$6,1,0)</f>
        <v>0</v>
      </c>
      <c r="AK166" s="14" t="n">
        <f aca="false">AK165+IF((AJ166=1),IF((H166=0),1,0),0)</f>
        <v>0</v>
      </c>
      <c r="AL166" s="14" t="n">
        <f aca="false">AL165+IF((AJ166=1),IF((H166=1),1,0),0)</f>
        <v>0</v>
      </c>
      <c r="AM166" s="37" t="n">
        <f aca="false">IF(AK166=0,9999,IF($H166=0,IF($AJ166&lt;1,AM165+1,0),AM165))</f>
        <v>9999</v>
      </c>
      <c r="AN166" s="37" t="n">
        <f aca="false">IF(AL166=0,9999,IF($H166=1,IF($AJ166&lt;1,AN165+1,0),AN165))</f>
        <v>9999</v>
      </c>
      <c r="AO166" s="37" t="n">
        <f aca="false">IF($A166-AM166&gt;0,1/(1+AM166),0)</f>
        <v>0</v>
      </c>
      <c r="AP166" s="37" t="n">
        <f aca="false">IF($A166-AN166&gt;0,1/(1+AN166),0)</f>
        <v>0</v>
      </c>
      <c r="AQ166" s="7" t="n">
        <f aca="false">IF(AK166=0,0,MAX(MIN(1,AO166^Power),0))</f>
        <v>0</v>
      </c>
      <c r="AR166" s="7" t="n">
        <f aca="false">IF(AL166=0,0,MAX(MIN(1,AP166^Power),0))</f>
        <v>0</v>
      </c>
      <c r="AS166" s="7" t="n">
        <f aca="false">IF($AJ166=1,IF($H166=0,K166,AS165),AS165)</f>
        <v>0</v>
      </c>
      <c r="AT166" s="7" t="n">
        <f aca="false">IF($AJ166=1,IF($H166=1,N166,AT165),AT165)</f>
        <v>0</v>
      </c>
    </row>
    <row r="167" customFormat="false" ht="13" hidden="false" customHeight="false" outlineLevel="0" collapsed="false">
      <c r="A167" s="16" t="n">
        <v>150</v>
      </c>
      <c r="B167" s="37" t="n">
        <f aca="true">IF(RAND()&lt;$D$8,1,0)</f>
        <v>1</v>
      </c>
      <c r="C167" s="20" t="n">
        <f aca="true">-LN(RAND())/$D$2</f>
        <v>0.801493776029125</v>
      </c>
      <c r="D167" s="38" t="n">
        <f aca="false">D166+C167</f>
        <v>181.006861947791</v>
      </c>
      <c r="E167" s="39" t="n">
        <f aca="false">MAX($E$3,AS166)</f>
        <v>0</v>
      </c>
      <c r="F167" s="39" t="n">
        <f aca="false">MAX($E$3,AT166)</f>
        <v>0</v>
      </c>
      <c r="G167" s="40" t="n">
        <v>0.5</v>
      </c>
      <c r="H167" s="38" t="n">
        <f aca="true">IF((B167=1),(IF((F167&lt;E167),1,(IF((F167=E167),(IF(RAND()&lt;G167,1,0)),0)))),(IF((RAND()&lt;G167),1,0)))</f>
        <v>1</v>
      </c>
      <c r="I167" s="38" t="n">
        <f aca="true">IF((H167=1),0,$D$3+$D$5*(RAND()-0.5))</f>
        <v>0</v>
      </c>
      <c r="J167" s="38" t="n">
        <f aca="false">I167+MAX(D167,J166)</f>
        <v>187.963646807937</v>
      </c>
      <c r="K167" s="38" t="n">
        <f aca="false">IF((H167=0),J167-D167,0)</f>
        <v>0</v>
      </c>
      <c r="L167" s="38" t="n">
        <f aca="true">IF(($H167=0),0,$D$4+$D$5*(RAND()-0.5))</f>
        <v>2.18294843902402</v>
      </c>
      <c r="M167" s="38" t="n">
        <f aca="false">L167+MAX(D167,M166)</f>
        <v>188.795871425165</v>
      </c>
      <c r="N167" s="38" t="n">
        <f aca="false">IF((H167=1),M167-D167,0)</f>
        <v>7.78900947737395</v>
      </c>
      <c r="O167" s="16" t="n">
        <v>150</v>
      </c>
      <c r="P167" s="41" t="n">
        <f aca="false">IF((Arterial=0),P166+1,P166)</f>
        <v>68</v>
      </c>
      <c r="Q167" s="41" t="n">
        <f aca="false">IF((Arterial=1),Q166+1,Q166)</f>
        <v>82</v>
      </c>
      <c r="R167" s="42" t="n">
        <f aca="false">IF((RESET=1),0,R167+K167)</f>
        <v>442.481456445818</v>
      </c>
      <c r="S167" s="14" t="e">
        <f aca="false">IF(RESET=1,0,S167+N167)</f>
        <v>#N/A</v>
      </c>
      <c r="T167" s="2" t="n">
        <f aca="false">IF(RESET=1,0,T167+IF(H167=0,1,0))</f>
        <v>37</v>
      </c>
      <c r="U167" s="2" t="e">
        <f aca="false">IF(RESET=1,0,U167+H167)</f>
        <v>#N/A</v>
      </c>
      <c r="V167" s="14" t="n">
        <f aca="false">R167/(T167+0.00001)</f>
        <v>11.9589550501694</v>
      </c>
      <c r="W167" s="14" t="e">
        <f aca="false">S167/(U167+0.0001)</f>
        <v>#N/A</v>
      </c>
      <c r="X167" s="39" t="n">
        <f aca="false">IF(Informed=1,K167,0)</f>
        <v>0</v>
      </c>
      <c r="Y167" s="39" t="n">
        <f aca="false">IF(Informed=0,K167,0)</f>
        <v>0</v>
      </c>
      <c r="Z167" s="39" t="n">
        <f aca="false">IF(Informed=1,N167,0)</f>
        <v>7.78900947737395</v>
      </c>
      <c r="AA167" s="39" t="n">
        <f aca="false">IF(Informed=0,N167,0)</f>
        <v>0</v>
      </c>
      <c r="AB167" s="43" t="n">
        <f aca="false">IF(Arterial=0,IF(Informed=1,1,0),0)</f>
        <v>0</v>
      </c>
      <c r="AC167" s="43" t="n">
        <f aca="false">IF(Arterial=0,IF(Informed=0,1,0),0)</f>
        <v>0</v>
      </c>
      <c r="AD167" s="43" t="n">
        <f aca="false">IF(Arterial=1,IF(Informed=1,1,0),0)</f>
        <v>1</v>
      </c>
      <c r="AE167" s="43" t="n">
        <f aca="false">IF(Arterial=1,IF(Informed=0,1,0),0)</f>
        <v>0</v>
      </c>
      <c r="AF167" s="35" t="n">
        <f aca="false">IF(AB167=1,(X167-G$1030)^2,0)</f>
        <v>0</v>
      </c>
      <c r="AG167" s="35" t="n">
        <f aca="false">IF(AC167=1,(Y167-H$1030)^2,0)</f>
        <v>0</v>
      </c>
      <c r="AH167" s="35" t="n">
        <f aca="false">IF(AD167=1,(Z167-I$1030)^2,0)</f>
        <v>423.776203935188</v>
      </c>
      <c r="AI167" s="35" t="n">
        <f aca="false">IF(AE167=1,(AA167-J$1030)^2,0)</f>
        <v>0</v>
      </c>
      <c r="AJ167" s="37" t="n">
        <f aca="true">IF(RAND()&lt;$D$6,1,0)</f>
        <v>0</v>
      </c>
      <c r="AK167" s="14" t="n">
        <f aca="false">AK166+IF((AJ167=1),IF((H167=0),1,0),0)</f>
        <v>0</v>
      </c>
      <c r="AL167" s="14" t="n">
        <f aca="false">AL166+IF((AJ167=1),IF((H167=1),1,0),0)</f>
        <v>0</v>
      </c>
      <c r="AM167" s="37" t="n">
        <f aca="false">IF(AK167=0,9999,IF($H167=0,IF($AJ167&lt;1,AM166+1,0),AM166))</f>
        <v>9999</v>
      </c>
      <c r="AN167" s="37" t="n">
        <f aca="false">IF(AL167=0,9999,IF($H167=1,IF($AJ167&lt;1,AN166+1,0),AN166))</f>
        <v>9999</v>
      </c>
      <c r="AO167" s="37" t="n">
        <f aca="false">IF($A167-AM167&gt;0,1/(1+AM167),0)</f>
        <v>0</v>
      </c>
      <c r="AP167" s="37" t="n">
        <f aca="false">IF($A167-AN167&gt;0,1/(1+AN167),0)</f>
        <v>0</v>
      </c>
      <c r="AQ167" s="7" t="n">
        <f aca="false">IF(AK167=0,0,MAX(MIN(1,AO167^Power),0))</f>
        <v>0</v>
      </c>
      <c r="AR167" s="7" t="n">
        <f aca="false">IF(AL167=0,0,MAX(MIN(1,AP167^Power),0))</f>
        <v>0</v>
      </c>
      <c r="AS167" s="7" t="n">
        <f aca="false">IF($AJ167=1,IF($H167=0,K167,AS166),AS166)</f>
        <v>0</v>
      </c>
      <c r="AT167" s="7" t="n">
        <f aca="false">IF($AJ167=1,IF($H167=1,N167,AT166),AT166)</f>
        <v>0</v>
      </c>
    </row>
    <row r="168" customFormat="false" ht="13" hidden="false" customHeight="false" outlineLevel="0" collapsed="false">
      <c r="A168" s="16" t="n">
        <v>151</v>
      </c>
      <c r="B168" s="37" t="n">
        <f aca="true">IF(RAND()&lt;$D$8,1,0)</f>
        <v>0</v>
      </c>
      <c r="C168" s="20" t="n">
        <f aca="true">-LN(RAND())/$D$2</f>
        <v>1.74981953642661</v>
      </c>
      <c r="D168" s="38" t="n">
        <f aca="false">D167+C168</f>
        <v>182.756681484218</v>
      </c>
      <c r="E168" s="39" t="n">
        <f aca="false">MAX($E$3,AS167)</f>
        <v>0</v>
      </c>
      <c r="F168" s="39" t="n">
        <f aca="false">MAX($E$3,AT167)</f>
        <v>0</v>
      </c>
      <c r="G168" s="40" t="n">
        <v>0.5</v>
      </c>
      <c r="H168" s="38" t="n">
        <f aca="true">IF((B168=1),(IF((F168&lt;E168),1,(IF((F168=E168),(IF(RAND()&lt;G168,1,0)),0)))),(IF((RAND()&lt;G168),1,0)))</f>
        <v>0</v>
      </c>
      <c r="I168" s="38" t="n">
        <f aca="true">IF((H168=1),0,$D$3+$D$5*(RAND()-0.5))</f>
        <v>2.22162466262774</v>
      </c>
      <c r="J168" s="38" t="n">
        <f aca="false">I168+MAX(D168,J167)</f>
        <v>190.185271470565</v>
      </c>
      <c r="K168" s="38" t="n">
        <f aca="false">IF((H168=0),J168-D168,0)</f>
        <v>7.42858998634679</v>
      </c>
      <c r="L168" s="38" t="n">
        <f aca="true">IF(($H168=0),0,$D$4+$D$5*(RAND()-0.5))</f>
        <v>0</v>
      </c>
      <c r="M168" s="38" t="n">
        <f aca="false">L168+MAX(D168,M167)</f>
        <v>188.795871425165</v>
      </c>
      <c r="N168" s="38" t="n">
        <f aca="false">IF((H168=1),M168-D168,0)</f>
        <v>0</v>
      </c>
      <c r="O168" s="16" t="n">
        <v>151</v>
      </c>
      <c r="P168" s="41" t="n">
        <f aca="false">IF((Arterial=0),P167+1,P167)</f>
        <v>69</v>
      </c>
      <c r="Q168" s="41" t="n">
        <f aca="false">IF((Arterial=1),Q167+1,Q167)</f>
        <v>82</v>
      </c>
      <c r="R168" s="42" t="e">
        <f aca="false">IF((RESET=1),0,R168+K168)</f>
        <v>#N/A</v>
      </c>
      <c r="S168" s="14" t="n">
        <f aca="false">IF(RESET=1,0,S168+N168)</f>
        <v>458.272064808657</v>
      </c>
      <c r="T168" s="2" t="e">
        <f aca="false">IF(RESET=1,0,T168+IF(H168=0,1,0))</f>
        <v>#N/A</v>
      </c>
      <c r="U168" s="2" t="n">
        <f aca="false">IF(RESET=1,0,U168+H168)</f>
        <v>41</v>
      </c>
      <c r="V168" s="14" t="e">
        <f aca="false">R168/(T168+0.00001)</f>
        <v>#N/A</v>
      </c>
      <c r="W168" s="14" t="n">
        <f aca="false">S168/(U168+0.0001)</f>
        <v>11.1773401725522</v>
      </c>
      <c r="X168" s="39" t="n">
        <f aca="false">IF(Informed=1,K168,0)</f>
        <v>0</v>
      </c>
      <c r="Y168" s="39" t="n">
        <f aca="false">IF(Informed=0,K168,0)</f>
        <v>7.42858998634679</v>
      </c>
      <c r="Z168" s="39" t="n">
        <f aca="false">IF(Informed=1,N168,0)</f>
        <v>0</v>
      </c>
      <c r="AA168" s="39" t="n">
        <f aca="false">IF(Informed=0,N168,0)</f>
        <v>0</v>
      </c>
      <c r="AB168" s="43" t="n">
        <f aca="false">IF(Arterial=0,IF(Informed=1,1,0),0)</f>
        <v>0</v>
      </c>
      <c r="AC168" s="43" t="n">
        <f aca="false">IF(Arterial=0,IF(Informed=0,1,0),0)</f>
        <v>1</v>
      </c>
      <c r="AD168" s="43" t="n">
        <f aca="false">IF(Arterial=1,IF(Informed=1,1,0),0)</f>
        <v>0</v>
      </c>
      <c r="AE168" s="43" t="n">
        <f aca="false">IF(Arterial=1,IF(Informed=0,1,0),0)</f>
        <v>0</v>
      </c>
      <c r="AF168" s="35" t="n">
        <f aca="false">IF(AB168=1,(X168-G$1030)^2,0)</f>
        <v>0</v>
      </c>
      <c r="AG168" s="35" t="n">
        <f aca="false">IF(AC168=1,(Y168-H$1030)^2,0)</f>
        <v>12.2163899360961</v>
      </c>
      <c r="AH168" s="35" t="n">
        <f aca="false">IF(AD168=1,(Z168-I$1030)^2,0)</f>
        <v>0</v>
      </c>
      <c r="AI168" s="35" t="n">
        <f aca="false">IF(AE168=1,(AA168-J$1030)^2,0)</f>
        <v>0</v>
      </c>
      <c r="AJ168" s="37" t="n">
        <f aca="true">IF(RAND()&lt;$D$6,1,0)</f>
        <v>0</v>
      </c>
      <c r="AK168" s="14" t="n">
        <f aca="false">AK167+IF((AJ168=1),IF((H168=0),1,0),0)</f>
        <v>0</v>
      </c>
      <c r="AL168" s="14" t="n">
        <f aca="false">AL167+IF((AJ168=1),IF((H168=1),1,0),0)</f>
        <v>0</v>
      </c>
      <c r="AM168" s="37" t="n">
        <f aca="false">IF(AK168=0,9999,IF($H168=0,IF($AJ168&lt;1,AM167+1,0),AM167))</f>
        <v>9999</v>
      </c>
      <c r="AN168" s="37" t="n">
        <f aca="false">IF(AL168=0,9999,IF($H168=1,IF($AJ168&lt;1,AN167+1,0),AN167))</f>
        <v>9999</v>
      </c>
      <c r="AO168" s="37" t="n">
        <f aca="false">IF($A168-AM168&gt;0,1/(1+AM168),0)</f>
        <v>0</v>
      </c>
      <c r="AP168" s="37" t="n">
        <f aca="false">IF($A168-AN168&gt;0,1/(1+AN168),0)</f>
        <v>0</v>
      </c>
      <c r="AQ168" s="7" t="n">
        <f aca="false">IF(AK168=0,0,MAX(MIN(1,AO168^Power),0))</f>
        <v>0</v>
      </c>
      <c r="AR168" s="7" t="n">
        <f aca="false">IF(AL168=0,0,MAX(MIN(1,AP168^Power),0))</f>
        <v>0</v>
      </c>
      <c r="AS168" s="7" t="n">
        <f aca="false">IF($AJ168=1,IF($H168=0,K168,AS167),AS167)</f>
        <v>0</v>
      </c>
      <c r="AT168" s="7" t="n">
        <f aca="false">IF($AJ168=1,IF($H168=1,N168,AT167),AT167)</f>
        <v>0</v>
      </c>
    </row>
    <row r="169" customFormat="false" ht="13" hidden="false" customHeight="false" outlineLevel="0" collapsed="false">
      <c r="A169" s="16" t="n">
        <v>152</v>
      </c>
      <c r="B169" s="37" t="n">
        <f aca="true">IF(RAND()&lt;$D$8,1,0)</f>
        <v>1</v>
      </c>
      <c r="C169" s="20" t="n">
        <f aca="true">-LN(RAND())/$D$2</f>
        <v>0.673583560981078</v>
      </c>
      <c r="D169" s="38" t="n">
        <f aca="false">D168+C169</f>
        <v>183.430265045199</v>
      </c>
      <c r="E169" s="39" t="n">
        <f aca="false">MAX($E$3,AS168)</f>
        <v>0</v>
      </c>
      <c r="F169" s="39" t="n">
        <f aca="false">MAX($E$3,AT168)</f>
        <v>0</v>
      </c>
      <c r="G169" s="40" t="n">
        <v>0.5</v>
      </c>
      <c r="H169" s="38" t="n">
        <f aca="true">IF((B169=1),(IF((F169&lt;E169),1,(IF((F169=E169),(IF(RAND()&lt;G169,1,0)),0)))),(IF((RAND()&lt;G169),1,0)))</f>
        <v>1</v>
      </c>
      <c r="I169" s="38" t="n">
        <f aca="true">IF((H169=1),0,$D$3+$D$5*(RAND()-0.5))</f>
        <v>0</v>
      </c>
      <c r="J169" s="38" t="n">
        <f aca="false">I169+MAX(D169,J168)</f>
        <v>190.185271470565</v>
      </c>
      <c r="K169" s="38" t="n">
        <f aca="false">IF((H169=0),J169-D169,0)</f>
        <v>0</v>
      </c>
      <c r="L169" s="38" t="n">
        <f aca="true">IF(($H169=0),0,$D$4+$D$5*(RAND()-0.5))</f>
        <v>1.98400198047088</v>
      </c>
      <c r="M169" s="38" t="n">
        <f aca="false">L169+MAX(D169,M168)</f>
        <v>190.779873405636</v>
      </c>
      <c r="N169" s="38" t="n">
        <f aca="false">IF((H169=1),M169-D169,0)</f>
        <v>7.34960836043715</v>
      </c>
      <c r="O169" s="16" t="n">
        <v>152</v>
      </c>
      <c r="P169" s="41" t="n">
        <f aca="false">IF((Arterial=0),P168+1,P168)</f>
        <v>69</v>
      </c>
      <c r="Q169" s="41" t="n">
        <f aca="false">IF((Arterial=1),Q168+1,Q168)</f>
        <v>83</v>
      </c>
      <c r="R169" s="42" t="n">
        <f aca="false">IF((RESET=1),0,R169+K169)</f>
        <v>498.451589807473</v>
      </c>
      <c r="S169" s="14" t="e">
        <f aca="false">IF(RESET=1,0,S169+N169)</f>
        <v>#N/A</v>
      </c>
      <c r="T169" s="2" t="n">
        <f aca="false">IF(RESET=1,0,T169+IF(H169=0,1,0))</f>
        <v>39</v>
      </c>
      <c r="U169" s="2" t="e">
        <f aca="false">IF(RESET=1,0,U169+H169)</f>
        <v>#N/A</v>
      </c>
      <c r="V169" s="14" t="n">
        <f aca="false">R169/(T169+0.00001)</f>
        <v>12.7808067179335</v>
      </c>
      <c r="W169" s="14" t="e">
        <f aca="false">S169/(U169+0.0001)</f>
        <v>#N/A</v>
      </c>
      <c r="X169" s="39" t="n">
        <f aca="false">IF(Informed=1,K169,0)</f>
        <v>0</v>
      </c>
      <c r="Y169" s="39" t="n">
        <f aca="false">IF(Informed=0,K169,0)</f>
        <v>0</v>
      </c>
      <c r="Z169" s="39" t="n">
        <f aca="false">IF(Informed=1,N169,0)</f>
        <v>7.34960836043715</v>
      </c>
      <c r="AA169" s="39" t="n">
        <f aca="false">IF(Informed=0,N169,0)</f>
        <v>0</v>
      </c>
      <c r="AB169" s="43" t="n">
        <f aca="false">IF(Arterial=0,IF(Informed=1,1,0),0)</f>
        <v>0</v>
      </c>
      <c r="AC169" s="43" t="n">
        <f aca="false">IF(Arterial=0,IF(Informed=0,1,0),0)</f>
        <v>0</v>
      </c>
      <c r="AD169" s="43" t="n">
        <f aca="false">IF(Arterial=1,IF(Informed=1,1,0),0)</f>
        <v>1</v>
      </c>
      <c r="AE169" s="43" t="n">
        <f aca="false">IF(Arterial=1,IF(Informed=0,1,0),0)</f>
        <v>0</v>
      </c>
      <c r="AF169" s="35" t="n">
        <f aca="false">IF(AB169=1,(X169-G$1030)^2,0)</f>
        <v>0</v>
      </c>
      <c r="AG169" s="35" t="n">
        <f aca="false">IF(AC169=1,(Y169-H$1030)^2,0)</f>
        <v>0</v>
      </c>
      <c r="AH169" s="35" t="n">
        <f aca="false">IF(AD169=1,(Z169-I$1030)^2,0)</f>
        <v>442.060146550465</v>
      </c>
      <c r="AI169" s="35" t="n">
        <f aca="false">IF(AE169=1,(AA169-J$1030)^2,0)</f>
        <v>0</v>
      </c>
      <c r="AJ169" s="37" t="n">
        <f aca="true">IF(RAND()&lt;$D$6,1,0)</f>
        <v>0</v>
      </c>
      <c r="AK169" s="14" t="n">
        <f aca="false">AK168+IF((AJ169=1),IF((H169=0),1,0),0)</f>
        <v>0</v>
      </c>
      <c r="AL169" s="14" t="n">
        <f aca="false">AL168+IF((AJ169=1),IF((H169=1),1,0),0)</f>
        <v>0</v>
      </c>
      <c r="AM169" s="37" t="n">
        <f aca="false">IF(AK169=0,9999,IF($H169=0,IF($AJ169&lt;1,AM168+1,0),AM168))</f>
        <v>9999</v>
      </c>
      <c r="AN169" s="37" t="n">
        <f aca="false">IF(AL169=0,9999,IF($H169=1,IF($AJ169&lt;1,AN168+1,0),AN168))</f>
        <v>9999</v>
      </c>
      <c r="AO169" s="37" t="n">
        <f aca="false">IF($A169-AM169&gt;0,1/(1+AM169),0)</f>
        <v>0</v>
      </c>
      <c r="AP169" s="37" t="n">
        <f aca="false">IF($A169-AN169&gt;0,1/(1+AN169),0)</f>
        <v>0</v>
      </c>
      <c r="AQ169" s="7" t="n">
        <f aca="false">IF(AK169=0,0,MAX(MIN(1,AO169^Power),0))</f>
        <v>0</v>
      </c>
      <c r="AR169" s="7" t="n">
        <f aca="false">IF(AL169=0,0,MAX(MIN(1,AP169^Power),0))</f>
        <v>0</v>
      </c>
      <c r="AS169" s="7" t="n">
        <f aca="false">IF($AJ169=1,IF($H169=0,K169,AS168),AS168)</f>
        <v>0</v>
      </c>
      <c r="AT169" s="7" t="n">
        <f aca="false">IF($AJ169=1,IF($H169=1,N169,AT168),AT168)</f>
        <v>0</v>
      </c>
    </row>
    <row r="170" customFormat="false" ht="13" hidden="false" customHeight="false" outlineLevel="0" collapsed="false">
      <c r="A170" s="16" t="n">
        <v>153</v>
      </c>
      <c r="B170" s="37" t="n">
        <f aca="true">IF(RAND()&lt;$D$8,1,0)</f>
        <v>1</v>
      </c>
      <c r="C170" s="20" t="n">
        <f aca="true">-LN(RAND())/$D$2</f>
        <v>1.19009514564395</v>
      </c>
      <c r="D170" s="38" t="n">
        <f aca="false">D169+C170</f>
        <v>184.620360190843</v>
      </c>
      <c r="E170" s="39" t="n">
        <f aca="false">MAX($E$3,AS169)</f>
        <v>0</v>
      </c>
      <c r="F170" s="39" t="n">
        <f aca="false">MAX($E$3,AT169)</f>
        <v>0</v>
      </c>
      <c r="G170" s="40" t="n">
        <v>0.5</v>
      </c>
      <c r="H170" s="38" t="n">
        <f aca="true">IF((B170=1),(IF((F170&lt;E170),1,(IF((F170=E170),(IF(RAND()&lt;G170,1,0)),0)))),(IF((RAND()&lt;G170),1,0)))</f>
        <v>1</v>
      </c>
      <c r="I170" s="38" t="n">
        <f aca="true">IF((H170=1),0,$D$3+$D$5*(RAND()-0.5))</f>
        <v>0</v>
      </c>
      <c r="J170" s="38" t="n">
        <f aca="false">I170+MAX(D170,J169)</f>
        <v>190.185271470565</v>
      </c>
      <c r="K170" s="38" t="n">
        <f aca="false">IF((H170=0),J170-D170,0)</f>
        <v>0</v>
      </c>
      <c r="L170" s="38" t="n">
        <f aca="true">IF(($H170=0),0,$D$4+$D$5*(RAND()-0.5))</f>
        <v>1.88357906463849</v>
      </c>
      <c r="M170" s="38" t="n">
        <f aca="false">L170+MAX(D170,M169)</f>
        <v>192.663452470274</v>
      </c>
      <c r="N170" s="38" t="n">
        <f aca="false">IF((H170=1),M170-D170,0)</f>
        <v>8.04309227943168</v>
      </c>
      <c r="O170" s="16" t="n">
        <v>153</v>
      </c>
      <c r="P170" s="41" t="n">
        <f aca="false">IF((Arterial=0),P169+1,P169)</f>
        <v>69</v>
      </c>
      <c r="Q170" s="41" t="n">
        <f aca="false">IF((Arterial=1),Q169+1,Q169)</f>
        <v>84</v>
      </c>
      <c r="R170" s="42" t="n">
        <f aca="false">IF((RESET=1),0,R170+K170)</f>
        <v>487.18553435697</v>
      </c>
      <c r="S170" s="14" t="e">
        <f aca="false">IF(RESET=1,0,S170+N170)</f>
        <v>#N/A</v>
      </c>
      <c r="T170" s="2" t="n">
        <f aca="false">IF(RESET=1,0,T170+IF(H170=0,1,0))</f>
        <v>39</v>
      </c>
      <c r="U170" s="2" t="e">
        <f aca="false">IF(RESET=1,0,U170+H170)</f>
        <v>#N/A</v>
      </c>
      <c r="V170" s="14" t="n">
        <f aca="false">R170/(T170+0.00001)</f>
        <v>12.491933575324</v>
      </c>
      <c r="W170" s="14" t="e">
        <f aca="false">S170/(U170+0.0001)</f>
        <v>#N/A</v>
      </c>
      <c r="X170" s="39" t="n">
        <f aca="false">IF(Informed=1,K170,0)</f>
        <v>0</v>
      </c>
      <c r="Y170" s="39" t="n">
        <f aca="false">IF(Informed=0,K170,0)</f>
        <v>0</v>
      </c>
      <c r="Z170" s="39" t="n">
        <f aca="false">IF(Informed=1,N170,0)</f>
        <v>8.04309227943168</v>
      </c>
      <c r="AA170" s="39" t="n">
        <f aca="false">IF(Informed=0,N170,0)</f>
        <v>0</v>
      </c>
      <c r="AB170" s="43" t="n">
        <f aca="false">IF(Arterial=0,IF(Informed=1,1,0),0)</f>
        <v>0</v>
      </c>
      <c r="AC170" s="43" t="n">
        <f aca="false">IF(Arterial=0,IF(Informed=0,1,0),0)</f>
        <v>0</v>
      </c>
      <c r="AD170" s="43" t="n">
        <f aca="false">IF(Arterial=1,IF(Informed=1,1,0),0)</f>
        <v>1</v>
      </c>
      <c r="AE170" s="43" t="n">
        <f aca="false">IF(Arterial=1,IF(Informed=0,1,0),0)</f>
        <v>0</v>
      </c>
      <c r="AF170" s="35" t="n">
        <f aca="false">IF(AB170=1,(X170-G$1030)^2,0)</f>
        <v>0</v>
      </c>
      <c r="AG170" s="35" t="n">
        <f aca="false">IF(AC170=1,(Y170-H$1030)^2,0)</f>
        <v>0</v>
      </c>
      <c r="AH170" s="35" t="n">
        <f aca="false">IF(AD170=1,(Z170-I$1030)^2,0)</f>
        <v>413.37975364764</v>
      </c>
      <c r="AI170" s="35" t="n">
        <f aca="false">IF(AE170=1,(AA170-J$1030)^2,0)</f>
        <v>0</v>
      </c>
      <c r="AJ170" s="37" t="n">
        <f aca="true">IF(RAND()&lt;$D$6,1,0)</f>
        <v>0</v>
      </c>
      <c r="AK170" s="14" t="n">
        <f aca="false">AK169+IF((AJ170=1),IF((H170=0),1,0),0)</f>
        <v>0</v>
      </c>
      <c r="AL170" s="14" t="n">
        <f aca="false">AL169+IF((AJ170=1),IF((H170=1),1,0),0)</f>
        <v>0</v>
      </c>
      <c r="AM170" s="37" t="n">
        <f aca="false">IF(AK170=0,9999,IF($H170=0,IF($AJ170&lt;1,AM169+1,0),AM169))</f>
        <v>9999</v>
      </c>
      <c r="AN170" s="37" t="n">
        <f aca="false">IF(AL170=0,9999,IF($H170=1,IF($AJ170&lt;1,AN169+1,0),AN169))</f>
        <v>9999</v>
      </c>
      <c r="AO170" s="37" t="n">
        <f aca="false">IF($A170-AM170&gt;0,1/(1+AM170),0)</f>
        <v>0</v>
      </c>
      <c r="AP170" s="37" t="n">
        <f aca="false">IF($A170-AN170&gt;0,1/(1+AN170),0)</f>
        <v>0</v>
      </c>
      <c r="AQ170" s="7" t="n">
        <f aca="false">IF(AK170=0,0,MAX(MIN(1,AO170^Power),0))</f>
        <v>0</v>
      </c>
      <c r="AR170" s="7" t="n">
        <f aca="false">IF(AL170=0,0,MAX(MIN(1,AP170^Power),0))</f>
        <v>0</v>
      </c>
      <c r="AS170" s="7" t="n">
        <f aca="false">IF($AJ170=1,IF($H170=0,K170,AS169),AS169)</f>
        <v>0</v>
      </c>
      <c r="AT170" s="7" t="n">
        <f aca="false">IF($AJ170=1,IF($H170=1,N170,AT169),AT169)</f>
        <v>0</v>
      </c>
    </row>
    <row r="171" customFormat="false" ht="13" hidden="false" customHeight="false" outlineLevel="0" collapsed="false">
      <c r="A171" s="16" t="n">
        <v>154</v>
      </c>
      <c r="B171" s="37" t="n">
        <f aca="true">IF(RAND()&lt;$D$8,1,0)</f>
        <v>0</v>
      </c>
      <c r="C171" s="20" t="n">
        <f aca="true">-LN(RAND())/$D$2</f>
        <v>0.532530301669111</v>
      </c>
      <c r="D171" s="38" t="n">
        <f aca="false">D170+C171</f>
        <v>185.152890492512</v>
      </c>
      <c r="E171" s="39" t="n">
        <f aca="false">MAX($E$3,AS170)</f>
        <v>0</v>
      </c>
      <c r="F171" s="39" t="n">
        <f aca="false">MAX($E$3,AT170)</f>
        <v>0</v>
      </c>
      <c r="G171" s="40" t="n">
        <v>0.5</v>
      </c>
      <c r="H171" s="38" t="n">
        <f aca="true">IF((B171=1),(IF((F171&lt;E171),1,(IF((F171=E171),(IF(RAND()&lt;G171,1,0)),0)))),(IF((RAND()&lt;G171),1,0)))</f>
        <v>0</v>
      </c>
      <c r="I171" s="38" t="n">
        <f aca="true">IF((H171=1),0,$D$3+$D$5*(RAND()-0.5))</f>
        <v>2.0848948928789</v>
      </c>
      <c r="J171" s="38" t="n">
        <f aca="false">I171+MAX(D171,J170)</f>
        <v>192.270166363443</v>
      </c>
      <c r="K171" s="38" t="n">
        <f aca="false">IF((H171=0),J171-D171,0)</f>
        <v>7.11727587093154</v>
      </c>
      <c r="L171" s="38" t="n">
        <f aca="true">IF(($H171=0),0,$D$4+$D$5*(RAND()-0.5))</f>
        <v>0</v>
      </c>
      <c r="M171" s="38" t="n">
        <f aca="false">L171+MAX(D171,M170)</f>
        <v>192.663452470274</v>
      </c>
      <c r="N171" s="38" t="n">
        <f aca="false">IF((H171=1),M171-D171,0)</f>
        <v>0</v>
      </c>
      <c r="O171" s="16" t="n">
        <v>154</v>
      </c>
      <c r="P171" s="41" t="n">
        <f aca="false">IF((Arterial=0),P170+1,P170)</f>
        <v>70</v>
      </c>
      <c r="Q171" s="41" t="n">
        <f aca="false">IF((Arterial=1),Q170+1,Q170)</f>
        <v>84</v>
      </c>
      <c r="R171" s="42" t="e">
        <f aca="false">IF((RESET=1),0,R171+K171)</f>
        <v>#N/A</v>
      </c>
      <c r="S171" s="14" t="n">
        <f aca="false">IF(RESET=1,0,S171+N171)</f>
        <v>513.713206216936</v>
      </c>
      <c r="T171" s="2" t="e">
        <f aca="false">IF(RESET=1,0,T171+IF(H171=0,1,0))</f>
        <v>#N/A</v>
      </c>
      <c r="U171" s="2" t="n">
        <f aca="false">IF(RESET=1,0,U171+H171)</f>
        <v>39</v>
      </c>
      <c r="V171" s="14" t="e">
        <f aca="false">R171/(T171+0.00001)</f>
        <v>#N/A</v>
      </c>
      <c r="W171" s="14" t="n">
        <f aca="false">S171/(U171+0.0001)</f>
        <v>13.1720997181273</v>
      </c>
      <c r="X171" s="39" t="n">
        <f aca="false">IF(Informed=1,K171,0)</f>
        <v>0</v>
      </c>
      <c r="Y171" s="39" t="n">
        <f aca="false">IF(Informed=0,K171,0)</f>
        <v>7.11727587093154</v>
      </c>
      <c r="Z171" s="39" t="n">
        <f aca="false">IF(Informed=1,N171,0)</f>
        <v>0</v>
      </c>
      <c r="AA171" s="39" t="n">
        <f aca="false">IF(Informed=0,N171,0)</f>
        <v>0</v>
      </c>
      <c r="AB171" s="43" t="n">
        <f aca="false">IF(Arterial=0,IF(Informed=1,1,0),0)</f>
        <v>0</v>
      </c>
      <c r="AC171" s="43" t="n">
        <f aca="false">IF(Arterial=0,IF(Informed=0,1,0),0)</f>
        <v>1</v>
      </c>
      <c r="AD171" s="43" t="n">
        <f aca="false">IF(Arterial=1,IF(Informed=1,1,0),0)</f>
        <v>0</v>
      </c>
      <c r="AE171" s="43" t="n">
        <f aca="false">IF(Arterial=1,IF(Informed=0,1,0),0)</f>
        <v>0</v>
      </c>
      <c r="AF171" s="35" t="n">
        <f aca="false">IF(AB171=1,(X171-G$1030)^2,0)</f>
        <v>0</v>
      </c>
      <c r="AG171" s="35" t="n">
        <f aca="false">IF(AC171=1,(Y171-H$1030)^2,0)</f>
        <v>14.4895136584167</v>
      </c>
      <c r="AH171" s="35" t="n">
        <f aca="false">IF(AD171=1,(Z171-I$1030)^2,0)</f>
        <v>0</v>
      </c>
      <c r="AI171" s="35" t="n">
        <f aca="false">IF(AE171=1,(AA171-J$1030)^2,0)</f>
        <v>0</v>
      </c>
      <c r="AJ171" s="37" t="n">
        <f aca="true">IF(RAND()&lt;$D$6,1,0)</f>
        <v>0</v>
      </c>
      <c r="AK171" s="14" t="n">
        <f aca="false">AK170+IF((AJ171=1),IF((H171=0),1,0),0)</f>
        <v>0</v>
      </c>
      <c r="AL171" s="14" t="n">
        <f aca="false">AL170+IF((AJ171=1),IF((H171=1),1,0),0)</f>
        <v>0</v>
      </c>
      <c r="AM171" s="37" t="n">
        <f aca="false">IF(AK171=0,9999,IF($H171=0,IF($AJ171&lt;1,AM170+1,0),AM170))</f>
        <v>9999</v>
      </c>
      <c r="AN171" s="37" t="n">
        <f aca="false">IF(AL171=0,9999,IF($H171=1,IF($AJ171&lt;1,AN170+1,0),AN170))</f>
        <v>9999</v>
      </c>
      <c r="AO171" s="37" t="n">
        <f aca="false">IF($A171-AM171&gt;0,1/(1+AM171),0)</f>
        <v>0</v>
      </c>
      <c r="AP171" s="37" t="n">
        <f aca="false">IF($A171-AN171&gt;0,1/(1+AN171),0)</f>
        <v>0</v>
      </c>
      <c r="AQ171" s="7" t="n">
        <f aca="false">IF(AK171=0,0,MAX(MIN(1,AO171^Power),0))</f>
        <v>0</v>
      </c>
      <c r="AR171" s="7" t="n">
        <f aca="false">IF(AL171=0,0,MAX(MIN(1,AP171^Power),0))</f>
        <v>0</v>
      </c>
      <c r="AS171" s="7" t="n">
        <f aca="false">IF($AJ171=1,IF($H171=0,K171,AS170),AS170)</f>
        <v>0</v>
      </c>
      <c r="AT171" s="7" t="n">
        <f aca="false">IF($AJ171=1,IF($H171=1,N171,AT170),AT170)</f>
        <v>0</v>
      </c>
    </row>
    <row r="172" customFormat="false" ht="13" hidden="false" customHeight="false" outlineLevel="0" collapsed="false">
      <c r="A172" s="16" t="n">
        <v>155</v>
      </c>
      <c r="B172" s="37" t="n">
        <f aca="true">IF(RAND()&lt;$D$8,1,0)</f>
        <v>0</v>
      </c>
      <c r="C172" s="20" t="n">
        <f aca="true">-LN(RAND())/$D$2</f>
        <v>0.504454145663769</v>
      </c>
      <c r="D172" s="38" t="n">
        <f aca="false">D171+C172</f>
        <v>185.657344638176</v>
      </c>
      <c r="E172" s="39" t="n">
        <f aca="false">MAX($E$3,AS171)</f>
        <v>0</v>
      </c>
      <c r="F172" s="39" t="n">
        <f aca="false">MAX($E$3,AT171)</f>
        <v>0</v>
      </c>
      <c r="G172" s="40" t="n">
        <v>0.5</v>
      </c>
      <c r="H172" s="38" t="n">
        <f aca="true">IF((B172=1),(IF((F172&lt;E172),1,(IF((F172=E172),(IF(RAND()&lt;G172,1,0)),0)))),(IF((RAND()&lt;G172),1,0)))</f>
        <v>1</v>
      </c>
      <c r="I172" s="38" t="n">
        <f aca="true">IF((H172=1),0,$D$3+$D$5*(RAND()-0.5))</f>
        <v>0</v>
      </c>
      <c r="J172" s="38" t="n">
        <f aca="false">I172+MAX(D172,J171)</f>
        <v>192.270166363443</v>
      </c>
      <c r="K172" s="38" t="n">
        <f aca="false">IF((H172=0),J172-D172,0)</f>
        <v>0</v>
      </c>
      <c r="L172" s="38" t="n">
        <f aca="true">IF(($H172=0),0,$D$4+$D$5*(RAND()-0.5))</f>
        <v>2.09743011326657</v>
      </c>
      <c r="M172" s="38" t="n">
        <f aca="false">L172+MAX(D172,M171)</f>
        <v>194.760882583541</v>
      </c>
      <c r="N172" s="38" t="n">
        <f aca="false">IF((H172=1),M172-D172,0)</f>
        <v>9.10353794536536</v>
      </c>
      <c r="O172" s="16" t="n">
        <v>155</v>
      </c>
      <c r="P172" s="41" t="n">
        <f aca="false">IF((Arterial=0),P171+1,P171)</f>
        <v>70</v>
      </c>
      <c r="Q172" s="41" t="n">
        <f aca="false">IF((Arterial=1),Q171+1,Q171)</f>
        <v>85</v>
      </c>
      <c r="R172" s="42" t="n">
        <f aca="false">IF((RESET=1),0,R172+K172)</f>
        <v>508.692061471633</v>
      </c>
      <c r="S172" s="14" t="e">
        <f aca="false">IF(RESET=1,0,S172+N172)</f>
        <v>#N/A</v>
      </c>
      <c r="T172" s="2" t="n">
        <f aca="false">IF(RESET=1,0,T172+IF(H172=0,1,0))</f>
        <v>45</v>
      </c>
      <c r="U172" s="2" t="e">
        <f aca="false">IF(RESET=1,0,U172+H172)</f>
        <v>#N/A</v>
      </c>
      <c r="V172" s="14" t="n">
        <f aca="false">R172/(T172+0.00001)</f>
        <v>11.3042655206439</v>
      </c>
      <c r="W172" s="14" t="e">
        <f aca="false">S172/(U172+0.0001)</f>
        <v>#N/A</v>
      </c>
      <c r="X172" s="39" t="n">
        <f aca="false">IF(Informed=1,K172,0)</f>
        <v>0</v>
      </c>
      <c r="Y172" s="39" t="n">
        <f aca="false">IF(Informed=0,K172,0)</f>
        <v>0</v>
      </c>
      <c r="Z172" s="39" t="n">
        <f aca="false">IF(Informed=1,N172,0)</f>
        <v>0</v>
      </c>
      <c r="AA172" s="39" t="n">
        <f aca="false">IF(Informed=0,N172,0)</f>
        <v>9.10353794536536</v>
      </c>
      <c r="AB172" s="43" t="n">
        <f aca="false">IF(Arterial=0,IF(Informed=1,1,0),0)</f>
        <v>0</v>
      </c>
      <c r="AC172" s="43" t="n">
        <f aca="false">IF(Arterial=0,IF(Informed=0,1,0),0)</f>
        <v>0</v>
      </c>
      <c r="AD172" s="43" t="n">
        <f aca="false">IF(Arterial=1,IF(Informed=1,1,0),0)</f>
        <v>0</v>
      </c>
      <c r="AE172" s="43" t="n">
        <f aca="false">IF(Arterial=1,IF(Informed=0,1,0),0)</f>
        <v>1</v>
      </c>
      <c r="AF172" s="35" t="n">
        <f aca="false">IF(AB172=1,(X172-G$1030)^2,0)</f>
        <v>0</v>
      </c>
      <c r="AG172" s="35" t="n">
        <f aca="false">IF(AC172=1,(Y172-H$1030)^2,0)</f>
        <v>0</v>
      </c>
      <c r="AH172" s="35" t="n">
        <f aca="false">IF(AD172=1,(Z172-I$1030)^2,0)</f>
        <v>0</v>
      </c>
      <c r="AI172" s="35" t="n">
        <f aca="false">IF(AE172=1,(AA172-J$1030)^2,0)</f>
        <v>418.641760418506</v>
      </c>
      <c r="AJ172" s="37" t="n">
        <f aca="true">IF(RAND()&lt;$D$6,1,0)</f>
        <v>0</v>
      </c>
      <c r="AK172" s="14" t="n">
        <f aca="false">AK171+IF((AJ172=1),IF((H172=0),1,0),0)</f>
        <v>0</v>
      </c>
      <c r="AL172" s="14" t="n">
        <f aca="false">AL171+IF((AJ172=1),IF((H172=1),1,0),0)</f>
        <v>0</v>
      </c>
      <c r="AM172" s="37" t="n">
        <f aca="false">IF(AK172=0,9999,IF($H172=0,IF($AJ172&lt;1,AM171+1,0),AM171))</f>
        <v>9999</v>
      </c>
      <c r="AN172" s="37" t="n">
        <f aca="false">IF(AL172=0,9999,IF($H172=1,IF($AJ172&lt;1,AN171+1,0),AN171))</f>
        <v>9999</v>
      </c>
      <c r="AO172" s="37" t="n">
        <f aca="false">IF($A172-AM172&gt;0,1/(1+AM172),0)</f>
        <v>0</v>
      </c>
      <c r="AP172" s="37" t="n">
        <f aca="false">IF($A172-AN172&gt;0,1/(1+AN172),0)</f>
        <v>0</v>
      </c>
      <c r="AQ172" s="7" t="n">
        <f aca="false">IF(AK172=0,0,MAX(MIN(1,AO172^Power),0))</f>
        <v>0</v>
      </c>
      <c r="AR172" s="7" t="n">
        <f aca="false">IF(AL172=0,0,MAX(MIN(1,AP172^Power),0))</f>
        <v>0</v>
      </c>
      <c r="AS172" s="7" t="n">
        <f aca="false">IF($AJ172=1,IF($H172=0,K172,AS171),AS171)</f>
        <v>0</v>
      </c>
      <c r="AT172" s="7" t="n">
        <f aca="false">IF($AJ172=1,IF($H172=1,N172,AT171),AT171)</f>
        <v>0</v>
      </c>
    </row>
    <row r="173" customFormat="false" ht="13" hidden="false" customHeight="false" outlineLevel="0" collapsed="false">
      <c r="A173" s="16" t="n">
        <v>156</v>
      </c>
      <c r="B173" s="37" t="n">
        <f aca="true">IF(RAND()&lt;$D$8,1,0)</f>
        <v>0</v>
      </c>
      <c r="C173" s="20" t="n">
        <f aca="true">-LN(RAND())/$D$2</f>
        <v>0.476762101713837</v>
      </c>
      <c r="D173" s="38" t="n">
        <f aca="false">D172+C173</f>
        <v>186.13410673989</v>
      </c>
      <c r="E173" s="39" t="n">
        <f aca="false">MAX($E$3,AS172)</f>
        <v>0</v>
      </c>
      <c r="F173" s="39" t="n">
        <f aca="false">MAX($E$3,AT172)</f>
        <v>0</v>
      </c>
      <c r="G173" s="40" t="n">
        <v>0.5</v>
      </c>
      <c r="H173" s="38" t="n">
        <f aca="true">IF((B173=1),(IF((F173&lt;E173),1,(IF((F173=E173),(IF(RAND()&lt;G173,1,0)),0)))),(IF((RAND()&lt;G173),1,0)))</f>
        <v>1</v>
      </c>
      <c r="I173" s="38" t="n">
        <f aca="true">IF((H173=1),0,$D$3+$D$5*(RAND()-0.5))</f>
        <v>0</v>
      </c>
      <c r="J173" s="38" t="n">
        <f aca="false">I173+MAX(D173,J172)</f>
        <v>192.270166363443</v>
      </c>
      <c r="K173" s="38" t="n">
        <f aca="false">IF((H173=0),J173-D173,0)</f>
        <v>0</v>
      </c>
      <c r="L173" s="38" t="n">
        <f aca="true">IF(($H173=0),0,$D$4+$D$5*(RAND()-0.5))</f>
        <v>2.00722805819261</v>
      </c>
      <c r="M173" s="38" t="n">
        <f aca="false">L173+MAX(D173,M172)</f>
        <v>196.768110641734</v>
      </c>
      <c r="N173" s="38" t="n">
        <f aca="false">IF((H173=1),M173-D173,0)</f>
        <v>10.6340039018442</v>
      </c>
      <c r="O173" s="16" t="n">
        <v>156</v>
      </c>
      <c r="P173" s="41" t="n">
        <f aca="false">IF((Arterial=0),P172+1,P172)</f>
        <v>70</v>
      </c>
      <c r="Q173" s="41" t="n">
        <f aca="false">IF((Arterial=1),Q172+1,Q172)</f>
        <v>86</v>
      </c>
      <c r="R173" s="42" t="n">
        <f aca="false">IF((RESET=1),0,R173+K173)</f>
        <v>559.362336615006</v>
      </c>
      <c r="S173" s="14" t="e">
        <f aca="false">IF(RESET=1,0,S173+N173)</f>
        <v>#N/A</v>
      </c>
      <c r="T173" s="2" t="n">
        <f aca="false">IF(RESET=1,0,T173+IF(H173=0,1,0))</f>
        <v>42</v>
      </c>
      <c r="U173" s="2" t="e">
        <f aca="false">IF(RESET=1,0,U173+H173)</f>
        <v>#N/A</v>
      </c>
      <c r="V173" s="14" t="n">
        <f aca="false">R173/(T173+0.00001)</f>
        <v>13.3181477007983</v>
      </c>
      <c r="W173" s="14" t="e">
        <f aca="false">S173/(U173+0.0001)</f>
        <v>#N/A</v>
      </c>
      <c r="X173" s="39" t="n">
        <f aca="false">IF(Informed=1,K173,0)</f>
        <v>0</v>
      </c>
      <c r="Y173" s="39" t="n">
        <f aca="false">IF(Informed=0,K173,0)</f>
        <v>0</v>
      </c>
      <c r="Z173" s="39" t="n">
        <f aca="false">IF(Informed=1,N173,0)</f>
        <v>0</v>
      </c>
      <c r="AA173" s="39" t="n">
        <f aca="false">IF(Informed=0,N173,0)</f>
        <v>10.6340039018442</v>
      </c>
      <c r="AB173" s="43" t="n">
        <f aca="false">IF(Arterial=0,IF(Informed=1,1,0),0)</f>
        <v>0</v>
      </c>
      <c r="AC173" s="43" t="n">
        <f aca="false">IF(Arterial=0,IF(Informed=0,1,0),0)</f>
        <v>0</v>
      </c>
      <c r="AD173" s="43" t="n">
        <f aca="false">IF(Arterial=1,IF(Informed=1,1,0),0)</f>
        <v>0</v>
      </c>
      <c r="AE173" s="43" t="n">
        <f aca="false">IF(Arterial=1,IF(Informed=0,1,0),0)</f>
        <v>1</v>
      </c>
      <c r="AF173" s="35" t="n">
        <f aca="false">IF(AB173=1,(X173-G$1030)^2,0)</f>
        <v>0</v>
      </c>
      <c r="AG173" s="35" t="n">
        <f aca="false">IF(AC173=1,(Y173-H$1030)^2,0)</f>
        <v>0</v>
      </c>
      <c r="AH173" s="35" t="n">
        <f aca="false">IF(AD173=1,(Z173-I$1030)^2,0)</f>
        <v>0</v>
      </c>
      <c r="AI173" s="35" t="n">
        <f aca="false">IF(AE173=1,(AA173-J$1030)^2,0)</f>
        <v>358.355163479231</v>
      </c>
      <c r="AJ173" s="37" t="n">
        <f aca="true">IF(RAND()&lt;$D$6,1,0)</f>
        <v>0</v>
      </c>
      <c r="AK173" s="14" t="n">
        <f aca="false">AK172+IF((AJ173=1),IF((H173=0),1,0),0)</f>
        <v>0</v>
      </c>
      <c r="AL173" s="14" t="n">
        <f aca="false">AL172+IF((AJ173=1),IF((H173=1),1,0),0)</f>
        <v>0</v>
      </c>
      <c r="AM173" s="37" t="n">
        <f aca="false">IF(AK173=0,9999,IF($H173=0,IF($AJ173&lt;1,AM172+1,0),AM172))</f>
        <v>9999</v>
      </c>
      <c r="AN173" s="37" t="n">
        <f aca="false">IF(AL173=0,9999,IF($H173=1,IF($AJ173&lt;1,AN172+1,0),AN172))</f>
        <v>9999</v>
      </c>
      <c r="AO173" s="37" t="n">
        <f aca="false">IF($A173-AM173&gt;0,1/(1+AM173),0)</f>
        <v>0</v>
      </c>
      <c r="AP173" s="37" t="n">
        <f aca="false">IF($A173-AN173&gt;0,1/(1+AN173),0)</f>
        <v>0</v>
      </c>
      <c r="AQ173" s="7" t="n">
        <f aca="false">IF(AK173=0,0,MAX(MIN(1,AO173^Power),0))</f>
        <v>0</v>
      </c>
      <c r="AR173" s="7" t="n">
        <f aca="false">IF(AL173=0,0,MAX(MIN(1,AP173^Power),0))</f>
        <v>0</v>
      </c>
      <c r="AS173" s="7" t="n">
        <f aca="false">IF($AJ173=1,IF($H173=0,K173,AS172),AS172)</f>
        <v>0</v>
      </c>
      <c r="AT173" s="7" t="n">
        <f aca="false">IF($AJ173=1,IF($H173=1,N173,AT172),AT172)</f>
        <v>0</v>
      </c>
    </row>
    <row r="174" customFormat="false" ht="13" hidden="false" customHeight="false" outlineLevel="0" collapsed="false">
      <c r="A174" s="16" t="n">
        <v>157</v>
      </c>
      <c r="B174" s="37" t="n">
        <f aca="true">IF(RAND()&lt;$D$8,1,0)</f>
        <v>1</v>
      </c>
      <c r="C174" s="20" t="n">
        <f aca="true">-LN(RAND())/$D$2</f>
        <v>0.656775308288285</v>
      </c>
      <c r="D174" s="38" t="n">
        <f aca="false">D173+C174</f>
        <v>186.790882048178</v>
      </c>
      <c r="E174" s="39" t="n">
        <f aca="false">MAX($E$3,AS173)</f>
        <v>0</v>
      </c>
      <c r="F174" s="39" t="n">
        <f aca="false">MAX($E$3,AT173)</f>
        <v>0</v>
      </c>
      <c r="G174" s="40" t="n">
        <v>0.5</v>
      </c>
      <c r="H174" s="38" t="n">
        <f aca="true">IF((B174=1),(IF((F174&lt;E174),1,(IF((F174=E174),(IF(RAND()&lt;G174,1,0)),0)))),(IF((RAND()&lt;G174),1,0)))</f>
        <v>1</v>
      </c>
      <c r="I174" s="38" t="n">
        <f aca="true">IF((H174=1),0,$D$3+$D$5*(RAND()-0.5))</f>
        <v>0</v>
      </c>
      <c r="J174" s="38" t="n">
        <f aca="false">I174+MAX(D174,J173)</f>
        <v>192.270166363443</v>
      </c>
      <c r="K174" s="38" t="n">
        <f aca="false">IF((H174=0),J174-D174,0)</f>
        <v>0</v>
      </c>
      <c r="L174" s="38" t="n">
        <f aca="true">IF(($H174=0),0,$D$4+$D$5*(RAND()-0.5))</f>
        <v>2.21031681552859</v>
      </c>
      <c r="M174" s="38" t="n">
        <f aca="false">L174+MAX(D174,M173)</f>
        <v>198.978427457262</v>
      </c>
      <c r="N174" s="38" t="n">
        <f aca="false">IF((H174=1),M174-D174,0)</f>
        <v>12.1875454090845</v>
      </c>
      <c r="O174" s="16" t="n">
        <v>157</v>
      </c>
      <c r="P174" s="41" t="n">
        <f aca="false">IF((Arterial=0),P173+1,P173)</f>
        <v>70</v>
      </c>
      <c r="Q174" s="41" t="n">
        <f aca="false">IF((Arterial=1),Q173+1,Q173)</f>
        <v>87</v>
      </c>
      <c r="R174" s="42" t="n">
        <f aca="false">IF((RESET=1),0,R174+K174)</f>
        <v>540.04458676884</v>
      </c>
      <c r="S174" s="14" t="e">
        <f aca="false">IF(RESET=1,0,S174+N174)</f>
        <v>#N/A</v>
      </c>
      <c r="T174" s="2" t="n">
        <f aca="false">IF(RESET=1,0,T174+IF(H174=0,1,0))</f>
        <v>43</v>
      </c>
      <c r="U174" s="2" t="e">
        <f aca="false">IF(RESET=1,0,U174+H174)</f>
        <v>#N/A</v>
      </c>
      <c r="V174" s="14" t="n">
        <f aca="false">R174/(T174+0.00001)</f>
        <v>12.5591735157466</v>
      </c>
      <c r="W174" s="14" t="e">
        <f aca="false">S174/(U174+0.0001)</f>
        <v>#N/A</v>
      </c>
      <c r="X174" s="39" t="n">
        <f aca="false">IF(Informed=1,K174,0)</f>
        <v>0</v>
      </c>
      <c r="Y174" s="39" t="n">
        <f aca="false">IF(Informed=0,K174,0)</f>
        <v>0</v>
      </c>
      <c r="Z174" s="39" t="n">
        <f aca="false">IF(Informed=1,N174,0)</f>
        <v>12.1875454090845</v>
      </c>
      <c r="AA174" s="39" t="n">
        <f aca="false">IF(Informed=0,N174,0)</f>
        <v>0</v>
      </c>
      <c r="AB174" s="43" t="n">
        <f aca="false">IF(Arterial=0,IF(Informed=1,1,0),0)</f>
        <v>0</v>
      </c>
      <c r="AC174" s="43" t="n">
        <f aca="false">IF(Arterial=0,IF(Informed=0,1,0),0)</f>
        <v>0</v>
      </c>
      <c r="AD174" s="43" t="n">
        <f aca="false">IF(Arterial=1,IF(Informed=1,1,0),0)</f>
        <v>1</v>
      </c>
      <c r="AE174" s="43" t="n">
        <f aca="false">IF(Arterial=1,IF(Informed=0,1,0),0)</f>
        <v>0</v>
      </c>
      <c r="AF174" s="35" t="n">
        <f aca="false">IF(AB174=1,(X174-G$1030)^2,0)</f>
        <v>0</v>
      </c>
      <c r="AG174" s="35" t="n">
        <f aca="false">IF(AC174=1,(Y174-H$1030)^2,0)</f>
        <v>0</v>
      </c>
      <c r="AH174" s="35" t="n">
        <f aca="false">IF(AD174=1,(Z174-I$1030)^2,0)</f>
        <v>262.028337606266</v>
      </c>
      <c r="AI174" s="35" t="n">
        <f aca="false">IF(AE174=1,(AA174-J$1030)^2,0)</f>
        <v>0</v>
      </c>
      <c r="AJ174" s="37" t="n">
        <f aca="true">IF(RAND()&lt;$D$6,1,0)</f>
        <v>0</v>
      </c>
      <c r="AK174" s="14" t="n">
        <f aca="false">AK173+IF((AJ174=1),IF((H174=0),1,0),0)</f>
        <v>0</v>
      </c>
      <c r="AL174" s="14" t="n">
        <f aca="false">AL173+IF((AJ174=1),IF((H174=1),1,0),0)</f>
        <v>0</v>
      </c>
      <c r="AM174" s="37" t="n">
        <f aca="false">IF(AK174=0,9999,IF($H174=0,IF($AJ174&lt;1,AM173+1,0),AM173))</f>
        <v>9999</v>
      </c>
      <c r="AN174" s="37" t="n">
        <f aca="false">IF(AL174=0,9999,IF($H174=1,IF($AJ174&lt;1,AN173+1,0),AN173))</f>
        <v>9999</v>
      </c>
      <c r="AO174" s="37" t="n">
        <f aca="false">IF($A174-AM174&gt;0,1/(1+AM174),0)</f>
        <v>0</v>
      </c>
      <c r="AP174" s="37" t="n">
        <f aca="false">IF($A174-AN174&gt;0,1/(1+AN174),0)</f>
        <v>0</v>
      </c>
      <c r="AQ174" s="7" t="n">
        <f aca="false">IF(AK174=0,0,MAX(MIN(1,AO174^Power),0))</f>
        <v>0</v>
      </c>
      <c r="AR174" s="7" t="n">
        <f aca="false">IF(AL174=0,0,MAX(MIN(1,AP174^Power),0))</f>
        <v>0</v>
      </c>
      <c r="AS174" s="7" t="n">
        <f aca="false">IF($AJ174=1,IF($H174=0,K174,AS173),AS173)</f>
        <v>0</v>
      </c>
      <c r="AT174" s="7" t="n">
        <f aca="false">IF($AJ174=1,IF($H174=1,N174,AT173),AT173)</f>
        <v>0</v>
      </c>
    </row>
    <row r="175" customFormat="false" ht="13" hidden="false" customHeight="false" outlineLevel="0" collapsed="false">
      <c r="A175" s="16" t="n">
        <v>158</v>
      </c>
      <c r="B175" s="37" t="n">
        <f aca="true">IF(RAND()&lt;$D$8,1,0)</f>
        <v>0</v>
      </c>
      <c r="C175" s="20" t="n">
        <f aca="true">-LN(RAND())/$D$2</f>
        <v>4.05252108826022</v>
      </c>
      <c r="D175" s="38" t="n">
        <f aca="false">D174+C175</f>
        <v>190.843403136438</v>
      </c>
      <c r="E175" s="39" t="n">
        <f aca="false">MAX($E$3,AS174)</f>
        <v>0</v>
      </c>
      <c r="F175" s="39" t="n">
        <f aca="false">MAX($E$3,AT174)</f>
        <v>0</v>
      </c>
      <c r="G175" s="40" t="n">
        <v>0.5</v>
      </c>
      <c r="H175" s="38" t="n">
        <f aca="true">IF((B175=1),(IF((F175&lt;E175),1,(IF((F175=E175),(IF(RAND()&lt;G175,1,0)),0)))),(IF((RAND()&lt;G175),1,0)))</f>
        <v>0</v>
      </c>
      <c r="I175" s="38" t="n">
        <f aca="true">IF((H175=1),0,$D$3+$D$5*(RAND()-0.5))</f>
        <v>2.20441327687055</v>
      </c>
      <c r="J175" s="38" t="n">
        <f aca="false">I175+MAX(D175,J174)</f>
        <v>194.474579640314</v>
      </c>
      <c r="K175" s="38" t="n">
        <f aca="false">IF((H175=0),J175-D175,0)</f>
        <v>3.63117650387599</v>
      </c>
      <c r="L175" s="38" t="n">
        <f aca="true">IF(($H175=0),0,$D$4+$D$5*(RAND()-0.5))</f>
        <v>0</v>
      </c>
      <c r="M175" s="38" t="n">
        <f aca="false">L175+MAX(D175,M174)</f>
        <v>198.978427457262</v>
      </c>
      <c r="N175" s="38" t="n">
        <f aca="false">IF((H175=1),M175-D175,0)</f>
        <v>0</v>
      </c>
      <c r="O175" s="16" t="n">
        <v>158</v>
      </c>
      <c r="P175" s="41" t="n">
        <f aca="false">IF((Arterial=0),P174+1,P174)</f>
        <v>71</v>
      </c>
      <c r="Q175" s="41" t="n">
        <f aca="false">IF((Arterial=1),Q174+1,Q174)</f>
        <v>87</v>
      </c>
      <c r="R175" s="42" t="e">
        <f aca="false">IF((RESET=1),0,R175+K175)</f>
        <v>#N/A</v>
      </c>
      <c r="S175" s="14" t="n">
        <f aca="false">IF(RESET=1,0,S175+N175)</f>
        <v>483.478176330058</v>
      </c>
      <c r="T175" s="2" t="e">
        <f aca="false">IF(RESET=1,0,T175+IF(H175=0,1,0))</f>
        <v>#N/A</v>
      </c>
      <c r="U175" s="2" t="n">
        <f aca="false">IF(RESET=1,0,U175+H175)</f>
        <v>40</v>
      </c>
      <c r="V175" s="14" t="e">
        <f aca="false">R175/(T175+0.00001)</f>
        <v>#N/A</v>
      </c>
      <c r="W175" s="14" t="n">
        <f aca="false">S175/(U175+0.0001)</f>
        <v>12.086924190941</v>
      </c>
      <c r="X175" s="39" t="n">
        <f aca="false">IF(Informed=1,K175,0)</f>
        <v>0</v>
      </c>
      <c r="Y175" s="39" t="n">
        <f aca="false">IF(Informed=0,K175,0)</f>
        <v>3.63117650387599</v>
      </c>
      <c r="Z175" s="39" t="n">
        <f aca="false">IF(Informed=1,N175,0)</f>
        <v>0</v>
      </c>
      <c r="AA175" s="39" t="n">
        <f aca="false">IF(Informed=0,N175,0)</f>
        <v>0</v>
      </c>
      <c r="AB175" s="43" t="n">
        <f aca="false">IF(Arterial=0,IF(Informed=1,1,0),0)</f>
        <v>0</v>
      </c>
      <c r="AC175" s="43" t="n">
        <f aca="false">IF(Arterial=0,IF(Informed=0,1,0),0)</f>
        <v>1</v>
      </c>
      <c r="AD175" s="43" t="n">
        <f aca="false">IF(Arterial=1,IF(Informed=1,1,0),0)</f>
        <v>0</v>
      </c>
      <c r="AE175" s="43" t="n">
        <f aca="false">IF(Arterial=1,IF(Informed=0,1,0),0)</f>
        <v>0</v>
      </c>
      <c r="AF175" s="35" t="n">
        <f aca="false">IF(AB175=1,(X175-G$1030)^2,0)</f>
        <v>0</v>
      </c>
      <c r="AG175" s="35" t="n">
        <f aca="false">IF(AC175=1,(Y175-H$1030)^2,0)</f>
        <v>53.182142334544</v>
      </c>
      <c r="AH175" s="35" t="n">
        <f aca="false">IF(AD175=1,(Z175-I$1030)^2,0)</f>
        <v>0</v>
      </c>
      <c r="AI175" s="35" t="n">
        <f aca="false">IF(AE175=1,(AA175-J$1030)^2,0)</f>
        <v>0</v>
      </c>
      <c r="AJ175" s="37" t="n">
        <f aca="true">IF(RAND()&lt;$D$6,1,0)</f>
        <v>0</v>
      </c>
      <c r="AK175" s="14" t="n">
        <f aca="false">AK174+IF((AJ175=1),IF((H175=0),1,0),0)</f>
        <v>0</v>
      </c>
      <c r="AL175" s="14" t="n">
        <f aca="false">AL174+IF((AJ175=1),IF((H175=1),1,0),0)</f>
        <v>0</v>
      </c>
      <c r="AM175" s="37" t="n">
        <f aca="false">IF(AK175=0,9999,IF($H175=0,IF($AJ175&lt;1,AM174+1,0),AM174))</f>
        <v>9999</v>
      </c>
      <c r="AN175" s="37" t="n">
        <f aca="false">IF(AL175=0,9999,IF($H175=1,IF($AJ175&lt;1,AN174+1,0),AN174))</f>
        <v>9999</v>
      </c>
      <c r="AO175" s="37" t="n">
        <f aca="false">IF($A175-AM175&gt;0,1/(1+AM175),0)</f>
        <v>0</v>
      </c>
      <c r="AP175" s="37" t="n">
        <f aca="false">IF($A175-AN175&gt;0,1/(1+AN175),0)</f>
        <v>0</v>
      </c>
      <c r="AQ175" s="7" t="n">
        <f aca="false">IF(AK175=0,0,MAX(MIN(1,AO175^Power),0))</f>
        <v>0</v>
      </c>
      <c r="AR175" s="7" t="n">
        <f aca="false">IF(AL175=0,0,MAX(MIN(1,AP175^Power),0))</f>
        <v>0</v>
      </c>
      <c r="AS175" s="7" t="n">
        <f aca="false">IF($AJ175=1,IF($H175=0,K175,AS174),AS174)</f>
        <v>0</v>
      </c>
      <c r="AT175" s="7" t="n">
        <f aca="false">IF($AJ175=1,IF($H175=1,N175,AT174),AT174)</f>
        <v>0</v>
      </c>
    </row>
    <row r="176" customFormat="false" ht="13" hidden="false" customHeight="false" outlineLevel="0" collapsed="false">
      <c r="A176" s="16" t="n">
        <v>159</v>
      </c>
      <c r="B176" s="37" t="n">
        <f aca="true">IF(RAND()&lt;$D$8,1,0)</f>
        <v>0</v>
      </c>
      <c r="C176" s="20" t="n">
        <f aca="true">-LN(RAND())/$D$2</f>
        <v>0.603296477283774</v>
      </c>
      <c r="D176" s="38" t="n">
        <f aca="false">D175+C176</f>
        <v>191.446699613722</v>
      </c>
      <c r="E176" s="39" t="n">
        <f aca="false">MAX($E$3,AS175)</f>
        <v>0</v>
      </c>
      <c r="F176" s="39" t="n">
        <f aca="false">MAX($E$3,AT175)</f>
        <v>0</v>
      </c>
      <c r="G176" s="40" t="n">
        <v>0.5</v>
      </c>
      <c r="H176" s="38" t="n">
        <f aca="true">IF((B176=1),(IF((F176&lt;E176),1,(IF((F176=E176),(IF(RAND()&lt;G176,1,0)),0)))),(IF((RAND()&lt;G176),1,0)))</f>
        <v>0</v>
      </c>
      <c r="I176" s="38" t="n">
        <f aca="true">IF((H176=1),0,$D$3+$D$5*(RAND()-0.5))</f>
        <v>2.15387214222152</v>
      </c>
      <c r="J176" s="38" t="n">
        <f aca="false">I176+MAX(D176,J175)</f>
        <v>196.628451782536</v>
      </c>
      <c r="K176" s="38" t="n">
        <f aca="false">IF((H176=0),J176-D176,0)</f>
        <v>5.18175216881375</v>
      </c>
      <c r="L176" s="38" t="n">
        <f aca="true">IF(($H176=0),0,$D$4+$D$5*(RAND()-0.5))</f>
        <v>0</v>
      </c>
      <c r="M176" s="38" t="n">
        <f aca="false">L176+MAX(D176,M175)</f>
        <v>198.978427457262</v>
      </c>
      <c r="N176" s="38" t="n">
        <f aca="false">IF((H176=1),M176-D176,0)</f>
        <v>0</v>
      </c>
      <c r="O176" s="16" t="n">
        <v>159</v>
      </c>
      <c r="P176" s="41" t="n">
        <f aca="false">IF((Arterial=0),P175+1,P175)</f>
        <v>72</v>
      </c>
      <c r="Q176" s="41" t="n">
        <f aca="false">IF((Arterial=1),Q175+1,Q175)</f>
        <v>87</v>
      </c>
      <c r="R176" s="42" t="e">
        <f aca="false">IF((RESET=1),0,R176+K176)</f>
        <v>#N/A</v>
      </c>
      <c r="S176" s="14" t="n">
        <f aca="false">IF(RESET=1,0,S176+N176)</f>
        <v>339.310066408789</v>
      </c>
      <c r="T176" s="2" t="e">
        <f aca="false">IF(RESET=1,0,T176+IF(H176=0,1,0))</f>
        <v>#N/A</v>
      </c>
      <c r="U176" s="2" t="n">
        <f aca="false">IF(RESET=1,0,U176+H176)</f>
        <v>31</v>
      </c>
      <c r="V176" s="14" t="e">
        <f aca="false">R176/(T176+0.00001)</f>
        <v>#N/A</v>
      </c>
      <c r="W176" s="14" t="n">
        <f aca="false">S176/(U176+0.0001)</f>
        <v>10.9454507052812</v>
      </c>
      <c r="X176" s="39" t="n">
        <f aca="false">IF(Informed=1,K176,0)</f>
        <v>0</v>
      </c>
      <c r="Y176" s="39" t="n">
        <f aca="false">IF(Informed=0,K176,0)</f>
        <v>5.18175216881375</v>
      </c>
      <c r="Z176" s="39" t="n">
        <f aca="false">IF(Informed=1,N176,0)</f>
        <v>0</v>
      </c>
      <c r="AA176" s="39" t="n">
        <f aca="false">IF(Informed=0,N176,0)</f>
        <v>0</v>
      </c>
      <c r="AB176" s="43" t="n">
        <f aca="false">IF(Arterial=0,IF(Informed=1,1,0),0)</f>
        <v>0</v>
      </c>
      <c r="AC176" s="43" t="n">
        <f aca="false">IF(Arterial=0,IF(Informed=0,1,0),0)</f>
        <v>1</v>
      </c>
      <c r="AD176" s="43" t="n">
        <f aca="false">IF(Arterial=1,IF(Informed=1,1,0),0)</f>
        <v>0</v>
      </c>
      <c r="AE176" s="43" t="n">
        <f aca="false">IF(Arterial=1,IF(Informed=0,1,0),0)</f>
        <v>0</v>
      </c>
      <c r="AF176" s="35" t="n">
        <f aca="false">IF(AB176=1,(X176-G$1030)^2,0)</f>
        <v>0</v>
      </c>
      <c r="AG176" s="35" t="n">
        <f aca="false">IF(AC176=1,(Y176-H$1030)^2,0)</f>
        <v>32.9709439137045</v>
      </c>
      <c r="AH176" s="35" t="n">
        <f aca="false">IF(AD176=1,(Z176-I$1030)^2,0)</f>
        <v>0</v>
      </c>
      <c r="AI176" s="35" t="n">
        <f aca="false">IF(AE176=1,(AA176-J$1030)^2,0)</f>
        <v>0</v>
      </c>
      <c r="AJ176" s="37" t="n">
        <f aca="true">IF(RAND()&lt;$D$6,1,0)</f>
        <v>0</v>
      </c>
      <c r="AK176" s="14" t="n">
        <f aca="false">AK175+IF((AJ176=1),IF((H176=0),1,0),0)</f>
        <v>0</v>
      </c>
      <c r="AL176" s="14" t="n">
        <f aca="false">AL175+IF((AJ176=1),IF((H176=1),1,0),0)</f>
        <v>0</v>
      </c>
      <c r="AM176" s="37" t="n">
        <f aca="false">IF(AK176=0,9999,IF($H176=0,IF($AJ176&lt;1,AM175+1,0),AM175))</f>
        <v>9999</v>
      </c>
      <c r="AN176" s="37" t="n">
        <f aca="false">IF(AL176=0,9999,IF($H176=1,IF($AJ176&lt;1,AN175+1,0),AN175))</f>
        <v>9999</v>
      </c>
      <c r="AO176" s="37" t="n">
        <f aca="false">IF($A176-AM176&gt;0,1/(1+AM176),0)</f>
        <v>0</v>
      </c>
      <c r="AP176" s="37" t="n">
        <f aca="false">IF($A176-AN176&gt;0,1/(1+AN176),0)</f>
        <v>0</v>
      </c>
      <c r="AQ176" s="7" t="n">
        <f aca="false">IF(AK176=0,0,MAX(MIN(1,AO176^Power),0))</f>
        <v>0</v>
      </c>
      <c r="AR176" s="7" t="n">
        <f aca="false">IF(AL176=0,0,MAX(MIN(1,AP176^Power),0))</f>
        <v>0</v>
      </c>
      <c r="AS176" s="7" t="n">
        <f aca="false">IF($AJ176=1,IF($H176=0,K176,AS175),AS175)</f>
        <v>0</v>
      </c>
      <c r="AT176" s="7" t="n">
        <f aca="false">IF($AJ176=1,IF($H176=1,N176,AT175),AT175)</f>
        <v>0</v>
      </c>
    </row>
    <row r="177" customFormat="false" ht="13" hidden="false" customHeight="false" outlineLevel="0" collapsed="false">
      <c r="A177" s="16" t="n">
        <v>160</v>
      </c>
      <c r="B177" s="37" t="n">
        <f aca="true">IF(RAND()&lt;$D$8,1,0)</f>
        <v>1</v>
      </c>
      <c r="C177" s="20" t="n">
        <f aca="true">-LN(RAND())/$D$2</f>
        <v>0.185330962292224</v>
      </c>
      <c r="D177" s="38" t="n">
        <f aca="false">D176+C177</f>
        <v>191.632030576014</v>
      </c>
      <c r="E177" s="39" t="n">
        <f aca="false">MAX($E$3,AS176)</f>
        <v>0</v>
      </c>
      <c r="F177" s="39" t="n">
        <f aca="false">MAX($E$3,AT176)</f>
        <v>0</v>
      </c>
      <c r="G177" s="40" t="n">
        <v>0.5</v>
      </c>
      <c r="H177" s="38" t="n">
        <f aca="true">IF((B177=1),(IF((F177&lt;E177),1,(IF((F177=E177),(IF(RAND()&lt;G177,1,0)),0)))),(IF((RAND()&lt;G177),1,0)))</f>
        <v>0</v>
      </c>
      <c r="I177" s="38" t="n">
        <f aca="true">IF((H177=1),0,$D$3+$D$5*(RAND()-0.5))</f>
        <v>1.96817320672501</v>
      </c>
      <c r="J177" s="38" t="n">
        <f aca="false">I177+MAX(D177,J176)</f>
        <v>198.596624989261</v>
      </c>
      <c r="K177" s="38" t="n">
        <f aca="false">IF((H177=0),J177-D177,0)</f>
        <v>6.96459441324652</v>
      </c>
      <c r="L177" s="38" t="n">
        <f aca="true">IF(($H177=0),0,$D$4+$D$5*(RAND()-0.5))</f>
        <v>0</v>
      </c>
      <c r="M177" s="38" t="n">
        <f aca="false">L177+MAX(D177,M176)</f>
        <v>198.978427457262</v>
      </c>
      <c r="N177" s="38" t="n">
        <f aca="false">IF((H177=1),M177-D177,0)</f>
        <v>0</v>
      </c>
      <c r="O177" s="16" t="n">
        <v>160</v>
      </c>
      <c r="P177" s="41" t="n">
        <f aca="false">IF((Arterial=0),P176+1,P176)</f>
        <v>73</v>
      </c>
      <c r="Q177" s="41" t="n">
        <f aca="false">IF((Arterial=1),Q176+1,Q176)</f>
        <v>87</v>
      </c>
      <c r="R177" s="42" t="e">
        <f aca="false">IF((RESET=1),0,R177+K177)</f>
        <v>#N/A</v>
      </c>
      <c r="S177" s="14" t="n">
        <f aca="false">IF(RESET=1,0,S177+N177)</f>
        <v>463.867809044311</v>
      </c>
      <c r="T177" s="2" t="e">
        <f aca="false">IF(RESET=1,0,T177+IF(H177=0,1,0))</f>
        <v>#N/A</v>
      </c>
      <c r="U177" s="2" t="n">
        <f aca="false">IF(RESET=1,0,U177+H177)</f>
        <v>43</v>
      </c>
      <c r="V177" s="14" t="e">
        <f aca="false">R177/(T177+0.00001)</f>
        <v>#N/A</v>
      </c>
      <c r="W177" s="14" t="n">
        <f aca="false">S177/(U177+0.0001)</f>
        <v>10.7875983787087</v>
      </c>
      <c r="X177" s="39" t="n">
        <f aca="false">IF(Informed=1,K177,0)</f>
        <v>6.96459441324652</v>
      </c>
      <c r="Y177" s="39" t="n">
        <f aca="false">IF(Informed=0,K177,0)</f>
        <v>0</v>
      </c>
      <c r="Z177" s="39" t="n">
        <f aca="false">IF(Informed=1,N177,0)</f>
        <v>0</v>
      </c>
      <c r="AA177" s="39" t="n">
        <f aca="false">IF(Informed=0,N177,0)</f>
        <v>0</v>
      </c>
      <c r="AB177" s="43" t="n">
        <f aca="false">IF(Arterial=0,IF(Informed=1,1,0),0)</f>
        <v>1</v>
      </c>
      <c r="AC177" s="43" t="n">
        <f aca="false">IF(Arterial=0,IF(Informed=0,1,0),0)</f>
        <v>0</v>
      </c>
      <c r="AD177" s="43" t="n">
        <f aca="false">IF(Arterial=1,IF(Informed=1,1,0),0)</f>
        <v>0</v>
      </c>
      <c r="AE177" s="43" t="n">
        <f aca="false">IF(Arterial=1,IF(Informed=0,1,0),0)</f>
        <v>0</v>
      </c>
      <c r="AF177" s="35" t="n">
        <f aca="false">IF(AB177=1,(X177-G$1030)^2,0)</f>
        <v>14.0256528827298</v>
      </c>
      <c r="AG177" s="35" t="n">
        <f aca="false">IF(AC177=1,(Y177-H$1030)^2,0)</f>
        <v>0</v>
      </c>
      <c r="AH177" s="35" t="n">
        <f aca="false">IF(AD177=1,(Z177-I$1030)^2,0)</f>
        <v>0</v>
      </c>
      <c r="AI177" s="35" t="n">
        <f aca="false">IF(AE177=1,(AA177-J$1030)^2,0)</f>
        <v>0</v>
      </c>
      <c r="AJ177" s="37" t="n">
        <f aca="true">IF(RAND()&lt;$D$6,1,0)</f>
        <v>0</v>
      </c>
      <c r="AK177" s="14" t="n">
        <f aca="false">AK176+IF((AJ177=1),IF((H177=0),1,0),0)</f>
        <v>0</v>
      </c>
      <c r="AL177" s="14" t="n">
        <f aca="false">AL176+IF((AJ177=1),IF((H177=1),1,0),0)</f>
        <v>0</v>
      </c>
      <c r="AM177" s="37" t="n">
        <f aca="false">IF(AK177=0,9999,IF($H177=0,IF($AJ177&lt;1,AM176+1,0),AM176))</f>
        <v>9999</v>
      </c>
      <c r="AN177" s="37" t="n">
        <f aca="false">IF(AL177=0,9999,IF($H177=1,IF($AJ177&lt;1,AN176+1,0),AN176))</f>
        <v>9999</v>
      </c>
      <c r="AO177" s="37" t="n">
        <f aca="false">IF($A177-AM177&gt;0,1/(1+AM177),0)</f>
        <v>0</v>
      </c>
      <c r="AP177" s="37" t="n">
        <f aca="false">IF($A177-AN177&gt;0,1/(1+AN177),0)</f>
        <v>0</v>
      </c>
      <c r="AQ177" s="7" t="n">
        <f aca="false">IF(AK177=0,0,MAX(MIN(1,AO177^Power),0))</f>
        <v>0</v>
      </c>
      <c r="AR177" s="7" t="n">
        <f aca="false">IF(AL177=0,0,MAX(MIN(1,AP177^Power),0))</f>
        <v>0</v>
      </c>
      <c r="AS177" s="7" t="n">
        <f aca="false">IF($AJ177=1,IF($H177=0,K177,AS176),AS176)</f>
        <v>0</v>
      </c>
      <c r="AT177" s="7" t="n">
        <f aca="false">IF($AJ177=1,IF($H177=1,N177,AT176),AT176)</f>
        <v>0</v>
      </c>
    </row>
    <row r="178" customFormat="false" ht="13" hidden="false" customHeight="false" outlineLevel="0" collapsed="false">
      <c r="A178" s="16" t="n">
        <v>161</v>
      </c>
      <c r="B178" s="37" t="n">
        <f aca="true">IF(RAND()&lt;$D$8,1,0)</f>
        <v>0</v>
      </c>
      <c r="C178" s="20" t="n">
        <f aca="true">-LN(RAND())/$D$2</f>
        <v>1.73455712130668</v>
      </c>
      <c r="D178" s="38" t="n">
        <f aca="false">D177+C178</f>
        <v>193.366587697321</v>
      </c>
      <c r="E178" s="39" t="n">
        <f aca="false">MAX($E$3,AS177)</f>
        <v>0</v>
      </c>
      <c r="F178" s="39" t="n">
        <f aca="false">MAX($E$3,AT177)</f>
        <v>0</v>
      </c>
      <c r="G178" s="40" t="n">
        <v>0.5</v>
      </c>
      <c r="H178" s="38" t="n">
        <f aca="true">IF((B178=1),(IF((F178&lt;E178),1,(IF((F178=E178),(IF(RAND()&lt;G178,1,0)),0)))),(IF((RAND()&lt;G178),1,0)))</f>
        <v>1</v>
      </c>
      <c r="I178" s="38" t="n">
        <f aca="true">IF((H178=1),0,$D$3+$D$5*(RAND()-0.5))</f>
        <v>0</v>
      </c>
      <c r="J178" s="38" t="n">
        <f aca="false">I178+MAX(D178,J177)</f>
        <v>198.596624989261</v>
      </c>
      <c r="K178" s="38" t="n">
        <f aca="false">IF((H178=0),J178-D178,0)</f>
        <v>0</v>
      </c>
      <c r="L178" s="38" t="n">
        <f aca="true">IF(($H178=0),0,$D$4+$D$5*(RAND()-0.5))</f>
        <v>2.08206686008272</v>
      </c>
      <c r="M178" s="38" t="n">
        <f aca="false">L178+MAX(D178,M177)</f>
        <v>201.060494317345</v>
      </c>
      <c r="N178" s="38" t="n">
        <f aca="false">IF((H178=1),M178-D178,0)</f>
        <v>7.69390662002428</v>
      </c>
      <c r="O178" s="16" t="n">
        <v>161</v>
      </c>
      <c r="P178" s="41" t="n">
        <f aca="false">IF((Arterial=0),P177+1,P177)</f>
        <v>73</v>
      </c>
      <c r="Q178" s="41" t="n">
        <f aca="false">IF((Arterial=1),Q177+1,Q177)</f>
        <v>88</v>
      </c>
      <c r="R178" s="42" t="n">
        <f aca="false">IF((RESET=1),0,R178+K178)</f>
        <v>589.718857540354</v>
      </c>
      <c r="S178" s="14" t="e">
        <f aca="false">IF(RESET=1,0,S178+N178)</f>
        <v>#N/A</v>
      </c>
      <c r="T178" s="2" t="n">
        <f aca="false">IF(RESET=1,0,T178+IF(H178=0,1,0))</f>
        <v>47</v>
      </c>
      <c r="U178" s="2" t="e">
        <f aca="false">IF(RESET=1,0,U178+H178)</f>
        <v>#N/A</v>
      </c>
      <c r="V178" s="14" t="n">
        <f aca="false">R178/(T178+0.00001)</f>
        <v>12.5472070652826</v>
      </c>
      <c r="W178" s="14" t="e">
        <f aca="false">S178/(U178+0.0001)</f>
        <v>#N/A</v>
      </c>
      <c r="X178" s="39" t="n">
        <f aca="false">IF(Informed=1,K178,0)</f>
        <v>0</v>
      </c>
      <c r="Y178" s="39" t="n">
        <f aca="false">IF(Informed=0,K178,0)</f>
        <v>0</v>
      </c>
      <c r="Z178" s="39" t="n">
        <f aca="false">IF(Informed=1,N178,0)</f>
        <v>0</v>
      </c>
      <c r="AA178" s="39" t="n">
        <f aca="false">IF(Informed=0,N178,0)</f>
        <v>7.69390662002428</v>
      </c>
      <c r="AB178" s="43" t="n">
        <f aca="false">IF(Arterial=0,IF(Informed=1,1,0),0)</f>
        <v>0</v>
      </c>
      <c r="AC178" s="43" t="n">
        <f aca="false">IF(Arterial=0,IF(Informed=0,1,0),0)</f>
        <v>0</v>
      </c>
      <c r="AD178" s="43" t="n">
        <f aca="false">IF(Arterial=1,IF(Informed=1,1,0),0)</f>
        <v>0</v>
      </c>
      <c r="AE178" s="43" t="n">
        <f aca="false">IF(Arterial=1,IF(Informed=0,1,0),0)</f>
        <v>1</v>
      </c>
      <c r="AF178" s="35" t="n">
        <f aca="false">IF(AB178=1,(X178-G$1030)^2,0)</f>
        <v>0</v>
      </c>
      <c r="AG178" s="35" t="n">
        <f aca="false">IF(AC178=1,(Y178-H$1030)^2,0)</f>
        <v>0</v>
      </c>
      <c r="AH178" s="35" t="n">
        <f aca="false">IF(AD178=1,(Z178-I$1030)^2,0)</f>
        <v>0</v>
      </c>
      <c r="AI178" s="35" t="n">
        <f aca="false">IF(AE178=1,(AA178-J$1030)^2,0)</f>
        <v>478.313012647864</v>
      </c>
      <c r="AJ178" s="37" t="n">
        <f aca="true">IF(RAND()&lt;$D$6,1,0)</f>
        <v>0</v>
      </c>
      <c r="AK178" s="14" t="n">
        <f aca="false">AK177+IF((AJ178=1),IF((H178=0),1,0),0)</f>
        <v>0</v>
      </c>
      <c r="AL178" s="14" t="n">
        <f aca="false">AL177+IF((AJ178=1),IF((H178=1),1,0),0)</f>
        <v>0</v>
      </c>
      <c r="AM178" s="37" t="n">
        <f aca="false">IF(AK178=0,9999,IF($H178=0,IF($AJ178&lt;1,AM177+1,0),AM177))</f>
        <v>9999</v>
      </c>
      <c r="AN178" s="37" t="n">
        <f aca="false">IF(AL178=0,9999,IF($H178=1,IF($AJ178&lt;1,AN177+1,0),AN177))</f>
        <v>9999</v>
      </c>
      <c r="AO178" s="37" t="n">
        <f aca="false">IF($A178-AM178&gt;0,1/(1+AM178),0)</f>
        <v>0</v>
      </c>
      <c r="AP178" s="37" t="n">
        <f aca="false">IF($A178-AN178&gt;0,1/(1+AN178),0)</f>
        <v>0</v>
      </c>
      <c r="AQ178" s="7" t="n">
        <f aca="false">IF(AK178=0,0,MAX(MIN(1,AO178^Power),0))</f>
        <v>0</v>
      </c>
      <c r="AR178" s="7" t="n">
        <f aca="false">IF(AL178=0,0,MAX(MIN(1,AP178^Power),0))</f>
        <v>0</v>
      </c>
      <c r="AS178" s="7" t="n">
        <f aca="false">IF($AJ178=1,IF($H178=0,K178,AS177),AS177)</f>
        <v>0</v>
      </c>
      <c r="AT178" s="7" t="n">
        <f aca="false">IF($AJ178=1,IF($H178=1,N178,AT177),AT177)</f>
        <v>0</v>
      </c>
    </row>
    <row r="179" customFormat="false" ht="13" hidden="false" customHeight="false" outlineLevel="0" collapsed="false">
      <c r="A179" s="16" t="n">
        <v>162</v>
      </c>
      <c r="B179" s="37" t="n">
        <f aca="true">IF(RAND()&lt;$D$8,1,0)</f>
        <v>0</v>
      </c>
      <c r="C179" s="20" t="n">
        <f aca="true">-LN(RAND())/$D$2</f>
        <v>0.00831119266044354</v>
      </c>
      <c r="D179" s="38" t="n">
        <f aca="false">D178+C179</f>
        <v>193.374898889981</v>
      </c>
      <c r="E179" s="39" t="n">
        <f aca="false">MAX($E$3,AS178)</f>
        <v>0</v>
      </c>
      <c r="F179" s="39" t="n">
        <f aca="false">MAX($E$3,AT178)</f>
        <v>0</v>
      </c>
      <c r="G179" s="40" t="n">
        <v>0.5</v>
      </c>
      <c r="H179" s="38" t="n">
        <f aca="true">IF((B179=1),(IF((F179&lt;E179),1,(IF((F179=E179),(IF(RAND()&lt;G179,1,0)),0)))),(IF((RAND()&lt;G179),1,0)))</f>
        <v>1</v>
      </c>
      <c r="I179" s="38" t="n">
        <f aca="true">IF((H179=1),0,$D$3+$D$5*(RAND()-0.5))</f>
        <v>0</v>
      </c>
      <c r="J179" s="38" t="n">
        <f aca="false">I179+MAX(D179,J178)</f>
        <v>198.596624989261</v>
      </c>
      <c r="K179" s="38" t="n">
        <f aca="false">IF((H179=0),J179-D179,0)</f>
        <v>0</v>
      </c>
      <c r="L179" s="38" t="n">
        <f aca="true">IF(($H179=0),0,$D$4+$D$5*(RAND()-0.5))</f>
        <v>1.78990814491937</v>
      </c>
      <c r="M179" s="38" t="n">
        <f aca="false">L179+MAX(D179,M178)</f>
        <v>202.850402462264</v>
      </c>
      <c r="N179" s="38" t="n">
        <f aca="false">IF((H179=1),M179-D179,0)</f>
        <v>9.4755035722832</v>
      </c>
      <c r="O179" s="16" t="n">
        <v>162</v>
      </c>
      <c r="P179" s="41" t="n">
        <f aca="false">IF((Arterial=0),P178+1,P178)</f>
        <v>73</v>
      </c>
      <c r="Q179" s="41" t="n">
        <f aca="false">IF((Arterial=1),Q178+1,Q178)</f>
        <v>89</v>
      </c>
      <c r="R179" s="42" t="n">
        <f aca="false">IF((RESET=1),0,R179+K179)</f>
        <v>600.886683599897</v>
      </c>
      <c r="S179" s="14" t="e">
        <f aca="false">IF(RESET=1,0,S179+N179)</f>
        <v>#N/A</v>
      </c>
      <c r="T179" s="2" t="n">
        <f aca="false">IF(RESET=1,0,T179+IF(H179=0,1,0))</f>
        <v>48</v>
      </c>
      <c r="U179" s="2" t="e">
        <f aca="false">IF(RESET=1,0,U179+H179)</f>
        <v>#N/A</v>
      </c>
      <c r="V179" s="14" t="n">
        <f aca="false">R179/(T179+0.00001)</f>
        <v>12.5184699669833</v>
      </c>
      <c r="W179" s="14" t="e">
        <f aca="false">S179/(U179+0.0001)</f>
        <v>#N/A</v>
      </c>
      <c r="X179" s="39" t="n">
        <f aca="false">IF(Informed=1,K179,0)</f>
        <v>0</v>
      </c>
      <c r="Y179" s="39" t="n">
        <f aca="false">IF(Informed=0,K179,0)</f>
        <v>0</v>
      </c>
      <c r="Z179" s="39" t="n">
        <f aca="false">IF(Informed=1,N179,0)</f>
        <v>0</v>
      </c>
      <c r="AA179" s="39" t="n">
        <f aca="false">IF(Informed=0,N179,0)</f>
        <v>9.4755035722832</v>
      </c>
      <c r="AB179" s="43" t="n">
        <f aca="false">IF(Arterial=0,IF(Informed=1,1,0),0)</f>
        <v>0</v>
      </c>
      <c r="AC179" s="43" t="n">
        <f aca="false">IF(Arterial=0,IF(Informed=0,1,0),0)</f>
        <v>0</v>
      </c>
      <c r="AD179" s="43" t="n">
        <f aca="false">IF(Arterial=1,IF(Informed=1,1,0),0)</f>
        <v>0</v>
      </c>
      <c r="AE179" s="43" t="n">
        <f aca="false">IF(Arterial=1,IF(Informed=0,1,0),0)</f>
        <v>1</v>
      </c>
      <c r="AF179" s="35" t="n">
        <f aca="false">IF(AB179=1,(X179-G$1030)^2,0)</f>
        <v>0</v>
      </c>
      <c r="AG179" s="35" t="n">
        <f aca="false">IF(AC179=1,(Y179-H$1030)^2,0)</f>
        <v>0</v>
      </c>
      <c r="AH179" s="35" t="n">
        <f aca="false">IF(AD179=1,(Z179-I$1030)^2,0)</f>
        <v>0</v>
      </c>
      <c r="AI179" s="35" t="n">
        <f aca="false">IF(AE179=1,(AA179-J$1030)^2,0)</f>
        <v>403.558737081937</v>
      </c>
      <c r="AJ179" s="37" t="n">
        <f aca="true">IF(RAND()&lt;$D$6,1,0)</f>
        <v>0</v>
      </c>
      <c r="AK179" s="14" t="n">
        <f aca="false">AK178+IF((AJ179=1),IF((H179=0),1,0),0)</f>
        <v>0</v>
      </c>
      <c r="AL179" s="14" t="n">
        <f aca="false">AL178+IF((AJ179=1),IF((H179=1),1,0),0)</f>
        <v>0</v>
      </c>
      <c r="AM179" s="37" t="n">
        <f aca="false">IF(AK179=0,9999,IF($H179=0,IF($AJ179&lt;1,AM178+1,0),AM178))</f>
        <v>9999</v>
      </c>
      <c r="AN179" s="37" t="n">
        <f aca="false">IF(AL179=0,9999,IF($H179=1,IF($AJ179&lt;1,AN178+1,0),AN178))</f>
        <v>9999</v>
      </c>
      <c r="AO179" s="37" t="n">
        <f aca="false">IF($A179-AM179&gt;0,1/(1+AM179),0)</f>
        <v>0</v>
      </c>
      <c r="AP179" s="37" t="n">
        <f aca="false">IF($A179-AN179&gt;0,1/(1+AN179),0)</f>
        <v>0</v>
      </c>
      <c r="AQ179" s="7" t="n">
        <f aca="false">IF(AK179=0,0,MAX(MIN(1,AO179^Power),0))</f>
        <v>0</v>
      </c>
      <c r="AR179" s="7" t="n">
        <f aca="false">IF(AL179=0,0,MAX(MIN(1,AP179^Power),0))</f>
        <v>0</v>
      </c>
      <c r="AS179" s="7" t="n">
        <f aca="false">IF($AJ179=1,IF($H179=0,K179,AS178),AS178)</f>
        <v>0</v>
      </c>
      <c r="AT179" s="7" t="n">
        <f aca="false">IF($AJ179=1,IF($H179=1,N179,AT178),AT178)</f>
        <v>0</v>
      </c>
    </row>
    <row r="180" customFormat="false" ht="13" hidden="false" customHeight="false" outlineLevel="0" collapsed="false">
      <c r="A180" s="16" t="n">
        <v>163</v>
      </c>
      <c r="B180" s="37" t="n">
        <f aca="true">IF(RAND()&lt;$D$8,1,0)</f>
        <v>1</v>
      </c>
      <c r="C180" s="20" t="n">
        <f aca="true">-LN(RAND())/$D$2</f>
        <v>0.985429818878622</v>
      </c>
      <c r="D180" s="38" t="n">
        <f aca="false">D179+C180</f>
        <v>194.36032870886</v>
      </c>
      <c r="E180" s="39" t="n">
        <f aca="false">MAX($E$3,AS179)</f>
        <v>0</v>
      </c>
      <c r="F180" s="39" t="n">
        <f aca="false">MAX($E$3,AT179)</f>
        <v>0</v>
      </c>
      <c r="G180" s="40" t="n">
        <v>0.5</v>
      </c>
      <c r="H180" s="38" t="n">
        <f aca="true">IF((B180=1),(IF((F180&lt;E180),1,(IF((F180=E180),(IF(RAND()&lt;G180,1,0)),0)))),(IF((RAND()&lt;G180),1,0)))</f>
        <v>0</v>
      </c>
      <c r="I180" s="38" t="n">
        <f aca="true">IF((H180=1),0,$D$3+$D$5*(RAND()-0.5))</f>
        <v>2.08047257502674</v>
      </c>
      <c r="J180" s="38" t="n">
        <f aca="false">I180+MAX(D180,J179)</f>
        <v>200.677097564287</v>
      </c>
      <c r="K180" s="38" t="n">
        <f aca="false">IF((H180=0),J180-D180,0)</f>
        <v>6.31676885542748</v>
      </c>
      <c r="L180" s="38" t="n">
        <f aca="true">IF(($H180=0),0,$D$4+$D$5*(RAND()-0.5))</f>
        <v>0</v>
      </c>
      <c r="M180" s="38" t="n">
        <f aca="false">L180+MAX(D180,M179)</f>
        <v>202.850402462264</v>
      </c>
      <c r="N180" s="38" t="n">
        <f aca="false">IF((H180=1),M180-D180,0)</f>
        <v>0</v>
      </c>
      <c r="O180" s="16" t="n">
        <v>163</v>
      </c>
      <c r="P180" s="41" t="n">
        <f aca="false">IF((Arterial=0),P179+1,P179)</f>
        <v>74</v>
      </c>
      <c r="Q180" s="41" t="n">
        <f aca="false">IF((Arterial=1),Q179+1,Q179)</f>
        <v>89</v>
      </c>
      <c r="R180" s="42" t="e">
        <f aca="false">IF((RESET=1),0,R180+K180)</f>
        <v>#N/A</v>
      </c>
      <c r="S180" s="14" t="n">
        <f aca="false">IF(RESET=1,0,S180+N180)</f>
        <v>376.004522347235</v>
      </c>
      <c r="T180" s="2" t="e">
        <f aca="false">IF(RESET=1,0,T180+IF(H180=0,1,0))</f>
        <v>#N/A</v>
      </c>
      <c r="U180" s="2" t="n">
        <f aca="false">IF(RESET=1,0,U180+H180)</f>
        <v>31</v>
      </c>
      <c r="V180" s="14" t="e">
        <f aca="false">R180/(T180+0.00001)</f>
        <v>#N/A</v>
      </c>
      <c r="W180" s="14" t="n">
        <f aca="false">S180/(U180+0.0001)</f>
        <v>12.1291390139785</v>
      </c>
      <c r="X180" s="39" t="n">
        <f aca="false">IF(Informed=1,K180,0)</f>
        <v>6.31676885542748</v>
      </c>
      <c r="Y180" s="39" t="n">
        <f aca="false">IF(Informed=0,K180,0)</f>
        <v>0</v>
      </c>
      <c r="Z180" s="39" t="n">
        <f aca="false">IF(Informed=1,N180,0)</f>
        <v>0</v>
      </c>
      <c r="AA180" s="39" t="n">
        <f aca="false">IF(Informed=0,N180,0)</f>
        <v>0</v>
      </c>
      <c r="AB180" s="43" t="n">
        <f aca="false">IF(Arterial=0,IF(Informed=1,1,0),0)</f>
        <v>1</v>
      </c>
      <c r="AC180" s="43" t="n">
        <f aca="false">IF(Arterial=0,IF(Informed=0,1,0),0)</f>
        <v>0</v>
      </c>
      <c r="AD180" s="43" t="n">
        <f aca="false">IF(Arterial=1,IF(Informed=1,1,0),0)</f>
        <v>0</v>
      </c>
      <c r="AE180" s="43" t="n">
        <f aca="false">IF(Arterial=1,IF(Informed=0,1,0),0)</f>
        <v>0</v>
      </c>
      <c r="AF180" s="35" t="n">
        <f aca="false">IF(AB180=1,(X180-G$1030)^2,0)</f>
        <v>19.2976528766885</v>
      </c>
      <c r="AG180" s="35" t="n">
        <f aca="false">IF(AC180=1,(Y180-H$1030)^2,0)</f>
        <v>0</v>
      </c>
      <c r="AH180" s="35" t="n">
        <f aca="false">IF(AD180=1,(Z180-I$1030)^2,0)</f>
        <v>0</v>
      </c>
      <c r="AI180" s="35" t="n">
        <f aca="false">IF(AE180=1,(AA180-J$1030)^2,0)</f>
        <v>0</v>
      </c>
      <c r="AJ180" s="37" t="n">
        <f aca="true">IF(RAND()&lt;$D$6,1,0)</f>
        <v>0</v>
      </c>
      <c r="AK180" s="14" t="n">
        <f aca="false">AK179+IF((AJ180=1),IF((H180=0),1,0),0)</f>
        <v>0</v>
      </c>
      <c r="AL180" s="14" t="n">
        <f aca="false">AL179+IF((AJ180=1),IF((H180=1),1,0),0)</f>
        <v>0</v>
      </c>
      <c r="AM180" s="37" t="n">
        <f aca="false">IF(AK180=0,9999,IF($H180=0,IF($AJ180&lt;1,AM179+1,0),AM179))</f>
        <v>9999</v>
      </c>
      <c r="AN180" s="37" t="n">
        <f aca="false">IF(AL180=0,9999,IF($H180=1,IF($AJ180&lt;1,AN179+1,0),AN179))</f>
        <v>9999</v>
      </c>
      <c r="AO180" s="37" t="n">
        <f aca="false">IF($A180-AM180&gt;0,1/(1+AM180),0)</f>
        <v>0</v>
      </c>
      <c r="AP180" s="37" t="n">
        <f aca="false">IF($A180-AN180&gt;0,1/(1+AN180),0)</f>
        <v>0</v>
      </c>
      <c r="AQ180" s="7" t="n">
        <f aca="false">IF(AK180=0,0,MAX(MIN(1,AO180^Power),0))</f>
        <v>0</v>
      </c>
      <c r="AR180" s="7" t="n">
        <f aca="false">IF(AL180=0,0,MAX(MIN(1,AP180^Power),0))</f>
        <v>0</v>
      </c>
      <c r="AS180" s="7" t="n">
        <f aca="false">IF($AJ180=1,IF($H180=0,K180,AS179),AS179)</f>
        <v>0</v>
      </c>
      <c r="AT180" s="7" t="n">
        <f aca="false">IF($AJ180=1,IF($H180=1,N180,AT179),AT179)</f>
        <v>0</v>
      </c>
    </row>
    <row r="181" customFormat="false" ht="13" hidden="false" customHeight="false" outlineLevel="0" collapsed="false">
      <c r="A181" s="16" t="n">
        <v>164</v>
      </c>
      <c r="B181" s="37" t="n">
        <f aca="true">IF(RAND()&lt;$D$8,1,0)</f>
        <v>1</v>
      </c>
      <c r="C181" s="20" t="n">
        <f aca="true">-LN(RAND())/$D$2</f>
        <v>0.0132236585628314</v>
      </c>
      <c r="D181" s="38" t="n">
        <f aca="false">D180+C181</f>
        <v>194.373552367423</v>
      </c>
      <c r="E181" s="39" t="n">
        <f aca="false">MAX($E$3,AS180)</f>
        <v>0</v>
      </c>
      <c r="F181" s="39" t="n">
        <f aca="false">MAX($E$3,AT180)</f>
        <v>0</v>
      </c>
      <c r="G181" s="40" t="n">
        <v>0.5</v>
      </c>
      <c r="H181" s="38" t="n">
        <f aca="true">IF((B181=1),(IF((F181&lt;E181),1,(IF((F181=E181),(IF(RAND()&lt;G181,1,0)),0)))),(IF((RAND()&lt;G181),1,0)))</f>
        <v>1</v>
      </c>
      <c r="I181" s="38" t="n">
        <f aca="true">IF((H181=1),0,$D$3+$D$5*(RAND()-0.5))</f>
        <v>0</v>
      </c>
      <c r="J181" s="38" t="n">
        <f aca="false">I181+MAX(D181,J180)</f>
        <v>200.677097564287</v>
      </c>
      <c r="K181" s="38" t="n">
        <f aca="false">IF((H181=0),J181-D181,0)</f>
        <v>0</v>
      </c>
      <c r="L181" s="38" t="n">
        <f aca="true">IF(($H181=0),0,$D$4+$D$5*(RAND()-0.5))</f>
        <v>1.81975660182707</v>
      </c>
      <c r="M181" s="38" t="n">
        <f aca="false">L181+MAX(D181,M180)</f>
        <v>204.670159064091</v>
      </c>
      <c r="N181" s="38" t="n">
        <f aca="false">IF((H181=1),M181-D181,0)</f>
        <v>10.2966066966688</v>
      </c>
      <c r="O181" s="16" t="n">
        <v>164</v>
      </c>
      <c r="P181" s="41" t="n">
        <f aca="false">IF((Arterial=0),P180+1,P180)</f>
        <v>74</v>
      </c>
      <c r="Q181" s="41" t="n">
        <f aca="false">IF((Arterial=1),Q180+1,Q180)</f>
        <v>90</v>
      </c>
      <c r="R181" s="42" t="n">
        <f aca="false">IF((RESET=1),0,R181+K181)</f>
        <v>458.672418568773</v>
      </c>
      <c r="S181" s="14" t="e">
        <f aca="false">IF(RESET=1,0,S181+N181)</f>
        <v>#N/A</v>
      </c>
      <c r="T181" s="2" t="n">
        <f aca="false">IF(RESET=1,0,T181+IF(H181=0,1,0))</f>
        <v>40</v>
      </c>
      <c r="U181" s="2" t="e">
        <f aca="false">IF(RESET=1,0,U181+H181)</f>
        <v>#N/A</v>
      </c>
      <c r="V181" s="14" t="n">
        <f aca="false">R181/(T181+0.00001)</f>
        <v>11.4668075975174</v>
      </c>
      <c r="W181" s="14" t="e">
        <f aca="false">S181/(U181+0.0001)</f>
        <v>#N/A</v>
      </c>
      <c r="X181" s="39" t="n">
        <f aca="false">IF(Informed=1,K181,0)</f>
        <v>0</v>
      </c>
      <c r="Y181" s="39" t="n">
        <f aca="false">IF(Informed=0,K181,0)</f>
        <v>0</v>
      </c>
      <c r="Z181" s="39" t="n">
        <f aca="false">IF(Informed=1,N181,0)</f>
        <v>10.2966066966688</v>
      </c>
      <c r="AA181" s="39" t="n">
        <f aca="false">IF(Informed=0,N181,0)</f>
        <v>0</v>
      </c>
      <c r="AB181" s="43" t="n">
        <f aca="false">IF(Arterial=0,IF(Informed=1,1,0),0)</f>
        <v>0</v>
      </c>
      <c r="AC181" s="43" t="n">
        <f aca="false">IF(Arterial=0,IF(Informed=0,1,0),0)</f>
        <v>0</v>
      </c>
      <c r="AD181" s="43" t="n">
        <f aca="false">IF(Arterial=1,IF(Informed=1,1,0),0)</f>
        <v>1</v>
      </c>
      <c r="AE181" s="43" t="n">
        <f aca="false">IF(Arterial=1,IF(Informed=0,1,0),0)</f>
        <v>0</v>
      </c>
      <c r="AF181" s="35" t="n">
        <f aca="false">IF(AB181=1,(X181-G$1030)^2,0)</f>
        <v>0</v>
      </c>
      <c r="AG181" s="35" t="n">
        <f aca="false">IF(AC181=1,(Y181-H$1030)^2,0)</f>
        <v>0</v>
      </c>
      <c r="AH181" s="35" t="n">
        <f aca="false">IF(AD181=1,(Z181-I$1030)^2,0)</f>
        <v>326.822331111512</v>
      </c>
      <c r="AI181" s="35" t="n">
        <f aca="false">IF(AE181=1,(AA181-J$1030)^2,0)</f>
        <v>0</v>
      </c>
      <c r="AJ181" s="37" t="n">
        <f aca="true">IF(RAND()&lt;$D$6,1,0)</f>
        <v>0</v>
      </c>
      <c r="AK181" s="14" t="n">
        <f aca="false">AK180+IF((AJ181=1),IF((H181=0),1,0),0)</f>
        <v>0</v>
      </c>
      <c r="AL181" s="14" t="n">
        <f aca="false">AL180+IF((AJ181=1),IF((H181=1),1,0),0)</f>
        <v>0</v>
      </c>
      <c r="AM181" s="37" t="n">
        <f aca="false">IF(AK181=0,9999,IF($H181=0,IF($AJ181&lt;1,AM180+1,0),AM180))</f>
        <v>9999</v>
      </c>
      <c r="AN181" s="37" t="n">
        <f aca="false">IF(AL181=0,9999,IF($H181=1,IF($AJ181&lt;1,AN180+1,0),AN180))</f>
        <v>9999</v>
      </c>
      <c r="AO181" s="37" t="n">
        <f aca="false">IF($A181-AM181&gt;0,1/(1+AM181),0)</f>
        <v>0</v>
      </c>
      <c r="AP181" s="37" t="n">
        <f aca="false">IF($A181-AN181&gt;0,1/(1+AN181),0)</f>
        <v>0</v>
      </c>
      <c r="AQ181" s="7" t="n">
        <f aca="false">IF(AK181=0,0,MAX(MIN(1,AO181^Power),0))</f>
        <v>0</v>
      </c>
      <c r="AR181" s="7" t="n">
        <f aca="false">IF(AL181=0,0,MAX(MIN(1,AP181^Power),0))</f>
        <v>0</v>
      </c>
      <c r="AS181" s="7" t="n">
        <f aca="false">IF($AJ181=1,IF($H181=0,K181,AS180),AS180)</f>
        <v>0</v>
      </c>
      <c r="AT181" s="7" t="n">
        <f aca="false">IF($AJ181=1,IF($H181=1,N181,AT180),AT180)</f>
        <v>0</v>
      </c>
    </row>
    <row r="182" customFormat="false" ht="13" hidden="false" customHeight="false" outlineLevel="0" collapsed="false">
      <c r="A182" s="16" t="n">
        <v>165</v>
      </c>
      <c r="B182" s="37" t="n">
        <f aca="true">IF(RAND()&lt;$D$8,1,0)</f>
        <v>0</v>
      </c>
      <c r="C182" s="20" t="n">
        <f aca="true">-LN(RAND())/$D$2</f>
        <v>1.41556154520976</v>
      </c>
      <c r="D182" s="38" t="n">
        <f aca="false">D181+C182</f>
        <v>195.789113912632</v>
      </c>
      <c r="E182" s="39" t="n">
        <f aca="false">MAX($E$3,AS181)</f>
        <v>0</v>
      </c>
      <c r="F182" s="39" t="n">
        <f aca="false">MAX($E$3,AT181)</f>
        <v>0</v>
      </c>
      <c r="G182" s="40" t="n">
        <v>0.5</v>
      </c>
      <c r="H182" s="38" t="n">
        <f aca="true">IF((B182=1),(IF((F182&lt;E182),1,(IF((F182=E182),(IF(RAND()&lt;G182,1,0)),0)))),(IF((RAND()&lt;G182),1,0)))</f>
        <v>0</v>
      </c>
      <c r="I182" s="38" t="n">
        <f aca="true">IF((H182=1),0,$D$3+$D$5*(RAND()-0.5))</f>
        <v>1.85970650029299</v>
      </c>
      <c r="J182" s="38" t="n">
        <f aca="false">I182+MAX(D182,J181)</f>
        <v>202.53680406458</v>
      </c>
      <c r="K182" s="38" t="n">
        <f aca="false">IF((H182=0),J182-D182,0)</f>
        <v>6.74769015194789</v>
      </c>
      <c r="L182" s="38" t="n">
        <f aca="true">IF(($H182=0),0,$D$4+$D$5*(RAND()-0.5))</f>
        <v>0</v>
      </c>
      <c r="M182" s="38" t="n">
        <f aca="false">L182+MAX(D182,M181)</f>
        <v>204.670159064091</v>
      </c>
      <c r="N182" s="38" t="n">
        <f aca="false">IF((H182=1),M182-D182,0)</f>
        <v>0</v>
      </c>
      <c r="O182" s="16" t="n">
        <v>165</v>
      </c>
      <c r="P182" s="41" t="n">
        <f aca="false">IF((Arterial=0),P181+1,P181)</f>
        <v>75</v>
      </c>
      <c r="Q182" s="41" t="n">
        <f aca="false">IF((Arterial=1),Q181+1,Q181)</f>
        <v>90</v>
      </c>
      <c r="R182" s="42" t="e">
        <f aca="false">IF((RESET=1),0,R182+K182)</f>
        <v>#N/A</v>
      </c>
      <c r="S182" s="14" t="n">
        <f aca="false">IF(RESET=1,0,S182+N182)</f>
        <v>512.11833236016</v>
      </c>
      <c r="T182" s="2" t="e">
        <f aca="false">IF(RESET=1,0,T182+IF(H182=0,1,0))</f>
        <v>#N/A</v>
      </c>
      <c r="U182" s="2" t="n">
        <f aca="false">IF(RESET=1,0,U182+H182)</f>
        <v>47</v>
      </c>
      <c r="V182" s="14" t="e">
        <f aca="false">R182/(T182+0.00001)</f>
        <v>#N/A</v>
      </c>
      <c r="W182" s="14" t="n">
        <f aca="false">S182/(U182+0.0001)</f>
        <v>10.8961115478512</v>
      </c>
      <c r="X182" s="39" t="n">
        <f aca="false">IF(Informed=1,K182,0)</f>
        <v>0</v>
      </c>
      <c r="Y182" s="39" t="n">
        <f aca="false">IF(Informed=0,K182,0)</f>
        <v>6.74769015194789</v>
      </c>
      <c r="Z182" s="39" t="n">
        <f aca="false">IF(Informed=1,N182,0)</f>
        <v>0</v>
      </c>
      <c r="AA182" s="39" t="n">
        <f aca="false">IF(Informed=0,N182,0)</f>
        <v>0</v>
      </c>
      <c r="AB182" s="43" t="n">
        <f aca="false">IF(Arterial=0,IF(Informed=1,1,0),0)</f>
        <v>0</v>
      </c>
      <c r="AC182" s="43" t="n">
        <f aca="false">IF(Arterial=0,IF(Informed=0,1,0),0)</f>
        <v>1</v>
      </c>
      <c r="AD182" s="43" t="n">
        <f aca="false">IF(Arterial=1,IF(Informed=1,1,0),0)</f>
        <v>0</v>
      </c>
      <c r="AE182" s="43" t="n">
        <f aca="false">IF(Arterial=1,IF(Informed=0,1,0),0)</f>
        <v>0</v>
      </c>
      <c r="AF182" s="35" t="n">
        <f aca="false">IF(AB182=1,(X182-G$1030)^2,0)</f>
        <v>0</v>
      </c>
      <c r="AG182" s="35" t="n">
        <f aca="false">IF(AC182=1,(Y182-H$1030)^2,0)</f>
        <v>17.4397702739874</v>
      </c>
      <c r="AH182" s="35" t="n">
        <f aca="false">IF(AD182=1,(Z182-I$1030)^2,0)</f>
        <v>0</v>
      </c>
      <c r="AI182" s="35" t="n">
        <f aca="false">IF(AE182=1,(AA182-J$1030)^2,0)</f>
        <v>0</v>
      </c>
      <c r="AJ182" s="37" t="n">
        <f aca="true">IF(RAND()&lt;$D$6,1,0)</f>
        <v>0</v>
      </c>
      <c r="AK182" s="14" t="n">
        <f aca="false">AK181+IF((AJ182=1),IF((H182=0),1,0),0)</f>
        <v>0</v>
      </c>
      <c r="AL182" s="14" t="n">
        <f aca="false">AL181+IF((AJ182=1),IF((H182=1),1,0),0)</f>
        <v>0</v>
      </c>
      <c r="AM182" s="37" t="n">
        <f aca="false">IF(AK182=0,9999,IF($H182=0,IF($AJ182&lt;1,AM181+1,0),AM181))</f>
        <v>9999</v>
      </c>
      <c r="AN182" s="37" t="n">
        <f aca="false">IF(AL182=0,9999,IF($H182=1,IF($AJ182&lt;1,AN181+1,0),AN181))</f>
        <v>9999</v>
      </c>
      <c r="AO182" s="37" t="n">
        <f aca="false">IF($A182-AM182&gt;0,1/(1+AM182),0)</f>
        <v>0</v>
      </c>
      <c r="AP182" s="37" t="n">
        <f aca="false">IF($A182-AN182&gt;0,1/(1+AN182),0)</f>
        <v>0</v>
      </c>
      <c r="AQ182" s="7" t="n">
        <f aca="false">IF(AK182=0,0,MAX(MIN(1,AO182^Power),0))</f>
        <v>0</v>
      </c>
      <c r="AR182" s="7" t="n">
        <f aca="false">IF(AL182=0,0,MAX(MIN(1,AP182^Power),0))</f>
        <v>0</v>
      </c>
      <c r="AS182" s="7" t="n">
        <f aca="false">IF($AJ182=1,IF($H182=0,K182,AS181),AS181)</f>
        <v>0</v>
      </c>
      <c r="AT182" s="7" t="n">
        <f aca="false">IF($AJ182=1,IF($H182=1,N182,AT181),AT181)</f>
        <v>0</v>
      </c>
    </row>
    <row r="183" customFormat="false" ht="13" hidden="false" customHeight="false" outlineLevel="0" collapsed="false">
      <c r="A183" s="16" t="n">
        <v>166</v>
      </c>
      <c r="B183" s="37" t="n">
        <f aca="true">IF(RAND()&lt;$D$8,1,0)</f>
        <v>0</v>
      </c>
      <c r="C183" s="20" t="n">
        <f aca="true">-LN(RAND())/$D$2</f>
        <v>0.645549339725699</v>
      </c>
      <c r="D183" s="38" t="n">
        <f aca="false">D182+C183</f>
        <v>196.434663252358</v>
      </c>
      <c r="E183" s="39" t="n">
        <f aca="false">MAX($E$3,AS182)</f>
        <v>0</v>
      </c>
      <c r="F183" s="39" t="n">
        <f aca="false">MAX($E$3,AT182)</f>
        <v>0</v>
      </c>
      <c r="G183" s="40" t="n">
        <v>0.5</v>
      </c>
      <c r="H183" s="38" t="n">
        <f aca="true">IF((B183=1),(IF((F183&lt;E183),1,(IF((F183=E183),(IF(RAND()&lt;G183,1,0)),0)))),(IF((RAND()&lt;G183),1,0)))</f>
        <v>1</v>
      </c>
      <c r="I183" s="38" t="n">
        <f aca="true">IF((H183=1),0,$D$3+$D$5*(RAND()-0.5))</f>
        <v>0</v>
      </c>
      <c r="J183" s="38" t="n">
        <f aca="false">I183+MAX(D183,J182)</f>
        <v>202.53680406458</v>
      </c>
      <c r="K183" s="38" t="n">
        <f aca="false">IF((H183=0),J183-D183,0)</f>
        <v>0</v>
      </c>
      <c r="L183" s="38" t="n">
        <f aca="true">IF(($H183=0),0,$D$4+$D$5*(RAND()-0.5))</f>
        <v>2.14785900981818</v>
      </c>
      <c r="M183" s="38" t="n">
        <f aca="false">L183+MAX(D183,M182)</f>
        <v>206.81801807391</v>
      </c>
      <c r="N183" s="38" t="n">
        <f aca="false">IF((H183=1),M183-D183,0)</f>
        <v>10.3833548215515</v>
      </c>
      <c r="O183" s="16" t="n">
        <v>166</v>
      </c>
      <c r="P183" s="41" t="n">
        <f aca="false">IF((Arterial=0),P182+1,P182)</f>
        <v>75</v>
      </c>
      <c r="Q183" s="41" t="n">
        <f aca="false">IF((Arterial=1),Q182+1,Q182)</f>
        <v>91</v>
      </c>
      <c r="R183" s="42" t="n">
        <f aca="false">IF((RESET=1),0,R183+K183)</f>
        <v>510.99377289632</v>
      </c>
      <c r="S183" s="14" t="e">
        <f aca="false">IF(RESET=1,0,S183+N183)</f>
        <v>#N/A</v>
      </c>
      <c r="T183" s="2" t="n">
        <f aca="false">IF(RESET=1,0,T183+IF(H183=0,1,0))</f>
        <v>40</v>
      </c>
      <c r="U183" s="2" t="e">
        <f aca="false">IF(RESET=1,0,U183+H183)</f>
        <v>#N/A</v>
      </c>
      <c r="V183" s="14" t="n">
        <f aca="false">R183/(T183+0.00001)</f>
        <v>12.7748411286977</v>
      </c>
      <c r="W183" s="14" t="e">
        <f aca="false">S183/(U183+0.0001)</f>
        <v>#N/A</v>
      </c>
      <c r="X183" s="39" t="n">
        <f aca="false">IF(Informed=1,K183,0)</f>
        <v>0</v>
      </c>
      <c r="Y183" s="39" t="n">
        <f aca="false">IF(Informed=0,K183,0)</f>
        <v>0</v>
      </c>
      <c r="Z183" s="39" t="n">
        <f aca="false">IF(Informed=1,N183,0)</f>
        <v>0</v>
      </c>
      <c r="AA183" s="39" t="n">
        <f aca="false">IF(Informed=0,N183,0)</f>
        <v>10.3833548215515</v>
      </c>
      <c r="AB183" s="43" t="n">
        <f aca="false">IF(Arterial=0,IF(Informed=1,1,0),0)</f>
        <v>0</v>
      </c>
      <c r="AC183" s="43" t="n">
        <f aca="false">IF(Arterial=0,IF(Informed=0,1,0),0)</f>
        <v>0</v>
      </c>
      <c r="AD183" s="43" t="n">
        <f aca="false">IF(Arterial=1,IF(Informed=1,1,0),0)</f>
        <v>0</v>
      </c>
      <c r="AE183" s="43" t="n">
        <f aca="false">IF(Arterial=1,IF(Informed=0,1,0),0)</f>
        <v>1</v>
      </c>
      <c r="AF183" s="35" t="n">
        <f aca="false">IF(AB183=1,(X183-G$1030)^2,0)</f>
        <v>0</v>
      </c>
      <c r="AG183" s="35" t="n">
        <f aca="false">IF(AC183=1,(Y183-H$1030)^2,0)</f>
        <v>0</v>
      </c>
      <c r="AH183" s="35" t="n">
        <f aca="false">IF(AD183=1,(Z183-I$1030)^2,0)</f>
        <v>0</v>
      </c>
      <c r="AI183" s="35" t="n">
        <f aca="false">IF(AE183=1,(AA183-J$1030)^2,0)</f>
        <v>367.907698516663</v>
      </c>
      <c r="AJ183" s="37" t="n">
        <f aca="true">IF(RAND()&lt;$D$6,1,0)</f>
        <v>0</v>
      </c>
      <c r="AK183" s="14" t="n">
        <f aca="false">AK182+IF((AJ183=1),IF((H183=0),1,0),0)</f>
        <v>0</v>
      </c>
      <c r="AL183" s="14" t="n">
        <f aca="false">AL182+IF((AJ183=1),IF((H183=1),1,0),0)</f>
        <v>0</v>
      </c>
      <c r="AM183" s="37" t="n">
        <f aca="false">IF(AK183=0,9999,IF($H183=0,IF($AJ183&lt;1,AM182+1,0),AM182))</f>
        <v>9999</v>
      </c>
      <c r="AN183" s="37" t="n">
        <f aca="false">IF(AL183=0,9999,IF($H183=1,IF($AJ183&lt;1,AN182+1,0),AN182))</f>
        <v>9999</v>
      </c>
      <c r="AO183" s="37" t="n">
        <f aca="false">IF($A183-AM183&gt;0,1/(1+AM183),0)</f>
        <v>0</v>
      </c>
      <c r="AP183" s="37" t="n">
        <f aca="false">IF($A183-AN183&gt;0,1/(1+AN183),0)</f>
        <v>0</v>
      </c>
      <c r="AQ183" s="7" t="n">
        <f aca="false">IF(AK183=0,0,MAX(MIN(1,AO183^Power),0))</f>
        <v>0</v>
      </c>
      <c r="AR183" s="7" t="n">
        <f aca="false">IF(AL183=0,0,MAX(MIN(1,AP183^Power),0))</f>
        <v>0</v>
      </c>
      <c r="AS183" s="7" t="n">
        <f aca="false">IF($AJ183=1,IF($H183=0,K183,AS182),AS182)</f>
        <v>0</v>
      </c>
      <c r="AT183" s="7" t="n">
        <f aca="false">IF($AJ183=1,IF($H183=1,N183,AT182),AT182)</f>
        <v>0</v>
      </c>
    </row>
    <row r="184" customFormat="false" ht="13" hidden="false" customHeight="false" outlineLevel="0" collapsed="false">
      <c r="A184" s="16" t="n">
        <v>167</v>
      </c>
      <c r="B184" s="37" t="n">
        <f aca="true">IF(RAND()&lt;$D$8,1,0)</f>
        <v>0</v>
      </c>
      <c r="C184" s="20" t="n">
        <f aca="true">-LN(RAND())/$D$2</f>
        <v>0.353310441818597</v>
      </c>
      <c r="D184" s="38" t="n">
        <f aca="false">D183+C184</f>
        <v>196.787973694177</v>
      </c>
      <c r="E184" s="39" t="n">
        <f aca="false">MAX($E$3,AS183)</f>
        <v>0</v>
      </c>
      <c r="F184" s="39" t="n">
        <f aca="false">MAX($E$3,AT183)</f>
        <v>0</v>
      </c>
      <c r="G184" s="40" t="n">
        <v>0.5</v>
      </c>
      <c r="H184" s="38" t="n">
        <f aca="true">IF((B184=1),(IF((F184&lt;E184),1,(IF((F184=E184),(IF(RAND()&lt;G184,1,0)),0)))),(IF((RAND()&lt;G184),1,0)))</f>
        <v>0</v>
      </c>
      <c r="I184" s="38" t="n">
        <f aca="true">IF((H184=1),0,$D$3+$D$5*(RAND()-0.5))</f>
        <v>1.89026709059473</v>
      </c>
      <c r="J184" s="38" t="n">
        <f aca="false">I184+MAX(D184,J183)</f>
        <v>204.427071155175</v>
      </c>
      <c r="K184" s="38" t="n">
        <f aca="false">IF((H184=0),J184-D184,0)</f>
        <v>7.63909746099833</v>
      </c>
      <c r="L184" s="38" t="n">
        <f aca="true">IF(($H184=0),0,$D$4+$D$5*(RAND()-0.5))</f>
        <v>0</v>
      </c>
      <c r="M184" s="38" t="n">
        <f aca="false">L184+MAX(D184,M183)</f>
        <v>206.81801807391</v>
      </c>
      <c r="N184" s="38" t="n">
        <f aca="false">IF((H184=1),M184-D184,0)</f>
        <v>0</v>
      </c>
      <c r="O184" s="16" t="n">
        <v>167</v>
      </c>
      <c r="P184" s="41" t="n">
        <f aca="false">IF((Arterial=0),P183+1,P183)</f>
        <v>76</v>
      </c>
      <c r="Q184" s="41" t="n">
        <f aca="false">IF((Arterial=1),Q183+1,Q183)</f>
        <v>91</v>
      </c>
      <c r="R184" s="42" t="e">
        <f aca="false">IF((RESET=1),0,R184+K184)</f>
        <v>#N/A</v>
      </c>
      <c r="S184" s="14" t="n">
        <f aca="false">IF(RESET=1,0,S184+N184)</f>
        <v>459.957108918901</v>
      </c>
      <c r="T184" s="2" t="e">
        <f aca="false">IF(RESET=1,0,T184+IF(H184=0,1,0))</f>
        <v>#N/A</v>
      </c>
      <c r="U184" s="2" t="n">
        <f aca="false">IF(RESET=1,0,U184+H184)</f>
        <v>40</v>
      </c>
      <c r="V184" s="14" t="e">
        <f aca="false">R184/(T184+0.00001)</f>
        <v>#N/A</v>
      </c>
      <c r="W184" s="14" t="n">
        <f aca="false">S184/(U184+0.0001)</f>
        <v>11.4988989757251</v>
      </c>
      <c r="X184" s="39" t="n">
        <f aca="false">IF(Informed=1,K184,0)</f>
        <v>0</v>
      </c>
      <c r="Y184" s="39" t="n">
        <f aca="false">IF(Informed=0,K184,0)</f>
        <v>7.63909746099833</v>
      </c>
      <c r="Z184" s="39" t="n">
        <f aca="false">IF(Informed=1,N184,0)</f>
        <v>0</v>
      </c>
      <c r="AA184" s="39" t="n">
        <f aca="false">IF(Informed=0,N184,0)</f>
        <v>0</v>
      </c>
      <c r="AB184" s="43" t="n">
        <f aca="false">IF(Arterial=0,IF(Informed=1,1,0),0)</f>
        <v>0</v>
      </c>
      <c r="AC184" s="43" t="n">
        <f aca="false">IF(Arterial=0,IF(Informed=0,1,0),0)</f>
        <v>1</v>
      </c>
      <c r="AD184" s="43" t="n">
        <f aca="false">IF(Arterial=1,IF(Informed=1,1,0),0)</f>
        <v>0</v>
      </c>
      <c r="AE184" s="43" t="n">
        <f aca="false">IF(Arterial=1,IF(Informed=0,1,0),0)</f>
        <v>0</v>
      </c>
      <c r="AF184" s="35" t="n">
        <f aca="false">IF(AB184=1,(X184-G$1030)^2,0)</f>
        <v>0</v>
      </c>
      <c r="AG184" s="35" t="n">
        <f aca="false">IF(AC184=1,(Y184-H$1030)^2,0)</f>
        <v>10.7891738759459</v>
      </c>
      <c r="AH184" s="35" t="n">
        <f aca="false">IF(AD184=1,(Z184-I$1030)^2,0)</f>
        <v>0</v>
      </c>
      <c r="AI184" s="35" t="n">
        <f aca="false">IF(AE184=1,(AA184-J$1030)^2,0)</f>
        <v>0</v>
      </c>
      <c r="AJ184" s="37" t="n">
        <f aca="true">IF(RAND()&lt;$D$6,1,0)</f>
        <v>0</v>
      </c>
      <c r="AK184" s="14" t="n">
        <f aca="false">AK183+IF((AJ184=1),IF((H184=0),1,0),0)</f>
        <v>0</v>
      </c>
      <c r="AL184" s="14" t="n">
        <f aca="false">AL183+IF((AJ184=1),IF((H184=1),1,0),0)</f>
        <v>0</v>
      </c>
      <c r="AM184" s="37" t="n">
        <f aca="false">IF(AK184=0,9999,IF($H184=0,IF($AJ184&lt;1,AM183+1,0),AM183))</f>
        <v>9999</v>
      </c>
      <c r="AN184" s="37" t="n">
        <f aca="false">IF(AL184=0,9999,IF($H184=1,IF($AJ184&lt;1,AN183+1,0),AN183))</f>
        <v>9999</v>
      </c>
      <c r="AO184" s="37" t="n">
        <f aca="false">IF($A184-AM184&gt;0,1/(1+AM184),0)</f>
        <v>0</v>
      </c>
      <c r="AP184" s="37" t="n">
        <f aca="false">IF($A184-AN184&gt;0,1/(1+AN184),0)</f>
        <v>0</v>
      </c>
      <c r="AQ184" s="7" t="n">
        <f aca="false">IF(AK184=0,0,MAX(MIN(1,AO184^Power),0))</f>
        <v>0</v>
      </c>
      <c r="AR184" s="7" t="n">
        <f aca="false">IF(AL184=0,0,MAX(MIN(1,AP184^Power),0))</f>
        <v>0</v>
      </c>
      <c r="AS184" s="7" t="n">
        <f aca="false">IF($AJ184=1,IF($H184=0,K184,AS183),AS183)</f>
        <v>0</v>
      </c>
      <c r="AT184" s="7" t="n">
        <f aca="false">IF($AJ184=1,IF($H184=1,N184,AT183),AT183)</f>
        <v>0</v>
      </c>
    </row>
    <row r="185" customFormat="false" ht="13" hidden="false" customHeight="false" outlineLevel="0" collapsed="false">
      <c r="A185" s="16" t="n">
        <v>168</v>
      </c>
      <c r="B185" s="37" t="n">
        <f aca="true">IF(RAND()&lt;$D$8,1,0)</f>
        <v>0</v>
      </c>
      <c r="C185" s="20" t="n">
        <f aca="true">-LN(RAND())/$D$2</f>
        <v>2.4060054159875</v>
      </c>
      <c r="D185" s="38" t="n">
        <f aca="false">D184+C185</f>
        <v>199.193979110164</v>
      </c>
      <c r="E185" s="39" t="n">
        <f aca="false">MAX($E$3,AS184)</f>
        <v>0</v>
      </c>
      <c r="F185" s="39" t="n">
        <f aca="false">MAX($E$3,AT184)</f>
        <v>0</v>
      </c>
      <c r="G185" s="40" t="n">
        <v>0.5</v>
      </c>
      <c r="H185" s="38" t="n">
        <f aca="true">IF((B185=1),(IF((F185&lt;E185),1,(IF((F185=E185),(IF(RAND()&lt;G185,1,0)),0)))),(IF((RAND()&lt;G185),1,0)))</f>
        <v>0</v>
      </c>
      <c r="I185" s="38" t="n">
        <f aca="true">IF((H185=1),0,$D$3+$D$5*(RAND()-0.5))</f>
        <v>2.11509849204342</v>
      </c>
      <c r="J185" s="38" t="n">
        <f aca="false">I185+MAX(D185,J184)</f>
        <v>206.542169647218</v>
      </c>
      <c r="K185" s="38" t="n">
        <f aca="false">IF((H185=0),J185-D185,0)</f>
        <v>7.34819053705425</v>
      </c>
      <c r="L185" s="38" t="n">
        <f aca="true">IF(($H185=0),0,$D$4+$D$5*(RAND()-0.5))</f>
        <v>0</v>
      </c>
      <c r="M185" s="38" t="n">
        <f aca="false">L185+MAX(D185,M184)</f>
        <v>206.81801807391</v>
      </c>
      <c r="N185" s="38" t="n">
        <f aca="false">IF((H185=1),M185-D185,0)</f>
        <v>0</v>
      </c>
      <c r="O185" s="16" t="n">
        <v>168</v>
      </c>
      <c r="P185" s="41" t="n">
        <f aca="false">IF((Arterial=0),P184+1,P184)</f>
        <v>77</v>
      </c>
      <c r="Q185" s="41" t="n">
        <f aca="false">IF((Arterial=1),Q184+1,Q184)</f>
        <v>91</v>
      </c>
      <c r="R185" s="42" t="e">
        <f aca="false">IF((RESET=1),0,R185+K185)</f>
        <v>#N/A</v>
      </c>
      <c r="S185" s="14" t="n">
        <f aca="false">IF(RESET=1,0,S185+N185)</f>
        <v>407.75204951021</v>
      </c>
      <c r="T185" s="2" t="e">
        <f aca="false">IF(RESET=1,0,T185+IF(H185=0,1,0))</f>
        <v>#N/A</v>
      </c>
      <c r="U185" s="2" t="n">
        <f aca="false">IF(RESET=1,0,U185+H185)</f>
        <v>30</v>
      </c>
      <c r="V185" s="14" t="e">
        <f aca="false">R185/(T185+0.00001)</f>
        <v>#N/A</v>
      </c>
      <c r="W185" s="14" t="n">
        <f aca="false">S185/(U185+0.0001)</f>
        <v>13.5916896780414</v>
      </c>
      <c r="X185" s="39" t="n">
        <f aca="false">IF(Informed=1,K185,0)</f>
        <v>0</v>
      </c>
      <c r="Y185" s="39" t="n">
        <f aca="false">IF(Informed=0,K185,0)</f>
        <v>7.34819053705425</v>
      </c>
      <c r="Z185" s="39" t="n">
        <f aca="false">IF(Informed=1,N185,0)</f>
        <v>0</v>
      </c>
      <c r="AA185" s="39" t="n">
        <f aca="false">IF(Informed=0,N185,0)</f>
        <v>0</v>
      </c>
      <c r="AB185" s="43" t="n">
        <f aca="false">IF(Arterial=0,IF(Informed=1,1,0),0)</f>
        <v>0</v>
      </c>
      <c r="AC185" s="43" t="n">
        <f aca="false">IF(Arterial=0,IF(Informed=0,1,0),0)</f>
        <v>1</v>
      </c>
      <c r="AD185" s="43" t="n">
        <f aca="false">IF(Arterial=1,IF(Informed=1,1,0),0)</f>
        <v>0</v>
      </c>
      <c r="AE185" s="43" t="n">
        <f aca="false">IF(Arterial=1,IF(Informed=0,1,0),0)</f>
        <v>0</v>
      </c>
      <c r="AF185" s="35" t="n">
        <f aca="false">IF(AB185=1,(X185-G$1030)^2,0)</f>
        <v>0</v>
      </c>
      <c r="AG185" s="35" t="n">
        <f aca="false">IF(AC185=1,(Y185-H$1030)^2,0)</f>
        <v>12.7848775563936</v>
      </c>
      <c r="AH185" s="35" t="n">
        <f aca="false">IF(AD185=1,(Z185-I$1030)^2,0)</f>
        <v>0</v>
      </c>
      <c r="AI185" s="35" t="n">
        <f aca="false">IF(AE185=1,(AA185-J$1030)^2,0)</f>
        <v>0</v>
      </c>
      <c r="AJ185" s="37" t="n">
        <f aca="true">IF(RAND()&lt;$D$6,1,0)</f>
        <v>0</v>
      </c>
      <c r="AK185" s="14" t="n">
        <f aca="false">AK184+IF((AJ185=1),IF((H185=0),1,0),0)</f>
        <v>0</v>
      </c>
      <c r="AL185" s="14" t="n">
        <f aca="false">AL184+IF((AJ185=1),IF((H185=1),1,0),0)</f>
        <v>0</v>
      </c>
      <c r="AM185" s="37" t="n">
        <f aca="false">IF(AK185=0,9999,IF($H185=0,IF($AJ185&lt;1,AM184+1,0),AM184))</f>
        <v>9999</v>
      </c>
      <c r="AN185" s="37" t="n">
        <f aca="false">IF(AL185=0,9999,IF($H185=1,IF($AJ185&lt;1,AN184+1,0),AN184))</f>
        <v>9999</v>
      </c>
      <c r="AO185" s="37" t="n">
        <f aca="false">IF($A185-AM185&gt;0,1/(1+AM185),0)</f>
        <v>0</v>
      </c>
      <c r="AP185" s="37" t="n">
        <f aca="false">IF($A185-AN185&gt;0,1/(1+AN185),0)</f>
        <v>0</v>
      </c>
      <c r="AQ185" s="7" t="n">
        <f aca="false">IF(AK185=0,0,MAX(MIN(1,AO185^Power),0))</f>
        <v>0</v>
      </c>
      <c r="AR185" s="7" t="n">
        <f aca="false">IF(AL185=0,0,MAX(MIN(1,AP185^Power),0))</f>
        <v>0</v>
      </c>
      <c r="AS185" s="7" t="n">
        <f aca="false">IF($AJ185=1,IF($H185=0,K185,AS184),AS184)</f>
        <v>0</v>
      </c>
      <c r="AT185" s="7" t="n">
        <f aca="false">IF($AJ185=1,IF($H185=1,N185,AT184),AT184)</f>
        <v>0</v>
      </c>
    </row>
    <row r="186" customFormat="false" ht="13" hidden="false" customHeight="false" outlineLevel="0" collapsed="false">
      <c r="A186" s="16" t="n">
        <v>169</v>
      </c>
      <c r="B186" s="37" t="n">
        <f aca="true">IF(RAND()&lt;$D$8,1,0)</f>
        <v>0</v>
      </c>
      <c r="C186" s="20" t="n">
        <f aca="true">-LN(RAND())/$D$2</f>
        <v>0.0671339942089232</v>
      </c>
      <c r="D186" s="38" t="n">
        <f aca="false">D185+C186</f>
        <v>199.261113104373</v>
      </c>
      <c r="E186" s="39" t="n">
        <f aca="false">MAX($E$3,AS185)</f>
        <v>0</v>
      </c>
      <c r="F186" s="39" t="n">
        <f aca="false">MAX($E$3,AT185)</f>
        <v>0</v>
      </c>
      <c r="G186" s="40" t="n">
        <v>0.5</v>
      </c>
      <c r="H186" s="38" t="n">
        <f aca="true">IF((B186=1),(IF((F186&lt;E186),1,(IF((F186=E186),(IF(RAND()&lt;G186,1,0)),0)))),(IF((RAND()&lt;G186),1,0)))</f>
        <v>1</v>
      </c>
      <c r="I186" s="38" t="n">
        <f aca="true">IF((H186=1),0,$D$3+$D$5*(RAND()-0.5))</f>
        <v>0</v>
      </c>
      <c r="J186" s="38" t="n">
        <f aca="false">I186+MAX(D186,J185)</f>
        <v>206.542169647218</v>
      </c>
      <c r="K186" s="38" t="n">
        <f aca="false">IF((H186=0),J186-D186,0)</f>
        <v>0</v>
      </c>
      <c r="L186" s="38" t="n">
        <f aca="true">IF(($H186=0),0,$D$4+$D$5*(RAND()-0.5))</f>
        <v>2.05235212993675</v>
      </c>
      <c r="M186" s="38" t="n">
        <f aca="false">L186+MAX(D186,M185)</f>
        <v>208.870370203846</v>
      </c>
      <c r="N186" s="38" t="n">
        <f aca="false">IF((H186=1),M186-D186,0)</f>
        <v>9.60925709947327</v>
      </c>
      <c r="O186" s="16" t="n">
        <v>169</v>
      </c>
      <c r="P186" s="41" t="n">
        <f aca="false">IF((Arterial=0),P185+1,P185)</f>
        <v>77</v>
      </c>
      <c r="Q186" s="41" t="n">
        <f aca="false">IF((Arterial=1),Q185+1,Q185)</f>
        <v>92</v>
      </c>
      <c r="R186" s="42" t="n">
        <f aca="false">IF((RESET=1),0,R186+K186)</f>
        <v>458.491288107773</v>
      </c>
      <c r="S186" s="14" t="e">
        <f aca="false">IF(RESET=1,0,S186+N186)</f>
        <v>#N/A</v>
      </c>
      <c r="T186" s="2" t="n">
        <f aca="false">IF(RESET=1,0,T186+IF(H186=0,1,0))</f>
        <v>42</v>
      </c>
      <c r="U186" s="2" t="e">
        <f aca="false">IF(RESET=1,0,U186+H186)</f>
        <v>#N/A</v>
      </c>
      <c r="V186" s="14" t="n">
        <f aca="false">R186/(T186+0.00001)</f>
        <v>10.9164566415049</v>
      </c>
      <c r="W186" s="14" t="e">
        <f aca="false">S186/(U186+0.0001)</f>
        <v>#N/A</v>
      </c>
      <c r="X186" s="39" t="n">
        <f aca="false">IF(Informed=1,K186,0)</f>
        <v>0</v>
      </c>
      <c r="Y186" s="39" t="n">
        <f aca="false">IF(Informed=0,K186,0)</f>
        <v>0</v>
      </c>
      <c r="Z186" s="39" t="n">
        <f aca="false">IF(Informed=1,N186,0)</f>
        <v>0</v>
      </c>
      <c r="AA186" s="39" t="n">
        <f aca="false">IF(Informed=0,N186,0)</f>
        <v>9.60925709947327</v>
      </c>
      <c r="AB186" s="43" t="n">
        <f aca="false">IF(Arterial=0,IF(Informed=1,1,0),0)</f>
        <v>0</v>
      </c>
      <c r="AC186" s="43" t="n">
        <f aca="false">IF(Arterial=0,IF(Informed=0,1,0),0)</f>
        <v>0</v>
      </c>
      <c r="AD186" s="43" t="n">
        <f aca="false">IF(Arterial=1,IF(Informed=1,1,0),0)</f>
        <v>0</v>
      </c>
      <c r="AE186" s="43" t="n">
        <f aca="false">IF(Arterial=1,IF(Informed=0,1,0),0)</f>
        <v>1</v>
      </c>
      <c r="AF186" s="35" t="n">
        <f aca="false">IF(AB186=1,(X186-G$1030)^2,0)</f>
        <v>0</v>
      </c>
      <c r="AG186" s="35" t="n">
        <f aca="false">IF(AC186=1,(Y186-H$1030)^2,0)</f>
        <v>0</v>
      </c>
      <c r="AH186" s="35" t="n">
        <f aca="false">IF(AD186=1,(Z186-I$1030)^2,0)</f>
        <v>0</v>
      </c>
      <c r="AI186" s="35" t="n">
        <f aca="false">IF(AE186=1,(AA186-J$1030)^2,0)</f>
        <v>398.202739019846</v>
      </c>
      <c r="AJ186" s="37" t="n">
        <f aca="true">IF(RAND()&lt;$D$6,1,0)</f>
        <v>0</v>
      </c>
      <c r="AK186" s="14" t="n">
        <f aca="false">AK185+IF((AJ186=1),IF((H186=0),1,0),0)</f>
        <v>0</v>
      </c>
      <c r="AL186" s="14" t="n">
        <f aca="false">AL185+IF((AJ186=1),IF((H186=1),1,0),0)</f>
        <v>0</v>
      </c>
      <c r="AM186" s="37" t="n">
        <f aca="false">IF(AK186=0,9999,IF($H186=0,IF($AJ186&lt;1,AM185+1,0),AM185))</f>
        <v>9999</v>
      </c>
      <c r="AN186" s="37" t="n">
        <f aca="false">IF(AL186=0,9999,IF($H186=1,IF($AJ186&lt;1,AN185+1,0),AN185))</f>
        <v>9999</v>
      </c>
      <c r="AO186" s="37" t="n">
        <f aca="false">IF($A186-AM186&gt;0,1/(1+AM186),0)</f>
        <v>0</v>
      </c>
      <c r="AP186" s="37" t="n">
        <f aca="false">IF($A186-AN186&gt;0,1/(1+AN186),0)</f>
        <v>0</v>
      </c>
      <c r="AQ186" s="7" t="n">
        <f aca="false">IF(AK186=0,0,MAX(MIN(1,AO186^Power),0))</f>
        <v>0</v>
      </c>
      <c r="AR186" s="7" t="n">
        <f aca="false">IF(AL186=0,0,MAX(MIN(1,AP186^Power),0))</f>
        <v>0</v>
      </c>
      <c r="AS186" s="7" t="n">
        <f aca="false">IF($AJ186=1,IF($H186=0,K186,AS185),AS185)</f>
        <v>0</v>
      </c>
      <c r="AT186" s="7" t="n">
        <f aca="false">IF($AJ186=1,IF($H186=1,N186,AT185),AT185)</f>
        <v>0</v>
      </c>
    </row>
    <row r="187" customFormat="false" ht="13" hidden="false" customHeight="false" outlineLevel="0" collapsed="false">
      <c r="A187" s="16" t="n">
        <v>170</v>
      </c>
      <c r="B187" s="37" t="n">
        <f aca="true">IF(RAND()&lt;$D$8,1,0)</f>
        <v>0</v>
      </c>
      <c r="C187" s="20" t="n">
        <f aca="true">-LN(RAND())/$D$2</f>
        <v>1.12538061479904</v>
      </c>
      <c r="D187" s="38" t="n">
        <f aca="false">D186+C187</f>
        <v>200.386493719172</v>
      </c>
      <c r="E187" s="39" t="n">
        <f aca="false">MAX($E$3,AS186)</f>
        <v>0</v>
      </c>
      <c r="F187" s="39" t="n">
        <f aca="false">MAX($E$3,AT186)</f>
        <v>0</v>
      </c>
      <c r="G187" s="40" t="n">
        <v>0.5</v>
      </c>
      <c r="H187" s="38" t="n">
        <f aca="true">IF((B187=1),(IF((F187&lt;E187),1,(IF((F187=E187),(IF(RAND()&lt;G187,1,0)),0)))),(IF((RAND()&lt;G187),1,0)))</f>
        <v>1</v>
      </c>
      <c r="I187" s="38" t="n">
        <f aca="true">IF((H187=1),0,$D$3+$D$5*(RAND()-0.5))</f>
        <v>0</v>
      </c>
      <c r="J187" s="38" t="n">
        <f aca="false">I187+MAX(D187,J186)</f>
        <v>206.542169647218</v>
      </c>
      <c r="K187" s="38" t="n">
        <f aca="false">IF((H187=0),J187-D187,0)</f>
        <v>0</v>
      </c>
      <c r="L187" s="38" t="n">
        <f aca="true">IF(($H187=0),0,$D$4+$D$5*(RAND()-0.5))</f>
        <v>1.87058132125887</v>
      </c>
      <c r="M187" s="38" t="n">
        <f aca="false">L187+MAX(D187,M186)</f>
        <v>210.740951525105</v>
      </c>
      <c r="N187" s="38" t="n">
        <f aca="false">IF((H187=1),M187-D187,0)</f>
        <v>10.3544578059331</v>
      </c>
      <c r="O187" s="16" t="n">
        <v>170</v>
      </c>
      <c r="P187" s="41" t="n">
        <f aca="false">IF((Arterial=0),P186+1,P186)</f>
        <v>77</v>
      </c>
      <c r="Q187" s="41" t="n">
        <f aca="false">IF((Arterial=1),Q186+1,Q186)</f>
        <v>93</v>
      </c>
      <c r="R187" s="42" t="n">
        <f aca="false">IF((RESET=1),0,R187+K187)</f>
        <v>494.33371096917</v>
      </c>
      <c r="S187" s="14" t="e">
        <f aca="false">IF(RESET=1,0,S187+N187)</f>
        <v>#N/A</v>
      </c>
      <c r="T187" s="2" t="n">
        <f aca="false">IF(RESET=1,0,T187+IF(H187=0,1,0))</f>
        <v>38</v>
      </c>
      <c r="U187" s="2" t="e">
        <f aca="false">IF(RESET=1,0,U187+H187)</f>
        <v>#N/A</v>
      </c>
      <c r="V187" s="14" t="n">
        <f aca="false">R187/(T187+0.00001)</f>
        <v>13.008778444247</v>
      </c>
      <c r="W187" s="14" t="e">
        <f aca="false">S187/(U187+0.0001)</f>
        <v>#N/A</v>
      </c>
      <c r="X187" s="39" t="n">
        <f aca="false">IF(Informed=1,K187,0)</f>
        <v>0</v>
      </c>
      <c r="Y187" s="39" t="n">
        <f aca="false">IF(Informed=0,K187,0)</f>
        <v>0</v>
      </c>
      <c r="Z187" s="39" t="n">
        <f aca="false">IF(Informed=1,N187,0)</f>
        <v>0</v>
      </c>
      <c r="AA187" s="39" t="n">
        <f aca="false">IF(Informed=0,N187,0)</f>
        <v>10.3544578059331</v>
      </c>
      <c r="AB187" s="43" t="n">
        <f aca="false">IF(Arterial=0,IF(Informed=1,1,0),0)</f>
        <v>0</v>
      </c>
      <c r="AC187" s="43" t="n">
        <f aca="false">IF(Arterial=0,IF(Informed=0,1,0),0)</f>
        <v>0</v>
      </c>
      <c r="AD187" s="43" t="n">
        <f aca="false">IF(Arterial=1,IF(Informed=1,1,0),0)</f>
        <v>0</v>
      </c>
      <c r="AE187" s="43" t="n">
        <f aca="false">IF(Arterial=1,IF(Informed=0,1,0),0)</f>
        <v>1</v>
      </c>
      <c r="AF187" s="35" t="n">
        <f aca="false">IF(AB187=1,(X187-G$1030)^2,0)</f>
        <v>0</v>
      </c>
      <c r="AG187" s="35" t="n">
        <f aca="false">IF(AC187=1,(Y187-H$1030)^2,0)</f>
        <v>0</v>
      </c>
      <c r="AH187" s="35" t="n">
        <f aca="false">IF(AD187=1,(Z187-I$1030)^2,0)</f>
        <v>0</v>
      </c>
      <c r="AI187" s="35" t="n">
        <f aca="false">IF(AE187=1,(AA187-J$1030)^2,0)</f>
        <v>369.017076253555</v>
      </c>
      <c r="AJ187" s="37" t="n">
        <f aca="true">IF(RAND()&lt;$D$6,1,0)</f>
        <v>0</v>
      </c>
      <c r="AK187" s="14" t="n">
        <f aca="false">AK186+IF((AJ187=1),IF((H187=0),1,0),0)</f>
        <v>0</v>
      </c>
      <c r="AL187" s="14" t="n">
        <f aca="false">AL186+IF((AJ187=1),IF((H187=1),1,0),0)</f>
        <v>0</v>
      </c>
      <c r="AM187" s="37" t="n">
        <f aca="false">IF(AK187=0,9999,IF($H187=0,IF($AJ187&lt;1,AM186+1,0),AM186))</f>
        <v>9999</v>
      </c>
      <c r="AN187" s="37" t="n">
        <f aca="false">IF(AL187=0,9999,IF($H187=1,IF($AJ187&lt;1,AN186+1,0),AN186))</f>
        <v>9999</v>
      </c>
      <c r="AO187" s="37" t="n">
        <f aca="false">IF($A187-AM187&gt;0,1/(1+AM187),0)</f>
        <v>0</v>
      </c>
      <c r="AP187" s="37" t="n">
        <f aca="false">IF($A187-AN187&gt;0,1/(1+AN187),0)</f>
        <v>0</v>
      </c>
      <c r="AQ187" s="7" t="n">
        <f aca="false">IF(AK187=0,0,MAX(MIN(1,AO187^Power),0))</f>
        <v>0</v>
      </c>
      <c r="AR187" s="7" t="n">
        <f aca="false">IF(AL187=0,0,MAX(MIN(1,AP187^Power),0))</f>
        <v>0</v>
      </c>
      <c r="AS187" s="7" t="n">
        <f aca="false">IF($AJ187=1,IF($H187=0,K187,AS186),AS186)</f>
        <v>0</v>
      </c>
      <c r="AT187" s="7" t="n">
        <f aca="false">IF($AJ187=1,IF($H187=1,N187,AT186),AT186)</f>
        <v>0</v>
      </c>
    </row>
    <row r="188" customFormat="false" ht="13" hidden="false" customHeight="false" outlineLevel="0" collapsed="false">
      <c r="A188" s="16" t="n">
        <v>171</v>
      </c>
      <c r="B188" s="37" t="n">
        <f aca="true">IF(RAND()&lt;$D$8,1,0)</f>
        <v>1</v>
      </c>
      <c r="C188" s="20" t="n">
        <f aca="true">-LN(RAND())/$D$2</f>
        <v>0.338412864183065</v>
      </c>
      <c r="D188" s="38" t="n">
        <f aca="false">D187+C188</f>
        <v>200.724906583355</v>
      </c>
      <c r="E188" s="39" t="n">
        <f aca="false">MAX($E$3,AS187)</f>
        <v>0</v>
      </c>
      <c r="F188" s="39" t="n">
        <f aca="false">MAX($E$3,AT187)</f>
        <v>0</v>
      </c>
      <c r="G188" s="40" t="n">
        <v>0.5</v>
      </c>
      <c r="H188" s="38" t="n">
        <f aca="true">IF((B188=1),(IF((F188&lt;E188),1,(IF((F188=E188),(IF(RAND()&lt;G188,1,0)),0)))),(IF((RAND()&lt;G188),1,0)))</f>
        <v>0</v>
      </c>
      <c r="I188" s="38" t="n">
        <f aca="true">IF((H188=1),0,$D$3+$D$5*(RAND()-0.5))</f>
        <v>2.09017093718601</v>
      </c>
      <c r="J188" s="38" t="n">
        <f aca="false">I188+MAX(D188,J187)</f>
        <v>208.632340584404</v>
      </c>
      <c r="K188" s="38" t="n">
        <f aca="false">IF((H188=0),J188-D188,0)</f>
        <v>7.90743400104924</v>
      </c>
      <c r="L188" s="38" t="n">
        <f aca="true">IF(($H188=0),0,$D$4+$D$5*(RAND()-0.5))</f>
        <v>0</v>
      </c>
      <c r="M188" s="38" t="n">
        <f aca="false">L188+MAX(D188,M187)</f>
        <v>210.740951525105</v>
      </c>
      <c r="N188" s="38" t="n">
        <f aca="false">IF((H188=1),M188-D188,0)</f>
        <v>0</v>
      </c>
      <c r="O188" s="16" t="n">
        <v>171</v>
      </c>
      <c r="P188" s="41" t="n">
        <f aca="false">IF((Arterial=0),P187+1,P187)</f>
        <v>78</v>
      </c>
      <c r="Q188" s="41" t="n">
        <f aca="false">IF((Arterial=1),Q187+1,Q187)</f>
        <v>93</v>
      </c>
      <c r="R188" s="42" t="e">
        <f aca="false">IF((RESET=1),0,R188+K188)</f>
        <v>#N/A</v>
      </c>
      <c r="S188" s="14" t="n">
        <f aca="false">IF(RESET=1,0,S188+N188)</f>
        <v>381.628941227213</v>
      </c>
      <c r="T188" s="2" t="e">
        <f aca="false">IF(RESET=1,0,T188+IF(H188=0,1,0))</f>
        <v>#N/A</v>
      </c>
      <c r="U188" s="2" t="n">
        <f aca="false">IF(RESET=1,0,U188+H188)</f>
        <v>36</v>
      </c>
      <c r="V188" s="14" t="e">
        <f aca="false">R188/(T188+0.00001)</f>
        <v>#N/A</v>
      </c>
      <c r="W188" s="14" t="n">
        <f aca="false">S188/(U188+0.0001)</f>
        <v>10.6007744763824</v>
      </c>
      <c r="X188" s="39" t="n">
        <f aca="false">IF(Informed=1,K188,0)</f>
        <v>7.90743400104924</v>
      </c>
      <c r="Y188" s="39" t="n">
        <f aca="false">IF(Informed=0,K188,0)</f>
        <v>0</v>
      </c>
      <c r="Z188" s="39" t="n">
        <f aca="false">IF(Informed=1,N188,0)</f>
        <v>0</v>
      </c>
      <c r="AA188" s="39" t="n">
        <f aca="false">IF(Informed=0,N188,0)</f>
        <v>0</v>
      </c>
      <c r="AB188" s="43" t="n">
        <f aca="false">IF(Arterial=0,IF(Informed=1,1,0),0)</f>
        <v>1</v>
      </c>
      <c r="AC188" s="43" t="n">
        <f aca="false">IF(Arterial=0,IF(Informed=0,1,0),0)</f>
        <v>0</v>
      </c>
      <c r="AD188" s="43" t="n">
        <f aca="false">IF(Arterial=1,IF(Informed=1,1,0),0)</f>
        <v>0</v>
      </c>
      <c r="AE188" s="43" t="n">
        <f aca="false">IF(Arterial=1,IF(Informed=0,1,0),0)</f>
        <v>0</v>
      </c>
      <c r="AF188" s="35" t="n">
        <f aca="false">IF(AB188=1,(X188-G$1030)^2,0)</f>
        <v>7.85257278469882</v>
      </c>
      <c r="AG188" s="35" t="n">
        <f aca="false">IF(AC188=1,(Y188-H$1030)^2,0)</f>
        <v>0</v>
      </c>
      <c r="AH188" s="35" t="n">
        <f aca="false">IF(AD188=1,(Z188-I$1030)^2,0)</f>
        <v>0</v>
      </c>
      <c r="AI188" s="35" t="n">
        <f aca="false">IF(AE188=1,(AA188-J$1030)^2,0)</f>
        <v>0</v>
      </c>
      <c r="AJ188" s="37" t="n">
        <f aca="true">IF(RAND()&lt;$D$6,1,0)</f>
        <v>0</v>
      </c>
      <c r="AK188" s="14" t="n">
        <f aca="false">AK187+IF((AJ188=1),IF((H188=0),1,0),0)</f>
        <v>0</v>
      </c>
      <c r="AL188" s="14" t="n">
        <f aca="false">AL187+IF((AJ188=1),IF((H188=1),1,0),0)</f>
        <v>0</v>
      </c>
      <c r="AM188" s="37" t="n">
        <f aca="false">IF(AK188=0,9999,IF($H188=0,IF($AJ188&lt;1,AM187+1,0),AM187))</f>
        <v>9999</v>
      </c>
      <c r="AN188" s="37" t="n">
        <f aca="false">IF(AL188=0,9999,IF($H188=1,IF($AJ188&lt;1,AN187+1,0),AN187))</f>
        <v>9999</v>
      </c>
      <c r="AO188" s="37" t="n">
        <f aca="false">IF($A188-AM188&gt;0,1/(1+AM188),0)</f>
        <v>0</v>
      </c>
      <c r="AP188" s="37" t="n">
        <f aca="false">IF($A188-AN188&gt;0,1/(1+AN188),0)</f>
        <v>0</v>
      </c>
      <c r="AQ188" s="7" t="n">
        <f aca="false">IF(AK188=0,0,MAX(MIN(1,AO188^Power),0))</f>
        <v>0</v>
      </c>
      <c r="AR188" s="7" t="n">
        <f aca="false">IF(AL188=0,0,MAX(MIN(1,AP188^Power),0))</f>
        <v>0</v>
      </c>
      <c r="AS188" s="7" t="n">
        <f aca="false">IF($AJ188=1,IF($H188=0,K188,AS187),AS187)</f>
        <v>0</v>
      </c>
      <c r="AT188" s="7" t="n">
        <f aca="false">IF($AJ188=1,IF($H188=1,N188,AT187),AT187)</f>
        <v>0</v>
      </c>
    </row>
    <row r="189" customFormat="false" ht="13" hidden="false" customHeight="false" outlineLevel="0" collapsed="false">
      <c r="A189" s="16" t="n">
        <v>172</v>
      </c>
      <c r="B189" s="37" t="n">
        <f aca="true">IF(RAND()&lt;$D$8,1,0)</f>
        <v>1</v>
      </c>
      <c r="C189" s="20" t="n">
        <f aca="true">-LN(RAND())/$D$2</f>
        <v>0.399073397963871</v>
      </c>
      <c r="D189" s="38" t="n">
        <f aca="false">D188+C189</f>
        <v>201.123979981319</v>
      </c>
      <c r="E189" s="39" t="n">
        <f aca="false">MAX($E$3,AS188)</f>
        <v>0</v>
      </c>
      <c r="F189" s="39" t="n">
        <f aca="false">MAX($E$3,AT188)</f>
        <v>0</v>
      </c>
      <c r="G189" s="40" t="n">
        <v>0.5</v>
      </c>
      <c r="H189" s="38" t="n">
        <f aca="true">IF((B189=1),(IF((F189&lt;E189),1,(IF((F189=E189),(IF(RAND()&lt;G189,1,0)),0)))),(IF((RAND()&lt;G189),1,0)))</f>
        <v>1</v>
      </c>
      <c r="I189" s="38" t="n">
        <f aca="true">IF((H189=1),0,$D$3+$D$5*(RAND()-0.5))</f>
        <v>0</v>
      </c>
      <c r="J189" s="38" t="n">
        <f aca="false">I189+MAX(D189,J188)</f>
        <v>208.632340584404</v>
      </c>
      <c r="K189" s="38" t="n">
        <f aca="false">IF((H189=0),J189-D189,0)</f>
        <v>0</v>
      </c>
      <c r="L189" s="38" t="n">
        <f aca="true">IF(($H189=0),0,$D$4+$D$5*(RAND()-0.5))</f>
        <v>1.92819956965151</v>
      </c>
      <c r="M189" s="38" t="n">
        <f aca="false">L189+MAX(D189,M188)</f>
        <v>212.669151094757</v>
      </c>
      <c r="N189" s="38" t="n">
        <f aca="false">IF((H189=1),M189-D189,0)</f>
        <v>11.5451711134377</v>
      </c>
      <c r="O189" s="16" t="n">
        <v>172</v>
      </c>
      <c r="P189" s="41" t="n">
        <f aca="false">IF((Arterial=0),P188+1,P188)</f>
        <v>78</v>
      </c>
      <c r="Q189" s="41" t="n">
        <f aca="false">IF((Arterial=1),Q188+1,Q188)</f>
        <v>94</v>
      </c>
      <c r="R189" s="42" t="n">
        <f aca="false">IF((RESET=1),0,R189+K189)</f>
        <v>552.636576801102</v>
      </c>
      <c r="S189" s="14" t="e">
        <f aca="false">IF(RESET=1,0,S189+N189)</f>
        <v>#N/A</v>
      </c>
      <c r="T189" s="2" t="n">
        <f aca="false">IF(RESET=1,0,T189+IF(H189=0,1,0))</f>
        <v>41</v>
      </c>
      <c r="U189" s="2" t="e">
        <f aca="false">IF(RESET=1,0,U189+H189)</f>
        <v>#N/A</v>
      </c>
      <c r="V189" s="14" t="n">
        <f aca="false">R189/(T189+0.00001)</f>
        <v>13.4789376100421</v>
      </c>
      <c r="W189" s="14" t="e">
        <f aca="false">S189/(U189+0.0001)</f>
        <v>#N/A</v>
      </c>
      <c r="X189" s="39" t="n">
        <f aca="false">IF(Informed=1,K189,0)</f>
        <v>0</v>
      </c>
      <c r="Y189" s="39" t="n">
        <f aca="false">IF(Informed=0,K189,0)</f>
        <v>0</v>
      </c>
      <c r="Z189" s="39" t="n">
        <f aca="false">IF(Informed=1,N189,0)</f>
        <v>11.5451711134377</v>
      </c>
      <c r="AA189" s="39" t="n">
        <f aca="false">IF(Informed=0,N189,0)</f>
        <v>0</v>
      </c>
      <c r="AB189" s="43" t="n">
        <f aca="false">IF(Arterial=0,IF(Informed=1,1,0),0)</f>
        <v>0</v>
      </c>
      <c r="AC189" s="43" t="n">
        <f aca="false">IF(Arterial=0,IF(Informed=0,1,0),0)</f>
        <v>0</v>
      </c>
      <c r="AD189" s="43" t="n">
        <f aca="false">IF(Arterial=1,IF(Informed=1,1,0),0)</f>
        <v>1</v>
      </c>
      <c r="AE189" s="43" t="n">
        <f aca="false">IF(Arterial=1,IF(Informed=0,1,0),0)</f>
        <v>0</v>
      </c>
      <c r="AF189" s="35" t="n">
        <f aca="false">IF(AB189=1,(X189-G$1030)^2,0)</f>
        <v>0</v>
      </c>
      <c r="AG189" s="35" t="n">
        <f aca="false">IF(AC189=1,(Y189-H$1030)^2,0)</f>
        <v>0</v>
      </c>
      <c r="AH189" s="35" t="n">
        <f aca="false">IF(AD189=1,(Z189-I$1030)^2,0)</f>
        <v>283.237579575123</v>
      </c>
      <c r="AI189" s="35" t="n">
        <f aca="false">IF(AE189=1,(AA189-J$1030)^2,0)</f>
        <v>0</v>
      </c>
      <c r="AJ189" s="37" t="n">
        <f aca="true">IF(RAND()&lt;$D$6,1,0)</f>
        <v>0</v>
      </c>
      <c r="AK189" s="14" t="n">
        <f aca="false">AK188+IF((AJ189=1),IF((H189=0),1,0),0)</f>
        <v>0</v>
      </c>
      <c r="AL189" s="14" t="n">
        <f aca="false">AL188+IF((AJ189=1),IF((H189=1),1,0),0)</f>
        <v>0</v>
      </c>
      <c r="AM189" s="37" t="n">
        <f aca="false">IF(AK189=0,9999,IF($H189=0,IF($AJ189&lt;1,AM188+1,0),AM188))</f>
        <v>9999</v>
      </c>
      <c r="AN189" s="37" t="n">
        <f aca="false">IF(AL189=0,9999,IF($H189=1,IF($AJ189&lt;1,AN188+1,0),AN188))</f>
        <v>9999</v>
      </c>
      <c r="AO189" s="37" t="n">
        <f aca="false">IF($A189-AM189&gt;0,1/(1+AM189),0)</f>
        <v>0</v>
      </c>
      <c r="AP189" s="37" t="n">
        <f aca="false">IF($A189-AN189&gt;0,1/(1+AN189),0)</f>
        <v>0</v>
      </c>
      <c r="AQ189" s="7" t="n">
        <f aca="false">IF(AK189=0,0,MAX(MIN(1,AO189^Power),0))</f>
        <v>0</v>
      </c>
      <c r="AR189" s="7" t="n">
        <f aca="false">IF(AL189=0,0,MAX(MIN(1,AP189^Power),0))</f>
        <v>0</v>
      </c>
      <c r="AS189" s="7" t="n">
        <f aca="false">IF($AJ189=1,IF($H189=0,K189,AS188),AS188)</f>
        <v>0</v>
      </c>
      <c r="AT189" s="7" t="n">
        <f aca="false">IF($AJ189=1,IF($H189=1,N189,AT188),AT188)</f>
        <v>0</v>
      </c>
    </row>
    <row r="190" customFormat="false" ht="13" hidden="false" customHeight="false" outlineLevel="0" collapsed="false">
      <c r="A190" s="16" t="n">
        <v>173</v>
      </c>
      <c r="B190" s="37" t="n">
        <f aca="true">IF(RAND()&lt;$D$8,1,0)</f>
        <v>0</v>
      </c>
      <c r="C190" s="20" t="n">
        <f aca="true">-LN(RAND())/$D$2</f>
        <v>0.218621071902471</v>
      </c>
      <c r="D190" s="38" t="n">
        <f aca="false">D189+C190</f>
        <v>201.342601053221</v>
      </c>
      <c r="E190" s="39" t="n">
        <f aca="false">MAX($E$3,AS189)</f>
        <v>0</v>
      </c>
      <c r="F190" s="39" t="n">
        <f aca="false">MAX($E$3,AT189)</f>
        <v>0</v>
      </c>
      <c r="G190" s="40" t="n">
        <v>0.5</v>
      </c>
      <c r="H190" s="38" t="n">
        <f aca="true">IF((B190=1),(IF((F190&lt;E190),1,(IF((F190=E190),(IF(RAND()&lt;G190,1,0)),0)))),(IF((RAND()&lt;G190),1,0)))</f>
        <v>0</v>
      </c>
      <c r="I190" s="38" t="n">
        <f aca="true">IF((H190=1),0,$D$3+$D$5*(RAND()-0.5))</f>
        <v>1.98473485166471</v>
      </c>
      <c r="J190" s="38" t="n">
        <f aca="false">I190+MAX(D190,J189)</f>
        <v>210.617075436069</v>
      </c>
      <c r="K190" s="38" t="n">
        <f aca="false">IF((H190=0),J190-D190,0)</f>
        <v>9.27447438284762</v>
      </c>
      <c r="L190" s="38" t="n">
        <f aca="true">IF(($H190=0),0,$D$4+$D$5*(RAND()-0.5))</f>
        <v>0</v>
      </c>
      <c r="M190" s="38" t="n">
        <f aca="false">L190+MAX(D190,M189)</f>
        <v>212.669151094757</v>
      </c>
      <c r="N190" s="38" t="n">
        <f aca="false">IF((H190=1),M190-D190,0)</f>
        <v>0</v>
      </c>
      <c r="O190" s="16" t="n">
        <v>173</v>
      </c>
      <c r="P190" s="41" t="n">
        <f aca="false">IF((Arterial=0),P189+1,P189)</f>
        <v>79</v>
      </c>
      <c r="Q190" s="41" t="n">
        <f aca="false">IF((Arterial=1),Q189+1,Q189)</f>
        <v>94</v>
      </c>
      <c r="R190" s="42" t="e">
        <f aca="false">IF((RESET=1),0,R190+K190)</f>
        <v>#N/A</v>
      </c>
      <c r="S190" s="14" t="n">
        <f aca="false">IF(RESET=1,0,S190+N190)</f>
        <v>409.585623888557</v>
      </c>
      <c r="T190" s="2" t="e">
        <f aca="false">IF(RESET=1,0,T190+IF(H190=0,1,0))</f>
        <v>#N/A</v>
      </c>
      <c r="U190" s="2" t="n">
        <f aca="false">IF(RESET=1,0,U190+H190)</f>
        <v>37</v>
      </c>
      <c r="V190" s="14" t="e">
        <f aca="false">R190/(T190+0.00001)</f>
        <v>#N/A</v>
      </c>
      <c r="W190" s="14" t="n">
        <f aca="false">S190/(U190+0.0001)</f>
        <v>11.0698518081993</v>
      </c>
      <c r="X190" s="39" t="n">
        <f aca="false">IF(Informed=1,K190,0)</f>
        <v>0</v>
      </c>
      <c r="Y190" s="39" t="n">
        <f aca="false">IF(Informed=0,K190,0)</f>
        <v>9.27447438284762</v>
      </c>
      <c r="Z190" s="39" t="n">
        <f aca="false">IF(Informed=1,N190,0)</f>
        <v>0</v>
      </c>
      <c r="AA190" s="39" t="n">
        <f aca="false">IF(Informed=0,N190,0)</f>
        <v>0</v>
      </c>
      <c r="AB190" s="43" t="n">
        <f aca="false">IF(Arterial=0,IF(Informed=1,1,0),0)</f>
        <v>0</v>
      </c>
      <c r="AC190" s="43" t="n">
        <f aca="false">IF(Arterial=0,IF(Informed=0,1,0),0)</f>
        <v>1</v>
      </c>
      <c r="AD190" s="43" t="n">
        <f aca="false">IF(Arterial=1,IF(Informed=1,1,0),0)</f>
        <v>0</v>
      </c>
      <c r="AE190" s="43" t="n">
        <f aca="false">IF(Arterial=1,IF(Informed=0,1,0),0)</f>
        <v>0</v>
      </c>
      <c r="AF190" s="35" t="n">
        <f aca="false">IF(AB190=1,(X190-G$1030)^2,0)</f>
        <v>0</v>
      </c>
      <c r="AG190" s="35" t="n">
        <f aca="false">IF(AC190=1,(Y190-H$1030)^2,0)</f>
        <v>2.72022633888157</v>
      </c>
      <c r="AH190" s="35" t="n">
        <f aca="false">IF(AD190=1,(Z190-I$1030)^2,0)</f>
        <v>0</v>
      </c>
      <c r="AI190" s="35" t="n">
        <f aca="false">IF(AE190=1,(AA190-J$1030)^2,0)</f>
        <v>0</v>
      </c>
      <c r="AJ190" s="37" t="n">
        <f aca="true">IF(RAND()&lt;$D$6,1,0)</f>
        <v>0</v>
      </c>
      <c r="AK190" s="14" t="n">
        <f aca="false">AK189+IF((AJ190=1),IF((H190=0),1,0),0)</f>
        <v>0</v>
      </c>
      <c r="AL190" s="14" t="n">
        <f aca="false">AL189+IF((AJ190=1),IF((H190=1),1,0),0)</f>
        <v>0</v>
      </c>
      <c r="AM190" s="37" t="n">
        <f aca="false">IF(AK190=0,9999,IF($H190=0,IF($AJ190&lt;1,AM189+1,0),AM189))</f>
        <v>9999</v>
      </c>
      <c r="AN190" s="37" t="n">
        <f aca="false">IF(AL190=0,9999,IF($H190=1,IF($AJ190&lt;1,AN189+1,0),AN189))</f>
        <v>9999</v>
      </c>
      <c r="AO190" s="37" t="n">
        <f aca="false">IF($A190-AM190&gt;0,1/(1+AM190),0)</f>
        <v>0</v>
      </c>
      <c r="AP190" s="37" t="n">
        <f aca="false">IF($A190-AN190&gt;0,1/(1+AN190),0)</f>
        <v>0</v>
      </c>
      <c r="AQ190" s="7" t="n">
        <f aca="false">IF(AK190=0,0,MAX(MIN(1,AO190^Power),0))</f>
        <v>0</v>
      </c>
      <c r="AR190" s="7" t="n">
        <f aca="false">IF(AL190=0,0,MAX(MIN(1,AP190^Power),0))</f>
        <v>0</v>
      </c>
      <c r="AS190" s="7" t="n">
        <f aca="false">IF($AJ190=1,IF($H190=0,K190,AS189),AS189)</f>
        <v>0</v>
      </c>
      <c r="AT190" s="7" t="n">
        <f aca="false">IF($AJ190=1,IF($H190=1,N190,AT189),AT189)</f>
        <v>0</v>
      </c>
    </row>
    <row r="191" customFormat="false" ht="13" hidden="false" customHeight="false" outlineLevel="0" collapsed="false">
      <c r="A191" s="16" t="n">
        <v>174</v>
      </c>
      <c r="B191" s="37" t="n">
        <f aca="true">IF(RAND()&lt;$D$8,1,0)</f>
        <v>1</v>
      </c>
      <c r="C191" s="20" t="n">
        <f aca="true">-LN(RAND())/$D$2</f>
        <v>1.12932793365603</v>
      </c>
      <c r="D191" s="38" t="n">
        <f aca="false">D190+C191</f>
        <v>202.471928986878</v>
      </c>
      <c r="E191" s="39" t="n">
        <f aca="false">MAX($E$3,AS190)</f>
        <v>0</v>
      </c>
      <c r="F191" s="39" t="n">
        <f aca="false">MAX($E$3,AT190)</f>
        <v>0</v>
      </c>
      <c r="G191" s="40" t="n">
        <v>0.5</v>
      </c>
      <c r="H191" s="38" t="n">
        <f aca="true">IF((B191=1),(IF((F191&lt;E191),1,(IF((F191=E191),(IF(RAND()&lt;G191,1,0)),0)))),(IF((RAND()&lt;G191),1,0)))</f>
        <v>0</v>
      </c>
      <c r="I191" s="38" t="n">
        <f aca="true">IF((H191=1),0,$D$3+$D$5*(RAND()-0.5))</f>
        <v>1.75063459325317</v>
      </c>
      <c r="J191" s="38" t="n">
        <f aca="false">I191+MAX(D191,J190)</f>
        <v>212.367710029322</v>
      </c>
      <c r="K191" s="38" t="n">
        <f aca="false">IF((H191=0),J191-D191,0)</f>
        <v>9.89578104244473</v>
      </c>
      <c r="L191" s="38" t="n">
        <f aca="true">IF(($H191=0),0,$D$4+$D$5*(RAND()-0.5))</f>
        <v>0</v>
      </c>
      <c r="M191" s="38" t="n">
        <f aca="false">L191+MAX(D191,M190)</f>
        <v>212.669151094757</v>
      </c>
      <c r="N191" s="38" t="n">
        <f aca="false">IF((H191=1),M191-D191,0)</f>
        <v>0</v>
      </c>
      <c r="O191" s="16" t="n">
        <v>174</v>
      </c>
      <c r="P191" s="41" t="n">
        <f aca="false">IF((Arterial=0),P190+1,P190)</f>
        <v>80</v>
      </c>
      <c r="Q191" s="41" t="n">
        <f aca="false">IF((Arterial=1),Q190+1,Q190)</f>
        <v>94</v>
      </c>
      <c r="R191" s="42" t="e">
        <f aca="false">IF((RESET=1),0,R191+K191)</f>
        <v>#N/A</v>
      </c>
      <c r="S191" s="14" t="n">
        <f aca="false">IF(RESET=1,0,S191+N191)</f>
        <v>411.79572371553</v>
      </c>
      <c r="T191" s="2" t="e">
        <f aca="false">IF(RESET=1,0,T191+IF(H191=0,1,0))</f>
        <v>#N/A</v>
      </c>
      <c r="U191" s="2" t="n">
        <f aca="false">IF(RESET=1,0,U191+H191)</f>
        <v>40</v>
      </c>
      <c r="V191" s="14" t="e">
        <f aca="false">R191/(T191+0.00001)</f>
        <v>#N/A</v>
      </c>
      <c r="W191" s="14" t="n">
        <f aca="false">S191/(U191+0.0001)</f>
        <v>10.2948673557199</v>
      </c>
      <c r="X191" s="39" t="n">
        <f aca="false">IF(Informed=1,K191,0)</f>
        <v>9.89578104244473</v>
      </c>
      <c r="Y191" s="39" t="n">
        <f aca="false">IF(Informed=0,K191,0)</f>
        <v>0</v>
      </c>
      <c r="Z191" s="39" t="n">
        <f aca="false">IF(Informed=1,N191,0)</f>
        <v>0</v>
      </c>
      <c r="AA191" s="39" t="n">
        <f aca="false">IF(Informed=0,N191,0)</f>
        <v>0</v>
      </c>
      <c r="AB191" s="43" t="n">
        <f aca="false">IF(Arterial=0,IF(Informed=1,1,0),0)</f>
        <v>1</v>
      </c>
      <c r="AC191" s="43" t="n">
        <f aca="false">IF(Arterial=0,IF(Informed=0,1,0),0)</f>
        <v>0</v>
      </c>
      <c r="AD191" s="43" t="n">
        <f aca="false">IF(Arterial=1,IF(Informed=1,1,0),0)</f>
        <v>0</v>
      </c>
      <c r="AE191" s="43" t="n">
        <f aca="false">IF(Arterial=1,IF(Informed=0,1,0),0)</f>
        <v>0</v>
      </c>
      <c r="AF191" s="35" t="n">
        <f aca="false">IF(AB191=1,(X191-G$1030)^2,0)</f>
        <v>0.662428651082929</v>
      </c>
      <c r="AG191" s="35" t="n">
        <f aca="false">IF(AC191=1,(Y191-H$1030)^2,0)</f>
        <v>0</v>
      </c>
      <c r="AH191" s="35" t="n">
        <f aca="false">IF(AD191=1,(Z191-I$1030)^2,0)</f>
        <v>0</v>
      </c>
      <c r="AI191" s="35" t="n">
        <f aca="false">IF(AE191=1,(AA191-J$1030)^2,0)</f>
        <v>0</v>
      </c>
      <c r="AJ191" s="37" t="n">
        <f aca="true">IF(RAND()&lt;$D$6,1,0)</f>
        <v>0</v>
      </c>
      <c r="AK191" s="14" t="n">
        <f aca="false">AK190+IF((AJ191=1),IF((H191=0),1,0),0)</f>
        <v>0</v>
      </c>
      <c r="AL191" s="14" t="n">
        <f aca="false">AL190+IF((AJ191=1),IF((H191=1),1,0),0)</f>
        <v>0</v>
      </c>
      <c r="AM191" s="37" t="n">
        <f aca="false">IF(AK191=0,9999,IF($H191=0,IF($AJ191&lt;1,AM190+1,0),AM190))</f>
        <v>9999</v>
      </c>
      <c r="AN191" s="37" t="n">
        <f aca="false">IF(AL191=0,9999,IF($H191=1,IF($AJ191&lt;1,AN190+1,0),AN190))</f>
        <v>9999</v>
      </c>
      <c r="AO191" s="37" t="n">
        <f aca="false">IF($A191-AM191&gt;0,1/(1+AM191),0)</f>
        <v>0</v>
      </c>
      <c r="AP191" s="37" t="n">
        <f aca="false">IF($A191-AN191&gt;0,1/(1+AN191),0)</f>
        <v>0</v>
      </c>
      <c r="AQ191" s="7" t="n">
        <f aca="false">IF(AK191=0,0,MAX(MIN(1,AO191^Power),0))</f>
        <v>0</v>
      </c>
      <c r="AR191" s="7" t="n">
        <f aca="false">IF(AL191=0,0,MAX(MIN(1,AP191^Power),0))</f>
        <v>0</v>
      </c>
      <c r="AS191" s="7" t="n">
        <f aca="false">IF($AJ191=1,IF($H191=0,K191,AS190),AS190)</f>
        <v>0</v>
      </c>
      <c r="AT191" s="7" t="n">
        <f aca="false">IF($AJ191=1,IF($H191=1,N191,AT190),AT190)</f>
        <v>0</v>
      </c>
    </row>
    <row r="192" customFormat="false" ht="13" hidden="false" customHeight="false" outlineLevel="0" collapsed="false">
      <c r="A192" s="16" t="n">
        <v>175</v>
      </c>
      <c r="B192" s="37" t="n">
        <f aca="true">IF(RAND()&lt;$D$8,1,0)</f>
        <v>1</v>
      </c>
      <c r="C192" s="20" t="n">
        <f aca="true">-LN(RAND())/$D$2</f>
        <v>1.25491406255857</v>
      </c>
      <c r="D192" s="38" t="n">
        <f aca="false">D191+C192</f>
        <v>203.726843049436</v>
      </c>
      <c r="E192" s="39" t="n">
        <f aca="false">MAX($E$3,AS191)</f>
        <v>0</v>
      </c>
      <c r="F192" s="39" t="n">
        <f aca="false">MAX($E$3,AT191)</f>
        <v>0</v>
      </c>
      <c r="G192" s="40" t="n">
        <v>0.5</v>
      </c>
      <c r="H192" s="38" t="n">
        <f aca="true">IF((B192=1),(IF((F192&lt;E192),1,(IF((F192=E192),(IF(RAND()&lt;G192,1,0)),0)))),(IF((RAND()&lt;G192),1,0)))</f>
        <v>1</v>
      </c>
      <c r="I192" s="38" t="n">
        <f aca="true">IF((H192=1),0,$D$3+$D$5*(RAND()-0.5))</f>
        <v>0</v>
      </c>
      <c r="J192" s="38" t="n">
        <f aca="false">I192+MAX(D192,J191)</f>
        <v>212.367710029322</v>
      </c>
      <c r="K192" s="38" t="n">
        <f aca="false">IF((H192=0),J192-D192,0)</f>
        <v>0</v>
      </c>
      <c r="L192" s="38" t="n">
        <f aca="true">IF(($H192=0),0,$D$4+$D$5*(RAND()-0.5))</f>
        <v>2.07812265464513</v>
      </c>
      <c r="M192" s="38" t="n">
        <f aca="false">L192+MAX(D192,M191)</f>
        <v>214.747273749402</v>
      </c>
      <c r="N192" s="38" t="n">
        <f aca="false">IF((H192=1),M192-D192,0)</f>
        <v>11.0204306999658</v>
      </c>
      <c r="O192" s="16" t="n">
        <v>175</v>
      </c>
      <c r="P192" s="41" t="n">
        <f aca="false">IF((Arterial=0),P191+1,P191)</f>
        <v>80</v>
      </c>
      <c r="Q192" s="41" t="n">
        <f aca="false">IF((Arterial=1),Q191+1,Q191)</f>
        <v>95</v>
      </c>
      <c r="R192" s="42" t="n">
        <f aca="false">IF((RESET=1),0,R192+K192)</f>
        <v>538.961660946347</v>
      </c>
      <c r="S192" s="14" t="e">
        <f aca="false">IF(RESET=1,0,S192+N192)</f>
        <v>#N/A</v>
      </c>
      <c r="T192" s="2" t="n">
        <f aca="false">IF(RESET=1,0,T192+IF(H192=0,1,0))</f>
        <v>42</v>
      </c>
      <c r="U192" s="2" t="e">
        <f aca="false">IF(RESET=1,0,U192+H192)</f>
        <v>#N/A</v>
      </c>
      <c r="V192" s="14" t="n">
        <f aca="false">R192/(T192+0.00001)</f>
        <v>12.8324174433851</v>
      </c>
      <c r="W192" s="14" t="e">
        <f aca="false">S192/(U192+0.0001)</f>
        <v>#N/A</v>
      </c>
      <c r="X192" s="39" t="n">
        <f aca="false">IF(Informed=1,K192,0)</f>
        <v>0</v>
      </c>
      <c r="Y192" s="39" t="n">
        <f aca="false">IF(Informed=0,K192,0)</f>
        <v>0</v>
      </c>
      <c r="Z192" s="39" t="n">
        <f aca="false">IF(Informed=1,N192,0)</f>
        <v>11.0204306999658</v>
      </c>
      <c r="AA192" s="39" t="n">
        <f aca="false">IF(Informed=0,N192,0)</f>
        <v>0</v>
      </c>
      <c r="AB192" s="43" t="n">
        <f aca="false">IF(Arterial=0,IF(Informed=1,1,0),0)</f>
        <v>0</v>
      </c>
      <c r="AC192" s="43" t="n">
        <f aca="false">IF(Arterial=0,IF(Informed=0,1,0),0)</f>
        <v>0</v>
      </c>
      <c r="AD192" s="43" t="n">
        <f aca="false">IF(Arterial=1,IF(Informed=1,1,0),0)</f>
        <v>1</v>
      </c>
      <c r="AE192" s="43" t="n">
        <f aca="false">IF(Arterial=1,IF(Informed=0,1,0),0)</f>
        <v>0</v>
      </c>
      <c r="AF192" s="35" t="n">
        <f aca="false">IF(AB192=1,(X192-G$1030)^2,0)</f>
        <v>0</v>
      </c>
      <c r="AG192" s="35" t="n">
        <f aca="false">IF(AC192=1,(Y192-H$1030)^2,0)</f>
        <v>0</v>
      </c>
      <c r="AH192" s="35" t="n">
        <f aca="false">IF(AD192=1,(Z192-I$1030)^2,0)</f>
        <v>301.175341432516</v>
      </c>
      <c r="AI192" s="35" t="n">
        <f aca="false">IF(AE192=1,(AA192-J$1030)^2,0)</f>
        <v>0</v>
      </c>
      <c r="AJ192" s="37" t="n">
        <f aca="true">IF(RAND()&lt;$D$6,1,0)</f>
        <v>0</v>
      </c>
      <c r="AK192" s="14" t="n">
        <f aca="false">AK191+IF((AJ192=1),IF((H192=0),1,0),0)</f>
        <v>0</v>
      </c>
      <c r="AL192" s="14" t="n">
        <f aca="false">AL191+IF((AJ192=1),IF((H192=1),1,0),0)</f>
        <v>0</v>
      </c>
      <c r="AM192" s="37" t="n">
        <f aca="false">IF(AK192=0,9999,IF($H192=0,IF($AJ192&lt;1,AM191+1,0),AM191))</f>
        <v>9999</v>
      </c>
      <c r="AN192" s="37" t="n">
        <f aca="false">IF(AL192=0,9999,IF($H192=1,IF($AJ192&lt;1,AN191+1,0),AN191))</f>
        <v>9999</v>
      </c>
      <c r="AO192" s="37" t="n">
        <f aca="false">IF($A192-AM192&gt;0,1/(1+AM192),0)</f>
        <v>0</v>
      </c>
      <c r="AP192" s="37" t="n">
        <f aca="false">IF($A192-AN192&gt;0,1/(1+AN192),0)</f>
        <v>0</v>
      </c>
      <c r="AQ192" s="7" t="n">
        <f aca="false">IF(AK192=0,0,MAX(MIN(1,AO192^Power),0))</f>
        <v>0</v>
      </c>
      <c r="AR192" s="7" t="n">
        <f aca="false">IF(AL192=0,0,MAX(MIN(1,AP192^Power),0))</f>
        <v>0</v>
      </c>
      <c r="AS192" s="7" t="n">
        <f aca="false">IF($AJ192=1,IF($H192=0,K192,AS191),AS191)</f>
        <v>0</v>
      </c>
      <c r="AT192" s="7" t="n">
        <f aca="false">IF($AJ192=1,IF($H192=1,N192,AT191),AT191)</f>
        <v>0</v>
      </c>
    </row>
    <row r="193" customFormat="false" ht="13" hidden="false" customHeight="false" outlineLevel="0" collapsed="false">
      <c r="A193" s="16" t="n">
        <v>176</v>
      </c>
      <c r="B193" s="37" t="n">
        <f aca="true">IF(RAND()&lt;$D$8,1,0)</f>
        <v>0</v>
      </c>
      <c r="C193" s="20" t="n">
        <f aca="true">-LN(RAND())/$D$2</f>
        <v>0.857397883847683</v>
      </c>
      <c r="D193" s="38" t="n">
        <f aca="false">D192+C193</f>
        <v>204.584240933284</v>
      </c>
      <c r="E193" s="39" t="n">
        <f aca="false">MAX($E$3,AS192)</f>
        <v>0</v>
      </c>
      <c r="F193" s="39" t="n">
        <f aca="false">MAX($E$3,AT192)</f>
        <v>0</v>
      </c>
      <c r="G193" s="40" t="n">
        <v>0.5</v>
      </c>
      <c r="H193" s="38" t="n">
        <f aca="true">IF((B193=1),(IF((F193&lt;E193),1,(IF((F193=E193),(IF(RAND()&lt;G193,1,0)),0)))),(IF((RAND()&lt;G193),1,0)))</f>
        <v>0</v>
      </c>
      <c r="I193" s="38" t="n">
        <f aca="true">IF((H193=1),0,$D$3+$D$5*(RAND()-0.5))</f>
        <v>1.98967676657505</v>
      </c>
      <c r="J193" s="38" t="n">
        <f aca="false">I193+MAX(D193,J192)</f>
        <v>214.357386795897</v>
      </c>
      <c r="K193" s="38" t="n">
        <f aca="false">IF((H193=0),J193-D193,0)</f>
        <v>9.77314586261355</v>
      </c>
      <c r="L193" s="38" t="n">
        <f aca="true">IF(($H193=0),0,$D$4+$D$5*(RAND()-0.5))</f>
        <v>0</v>
      </c>
      <c r="M193" s="38" t="n">
        <f aca="false">L193+MAX(D193,M192)</f>
        <v>214.747273749402</v>
      </c>
      <c r="N193" s="38" t="n">
        <f aca="false">IF((H193=1),M193-D193,0)</f>
        <v>0</v>
      </c>
      <c r="O193" s="16" t="n">
        <v>176</v>
      </c>
      <c r="P193" s="41" t="n">
        <f aca="false">IF((Arterial=0),P192+1,P192)</f>
        <v>81</v>
      </c>
      <c r="Q193" s="41" t="n">
        <f aca="false">IF((Arterial=1),Q192+1,Q192)</f>
        <v>95</v>
      </c>
      <c r="R193" s="42" t="e">
        <f aca="false">IF((RESET=1),0,R193+K193)</f>
        <v>#N/A</v>
      </c>
      <c r="S193" s="14" t="n">
        <f aca="false">IF(RESET=1,0,S193+N193)</f>
        <v>476.992210228033</v>
      </c>
      <c r="T193" s="2" t="e">
        <f aca="false">IF(RESET=1,0,T193+IF(H193=0,1,0))</f>
        <v>#N/A</v>
      </c>
      <c r="U193" s="2" t="n">
        <f aca="false">IF(RESET=1,0,U193+H193)</f>
        <v>45</v>
      </c>
      <c r="V193" s="14" t="e">
        <f aca="false">R193/(T193+0.00001)</f>
        <v>#N/A</v>
      </c>
      <c r="W193" s="14" t="n">
        <f aca="false">S193/(U193+0.0001)</f>
        <v>10.5998033388377</v>
      </c>
      <c r="X193" s="39" t="n">
        <f aca="false">IF(Informed=1,K193,0)</f>
        <v>0</v>
      </c>
      <c r="Y193" s="39" t="n">
        <f aca="false">IF(Informed=0,K193,0)</f>
        <v>9.77314586261355</v>
      </c>
      <c r="Z193" s="39" t="n">
        <f aca="false">IF(Informed=1,N193,0)</f>
        <v>0</v>
      </c>
      <c r="AA193" s="39" t="n">
        <f aca="false">IF(Informed=0,N193,0)</f>
        <v>0</v>
      </c>
      <c r="AB193" s="43" t="n">
        <f aca="false">IF(Arterial=0,IF(Informed=1,1,0),0)</f>
        <v>0</v>
      </c>
      <c r="AC193" s="43" t="n">
        <f aca="false">IF(Arterial=0,IF(Informed=0,1,0),0)</f>
        <v>1</v>
      </c>
      <c r="AD193" s="43" t="n">
        <f aca="false">IF(Arterial=1,IF(Informed=1,1,0),0)</f>
        <v>0</v>
      </c>
      <c r="AE193" s="43" t="n">
        <f aca="false">IF(Arterial=1,IF(Informed=0,1,0),0)</f>
        <v>0</v>
      </c>
      <c r="AF193" s="35" t="n">
        <f aca="false">IF(AB193=1,(X193-G$1030)^2,0)</f>
        <v>0</v>
      </c>
      <c r="AG193" s="35" t="n">
        <f aca="false">IF(AC193=1,(Y193-H$1030)^2,0)</f>
        <v>1.32397100146172</v>
      </c>
      <c r="AH193" s="35" t="n">
        <f aca="false">IF(AD193=1,(Z193-I$1030)^2,0)</f>
        <v>0</v>
      </c>
      <c r="AI193" s="35" t="n">
        <f aca="false">IF(AE193=1,(AA193-J$1030)^2,0)</f>
        <v>0</v>
      </c>
      <c r="AJ193" s="37" t="n">
        <f aca="true">IF(RAND()&lt;$D$6,1,0)</f>
        <v>0</v>
      </c>
      <c r="AK193" s="14" t="n">
        <f aca="false">AK192+IF((AJ193=1),IF((H193=0),1,0),0)</f>
        <v>0</v>
      </c>
      <c r="AL193" s="14" t="n">
        <f aca="false">AL192+IF((AJ193=1),IF((H193=1),1,0),0)</f>
        <v>0</v>
      </c>
      <c r="AM193" s="37" t="n">
        <f aca="false">IF(AK193=0,9999,IF($H193=0,IF($AJ193&lt;1,AM192+1,0),AM192))</f>
        <v>9999</v>
      </c>
      <c r="AN193" s="37" t="n">
        <f aca="false">IF(AL193=0,9999,IF($H193=1,IF($AJ193&lt;1,AN192+1,0),AN192))</f>
        <v>9999</v>
      </c>
      <c r="AO193" s="37" t="n">
        <f aca="false">IF($A193-AM193&gt;0,1/(1+AM193),0)</f>
        <v>0</v>
      </c>
      <c r="AP193" s="37" t="n">
        <f aca="false">IF($A193-AN193&gt;0,1/(1+AN193),0)</f>
        <v>0</v>
      </c>
      <c r="AQ193" s="7" t="n">
        <f aca="false">IF(AK193=0,0,MAX(MIN(1,AO193^Power),0))</f>
        <v>0</v>
      </c>
      <c r="AR193" s="7" t="n">
        <f aca="false">IF(AL193=0,0,MAX(MIN(1,AP193^Power),0))</f>
        <v>0</v>
      </c>
      <c r="AS193" s="7" t="n">
        <f aca="false">IF($AJ193=1,IF($H193=0,K193,AS192),AS192)</f>
        <v>0</v>
      </c>
      <c r="AT193" s="7" t="n">
        <f aca="false">IF($AJ193=1,IF($H193=1,N193,AT192),AT192)</f>
        <v>0</v>
      </c>
    </row>
    <row r="194" customFormat="false" ht="13" hidden="false" customHeight="false" outlineLevel="0" collapsed="false">
      <c r="A194" s="16" t="n">
        <v>177</v>
      </c>
      <c r="B194" s="37" t="n">
        <f aca="true">IF(RAND()&lt;$D$8,1,0)</f>
        <v>1</v>
      </c>
      <c r="C194" s="20" t="n">
        <f aca="true">-LN(RAND())/$D$2</f>
        <v>0.288344259733633</v>
      </c>
      <c r="D194" s="38" t="n">
        <f aca="false">D193+C194</f>
        <v>204.872585193017</v>
      </c>
      <c r="E194" s="39" t="n">
        <f aca="false">MAX($E$3,AS193)</f>
        <v>0</v>
      </c>
      <c r="F194" s="39" t="n">
        <f aca="false">MAX($E$3,AT193)</f>
        <v>0</v>
      </c>
      <c r="G194" s="40" t="n">
        <v>0.5</v>
      </c>
      <c r="H194" s="38" t="n">
        <f aca="true">IF((B194=1),(IF((F194&lt;E194),1,(IF((F194=E194),(IF(RAND()&lt;G194,1,0)),0)))),(IF((RAND()&lt;G194),1,0)))</f>
        <v>0</v>
      </c>
      <c r="I194" s="38" t="n">
        <f aca="true">IF((H194=1),0,$D$3+$D$5*(RAND()-0.5))</f>
        <v>2.20212878094807</v>
      </c>
      <c r="J194" s="38" t="n">
        <f aca="false">I194+MAX(D194,J193)</f>
        <v>216.559515576845</v>
      </c>
      <c r="K194" s="38" t="n">
        <f aca="false">IF((H194=0),J194-D194,0)</f>
        <v>11.686930383828</v>
      </c>
      <c r="L194" s="38" t="n">
        <f aca="true">IF(($H194=0),0,$D$4+$D$5*(RAND()-0.5))</f>
        <v>0</v>
      </c>
      <c r="M194" s="38" t="n">
        <f aca="false">L194+MAX(D194,M193)</f>
        <v>214.747273749402</v>
      </c>
      <c r="N194" s="38" t="n">
        <f aca="false">IF((H194=1),M194-D194,0)</f>
        <v>0</v>
      </c>
      <c r="O194" s="16" t="n">
        <v>177</v>
      </c>
      <c r="P194" s="41" t="n">
        <f aca="false">IF((Arterial=0),P193+1,P193)</f>
        <v>82</v>
      </c>
      <c r="Q194" s="41" t="n">
        <f aca="false">IF((Arterial=1),Q193+1,Q193)</f>
        <v>95</v>
      </c>
      <c r="R194" s="42" t="e">
        <f aca="false">IF((RESET=1),0,R194+K194)</f>
        <v>#N/A</v>
      </c>
      <c r="S194" s="14" t="n">
        <f aca="false">IF(RESET=1,0,S194+N194)</f>
        <v>392.285901550321</v>
      </c>
      <c r="T194" s="2" t="e">
        <f aca="false">IF(RESET=1,0,T194+IF(H194=0,1,0))</f>
        <v>#N/A</v>
      </c>
      <c r="U194" s="2" t="n">
        <f aca="false">IF(RESET=1,0,U194+H194)</f>
        <v>33</v>
      </c>
      <c r="V194" s="14" t="e">
        <f aca="false">R194/(T194+0.00001)</f>
        <v>#N/A</v>
      </c>
      <c r="W194" s="14" t="n">
        <f aca="false">S194/(U194+0.0001)</f>
        <v>11.8874155396596</v>
      </c>
      <c r="X194" s="39" t="n">
        <f aca="false">IF(Informed=1,K194,0)</f>
        <v>11.686930383828</v>
      </c>
      <c r="Y194" s="39" t="n">
        <f aca="false">IF(Informed=0,K194,0)</f>
        <v>0</v>
      </c>
      <c r="Z194" s="39" t="n">
        <f aca="false">IF(Informed=1,N194,0)</f>
        <v>0</v>
      </c>
      <c r="AA194" s="39" t="n">
        <f aca="false">IF(Informed=0,N194,0)</f>
        <v>0</v>
      </c>
      <c r="AB194" s="43" t="n">
        <f aca="false">IF(Arterial=0,IF(Informed=1,1,0),0)</f>
        <v>1</v>
      </c>
      <c r="AC194" s="43" t="n">
        <f aca="false">IF(Arterial=0,IF(Informed=0,1,0),0)</f>
        <v>0</v>
      </c>
      <c r="AD194" s="43" t="n">
        <f aca="false">IF(Arterial=1,IF(Informed=1,1,0),0)</f>
        <v>0</v>
      </c>
      <c r="AE194" s="43" t="n">
        <f aca="false">IF(Arterial=1,IF(Informed=0,1,0),0)</f>
        <v>0</v>
      </c>
      <c r="AF194" s="35" t="n">
        <f aca="false">IF(AB194=1,(X194-G$1030)^2,0)</f>
        <v>0.955021749140828</v>
      </c>
      <c r="AG194" s="35" t="n">
        <f aca="false">IF(AC194=1,(Y194-H$1030)^2,0)</f>
        <v>0</v>
      </c>
      <c r="AH194" s="35" t="n">
        <f aca="false">IF(AD194=1,(Z194-I$1030)^2,0)</f>
        <v>0</v>
      </c>
      <c r="AI194" s="35" t="n">
        <f aca="false">IF(AE194=1,(AA194-J$1030)^2,0)</f>
        <v>0</v>
      </c>
      <c r="AJ194" s="37" t="n">
        <f aca="true">IF(RAND()&lt;$D$6,1,0)</f>
        <v>0</v>
      </c>
      <c r="AK194" s="14" t="n">
        <f aca="false">AK193+IF((AJ194=1),IF((H194=0),1,0),0)</f>
        <v>0</v>
      </c>
      <c r="AL194" s="14" t="n">
        <f aca="false">AL193+IF((AJ194=1),IF((H194=1),1,0),0)</f>
        <v>0</v>
      </c>
      <c r="AM194" s="37" t="n">
        <f aca="false">IF(AK194=0,9999,IF($H194=0,IF($AJ194&lt;1,AM193+1,0),AM193))</f>
        <v>9999</v>
      </c>
      <c r="AN194" s="37" t="n">
        <f aca="false">IF(AL194=0,9999,IF($H194=1,IF($AJ194&lt;1,AN193+1,0),AN193))</f>
        <v>9999</v>
      </c>
      <c r="AO194" s="37" t="n">
        <f aca="false">IF($A194-AM194&gt;0,1/(1+AM194),0)</f>
        <v>0</v>
      </c>
      <c r="AP194" s="37" t="n">
        <f aca="false">IF($A194-AN194&gt;0,1/(1+AN194),0)</f>
        <v>0</v>
      </c>
      <c r="AQ194" s="7" t="n">
        <f aca="false">IF(AK194=0,0,MAX(MIN(1,AO194^Power),0))</f>
        <v>0</v>
      </c>
      <c r="AR194" s="7" t="n">
        <f aca="false">IF(AL194=0,0,MAX(MIN(1,AP194^Power),0))</f>
        <v>0</v>
      </c>
      <c r="AS194" s="7" t="n">
        <f aca="false">IF($AJ194=1,IF($H194=0,K194,AS193),AS193)</f>
        <v>0</v>
      </c>
      <c r="AT194" s="7" t="n">
        <f aca="false">IF($AJ194=1,IF($H194=1,N194,AT193),AT193)</f>
        <v>0</v>
      </c>
    </row>
    <row r="195" customFormat="false" ht="13" hidden="false" customHeight="false" outlineLevel="0" collapsed="false">
      <c r="A195" s="16" t="n">
        <v>178</v>
      </c>
      <c r="B195" s="37" t="n">
        <f aca="true">IF(RAND()&lt;$D$8,1,0)</f>
        <v>0</v>
      </c>
      <c r="C195" s="20" t="n">
        <f aca="true">-LN(RAND())/$D$2</f>
        <v>0.417335452916394</v>
      </c>
      <c r="D195" s="38" t="n">
        <f aca="false">D194+C195</f>
        <v>205.289920645934</v>
      </c>
      <c r="E195" s="39" t="n">
        <f aca="false">MAX($E$3,AS194)</f>
        <v>0</v>
      </c>
      <c r="F195" s="39" t="n">
        <f aca="false">MAX($E$3,AT194)</f>
        <v>0</v>
      </c>
      <c r="G195" s="40" t="n">
        <v>0.5</v>
      </c>
      <c r="H195" s="38" t="n">
        <f aca="true">IF((B195=1),(IF((F195&lt;E195),1,(IF((F195=E195),(IF(RAND()&lt;G195,1,0)),0)))),(IF((RAND()&lt;G195),1,0)))</f>
        <v>0</v>
      </c>
      <c r="I195" s="38" t="n">
        <f aca="true">IF((H195=1),0,$D$3+$D$5*(RAND()-0.5))</f>
        <v>1.98932549335825</v>
      </c>
      <c r="J195" s="38" t="n">
        <f aca="false">I195+MAX(D195,J194)</f>
        <v>218.548841070204</v>
      </c>
      <c r="K195" s="38" t="n">
        <f aca="false">IF((H195=0),J195-D195,0)</f>
        <v>13.2589204242698</v>
      </c>
      <c r="L195" s="38" t="n">
        <f aca="true">IF(($H195=0),0,$D$4+$D$5*(RAND()-0.5))</f>
        <v>0</v>
      </c>
      <c r="M195" s="38" t="n">
        <f aca="false">L195+MAX(D195,M194)</f>
        <v>214.747273749402</v>
      </c>
      <c r="N195" s="38" t="n">
        <f aca="false">IF((H195=1),M195-D195,0)</f>
        <v>0</v>
      </c>
      <c r="O195" s="16" t="n">
        <v>178</v>
      </c>
      <c r="P195" s="41" t="n">
        <f aca="false">IF((Arterial=0),P194+1,P194)</f>
        <v>83</v>
      </c>
      <c r="Q195" s="41" t="n">
        <f aca="false">IF((Arterial=1),Q194+1,Q194)</f>
        <v>95</v>
      </c>
      <c r="R195" s="42" t="e">
        <f aca="false">IF((RESET=1),0,R195+K195)</f>
        <v>#N/A</v>
      </c>
      <c r="S195" s="14" t="n">
        <f aca="false">IF(RESET=1,0,S195+N195)</f>
        <v>441.758741479094</v>
      </c>
      <c r="T195" s="2" t="e">
        <f aca="false">IF(RESET=1,0,T195+IF(H195=0,1,0))</f>
        <v>#N/A</v>
      </c>
      <c r="U195" s="2" t="n">
        <f aca="false">IF(RESET=1,0,U195+H195)</f>
        <v>38</v>
      </c>
      <c r="V195" s="14" t="e">
        <f aca="false">R195/(T195+0.00001)</f>
        <v>#N/A</v>
      </c>
      <c r="W195" s="14" t="n">
        <f aca="false">S195/(U195+0.0001)</f>
        <v>11.6251994462934</v>
      </c>
      <c r="X195" s="39" t="n">
        <f aca="false">IF(Informed=1,K195,0)</f>
        <v>0</v>
      </c>
      <c r="Y195" s="39" t="n">
        <f aca="false">IF(Informed=0,K195,0)</f>
        <v>13.2589204242698</v>
      </c>
      <c r="Z195" s="39" t="n">
        <f aca="false">IF(Informed=1,N195,0)</f>
        <v>0</v>
      </c>
      <c r="AA195" s="39" t="n">
        <f aca="false">IF(Informed=0,N195,0)</f>
        <v>0</v>
      </c>
      <c r="AB195" s="43" t="n">
        <f aca="false">IF(Arterial=0,IF(Informed=1,1,0),0)</f>
        <v>0</v>
      </c>
      <c r="AC195" s="43" t="n">
        <f aca="false">IF(Arterial=0,IF(Informed=0,1,0),0)</f>
        <v>1</v>
      </c>
      <c r="AD195" s="43" t="n">
        <f aca="false">IF(Arterial=1,IF(Informed=1,1,0),0)</f>
        <v>0</v>
      </c>
      <c r="AE195" s="43" t="n">
        <f aca="false">IF(Arterial=1,IF(Informed=0,1,0),0)</f>
        <v>0</v>
      </c>
      <c r="AF195" s="35" t="n">
        <f aca="false">IF(AB195=1,(X195-G$1030)^2,0)</f>
        <v>0</v>
      </c>
      <c r="AG195" s="35" t="n">
        <f aca="false">IF(AC195=1,(Y195-H$1030)^2,0)</f>
        <v>5.45285627875016</v>
      </c>
      <c r="AH195" s="35" t="n">
        <f aca="false">IF(AD195=1,(Z195-I$1030)^2,0)</f>
        <v>0</v>
      </c>
      <c r="AI195" s="35" t="n">
        <f aca="false">IF(AE195=1,(AA195-J$1030)^2,0)</f>
        <v>0</v>
      </c>
      <c r="AJ195" s="37" t="n">
        <f aca="true">IF(RAND()&lt;$D$6,1,0)</f>
        <v>0</v>
      </c>
      <c r="AK195" s="14" t="n">
        <f aca="false">AK194+IF((AJ195=1),IF((H195=0),1,0),0)</f>
        <v>0</v>
      </c>
      <c r="AL195" s="14" t="n">
        <f aca="false">AL194+IF((AJ195=1),IF((H195=1),1,0),0)</f>
        <v>0</v>
      </c>
      <c r="AM195" s="37" t="n">
        <f aca="false">IF(AK195=0,9999,IF($H195=0,IF($AJ195&lt;1,AM194+1,0),AM194))</f>
        <v>9999</v>
      </c>
      <c r="AN195" s="37" t="n">
        <f aca="false">IF(AL195=0,9999,IF($H195=1,IF($AJ195&lt;1,AN194+1,0),AN194))</f>
        <v>9999</v>
      </c>
      <c r="AO195" s="37" t="n">
        <f aca="false">IF($A195-AM195&gt;0,1/(1+AM195),0)</f>
        <v>0</v>
      </c>
      <c r="AP195" s="37" t="n">
        <f aca="false">IF($A195-AN195&gt;0,1/(1+AN195),0)</f>
        <v>0</v>
      </c>
      <c r="AQ195" s="7" t="n">
        <f aca="false">IF(AK195=0,0,MAX(MIN(1,AO195^Power),0))</f>
        <v>0</v>
      </c>
      <c r="AR195" s="7" t="n">
        <f aca="false">IF(AL195=0,0,MAX(MIN(1,AP195^Power),0))</f>
        <v>0</v>
      </c>
      <c r="AS195" s="7" t="n">
        <f aca="false">IF($AJ195=1,IF($H195=0,K195,AS194),AS194)</f>
        <v>0</v>
      </c>
      <c r="AT195" s="7" t="n">
        <f aca="false">IF($AJ195=1,IF($H195=1,N195,AT194),AT194)</f>
        <v>0</v>
      </c>
    </row>
    <row r="196" customFormat="false" ht="13" hidden="false" customHeight="false" outlineLevel="0" collapsed="false">
      <c r="A196" s="16" t="n">
        <v>179</v>
      </c>
      <c r="B196" s="37" t="n">
        <f aca="true">IF(RAND()&lt;$D$8,1,0)</f>
        <v>0</v>
      </c>
      <c r="C196" s="20" t="n">
        <f aca="true">-LN(RAND())/$D$2</f>
        <v>1.54299527988122</v>
      </c>
      <c r="D196" s="38" t="n">
        <f aca="false">D195+C196</f>
        <v>206.832915925815</v>
      </c>
      <c r="E196" s="39" t="n">
        <f aca="false">MAX($E$3,AS195)</f>
        <v>0</v>
      </c>
      <c r="F196" s="39" t="n">
        <f aca="false">MAX($E$3,AT195)</f>
        <v>0</v>
      </c>
      <c r="G196" s="40" t="n">
        <v>0.5</v>
      </c>
      <c r="H196" s="38" t="n">
        <f aca="true">IF((B196=1),(IF((F196&lt;E196),1,(IF((F196=E196),(IF(RAND()&lt;G196,1,0)),0)))),(IF((RAND()&lt;G196),1,0)))</f>
        <v>1</v>
      </c>
      <c r="I196" s="38" t="n">
        <f aca="true">IF((H196=1),0,$D$3+$D$5*(RAND()-0.5))</f>
        <v>0</v>
      </c>
      <c r="J196" s="38" t="n">
        <f aca="false">I196+MAX(D196,J195)</f>
        <v>218.548841070204</v>
      </c>
      <c r="K196" s="38" t="n">
        <f aca="false">IF((H196=0),J196-D196,0)</f>
        <v>0</v>
      </c>
      <c r="L196" s="38" t="n">
        <f aca="true">IF(($H196=0),0,$D$4+$D$5*(RAND()-0.5))</f>
        <v>1.81260203470206</v>
      </c>
      <c r="M196" s="38" t="n">
        <f aca="false">L196+MAX(D196,M195)</f>
        <v>216.559875784104</v>
      </c>
      <c r="N196" s="38" t="n">
        <f aca="false">IF((H196=1),M196-D196,0)</f>
        <v>9.72695985828889</v>
      </c>
      <c r="O196" s="16" t="n">
        <v>179</v>
      </c>
      <c r="P196" s="41" t="n">
        <f aca="false">IF((Arterial=0),P195+1,P195)</f>
        <v>83</v>
      </c>
      <c r="Q196" s="41" t="n">
        <f aca="false">IF((Arterial=1),Q195+1,Q195)</f>
        <v>96</v>
      </c>
      <c r="R196" s="42" t="n">
        <f aca="false">IF((RESET=1),0,R196+K196)</f>
        <v>482.662646883177</v>
      </c>
      <c r="S196" s="14" t="e">
        <f aca="false">IF(RESET=1,0,S196+N196)</f>
        <v>#N/A</v>
      </c>
      <c r="T196" s="2" t="n">
        <f aca="false">IF(RESET=1,0,T196+IF(H196=0,1,0))</f>
        <v>37</v>
      </c>
      <c r="U196" s="2" t="e">
        <f aca="false">IF(RESET=1,0,U196+H196)</f>
        <v>#N/A</v>
      </c>
      <c r="V196" s="14" t="n">
        <f aca="false">R196/(T196+0.00001)</f>
        <v>13.0449328765905</v>
      </c>
      <c r="W196" s="14" t="e">
        <f aca="false">S196/(U196+0.0001)</f>
        <v>#N/A</v>
      </c>
      <c r="X196" s="39" t="n">
        <f aca="false">IF(Informed=1,K196,0)</f>
        <v>0</v>
      </c>
      <c r="Y196" s="39" t="n">
        <f aca="false">IF(Informed=0,K196,0)</f>
        <v>0</v>
      </c>
      <c r="Z196" s="39" t="n">
        <f aca="false">IF(Informed=1,N196,0)</f>
        <v>0</v>
      </c>
      <c r="AA196" s="39" t="n">
        <f aca="false">IF(Informed=0,N196,0)</f>
        <v>9.72695985828889</v>
      </c>
      <c r="AB196" s="43" t="n">
        <f aca="false">IF(Arterial=0,IF(Informed=1,1,0),0)</f>
        <v>0</v>
      </c>
      <c r="AC196" s="43" t="n">
        <f aca="false">IF(Arterial=0,IF(Informed=0,1,0),0)</f>
        <v>0</v>
      </c>
      <c r="AD196" s="43" t="n">
        <f aca="false">IF(Arterial=1,IF(Informed=1,1,0),0)</f>
        <v>0</v>
      </c>
      <c r="AE196" s="43" t="n">
        <f aca="false">IF(Arterial=1,IF(Informed=0,1,0),0)</f>
        <v>1</v>
      </c>
      <c r="AF196" s="35" t="n">
        <f aca="false">IF(AB196=1,(X196-G$1030)^2,0)</f>
        <v>0</v>
      </c>
      <c r="AG196" s="35" t="n">
        <f aca="false">IF(AC196=1,(Y196-H$1030)^2,0)</f>
        <v>0</v>
      </c>
      <c r="AH196" s="35" t="n">
        <f aca="false">IF(AD196=1,(Z196-I$1030)^2,0)</f>
        <v>0</v>
      </c>
      <c r="AI196" s="35" t="n">
        <f aca="false">IF(AE196=1,(AA196-J$1030)^2,0)</f>
        <v>393.519071643368</v>
      </c>
      <c r="AJ196" s="37" t="n">
        <f aca="true">IF(RAND()&lt;$D$6,1,0)</f>
        <v>0</v>
      </c>
      <c r="AK196" s="14" t="n">
        <f aca="false">AK195+IF((AJ196=1),IF((H196=0),1,0),0)</f>
        <v>0</v>
      </c>
      <c r="AL196" s="14" t="n">
        <f aca="false">AL195+IF((AJ196=1),IF((H196=1),1,0),0)</f>
        <v>0</v>
      </c>
      <c r="AM196" s="37" t="n">
        <f aca="false">IF(AK196=0,9999,IF($H196=0,IF($AJ196&lt;1,AM195+1,0),AM195))</f>
        <v>9999</v>
      </c>
      <c r="AN196" s="37" t="n">
        <f aca="false">IF(AL196=0,9999,IF($H196=1,IF($AJ196&lt;1,AN195+1,0),AN195))</f>
        <v>9999</v>
      </c>
      <c r="AO196" s="37" t="n">
        <f aca="false">IF($A196-AM196&gt;0,1/(1+AM196),0)</f>
        <v>0</v>
      </c>
      <c r="AP196" s="37" t="n">
        <f aca="false">IF($A196-AN196&gt;0,1/(1+AN196),0)</f>
        <v>0</v>
      </c>
      <c r="AQ196" s="7" t="n">
        <f aca="false">IF(AK196=0,0,MAX(MIN(1,AO196^Power),0))</f>
        <v>0</v>
      </c>
      <c r="AR196" s="7" t="n">
        <f aca="false">IF(AL196=0,0,MAX(MIN(1,AP196^Power),0))</f>
        <v>0</v>
      </c>
      <c r="AS196" s="7" t="n">
        <f aca="false">IF($AJ196=1,IF($H196=0,K196,AS195),AS195)</f>
        <v>0</v>
      </c>
      <c r="AT196" s="7" t="n">
        <f aca="false">IF($AJ196=1,IF($H196=1,N196,AT195),AT195)</f>
        <v>0</v>
      </c>
    </row>
    <row r="197" customFormat="false" ht="13" hidden="false" customHeight="false" outlineLevel="0" collapsed="false">
      <c r="A197" s="16" t="n">
        <v>180</v>
      </c>
      <c r="B197" s="37" t="n">
        <f aca="true">IF(RAND()&lt;$D$8,1,0)</f>
        <v>0</v>
      </c>
      <c r="C197" s="20" t="n">
        <f aca="true">-LN(RAND())/$D$2</f>
        <v>0.425100704940465</v>
      </c>
      <c r="D197" s="38" t="n">
        <f aca="false">D196+C197</f>
        <v>207.258016630755</v>
      </c>
      <c r="E197" s="39" t="n">
        <f aca="false">MAX($E$3,AS196)</f>
        <v>0</v>
      </c>
      <c r="F197" s="39" t="n">
        <f aca="false">MAX($E$3,AT196)</f>
        <v>0</v>
      </c>
      <c r="G197" s="40" t="n">
        <v>0.5</v>
      </c>
      <c r="H197" s="38" t="n">
        <f aca="true">IF((B197=1),(IF((F197&lt;E197),1,(IF((F197=E197),(IF(RAND()&lt;G197,1,0)),0)))),(IF((RAND()&lt;G197),1,0)))</f>
        <v>1</v>
      </c>
      <c r="I197" s="38" t="n">
        <f aca="true">IF((H197=1),0,$D$3+$D$5*(RAND()-0.5))</f>
        <v>0</v>
      </c>
      <c r="J197" s="38" t="n">
        <f aca="false">I197+MAX(D197,J196)</f>
        <v>218.548841070204</v>
      </c>
      <c r="K197" s="38" t="n">
        <f aca="false">IF((H197=0),J197-D197,0)</f>
        <v>0</v>
      </c>
      <c r="L197" s="38" t="n">
        <f aca="true">IF(($H197=0),0,$D$4+$D$5*(RAND()-0.5))</f>
        <v>1.78471422582747</v>
      </c>
      <c r="M197" s="38" t="n">
        <f aca="false">L197+MAX(D197,M196)</f>
        <v>218.344590009931</v>
      </c>
      <c r="N197" s="38" t="n">
        <f aca="false">IF((H197=1),M197-D197,0)</f>
        <v>11.0865733791759</v>
      </c>
      <c r="O197" s="16" t="n">
        <v>180</v>
      </c>
      <c r="P197" s="41" t="n">
        <f aca="false">IF((Arterial=0),P196+1,P196)</f>
        <v>83</v>
      </c>
      <c r="Q197" s="41" t="n">
        <f aca="false">IF((Arterial=1),Q196+1,Q196)</f>
        <v>97</v>
      </c>
      <c r="R197" s="42" t="n">
        <f aca="false">IF((RESET=1),0,R197+K197)</f>
        <v>422.050685248537</v>
      </c>
      <c r="S197" s="14" t="e">
        <f aca="false">IF(RESET=1,0,S197+N197)</f>
        <v>#N/A</v>
      </c>
      <c r="T197" s="2" t="n">
        <f aca="false">IF(RESET=1,0,T197+IF(H197=0,1,0))</f>
        <v>35</v>
      </c>
      <c r="U197" s="2" t="e">
        <f aca="false">IF(RESET=1,0,U197+H197)</f>
        <v>#N/A</v>
      </c>
      <c r="V197" s="14" t="n">
        <f aca="false">R197/(T197+0.00001)</f>
        <v>12.0585875617903</v>
      </c>
      <c r="W197" s="14" t="e">
        <f aca="false">S197/(U197+0.0001)</f>
        <v>#N/A</v>
      </c>
      <c r="X197" s="39" t="n">
        <f aca="false">IF(Informed=1,K197,0)</f>
        <v>0</v>
      </c>
      <c r="Y197" s="39" t="n">
        <f aca="false">IF(Informed=0,K197,0)</f>
        <v>0</v>
      </c>
      <c r="Z197" s="39" t="n">
        <f aca="false">IF(Informed=1,N197,0)</f>
        <v>0</v>
      </c>
      <c r="AA197" s="39" t="n">
        <f aca="false">IF(Informed=0,N197,0)</f>
        <v>11.0865733791759</v>
      </c>
      <c r="AB197" s="43" t="n">
        <f aca="false">IF(Arterial=0,IF(Informed=1,1,0),0)</f>
        <v>0</v>
      </c>
      <c r="AC197" s="43" t="n">
        <f aca="false">IF(Arterial=0,IF(Informed=0,1,0),0)</f>
        <v>0</v>
      </c>
      <c r="AD197" s="43" t="n">
        <f aca="false">IF(Arterial=1,IF(Informed=1,1,0),0)</f>
        <v>0</v>
      </c>
      <c r="AE197" s="43" t="n">
        <f aca="false">IF(Arterial=1,IF(Informed=0,1,0),0)</f>
        <v>1</v>
      </c>
      <c r="AF197" s="35" t="n">
        <f aca="false">IF(AB197=1,(X197-G$1030)^2,0)</f>
        <v>0</v>
      </c>
      <c r="AG197" s="35" t="n">
        <f aca="false">IF(AC197=1,(Y197-H$1030)^2,0)</f>
        <v>0</v>
      </c>
      <c r="AH197" s="35" t="n">
        <f aca="false">IF(AD197=1,(Z197-I$1030)^2,0)</f>
        <v>0</v>
      </c>
      <c r="AI197" s="35" t="n">
        <f aca="false">IF(AE197=1,(AA197-J$1030)^2,0)</f>
        <v>341.425456826619</v>
      </c>
      <c r="AJ197" s="37" t="n">
        <f aca="true">IF(RAND()&lt;$D$6,1,0)</f>
        <v>0</v>
      </c>
      <c r="AK197" s="14" t="n">
        <f aca="false">AK196+IF((AJ197=1),IF((H197=0),1,0),0)</f>
        <v>0</v>
      </c>
      <c r="AL197" s="14" t="n">
        <f aca="false">AL196+IF((AJ197=1),IF((H197=1),1,0),0)</f>
        <v>0</v>
      </c>
      <c r="AM197" s="37" t="n">
        <f aca="false">IF(AK197=0,9999,IF($H197=0,IF($AJ197&lt;1,AM196+1,0),AM196))</f>
        <v>9999</v>
      </c>
      <c r="AN197" s="37" t="n">
        <f aca="false">IF(AL197=0,9999,IF($H197=1,IF($AJ197&lt;1,AN196+1,0),AN196))</f>
        <v>9999</v>
      </c>
      <c r="AO197" s="37" t="n">
        <f aca="false">IF($A197-AM197&gt;0,1/(1+AM197),0)</f>
        <v>0</v>
      </c>
      <c r="AP197" s="37" t="n">
        <f aca="false">IF($A197-AN197&gt;0,1/(1+AN197),0)</f>
        <v>0</v>
      </c>
      <c r="AQ197" s="7" t="n">
        <f aca="false">IF(AK197=0,0,MAX(MIN(1,AO197^Power),0))</f>
        <v>0</v>
      </c>
      <c r="AR197" s="7" t="n">
        <f aca="false">IF(AL197=0,0,MAX(MIN(1,AP197^Power),0))</f>
        <v>0</v>
      </c>
      <c r="AS197" s="7" t="n">
        <f aca="false">IF($AJ197=1,IF($H197=0,K197,AS196),AS196)</f>
        <v>0</v>
      </c>
      <c r="AT197" s="7" t="n">
        <f aca="false">IF($AJ197=1,IF($H197=1,N197,AT196),AT196)</f>
        <v>0</v>
      </c>
    </row>
    <row r="198" customFormat="false" ht="13" hidden="false" customHeight="false" outlineLevel="0" collapsed="false">
      <c r="A198" s="16" t="n">
        <v>181</v>
      </c>
      <c r="B198" s="37" t="n">
        <f aca="true">IF(RAND()&lt;$D$8,1,0)</f>
        <v>1</v>
      </c>
      <c r="C198" s="20" t="n">
        <f aca="true">-LN(RAND())/$D$2</f>
        <v>1.16342598885059</v>
      </c>
      <c r="D198" s="38" t="n">
        <f aca="false">D197+C198</f>
        <v>208.421442619606</v>
      </c>
      <c r="E198" s="39" t="n">
        <f aca="false">MAX($E$3,AS197)</f>
        <v>0</v>
      </c>
      <c r="F198" s="39" t="n">
        <f aca="false">MAX($E$3,AT197)</f>
        <v>0</v>
      </c>
      <c r="G198" s="40" t="n">
        <v>0.5</v>
      </c>
      <c r="H198" s="38" t="n">
        <f aca="true">IF((B198=1),(IF((F198&lt;E198),1,(IF((F198=E198),(IF(RAND()&lt;G198,1,0)),0)))),(IF((RAND()&lt;G198),1,0)))</f>
        <v>0</v>
      </c>
      <c r="I198" s="38" t="n">
        <f aca="true">IF((H198=1),0,$D$3+$D$5*(RAND()-0.5))</f>
        <v>2.03631322223088</v>
      </c>
      <c r="J198" s="38" t="n">
        <f aca="false">I198+MAX(D198,J197)</f>
        <v>220.585154292435</v>
      </c>
      <c r="K198" s="38" t="n">
        <f aca="false">IF((H198=0),J198-D198,0)</f>
        <v>12.1637116728285</v>
      </c>
      <c r="L198" s="38" t="n">
        <f aca="true">IF(($H198=0),0,$D$4+$D$5*(RAND()-0.5))</f>
        <v>0</v>
      </c>
      <c r="M198" s="38" t="n">
        <f aca="false">L198+MAX(D198,M197)</f>
        <v>218.344590009931</v>
      </c>
      <c r="N198" s="38" t="n">
        <f aca="false">IF((H198=1),M198-D198,0)</f>
        <v>0</v>
      </c>
      <c r="O198" s="16" t="n">
        <v>181</v>
      </c>
      <c r="P198" s="41" t="n">
        <f aca="false">IF((Arterial=0),P197+1,P197)</f>
        <v>84</v>
      </c>
      <c r="Q198" s="41" t="n">
        <f aca="false">IF((Arterial=1),Q197+1,Q197)</f>
        <v>97</v>
      </c>
      <c r="R198" s="42" t="e">
        <f aca="false">IF((RESET=1),0,R198+K198)</f>
        <v>#N/A</v>
      </c>
      <c r="S198" s="14" t="n">
        <f aca="false">IF(RESET=1,0,S198+N198)</f>
        <v>481.265249748249</v>
      </c>
      <c r="T198" s="2" t="e">
        <f aca="false">IF(RESET=1,0,T198+IF(H198=0,1,0))</f>
        <v>#N/A</v>
      </c>
      <c r="U198" s="2" t="n">
        <f aca="false">IF(RESET=1,0,U198+H198)</f>
        <v>44</v>
      </c>
      <c r="V198" s="14" t="e">
        <f aca="false">R198/(T198+0.00001)</f>
        <v>#N/A</v>
      </c>
      <c r="W198" s="14" t="n">
        <f aca="false">S198/(U198+0.0001)</f>
        <v>10.9378217265017</v>
      </c>
      <c r="X198" s="39" t="n">
        <f aca="false">IF(Informed=1,K198,0)</f>
        <v>12.1637116728285</v>
      </c>
      <c r="Y198" s="39" t="n">
        <f aca="false">IF(Informed=0,K198,0)</f>
        <v>0</v>
      </c>
      <c r="Z198" s="39" t="n">
        <f aca="false">IF(Informed=1,N198,0)</f>
        <v>0</v>
      </c>
      <c r="AA198" s="39" t="n">
        <f aca="false">IF(Informed=0,N198,0)</f>
        <v>0</v>
      </c>
      <c r="AB198" s="43" t="n">
        <f aca="false">IF(Arterial=0,IF(Informed=1,1,0),0)</f>
        <v>1</v>
      </c>
      <c r="AC198" s="43" t="n">
        <f aca="false">IF(Arterial=0,IF(Informed=0,1,0),0)</f>
        <v>0</v>
      </c>
      <c r="AD198" s="43" t="n">
        <f aca="false">IF(Arterial=1,IF(Informed=1,1,0),0)</f>
        <v>0</v>
      </c>
      <c r="AE198" s="43" t="n">
        <f aca="false">IF(Arterial=1,IF(Informed=0,1,0),0)</f>
        <v>0</v>
      </c>
      <c r="AF198" s="35" t="n">
        <f aca="false">IF(AB198=1,(X198-G$1030)^2,0)</f>
        <v>2.11421321861172</v>
      </c>
      <c r="AG198" s="35" t="n">
        <f aca="false">IF(AC198=1,(Y198-H$1030)^2,0)</f>
        <v>0</v>
      </c>
      <c r="AH198" s="35" t="n">
        <f aca="false">IF(AD198=1,(Z198-I$1030)^2,0)</f>
        <v>0</v>
      </c>
      <c r="AI198" s="35" t="n">
        <f aca="false">IF(AE198=1,(AA198-J$1030)^2,0)</f>
        <v>0</v>
      </c>
      <c r="AJ198" s="37" t="n">
        <f aca="true">IF(RAND()&lt;$D$6,1,0)</f>
        <v>0</v>
      </c>
      <c r="AK198" s="14" t="n">
        <f aca="false">AK197+IF((AJ198=1),IF((H198=0),1,0),0)</f>
        <v>0</v>
      </c>
      <c r="AL198" s="14" t="n">
        <f aca="false">AL197+IF((AJ198=1),IF((H198=1),1,0),0)</f>
        <v>0</v>
      </c>
      <c r="AM198" s="37" t="n">
        <f aca="false">IF(AK198=0,9999,IF($H198=0,IF($AJ198&lt;1,AM197+1,0),AM197))</f>
        <v>9999</v>
      </c>
      <c r="AN198" s="37" t="n">
        <f aca="false">IF(AL198=0,9999,IF($H198=1,IF($AJ198&lt;1,AN197+1,0),AN197))</f>
        <v>9999</v>
      </c>
      <c r="AO198" s="37" t="n">
        <f aca="false">IF($A198-AM198&gt;0,1/(1+AM198),0)</f>
        <v>0</v>
      </c>
      <c r="AP198" s="37" t="n">
        <f aca="false">IF($A198-AN198&gt;0,1/(1+AN198),0)</f>
        <v>0</v>
      </c>
      <c r="AQ198" s="7" t="n">
        <f aca="false">IF(AK198=0,0,MAX(MIN(1,AO198^Power),0))</f>
        <v>0</v>
      </c>
      <c r="AR198" s="7" t="n">
        <f aca="false">IF(AL198=0,0,MAX(MIN(1,AP198^Power),0))</f>
        <v>0</v>
      </c>
      <c r="AS198" s="7" t="n">
        <f aca="false">IF($AJ198=1,IF($H198=0,K198,AS197),AS197)</f>
        <v>0</v>
      </c>
      <c r="AT198" s="7" t="n">
        <f aca="false">IF($AJ198=1,IF($H198=1,N198,AT197),AT197)</f>
        <v>0</v>
      </c>
    </row>
    <row r="199" customFormat="false" ht="13" hidden="false" customHeight="false" outlineLevel="0" collapsed="false">
      <c r="A199" s="16" t="n">
        <v>182</v>
      </c>
      <c r="B199" s="37" t="n">
        <f aca="true">IF(RAND()&lt;$D$8,1,0)</f>
        <v>1</v>
      </c>
      <c r="C199" s="20" t="n">
        <f aca="true">-LN(RAND())/$D$2</f>
        <v>0.557938756486763</v>
      </c>
      <c r="D199" s="38" t="n">
        <f aca="false">D198+C199</f>
        <v>208.979381376093</v>
      </c>
      <c r="E199" s="39" t="n">
        <f aca="false">MAX($E$3,AS198)</f>
        <v>0</v>
      </c>
      <c r="F199" s="39" t="n">
        <f aca="false">MAX($E$3,AT198)</f>
        <v>0</v>
      </c>
      <c r="G199" s="40" t="n">
        <v>0.5</v>
      </c>
      <c r="H199" s="38" t="n">
        <f aca="true">IF((B199=1),(IF((F199&lt;E199),1,(IF((F199=E199),(IF(RAND()&lt;G199,1,0)),0)))),(IF((RAND()&lt;G199),1,0)))</f>
        <v>1</v>
      </c>
      <c r="I199" s="38" t="n">
        <f aca="true">IF((H199=1),0,$D$3+$D$5*(RAND()-0.5))</f>
        <v>0</v>
      </c>
      <c r="J199" s="38" t="n">
        <f aca="false">I199+MAX(D199,J198)</f>
        <v>220.585154292435</v>
      </c>
      <c r="K199" s="38" t="n">
        <f aca="false">IF((H199=0),J199-D199,0)</f>
        <v>0</v>
      </c>
      <c r="L199" s="38" t="n">
        <f aca="true">IF(($H199=0),0,$D$4+$D$5*(RAND()-0.5))</f>
        <v>2.20892507104544</v>
      </c>
      <c r="M199" s="38" t="n">
        <f aca="false">L199+MAX(D199,M198)</f>
        <v>220.553515080977</v>
      </c>
      <c r="N199" s="38" t="n">
        <f aca="false">IF((H199=1),M199-D199,0)</f>
        <v>11.574133704884</v>
      </c>
      <c r="O199" s="16" t="n">
        <v>182</v>
      </c>
      <c r="P199" s="41" t="n">
        <f aca="false">IF((Arterial=0),P198+1,P198)</f>
        <v>84</v>
      </c>
      <c r="Q199" s="41" t="n">
        <f aca="false">IF((Arterial=1),Q198+1,Q198)</f>
        <v>98</v>
      </c>
      <c r="R199" s="42" t="n">
        <f aca="false">IF((RESET=1),0,R199+K199)</f>
        <v>420.274444446441</v>
      </c>
      <c r="S199" s="14" t="e">
        <f aca="false">IF(RESET=1,0,S199+N199)</f>
        <v>#N/A</v>
      </c>
      <c r="T199" s="2" t="n">
        <f aca="false">IF(RESET=1,0,T199+IF(H199=0,1,0))</f>
        <v>38</v>
      </c>
      <c r="U199" s="2" t="e">
        <f aca="false">IF(RESET=1,0,U199+H199)</f>
        <v>#N/A</v>
      </c>
      <c r="V199" s="14" t="n">
        <f aca="false">R199/(T199+0.00001)</f>
        <v>11.059850890735</v>
      </c>
      <c r="W199" s="14" t="e">
        <f aca="false">S199/(U199+0.0001)</f>
        <v>#N/A</v>
      </c>
      <c r="X199" s="39" t="n">
        <f aca="false">IF(Informed=1,K199,0)</f>
        <v>0</v>
      </c>
      <c r="Y199" s="39" t="n">
        <f aca="false">IF(Informed=0,K199,0)</f>
        <v>0</v>
      </c>
      <c r="Z199" s="39" t="n">
        <f aca="false">IF(Informed=1,N199,0)</f>
        <v>11.574133704884</v>
      </c>
      <c r="AA199" s="39" t="n">
        <f aca="false">IF(Informed=0,N199,0)</f>
        <v>0</v>
      </c>
      <c r="AB199" s="43" t="n">
        <f aca="false">IF(Arterial=0,IF(Informed=1,1,0),0)</f>
        <v>0</v>
      </c>
      <c r="AC199" s="43" t="n">
        <f aca="false">IF(Arterial=0,IF(Informed=0,1,0),0)</f>
        <v>0</v>
      </c>
      <c r="AD199" s="43" t="n">
        <f aca="false">IF(Arterial=1,IF(Informed=1,1,0),0)</f>
        <v>1</v>
      </c>
      <c r="AE199" s="43" t="n">
        <f aca="false">IF(Arterial=1,IF(Informed=0,1,0),0)</f>
        <v>0</v>
      </c>
      <c r="AF199" s="35" t="n">
        <f aca="false">IF(AB199=1,(X199-G$1030)^2,0)</f>
        <v>0</v>
      </c>
      <c r="AG199" s="35" t="n">
        <f aca="false">IF(AC199=1,(Y199-H$1030)^2,0)</f>
        <v>0</v>
      </c>
      <c r="AH199" s="35" t="n">
        <f aca="false">IF(AD199=1,(Z199-I$1030)^2,0)</f>
        <v>282.263557060155</v>
      </c>
      <c r="AI199" s="35" t="n">
        <f aca="false">IF(AE199=1,(AA199-J$1030)^2,0)</f>
        <v>0</v>
      </c>
      <c r="AJ199" s="37" t="n">
        <f aca="true">IF(RAND()&lt;$D$6,1,0)</f>
        <v>0</v>
      </c>
      <c r="AK199" s="14" t="n">
        <f aca="false">AK198+IF((AJ199=1),IF((H199=0),1,0),0)</f>
        <v>0</v>
      </c>
      <c r="AL199" s="14" t="n">
        <f aca="false">AL198+IF((AJ199=1),IF((H199=1),1,0),0)</f>
        <v>0</v>
      </c>
      <c r="AM199" s="37" t="n">
        <f aca="false">IF(AK199=0,9999,IF($H199=0,IF($AJ199&lt;1,AM198+1,0),AM198))</f>
        <v>9999</v>
      </c>
      <c r="AN199" s="37" t="n">
        <f aca="false">IF(AL199=0,9999,IF($H199=1,IF($AJ199&lt;1,AN198+1,0),AN198))</f>
        <v>9999</v>
      </c>
      <c r="AO199" s="37" t="n">
        <f aca="false">IF($A199-AM199&gt;0,1/(1+AM199),0)</f>
        <v>0</v>
      </c>
      <c r="AP199" s="37" t="n">
        <f aca="false">IF($A199-AN199&gt;0,1/(1+AN199),0)</f>
        <v>0</v>
      </c>
      <c r="AQ199" s="7" t="n">
        <f aca="false">IF(AK199=0,0,MAX(MIN(1,AO199^Power),0))</f>
        <v>0</v>
      </c>
      <c r="AR199" s="7" t="n">
        <f aca="false">IF(AL199=0,0,MAX(MIN(1,AP199^Power),0))</f>
        <v>0</v>
      </c>
      <c r="AS199" s="7" t="n">
        <f aca="false">IF($AJ199=1,IF($H199=0,K199,AS198),AS198)</f>
        <v>0</v>
      </c>
      <c r="AT199" s="7" t="n">
        <f aca="false">IF($AJ199=1,IF($H199=1,N199,AT198),AT198)</f>
        <v>0</v>
      </c>
    </row>
    <row r="200" customFormat="false" ht="13" hidden="false" customHeight="false" outlineLevel="0" collapsed="false">
      <c r="A200" s="16" t="n">
        <v>183</v>
      </c>
      <c r="B200" s="37" t="n">
        <f aca="true">IF(RAND()&lt;$D$8,1,0)</f>
        <v>0</v>
      </c>
      <c r="C200" s="20" t="n">
        <f aca="true">-LN(RAND())/$D$2</f>
        <v>0.324346970278775</v>
      </c>
      <c r="D200" s="38" t="n">
        <f aca="false">D199+C200</f>
        <v>209.303728346372</v>
      </c>
      <c r="E200" s="39" t="n">
        <f aca="false">MAX($E$3,AS199)</f>
        <v>0</v>
      </c>
      <c r="F200" s="39" t="n">
        <f aca="false">MAX($E$3,AT199)</f>
        <v>0</v>
      </c>
      <c r="G200" s="40" t="n">
        <v>0.5</v>
      </c>
      <c r="H200" s="38" t="n">
        <f aca="true">IF((B200=1),(IF((F200&lt;E200),1,(IF((F200=E200),(IF(RAND()&lt;G200,1,0)),0)))),(IF((RAND()&lt;G200),1,0)))</f>
        <v>1</v>
      </c>
      <c r="I200" s="38" t="n">
        <f aca="true">IF((H200=1),0,$D$3+$D$5*(RAND()-0.5))</f>
        <v>0</v>
      </c>
      <c r="J200" s="38" t="n">
        <f aca="false">I200+MAX(D200,J199)</f>
        <v>220.585154292435</v>
      </c>
      <c r="K200" s="38" t="n">
        <f aca="false">IF((H200=0),J200-D200,0)</f>
        <v>0</v>
      </c>
      <c r="L200" s="38" t="n">
        <f aca="true">IF(($H200=0),0,$D$4+$D$5*(RAND()-0.5))</f>
        <v>2.18552021848177</v>
      </c>
      <c r="M200" s="38" t="n">
        <f aca="false">L200+MAX(D200,M199)</f>
        <v>222.739035299459</v>
      </c>
      <c r="N200" s="38" t="n">
        <f aca="false">IF((H200=1),M200-D200,0)</f>
        <v>13.435306953087</v>
      </c>
      <c r="O200" s="16" t="n">
        <v>183</v>
      </c>
      <c r="P200" s="41" t="n">
        <f aca="false">IF((Arterial=0),P199+1,P199)</f>
        <v>84</v>
      </c>
      <c r="Q200" s="41" t="n">
        <f aca="false">IF((Arterial=1),Q199+1,Q199)</f>
        <v>99</v>
      </c>
      <c r="R200" s="42" t="n">
        <f aca="false">IF((RESET=1),0,R200+K200)</f>
        <v>593.557644866318</v>
      </c>
      <c r="S200" s="14" t="e">
        <f aca="false">IF(RESET=1,0,S200+N200)</f>
        <v>#N/A</v>
      </c>
      <c r="T200" s="2" t="n">
        <f aca="false">IF(RESET=1,0,T200+IF(H200=0,1,0))</f>
        <v>45</v>
      </c>
      <c r="U200" s="2" t="e">
        <f aca="false">IF(RESET=1,0,U200+H200)</f>
        <v>#N/A</v>
      </c>
      <c r="V200" s="14" t="n">
        <f aca="false">R200/(T200+0.00001)</f>
        <v>13.19016695477</v>
      </c>
      <c r="W200" s="14" t="e">
        <f aca="false">S200/(U200+0.0001)</f>
        <v>#N/A</v>
      </c>
      <c r="X200" s="39" t="n">
        <f aca="false">IF(Informed=1,K200,0)</f>
        <v>0</v>
      </c>
      <c r="Y200" s="39" t="n">
        <f aca="false">IF(Informed=0,K200,0)</f>
        <v>0</v>
      </c>
      <c r="Z200" s="39" t="n">
        <f aca="false">IF(Informed=1,N200,0)</f>
        <v>0</v>
      </c>
      <c r="AA200" s="39" t="n">
        <f aca="false">IF(Informed=0,N200,0)</f>
        <v>13.435306953087</v>
      </c>
      <c r="AB200" s="43" t="n">
        <f aca="false">IF(Arterial=0,IF(Informed=1,1,0),0)</f>
        <v>0</v>
      </c>
      <c r="AC200" s="43" t="n">
        <f aca="false">IF(Arterial=0,IF(Informed=0,1,0),0)</f>
        <v>0</v>
      </c>
      <c r="AD200" s="43" t="n">
        <f aca="false">IF(Arterial=1,IF(Informed=1,1,0),0)</f>
        <v>0</v>
      </c>
      <c r="AE200" s="43" t="n">
        <f aca="false">IF(Arterial=1,IF(Informed=0,1,0),0)</f>
        <v>1</v>
      </c>
      <c r="AF200" s="35" t="n">
        <f aca="false">IF(AB200=1,(X200-G$1030)^2,0)</f>
        <v>0</v>
      </c>
      <c r="AG200" s="35" t="n">
        <f aca="false">IF(AC200=1,(Y200-H$1030)^2,0)</f>
        <v>0</v>
      </c>
      <c r="AH200" s="35" t="n">
        <f aca="false">IF(AD200=1,(Z200-I$1030)^2,0)</f>
        <v>0</v>
      </c>
      <c r="AI200" s="35" t="n">
        <f aca="false">IF(AE200=1,(AA200-J$1030)^2,0)</f>
        <v>260.143609942717</v>
      </c>
      <c r="AJ200" s="37" t="n">
        <f aca="true">IF(RAND()&lt;$D$6,1,0)</f>
        <v>0</v>
      </c>
      <c r="AK200" s="14" t="n">
        <f aca="false">AK199+IF((AJ200=1),IF((H200=0),1,0),0)</f>
        <v>0</v>
      </c>
      <c r="AL200" s="14" t="n">
        <f aca="false">AL199+IF((AJ200=1),IF((H200=1),1,0),0)</f>
        <v>0</v>
      </c>
      <c r="AM200" s="37" t="n">
        <f aca="false">IF(AK200=0,9999,IF($H200=0,IF($AJ200&lt;1,AM199+1,0),AM199))</f>
        <v>9999</v>
      </c>
      <c r="AN200" s="37" t="n">
        <f aca="false">IF(AL200=0,9999,IF($H200=1,IF($AJ200&lt;1,AN199+1,0),AN199))</f>
        <v>9999</v>
      </c>
      <c r="AO200" s="37" t="n">
        <f aca="false">IF($A200-AM200&gt;0,1/(1+AM200),0)</f>
        <v>0</v>
      </c>
      <c r="AP200" s="37" t="n">
        <f aca="false">IF($A200-AN200&gt;0,1/(1+AN200),0)</f>
        <v>0</v>
      </c>
      <c r="AQ200" s="7" t="n">
        <f aca="false">IF(AK200=0,0,MAX(MIN(1,AO200^Power),0))</f>
        <v>0</v>
      </c>
      <c r="AR200" s="7" t="n">
        <f aca="false">IF(AL200=0,0,MAX(MIN(1,AP200^Power),0))</f>
        <v>0</v>
      </c>
      <c r="AS200" s="7" t="n">
        <f aca="false">IF($AJ200=1,IF($H200=0,K200,AS199),AS199)</f>
        <v>0</v>
      </c>
      <c r="AT200" s="7" t="n">
        <f aca="false">IF($AJ200=1,IF($H200=1,N200,AT199),AT199)</f>
        <v>0</v>
      </c>
    </row>
    <row r="201" customFormat="false" ht="13" hidden="false" customHeight="false" outlineLevel="0" collapsed="false">
      <c r="A201" s="16" t="n">
        <v>184</v>
      </c>
      <c r="B201" s="37" t="n">
        <f aca="true">IF(RAND()&lt;$D$8,1,0)</f>
        <v>1</v>
      </c>
      <c r="C201" s="20" t="n">
        <f aca="true">-LN(RAND())/$D$2</f>
        <v>0.303780439112022</v>
      </c>
      <c r="D201" s="38" t="n">
        <f aca="false">D200+C201</f>
        <v>209.607508785484</v>
      </c>
      <c r="E201" s="39" t="n">
        <f aca="false">MAX($E$3,AS200)</f>
        <v>0</v>
      </c>
      <c r="F201" s="39" t="n">
        <f aca="false">MAX($E$3,AT200)</f>
        <v>0</v>
      </c>
      <c r="G201" s="40" t="n">
        <v>0.5</v>
      </c>
      <c r="H201" s="38" t="n">
        <f aca="true">IF((B201=1),(IF((F201&lt;E201),1,(IF((F201=E201),(IF(RAND()&lt;G201,1,0)),0)))),(IF((RAND()&lt;G201),1,0)))</f>
        <v>0</v>
      </c>
      <c r="I201" s="38" t="n">
        <f aca="true">IF((H201=1),0,$D$3+$D$5*(RAND()-0.5))</f>
        <v>2.00668085273487</v>
      </c>
      <c r="J201" s="38" t="n">
        <f aca="false">I201+MAX(D201,J200)</f>
        <v>222.591835145169</v>
      </c>
      <c r="K201" s="38" t="n">
        <f aca="false">IF((H201=0),J201-D201,0)</f>
        <v>12.9843263596858</v>
      </c>
      <c r="L201" s="38" t="n">
        <f aca="true">IF(($H201=0),0,$D$4+$D$5*(RAND()-0.5))</f>
        <v>0</v>
      </c>
      <c r="M201" s="38" t="n">
        <f aca="false">L201+MAX(D201,M200)</f>
        <v>222.739035299459</v>
      </c>
      <c r="N201" s="38" t="n">
        <f aca="false">IF((H201=1),M201-D201,0)</f>
        <v>0</v>
      </c>
      <c r="O201" s="16" t="n">
        <v>184</v>
      </c>
      <c r="P201" s="41" t="n">
        <f aca="false">IF((Arterial=0),P200+1,P200)</f>
        <v>85</v>
      </c>
      <c r="Q201" s="41" t="n">
        <f aca="false">IF((Arterial=1),Q200+1,Q200)</f>
        <v>99</v>
      </c>
      <c r="R201" s="42" t="e">
        <f aca="false">IF((RESET=1),0,R201+K201)</f>
        <v>#N/A</v>
      </c>
      <c r="S201" s="14" t="n">
        <f aca="false">IF(RESET=1,0,S201+N201)</f>
        <v>529.97133759835</v>
      </c>
      <c r="T201" s="2" t="e">
        <f aca="false">IF(RESET=1,0,T201+IF(H201=0,1,0))</f>
        <v>#N/A</v>
      </c>
      <c r="U201" s="2" t="n">
        <f aca="false">IF(RESET=1,0,U201+H201)</f>
        <v>45</v>
      </c>
      <c r="V201" s="14" t="e">
        <f aca="false">R201/(T201+0.00001)</f>
        <v>#N/A</v>
      </c>
      <c r="W201" s="14" t="n">
        <f aca="false">S201/(U201+0.0001)</f>
        <v>11.777114664153</v>
      </c>
      <c r="X201" s="39" t="n">
        <f aca="false">IF(Informed=1,K201,0)</f>
        <v>12.9843263596858</v>
      </c>
      <c r="Y201" s="39" t="n">
        <f aca="false">IF(Informed=0,K201,0)</f>
        <v>0</v>
      </c>
      <c r="Z201" s="39" t="n">
        <f aca="false">IF(Informed=1,N201,0)</f>
        <v>0</v>
      </c>
      <c r="AA201" s="39" t="n">
        <f aca="false">IF(Informed=0,N201,0)</f>
        <v>0</v>
      </c>
      <c r="AB201" s="43" t="n">
        <f aca="false">IF(Arterial=0,IF(Informed=1,1,0),0)</f>
        <v>1</v>
      </c>
      <c r="AC201" s="43" t="n">
        <f aca="false">IF(Arterial=0,IF(Informed=0,1,0),0)</f>
        <v>0</v>
      </c>
      <c r="AD201" s="43" t="n">
        <f aca="false">IF(Arterial=1,IF(Informed=1,1,0),0)</f>
        <v>0</v>
      </c>
      <c r="AE201" s="43" t="n">
        <f aca="false">IF(Arterial=1,IF(Informed=0,1,0),0)</f>
        <v>0</v>
      </c>
      <c r="AF201" s="35" t="n">
        <f aca="false">IF(AB201=1,(X201-G$1030)^2,0)</f>
        <v>5.17402406030022</v>
      </c>
      <c r="AG201" s="35" t="n">
        <f aca="false">IF(AC201=1,(Y201-H$1030)^2,0)</f>
        <v>0</v>
      </c>
      <c r="AH201" s="35" t="n">
        <f aca="false">IF(AD201=1,(Z201-I$1030)^2,0)</f>
        <v>0</v>
      </c>
      <c r="AI201" s="35" t="n">
        <f aca="false">IF(AE201=1,(AA201-J$1030)^2,0)</f>
        <v>0</v>
      </c>
      <c r="AJ201" s="37" t="n">
        <f aca="true">IF(RAND()&lt;$D$6,1,0)</f>
        <v>0</v>
      </c>
      <c r="AK201" s="14" t="n">
        <f aca="false">AK200+IF((AJ201=1),IF((H201=0),1,0),0)</f>
        <v>0</v>
      </c>
      <c r="AL201" s="14" t="n">
        <f aca="false">AL200+IF((AJ201=1),IF((H201=1),1,0),0)</f>
        <v>0</v>
      </c>
      <c r="AM201" s="37" t="n">
        <f aca="false">IF(AK201=0,9999,IF($H201=0,IF($AJ201&lt;1,AM200+1,0),AM200))</f>
        <v>9999</v>
      </c>
      <c r="AN201" s="37" t="n">
        <f aca="false">IF(AL201=0,9999,IF($H201=1,IF($AJ201&lt;1,AN200+1,0),AN200))</f>
        <v>9999</v>
      </c>
      <c r="AO201" s="37" t="n">
        <f aca="false">IF($A201-AM201&gt;0,1/(1+AM201),0)</f>
        <v>0</v>
      </c>
      <c r="AP201" s="37" t="n">
        <f aca="false">IF($A201-AN201&gt;0,1/(1+AN201),0)</f>
        <v>0</v>
      </c>
      <c r="AQ201" s="7" t="n">
        <f aca="false">IF(AK201=0,0,MAX(MIN(1,AO201^Power),0))</f>
        <v>0</v>
      </c>
      <c r="AR201" s="7" t="n">
        <f aca="false">IF(AL201=0,0,MAX(MIN(1,AP201^Power),0))</f>
        <v>0</v>
      </c>
      <c r="AS201" s="7" t="n">
        <f aca="false">IF($AJ201=1,IF($H201=0,K201,AS200),AS200)</f>
        <v>0</v>
      </c>
      <c r="AT201" s="7" t="n">
        <f aca="false">IF($AJ201=1,IF($H201=1,N201,AT200),AT200)</f>
        <v>0</v>
      </c>
    </row>
    <row r="202" customFormat="false" ht="13" hidden="false" customHeight="false" outlineLevel="0" collapsed="false">
      <c r="A202" s="16" t="n">
        <v>185</v>
      </c>
      <c r="B202" s="37" t="n">
        <f aca="true">IF(RAND()&lt;$D$8,1,0)</f>
        <v>1</v>
      </c>
      <c r="C202" s="20" t="n">
        <f aca="true">-LN(RAND())/$D$2</f>
        <v>0.0824776887385037</v>
      </c>
      <c r="D202" s="38" t="n">
        <f aca="false">D201+C202</f>
        <v>209.689986474222</v>
      </c>
      <c r="E202" s="39" t="n">
        <f aca="false">MAX($E$3,AS201)</f>
        <v>0</v>
      </c>
      <c r="F202" s="39" t="n">
        <f aca="false">MAX($E$3,AT201)</f>
        <v>0</v>
      </c>
      <c r="G202" s="40" t="n">
        <v>0.5</v>
      </c>
      <c r="H202" s="38" t="n">
        <f aca="true">IF((B202=1),(IF((F202&lt;E202),1,(IF((F202=E202),(IF(RAND()&lt;G202,1,0)),0)))),(IF((RAND()&lt;G202),1,0)))</f>
        <v>0</v>
      </c>
      <c r="I202" s="38" t="n">
        <f aca="true">IF((H202=1),0,$D$3+$D$5*(RAND()-0.5))</f>
        <v>1.9742990695786</v>
      </c>
      <c r="J202" s="38" t="n">
        <f aca="false">I202+MAX(D202,J201)</f>
        <v>224.566134214748</v>
      </c>
      <c r="K202" s="38" t="n">
        <f aca="false">IF((H202=0),J202-D202,0)</f>
        <v>14.8761477405259</v>
      </c>
      <c r="L202" s="38" t="n">
        <f aca="true">IF(($H202=0),0,$D$4+$D$5*(RAND()-0.5))</f>
        <v>0</v>
      </c>
      <c r="M202" s="38" t="n">
        <f aca="false">L202+MAX(D202,M201)</f>
        <v>222.739035299459</v>
      </c>
      <c r="N202" s="38" t="n">
        <f aca="false">IF((H202=1),M202-D202,0)</f>
        <v>0</v>
      </c>
      <c r="O202" s="16" t="n">
        <v>185</v>
      </c>
      <c r="P202" s="41" t="n">
        <f aca="false">IF((Arterial=0),P201+1,P201)</f>
        <v>86</v>
      </c>
      <c r="Q202" s="41" t="n">
        <f aca="false">IF((Arterial=1),Q201+1,Q201)</f>
        <v>99</v>
      </c>
      <c r="R202" s="42" t="e">
        <f aca="false">IF((RESET=1),0,R202+K202)</f>
        <v>#N/A</v>
      </c>
      <c r="S202" s="14" t="n">
        <f aca="false">IF(RESET=1,0,S202+N202)</f>
        <v>384.053535211602</v>
      </c>
      <c r="T202" s="2" t="e">
        <f aca="false">IF(RESET=1,0,T202+IF(H202=0,1,0))</f>
        <v>#N/A</v>
      </c>
      <c r="U202" s="2" t="n">
        <f aca="false">IF(RESET=1,0,U202+H202)</f>
        <v>38</v>
      </c>
      <c r="V202" s="14" t="e">
        <f aca="false">R202/(T202+0.00001)</f>
        <v>#N/A</v>
      </c>
      <c r="W202" s="14" t="n">
        <f aca="false">S202/(U202+0.0001)</f>
        <v>10.1066453828175</v>
      </c>
      <c r="X202" s="39" t="n">
        <f aca="false">IF(Informed=1,K202,0)</f>
        <v>14.8761477405259</v>
      </c>
      <c r="Y202" s="39" t="n">
        <f aca="false">IF(Informed=0,K202,0)</f>
        <v>0</v>
      </c>
      <c r="Z202" s="39" t="n">
        <f aca="false">IF(Informed=1,N202,0)</f>
        <v>0</v>
      </c>
      <c r="AA202" s="39" t="n">
        <f aca="false">IF(Informed=0,N202,0)</f>
        <v>0</v>
      </c>
      <c r="AB202" s="43" t="n">
        <f aca="false">IF(Arterial=0,IF(Informed=1,1,0),0)</f>
        <v>1</v>
      </c>
      <c r="AC202" s="43" t="n">
        <f aca="false">IF(Arterial=0,IF(Informed=0,1,0),0)</f>
        <v>0</v>
      </c>
      <c r="AD202" s="43" t="n">
        <f aca="false">IF(Arterial=1,IF(Informed=1,1,0),0)</f>
        <v>0</v>
      </c>
      <c r="AE202" s="43" t="n">
        <f aca="false">IF(Arterial=1,IF(Informed=0,1,0),0)</f>
        <v>0</v>
      </c>
      <c r="AF202" s="35" t="n">
        <f aca="false">IF(AB202=1,(X202-G$1030)^2,0)</f>
        <v>17.3594680839942</v>
      </c>
      <c r="AG202" s="35" t="n">
        <f aca="false">IF(AC202=1,(Y202-H$1030)^2,0)</f>
        <v>0</v>
      </c>
      <c r="AH202" s="35" t="n">
        <f aca="false">IF(AD202=1,(Z202-I$1030)^2,0)</f>
        <v>0</v>
      </c>
      <c r="AI202" s="35" t="n">
        <f aca="false">IF(AE202=1,(AA202-J$1030)^2,0)</f>
        <v>0</v>
      </c>
      <c r="AJ202" s="37" t="n">
        <f aca="true">IF(RAND()&lt;$D$6,1,0)</f>
        <v>0</v>
      </c>
      <c r="AK202" s="14" t="n">
        <f aca="false">AK201+IF((AJ202=1),IF((H202=0),1,0),0)</f>
        <v>0</v>
      </c>
      <c r="AL202" s="14" t="n">
        <f aca="false">AL201+IF((AJ202=1),IF((H202=1),1,0),0)</f>
        <v>0</v>
      </c>
      <c r="AM202" s="37" t="n">
        <f aca="false">IF(AK202=0,9999,IF($H202=0,IF($AJ202&lt;1,AM201+1,0),AM201))</f>
        <v>9999</v>
      </c>
      <c r="AN202" s="37" t="n">
        <f aca="false">IF(AL202=0,9999,IF($H202=1,IF($AJ202&lt;1,AN201+1,0),AN201))</f>
        <v>9999</v>
      </c>
      <c r="AO202" s="37" t="n">
        <f aca="false">IF($A202-AM202&gt;0,1/(1+AM202),0)</f>
        <v>0</v>
      </c>
      <c r="AP202" s="37" t="n">
        <f aca="false">IF($A202-AN202&gt;0,1/(1+AN202),0)</f>
        <v>0</v>
      </c>
      <c r="AQ202" s="7" t="n">
        <f aca="false">IF(AK202=0,0,MAX(MIN(1,AO202^Power),0))</f>
        <v>0</v>
      </c>
      <c r="AR202" s="7" t="n">
        <f aca="false">IF(AL202=0,0,MAX(MIN(1,AP202^Power),0))</f>
        <v>0</v>
      </c>
      <c r="AS202" s="7" t="n">
        <f aca="false">IF($AJ202=1,IF($H202=0,K202,AS201),AS201)</f>
        <v>0</v>
      </c>
      <c r="AT202" s="7" t="n">
        <f aca="false">IF($AJ202=1,IF($H202=1,N202,AT201),AT201)</f>
        <v>0</v>
      </c>
    </row>
    <row r="203" customFormat="false" ht="13" hidden="false" customHeight="false" outlineLevel="0" collapsed="false">
      <c r="A203" s="16" t="n">
        <v>186</v>
      </c>
      <c r="B203" s="37" t="n">
        <f aca="true">IF(RAND()&lt;$D$8,1,0)</f>
        <v>1</v>
      </c>
      <c r="C203" s="20" t="n">
        <f aca="true">-LN(RAND())/$D$2</f>
        <v>1.94712552137294</v>
      </c>
      <c r="D203" s="38" t="n">
        <f aca="false">D202+C203</f>
        <v>211.637111995595</v>
      </c>
      <c r="E203" s="39" t="n">
        <f aca="false">MAX($E$3,AS202)</f>
        <v>0</v>
      </c>
      <c r="F203" s="39" t="n">
        <f aca="false">MAX($E$3,AT202)</f>
        <v>0</v>
      </c>
      <c r="G203" s="40" t="n">
        <v>0.5</v>
      </c>
      <c r="H203" s="38" t="n">
        <f aca="true">IF((B203=1),(IF((F203&lt;E203),1,(IF((F203=E203),(IF(RAND()&lt;G203,1,0)),0)))),(IF((RAND()&lt;G203),1,0)))</f>
        <v>1</v>
      </c>
      <c r="I203" s="38" t="n">
        <f aca="true">IF((H203=1),0,$D$3+$D$5*(RAND()-0.5))</f>
        <v>0</v>
      </c>
      <c r="J203" s="38" t="n">
        <f aca="false">I203+MAX(D203,J202)</f>
        <v>224.566134214748</v>
      </c>
      <c r="K203" s="38" t="n">
        <f aca="false">IF((H203=0),J203-D203,0)</f>
        <v>0</v>
      </c>
      <c r="L203" s="38" t="n">
        <f aca="true">IF(($H203=0),0,$D$4+$D$5*(RAND()-0.5))</f>
        <v>1.94872209655881</v>
      </c>
      <c r="M203" s="38" t="n">
        <f aca="false">L203+MAX(D203,M202)</f>
        <v>224.687757396017</v>
      </c>
      <c r="N203" s="38" t="n">
        <f aca="false">IF((H203=1),M203-D203,0)</f>
        <v>13.0506454004223</v>
      </c>
      <c r="O203" s="16" t="n">
        <v>186</v>
      </c>
      <c r="P203" s="41" t="n">
        <f aca="false">IF((Arterial=0),P202+1,P202)</f>
        <v>86</v>
      </c>
      <c r="Q203" s="41" t="n">
        <f aca="false">IF((Arterial=1),Q202+1,Q202)</f>
        <v>100</v>
      </c>
      <c r="R203" s="42" t="n">
        <f aca="false">IF((RESET=1),0,R203+K203)</f>
        <v>485.010349222153</v>
      </c>
      <c r="S203" s="14" t="e">
        <f aca="false">IF(RESET=1,0,S203+N203)</f>
        <v>#N/A</v>
      </c>
      <c r="T203" s="2" t="n">
        <f aca="false">IF(RESET=1,0,T203+IF(H203=0,1,0))</f>
        <v>42</v>
      </c>
      <c r="U203" s="2" t="e">
        <f aca="false">IF(RESET=1,0,U203+H203)</f>
        <v>#N/A</v>
      </c>
      <c r="V203" s="14" t="n">
        <f aca="false">R203/(T203+0.00001)</f>
        <v>11.5478627081792</v>
      </c>
      <c r="W203" s="14" t="e">
        <f aca="false">S203/(U203+0.0001)</f>
        <v>#N/A</v>
      </c>
      <c r="X203" s="39" t="n">
        <f aca="false">IF(Informed=1,K203,0)</f>
        <v>0</v>
      </c>
      <c r="Y203" s="39" t="n">
        <f aca="false">IF(Informed=0,K203,0)</f>
        <v>0</v>
      </c>
      <c r="Z203" s="39" t="n">
        <f aca="false">IF(Informed=1,N203,0)</f>
        <v>13.0506454004223</v>
      </c>
      <c r="AA203" s="39" t="n">
        <f aca="false">IF(Informed=0,N203,0)</f>
        <v>0</v>
      </c>
      <c r="AB203" s="43" t="n">
        <f aca="false">IF(Arterial=0,IF(Informed=1,1,0),0)</f>
        <v>0</v>
      </c>
      <c r="AC203" s="43" t="n">
        <f aca="false">IF(Arterial=0,IF(Informed=0,1,0),0)</f>
        <v>0</v>
      </c>
      <c r="AD203" s="43" t="n">
        <f aca="false">IF(Arterial=1,IF(Informed=1,1,0),0)</f>
        <v>1</v>
      </c>
      <c r="AE203" s="43" t="n">
        <f aca="false">IF(Arterial=1,IF(Informed=0,1,0),0)</f>
        <v>0</v>
      </c>
      <c r="AF203" s="35" t="n">
        <f aca="false">IF(AB203=1,(X203-G$1030)^2,0)</f>
        <v>0</v>
      </c>
      <c r="AG203" s="35" t="n">
        <f aca="false">IF(AC203=1,(Y203-H$1030)^2,0)</f>
        <v>0</v>
      </c>
      <c r="AH203" s="35" t="n">
        <f aca="false">IF(AD203=1,(Z203-I$1030)^2,0)</f>
        <v>234.830780546825</v>
      </c>
      <c r="AI203" s="35" t="n">
        <f aca="false">IF(AE203=1,(AA203-J$1030)^2,0)</f>
        <v>0</v>
      </c>
      <c r="AJ203" s="37" t="n">
        <f aca="true">IF(RAND()&lt;$D$6,1,0)</f>
        <v>0</v>
      </c>
      <c r="AK203" s="14" t="n">
        <f aca="false">AK202+IF((AJ203=1),IF((H203=0),1,0),0)</f>
        <v>0</v>
      </c>
      <c r="AL203" s="14" t="n">
        <f aca="false">AL202+IF((AJ203=1),IF((H203=1),1,0),0)</f>
        <v>0</v>
      </c>
      <c r="AM203" s="37" t="n">
        <f aca="false">IF(AK203=0,9999,IF($H203=0,IF($AJ203&lt;1,AM202+1,0),AM202))</f>
        <v>9999</v>
      </c>
      <c r="AN203" s="37" t="n">
        <f aca="false">IF(AL203=0,9999,IF($H203=1,IF($AJ203&lt;1,AN202+1,0),AN202))</f>
        <v>9999</v>
      </c>
      <c r="AO203" s="37" t="n">
        <f aca="false">IF($A203-AM203&gt;0,1/(1+AM203),0)</f>
        <v>0</v>
      </c>
      <c r="AP203" s="37" t="n">
        <f aca="false">IF($A203-AN203&gt;0,1/(1+AN203),0)</f>
        <v>0</v>
      </c>
      <c r="AQ203" s="7" t="n">
        <f aca="false">IF(AK203=0,0,MAX(MIN(1,AO203^Power),0))</f>
        <v>0</v>
      </c>
      <c r="AR203" s="7" t="n">
        <f aca="false">IF(AL203=0,0,MAX(MIN(1,AP203^Power),0))</f>
        <v>0</v>
      </c>
      <c r="AS203" s="7" t="n">
        <f aca="false">IF($AJ203=1,IF($H203=0,K203,AS202),AS202)</f>
        <v>0</v>
      </c>
      <c r="AT203" s="7" t="n">
        <f aca="false">IF($AJ203=1,IF($H203=1,N203,AT202),AT202)</f>
        <v>0</v>
      </c>
    </row>
    <row r="204" customFormat="false" ht="13" hidden="false" customHeight="false" outlineLevel="0" collapsed="false">
      <c r="A204" s="16" t="n">
        <v>187</v>
      </c>
      <c r="B204" s="37" t="n">
        <f aca="true">IF(RAND()&lt;$D$8,1,0)</f>
        <v>1</v>
      </c>
      <c r="C204" s="20" t="n">
        <f aca="true">-LN(RAND())/$D$2</f>
        <v>0.815459222230438</v>
      </c>
      <c r="D204" s="38" t="n">
        <f aca="false">D203+C204</f>
        <v>212.452571217826</v>
      </c>
      <c r="E204" s="39" t="n">
        <f aca="false">MAX($E$3,AS203)</f>
        <v>0</v>
      </c>
      <c r="F204" s="39" t="n">
        <f aca="false">MAX($E$3,AT203)</f>
        <v>0</v>
      </c>
      <c r="G204" s="40" t="n">
        <v>0.5</v>
      </c>
      <c r="H204" s="38" t="n">
        <f aca="true">IF((B204=1),(IF((F204&lt;E204),1,(IF((F204=E204),(IF(RAND()&lt;G204,1,0)),0)))),(IF((RAND()&lt;G204),1,0)))</f>
        <v>1</v>
      </c>
      <c r="I204" s="38" t="n">
        <f aca="true">IF((H204=1),0,$D$3+$D$5*(RAND()-0.5))</f>
        <v>0</v>
      </c>
      <c r="J204" s="38" t="n">
        <f aca="false">I204+MAX(D204,J203)</f>
        <v>224.566134214748</v>
      </c>
      <c r="K204" s="38" t="n">
        <f aca="false">IF((H204=0),J204-D204,0)</f>
        <v>0</v>
      </c>
      <c r="L204" s="38" t="n">
        <f aca="true">IF(($H204=0),0,$D$4+$D$5*(RAND()-0.5))</f>
        <v>1.78188008219895</v>
      </c>
      <c r="M204" s="38" t="n">
        <f aca="false">L204+MAX(D204,M203)</f>
        <v>226.469637478216</v>
      </c>
      <c r="N204" s="38" t="n">
        <f aca="false">IF((H204=1),M204-D204,0)</f>
        <v>14.0170662603908</v>
      </c>
      <c r="O204" s="16" t="n">
        <v>187</v>
      </c>
      <c r="P204" s="41" t="n">
        <f aca="false">IF((Arterial=0),P203+1,P203)</f>
        <v>86</v>
      </c>
      <c r="Q204" s="41" t="n">
        <f aca="false">IF((Arterial=1),Q203+1,Q203)</f>
        <v>101</v>
      </c>
      <c r="R204" s="42" t="n">
        <f aca="false">IF((RESET=1),0,R204+K204)</f>
        <v>438.879459531778</v>
      </c>
      <c r="S204" s="14" t="e">
        <f aca="false">IF(RESET=1,0,S204+N204)</f>
        <v>#N/A</v>
      </c>
      <c r="T204" s="2" t="n">
        <f aca="false">IF(RESET=1,0,T204+IF(H204=0,1,0))</f>
        <v>38</v>
      </c>
      <c r="U204" s="2" t="e">
        <f aca="false">IF(RESET=1,0,U204+H204)</f>
        <v>#N/A</v>
      </c>
      <c r="V204" s="14" t="n">
        <f aca="false">R204/(T204+0.00001)</f>
        <v>11.5494564220319</v>
      </c>
      <c r="W204" s="14" t="e">
        <f aca="false">S204/(U204+0.0001)</f>
        <v>#N/A</v>
      </c>
      <c r="X204" s="39" t="n">
        <f aca="false">IF(Informed=1,K204,0)</f>
        <v>0</v>
      </c>
      <c r="Y204" s="39" t="n">
        <f aca="false">IF(Informed=0,K204,0)</f>
        <v>0</v>
      </c>
      <c r="Z204" s="39" t="n">
        <f aca="false">IF(Informed=1,N204,0)</f>
        <v>14.0170662603908</v>
      </c>
      <c r="AA204" s="39" t="n">
        <f aca="false">IF(Informed=0,N204,0)</f>
        <v>0</v>
      </c>
      <c r="AB204" s="43" t="n">
        <f aca="false">IF(Arterial=0,IF(Informed=1,1,0),0)</f>
        <v>0</v>
      </c>
      <c r="AC204" s="43" t="n">
        <f aca="false">IF(Arterial=0,IF(Informed=0,1,0),0)</f>
        <v>0</v>
      </c>
      <c r="AD204" s="43" t="n">
        <f aca="false">IF(Arterial=1,IF(Informed=1,1,0),0)</f>
        <v>1</v>
      </c>
      <c r="AE204" s="43" t="n">
        <f aca="false">IF(Arterial=1,IF(Informed=0,1,0),0)</f>
        <v>0</v>
      </c>
      <c r="AF204" s="35" t="n">
        <f aca="false">IF(AB204=1,(X204-G$1030)^2,0)</f>
        <v>0</v>
      </c>
      <c r="AG204" s="35" t="n">
        <f aca="false">IF(AC204=1,(Y204-H$1030)^2,0)</f>
        <v>0</v>
      </c>
      <c r="AH204" s="35" t="n">
        <f aca="false">IF(AD204=1,(Z204-I$1030)^2,0)</f>
        <v>206.145517242761</v>
      </c>
      <c r="AI204" s="35" t="n">
        <f aca="false">IF(AE204=1,(AA204-J$1030)^2,0)</f>
        <v>0</v>
      </c>
      <c r="AJ204" s="37" t="n">
        <f aca="true">IF(RAND()&lt;$D$6,1,0)</f>
        <v>0</v>
      </c>
      <c r="AK204" s="14" t="n">
        <f aca="false">AK203+IF((AJ204=1),IF((H204=0),1,0),0)</f>
        <v>0</v>
      </c>
      <c r="AL204" s="14" t="n">
        <f aca="false">AL203+IF((AJ204=1),IF((H204=1),1,0),0)</f>
        <v>0</v>
      </c>
      <c r="AM204" s="37" t="n">
        <f aca="false">IF(AK204=0,9999,IF($H204=0,IF($AJ204&lt;1,AM203+1,0),AM203))</f>
        <v>9999</v>
      </c>
      <c r="AN204" s="37" t="n">
        <f aca="false">IF(AL204=0,9999,IF($H204=1,IF($AJ204&lt;1,AN203+1,0),AN203))</f>
        <v>9999</v>
      </c>
      <c r="AO204" s="37" t="n">
        <f aca="false">IF($A204-AM204&gt;0,1/(1+AM204),0)</f>
        <v>0</v>
      </c>
      <c r="AP204" s="37" t="n">
        <f aca="false">IF($A204-AN204&gt;0,1/(1+AN204),0)</f>
        <v>0</v>
      </c>
      <c r="AQ204" s="7" t="n">
        <f aca="false">IF(AK204=0,0,MAX(MIN(1,AO204^Power),0))</f>
        <v>0</v>
      </c>
      <c r="AR204" s="7" t="n">
        <f aca="false">IF(AL204=0,0,MAX(MIN(1,AP204^Power),0))</f>
        <v>0</v>
      </c>
      <c r="AS204" s="7" t="n">
        <f aca="false">IF($AJ204=1,IF($H204=0,K204,AS203),AS203)</f>
        <v>0</v>
      </c>
      <c r="AT204" s="7" t="n">
        <f aca="false">IF($AJ204=1,IF($H204=1,N204,AT203),AT203)</f>
        <v>0</v>
      </c>
    </row>
    <row r="205" customFormat="false" ht="13" hidden="false" customHeight="false" outlineLevel="0" collapsed="false">
      <c r="A205" s="16" t="n">
        <v>188</v>
      </c>
      <c r="B205" s="37" t="n">
        <f aca="true">IF(RAND()&lt;$D$8,1,0)</f>
        <v>1</v>
      </c>
      <c r="C205" s="20" t="n">
        <f aca="true">-LN(RAND())/$D$2</f>
        <v>0.711877282078446</v>
      </c>
      <c r="D205" s="38" t="n">
        <f aca="false">D204+C205</f>
        <v>213.164448499904</v>
      </c>
      <c r="E205" s="39" t="n">
        <f aca="false">MAX($E$3,AS204)</f>
        <v>0</v>
      </c>
      <c r="F205" s="39" t="n">
        <f aca="false">MAX($E$3,AT204)</f>
        <v>0</v>
      </c>
      <c r="G205" s="40" t="n">
        <v>0.5</v>
      </c>
      <c r="H205" s="38" t="n">
        <f aca="true">IF((B205=1),(IF((F205&lt;E205),1,(IF((F205=E205),(IF(RAND()&lt;G205,1,0)),0)))),(IF((RAND()&lt;G205),1,0)))</f>
        <v>0</v>
      </c>
      <c r="I205" s="38" t="n">
        <f aca="true">IF((H205=1),0,$D$3+$D$5*(RAND()-0.5))</f>
        <v>2.22040607517183</v>
      </c>
      <c r="J205" s="38" t="n">
        <f aca="false">I205+MAX(D205,J204)</f>
        <v>226.78654028992</v>
      </c>
      <c r="K205" s="38" t="n">
        <f aca="false">IF((H205=0),J205-D205,0)</f>
        <v>13.6220917900159</v>
      </c>
      <c r="L205" s="38" t="n">
        <f aca="true">IF(($H205=0),0,$D$4+$D$5*(RAND()-0.5))</f>
        <v>0</v>
      </c>
      <c r="M205" s="38" t="n">
        <f aca="false">L205+MAX(D205,M204)</f>
        <v>226.469637478216</v>
      </c>
      <c r="N205" s="38" t="n">
        <f aca="false">IF((H205=1),M205-D205,0)</f>
        <v>0</v>
      </c>
      <c r="O205" s="16" t="n">
        <v>188</v>
      </c>
      <c r="P205" s="41" t="n">
        <f aca="false">IF((Arterial=0),P204+1,P204)</f>
        <v>87</v>
      </c>
      <c r="Q205" s="41" t="n">
        <f aca="false">IF((Arterial=1),Q204+1,Q204)</f>
        <v>101</v>
      </c>
      <c r="R205" s="42" t="e">
        <f aca="false">IF((RESET=1),0,R205+K205)</f>
        <v>#N/A</v>
      </c>
      <c r="S205" s="14" t="n">
        <f aca="false">IF(RESET=1,0,S205+N205)</f>
        <v>453.646452049481</v>
      </c>
      <c r="T205" s="2" t="e">
        <f aca="false">IF(RESET=1,0,T205+IF(H205=0,1,0))</f>
        <v>#N/A</v>
      </c>
      <c r="U205" s="2" t="n">
        <f aca="false">IF(RESET=1,0,U205+H205)</f>
        <v>39</v>
      </c>
      <c r="V205" s="14" t="e">
        <f aca="false">R205/(T205+0.00001)</f>
        <v>#N/A</v>
      </c>
      <c r="W205" s="14" t="n">
        <f aca="false">S205/(U205+0.0001)</f>
        <v>11.6319304834983</v>
      </c>
      <c r="X205" s="39" t="n">
        <f aca="false">IF(Informed=1,K205,0)</f>
        <v>13.6220917900159</v>
      </c>
      <c r="Y205" s="39" t="n">
        <f aca="false">IF(Informed=0,K205,0)</f>
        <v>0</v>
      </c>
      <c r="Z205" s="39" t="n">
        <f aca="false">IF(Informed=1,N205,0)</f>
        <v>0</v>
      </c>
      <c r="AA205" s="39" t="n">
        <f aca="false">IF(Informed=0,N205,0)</f>
        <v>0</v>
      </c>
      <c r="AB205" s="43" t="n">
        <f aca="false">IF(Arterial=0,IF(Informed=1,1,0),0)</f>
        <v>1</v>
      </c>
      <c r="AC205" s="43" t="n">
        <f aca="false">IF(Arterial=0,IF(Informed=0,1,0),0)</f>
        <v>0</v>
      </c>
      <c r="AD205" s="43" t="n">
        <f aca="false">IF(Arterial=1,IF(Informed=1,1,0),0)</f>
        <v>0</v>
      </c>
      <c r="AE205" s="43" t="n">
        <f aca="false">IF(Arterial=1,IF(Informed=0,1,0),0)</f>
        <v>0</v>
      </c>
      <c r="AF205" s="35" t="n">
        <f aca="false">IF(AB205=1,(X205-G$1030)^2,0)</f>
        <v>8.48215267595816</v>
      </c>
      <c r="AG205" s="35" t="n">
        <f aca="false">IF(AC205=1,(Y205-H$1030)^2,0)</f>
        <v>0</v>
      </c>
      <c r="AH205" s="35" t="n">
        <f aca="false">IF(AD205=1,(Z205-I$1030)^2,0)</f>
        <v>0</v>
      </c>
      <c r="AI205" s="35" t="n">
        <f aca="false">IF(AE205=1,(AA205-J$1030)^2,0)</f>
        <v>0</v>
      </c>
      <c r="AJ205" s="37" t="n">
        <f aca="true">IF(RAND()&lt;$D$6,1,0)</f>
        <v>0</v>
      </c>
      <c r="AK205" s="14" t="n">
        <f aca="false">AK204+IF((AJ205=1),IF((H205=0),1,0),0)</f>
        <v>0</v>
      </c>
      <c r="AL205" s="14" t="n">
        <f aca="false">AL204+IF((AJ205=1),IF((H205=1),1,0),0)</f>
        <v>0</v>
      </c>
      <c r="AM205" s="37" t="n">
        <f aca="false">IF(AK205=0,9999,IF($H205=0,IF($AJ205&lt;1,AM204+1,0),AM204))</f>
        <v>9999</v>
      </c>
      <c r="AN205" s="37" t="n">
        <f aca="false">IF(AL205=0,9999,IF($H205=1,IF($AJ205&lt;1,AN204+1,0),AN204))</f>
        <v>9999</v>
      </c>
      <c r="AO205" s="37" t="n">
        <f aca="false">IF($A205-AM205&gt;0,1/(1+AM205),0)</f>
        <v>0</v>
      </c>
      <c r="AP205" s="37" t="n">
        <f aca="false">IF($A205-AN205&gt;0,1/(1+AN205),0)</f>
        <v>0</v>
      </c>
      <c r="AQ205" s="7" t="n">
        <f aca="false">IF(AK205=0,0,MAX(MIN(1,AO205^Power),0))</f>
        <v>0</v>
      </c>
      <c r="AR205" s="7" t="n">
        <f aca="false">IF(AL205=0,0,MAX(MIN(1,AP205^Power),0))</f>
        <v>0</v>
      </c>
      <c r="AS205" s="7" t="n">
        <f aca="false">IF($AJ205=1,IF($H205=0,K205,AS204),AS204)</f>
        <v>0</v>
      </c>
      <c r="AT205" s="7" t="n">
        <f aca="false">IF($AJ205=1,IF($H205=1,N205,AT204),AT204)</f>
        <v>0</v>
      </c>
    </row>
    <row r="206" customFormat="false" ht="13" hidden="false" customHeight="false" outlineLevel="0" collapsed="false">
      <c r="A206" s="16" t="n">
        <v>189</v>
      </c>
      <c r="B206" s="37" t="n">
        <f aca="true">IF(RAND()&lt;$D$8,1,0)</f>
        <v>0</v>
      </c>
      <c r="C206" s="20" t="n">
        <f aca="true">-LN(RAND())/$D$2</f>
        <v>0.78411986494628</v>
      </c>
      <c r="D206" s="38" t="n">
        <f aca="false">D205+C206</f>
        <v>213.94856836485</v>
      </c>
      <c r="E206" s="39" t="n">
        <f aca="false">MAX($E$3,AS205)</f>
        <v>0</v>
      </c>
      <c r="F206" s="39" t="n">
        <f aca="false">MAX($E$3,AT205)</f>
        <v>0</v>
      </c>
      <c r="G206" s="40" t="n">
        <v>0.5</v>
      </c>
      <c r="H206" s="38" t="n">
        <f aca="true">IF((B206=1),(IF((F206&lt;E206),1,(IF((F206=E206),(IF(RAND()&lt;G206,1,0)),0)))),(IF((RAND()&lt;G206),1,0)))</f>
        <v>0</v>
      </c>
      <c r="I206" s="38" t="n">
        <f aca="true">IF((H206=1),0,$D$3+$D$5*(RAND()-0.5))</f>
        <v>2.03935225668807</v>
      </c>
      <c r="J206" s="38" t="n">
        <f aca="false">I206+MAX(D206,J205)</f>
        <v>228.825892546608</v>
      </c>
      <c r="K206" s="38" t="n">
        <f aca="false">IF((H206=0),J206-D206,0)</f>
        <v>14.8773241817576</v>
      </c>
      <c r="L206" s="38" t="n">
        <f aca="true">IF(($H206=0),0,$D$4+$D$5*(RAND()-0.5))</f>
        <v>0</v>
      </c>
      <c r="M206" s="38" t="n">
        <f aca="false">L206+MAX(D206,M205)</f>
        <v>226.469637478216</v>
      </c>
      <c r="N206" s="38" t="n">
        <f aca="false">IF((H206=1),M206-D206,0)</f>
        <v>0</v>
      </c>
      <c r="O206" s="16" t="n">
        <v>189</v>
      </c>
      <c r="P206" s="41" t="n">
        <f aca="false">IF((Arterial=0),P205+1,P205)</f>
        <v>88</v>
      </c>
      <c r="Q206" s="41" t="n">
        <f aca="false">IF((Arterial=1),Q205+1,Q205)</f>
        <v>101</v>
      </c>
      <c r="R206" s="42" t="e">
        <f aca="false">IF((RESET=1),0,R206+K206)</f>
        <v>#N/A</v>
      </c>
      <c r="S206" s="14" t="n">
        <f aca="false">IF(RESET=1,0,S206+N206)</f>
        <v>457.995990415785</v>
      </c>
      <c r="T206" s="2" t="e">
        <f aca="false">IF(RESET=1,0,T206+IF(H206=0,1,0))</f>
        <v>#N/A</v>
      </c>
      <c r="U206" s="2" t="n">
        <f aca="false">IF(RESET=1,0,U206+H206)</f>
        <v>41</v>
      </c>
      <c r="V206" s="14" t="e">
        <f aca="false">R206/(T206+0.00001)</f>
        <v>#N/A</v>
      </c>
      <c r="W206" s="14" t="n">
        <f aca="false">S206/(U206+0.0001)</f>
        <v>11.170606667198</v>
      </c>
      <c r="X206" s="39" t="n">
        <f aca="false">IF(Informed=1,K206,0)</f>
        <v>0</v>
      </c>
      <c r="Y206" s="39" t="n">
        <f aca="false">IF(Informed=0,K206,0)</f>
        <v>14.8773241817576</v>
      </c>
      <c r="Z206" s="39" t="n">
        <f aca="false">IF(Informed=1,N206,0)</f>
        <v>0</v>
      </c>
      <c r="AA206" s="39" t="n">
        <f aca="false">IF(Informed=0,N206,0)</f>
        <v>0</v>
      </c>
      <c r="AB206" s="43" t="n">
        <f aca="false">IF(Arterial=0,IF(Informed=1,1,0),0)</f>
        <v>0</v>
      </c>
      <c r="AC206" s="43" t="n">
        <f aca="false">IF(Arterial=0,IF(Informed=0,1,0),0)</f>
        <v>1</v>
      </c>
      <c r="AD206" s="43" t="n">
        <f aca="false">IF(Arterial=1,IF(Informed=1,1,0),0)</f>
        <v>0</v>
      </c>
      <c r="AE206" s="43" t="n">
        <f aca="false">IF(Arterial=1,IF(Informed=0,1,0),0)</f>
        <v>0</v>
      </c>
      <c r="AF206" s="35" t="n">
        <f aca="false">IF(AB206=1,(X206-G$1030)^2,0)</f>
        <v>0</v>
      </c>
      <c r="AG206" s="35" t="n">
        <f aca="false">IF(AC206=1,(Y206-H$1030)^2,0)</f>
        <v>15.6304700792312</v>
      </c>
      <c r="AH206" s="35" t="n">
        <f aca="false">IF(AD206=1,(Z206-I$1030)^2,0)</f>
        <v>0</v>
      </c>
      <c r="AI206" s="35" t="n">
        <f aca="false">IF(AE206=1,(AA206-J$1030)^2,0)</f>
        <v>0</v>
      </c>
      <c r="AJ206" s="37" t="n">
        <f aca="true">IF(RAND()&lt;$D$6,1,0)</f>
        <v>0</v>
      </c>
      <c r="AK206" s="14" t="n">
        <f aca="false">AK205+IF((AJ206=1),IF((H206=0),1,0),0)</f>
        <v>0</v>
      </c>
      <c r="AL206" s="14" t="n">
        <f aca="false">AL205+IF((AJ206=1),IF((H206=1),1,0),0)</f>
        <v>0</v>
      </c>
      <c r="AM206" s="37" t="n">
        <f aca="false">IF(AK206=0,9999,IF($H206=0,IF($AJ206&lt;1,AM205+1,0),AM205))</f>
        <v>9999</v>
      </c>
      <c r="AN206" s="37" t="n">
        <f aca="false">IF(AL206=0,9999,IF($H206=1,IF($AJ206&lt;1,AN205+1,0),AN205))</f>
        <v>9999</v>
      </c>
      <c r="AO206" s="37" t="n">
        <f aca="false">IF($A206-AM206&gt;0,1/(1+AM206),0)</f>
        <v>0</v>
      </c>
      <c r="AP206" s="37" t="n">
        <f aca="false">IF($A206-AN206&gt;0,1/(1+AN206),0)</f>
        <v>0</v>
      </c>
      <c r="AQ206" s="7" t="n">
        <f aca="false">IF(AK206=0,0,MAX(MIN(1,AO206^Power),0))</f>
        <v>0</v>
      </c>
      <c r="AR206" s="7" t="n">
        <f aca="false">IF(AL206=0,0,MAX(MIN(1,AP206^Power),0))</f>
        <v>0</v>
      </c>
      <c r="AS206" s="7" t="n">
        <f aca="false">IF($AJ206=1,IF($H206=0,K206,AS205),AS205)</f>
        <v>0</v>
      </c>
      <c r="AT206" s="7" t="n">
        <f aca="false">IF($AJ206=1,IF($H206=1,N206,AT205),AT205)</f>
        <v>0</v>
      </c>
    </row>
    <row r="207" customFormat="false" ht="13" hidden="false" customHeight="false" outlineLevel="0" collapsed="false">
      <c r="A207" s="16" t="n">
        <v>190</v>
      </c>
      <c r="B207" s="37" t="n">
        <f aca="true">IF(RAND()&lt;$D$8,1,0)</f>
        <v>0</v>
      </c>
      <c r="C207" s="20" t="n">
        <f aca="true">-LN(RAND())/$D$2</f>
        <v>0.00142217688069963</v>
      </c>
      <c r="D207" s="38" t="n">
        <f aca="false">D206+C207</f>
        <v>213.949990541731</v>
      </c>
      <c r="E207" s="39" t="n">
        <f aca="false">MAX($E$3,AS206)</f>
        <v>0</v>
      </c>
      <c r="F207" s="39" t="n">
        <f aca="false">MAX($E$3,AT206)</f>
        <v>0</v>
      </c>
      <c r="G207" s="40" t="n">
        <v>0.5</v>
      </c>
      <c r="H207" s="38" t="n">
        <f aca="true">IF((B207=1),(IF((F207&lt;E207),1,(IF((F207=E207),(IF(RAND()&lt;G207,1,0)),0)))),(IF((RAND()&lt;G207),1,0)))</f>
        <v>1</v>
      </c>
      <c r="I207" s="38" t="n">
        <f aca="true">IF((H207=1),0,$D$3+$D$5*(RAND()-0.5))</f>
        <v>0</v>
      </c>
      <c r="J207" s="38" t="n">
        <f aca="false">I207+MAX(D207,J206)</f>
        <v>228.825892546608</v>
      </c>
      <c r="K207" s="38" t="n">
        <f aca="false">IF((H207=0),J207-D207,0)</f>
        <v>0</v>
      </c>
      <c r="L207" s="38" t="n">
        <f aca="true">IF(($H207=0),0,$D$4+$D$5*(RAND()-0.5))</f>
        <v>2.14783976481391</v>
      </c>
      <c r="M207" s="38" t="n">
        <f aca="false">L207+MAX(D207,M206)</f>
        <v>228.61747724303</v>
      </c>
      <c r="N207" s="38" t="n">
        <f aca="false">IF((H207=1),M207-D207,0)</f>
        <v>14.6674867012993</v>
      </c>
      <c r="O207" s="16" t="n">
        <v>190</v>
      </c>
      <c r="P207" s="41" t="n">
        <f aca="false">IF((Arterial=0),P206+1,P206)</f>
        <v>88</v>
      </c>
      <c r="Q207" s="41" t="n">
        <f aca="false">IF((Arterial=1),Q206+1,Q206)</f>
        <v>102</v>
      </c>
      <c r="R207" s="42" t="n">
        <f aca="false">IF((RESET=1),0,R207+K207)</f>
        <v>447.544511302368</v>
      </c>
      <c r="S207" s="14" t="e">
        <f aca="false">IF(RESET=1,0,S207+N207)</f>
        <v>#N/A</v>
      </c>
      <c r="T207" s="2" t="n">
        <f aca="false">IF(RESET=1,0,T207+IF(H207=0,1,0))</f>
        <v>37</v>
      </c>
      <c r="U207" s="2" t="e">
        <f aca="false">IF(RESET=1,0,U207+H207)</f>
        <v>#N/A</v>
      </c>
      <c r="V207" s="14" t="n">
        <f aca="false">R207/(T207+0.00001)</f>
        <v>12.0957943336331</v>
      </c>
      <c r="W207" s="14" t="e">
        <f aca="false">S207/(U207+0.0001)</f>
        <v>#N/A</v>
      </c>
      <c r="X207" s="39" t="n">
        <f aca="false">IF(Informed=1,K207,0)</f>
        <v>0</v>
      </c>
      <c r="Y207" s="39" t="n">
        <f aca="false">IF(Informed=0,K207,0)</f>
        <v>0</v>
      </c>
      <c r="Z207" s="39" t="n">
        <f aca="false">IF(Informed=1,N207,0)</f>
        <v>0</v>
      </c>
      <c r="AA207" s="39" t="n">
        <f aca="false">IF(Informed=0,N207,0)</f>
        <v>14.6674867012993</v>
      </c>
      <c r="AB207" s="43" t="n">
        <f aca="false">IF(Arterial=0,IF(Informed=1,1,0),0)</f>
        <v>0</v>
      </c>
      <c r="AC207" s="43" t="n">
        <f aca="false">IF(Arterial=0,IF(Informed=0,1,0),0)</f>
        <v>0</v>
      </c>
      <c r="AD207" s="43" t="n">
        <f aca="false">IF(Arterial=1,IF(Informed=1,1,0),0)</f>
        <v>0</v>
      </c>
      <c r="AE207" s="43" t="n">
        <f aca="false">IF(Arterial=1,IF(Informed=0,1,0),0)</f>
        <v>1</v>
      </c>
      <c r="AF207" s="35" t="n">
        <f aca="false">IF(AB207=1,(X207-G$1030)^2,0)</f>
        <v>0</v>
      </c>
      <c r="AG207" s="35" t="n">
        <f aca="false">IF(AC207=1,(Y207-H$1030)^2,0)</f>
        <v>0</v>
      </c>
      <c r="AH207" s="35" t="n">
        <f aca="false">IF(AD207=1,(Z207-I$1030)^2,0)</f>
        <v>0</v>
      </c>
      <c r="AI207" s="35" t="n">
        <f aca="false">IF(AE207=1,(AA207-J$1030)^2,0)</f>
        <v>221.914301324794</v>
      </c>
      <c r="AJ207" s="37" t="n">
        <f aca="true">IF(RAND()&lt;$D$6,1,0)</f>
        <v>0</v>
      </c>
      <c r="AK207" s="14" t="n">
        <f aca="false">AK206+IF((AJ207=1),IF((H207=0),1,0),0)</f>
        <v>0</v>
      </c>
      <c r="AL207" s="14" t="n">
        <f aca="false">AL206+IF((AJ207=1),IF((H207=1),1,0),0)</f>
        <v>0</v>
      </c>
      <c r="AM207" s="37" t="n">
        <f aca="false">IF(AK207=0,9999,IF($H207=0,IF($AJ207&lt;1,AM206+1,0),AM206))</f>
        <v>9999</v>
      </c>
      <c r="AN207" s="37" t="n">
        <f aca="false">IF(AL207=0,9999,IF($H207=1,IF($AJ207&lt;1,AN206+1,0),AN206))</f>
        <v>9999</v>
      </c>
      <c r="AO207" s="37" t="n">
        <f aca="false">IF($A207-AM207&gt;0,1/(1+AM207),0)</f>
        <v>0</v>
      </c>
      <c r="AP207" s="37" t="n">
        <f aca="false">IF($A207-AN207&gt;0,1/(1+AN207),0)</f>
        <v>0</v>
      </c>
      <c r="AQ207" s="7" t="n">
        <f aca="false">IF(AK207=0,0,MAX(MIN(1,AO207^Power),0))</f>
        <v>0</v>
      </c>
      <c r="AR207" s="7" t="n">
        <f aca="false">IF(AL207=0,0,MAX(MIN(1,AP207^Power),0))</f>
        <v>0</v>
      </c>
      <c r="AS207" s="7" t="n">
        <f aca="false">IF($AJ207=1,IF($H207=0,K207,AS206),AS206)</f>
        <v>0</v>
      </c>
      <c r="AT207" s="7" t="n">
        <f aca="false">IF($AJ207=1,IF($H207=1,N207,AT206),AT206)</f>
        <v>0</v>
      </c>
    </row>
    <row r="208" customFormat="false" ht="13" hidden="false" customHeight="false" outlineLevel="0" collapsed="false">
      <c r="A208" s="16" t="n">
        <v>191</v>
      </c>
      <c r="B208" s="37" t="n">
        <f aca="true">IF(RAND()&lt;$D$8,1,0)</f>
        <v>0</v>
      </c>
      <c r="C208" s="20" t="n">
        <f aca="true">-LN(RAND())/$D$2</f>
        <v>0.0371453458994011</v>
      </c>
      <c r="D208" s="38" t="n">
        <f aca="false">D207+C208</f>
        <v>213.98713588763</v>
      </c>
      <c r="E208" s="39" t="n">
        <f aca="false">MAX($E$3,AS207)</f>
        <v>0</v>
      </c>
      <c r="F208" s="39" t="n">
        <f aca="false">MAX($E$3,AT207)</f>
        <v>0</v>
      </c>
      <c r="G208" s="40" t="n">
        <v>0.5</v>
      </c>
      <c r="H208" s="38" t="n">
        <f aca="true">IF((B208=1),(IF((F208&lt;E208),1,(IF((F208=E208),(IF(RAND()&lt;G208,1,0)),0)))),(IF((RAND()&lt;G208),1,0)))</f>
        <v>0</v>
      </c>
      <c r="I208" s="38" t="n">
        <f aca="true">IF((H208=1),0,$D$3+$D$5*(RAND()-0.5))</f>
        <v>1.90809364006008</v>
      </c>
      <c r="J208" s="38" t="n">
        <f aca="false">I208+MAX(D208,J207)</f>
        <v>230.733986186668</v>
      </c>
      <c r="K208" s="38" t="n">
        <f aca="false">IF((H208=0),J208-D208,0)</f>
        <v>16.7468502990376</v>
      </c>
      <c r="L208" s="38" t="n">
        <f aca="true">IF(($H208=0),0,$D$4+$D$5*(RAND()-0.5))</f>
        <v>0</v>
      </c>
      <c r="M208" s="38" t="n">
        <f aca="false">L208+MAX(D208,M207)</f>
        <v>228.61747724303</v>
      </c>
      <c r="N208" s="38" t="n">
        <f aca="false">IF((H208=1),M208-D208,0)</f>
        <v>0</v>
      </c>
      <c r="O208" s="16" t="n">
        <v>191</v>
      </c>
      <c r="P208" s="41" t="n">
        <f aca="false">IF((Arterial=0),P207+1,P207)</f>
        <v>89</v>
      </c>
      <c r="Q208" s="41" t="n">
        <f aca="false">IF((Arterial=1),Q207+1,Q207)</f>
        <v>102</v>
      </c>
      <c r="R208" s="42" t="e">
        <f aca="false">IF((RESET=1),0,R208+K208)</f>
        <v>#N/A</v>
      </c>
      <c r="S208" s="14" t="n">
        <f aca="false">IF(RESET=1,0,S208+N208)</f>
        <v>380.258575427284</v>
      </c>
      <c r="T208" s="2" t="e">
        <f aca="false">IF(RESET=1,0,T208+IF(H208=0,1,0))</f>
        <v>#N/A</v>
      </c>
      <c r="U208" s="2" t="n">
        <f aca="false">IF(RESET=1,0,U208+H208)</f>
        <v>32</v>
      </c>
      <c r="V208" s="14" t="e">
        <f aca="false">R208/(T208+0.00001)</f>
        <v>#N/A</v>
      </c>
      <c r="W208" s="14" t="n">
        <f aca="false">S208/(U208+0.0001)</f>
        <v>11.8830433475922</v>
      </c>
      <c r="X208" s="39" t="n">
        <f aca="false">IF(Informed=1,K208,0)</f>
        <v>0</v>
      </c>
      <c r="Y208" s="39" t="n">
        <f aca="false">IF(Informed=0,K208,0)</f>
        <v>16.7468502990376</v>
      </c>
      <c r="Z208" s="39" t="n">
        <f aca="false">IF(Informed=1,N208,0)</f>
        <v>0</v>
      </c>
      <c r="AA208" s="39" t="n">
        <f aca="false">IF(Informed=0,N208,0)</f>
        <v>0</v>
      </c>
      <c r="AB208" s="43" t="n">
        <f aca="false">IF(Arterial=0,IF(Informed=1,1,0),0)</f>
        <v>0</v>
      </c>
      <c r="AC208" s="43" t="n">
        <f aca="false">IF(Arterial=0,IF(Informed=0,1,0),0)</f>
        <v>1</v>
      </c>
      <c r="AD208" s="43" t="n">
        <f aca="false">IF(Arterial=1,IF(Informed=1,1,0),0)</f>
        <v>0</v>
      </c>
      <c r="AE208" s="43" t="n">
        <f aca="false">IF(Arterial=1,IF(Informed=0,1,0),0)</f>
        <v>0</v>
      </c>
      <c r="AF208" s="35" t="n">
        <f aca="false">IF(AB208=1,(X208-G$1030)^2,0)</f>
        <v>0</v>
      </c>
      <c r="AG208" s="35" t="n">
        <f aca="false">IF(AC208=1,(Y208-H$1030)^2,0)</f>
        <v>33.9080865569397</v>
      </c>
      <c r="AH208" s="35" t="n">
        <f aca="false">IF(AD208=1,(Z208-I$1030)^2,0)</f>
        <v>0</v>
      </c>
      <c r="AI208" s="35" t="n">
        <f aca="false">IF(AE208=1,(AA208-J$1030)^2,0)</f>
        <v>0</v>
      </c>
      <c r="AJ208" s="37" t="n">
        <f aca="true">IF(RAND()&lt;$D$6,1,0)</f>
        <v>0</v>
      </c>
      <c r="AK208" s="14" t="n">
        <f aca="false">AK207+IF((AJ208=1),IF((H208=0),1,0),0)</f>
        <v>0</v>
      </c>
      <c r="AL208" s="14" t="n">
        <f aca="false">AL207+IF((AJ208=1),IF((H208=1),1,0),0)</f>
        <v>0</v>
      </c>
      <c r="AM208" s="37" t="n">
        <f aca="false">IF(AK208=0,9999,IF($H208=0,IF($AJ208&lt;1,AM207+1,0),AM207))</f>
        <v>9999</v>
      </c>
      <c r="AN208" s="37" t="n">
        <f aca="false">IF(AL208=0,9999,IF($H208=1,IF($AJ208&lt;1,AN207+1,0),AN207))</f>
        <v>9999</v>
      </c>
      <c r="AO208" s="37" t="n">
        <f aca="false">IF($A208-AM208&gt;0,1/(1+AM208),0)</f>
        <v>0</v>
      </c>
      <c r="AP208" s="37" t="n">
        <f aca="false">IF($A208-AN208&gt;0,1/(1+AN208),0)</f>
        <v>0</v>
      </c>
      <c r="AQ208" s="7" t="n">
        <f aca="false">IF(AK208=0,0,MAX(MIN(1,AO208^Power),0))</f>
        <v>0</v>
      </c>
      <c r="AR208" s="7" t="n">
        <f aca="false">IF(AL208=0,0,MAX(MIN(1,AP208^Power),0))</f>
        <v>0</v>
      </c>
      <c r="AS208" s="7" t="n">
        <f aca="false">IF($AJ208=1,IF($H208=0,K208,AS207),AS207)</f>
        <v>0</v>
      </c>
      <c r="AT208" s="7" t="n">
        <f aca="false">IF($AJ208=1,IF($H208=1,N208,AT207),AT207)</f>
        <v>0</v>
      </c>
    </row>
    <row r="209" customFormat="false" ht="13" hidden="false" customHeight="false" outlineLevel="0" collapsed="false">
      <c r="A209" s="16" t="n">
        <v>192</v>
      </c>
      <c r="B209" s="37" t="n">
        <f aca="true">IF(RAND()&lt;$D$8,1,0)</f>
        <v>0</v>
      </c>
      <c r="C209" s="20" t="n">
        <f aca="true">-LN(RAND())/$D$2</f>
        <v>4.77207291415756</v>
      </c>
      <c r="D209" s="38" t="n">
        <f aca="false">D208+C209</f>
        <v>218.759208801788</v>
      </c>
      <c r="E209" s="39" t="n">
        <f aca="false">MAX($E$3,AS208)</f>
        <v>0</v>
      </c>
      <c r="F209" s="39" t="n">
        <f aca="false">MAX($E$3,AT208)</f>
        <v>0</v>
      </c>
      <c r="G209" s="40" t="n">
        <v>0.5</v>
      </c>
      <c r="H209" s="38" t="n">
        <f aca="true">IF((B209=1),(IF((F209&lt;E209),1,(IF((F209=E209),(IF(RAND()&lt;G209,1,0)),0)))),(IF((RAND()&lt;G209),1,0)))</f>
        <v>1</v>
      </c>
      <c r="I209" s="38" t="n">
        <f aca="true">IF((H209=1),0,$D$3+$D$5*(RAND()-0.5))</f>
        <v>0</v>
      </c>
      <c r="J209" s="38" t="n">
        <f aca="false">I209+MAX(D209,J208)</f>
        <v>230.733986186668</v>
      </c>
      <c r="K209" s="38" t="n">
        <f aca="false">IF((H209=0),J209-D209,0)</f>
        <v>0</v>
      </c>
      <c r="L209" s="38" t="n">
        <f aca="true">IF(($H209=0),0,$D$4+$D$5*(RAND()-0.5))</f>
        <v>2.11525057360777</v>
      </c>
      <c r="M209" s="38" t="n">
        <f aca="false">L209+MAX(D209,M208)</f>
        <v>230.732727816638</v>
      </c>
      <c r="N209" s="38" t="n">
        <f aca="false">IF((H209=1),M209-D209,0)</f>
        <v>11.9735190148501</v>
      </c>
      <c r="O209" s="16" t="n">
        <v>192</v>
      </c>
      <c r="P209" s="41" t="n">
        <f aca="false">IF((Arterial=0),P208+1,P208)</f>
        <v>89</v>
      </c>
      <c r="Q209" s="41" t="n">
        <f aca="false">IF((Arterial=1),Q208+1,Q208)</f>
        <v>103</v>
      </c>
      <c r="R209" s="42" t="n">
        <f aca="false">IF((RESET=1),0,R209+K209)</f>
        <v>494.894579902614</v>
      </c>
      <c r="S209" s="14" t="e">
        <f aca="false">IF(RESET=1,0,S209+N209)</f>
        <v>#N/A</v>
      </c>
      <c r="T209" s="2" t="n">
        <f aca="false">IF(RESET=1,0,T209+IF(H209=0,1,0))</f>
        <v>38</v>
      </c>
      <c r="U209" s="2" t="e">
        <f aca="false">IF(RESET=1,0,U209+H209)</f>
        <v>#N/A</v>
      </c>
      <c r="V209" s="14" t="n">
        <f aca="false">R209/(T209+0.00001)</f>
        <v>13.0235381491377</v>
      </c>
      <c r="W209" s="14" t="e">
        <f aca="false">S209/(U209+0.0001)</f>
        <v>#N/A</v>
      </c>
      <c r="X209" s="39" t="n">
        <f aca="false">IF(Informed=1,K209,0)</f>
        <v>0</v>
      </c>
      <c r="Y209" s="39" t="n">
        <f aca="false">IF(Informed=0,K209,0)</f>
        <v>0</v>
      </c>
      <c r="Z209" s="39" t="n">
        <f aca="false">IF(Informed=1,N209,0)</f>
        <v>0</v>
      </c>
      <c r="AA209" s="39" t="n">
        <f aca="false">IF(Informed=0,N209,0)</f>
        <v>11.9735190148501</v>
      </c>
      <c r="AB209" s="43" t="n">
        <f aca="false">IF(Arterial=0,IF(Informed=1,1,0),0)</f>
        <v>0</v>
      </c>
      <c r="AC209" s="43" t="n">
        <f aca="false">IF(Arterial=0,IF(Informed=0,1,0),0)</f>
        <v>0</v>
      </c>
      <c r="AD209" s="43" t="n">
        <f aca="false">IF(Arterial=1,IF(Informed=1,1,0),0)</f>
        <v>0</v>
      </c>
      <c r="AE209" s="43" t="n">
        <f aca="false">IF(Arterial=1,IF(Informed=0,1,0),0)</f>
        <v>1</v>
      </c>
      <c r="AF209" s="35" t="n">
        <f aca="false">IF(AB209=1,(X209-G$1030)^2,0)</f>
        <v>0</v>
      </c>
      <c r="AG209" s="35" t="n">
        <f aca="false">IF(AC209=1,(Y209-H$1030)^2,0)</f>
        <v>0</v>
      </c>
      <c r="AH209" s="35" t="n">
        <f aca="false">IF(AD209=1,(Z209-I$1030)^2,0)</f>
        <v>0</v>
      </c>
      <c r="AI209" s="35" t="n">
        <f aca="false">IF(AE209=1,(AA209-J$1030)^2,0)</f>
        <v>309.434695784856</v>
      </c>
      <c r="AJ209" s="37" t="n">
        <f aca="true">IF(RAND()&lt;$D$6,1,0)</f>
        <v>0</v>
      </c>
      <c r="AK209" s="14" t="n">
        <f aca="false">AK208+IF((AJ209=1),IF((H209=0),1,0),0)</f>
        <v>0</v>
      </c>
      <c r="AL209" s="14" t="n">
        <f aca="false">AL208+IF((AJ209=1),IF((H209=1),1,0),0)</f>
        <v>0</v>
      </c>
      <c r="AM209" s="37" t="n">
        <f aca="false">IF(AK209=0,9999,IF($H209=0,IF($AJ209&lt;1,AM208+1,0),AM208))</f>
        <v>9999</v>
      </c>
      <c r="AN209" s="37" t="n">
        <f aca="false">IF(AL209=0,9999,IF($H209=1,IF($AJ209&lt;1,AN208+1,0),AN208))</f>
        <v>9999</v>
      </c>
      <c r="AO209" s="37" t="n">
        <f aca="false">IF($A209-AM209&gt;0,1/(1+AM209),0)</f>
        <v>0</v>
      </c>
      <c r="AP209" s="37" t="n">
        <f aca="false">IF($A209-AN209&gt;0,1/(1+AN209),0)</f>
        <v>0</v>
      </c>
      <c r="AQ209" s="7" t="n">
        <f aca="false">IF(AK209=0,0,MAX(MIN(1,AO209^Power),0))</f>
        <v>0</v>
      </c>
      <c r="AR209" s="7" t="n">
        <f aca="false">IF(AL209=0,0,MAX(MIN(1,AP209^Power),0))</f>
        <v>0</v>
      </c>
      <c r="AS209" s="7" t="n">
        <f aca="false">IF($AJ209=1,IF($H209=0,K209,AS208),AS208)</f>
        <v>0</v>
      </c>
      <c r="AT209" s="7" t="n">
        <f aca="false">IF($AJ209=1,IF($H209=1,N209,AT208),AT208)</f>
        <v>0</v>
      </c>
    </row>
    <row r="210" customFormat="false" ht="13" hidden="false" customHeight="false" outlineLevel="0" collapsed="false">
      <c r="A210" s="16" t="n">
        <v>193</v>
      </c>
      <c r="B210" s="37" t="n">
        <f aca="true">IF(RAND()&lt;$D$8,1,0)</f>
        <v>1</v>
      </c>
      <c r="C210" s="20" t="n">
        <f aca="true">-LN(RAND())/$D$2</f>
        <v>0.0141180026402742</v>
      </c>
      <c r="D210" s="38" t="n">
        <f aca="false">D209+C210</f>
        <v>218.773326804428</v>
      </c>
      <c r="E210" s="39" t="n">
        <f aca="false">MAX($E$3,AS209)</f>
        <v>0</v>
      </c>
      <c r="F210" s="39" t="n">
        <f aca="false">MAX($E$3,AT209)</f>
        <v>0</v>
      </c>
      <c r="G210" s="40" t="n">
        <v>0.5</v>
      </c>
      <c r="H210" s="38" t="n">
        <f aca="true">IF((B210=1),(IF((F210&lt;E210),1,(IF((F210=E210),(IF(RAND()&lt;G210,1,0)),0)))),(IF((RAND()&lt;G210),1,0)))</f>
        <v>0</v>
      </c>
      <c r="I210" s="38" t="n">
        <f aca="true">IF((H210=1),0,$D$3+$D$5*(RAND()-0.5))</f>
        <v>1.8666294512527</v>
      </c>
      <c r="J210" s="38" t="n">
        <f aca="false">I210+MAX(D210,J209)</f>
        <v>232.600615637921</v>
      </c>
      <c r="K210" s="38" t="n">
        <f aca="false">IF((H210=0),J210-D210,0)</f>
        <v>13.8272888334925</v>
      </c>
      <c r="L210" s="38" t="n">
        <f aca="true">IF(($H210=0),0,$D$4+$D$5*(RAND()-0.5))</f>
        <v>0</v>
      </c>
      <c r="M210" s="38" t="n">
        <f aca="false">L210+MAX(D210,M209)</f>
        <v>230.732727816638</v>
      </c>
      <c r="N210" s="38" t="n">
        <f aca="false">IF((H210=1),M210-D210,0)</f>
        <v>0</v>
      </c>
      <c r="O210" s="16" t="n">
        <v>193</v>
      </c>
      <c r="P210" s="41" t="n">
        <f aca="false">IF((Arterial=0),P209+1,P209)</f>
        <v>90</v>
      </c>
      <c r="Q210" s="41" t="n">
        <f aca="false">IF((Arterial=1),Q209+1,Q209)</f>
        <v>103</v>
      </c>
      <c r="R210" s="42" t="e">
        <f aca="false">IF((RESET=1),0,R210+K210)</f>
        <v>#N/A</v>
      </c>
      <c r="S210" s="14" t="n">
        <f aca="false">IF(RESET=1,0,S210+N210)</f>
        <v>485.820918731539</v>
      </c>
      <c r="T210" s="2" t="e">
        <f aca="false">IF(RESET=1,0,T210+IF(H210=0,1,0))</f>
        <v>#N/A</v>
      </c>
      <c r="U210" s="2" t="n">
        <f aca="false">IF(RESET=1,0,U210+H210)</f>
        <v>39</v>
      </c>
      <c r="V210" s="14" t="e">
        <f aca="false">R210/(T210+0.00001)</f>
        <v>#N/A</v>
      </c>
      <c r="W210" s="14" t="n">
        <f aca="false">S210/(U210+0.0001)</f>
        <v>12.4569146933351</v>
      </c>
      <c r="X210" s="39" t="n">
        <f aca="false">IF(Informed=1,K210,0)</f>
        <v>13.8272888334925</v>
      </c>
      <c r="Y210" s="39" t="n">
        <f aca="false">IF(Informed=0,K210,0)</f>
        <v>0</v>
      </c>
      <c r="Z210" s="39" t="n">
        <f aca="false">IF(Informed=1,N210,0)</f>
        <v>0</v>
      </c>
      <c r="AA210" s="39" t="n">
        <f aca="false">IF(Informed=0,N210,0)</f>
        <v>0</v>
      </c>
      <c r="AB210" s="43" t="n">
        <f aca="false">IF(Arterial=0,IF(Informed=1,1,0),0)</f>
        <v>1</v>
      </c>
      <c r="AC210" s="43" t="n">
        <f aca="false">IF(Arterial=0,IF(Informed=0,1,0),0)</f>
        <v>0</v>
      </c>
      <c r="AD210" s="43" t="n">
        <f aca="false">IF(Arterial=1,IF(Informed=1,1,0),0)</f>
        <v>0</v>
      </c>
      <c r="AE210" s="43" t="n">
        <f aca="false">IF(Arterial=1,IF(Informed=0,1,0),0)</f>
        <v>0</v>
      </c>
      <c r="AF210" s="35" t="n">
        <f aca="false">IF(AB210=1,(X210-G$1030)^2,0)</f>
        <v>9.71949580156882</v>
      </c>
      <c r="AG210" s="35" t="n">
        <f aca="false">IF(AC210=1,(Y210-H$1030)^2,0)</f>
        <v>0</v>
      </c>
      <c r="AH210" s="35" t="n">
        <f aca="false">IF(AD210=1,(Z210-I$1030)^2,0)</f>
        <v>0</v>
      </c>
      <c r="AI210" s="35" t="n">
        <f aca="false">IF(AE210=1,(AA210-J$1030)^2,0)</f>
        <v>0</v>
      </c>
      <c r="AJ210" s="37" t="n">
        <f aca="true">IF(RAND()&lt;$D$6,1,0)</f>
        <v>0</v>
      </c>
      <c r="AK210" s="14" t="n">
        <f aca="false">AK209+IF((AJ210=1),IF((H210=0),1,0),0)</f>
        <v>0</v>
      </c>
      <c r="AL210" s="14" t="n">
        <f aca="false">AL209+IF((AJ210=1),IF((H210=1),1,0),0)</f>
        <v>0</v>
      </c>
      <c r="AM210" s="37" t="n">
        <f aca="false">IF(AK210=0,9999,IF($H210=0,IF($AJ210&lt;1,AM209+1,0),AM209))</f>
        <v>9999</v>
      </c>
      <c r="AN210" s="37" t="n">
        <f aca="false">IF(AL210=0,9999,IF($H210=1,IF($AJ210&lt;1,AN209+1,0),AN209))</f>
        <v>9999</v>
      </c>
      <c r="AO210" s="37" t="n">
        <f aca="false">IF($A210-AM210&gt;0,1/(1+AM210),0)</f>
        <v>0</v>
      </c>
      <c r="AP210" s="37" t="n">
        <f aca="false">IF($A210-AN210&gt;0,1/(1+AN210),0)</f>
        <v>0</v>
      </c>
      <c r="AQ210" s="7" t="n">
        <f aca="false">IF(AK210=0,0,MAX(MIN(1,AO210^Power),0))</f>
        <v>0</v>
      </c>
      <c r="AR210" s="7" t="n">
        <f aca="false">IF(AL210=0,0,MAX(MIN(1,AP210^Power),0))</f>
        <v>0</v>
      </c>
      <c r="AS210" s="7" t="n">
        <f aca="false">IF($AJ210=1,IF($H210=0,K210,AS209),AS209)</f>
        <v>0</v>
      </c>
      <c r="AT210" s="7" t="n">
        <f aca="false">IF($AJ210=1,IF($H210=1,N210,AT209),AT209)</f>
        <v>0</v>
      </c>
    </row>
    <row r="211" customFormat="false" ht="13" hidden="false" customHeight="false" outlineLevel="0" collapsed="false">
      <c r="A211" s="16" t="n">
        <v>194</v>
      </c>
      <c r="B211" s="37" t="n">
        <f aca="true">IF(RAND()&lt;$D$8,1,0)</f>
        <v>1</v>
      </c>
      <c r="C211" s="20" t="n">
        <f aca="true">-LN(RAND())/$D$2</f>
        <v>2.28762576373751</v>
      </c>
      <c r="D211" s="38" t="n">
        <f aca="false">D210+C211</f>
        <v>221.060952568166</v>
      </c>
      <c r="E211" s="39" t="n">
        <f aca="false">MAX($E$3,AS210)</f>
        <v>0</v>
      </c>
      <c r="F211" s="39" t="n">
        <f aca="false">MAX($E$3,AT210)</f>
        <v>0</v>
      </c>
      <c r="G211" s="40" t="n">
        <v>0.5</v>
      </c>
      <c r="H211" s="38" t="n">
        <f aca="true">IF((B211=1),(IF((F211&lt;E211),1,(IF((F211=E211),(IF(RAND()&lt;G211,1,0)),0)))),(IF((RAND()&lt;G211),1,0)))</f>
        <v>1</v>
      </c>
      <c r="I211" s="38" t="n">
        <f aca="true">IF((H211=1),0,$D$3+$D$5*(RAND()-0.5))</f>
        <v>0</v>
      </c>
      <c r="J211" s="38" t="n">
        <f aca="false">I211+MAX(D211,J210)</f>
        <v>232.600615637921</v>
      </c>
      <c r="K211" s="38" t="n">
        <f aca="false">IF((H211=0),J211-D211,0)</f>
        <v>0</v>
      </c>
      <c r="L211" s="38" t="n">
        <f aca="true">IF(($H211=0),0,$D$4+$D$5*(RAND()-0.5))</f>
        <v>1.98655987116239</v>
      </c>
      <c r="M211" s="38" t="n">
        <f aca="false">L211+MAX(D211,M210)</f>
        <v>232.7192876878</v>
      </c>
      <c r="N211" s="38" t="n">
        <f aca="false">IF((H211=1),M211-D211,0)</f>
        <v>11.6583351196347</v>
      </c>
      <c r="O211" s="16" t="n">
        <v>194</v>
      </c>
      <c r="P211" s="41" t="n">
        <f aca="false">IF((Arterial=0),P210+1,P210)</f>
        <v>90</v>
      </c>
      <c r="Q211" s="41" t="n">
        <f aca="false">IF((Arterial=1),Q210+1,Q210)</f>
        <v>104</v>
      </c>
      <c r="R211" s="42" t="n">
        <f aca="false">IF((RESET=1),0,R211+K211)</f>
        <v>535.999686183821</v>
      </c>
      <c r="S211" s="14" t="e">
        <f aca="false">IF(RESET=1,0,S211+N211)</f>
        <v>#N/A</v>
      </c>
      <c r="T211" s="2" t="n">
        <f aca="false">IF(RESET=1,0,T211+IF(H211=0,1,0))</f>
        <v>46</v>
      </c>
      <c r="U211" s="2" t="e">
        <f aca="false">IF(RESET=1,0,U211+H211)</f>
        <v>#N/A</v>
      </c>
      <c r="V211" s="14" t="n">
        <f aca="false">R211/(T211+0.00001)</f>
        <v>11.6521645578734</v>
      </c>
      <c r="W211" s="14" t="e">
        <f aca="false">S211/(U211+0.0001)</f>
        <v>#N/A</v>
      </c>
      <c r="X211" s="39" t="n">
        <f aca="false">IF(Informed=1,K211,0)</f>
        <v>0</v>
      </c>
      <c r="Y211" s="39" t="n">
        <f aca="false">IF(Informed=0,K211,0)</f>
        <v>0</v>
      </c>
      <c r="Z211" s="39" t="n">
        <f aca="false">IF(Informed=1,N211,0)</f>
        <v>11.6583351196347</v>
      </c>
      <c r="AA211" s="39" t="n">
        <f aca="false">IF(Informed=0,N211,0)</f>
        <v>0</v>
      </c>
      <c r="AB211" s="43" t="n">
        <f aca="false">IF(Arterial=0,IF(Informed=1,1,0),0)</f>
        <v>0</v>
      </c>
      <c r="AC211" s="43" t="n">
        <f aca="false">IF(Arterial=0,IF(Informed=0,1,0),0)</f>
        <v>0</v>
      </c>
      <c r="AD211" s="43" t="n">
        <f aca="false">IF(Arterial=1,IF(Informed=1,1,0),0)</f>
        <v>1</v>
      </c>
      <c r="AE211" s="43" t="n">
        <f aca="false">IF(Arterial=1,IF(Informed=0,1,0),0)</f>
        <v>0</v>
      </c>
      <c r="AF211" s="35" t="n">
        <f aca="false">IF(AB211=1,(X211-G$1030)^2,0)</f>
        <v>0</v>
      </c>
      <c r="AG211" s="35" t="n">
        <f aca="false">IF(AC211=1,(Y211-H$1030)^2,0)</f>
        <v>0</v>
      </c>
      <c r="AH211" s="35" t="n">
        <f aca="false">IF(AD211=1,(Z211-I$1030)^2,0)</f>
        <v>279.441361337514</v>
      </c>
      <c r="AI211" s="35" t="n">
        <f aca="false">IF(AE211=1,(AA211-J$1030)^2,0)</f>
        <v>0</v>
      </c>
      <c r="AJ211" s="37" t="n">
        <f aca="true">IF(RAND()&lt;$D$6,1,0)</f>
        <v>0</v>
      </c>
      <c r="AK211" s="14" t="n">
        <f aca="false">AK210+IF((AJ211=1),IF((H211=0),1,0),0)</f>
        <v>0</v>
      </c>
      <c r="AL211" s="14" t="n">
        <f aca="false">AL210+IF((AJ211=1),IF((H211=1),1,0),0)</f>
        <v>0</v>
      </c>
      <c r="AM211" s="37" t="n">
        <f aca="false">IF(AK211=0,9999,IF($H211=0,IF($AJ211&lt;1,AM210+1,0),AM210))</f>
        <v>9999</v>
      </c>
      <c r="AN211" s="37" t="n">
        <f aca="false">IF(AL211=0,9999,IF($H211=1,IF($AJ211&lt;1,AN210+1,0),AN210))</f>
        <v>9999</v>
      </c>
      <c r="AO211" s="37" t="n">
        <f aca="false">IF($A211-AM211&gt;0,1/(1+AM211),0)</f>
        <v>0</v>
      </c>
      <c r="AP211" s="37" t="n">
        <f aca="false">IF($A211-AN211&gt;0,1/(1+AN211),0)</f>
        <v>0</v>
      </c>
      <c r="AQ211" s="7" t="n">
        <f aca="false">IF(AK211=0,0,MAX(MIN(1,AO211^Power),0))</f>
        <v>0</v>
      </c>
      <c r="AR211" s="7" t="n">
        <f aca="false">IF(AL211=0,0,MAX(MIN(1,AP211^Power),0))</f>
        <v>0</v>
      </c>
      <c r="AS211" s="7" t="n">
        <f aca="false">IF($AJ211=1,IF($H211=0,K211,AS210),AS210)</f>
        <v>0</v>
      </c>
      <c r="AT211" s="7" t="n">
        <f aca="false">IF($AJ211=1,IF($H211=1,N211,AT210),AT210)</f>
        <v>0</v>
      </c>
    </row>
    <row r="212" customFormat="false" ht="13" hidden="false" customHeight="false" outlineLevel="0" collapsed="false">
      <c r="A212" s="16" t="n">
        <v>195</v>
      </c>
      <c r="B212" s="37" t="n">
        <f aca="true">IF(RAND()&lt;$D$8,1,0)</f>
        <v>0</v>
      </c>
      <c r="C212" s="20" t="n">
        <f aca="true">-LN(RAND())/$D$2</f>
        <v>1.12071014357427</v>
      </c>
      <c r="D212" s="38" t="n">
        <f aca="false">D211+C212</f>
        <v>222.18166271174</v>
      </c>
      <c r="E212" s="39" t="n">
        <f aca="false">MAX($E$3,AS211)</f>
        <v>0</v>
      </c>
      <c r="F212" s="39" t="n">
        <f aca="false">MAX($E$3,AT211)</f>
        <v>0</v>
      </c>
      <c r="G212" s="40" t="n">
        <v>0.5</v>
      </c>
      <c r="H212" s="38" t="n">
        <f aca="true">IF((B212=1),(IF((F212&lt;E212),1,(IF((F212=E212),(IF(RAND()&lt;G212,1,0)),0)))),(IF((RAND()&lt;G212),1,0)))</f>
        <v>0</v>
      </c>
      <c r="I212" s="38" t="n">
        <f aca="true">IF((H212=1),0,$D$3+$D$5*(RAND()-0.5))</f>
        <v>1.91475814790587</v>
      </c>
      <c r="J212" s="38" t="n">
        <f aca="false">I212+MAX(D212,J211)</f>
        <v>234.515373785827</v>
      </c>
      <c r="K212" s="38" t="n">
        <f aca="false">IF((H212=0),J212-D212,0)</f>
        <v>12.3337110740866</v>
      </c>
      <c r="L212" s="38" t="n">
        <f aca="true">IF(($H212=0),0,$D$4+$D$5*(RAND()-0.5))</f>
        <v>0</v>
      </c>
      <c r="M212" s="38" t="n">
        <f aca="false">L212+MAX(D212,M211)</f>
        <v>232.7192876878</v>
      </c>
      <c r="N212" s="38" t="n">
        <f aca="false">IF((H212=1),M212-D212,0)</f>
        <v>0</v>
      </c>
      <c r="O212" s="16" t="n">
        <v>195</v>
      </c>
      <c r="P212" s="41" t="n">
        <f aca="false">IF((Arterial=0),P211+1,P211)</f>
        <v>91</v>
      </c>
      <c r="Q212" s="41" t="n">
        <f aca="false">IF((Arterial=1),Q211+1,Q211)</f>
        <v>104</v>
      </c>
      <c r="R212" s="42" t="e">
        <f aca="false">IF((RESET=1),0,R212+K212)</f>
        <v>#N/A</v>
      </c>
      <c r="S212" s="14" t="n">
        <f aca="false">IF(RESET=1,0,S212+N212)</f>
        <v>411.038036474113</v>
      </c>
      <c r="T212" s="2" t="e">
        <f aca="false">IF(RESET=1,0,T212+IF(H212=0,1,0))</f>
        <v>#N/A</v>
      </c>
      <c r="U212" s="2" t="n">
        <f aca="false">IF(RESET=1,0,U212+H212)</f>
        <v>37</v>
      </c>
      <c r="V212" s="14" t="e">
        <f aca="false">R212/(T212+0.00001)</f>
        <v>#N/A</v>
      </c>
      <c r="W212" s="14" t="n">
        <f aca="false">S212/(U212+0.0001)</f>
        <v>11.1091060963109</v>
      </c>
      <c r="X212" s="39" t="n">
        <f aca="false">IF(Informed=1,K212,0)</f>
        <v>0</v>
      </c>
      <c r="Y212" s="39" t="n">
        <f aca="false">IF(Informed=0,K212,0)</f>
        <v>12.3337110740866</v>
      </c>
      <c r="Z212" s="39" t="n">
        <f aca="false">IF(Informed=1,N212,0)</f>
        <v>0</v>
      </c>
      <c r="AA212" s="39" t="n">
        <f aca="false">IF(Informed=0,N212,0)</f>
        <v>0</v>
      </c>
      <c r="AB212" s="43" t="n">
        <f aca="false">IF(Arterial=0,IF(Informed=1,1,0),0)</f>
        <v>0</v>
      </c>
      <c r="AC212" s="43" t="n">
        <f aca="false">IF(Arterial=0,IF(Informed=0,1,0),0)</f>
        <v>1</v>
      </c>
      <c r="AD212" s="43" t="n">
        <f aca="false">IF(Arterial=1,IF(Informed=1,1,0),0)</f>
        <v>0</v>
      </c>
      <c r="AE212" s="43" t="n">
        <f aca="false">IF(Arterial=1,IF(Informed=0,1,0),0)</f>
        <v>0</v>
      </c>
      <c r="AF212" s="35" t="n">
        <f aca="false">IF(AB212=1,(X212-G$1030)^2,0)</f>
        <v>0</v>
      </c>
      <c r="AG212" s="35" t="n">
        <f aca="false">IF(AC212=1,(Y212-H$1030)^2,0)</f>
        <v>1.98789082739626</v>
      </c>
      <c r="AH212" s="35" t="n">
        <f aca="false">IF(AD212=1,(Z212-I$1030)^2,0)</f>
        <v>0</v>
      </c>
      <c r="AI212" s="35" t="n">
        <f aca="false">IF(AE212=1,(AA212-J$1030)^2,0)</f>
        <v>0</v>
      </c>
      <c r="AJ212" s="37" t="n">
        <f aca="true">IF(RAND()&lt;$D$6,1,0)</f>
        <v>0</v>
      </c>
      <c r="AK212" s="14" t="n">
        <f aca="false">AK211+IF((AJ212=1),IF((H212=0),1,0),0)</f>
        <v>0</v>
      </c>
      <c r="AL212" s="14" t="n">
        <f aca="false">AL211+IF((AJ212=1),IF((H212=1),1,0),0)</f>
        <v>0</v>
      </c>
      <c r="AM212" s="37" t="n">
        <f aca="false">IF(AK212=0,9999,IF($H212=0,IF($AJ212&lt;1,AM211+1,0),AM211))</f>
        <v>9999</v>
      </c>
      <c r="AN212" s="37" t="n">
        <f aca="false">IF(AL212=0,9999,IF($H212=1,IF($AJ212&lt;1,AN211+1,0),AN211))</f>
        <v>9999</v>
      </c>
      <c r="AO212" s="37" t="n">
        <f aca="false">IF($A212-AM212&gt;0,1/(1+AM212),0)</f>
        <v>0</v>
      </c>
      <c r="AP212" s="37" t="n">
        <f aca="false">IF($A212-AN212&gt;0,1/(1+AN212),0)</f>
        <v>0</v>
      </c>
      <c r="AQ212" s="7" t="n">
        <f aca="false">IF(AK212=0,0,MAX(MIN(1,AO212^Power),0))</f>
        <v>0</v>
      </c>
      <c r="AR212" s="7" t="n">
        <f aca="false">IF(AL212=0,0,MAX(MIN(1,AP212^Power),0))</f>
        <v>0</v>
      </c>
      <c r="AS212" s="7" t="n">
        <f aca="false">IF($AJ212=1,IF($H212=0,K212,AS211),AS211)</f>
        <v>0</v>
      </c>
      <c r="AT212" s="7" t="n">
        <f aca="false">IF($AJ212=1,IF($H212=1,N212,AT211),AT211)</f>
        <v>0</v>
      </c>
    </row>
    <row r="213" customFormat="false" ht="13" hidden="false" customHeight="false" outlineLevel="0" collapsed="false">
      <c r="A213" s="16" t="n">
        <v>196</v>
      </c>
      <c r="B213" s="37" t="n">
        <f aca="true">IF(RAND()&lt;$D$8,1,0)</f>
        <v>1</v>
      </c>
      <c r="C213" s="20" t="n">
        <f aca="true">-LN(RAND())/$D$2</f>
        <v>0.812076402819144</v>
      </c>
      <c r="D213" s="38" t="n">
        <f aca="false">D212+C213</f>
        <v>222.993739114559</v>
      </c>
      <c r="E213" s="39" t="n">
        <f aca="false">MAX($E$3,AS212)</f>
        <v>0</v>
      </c>
      <c r="F213" s="39" t="n">
        <f aca="false">MAX($E$3,AT212)</f>
        <v>0</v>
      </c>
      <c r="G213" s="40" t="n">
        <v>0.5</v>
      </c>
      <c r="H213" s="38" t="n">
        <f aca="true">IF((B213=1),(IF((F213&lt;E213),1,(IF((F213=E213),(IF(RAND()&lt;G213,1,0)),0)))),(IF((RAND()&lt;G213),1,0)))</f>
        <v>0</v>
      </c>
      <c r="I213" s="38" t="n">
        <f aca="true">IF((H213=1),0,$D$3+$D$5*(RAND()-0.5))</f>
        <v>1.91599616296471</v>
      </c>
      <c r="J213" s="38" t="n">
        <f aca="false">I213+MAX(D213,J212)</f>
        <v>236.431369948791</v>
      </c>
      <c r="K213" s="38" t="n">
        <f aca="false">IF((H213=0),J213-D213,0)</f>
        <v>13.4376308342322</v>
      </c>
      <c r="L213" s="38" t="n">
        <f aca="true">IF(($H213=0),0,$D$4+$D$5*(RAND()-0.5))</f>
        <v>0</v>
      </c>
      <c r="M213" s="38" t="n">
        <f aca="false">L213+MAX(D213,M212)</f>
        <v>232.7192876878</v>
      </c>
      <c r="N213" s="38" t="n">
        <f aca="false">IF((H213=1),M213-D213,0)</f>
        <v>0</v>
      </c>
      <c r="O213" s="16" t="n">
        <v>196</v>
      </c>
      <c r="P213" s="41" t="n">
        <f aca="false">IF((Arterial=0),P212+1,P212)</f>
        <v>92</v>
      </c>
      <c r="Q213" s="41" t="n">
        <f aca="false">IF((Arterial=1),Q212+1,Q212)</f>
        <v>104</v>
      </c>
      <c r="R213" s="42" t="e">
        <f aca="false">IF((RESET=1),0,R213+K213)</f>
        <v>#N/A</v>
      </c>
      <c r="S213" s="14" t="n">
        <f aca="false">IF(RESET=1,0,S213+N213)</f>
        <v>403.39601788803</v>
      </c>
      <c r="T213" s="2" t="e">
        <f aca="false">IF(RESET=1,0,T213+IF(H213=0,1,0))</f>
        <v>#N/A</v>
      </c>
      <c r="U213" s="2" t="n">
        <f aca="false">IF(RESET=1,0,U213+H213)</f>
        <v>37</v>
      </c>
      <c r="V213" s="14" t="e">
        <f aca="false">R213/(T213+0.00001)</f>
        <v>#N/A</v>
      </c>
      <c r="W213" s="14" t="n">
        <f aca="false">S213/(U213+0.0001)</f>
        <v>10.9025656116613</v>
      </c>
      <c r="X213" s="39" t="n">
        <f aca="false">IF(Informed=1,K213,0)</f>
        <v>13.4376308342322</v>
      </c>
      <c r="Y213" s="39" t="n">
        <f aca="false">IF(Informed=0,K213,0)</f>
        <v>0</v>
      </c>
      <c r="Z213" s="39" t="n">
        <f aca="false">IF(Informed=1,N213,0)</f>
        <v>0</v>
      </c>
      <c r="AA213" s="39" t="n">
        <f aca="false">IF(Informed=0,N213,0)</f>
        <v>0</v>
      </c>
      <c r="AB213" s="43" t="n">
        <f aca="false">IF(Arterial=0,IF(Informed=1,1,0),0)</f>
        <v>1</v>
      </c>
      <c r="AC213" s="43" t="n">
        <f aca="false">IF(Arterial=0,IF(Informed=0,1,0),0)</f>
        <v>0</v>
      </c>
      <c r="AD213" s="43" t="n">
        <f aca="false">IF(Arterial=1,IF(Informed=1,1,0),0)</f>
        <v>0</v>
      </c>
      <c r="AE213" s="43" t="n">
        <f aca="false">IF(Arterial=1,IF(Informed=0,1,0),0)</f>
        <v>0</v>
      </c>
      <c r="AF213" s="35" t="n">
        <f aca="false">IF(AB213=1,(X213-G$1030)^2,0)</f>
        <v>7.44172534667606</v>
      </c>
      <c r="AG213" s="35" t="n">
        <f aca="false">IF(AC213=1,(Y213-H$1030)^2,0)</f>
        <v>0</v>
      </c>
      <c r="AH213" s="35" t="n">
        <f aca="false">IF(AD213=1,(Z213-I$1030)^2,0)</f>
        <v>0</v>
      </c>
      <c r="AI213" s="35" t="n">
        <f aca="false">IF(AE213=1,(AA213-J$1030)^2,0)</f>
        <v>0</v>
      </c>
      <c r="AJ213" s="37" t="n">
        <f aca="true">IF(RAND()&lt;$D$6,1,0)</f>
        <v>0</v>
      </c>
      <c r="AK213" s="14" t="n">
        <f aca="false">AK212+IF((AJ213=1),IF((H213=0),1,0),0)</f>
        <v>0</v>
      </c>
      <c r="AL213" s="14" t="n">
        <f aca="false">AL212+IF((AJ213=1),IF((H213=1),1,0),0)</f>
        <v>0</v>
      </c>
      <c r="AM213" s="37" t="n">
        <f aca="false">IF(AK213=0,9999,IF($H213=0,IF($AJ213&lt;1,AM212+1,0),AM212))</f>
        <v>9999</v>
      </c>
      <c r="AN213" s="37" t="n">
        <f aca="false">IF(AL213=0,9999,IF($H213=1,IF($AJ213&lt;1,AN212+1,0),AN212))</f>
        <v>9999</v>
      </c>
      <c r="AO213" s="37" t="n">
        <f aca="false">IF($A213-AM213&gt;0,1/(1+AM213),0)</f>
        <v>0</v>
      </c>
      <c r="AP213" s="37" t="n">
        <f aca="false">IF($A213-AN213&gt;0,1/(1+AN213),0)</f>
        <v>0</v>
      </c>
      <c r="AQ213" s="7" t="n">
        <f aca="false">IF(AK213=0,0,MAX(MIN(1,AO213^Power),0))</f>
        <v>0</v>
      </c>
      <c r="AR213" s="7" t="n">
        <f aca="false">IF(AL213=0,0,MAX(MIN(1,AP213^Power),0))</f>
        <v>0</v>
      </c>
      <c r="AS213" s="7" t="n">
        <f aca="false">IF($AJ213=1,IF($H213=0,K213,AS212),AS212)</f>
        <v>0</v>
      </c>
      <c r="AT213" s="7" t="n">
        <f aca="false">IF($AJ213=1,IF($H213=1,N213,AT212),AT212)</f>
        <v>0</v>
      </c>
    </row>
    <row r="214" customFormat="false" ht="13" hidden="false" customHeight="false" outlineLevel="0" collapsed="false">
      <c r="A214" s="16" t="n">
        <v>197</v>
      </c>
      <c r="B214" s="37" t="n">
        <f aca="true">IF(RAND()&lt;$D$8,1,0)</f>
        <v>1</v>
      </c>
      <c r="C214" s="20" t="n">
        <f aca="true">-LN(RAND())/$D$2</f>
        <v>0.725312412278234</v>
      </c>
      <c r="D214" s="38" t="n">
        <f aca="false">D213+C214</f>
        <v>223.719051526837</v>
      </c>
      <c r="E214" s="39" t="n">
        <f aca="false">MAX($E$3,AS213)</f>
        <v>0</v>
      </c>
      <c r="F214" s="39" t="n">
        <f aca="false">MAX($E$3,AT213)</f>
        <v>0</v>
      </c>
      <c r="G214" s="40" t="n">
        <v>0.5</v>
      </c>
      <c r="H214" s="38" t="n">
        <f aca="true">IF((B214=1),(IF((F214&lt;E214),1,(IF((F214=E214),(IF(RAND()&lt;G214,1,0)),0)))),(IF((RAND()&lt;G214),1,0)))</f>
        <v>1</v>
      </c>
      <c r="I214" s="38" t="n">
        <f aca="true">IF((H214=1),0,$D$3+$D$5*(RAND()-0.5))</f>
        <v>0</v>
      </c>
      <c r="J214" s="38" t="n">
        <f aca="false">I214+MAX(D214,J213)</f>
        <v>236.431369948791</v>
      </c>
      <c r="K214" s="38" t="n">
        <f aca="false">IF((H214=0),J214-D214,0)</f>
        <v>0</v>
      </c>
      <c r="L214" s="38" t="n">
        <f aca="true">IF(($H214=0),0,$D$4+$D$5*(RAND()-0.5))</f>
        <v>1.99048397992791</v>
      </c>
      <c r="M214" s="38" t="n">
        <f aca="false">L214+MAX(D214,M213)</f>
        <v>234.709771667728</v>
      </c>
      <c r="N214" s="38" t="n">
        <f aca="false">IF((H214=1),M214-D214,0)</f>
        <v>10.990720140891</v>
      </c>
      <c r="O214" s="16" t="n">
        <v>197</v>
      </c>
      <c r="P214" s="41" t="n">
        <f aca="false">IF((Arterial=0),P213+1,P213)</f>
        <v>92</v>
      </c>
      <c r="Q214" s="41" t="n">
        <f aca="false">IF((Arterial=1),Q213+1,Q213)</f>
        <v>105</v>
      </c>
      <c r="R214" s="42" t="n">
        <f aca="false">IF((RESET=1),0,R214+K214)</f>
        <v>551.461651837903</v>
      </c>
      <c r="S214" s="14" t="e">
        <f aca="false">IF(RESET=1,0,S214+N214)</f>
        <v>#N/A</v>
      </c>
      <c r="T214" s="2" t="n">
        <f aca="false">IF(RESET=1,0,T214+IF(H214=0,1,0))</f>
        <v>37</v>
      </c>
      <c r="U214" s="2" t="e">
        <f aca="false">IF(RESET=1,0,U214+H214)</f>
        <v>#N/A</v>
      </c>
      <c r="V214" s="14" t="n">
        <f aca="false">R214/(T214+0.00001)</f>
        <v>14.9043649403852</v>
      </c>
      <c r="W214" s="14" t="e">
        <f aca="false">S214/(U214+0.0001)</f>
        <v>#N/A</v>
      </c>
      <c r="X214" s="39" t="n">
        <f aca="false">IF(Informed=1,K214,0)</f>
        <v>0</v>
      </c>
      <c r="Y214" s="39" t="n">
        <f aca="false">IF(Informed=0,K214,0)</f>
        <v>0</v>
      </c>
      <c r="Z214" s="39" t="n">
        <f aca="false">IF(Informed=1,N214,0)</f>
        <v>10.990720140891</v>
      </c>
      <c r="AA214" s="39" t="n">
        <f aca="false">IF(Informed=0,N214,0)</f>
        <v>0</v>
      </c>
      <c r="AB214" s="43" t="n">
        <f aca="false">IF(Arterial=0,IF(Informed=1,1,0),0)</f>
        <v>0</v>
      </c>
      <c r="AC214" s="43" t="n">
        <f aca="false">IF(Arterial=0,IF(Informed=0,1,0),0)</f>
        <v>0</v>
      </c>
      <c r="AD214" s="43" t="n">
        <f aca="false">IF(Arterial=1,IF(Informed=1,1,0),0)</f>
        <v>1</v>
      </c>
      <c r="AE214" s="43" t="n">
        <f aca="false">IF(Arterial=1,IF(Informed=0,1,0),0)</f>
        <v>0</v>
      </c>
      <c r="AF214" s="35" t="n">
        <f aca="false">IF(AB214=1,(X214-G$1030)^2,0)</f>
        <v>0</v>
      </c>
      <c r="AG214" s="35" t="n">
        <f aca="false">IF(AC214=1,(Y214-H$1030)^2,0)</f>
        <v>0</v>
      </c>
      <c r="AH214" s="35" t="n">
        <f aca="false">IF(AD214=1,(Z214-I$1030)^2,0)</f>
        <v>302.207442245878</v>
      </c>
      <c r="AI214" s="35" t="n">
        <f aca="false">IF(AE214=1,(AA214-J$1030)^2,0)</f>
        <v>0</v>
      </c>
      <c r="AJ214" s="37" t="n">
        <f aca="true">IF(RAND()&lt;$D$6,1,0)</f>
        <v>0</v>
      </c>
      <c r="AK214" s="14" t="n">
        <f aca="false">AK213+IF((AJ214=1),IF((H214=0),1,0),0)</f>
        <v>0</v>
      </c>
      <c r="AL214" s="14" t="n">
        <f aca="false">AL213+IF((AJ214=1),IF((H214=1),1,0),0)</f>
        <v>0</v>
      </c>
      <c r="AM214" s="37" t="n">
        <f aca="false">IF(AK214=0,9999,IF($H214=0,IF($AJ214&lt;1,AM213+1,0),AM213))</f>
        <v>9999</v>
      </c>
      <c r="AN214" s="37" t="n">
        <f aca="false">IF(AL214=0,9999,IF($H214=1,IF($AJ214&lt;1,AN213+1,0),AN213))</f>
        <v>9999</v>
      </c>
      <c r="AO214" s="37" t="n">
        <f aca="false">IF($A214-AM214&gt;0,1/(1+AM214),0)</f>
        <v>0</v>
      </c>
      <c r="AP214" s="37" t="n">
        <f aca="false">IF($A214-AN214&gt;0,1/(1+AN214),0)</f>
        <v>0</v>
      </c>
      <c r="AQ214" s="7" t="n">
        <f aca="false">IF(AK214=0,0,MAX(MIN(1,AO214^Power),0))</f>
        <v>0</v>
      </c>
      <c r="AR214" s="7" t="n">
        <f aca="false">IF(AL214=0,0,MAX(MIN(1,AP214^Power),0))</f>
        <v>0</v>
      </c>
      <c r="AS214" s="7" t="n">
        <f aca="false">IF($AJ214=1,IF($H214=0,K214,AS213),AS213)</f>
        <v>0</v>
      </c>
      <c r="AT214" s="7" t="n">
        <f aca="false">IF($AJ214=1,IF($H214=1,N214,AT213),AT213)</f>
        <v>0</v>
      </c>
    </row>
    <row r="215" customFormat="false" ht="13" hidden="false" customHeight="false" outlineLevel="0" collapsed="false">
      <c r="A215" s="16" t="n">
        <v>198</v>
      </c>
      <c r="B215" s="37" t="n">
        <f aca="true">IF(RAND()&lt;$D$8,1,0)</f>
        <v>0</v>
      </c>
      <c r="C215" s="20" t="n">
        <f aca="true">-LN(RAND())/$D$2</f>
        <v>0.963609619723641</v>
      </c>
      <c r="D215" s="38" t="n">
        <f aca="false">D214+C215</f>
        <v>224.682661146561</v>
      </c>
      <c r="E215" s="39" t="n">
        <f aca="false">MAX($E$3,AS214)</f>
        <v>0</v>
      </c>
      <c r="F215" s="39" t="n">
        <f aca="false">MAX($E$3,AT214)</f>
        <v>0</v>
      </c>
      <c r="G215" s="40" t="n">
        <v>0.5</v>
      </c>
      <c r="H215" s="38" t="n">
        <f aca="true">IF((B215=1),(IF((F215&lt;E215),1,(IF((F215=E215),(IF(RAND()&lt;G215,1,0)),0)))),(IF((RAND()&lt;G215),1,0)))</f>
        <v>1</v>
      </c>
      <c r="I215" s="38" t="n">
        <f aca="true">IF((H215=1),0,$D$3+$D$5*(RAND()-0.5))</f>
        <v>0</v>
      </c>
      <c r="J215" s="38" t="n">
        <f aca="false">I215+MAX(D215,J214)</f>
        <v>236.431369948791</v>
      </c>
      <c r="K215" s="38" t="n">
        <f aca="false">IF((H215=0),J215-D215,0)</f>
        <v>0</v>
      </c>
      <c r="L215" s="38" t="n">
        <f aca="true">IF(($H215=0),0,$D$4+$D$5*(RAND()-0.5))</f>
        <v>2.21632695408414</v>
      </c>
      <c r="M215" s="38" t="n">
        <f aca="false">L215+MAX(D215,M214)</f>
        <v>236.926098621812</v>
      </c>
      <c r="N215" s="38" t="n">
        <f aca="false">IF((H215=1),M215-D215,0)</f>
        <v>12.2434374752515</v>
      </c>
      <c r="O215" s="16" t="n">
        <v>198</v>
      </c>
      <c r="P215" s="41" t="n">
        <f aca="false">IF((Arterial=0),P214+1,P214)</f>
        <v>92</v>
      </c>
      <c r="Q215" s="41" t="n">
        <f aca="false">IF((Arterial=1),Q214+1,Q214)</f>
        <v>106</v>
      </c>
      <c r="R215" s="42" t="n">
        <f aca="false">IF((RESET=1),0,R215+K215)</f>
        <v>447.200450837211</v>
      </c>
      <c r="S215" s="14" t="e">
        <f aca="false">IF(RESET=1,0,S215+N215)</f>
        <v>#N/A</v>
      </c>
      <c r="T215" s="2" t="n">
        <f aca="false">IF(RESET=1,0,T215+IF(H215=0,1,0))</f>
        <v>35</v>
      </c>
      <c r="U215" s="2" t="e">
        <f aca="false">IF(RESET=1,0,U215+H215)</f>
        <v>#N/A</v>
      </c>
      <c r="V215" s="14" t="n">
        <f aca="false">R215/(T215+0.00001)</f>
        <v>12.7771520875911</v>
      </c>
      <c r="W215" s="14" t="e">
        <f aca="false">S215/(U215+0.0001)</f>
        <v>#N/A</v>
      </c>
      <c r="X215" s="39" t="n">
        <f aca="false">IF(Informed=1,K215,0)</f>
        <v>0</v>
      </c>
      <c r="Y215" s="39" t="n">
        <f aca="false">IF(Informed=0,K215,0)</f>
        <v>0</v>
      </c>
      <c r="Z215" s="39" t="n">
        <f aca="false">IF(Informed=1,N215,0)</f>
        <v>0</v>
      </c>
      <c r="AA215" s="39" t="n">
        <f aca="false">IF(Informed=0,N215,0)</f>
        <v>12.2434374752515</v>
      </c>
      <c r="AB215" s="43" t="n">
        <f aca="false">IF(Arterial=0,IF(Informed=1,1,0),0)</f>
        <v>0</v>
      </c>
      <c r="AC215" s="43" t="n">
        <f aca="false">IF(Arterial=0,IF(Informed=0,1,0),0)</f>
        <v>0</v>
      </c>
      <c r="AD215" s="43" t="n">
        <f aca="false">IF(Arterial=1,IF(Informed=1,1,0),0)</f>
        <v>0</v>
      </c>
      <c r="AE215" s="43" t="n">
        <f aca="false">IF(Arterial=1,IF(Informed=0,1,0),0)</f>
        <v>1</v>
      </c>
      <c r="AF215" s="35" t="n">
        <f aca="false">IF(AB215=1,(X215-G$1030)^2,0)</f>
        <v>0</v>
      </c>
      <c r="AG215" s="35" t="n">
        <f aca="false">IF(AC215=1,(Y215-H$1030)^2,0)</f>
        <v>0</v>
      </c>
      <c r="AH215" s="35" t="n">
        <f aca="false">IF(AD215=1,(Z215-I$1030)^2,0)</f>
        <v>0</v>
      </c>
      <c r="AI215" s="35" t="n">
        <f aca="false">IF(AE215=1,(AA215-J$1030)^2,0)</f>
        <v>300.011412219788</v>
      </c>
      <c r="AJ215" s="37" t="n">
        <f aca="true">IF(RAND()&lt;$D$6,1,0)</f>
        <v>0</v>
      </c>
      <c r="AK215" s="14" t="n">
        <f aca="false">AK214+IF((AJ215=1),IF((H215=0),1,0),0)</f>
        <v>0</v>
      </c>
      <c r="AL215" s="14" t="n">
        <f aca="false">AL214+IF((AJ215=1),IF((H215=1),1,0),0)</f>
        <v>0</v>
      </c>
      <c r="AM215" s="37" t="n">
        <f aca="false">IF(AK215=0,9999,IF($H215=0,IF($AJ215&lt;1,AM214+1,0),AM214))</f>
        <v>9999</v>
      </c>
      <c r="AN215" s="37" t="n">
        <f aca="false">IF(AL215=0,9999,IF($H215=1,IF($AJ215&lt;1,AN214+1,0),AN214))</f>
        <v>9999</v>
      </c>
      <c r="AO215" s="37" t="n">
        <f aca="false">IF($A215-AM215&gt;0,1/(1+AM215),0)</f>
        <v>0</v>
      </c>
      <c r="AP215" s="37" t="n">
        <f aca="false">IF($A215-AN215&gt;0,1/(1+AN215),0)</f>
        <v>0</v>
      </c>
      <c r="AQ215" s="7" t="n">
        <f aca="false">IF(AK215=0,0,MAX(MIN(1,AO215^Power),0))</f>
        <v>0</v>
      </c>
      <c r="AR215" s="7" t="n">
        <f aca="false">IF(AL215=0,0,MAX(MIN(1,AP215^Power),0))</f>
        <v>0</v>
      </c>
      <c r="AS215" s="7" t="n">
        <f aca="false">IF($AJ215=1,IF($H215=0,K215,AS214),AS214)</f>
        <v>0</v>
      </c>
      <c r="AT215" s="7" t="n">
        <f aca="false">IF($AJ215=1,IF($H215=1,N215,AT214),AT214)</f>
        <v>0</v>
      </c>
    </row>
    <row r="216" customFormat="false" ht="13" hidden="false" customHeight="false" outlineLevel="0" collapsed="false">
      <c r="A216" s="16" t="n">
        <v>199</v>
      </c>
      <c r="B216" s="37" t="n">
        <f aca="true">IF(RAND()&lt;$D$8,1,0)</f>
        <v>1</v>
      </c>
      <c r="C216" s="20" t="n">
        <f aca="true">-LN(RAND())/$D$2</f>
        <v>0.370092341698984</v>
      </c>
      <c r="D216" s="38" t="n">
        <f aca="false">D215+C216</f>
        <v>225.05275348826</v>
      </c>
      <c r="E216" s="39" t="n">
        <f aca="false">MAX($E$3,AS215)</f>
        <v>0</v>
      </c>
      <c r="F216" s="39" t="n">
        <f aca="false">MAX($E$3,AT215)</f>
        <v>0</v>
      </c>
      <c r="G216" s="40" t="n">
        <v>0.5</v>
      </c>
      <c r="H216" s="38" t="n">
        <f aca="true">IF((B216=1),(IF((F216&lt;E216),1,(IF((F216=E216),(IF(RAND()&lt;G216,1,0)),0)))),(IF((RAND()&lt;G216),1,0)))</f>
        <v>1</v>
      </c>
      <c r="I216" s="38" t="n">
        <f aca="true">IF((H216=1),0,$D$3+$D$5*(RAND()-0.5))</f>
        <v>0</v>
      </c>
      <c r="J216" s="38" t="n">
        <f aca="false">I216+MAX(D216,J215)</f>
        <v>236.431369948791</v>
      </c>
      <c r="K216" s="38" t="n">
        <f aca="false">IF((H216=0),J216-D216,0)</f>
        <v>0</v>
      </c>
      <c r="L216" s="38" t="n">
        <f aca="true">IF(($H216=0),0,$D$4+$D$5*(RAND()-0.5))</f>
        <v>2.08474119833978</v>
      </c>
      <c r="M216" s="38" t="n">
        <f aca="false">L216+MAX(D216,M215)</f>
        <v>239.010839820152</v>
      </c>
      <c r="N216" s="38" t="n">
        <f aca="false">IF((H216=1),M216-D216,0)</f>
        <v>13.9580863318923</v>
      </c>
      <c r="O216" s="16" t="n">
        <v>199</v>
      </c>
      <c r="P216" s="41" t="n">
        <f aca="false">IF((Arterial=0),P215+1,P215)</f>
        <v>92</v>
      </c>
      <c r="Q216" s="41" t="n">
        <f aca="false">IF((Arterial=1),Q215+1,Q215)</f>
        <v>107</v>
      </c>
      <c r="R216" s="42" t="n">
        <f aca="false">IF((RESET=1),0,R216+K216)</f>
        <v>563.786786370562</v>
      </c>
      <c r="S216" s="14" t="e">
        <f aca="false">IF(RESET=1,0,S216+N216)</f>
        <v>#N/A</v>
      </c>
      <c r="T216" s="2" t="n">
        <f aca="false">IF(RESET=1,0,T216+IF(H216=0,1,0))</f>
        <v>43</v>
      </c>
      <c r="U216" s="2" t="e">
        <f aca="false">IF(RESET=1,0,U216+H216)</f>
        <v>#N/A</v>
      </c>
      <c r="V216" s="14" t="n">
        <f aca="false">R216/(T216+0.00001)</f>
        <v>13.1113175641253</v>
      </c>
      <c r="W216" s="14" t="e">
        <f aca="false">S216/(U216+0.0001)</f>
        <v>#N/A</v>
      </c>
      <c r="X216" s="39" t="n">
        <f aca="false">IF(Informed=1,K216,0)</f>
        <v>0</v>
      </c>
      <c r="Y216" s="39" t="n">
        <f aca="false">IF(Informed=0,K216,0)</f>
        <v>0</v>
      </c>
      <c r="Z216" s="39" t="n">
        <f aca="false">IF(Informed=1,N216,0)</f>
        <v>13.9580863318923</v>
      </c>
      <c r="AA216" s="39" t="n">
        <f aca="false">IF(Informed=0,N216,0)</f>
        <v>0</v>
      </c>
      <c r="AB216" s="43" t="n">
        <f aca="false">IF(Arterial=0,IF(Informed=1,1,0),0)</f>
        <v>0</v>
      </c>
      <c r="AC216" s="43" t="n">
        <f aca="false">IF(Arterial=0,IF(Informed=0,1,0),0)</f>
        <v>0</v>
      </c>
      <c r="AD216" s="43" t="n">
        <f aca="false">IF(Arterial=1,IF(Informed=1,1,0),0)</f>
        <v>1</v>
      </c>
      <c r="AE216" s="43" t="n">
        <f aca="false">IF(Arterial=1,IF(Informed=0,1,0),0)</f>
        <v>0</v>
      </c>
      <c r="AF216" s="35" t="n">
        <f aca="false">IF(AB216=1,(X216-G$1030)^2,0)</f>
        <v>0</v>
      </c>
      <c r="AG216" s="35" t="n">
        <f aca="false">IF(AC216=1,(Y216-H$1030)^2,0)</f>
        <v>0</v>
      </c>
      <c r="AH216" s="35" t="n">
        <f aca="false">IF(AD216=1,(Z216-I$1030)^2,0)</f>
        <v>207.842636197658</v>
      </c>
      <c r="AI216" s="35" t="n">
        <f aca="false">IF(AE216=1,(AA216-J$1030)^2,0)</f>
        <v>0</v>
      </c>
      <c r="AJ216" s="37" t="n">
        <f aca="true">IF(RAND()&lt;$D$6,1,0)</f>
        <v>0</v>
      </c>
      <c r="AK216" s="14" t="n">
        <f aca="false">AK215+IF((AJ216=1),IF((H216=0),1,0),0)</f>
        <v>0</v>
      </c>
      <c r="AL216" s="14" t="n">
        <f aca="false">AL215+IF((AJ216=1),IF((H216=1),1,0),0)</f>
        <v>0</v>
      </c>
      <c r="AM216" s="37" t="n">
        <f aca="false">IF(AK216=0,9999,IF($H216=0,IF($AJ216&lt;1,AM215+1,0),AM215))</f>
        <v>9999</v>
      </c>
      <c r="AN216" s="37" t="n">
        <f aca="false">IF(AL216=0,9999,IF($H216=1,IF($AJ216&lt;1,AN215+1,0),AN215))</f>
        <v>9999</v>
      </c>
      <c r="AO216" s="37" t="n">
        <f aca="false">IF($A216-AM216&gt;0,1/(1+AM216),0)</f>
        <v>0</v>
      </c>
      <c r="AP216" s="37" t="n">
        <f aca="false">IF($A216-AN216&gt;0,1/(1+AN216),0)</f>
        <v>0</v>
      </c>
      <c r="AQ216" s="7" t="n">
        <f aca="false">IF(AK216=0,0,MAX(MIN(1,AO216^Power),0))</f>
        <v>0</v>
      </c>
      <c r="AR216" s="7" t="n">
        <f aca="false">IF(AL216=0,0,MAX(MIN(1,AP216^Power),0))</f>
        <v>0</v>
      </c>
      <c r="AS216" s="7" t="n">
        <f aca="false">IF($AJ216=1,IF($H216=0,K216,AS215),AS215)</f>
        <v>0</v>
      </c>
      <c r="AT216" s="7" t="n">
        <f aca="false">IF($AJ216=1,IF($H216=1,N216,AT215),AT215)</f>
        <v>0</v>
      </c>
    </row>
    <row r="217" customFormat="false" ht="13" hidden="false" customHeight="false" outlineLevel="0" collapsed="false">
      <c r="A217" s="16" t="n">
        <v>200</v>
      </c>
      <c r="B217" s="37" t="n">
        <f aca="true">IF(RAND()&lt;$D$8,1,0)</f>
        <v>1</v>
      </c>
      <c r="C217" s="20" t="n">
        <f aca="true">-LN(RAND())/$D$2</f>
        <v>0.655695078345855</v>
      </c>
      <c r="D217" s="38" t="n">
        <f aca="false">D216+C217</f>
        <v>225.708448566606</v>
      </c>
      <c r="E217" s="39" t="n">
        <f aca="false">MAX($E$3,AS216)</f>
        <v>0</v>
      </c>
      <c r="F217" s="39" t="n">
        <f aca="false">MAX($E$3,AT216)</f>
        <v>0</v>
      </c>
      <c r="G217" s="40" t="n">
        <v>0.5</v>
      </c>
      <c r="H217" s="38" t="n">
        <f aca="true">IF((B217=1),(IF((F217&lt;E217),1,(IF((F217=E217),(IF(RAND()&lt;G217,1,0)),0)))),(IF((RAND()&lt;G217),1,0)))</f>
        <v>0</v>
      </c>
      <c r="I217" s="38" t="n">
        <f aca="true">IF((H217=1),0,$D$3+$D$5*(RAND()-0.5))</f>
        <v>1.86947371758843</v>
      </c>
      <c r="J217" s="38" t="n">
        <f aca="false">I217+MAX(D217,J216)</f>
        <v>238.30084366638</v>
      </c>
      <c r="K217" s="38" t="n">
        <f aca="false">IF((H217=0),J217-D217,0)</f>
        <v>12.5923950997739</v>
      </c>
      <c r="L217" s="38" t="n">
        <f aca="true">IF(($H217=0),0,$D$4+$D$5*(RAND()-0.5))</f>
        <v>0</v>
      </c>
      <c r="M217" s="38" t="n">
        <f aca="false">L217+MAX(D217,M216)</f>
        <v>239.010839820152</v>
      </c>
      <c r="N217" s="38" t="n">
        <f aca="false">IF((H217=1),M217-D217,0)</f>
        <v>0</v>
      </c>
      <c r="O217" s="16" t="n">
        <v>200</v>
      </c>
      <c r="P217" s="41" t="n">
        <f aca="false">IF((Arterial=0),P216+1,P216)</f>
        <v>93</v>
      </c>
      <c r="Q217" s="41" t="n">
        <f aca="false">IF((Arterial=1),Q216+1,Q216)</f>
        <v>107</v>
      </c>
      <c r="R217" s="42" t="e">
        <f aca="false">IF((RESET=1),0,R217+K217)</f>
        <v>#N/A</v>
      </c>
      <c r="S217" s="14" t="n">
        <f aca="false">IF(RESET=1,0,S217+N217)</f>
        <v>458.810780698176</v>
      </c>
      <c r="T217" s="2" t="e">
        <f aca="false">IF(RESET=1,0,T217+IF(H217=0,1,0))</f>
        <v>#N/A</v>
      </c>
      <c r="U217" s="2" t="n">
        <f aca="false">IF(RESET=1,0,U217+H217)</f>
        <v>37</v>
      </c>
      <c r="V217" s="14" t="e">
        <f aca="false">R217/(T217+0.00001)</f>
        <v>#N/A</v>
      </c>
      <c r="W217" s="14" t="n">
        <f aca="false">S217/(U217+0.0001)</f>
        <v>12.4002578560106</v>
      </c>
      <c r="X217" s="39" t="n">
        <f aca="false">IF(Informed=1,K217,0)</f>
        <v>12.5923950997739</v>
      </c>
      <c r="Y217" s="39" t="n">
        <f aca="false">IF(Informed=0,K217,0)</f>
        <v>0</v>
      </c>
      <c r="Z217" s="39" t="n">
        <f aca="false">IF(Informed=1,N217,0)</f>
        <v>0</v>
      </c>
      <c r="AA217" s="39" t="n">
        <f aca="false">IF(Informed=0,N217,0)</f>
        <v>0</v>
      </c>
      <c r="AB217" s="43" t="n">
        <f aca="false">IF(Arterial=0,IF(Informed=1,1,0),0)</f>
        <v>1</v>
      </c>
      <c r="AC217" s="43" t="n">
        <f aca="false">IF(Arterial=0,IF(Informed=0,1,0),0)</f>
        <v>0</v>
      </c>
      <c r="AD217" s="43" t="n">
        <f aca="false">IF(Arterial=1,IF(Informed=1,1,0),0)</f>
        <v>0</v>
      </c>
      <c r="AE217" s="43" t="n">
        <f aca="false">IF(Arterial=1,IF(Informed=0,1,0),0)</f>
        <v>0</v>
      </c>
      <c r="AF217" s="35" t="n">
        <f aca="false">IF(AB217=1,(X217-G$1030)^2,0)</f>
        <v>3.54462276738101</v>
      </c>
      <c r="AG217" s="35" t="n">
        <f aca="false">IF(AC217=1,(Y217-H$1030)^2,0)</f>
        <v>0</v>
      </c>
      <c r="AH217" s="35" t="n">
        <f aca="false">IF(AD217=1,(Z217-I$1030)^2,0)</f>
        <v>0</v>
      </c>
      <c r="AI217" s="35" t="n">
        <f aca="false">IF(AE217=1,(AA217-J$1030)^2,0)</f>
        <v>0</v>
      </c>
      <c r="AJ217" s="37" t="n">
        <f aca="true">IF(RAND()&lt;$D$6,1,0)</f>
        <v>0</v>
      </c>
      <c r="AK217" s="14" t="n">
        <f aca="false">AK216+IF((AJ217=1),IF((H217=0),1,0),0)</f>
        <v>0</v>
      </c>
      <c r="AL217" s="14" t="n">
        <f aca="false">AL216+IF((AJ217=1),IF((H217=1),1,0),0)</f>
        <v>0</v>
      </c>
      <c r="AM217" s="37" t="n">
        <f aca="false">IF(AK217=0,9999,IF($H217=0,IF($AJ217&lt;1,AM216+1,0),AM216))</f>
        <v>9999</v>
      </c>
      <c r="AN217" s="37" t="n">
        <f aca="false">IF(AL217=0,9999,IF($H217=1,IF($AJ217&lt;1,AN216+1,0),AN216))</f>
        <v>9999</v>
      </c>
      <c r="AO217" s="37" t="n">
        <f aca="false">IF($A217-AM217&gt;0,1/(1+AM217),0)</f>
        <v>0</v>
      </c>
      <c r="AP217" s="37" t="n">
        <f aca="false">IF($A217-AN217&gt;0,1/(1+AN217),0)</f>
        <v>0</v>
      </c>
      <c r="AQ217" s="7" t="n">
        <f aca="false">IF(AK217=0,0,MAX(MIN(1,AO217^Power),0))</f>
        <v>0</v>
      </c>
      <c r="AR217" s="7" t="n">
        <f aca="false">IF(AL217=0,0,MAX(MIN(1,AP217^Power),0))</f>
        <v>0</v>
      </c>
      <c r="AS217" s="7" t="n">
        <f aca="false">IF($AJ217=1,IF($H217=0,K217,AS216),AS216)</f>
        <v>0</v>
      </c>
      <c r="AT217" s="7" t="n">
        <f aca="false">IF($AJ217=1,IF($H217=1,N217,AT216),AT216)</f>
        <v>0</v>
      </c>
    </row>
    <row r="218" customFormat="false" ht="13" hidden="false" customHeight="false" outlineLevel="0" collapsed="false">
      <c r="A218" s="16" t="n">
        <v>201</v>
      </c>
      <c r="B218" s="37" t="n">
        <f aca="true">IF(RAND()&lt;$D$8,1,0)</f>
        <v>0</v>
      </c>
      <c r="C218" s="20" t="n">
        <f aca="true">-LN(RAND())/$D$2</f>
        <v>1.65398991685425</v>
      </c>
      <c r="D218" s="38" t="n">
        <f aca="false">D217+C218</f>
        <v>227.36243848346</v>
      </c>
      <c r="E218" s="39" t="n">
        <f aca="false">MAX($E$3,AS217)</f>
        <v>0</v>
      </c>
      <c r="F218" s="39" t="n">
        <f aca="false">MAX($E$3,AT217)</f>
        <v>0</v>
      </c>
      <c r="G218" s="40" t="n">
        <v>0.5</v>
      </c>
      <c r="H218" s="38" t="n">
        <f aca="true">IF((B218=1),(IF((F218&lt;E218),1,(IF((F218=E218),(IF(RAND()&lt;G218,1,0)),0)))),(IF((RAND()&lt;G218),1,0)))</f>
        <v>1</v>
      </c>
      <c r="I218" s="38" t="n">
        <f aca="true">IF((H218=1),0,$D$3+$D$5*(RAND()-0.5))</f>
        <v>0</v>
      </c>
      <c r="J218" s="38" t="n">
        <f aca="false">I218+MAX(D218,J217)</f>
        <v>238.30084366638</v>
      </c>
      <c r="K218" s="38" t="n">
        <f aca="false">IF((H218=0),J218-D218,0)</f>
        <v>0</v>
      </c>
      <c r="L218" s="38" t="n">
        <f aca="true">IF(($H218=0),0,$D$4+$D$5*(RAND()-0.5))</f>
        <v>2.18787023653625</v>
      </c>
      <c r="M218" s="38" t="n">
        <f aca="false">L218+MAX(D218,M217)</f>
        <v>241.198710056688</v>
      </c>
      <c r="N218" s="38" t="n">
        <f aca="false">IF((H218=1),M218-D218,0)</f>
        <v>13.8362715732284</v>
      </c>
      <c r="O218" s="16" t="n">
        <v>201</v>
      </c>
      <c r="P218" s="41" t="n">
        <f aca="false">IF((Arterial=0),P217+1,P217)</f>
        <v>93</v>
      </c>
      <c r="Q218" s="41" t="n">
        <f aca="false">IF((Arterial=1),Q217+1,Q217)</f>
        <v>108</v>
      </c>
      <c r="R218" s="42" t="n">
        <f aca="false">IF((RESET=1),0,R218+K218)</f>
        <v>531.062652453252</v>
      </c>
      <c r="S218" s="14" t="e">
        <f aca="false">IF(RESET=1,0,S218+N218)</f>
        <v>#N/A</v>
      </c>
      <c r="T218" s="2" t="n">
        <f aca="false">IF(RESET=1,0,T218+IF(H218=0,1,0))</f>
        <v>38</v>
      </c>
      <c r="U218" s="2" t="e">
        <f aca="false">IF(RESET=1,0,U218+H218)</f>
        <v>#N/A</v>
      </c>
      <c r="V218" s="14" t="n">
        <f aca="false">R218/(T218+0.00001)</f>
        <v>13.9753292815779</v>
      </c>
      <c r="W218" s="14" t="e">
        <f aca="false">S218/(U218+0.0001)</f>
        <v>#N/A</v>
      </c>
      <c r="X218" s="39" t="n">
        <f aca="false">IF(Informed=1,K218,0)</f>
        <v>0</v>
      </c>
      <c r="Y218" s="39" t="n">
        <f aca="false">IF(Informed=0,K218,0)</f>
        <v>0</v>
      </c>
      <c r="Z218" s="39" t="n">
        <f aca="false">IF(Informed=1,N218,0)</f>
        <v>0</v>
      </c>
      <c r="AA218" s="39" t="n">
        <f aca="false">IF(Informed=0,N218,0)</f>
        <v>13.8362715732284</v>
      </c>
      <c r="AB218" s="43" t="n">
        <f aca="false">IF(Arterial=0,IF(Informed=1,1,0),0)</f>
        <v>0</v>
      </c>
      <c r="AC218" s="43" t="n">
        <f aca="false">IF(Arterial=0,IF(Informed=0,1,0),0)</f>
        <v>0</v>
      </c>
      <c r="AD218" s="43" t="n">
        <f aca="false">IF(Arterial=1,IF(Informed=1,1,0),0)</f>
        <v>0</v>
      </c>
      <c r="AE218" s="43" t="n">
        <f aca="false">IF(Arterial=1,IF(Informed=0,1,0),0)</f>
        <v>1</v>
      </c>
      <c r="AF218" s="35" t="n">
        <f aca="false">IF(AB218=1,(X218-G$1030)^2,0)</f>
        <v>0</v>
      </c>
      <c r="AG218" s="35" t="n">
        <f aca="false">IF(AC218=1,(Y218-H$1030)^2,0)</f>
        <v>0</v>
      </c>
      <c r="AH218" s="35" t="n">
        <f aca="false">IF(AD218=1,(Z218-I$1030)^2,0)</f>
        <v>0</v>
      </c>
      <c r="AI218" s="35" t="n">
        <f aca="false">IF(AE218=1,(AA218-J$1030)^2,0)</f>
        <v>247.370091484759</v>
      </c>
      <c r="AJ218" s="37" t="n">
        <f aca="true">IF(RAND()&lt;$D$6,1,0)</f>
        <v>0</v>
      </c>
      <c r="AK218" s="14" t="n">
        <f aca="false">AK217+IF((AJ218=1),IF((H218=0),1,0),0)</f>
        <v>0</v>
      </c>
      <c r="AL218" s="14" t="n">
        <f aca="false">AL217+IF((AJ218=1),IF((H218=1),1,0),0)</f>
        <v>0</v>
      </c>
      <c r="AM218" s="37" t="n">
        <f aca="false">IF(AK218=0,9999,IF($H218=0,IF($AJ218&lt;1,AM217+1,0),AM217))</f>
        <v>9999</v>
      </c>
      <c r="AN218" s="37" t="n">
        <f aca="false">IF(AL218=0,9999,IF($H218=1,IF($AJ218&lt;1,AN217+1,0),AN217))</f>
        <v>9999</v>
      </c>
      <c r="AO218" s="37" t="n">
        <f aca="false">IF($A218-AM218&gt;0,1/(1+AM218),0)</f>
        <v>0</v>
      </c>
      <c r="AP218" s="37" t="n">
        <f aca="false">IF($A218-AN218&gt;0,1/(1+AN218),0)</f>
        <v>0</v>
      </c>
      <c r="AQ218" s="7" t="n">
        <f aca="false">IF(AK218=0,0,MAX(MIN(1,AO218^Power),0))</f>
        <v>0</v>
      </c>
      <c r="AR218" s="7" t="n">
        <f aca="false">IF(AL218=0,0,MAX(MIN(1,AP218^Power),0))</f>
        <v>0</v>
      </c>
      <c r="AS218" s="7" t="n">
        <f aca="false">IF($AJ218=1,IF($H218=0,K218,AS217),AS217)</f>
        <v>0</v>
      </c>
      <c r="AT218" s="7" t="n">
        <f aca="false">IF($AJ218=1,IF($H218=1,N218,AT217),AT217)</f>
        <v>0</v>
      </c>
    </row>
    <row r="219" customFormat="false" ht="13" hidden="false" customHeight="false" outlineLevel="0" collapsed="false">
      <c r="A219" s="16" t="n">
        <v>202</v>
      </c>
      <c r="B219" s="37" t="n">
        <f aca="true">IF(RAND()&lt;$D$8,1,0)</f>
        <v>0</v>
      </c>
      <c r="C219" s="20" t="n">
        <f aca="true">-LN(RAND())/$D$2</f>
        <v>0.479384566985641</v>
      </c>
      <c r="D219" s="38" t="n">
        <f aca="false">D218+C219</f>
        <v>227.841823050446</v>
      </c>
      <c r="E219" s="39" t="n">
        <f aca="false">MAX($E$3,AS218)</f>
        <v>0</v>
      </c>
      <c r="F219" s="39" t="n">
        <f aca="false">MAX($E$3,AT218)</f>
        <v>0</v>
      </c>
      <c r="G219" s="40" t="n">
        <v>0.5</v>
      </c>
      <c r="H219" s="38" t="n">
        <f aca="true">IF((B219=1),(IF((F219&lt;E219),1,(IF((F219=E219),(IF(RAND()&lt;G219,1,0)),0)))),(IF((RAND()&lt;G219),1,0)))</f>
        <v>1</v>
      </c>
      <c r="I219" s="38" t="n">
        <f aca="true">IF((H219=1),0,$D$3+$D$5*(RAND()-0.5))</f>
        <v>0</v>
      </c>
      <c r="J219" s="38" t="n">
        <f aca="false">I219+MAX(D219,J218)</f>
        <v>238.30084366638</v>
      </c>
      <c r="K219" s="38" t="n">
        <f aca="false">IF((H219=0),J219-D219,0)</f>
        <v>0</v>
      </c>
      <c r="L219" s="38" t="n">
        <f aca="true">IF(($H219=0),0,$D$4+$D$5*(RAND()-0.5))</f>
        <v>2.06826471326082</v>
      </c>
      <c r="M219" s="38" t="n">
        <f aca="false">L219+MAX(D219,M218)</f>
        <v>243.266974769949</v>
      </c>
      <c r="N219" s="38" t="n">
        <f aca="false">IF((H219=1),M219-D219,0)</f>
        <v>15.4251517195036</v>
      </c>
      <c r="O219" s="16" t="n">
        <v>202</v>
      </c>
      <c r="P219" s="41" t="n">
        <f aca="false">IF((Arterial=0),P218+1,P218)</f>
        <v>93</v>
      </c>
      <c r="Q219" s="41" t="n">
        <f aca="false">IF((Arterial=1),Q218+1,Q218)</f>
        <v>109</v>
      </c>
      <c r="R219" s="42" t="n">
        <f aca="false">IF((RESET=1),0,R219+K219)</f>
        <v>420.893096237538</v>
      </c>
      <c r="S219" s="14" t="e">
        <f aca="false">IF(RESET=1,0,S219+N219)</f>
        <v>#N/A</v>
      </c>
      <c r="T219" s="2" t="n">
        <f aca="false">IF(RESET=1,0,T219+IF(H219=0,1,0))</f>
        <v>36</v>
      </c>
      <c r="U219" s="2" t="e">
        <f aca="false">IF(RESET=1,0,U219+H219)</f>
        <v>#N/A</v>
      </c>
      <c r="V219" s="14" t="n">
        <f aca="false">R219/(T219+0.00001)</f>
        <v>11.6914716478562</v>
      </c>
      <c r="W219" s="14" t="e">
        <f aca="false">S219/(U219+0.0001)</f>
        <v>#N/A</v>
      </c>
      <c r="X219" s="39" t="n">
        <f aca="false">IF(Informed=1,K219,0)</f>
        <v>0</v>
      </c>
      <c r="Y219" s="39" t="n">
        <f aca="false">IF(Informed=0,K219,0)</f>
        <v>0</v>
      </c>
      <c r="Z219" s="39" t="n">
        <f aca="false">IF(Informed=1,N219,0)</f>
        <v>0</v>
      </c>
      <c r="AA219" s="39" t="n">
        <f aca="false">IF(Informed=0,N219,0)</f>
        <v>15.4251517195036</v>
      </c>
      <c r="AB219" s="43" t="n">
        <f aca="false">IF(Arterial=0,IF(Informed=1,1,0),0)</f>
        <v>0</v>
      </c>
      <c r="AC219" s="43" t="n">
        <f aca="false">IF(Arterial=0,IF(Informed=0,1,0),0)</f>
        <v>0</v>
      </c>
      <c r="AD219" s="43" t="n">
        <f aca="false">IF(Arterial=1,IF(Informed=1,1,0),0)</f>
        <v>0</v>
      </c>
      <c r="AE219" s="43" t="n">
        <f aca="false">IF(Arterial=1,IF(Informed=0,1,0),0)</f>
        <v>1</v>
      </c>
      <c r="AF219" s="35" t="n">
        <f aca="false">IF(AB219=1,(X219-G$1030)^2,0)</f>
        <v>0</v>
      </c>
      <c r="AG219" s="35" t="n">
        <f aca="false">IF(AC219=1,(Y219-H$1030)^2,0)</f>
        <v>0</v>
      </c>
      <c r="AH219" s="35" t="n">
        <f aca="false">IF(AD219=1,(Z219-I$1030)^2,0)</f>
        <v>0</v>
      </c>
      <c r="AI219" s="35" t="n">
        <f aca="false">IF(AE219=1,(AA219-J$1030)^2,0)</f>
        <v>199.914806864389</v>
      </c>
      <c r="AJ219" s="37" t="n">
        <f aca="true">IF(RAND()&lt;$D$6,1,0)</f>
        <v>0</v>
      </c>
      <c r="AK219" s="14" t="n">
        <f aca="false">AK218+IF((AJ219=1),IF((H219=0),1,0),0)</f>
        <v>0</v>
      </c>
      <c r="AL219" s="14" t="n">
        <f aca="false">AL218+IF((AJ219=1),IF((H219=1),1,0),0)</f>
        <v>0</v>
      </c>
      <c r="AM219" s="37" t="n">
        <f aca="false">IF(AK219=0,9999,IF($H219=0,IF($AJ219&lt;1,AM218+1,0),AM218))</f>
        <v>9999</v>
      </c>
      <c r="AN219" s="37" t="n">
        <f aca="false">IF(AL219=0,9999,IF($H219=1,IF($AJ219&lt;1,AN218+1,0),AN218))</f>
        <v>9999</v>
      </c>
      <c r="AO219" s="37" t="n">
        <f aca="false">IF($A219-AM219&gt;0,1/(1+AM219),0)</f>
        <v>0</v>
      </c>
      <c r="AP219" s="37" t="n">
        <f aca="false">IF($A219-AN219&gt;0,1/(1+AN219),0)</f>
        <v>0</v>
      </c>
      <c r="AQ219" s="7" t="n">
        <f aca="false">IF(AK219=0,0,MAX(MIN(1,AO219^Power),0))</f>
        <v>0</v>
      </c>
      <c r="AR219" s="7" t="n">
        <f aca="false">IF(AL219=0,0,MAX(MIN(1,AP219^Power),0))</f>
        <v>0</v>
      </c>
      <c r="AS219" s="7" t="n">
        <f aca="false">IF($AJ219=1,IF($H219=0,K219,AS218),AS218)</f>
        <v>0</v>
      </c>
      <c r="AT219" s="7" t="n">
        <f aca="false">IF($AJ219=1,IF($H219=1,N219,AT218),AT218)</f>
        <v>0</v>
      </c>
    </row>
    <row r="220" customFormat="false" ht="13" hidden="false" customHeight="false" outlineLevel="0" collapsed="false">
      <c r="A220" s="16" t="n">
        <v>203</v>
      </c>
      <c r="B220" s="37" t="n">
        <f aca="true">IF(RAND()&lt;$D$8,1,0)</f>
        <v>1</v>
      </c>
      <c r="C220" s="20" t="n">
        <f aca="true">-LN(RAND())/$D$2</f>
        <v>1.53847440607383</v>
      </c>
      <c r="D220" s="38" t="n">
        <f aca="false">D219+C220</f>
        <v>229.380297456519</v>
      </c>
      <c r="E220" s="39" t="n">
        <f aca="false">MAX($E$3,AS219)</f>
        <v>0</v>
      </c>
      <c r="F220" s="39" t="n">
        <f aca="false">MAX($E$3,AT219)</f>
        <v>0</v>
      </c>
      <c r="G220" s="40" t="n">
        <v>0.5</v>
      </c>
      <c r="H220" s="38" t="n">
        <f aca="true">IF((B220=1),(IF((F220&lt;E220),1,(IF((F220=E220),(IF(RAND()&lt;G220,1,0)),0)))),(IF((RAND()&lt;G220),1,0)))</f>
        <v>1</v>
      </c>
      <c r="I220" s="38" t="n">
        <f aca="true">IF((H220=1),0,$D$3+$D$5*(RAND()-0.5))</f>
        <v>0</v>
      </c>
      <c r="J220" s="38" t="n">
        <f aca="false">I220+MAX(D220,J219)</f>
        <v>238.30084366638</v>
      </c>
      <c r="K220" s="38" t="n">
        <f aca="false">IF((H220=0),J220-D220,0)</f>
        <v>0</v>
      </c>
      <c r="L220" s="38" t="n">
        <f aca="true">IF(($H220=0),0,$D$4+$D$5*(RAND()-0.5))</f>
        <v>1.83016208507267</v>
      </c>
      <c r="M220" s="38" t="n">
        <f aca="false">L220+MAX(D220,M219)</f>
        <v>245.097136855022</v>
      </c>
      <c r="N220" s="38" t="n">
        <f aca="false">IF((H220=1),M220-D220,0)</f>
        <v>15.7168393985025</v>
      </c>
      <c r="O220" s="16" t="n">
        <v>203</v>
      </c>
      <c r="P220" s="41" t="n">
        <f aca="false">IF((Arterial=0),P219+1,P219)</f>
        <v>93</v>
      </c>
      <c r="Q220" s="41" t="n">
        <f aca="false">IF((Arterial=1),Q219+1,Q219)</f>
        <v>110</v>
      </c>
      <c r="R220" s="42" t="n">
        <f aca="false">IF((RESET=1),0,R220+K220)</f>
        <v>501.66428363803</v>
      </c>
      <c r="S220" s="14" t="e">
        <f aca="false">IF(RESET=1,0,S220+N220)</f>
        <v>#N/A</v>
      </c>
      <c r="T220" s="2" t="n">
        <f aca="false">IF(RESET=1,0,T220+IF(H220=0,1,0))</f>
        <v>41</v>
      </c>
      <c r="U220" s="2" t="e">
        <f aca="false">IF(RESET=1,0,U220+H220)</f>
        <v>#N/A</v>
      </c>
      <c r="V220" s="14" t="n">
        <f aca="false">R220/(T220+0.00001)</f>
        <v>12.2357112507541</v>
      </c>
      <c r="W220" s="14" t="e">
        <f aca="false">S220/(U220+0.0001)</f>
        <v>#N/A</v>
      </c>
      <c r="X220" s="39" t="n">
        <f aca="false">IF(Informed=1,K220,0)</f>
        <v>0</v>
      </c>
      <c r="Y220" s="39" t="n">
        <f aca="false">IF(Informed=0,K220,0)</f>
        <v>0</v>
      </c>
      <c r="Z220" s="39" t="n">
        <f aca="false">IF(Informed=1,N220,0)</f>
        <v>15.7168393985025</v>
      </c>
      <c r="AA220" s="39" t="n">
        <f aca="false">IF(Informed=0,N220,0)</f>
        <v>0</v>
      </c>
      <c r="AB220" s="43" t="n">
        <f aca="false">IF(Arterial=0,IF(Informed=1,1,0),0)</f>
        <v>0</v>
      </c>
      <c r="AC220" s="43" t="n">
        <f aca="false">IF(Arterial=0,IF(Informed=0,1,0),0)</f>
        <v>0</v>
      </c>
      <c r="AD220" s="43" t="n">
        <f aca="false">IF(Arterial=1,IF(Informed=1,1,0),0)</f>
        <v>1</v>
      </c>
      <c r="AE220" s="43" t="n">
        <f aca="false">IF(Arterial=1,IF(Informed=0,1,0),0)</f>
        <v>0</v>
      </c>
      <c r="AF220" s="35" t="n">
        <f aca="false">IF(AB220=1,(X220-G$1030)^2,0)</f>
        <v>0</v>
      </c>
      <c r="AG220" s="35" t="n">
        <f aca="false">IF(AC220=1,(Y220-H$1030)^2,0)</f>
        <v>0</v>
      </c>
      <c r="AH220" s="35" t="n">
        <f aca="false">IF(AD220=1,(Z220-I$1030)^2,0)</f>
        <v>160.224847413096</v>
      </c>
      <c r="AI220" s="35" t="n">
        <f aca="false">IF(AE220=1,(AA220-J$1030)^2,0)</f>
        <v>0</v>
      </c>
      <c r="AJ220" s="37" t="n">
        <f aca="true">IF(RAND()&lt;$D$6,1,0)</f>
        <v>0</v>
      </c>
      <c r="AK220" s="14" t="n">
        <f aca="false">AK219+IF((AJ220=1),IF((H220=0),1,0),0)</f>
        <v>0</v>
      </c>
      <c r="AL220" s="14" t="n">
        <f aca="false">AL219+IF((AJ220=1),IF((H220=1),1,0),0)</f>
        <v>0</v>
      </c>
      <c r="AM220" s="37" t="n">
        <f aca="false">IF(AK220=0,9999,IF($H220=0,IF($AJ220&lt;1,AM219+1,0),AM219))</f>
        <v>9999</v>
      </c>
      <c r="AN220" s="37" t="n">
        <f aca="false">IF(AL220=0,9999,IF($H220=1,IF($AJ220&lt;1,AN219+1,0),AN219))</f>
        <v>9999</v>
      </c>
      <c r="AO220" s="37" t="n">
        <f aca="false">IF($A220-AM220&gt;0,1/(1+AM220),0)</f>
        <v>0</v>
      </c>
      <c r="AP220" s="37" t="n">
        <f aca="false">IF($A220-AN220&gt;0,1/(1+AN220),0)</f>
        <v>0</v>
      </c>
      <c r="AQ220" s="7" t="n">
        <f aca="false">IF(AK220=0,0,MAX(MIN(1,AO220^Power),0))</f>
        <v>0</v>
      </c>
      <c r="AR220" s="7" t="n">
        <f aca="false">IF(AL220=0,0,MAX(MIN(1,AP220^Power),0))</f>
        <v>0</v>
      </c>
      <c r="AS220" s="7" t="n">
        <f aca="false">IF($AJ220=1,IF($H220=0,K220,AS219),AS219)</f>
        <v>0</v>
      </c>
      <c r="AT220" s="7" t="n">
        <f aca="false">IF($AJ220=1,IF($H220=1,N220,AT219),AT219)</f>
        <v>0</v>
      </c>
    </row>
    <row r="221" customFormat="false" ht="13" hidden="false" customHeight="false" outlineLevel="0" collapsed="false">
      <c r="A221" s="16" t="n">
        <v>204</v>
      </c>
      <c r="B221" s="37" t="n">
        <f aca="true">IF(RAND()&lt;$D$8,1,0)</f>
        <v>1</v>
      </c>
      <c r="C221" s="20" t="n">
        <f aca="true">-LN(RAND())/$D$2</f>
        <v>0.791107128805811</v>
      </c>
      <c r="D221" s="38" t="n">
        <f aca="false">D220+C221</f>
        <v>230.171404585325</v>
      </c>
      <c r="E221" s="39" t="n">
        <f aca="false">MAX($E$3,AS220)</f>
        <v>0</v>
      </c>
      <c r="F221" s="39" t="n">
        <f aca="false">MAX($E$3,AT220)</f>
        <v>0</v>
      </c>
      <c r="G221" s="40" t="n">
        <v>0.5</v>
      </c>
      <c r="H221" s="38" t="n">
        <f aca="true">IF((B221=1),(IF((F221&lt;E221),1,(IF((F221=E221),(IF(RAND()&lt;G221,1,0)),0)))),(IF((RAND()&lt;G221),1,0)))</f>
        <v>1</v>
      </c>
      <c r="I221" s="38" t="n">
        <f aca="true">IF((H221=1),0,$D$3+$D$5*(RAND()-0.5))</f>
        <v>0</v>
      </c>
      <c r="J221" s="38" t="n">
        <f aca="false">I221+MAX(D221,J220)</f>
        <v>238.30084366638</v>
      </c>
      <c r="K221" s="38" t="n">
        <f aca="false">IF((H221=0),J221-D221,0)</f>
        <v>0</v>
      </c>
      <c r="L221" s="38" t="n">
        <f aca="true">IF(($H221=0),0,$D$4+$D$5*(RAND()-0.5))</f>
        <v>2.08437435699474</v>
      </c>
      <c r="M221" s="38" t="n">
        <f aca="false">L221+MAX(D221,M220)</f>
        <v>247.181511212017</v>
      </c>
      <c r="N221" s="38" t="n">
        <f aca="false">IF((H221=1),M221-D221,0)</f>
        <v>17.0101066266914</v>
      </c>
      <c r="O221" s="16" t="n">
        <v>204</v>
      </c>
      <c r="P221" s="41" t="n">
        <f aca="false">IF((Arterial=0),P220+1,P220)</f>
        <v>93</v>
      </c>
      <c r="Q221" s="41" t="n">
        <f aca="false">IF((Arterial=1),Q220+1,Q220)</f>
        <v>111</v>
      </c>
      <c r="R221" s="42" t="n">
        <f aca="false">IF((RESET=1),0,R221+K221)</f>
        <v>605.130515232054</v>
      </c>
      <c r="S221" s="14" t="e">
        <f aca="false">IF(RESET=1,0,S221+N221)</f>
        <v>#N/A</v>
      </c>
      <c r="T221" s="2" t="n">
        <f aca="false">IF(RESET=1,0,T221+IF(H221=0,1,0))</f>
        <v>43</v>
      </c>
      <c r="U221" s="2" t="e">
        <f aca="false">IF(RESET=1,0,U221+H221)</f>
        <v>#N/A</v>
      </c>
      <c r="V221" s="14" t="n">
        <f aca="false">R221/(T221+0.00001)</f>
        <v>14.0727994070712</v>
      </c>
      <c r="W221" s="14" t="e">
        <f aca="false">S221/(U221+0.0001)</f>
        <v>#N/A</v>
      </c>
      <c r="X221" s="39" t="n">
        <f aca="false">IF(Informed=1,K221,0)</f>
        <v>0</v>
      </c>
      <c r="Y221" s="39" t="n">
        <f aca="false">IF(Informed=0,K221,0)</f>
        <v>0</v>
      </c>
      <c r="Z221" s="39" t="n">
        <f aca="false">IF(Informed=1,N221,0)</f>
        <v>17.0101066266914</v>
      </c>
      <c r="AA221" s="39" t="n">
        <f aca="false">IF(Informed=0,N221,0)</f>
        <v>0</v>
      </c>
      <c r="AB221" s="43" t="n">
        <f aca="false">IF(Arterial=0,IF(Informed=1,1,0),0)</f>
        <v>0</v>
      </c>
      <c r="AC221" s="43" t="n">
        <f aca="false">IF(Arterial=0,IF(Informed=0,1,0),0)</f>
        <v>0</v>
      </c>
      <c r="AD221" s="43" t="n">
        <f aca="false">IF(Arterial=1,IF(Informed=1,1,0),0)</f>
        <v>1</v>
      </c>
      <c r="AE221" s="43" t="n">
        <f aca="false">IF(Arterial=1,IF(Informed=0,1,0),0)</f>
        <v>0</v>
      </c>
      <c r="AF221" s="35" t="n">
        <f aca="false">IF(AB221=1,(X221-G$1030)^2,0)</f>
        <v>0</v>
      </c>
      <c r="AG221" s="35" t="n">
        <f aca="false">IF(AC221=1,(Y221-H$1030)^2,0)</f>
        <v>0</v>
      </c>
      <c r="AH221" s="35" t="n">
        <f aca="false">IF(AD221=1,(Z221-I$1030)^2,0)</f>
        <v>129.157046299453</v>
      </c>
      <c r="AI221" s="35" t="n">
        <f aca="false">IF(AE221=1,(AA221-J$1030)^2,0)</f>
        <v>0</v>
      </c>
      <c r="AJ221" s="37" t="n">
        <f aca="true">IF(RAND()&lt;$D$6,1,0)</f>
        <v>0</v>
      </c>
      <c r="AK221" s="14" t="n">
        <f aca="false">AK220+IF((AJ221=1),IF((H221=0),1,0),0)</f>
        <v>0</v>
      </c>
      <c r="AL221" s="14" t="n">
        <f aca="false">AL220+IF((AJ221=1),IF((H221=1),1,0),0)</f>
        <v>0</v>
      </c>
      <c r="AM221" s="37" t="n">
        <f aca="false">IF(AK221=0,9999,IF($H221=0,IF($AJ221&lt;1,AM220+1,0),AM220))</f>
        <v>9999</v>
      </c>
      <c r="AN221" s="37" t="n">
        <f aca="false">IF(AL221=0,9999,IF($H221=1,IF($AJ221&lt;1,AN220+1,0),AN220))</f>
        <v>9999</v>
      </c>
      <c r="AO221" s="37" t="n">
        <f aca="false">IF($A221-AM221&gt;0,1/(1+AM221),0)</f>
        <v>0</v>
      </c>
      <c r="AP221" s="37" t="n">
        <f aca="false">IF($A221-AN221&gt;0,1/(1+AN221),0)</f>
        <v>0</v>
      </c>
      <c r="AQ221" s="7" t="n">
        <f aca="false">IF(AK221=0,0,MAX(MIN(1,AO221^Power),0))</f>
        <v>0</v>
      </c>
      <c r="AR221" s="7" t="n">
        <f aca="false">IF(AL221=0,0,MAX(MIN(1,AP221^Power),0))</f>
        <v>0</v>
      </c>
      <c r="AS221" s="7" t="n">
        <f aca="false">IF($AJ221=1,IF($H221=0,K221,AS220),AS220)</f>
        <v>0</v>
      </c>
      <c r="AT221" s="7" t="n">
        <f aca="false">IF($AJ221=1,IF($H221=1,N221,AT220),AT220)</f>
        <v>0</v>
      </c>
    </row>
    <row r="222" customFormat="false" ht="13" hidden="false" customHeight="false" outlineLevel="0" collapsed="false">
      <c r="A222" s="16" t="n">
        <v>205</v>
      </c>
      <c r="B222" s="37" t="n">
        <f aca="true">IF(RAND()&lt;$D$8,1,0)</f>
        <v>1</v>
      </c>
      <c r="C222" s="20" t="n">
        <f aca="true">-LN(RAND())/$D$2</f>
        <v>1.5850575326001</v>
      </c>
      <c r="D222" s="38" t="n">
        <f aca="false">D221+C222</f>
        <v>231.756462117925</v>
      </c>
      <c r="E222" s="39" t="n">
        <f aca="false">MAX($E$3,AS221)</f>
        <v>0</v>
      </c>
      <c r="F222" s="39" t="n">
        <f aca="false">MAX($E$3,AT221)</f>
        <v>0</v>
      </c>
      <c r="G222" s="40" t="n">
        <v>0.5</v>
      </c>
      <c r="H222" s="38" t="n">
        <f aca="true">IF((B222=1),(IF((F222&lt;E222),1,(IF((F222=E222),(IF(RAND()&lt;G222,1,0)),0)))),(IF((RAND()&lt;G222),1,0)))</f>
        <v>1</v>
      </c>
      <c r="I222" s="38" t="n">
        <f aca="true">IF((H222=1),0,$D$3+$D$5*(RAND()-0.5))</f>
        <v>0</v>
      </c>
      <c r="J222" s="38" t="n">
        <f aca="false">I222+MAX(D222,J221)</f>
        <v>238.30084366638</v>
      </c>
      <c r="K222" s="38" t="n">
        <f aca="false">IF((H222=0),J222-D222,0)</f>
        <v>0</v>
      </c>
      <c r="L222" s="38" t="n">
        <f aca="true">IF(($H222=0),0,$D$4+$D$5*(RAND()-0.5))</f>
        <v>1.79481731475155</v>
      </c>
      <c r="M222" s="38" t="n">
        <f aca="false">L222+MAX(D222,M221)</f>
        <v>248.976328526768</v>
      </c>
      <c r="N222" s="38" t="n">
        <f aca="false">IF((H222=1),M222-D222,0)</f>
        <v>17.2198664088428</v>
      </c>
      <c r="O222" s="16" t="n">
        <v>205</v>
      </c>
      <c r="P222" s="41" t="n">
        <f aca="false">IF((Arterial=0),P221+1,P221)</f>
        <v>93</v>
      </c>
      <c r="Q222" s="41" t="n">
        <f aca="false">IF((Arterial=1),Q221+1,Q221)</f>
        <v>112</v>
      </c>
      <c r="R222" s="42" t="n">
        <f aca="false">IF((RESET=1),0,R222+K222)</f>
        <v>392.490420548792</v>
      </c>
      <c r="S222" s="14" t="e">
        <f aca="false">IF(RESET=1,0,S222+N222)</f>
        <v>#N/A</v>
      </c>
      <c r="T222" s="2" t="n">
        <f aca="false">IF(RESET=1,0,T222+IF(H222=0,1,0))</f>
        <v>29</v>
      </c>
      <c r="U222" s="2" t="e">
        <f aca="false">IF(RESET=1,0,U222+H222)</f>
        <v>#N/A</v>
      </c>
      <c r="V222" s="14" t="n">
        <f aca="false">R222/(T222+0.00001)</f>
        <v>13.5341477657695</v>
      </c>
      <c r="W222" s="14" t="e">
        <f aca="false">S222/(U222+0.0001)</f>
        <v>#N/A</v>
      </c>
      <c r="X222" s="39" t="n">
        <f aca="false">IF(Informed=1,K222,0)</f>
        <v>0</v>
      </c>
      <c r="Y222" s="39" t="n">
        <f aca="false">IF(Informed=0,K222,0)</f>
        <v>0</v>
      </c>
      <c r="Z222" s="39" t="n">
        <f aca="false">IF(Informed=1,N222,0)</f>
        <v>17.2198664088428</v>
      </c>
      <c r="AA222" s="39" t="n">
        <f aca="false">IF(Informed=0,N222,0)</f>
        <v>0</v>
      </c>
      <c r="AB222" s="43" t="n">
        <f aca="false">IF(Arterial=0,IF(Informed=1,1,0),0)</f>
        <v>0</v>
      </c>
      <c r="AC222" s="43" t="n">
        <f aca="false">IF(Arterial=0,IF(Informed=0,1,0),0)</f>
        <v>0</v>
      </c>
      <c r="AD222" s="43" t="n">
        <f aca="false">IF(Arterial=1,IF(Informed=1,1,0),0)</f>
        <v>1</v>
      </c>
      <c r="AE222" s="43" t="n">
        <f aca="false">IF(Arterial=1,IF(Informed=0,1,0),0)</f>
        <v>0</v>
      </c>
      <c r="AF222" s="35" t="n">
        <f aca="false">IF(AB222=1,(X222-G$1030)^2,0)</f>
        <v>0</v>
      </c>
      <c r="AG222" s="35" t="n">
        <f aca="false">IF(AC222=1,(Y222-H$1030)^2,0)</f>
        <v>0</v>
      </c>
      <c r="AH222" s="35" t="n">
        <f aca="false">IF(AD222=1,(Z222-I$1030)^2,0)</f>
        <v>124.433319656812</v>
      </c>
      <c r="AI222" s="35" t="n">
        <f aca="false">IF(AE222=1,(AA222-J$1030)^2,0)</f>
        <v>0</v>
      </c>
      <c r="AJ222" s="37" t="n">
        <f aca="true">IF(RAND()&lt;$D$6,1,0)</f>
        <v>0</v>
      </c>
      <c r="AK222" s="14" t="n">
        <f aca="false">AK221+IF((AJ222=1),IF((H222=0),1,0),0)</f>
        <v>0</v>
      </c>
      <c r="AL222" s="14" t="n">
        <f aca="false">AL221+IF((AJ222=1),IF((H222=1),1,0),0)</f>
        <v>0</v>
      </c>
      <c r="AM222" s="37" t="n">
        <f aca="false">IF(AK222=0,9999,IF($H222=0,IF($AJ222&lt;1,AM221+1,0),AM221))</f>
        <v>9999</v>
      </c>
      <c r="AN222" s="37" t="n">
        <f aca="false">IF(AL222=0,9999,IF($H222=1,IF($AJ222&lt;1,AN221+1,0),AN221))</f>
        <v>9999</v>
      </c>
      <c r="AO222" s="37" t="n">
        <f aca="false">IF($A222-AM222&gt;0,1/(1+AM222),0)</f>
        <v>0</v>
      </c>
      <c r="AP222" s="37" t="n">
        <f aca="false">IF($A222-AN222&gt;0,1/(1+AN222),0)</f>
        <v>0</v>
      </c>
      <c r="AQ222" s="7" t="n">
        <f aca="false">IF(AK222=0,0,MAX(MIN(1,AO222^Power),0))</f>
        <v>0</v>
      </c>
      <c r="AR222" s="7" t="n">
        <f aca="false">IF(AL222=0,0,MAX(MIN(1,AP222^Power),0))</f>
        <v>0</v>
      </c>
      <c r="AS222" s="7" t="n">
        <f aca="false">IF($AJ222=1,IF($H222=0,K222,AS221),AS221)</f>
        <v>0</v>
      </c>
      <c r="AT222" s="7" t="n">
        <f aca="false">IF($AJ222=1,IF($H222=1,N222,AT221),AT221)</f>
        <v>0</v>
      </c>
    </row>
    <row r="223" customFormat="false" ht="13" hidden="false" customHeight="false" outlineLevel="0" collapsed="false">
      <c r="A223" s="16" t="n">
        <v>206</v>
      </c>
      <c r="B223" s="37" t="n">
        <f aca="true">IF(RAND()&lt;$D$8,1,0)</f>
        <v>1</v>
      </c>
      <c r="C223" s="20" t="n">
        <f aca="true">-LN(RAND())/$D$2</f>
        <v>1.50860187131274</v>
      </c>
      <c r="D223" s="38" t="n">
        <f aca="false">D222+C223</f>
        <v>233.265063989238</v>
      </c>
      <c r="E223" s="39" t="n">
        <f aca="false">MAX($E$3,AS222)</f>
        <v>0</v>
      </c>
      <c r="F223" s="39" t="n">
        <f aca="false">MAX($E$3,AT222)</f>
        <v>0</v>
      </c>
      <c r="G223" s="40" t="n">
        <v>0.5</v>
      </c>
      <c r="H223" s="38" t="n">
        <f aca="true">IF((B223=1),(IF((F223&lt;E223),1,(IF((F223=E223),(IF(RAND()&lt;G223,1,0)),0)))),(IF((RAND()&lt;G223),1,0)))</f>
        <v>0</v>
      </c>
      <c r="I223" s="38" t="n">
        <f aca="true">IF((H223=1),0,$D$3+$D$5*(RAND()-0.5))</f>
        <v>1.93214590992545</v>
      </c>
      <c r="J223" s="38" t="n">
        <f aca="false">I223+MAX(D223,J222)</f>
        <v>240.232989576305</v>
      </c>
      <c r="K223" s="38" t="n">
        <f aca="false">IF((H223=0),J223-D223,0)</f>
        <v>6.96792558706699</v>
      </c>
      <c r="L223" s="38" t="n">
        <f aca="true">IF(($H223=0),0,$D$4+$D$5*(RAND()-0.5))</f>
        <v>0</v>
      </c>
      <c r="M223" s="38" t="n">
        <f aca="false">L223+MAX(D223,M222)</f>
        <v>248.976328526768</v>
      </c>
      <c r="N223" s="38" t="n">
        <f aca="false">IF((H223=1),M223-D223,0)</f>
        <v>0</v>
      </c>
      <c r="O223" s="16" t="n">
        <v>206</v>
      </c>
      <c r="P223" s="41" t="n">
        <f aca="false">IF((Arterial=0),P222+1,P222)</f>
        <v>94</v>
      </c>
      <c r="Q223" s="41" t="n">
        <f aca="false">IF((Arterial=1),Q222+1,Q222)</f>
        <v>112</v>
      </c>
      <c r="R223" s="42" t="e">
        <f aca="false">IF((RESET=1),0,R223+K223)</f>
        <v>#N/A</v>
      </c>
      <c r="S223" s="14" t="n">
        <f aca="false">IF(RESET=1,0,S223+N223)</f>
        <v>561.56030404633</v>
      </c>
      <c r="T223" s="2" t="e">
        <f aca="false">IF(RESET=1,0,T223+IF(H223=0,1,0))</f>
        <v>#N/A</v>
      </c>
      <c r="U223" s="2" t="n">
        <f aca="false">IF(RESET=1,0,U223+H223)</f>
        <v>46</v>
      </c>
      <c r="V223" s="14" t="e">
        <f aca="false">R223/(T223+0.00001)</f>
        <v>#N/A</v>
      </c>
      <c r="W223" s="14" t="n">
        <f aca="false">S223/(U223+0.0001)</f>
        <v>12.2078061579503</v>
      </c>
      <c r="X223" s="39" t="n">
        <f aca="false">IF(Informed=1,K223,0)</f>
        <v>6.96792558706699</v>
      </c>
      <c r="Y223" s="39" t="n">
        <f aca="false">IF(Informed=0,K223,0)</f>
        <v>0</v>
      </c>
      <c r="Z223" s="39" t="n">
        <f aca="false">IF(Informed=1,N223,0)</f>
        <v>0</v>
      </c>
      <c r="AA223" s="39" t="n">
        <f aca="false">IF(Informed=0,N223,0)</f>
        <v>0</v>
      </c>
      <c r="AB223" s="43" t="n">
        <f aca="false">IF(Arterial=0,IF(Informed=1,1,0),0)</f>
        <v>1</v>
      </c>
      <c r="AC223" s="43" t="n">
        <f aca="false">IF(Arterial=0,IF(Informed=0,1,0),0)</f>
        <v>0</v>
      </c>
      <c r="AD223" s="43" t="n">
        <f aca="false">IF(Arterial=1,IF(Informed=1,1,0),0)</f>
        <v>0</v>
      </c>
      <c r="AE223" s="43" t="n">
        <f aca="false">IF(Arterial=1,IF(Informed=0,1,0),0)</f>
        <v>0</v>
      </c>
      <c r="AF223" s="35" t="n">
        <f aca="false">IF(AB223=1,(X223-G$1030)^2,0)</f>
        <v>14.0007129290387</v>
      </c>
      <c r="AG223" s="35" t="n">
        <f aca="false">IF(AC223=1,(Y223-H$1030)^2,0)</f>
        <v>0</v>
      </c>
      <c r="AH223" s="35" t="n">
        <f aca="false">IF(AD223=1,(Z223-I$1030)^2,0)</f>
        <v>0</v>
      </c>
      <c r="AI223" s="35" t="n">
        <f aca="false">IF(AE223=1,(AA223-J$1030)^2,0)</f>
        <v>0</v>
      </c>
      <c r="AJ223" s="37" t="n">
        <f aca="true">IF(RAND()&lt;$D$6,1,0)</f>
        <v>0</v>
      </c>
      <c r="AK223" s="14" t="n">
        <f aca="false">AK222+IF((AJ223=1),IF((H223=0),1,0),0)</f>
        <v>0</v>
      </c>
      <c r="AL223" s="14" t="n">
        <f aca="false">AL222+IF((AJ223=1),IF((H223=1),1,0),0)</f>
        <v>0</v>
      </c>
      <c r="AM223" s="37" t="n">
        <f aca="false">IF(AK223=0,9999,IF($H223=0,IF($AJ223&lt;1,AM222+1,0),AM222))</f>
        <v>9999</v>
      </c>
      <c r="AN223" s="37" t="n">
        <f aca="false">IF(AL223=0,9999,IF($H223=1,IF($AJ223&lt;1,AN222+1,0),AN222))</f>
        <v>9999</v>
      </c>
      <c r="AO223" s="37" t="n">
        <f aca="false">IF($A223-AM223&gt;0,1/(1+AM223),0)</f>
        <v>0</v>
      </c>
      <c r="AP223" s="37" t="n">
        <f aca="false">IF($A223-AN223&gt;0,1/(1+AN223),0)</f>
        <v>0</v>
      </c>
      <c r="AQ223" s="7" t="n">
        <f aca="false">IF(AK223=0,0,MAX(MIN(1,AO223^Power),0))</f>
        <v>0</v>
      </c>
      <c r="AR223" s="7" t="n">
        <f aca="false">IF(AL223=0,0,MAX(MIN(1,AP223^Power),0))</f>
        <v>0</v>
      </c>
      <c r="AS223" s="7" t="n">
        <f aca="false">IF($AJ223=1,IF($H223=0,K223,AS222),AS222)</f>
        <v>0</v>
      </c>
      <c r="AT223" s="7" t="n">
        <f aca="false">IF($AJ223=1,IF($H223=1,N223,AT222),AT222)</f>
        <v>0</v>
      </c>
    </row>
    <row r="224" customFormat="false" ht="13" hidden="false" customHeight="false" outlineLevel="0" collapsed="false">
      <c r="A224" s="16" t="n">
        <v>207</v>
      </c>
      <c r="B224" s="37" t="n">
        <f aca="true">IF(RAND()&lt;$D$8,1,0)</f>
        <v>1</v>
      </c>
      <c r="C224" s="20" t="n">
        <f aca="true">-LN(RAND())/$D$2</f>
        <v>0.0750293390684876</v>
      </c>
      <c r="D224" s="38" t="n">
        <f aca="false">D223+C224</f>
        <v>233.340093328307</v>
      </c>
      <c r="E224" s="39" t="n">
        <f aca="false">MAX($E$3,AS223)</f>
        <v>0</v>
      </c>
      <c r="F224" s="39" t="n">
        <f aca="false">MAX($E$3,AT223)</f>
        <v>0</v>
      </c>
      <c r="G224" s="40" t="n">
        <v>0.5</v>
      </c>
      <c r="H224" s="38" t="n">
        <f aca="true">IF((B224=1),(IF((F224&lt;E224),1,(IF((F224=E224),(IF(RAND()&lt;G224,1,0)),0)))),(IF((RAND()&lt;G224),1,0)))</f>
        <v>1</v>
      </c>
      <c r="I224" s="38" t="n">
        <f aca="true">IF((H224=1),0,$D$3+$D$5*(RAND()-0.5))</f>
        <v>0</v>
      </c>
      <c r="J224" s="38" t="n">
        <f aca="false">I224+MAX(D224,J223)</f>
        <v>240.232989576305</v>
      </c>
      <c r="K224" s="38" t="n">
        <f aca="false">IF((H224=0),J224-D224,0)</f>
        <v>0</v>
      </c>
      <c r="L224" s="38" t="n">
        <f aca="true">IF(($H224=0),0,$D$4+$D$5*(RAND()-0.5))</f>
        <v>2.12798692828811</v>
      </c>
      <c r="M224" s="38" t="n">
        <f aca="false">L224+MAX(D224,M223)</f>
        <v>251.104315455056</v>
      </c>
      <c r="N224" s="38" t="n">
        <f aca="false">IF((H224=1),M224-D224,0)</f>
        <v>17.7642221267497</v>
      </c>
      <c r="O224" s="16" t="n">
        <v>207</v>
      </c>
      <c r="P224" s="41" t="n">
        <f aca="false">IF((Arterial=0),P223+1,P223)</f>
        <v>94</v>
      </c>
      <c r="Q224" s="41" t="n">
        <f aca="false">IF((Arterial=1),Q223+1,Q223)</f>
        <v>113</v>
      </c>
      <c r="R224" s="42" t="n">
        <f aca="false">IF((RESET=1),0,R224+K224)</f>
        <v>424.743686395711</v>
      </c>
      <c r="S224" s="14" t="e">
        <f aca="false">IF(RESET=1,0,S224+N224)</f>
        <v>#N/A</v>
      </c>
      <c r="T224" s="2" t="n">
        <f aca="false">IF(RESET=1,0,T224+IF(H224=0,1,0))</f>
        <v>34</v>
      </c>
      <c r="U224" s="2" t="e">
        <f aca="false">IF(RESET=1,0,U224+H224)</f>
        <v>#N/A</v>
      </c>
      <c r="V224" s="14" t="n">
        <f aca="false">R224/(T224+0.00001)</f>
        <v>12.4924576903275</v>
      </c>
      <c r="W224" s="14" t="e">
        <f aca="false">S224/(U224+0.0001)</f>
        <v>#N/A</v>
      </c>
      <c r="X224" s="39" t="n">
        <f aca="false">IF(Informed=1,K224,0)</f>
        <v>0</v>
      </c>
      <c r="Y224" s="39" t="n">
        <f aca="false">IF(Informed=0,K224,0)</f>
        <v>0</v>
      </c>
      <c r="Z224" s="39" t="n">
        <f aca="false">IF(Informed=1,N224,0)</f>
        <v>17.7642221267497</v>
      </c>
      <c r="AA224" s="39" t="n">
        <f aca="false">IF(Informed=0,N224,0)</f>
        <v>0</v>
      </c>
      <c r="AB224" s="43" t="n">
        <f aca="false">IF(Arterial=0,IF(Informed=1,1,0),0)</f>
        <v>0</v>
      </c>
      <c r="AC224" s="43" t="n">
        <f aca="false">IF(Arterial=0,IF(Informed=0,1,0),0)</f>
        <v>0</v>
      </c>
      <c r="AD224" s="43" t="n">
        <f aca="false">IF(Arterial=1,IF(Informed=1,1,0),0)</f>
        <v>1</v>
      </c>
      <c r="AE224" s="43" t="n">
        <f aca="false">IF(Arterial=1,IF(Informed=0,1,0),0)</f>
        <v>0</v>
      </c>
      <c r="AF224" s="35" t="n">
        <f aca="false">IF(AB224=1,(X224-G$1030)^2,0)</f>
        <v>0</v>
      </c>
      <c r="AG224" s="35" t="n">
        <f aca="false">IF(AC224=1,(Y224-H$1030)^2,0)</f>
        <v>0</v>
      </c>
      <c r="AH224" s="35" t="n">
        <f aca="false">IF(AD224=1,(Z224-I$1030)^2,0)</f>
        <v>112.5851011582</v>
      </c>
      <c r="AI224" s="35" t="n">
        <f aca="false">IF(AE224=1,(AA224-J$1030)^2,0)</f>
        <v>0</v>
      </c>
      <c r="AJ224" s="37" t="n">
        <f aca="true">IF(RAND()&lt;$D$6,1,0)</f>
        <v>0</v>
      </c>
      <c r="AK224" s="14" t="n">
        <f aca="false">AK223+IF((AJ224=1),IF((H224=0),1,0),0)</f>
        <v>0</v>
      </c>
      <c r="AL224" s="14" t="n">
        <f aca="false">AL223+IF((AJ224=1),IF((H224=1),1,0),0)</f>
        <v>0</v>
      </c>
      <c r="AM224" s="37" t="n">
        <f aca="false">IF(AK224=0,9999,IF($H224=0,IF($AJ224&lt;1,AM223+1,0),AM223))</f>
        <v>9999</v>
      </c>
      <c r="AN224" s="37" t="n">
        <f aca="false">IF(AL224=0,9999,IF($H224=1,IF($AJ224&lt;1,AN223+1,0),AN223))</f>
        <v>9999</v>
      </c>
      <c r="AO224" s="37" t="n">
        <f aca="false">IF($A224-AM224&gt;0,1/(1+AM224),0)</f>
        <v>0</v>
      </c>
      <c r="AP224" s="37" t="n">
        <f aca="false">IF($A224-AN224&gt;0,1/(1+AN224),0)</f>
        <v>0</v>
      </c>
      <c r="AQ224" s="7" t="n">
        <f aca="false">IF(AK224=0,0,MAX(MIN(1,AO224^Power),0))</f>
        <v>0</v>
      </c>
      <c r="AR224" s="7" t="n">
        <f aca="false">IF(AL224=0,0,MAX(MIN(1,AP224^Power),0))</f>
        <v>0</v>
      </c>
      <c r="AS224" s="7" t="n">
        <f aca="false">IF($AJ224=1,IF($H224=0,K224,AS223),AS223)</f>
        <v>0</v>
      </c>
      <c r="AT224" s="7" t="n">
        <f aca="false">IF($AJ224=1,IF($H224=1,N224,AT223),AT223)</f>
        <v>0</v>
      </c>
    </row>
    <row r="225" customFormat="false" ht="13" hidden="false" customHeight="false" outlineLevel="0" collapsed="false">
      <c r="A225" s="16" t="n">
        <v>208</v>
      </c>
      <c r="B225" s="37" t="n">
        <f aca="true">IF(RAND()&lt;$D$8,1,0)</f>
        <v>1</v>
      </c>
      <c r="C225" s="20" t="n">
        <f aca="true">-LN(RAND())/$D$2</f>
        <v>1.20081999520728</v>
      </c>
      <c r="D225" s="38" t="n">
        <f aca="false">D224+C225</f>
        <v>234.540913323514</v>
      </c>
      <c r="E225" s="39" t="n">
        <f aca="false">MAX($E$3,AS224)</f>
        <v>0</v>
      </c>
      <c r="F225" s="39" t="n">
        <f aca="false">MAX($E$3,AT224)</f>
        <v>0</v>
      </c>
      <c r="G225" s="40" t="n">
        <v>0.5</v>
      </c>
      <c r="H225" s="38" t="n">
        <f aca="true">IF((B225=1),(IF((F225&lt;E225),1,(IF((F225=E225),(IF(RAND()&lt;G225,1,0)),0)))),(IF((RAND()&lt;G225),1,0)))</f>
        <v>0</v>
      </c>
      <c r="I225" s="38" t="n">
        <f aca="true">IF((H225=1),0,$D$3+$D$5*(RAND()-0.5))</f>
        <v>2.22918338448451</v>
      </c>
      <c r="J225" s="38" t="n">
        <f aca="false">I225+MAX(D225,J224)</f>
        <v>242.46217296079</v>
      </c>
      <c r="K225" s="38" t="n">
        <f aca="false">IF((H225=0),J225-D225,0)</f>
        <v>7.92125963727574</v>
      </c>
      <c r="L225" s="38" t="n">
        <f aca="true">IF(($H225=0),0,$D$4+$D$5*(RAND()-0.5))</f>
        <v>0</v>
      </c>
      <c r="M225" s="38" t="n">
        <f aca="false">L225+MAX(D225,M224)</f>
        <v>251.104315455056</v>
      </c>
      <c r="N225" s="38" t="n">
        <f aca="false">IF((H225=1),M225-D225,0)</f>
        <v>0</v>
      </c>
      <c r="O225" s="16" t="n">
        <v>208</v>
      </c>
      <c r="P225" s="41" t="n">
        <f aca="false">IF((Arterial=0),P224+1,P224)</f>
        <v>95</v>
      </c>
      <c r="Q225" s="41" t="n">
        <f aca="false">IF((Arterial=1),Q224+1,Q224)</f>
        <v>113</v>
      </c>
      <c r="R225" s="42" t="e">
        <f aca="false">IF((RESET=1),0,R225+K225)</f>
        <v>#N/A</v>
      </c>
      <c r="S225" s="14" t="n">
        <f aca="false">IF(RESET=1,0,S225+N225)</f>
        <v>388.027872685966</v>
      </c>
      <c r="T225" s="2" t="e">
        <f aca="false">IF(RESET=1,0,T225+IF(H225=0,1,0))</f>
        <v>#N/A</v>
      </c>
      <c r="U225" s="2" t="n">
        <f aca="false">IF(RESET=1,0,U225+H225)</f>
        <v>31</v>
      </c>
      <c r="V225" s="14" t="e">
        <f aca="false">R225/(T225+0.00001)</f>
        <v>#N/A</v>
      </c>
      <c r="W225" s="14" t="n">
        <f aca="false">S225/(U225+0.0001)</f>
        <v>12.5169877737803</v>
      </c>
      <c r="X225" s="39" t="n">
        <f aca="false">IF(Informed=1,K225,0)</f>
        <v>7.92125963727574</v>
      </c>
      <c r="Y225" s="39" t="n">
        <f aca="false">IF(Informed=0,K225,0)</f>
        <v>0</v>
      </c>
      <c r="Z225" s="39" t="n">
        <f aca="false">IF(Informed=1,N225,0)</f>
        <v>0</v>
      </c>
      <c r="AA225" s="39" t="n">
        <f aca="false">IF(Informed=0,N225,0)</f>
        <v>0</v>
      </c>
      <c r="AB225" s="43" t="n">
        <f aca="false">IF(Arterial=0,IF(Informed=1,1,0),0)</f>
        <v>1</v>
      </c>
      <c r="AC225" s="43" t="n">
        <f aca="false">IF(Arterial=0,IF(Informed=0,1,0),0)</f>
        <v>0</v>
      </c>
      <c r="AD225" s="43" t="n">
        <f aca="false">IF(Arterial=1,IF(Informed=1,1,0),0)</f>
        <v>0</v>
      </c>
      <c r="AE225" s="43" t="n">
        <f aca="false">IF(Arterial=1,IF(Informed=0,1,0),0)</f>
        <v>0</v>
      </c>
      <c r="AF225" s="35" t="n">
        <f aca="false">IF(AB225=1,(X225-G$1030)^2,0)</f>
        <v>7.77527831393564</v>
      </c>
      <c r="AG225" s="35" t="n">
        <f aca="false">IF(AC225=1,(Y225-H$1030)^2,0)</f>
        <v>0</v>
      </c>
      <c r="AH225" s="35" t="n">
        <f aca="false">IF(AD225=1,(Z225-I$1030)^2,0)</f>
        <v>0</v>
      </c>
      <c r="AI225" s="35" t="n">
        <f aca="false">IF(AE225=1,(AA225-J$1030)^2,0)</f>
        <v>0</v>
      </c>
      <c r="AJ225" s="37" t="n">
        <f aca="true">IF(RAND()&lt;$D$6,1,0)</f>
        <v>0</v>
      </c>
      <c r="AK225" s="14" t="n">
        <f aca="false">AK224+IF((AJ225=1),IF((H225=0),1,0),0)</f>
        <v>0</v>
      </c>
      <c r="AL225" s="14" t="n">
        <f aca="false">AL224+IF((AJ225=1),IF((H225=1),1,0),0)</f>
        <v>0</v>
      </c>
      <c r="AM225" s="37" t="n">
        <f aca="false">IF(AK225=0,9999,IF($H225=0,IF($AJ225&lt;1,AM224+1,0),AM224))</f>
        <v>9999</v>
      </c>
      <c r="AN225" s="37" t="n">
        <f aca="false">IF(AL225=0,9999,IF($H225=1,IF($AJ225&lt;1,AN224+1,0),AN224))</f>
        <v>9999</v>
      </c>
      <c r="AO225" s="37" t="n">
        <f aca="false">IF($A225-AM225&gt;0,1/(1+AM225),0)</f>
        <v>0</v>
      </c>
      <c r="AP225" s="37" t="n">
        <f aca="false">IF($A225-AN225&gt;0,1/(1+AN225),0)</f>
        <v>0</v>
      </c>
      <c r="AQ225" s="7" t="n">
        <f aca="false">IF(AK225=0,0,MAX(MIN(1,AO225^Power),0))</f>
        <v>0</v>
      </c>
      <c r="AR225" s="7" t="n">
        <f aca="false">IF(AL225=0,0,MAX(MIN(1,AP225^Power),0))</f>
        <v>0</v>
      </c>
      <c r="AS225" s="7" t="n">
        <f aca="false">IF($AJ225=1,IF($H225=0,K225,AS224),AS224)</f>
        <v>0</v>
      </c>
      <c r="AT225" s="7" t="n">
        <f aca="false">IF($AJ225=1,IF($H225=1,N225,AT224),AT224)</f>
        <v>0</v>
      </c>
    </row>
    <row r="226" customFormat="false" ht="13" hidden="false" customHeight="false" outlineLevel="0" collapsed="false">
      <c r="A226" s="16" t="n">
        <v>209</v>
      </c>
      <c r="B226" s="37" t="n">
        <f aca="true">IF(RAND()&lt;$D$8,1,0)</f>
        <v>1</v>
      </c>
      <c r="C226" s="20" t="n">
        <f aca="true">-LN(RAND())/$D$2</f>
        <v>1.1498951333056</v>
      </c>
      <c r="D226" s="38" t="n">
        <f aca="false">D225+C226</f>
        <v>235.690808456819</v>
      </c>
      <c r="E226" s="39" t="n">
        <f aca="false">MAX($E$3,AS225)</f>
        <v>0</v>
      </c>
      <c r="F226" s="39" t="n">
        <f aca="false">MAX($E$3,AT225)</f>
        <v>0</v>
      </c>
      <c r="G226" s="40" t="n">
        <v>0.5</v>
      </c>
      <c r="H226" s="38" t="n">
        <f aca="true">IF((B226=1),(IF((F226&lt;E226),1,(IF((F226=E226),(IF(RAND()&lt;G226,1,0)),0)))),(IF((RAND()&lt;G226),1,0)))</f>
        <v>1</v>
      </c>
      <c r="I226" s="38" t="n">
        <f aca="true">IF((H226=1),0,$D$3+$D$5*(RAND()-0.5))</f>
        <v>0</v>
      </c>
      <c r="J226" s="38" t="n">
        <f aca="false">I226+MAX(D226,J225)</f>
        <v>242.46217296079</v>
      </c>
      <c r="K226" s="38" t="n">
        <f aca="false">IF((H226=0),J226-D226,0)</f>
        <v>0</v>
      </c>
      <c r="L226" s="38" t="n">
        <f aca="true">IF(($H226=0),0,$D$4+$D$5*(RAND()-0.5))</f>
        <v>2.11842104320397</v>
      </c>
      <c r="M226" s="38" t="n">
        <f aca="false">L226+MAX(D226,M225)</f>
        <v>253.22273649826</v>
      </c>
      <c r="N226" s="38" t="n">
        <f aca="false">IF((H226=1),M226-D226,0)</f>
        <v>17.5319280414408</v>
      </c>
      <c r="O226" s="16" t="n">
        <v>209</v>
      </c>
      <c r="P226" s="41" t="n">
        <f aca="false">IF((Arterial=0),P225+1,P225)</f>
        <v>95</v>
      </c>
      <c r="Q226" s="41" t="n">
        <f aca="false">IF((Arterial=1),Q225+1,Q225)</f>
        <v>114</v>
      </c>
      <c r="R226" s="42" t="n">
        <f aca="false">IF((RESET=1),0,R226+K226)</f>
        <v>525.033816038964</v>
      </c>
      <c r="S226" s="14" t="e">
        <f aca="false">IF(RESET=1,0,S226+N226)</f>
        <v>#N/A</v>
      </c>
      <c r="T226" s="2" t="n">
        <f aca="false">IF(RESET=1,0,T226+IF(H226=0,1,0))</f>
        <v>38</v>
      </c>
      <c r="U226" s="2" t="e">
        <f aca="false">IF(RESET=1,0,U226+H226)</f>
        <v>#N/A</v>
      </c>
      <c r="V226" s="14" t="n">
        <f aca="false">R226/(T226+0.00001)</f>
        <v>13.8166757334791</v>
      </c>
      <c r="W226" s="14" t="e">
        <f aca="false">S226/(U226+0.0001)</f>
        <v>#N/A</v>
      </c>
      <c r="X226" s="39" t="n">
        <f aca="false">IF(Informed=1,K226,0)</f>
        <v>0</v>
      </c>
      <c r="Y226" s="39" t="n">
        <f aca="false">IF(Informed=0,K226,0)</f>
        <v>0</v>
      </c>
      <c r="Z226" s="39" t="n">
        <f aca="false">IF(Informed=1,N226,0)</f>
        <v>17.5319280414408</v>
      </c>
      <c r="AA226" s="39" t="n">
        <f aca="false">IF(Informed=0,N226,0)</f>
        <v>0</v>
      </c>
      <c r="AB226" s="43" t="n">
        <f aca="false">IF(Arterial=0,IF(Informed=1,1,0),0)</f>
        <v>0</v>
      </c>
      <c r="AC226" s="43" t="n">
        <f aca="false">IF(Arterial=0,IF(Informed=0,1,0),0)</f>
        <v>0</v>
      </c>
      <c r="AD226" s="43" t="n">
        <f aca="false">IF(Arterial=1,IF(Informed=1,1,0),0)</f>
        <v>1</v>
      </c>
      <c r="AE226" s="43" t="n">
        <f aca="false">IF(Arterial=1,IF(Informed=0,1,0),0)</f>
        <v>0</v>
      </c>
      <c r="AF226" s="35" t="n">
        <f aca="false">IF(AB226=1,(X226-G$1030)^2,0)</f>
        <v>0</v>
      </c>
      <c r="AG226" s="35" t="n">
        <f aca="false">IF(AC226=1,(Y226-H$1030)^2,0)</f>
        <v>0</v>
      </c>
      <c r="AH226" s="35" t="n">
        <f aca="false">IF(AD226=1,(Z226-I$1030)^2,0)</f>
        <v>117.568626828127</v>
      </c>
      <c r="AI226" s="35" t="n">
        <f aca="false">IF(AE226=1,(AA226-J$1030)^2,0)</f>
        <v>0</v>
      </c>
      <c r="AJ226" s="37" t="n">
        <f aca="true">IF(RAND()&lt;$D$6,1,0)</f>
        <v>0</v>
      </c>
      <c r="AK226" s="14" t="n">
        <f aca="false">AK225+IF((AJ226=1),IF((H226=0),1,0),0)</f>
        <v>0</v>
      </c>
      <c r="AL226" s="14" t="n">
        <f aca="false">AL225+IF((AJ226=1),IF((H226=1),1,0),0)</f>
        <v>0</v>
      </c>
      <c r="AM226" s="37" t="n">
        <f aca="false">IF(AK226=0,9999,IF($H226=0,IF($AJ226&lt;1,AM225+1,0),AM225))</f>
        <v>9999</v>
      </c>
      <c r="AN226" s="37" t="n">
        <f aca="false">IF(AL226=0,9999,IF($H226=1,IF($AJ226&lt;1,AN225+1,0),AN225))</f>
        <v>9999</v>
      </c>
      <c r="AO226" s="37" t="n">
        <f aca="false">IF($A226-AM226&gt;0,1/(1+AM226),0)</f>
        <v>0</v>
      </c>
      <c r="AP226" s="37" t="n">
        <f aca="false">IF($A226-AN226&gt;0,1/(1+AN226),0)</f>
        <v>0</v>
      </c>
      <c r="AQ226" s="7" t="n">
        <f aca="false">IF(AK226=0,0,MAX(MIN(1,AO226^Power),0))</f>
        <v>0</v>
      </c>
      <c r="AR226" s="7" t="n">
        <f aca="false">IF(AL226=0,0,MAX(MIN(1,AP226^Power),0))</f>
        <v>0</v>
      </c>
      <c r="AS226" s="7" t="n">
        <f aca="false">IF($AJ226=1,IF($H226=0,K226,AS225),AS225)</f>
        <v>0</v>
      </c>
      <c r="AT226" s="7" t="n">
        <f aca="false">IF($AJ226=1,IF($H226=1,N226,AT225),AT225)</f>
        <v>0</v>
      </c>
    </row>
    <row r="227" customFormat="false" ht="13" hidden="false" customHeight="false" outlineLevel="0" collapsed="false">
      <c r="A227" s="16" t="n">
        <v>210</v>
      </c>
      <c r="B227" s="37" t="n">
        <f aca="true">IF(RAND()&lt;$D$8,1,0)</f>
        <v>1</v>
      </c>
      <c r="C227" s="20" t="n">
        <f aca="true">-LN(RAND())/$D$2</f>
        <v>0.803286559953945</v>
      </c>
      <c r="D227" s="38" t="n">
        <f aca="false">D226+C227</f>
        <v>236.494095016773</v>
      </c>
      <c r="E227" s="39" t="n">
        <f aca="false">MAX($E$3,AS226)</f>
        <v>0</v>
      </c>
      <c r="F227" s="39" t="n">
        <f aca="false">MAX($E$3,AT226)</f>
        <v>0</v>
      </c>
      <c r="G227" s="40" t="n">
        <v>0.5</v>
      </c>
      <c r="H227" s="38" t="n">
        <f aca="true">IF((B227=1),(IF((F227&lt;E227),1,(IF((F227=E227),(IF(RAND()&lt;G227,1,0)),0)))),(IF((RAND()&lt;G227),1,0)))</f>
        <v>1</v>
      </c>
      <c r="I227" s="38" t="n">
        <f aca="true">IF((H227=1),0,$D$3+$D$5*(RAND()-0.5))</f>
        <v>0</v>
      </c>
      <c r="J227" s="38" t="n">
        <f aca="false">I227+MAX(D227,J226)</f>
        <v>242.46217296079</v>
      </c>
      <c r="K227" s="38" t="n">
        <f aca="false">IF((H227=0),J227-D227,0)</f>
        <v>0</v>
      </c>
      <c r="L227" s="38" t="n">
        <f aca="true">IF(($H227=0),0,$D$4+$D$5*(RAND()-0.5))</f>
        <v>1.89150830860716</v>
      </c>
      <c r="M227" s="38" t="n">
        <f aca="false">L227+MAX(D227,M226)</f>
        <v>255.114244806867</v>
      </c>
      <c r="N227" s="38" t="n">
        <f aca="false">IF((H227=1),M227-D227,0)</f>
        <v>18.620149790094</v>
      </c>
      <c r="O227" s="16" t="n">
        <v>210</v>
      </c>
      <c r="P227" s="41" t="n">
        <f aca="false">IF((Arterial=0),P226+1,P226)</f>
        <v>95</v>
      </c>
      <c r="Q227" s="41" t="n">
        <f aca="false">IF((Arterial=1),Q226+1,Q226)</f>
        <v>115</v>
      </c>
      <c r="R227" s="42" t="n">
        <f aca="false">IF((RESET=1),0,R227+K227)</f>
        <v>615.544033092589</v>
      </c>
      <c r="S227" s="14" t="e">
        <f aca="false">IF(RESET=1,0,S227+N227)</f>
        <v>#N/A</v>
      </c>
      <c r="T227" s="2" t="n">
        <f aca="false">IF(RESET=1,0,T227+IF(H227=0,1,0))</f>
        <v>45</v>
      </c>
      <c r="U227" s="2" t="e">
        <f aca="false">IF(RESET=1,0,U227+H227)</f>
        <v>#N/A</v>
      </c>
      <c r="V227" s="14" t="n">
        <f aca="false">R227/(T227+0.00001)</f>
        <v>13.6787532512235</v>
      </c>
      <c r="W227" s="14" t="e">
        <f aca="false">S227/(U227+0.0001)</f>
        <v>#N/A</v>
      </c>
      <c r="X227" s="39" t="n">
        <f aca="false">IF(Informed=1,K227,0)</f>
        <v>0</v>
      </c>
      <c r="Y227" s="39" t="n">
        <f aca="false">IF(Informed=0,K227,0)</f>
        <v>0</v>
      </c>
      <c r="Z227" s="39" t="n">
        <f aca="false">IF(Informed=1,N227,0)</f>
        <v>18.620149790094</v>
      </c>
      <c r="AA227" s="39" t="n">
        <f aca="false">IF(Informed=0,N227,0)</f>
        <v>0</v>
      </c>
      <c r="AB227" s="43" t="n">
        <f aca="false">IF(Arterial=0,IF(Informed=1,1,0),0)</f>
        <v>0</v>
      </c>
      <c r="AC227" s="43" t="n">
        <f aca="false">IF(Arterial=0,IF(Informed=0,1,0),0)</f>
        <v>0</v>
      </c>
      <c r="AD227" s="43" t="n">
        <f aca="false">IF(Arterial=1,IF(Informed=1,1,0),0)</f>
        <v>1</v>
      </c>
      <c r="AE227" s="43" t="n">
        <f aca="false">IF(Arterial=1,IF(Informed=0,1,0),0)</f>
        <v>0</v>
      </c>
      <c r="AF227" s="35" t="n">
        <f aca="false">IF(AB227=1,(X227-G$1030)^2,0)</f>
        <v>0</v>
      </c>
      <c r="AG227" s="35" t="n">
        <f aca="false">IF(AC227=1,(Y227-H$1030)^2,0)</f>
        <v>0</v>
      </c>
      <c r="AH227" s="35" t="n">
        <f aca="false">IF(AD227=1,(Z227-I$1030)^2,0)</f>
        <v>95.1538795105232</v>
      </c>
      <c r="AI227" s="35" t="n">
        <f aca="false">IF(AE227=1,(AA227-J$1030)^2,0)</f>
        <v>0</v>
      </c>
      <c r="AJ227" s="37" t="n">
        <f aca="true">IF(RAND()&lt;$D$6,1,0)</f>
        <v>0</v>
      </c>
      <c r="AK227" s="14" t="n">
        <f aca="false">AK226+IF((AJ227=1),IF((H227=0),1,0),0)</f>
        <v>0</v>
      </c>
      <c r="AL227" s="14" t="n">
        <f aca="false">AL226+IF((AJ227=1),IF((H227=1),1,0),0)</f>
        <v>0</v>
      </c>
      <c r="AM227" s="37" t="n">
        <f aca="false">IF(AK227=0,9999,IF($H227=0,IF($AJ227&lt;1,AM226+1,0),AM226))</f>
        <v>9999</v>
      </c>
      <c r="AN227" s="37" t="n">
        <f aca="false">IF(AL227=0,9999,IF($H227=1,IF($AJ227&lt;1,AN226+1,0),AN226))</f>
        <v>9999</v>
      </c>
      <c r="AO227" s="37" t="n">
        <f aca="false">IF($A227-AM227&gt;0,1/(1+AM227),0)</f>
        <v>0</v>
      </c>
      <c r="AP227" s="37" t="n">
        <f aca="false">IF($A227-AN227&gt;0,1/(1+AN227),0)</f>
        <v>0</v>
      </c>
      <c r="AQ227" s="7" t="n">
        <f aca="false">IF(AK227=0,0,MAX(MIN(1,AO227^Power),0))</f>
        <v>0</v>
      </c>
      <c r="AR227" s="7" t="n">
        <f aca="false">IF(AL227=0,0,MAX(MIN(1,AP227^Power),0))</f>
        <v>0</v>
      </c>
      <c r="AS227" s="7" t="n">
        <f aca="false">IF($AJ227=1,IF($H227=0,K227,AS226),AS226)</f>
        <v>0</v>
      </c>
      <c r="AT227" s="7" t="n">
        <f aca="false">IF($AJ227=1,IF($H227=1,N227,AT226),AT226)</f>
        <v>0</v>
      </c>
    </row>
    <row r="228" customFormat="false" ht="13" hidden="false" customHeight="false" outlineLevel="0" collapsed="false">
      <c r="A228" s="16" t="n">
        <v>211</v>
      </c>
      <c r="B228" s="37" t="n">
        <f aca="true">IF(RAND()&lt;$D$8,1,0)</f>
        <v>1</v>
      </c>
      <c r="C228" s="20" t="n">
        <f aca="true">-LN(RAND())/$D$2</f>
        <v>0.746877474821899</v>
      </c>
      <c r="D228" s="38" t="n">
        <f aca="false">D227+C228</f>
        <v>237.240972491595</v>
      </c>
      <c r="E228" s="39" t="n">
        <f aca="false">MAX($E$3,AS227)</f>
        <v>0</v>
      </c>
      <c r="F228" s="39" t="n">
        <f aca="false">MAX($E$3,AT227)</f>
        <v>0</v>
      </c>
      <c r="G228" s="40" t="n">
        <v>0.5</v>
      </c>
      <c r="H228" s="38" t="n">
        <f aca="true">IF((B228=1),(IF((F228&lt;E228),1,(IF((F228=E228),(IF(RAND()&lt;G228,1,0)),0)))),(IF((RAND()&lt;G228),1,0)))</f>
        <v>1</v>
      </c>
      <c r="I228" s="38" t="n">
        <f aca="true">IF((H228=1),0,$D$3+$D$5*(RAND()-0.5))</f>
        <v>0</v>
      </c>
      <c r="J228" s="38" t="n">
        <f aca="false">I228+MAX(D228,J227)</f>
        <v>242.46217296079</v>
      </c>
      <c r="K228" s="38" t="n">
        <f aca="false">IF((H228=0),J228-D228,0)</f>
        <v>0</v>
      </c>
      <c r="L228" s="38" t="n">
        <f aca="true">IF(($H228=0),0,$D$4+$D$5*(RAND()-0.5))</f>
        <v>2.2472610839263</v>
      </c>
      <c r="M228" s="38" t="n">
        <f aca="false">L228+MAX(D228,M227)</f>
        <v>257.361505890794</v>
      </c>
      <c r="N228" s="38" t="n">
        <f aca="false">IF((H228=1),M228-D228,0)</f>
        <v>20.1205333991985</v>
      </c>
      <c r="O228" s="16" t="n">
        <v>211</v>
      </c>
      <c r="P228" s="41" t="n">
        <f aca="false">IF((Arterial=0),P227+1,P227)</f>
        <v>95</v>
      </c>
      <c r="Q228" s="41" t="n">
        <f aca="false">IF((Arterial=1),Q227+1,Q227)</f>
        <v>116</v>
      </c>
      <c r="R228" s="42" t="n">
        <f aca="false">IF((RESET=1),0,R228+K228)</f>
        <v>560.980765274692</v>
      </c>
      <c r="S228" s="14" t="e">
        <f aca="false">IF(RESET=1,0,S228+N228)</f>
        <v>#N/A</v>
      </c>
      <c r="T228" s="2" t="n">
        <f aca="false">IF(RESET=1,0,T228+IF(H228=0,1,0))</f>
        <v>46</v>
      </c>
      <c r="U228" s="2" t="e">
        <f aca="false">IF(RESET=1,0,U228+H228)</f>
        <v>#N/A</v>
      </c>
      <c r="V228" s="14" t="n">
        <f aca="false">R228/(T228+0.00001)</f>
        <v>12.1952313765734</v>
      </c>
      <c r="W228" s="14" t="e">
        <f aca="false">S228/(U228+0.0001)</f>
        <v>#N/A</v>
      </c>
      <c r="X228" s="39" t="n">
        <f aca="false">IF(Informed=1,K228,0)</f>
        <v>0</v>
      </c>
      <c r="Y228" s="39" t="n">
        <f aca="false">IF(Informed=0,K228,0)</f>
        <v>0</v>
      </c>
      <c r="Z228" s="39" t="n">
        <f aca="false">IF(Informed=1,N228,0)</f>
        <v>20.1205333991985</v>
      </c>
      <c r="AA228" s="39" t="n">
        <f aca="false">IF(Informed=0,N228,0)</f>
        <v>0</v>
      </c>
      <c r="AB228" s="43" t="n">
        <f aca="false">IF(Arterial=0,IF(Informed=1,1,0),0)</f>
        <v>0</v>
      </c>
      <c r="AC228" s="43" t="n">
        <f aca="false">IF(Arterial=0,IF(Informed=0,1,0),0)</f>
        <v>0</v>
      </c>
      <c r="AD228" s="43" t="n">
        <f aca="false">IF(Arterial=1,IF(Informed=1,1,0),0)</f>
        <v>1</v>
      </c>
      <c r="AE228" s="43" t="n">
        <f aca="false">IF(Arterial=1,IF(Informed=0,1,0),0)</f>
        <v>0</v>
      </c>
      <c r="AF228" s="35" t="n">
        <f aca="false">IF(AB228=1,(X228-G$1030)^2,0)</f>
        <v>0</v>
      </c>
      <c r="AG228" s="35" t="n">
        <f aca="false">IF(AC228=1,(Y228-H$1030)^2,0)</f>
        <v>0</v>
      </c>
      <c r="AH228" s="35" t="n">
        <f aca="false">IF(AD228=1,(Z228-I$1030)^2,0)</f>
        <v>68.1334915036108</v>
      </c>
      <c r="AI228" s="35" t="n">
        <f aca="false">IF(AE228=1,(AA228-J$1030)^2,0)</f>
        <v>0</v>
      </c>
      <c r="AJ228" s="37" t="n">
        <f aca="true">IF(RAND()&lt;$D$6,1,0)</f>
        <v>0</v>
      </c>
      <c r="AK228" s="14" t="n">
        <f aca="false">AK227+IF((AJ228=1),IF((H228=0),1,0),0)</f>
        <v>0</v>
      </c>
      <c r="AL228" s="14" t="n">
        <f aca="false">AL227+IF((AJ228=1),IF((H228=1),1,0),0)</f>
        <v>0</v>
      </c>
      <c r="AM228" s="37" t="n">
        <f aca="false">IF(AK228=0,9999,IF($H228=0,IF($AJ228&lt;1,AM227+1,0),AM227))</f>
        <v>9999</v>
      </c>
      <c r="AN228" s="37" t="n">
        <f aca="false">IF(AL228=0,9999,IF($H228=1,IF($AJ228&lt;1,AN227+1,0),AN227))</f>
        <v>9999</v>
      </c>
      <c r="AO228" s="37" t="n">
        <f aca="false">IF($A228-AM228&gt;0,1/(1+AM228),0)</f>
        <v>0</v>
      </c>
      <c r="AP228" s="37" t="n">
        <f aca="false">IF($A228-AN228&gt;0,1/(1+AN228),0)</f>
        <v>0</v>
      </c>
      <c r="AQ228" s="7" t="n">
        <f aca="false">IF(AK228=0,0,MAX(MIN(1,AO228^Power),0))</f>
        <v>0</v>
      </c>
      <c r="AR228" s="7" t="n">
        <f aca="false">IF(AL228=0,0,MAX(MIN(1,AP228^Power),0))</f>
        <v>0</v>
      </c>
      <c r="AS228" s="7" t="n">
        <f aca="false">IF($AJ228=1,IF($H228=0,K228,AS227),AS227)</f>
        <v>0</v>
      </c>
      <c r="AT228" s="7" t="n">
        <f aca="false">IF($AJ228=1,IF($H228=1,N228,AT227),AT227)</f>
        <v>0</v>
      </c>
    </row>
    <row r="229" customFormat="false" ht="13" hidden="false" customHeight="false" outlineLevel="0" collapsed="false">
      <c r="A229" s="16" t="n">
        <v>212</v>
      </c>
      <c r="B229" s="37" t="n">
        <f aca="true">IF(RAND()&lt;$D$8,1,0)</f>
        <v>0</v>
      </c>
      <c r="C229" s="20" t="n">
        <f aca="true">-LN(RAND())/$D$2</f>
        <v>0.113298479944373</v>
      </c>
      <c r="D229" s="38" t="n">
        <f aca="false">D228+C229</f>
        <v>237.35427097154</v>
      </c>
      <c r="E229" s="39" t="n">
        <f aca="false">MAX($E$3,AS228)</f>
        <v>0</v>
      </c>
      <c r="F229" s="39" t="n">
        <f aca="false">MAX($E$3,AT228)</f>
        <v>0</v>
      </c>
      <c r="G229" s="40" t="n">
        <v>0.5</v>
      </c>
      <c r="H229" s="38" t="n">
        <f aca="true">IF((B229=1),(IF((F229&lt;E229),1,(IF((F229=E229),(IF(RAND()&lt;G229,1,0)),0)))),(IF((RAND()&lt;G229),1,0)))</f>
        <v>0</v>
      </c>
      <c r="I229" s="38" t="n">
        <f aca="true">IF((H229=1),0,$D$3+$D$5*(RAND()-0.5))</f>
        <v>1.86702499906685</v>
      </c>
      <c r="J229" s="38" t="n">
        <f aca="false">I229+MAX(D229,J228)</f>
        <v>244.329197959856</v>
      </c>
      <c r="K229" s="38" t="n">
        <f aca="false">IF((H229=0),J229-D229,0)</f>
        <v>6.97492698831678</v>
      </c>
      <c r="L229" s="38" t="n">
        <f aca="true">IF(($H229=0),0,$D$4+$D$5*(RAND()-0.5))</f>
        <v>0</v>
      </c>
      <c r="M229" s="38" t="n">
        <f aca="false">L229+MAX(D229,M228)</f>
        <v>257.361505890794</v>
      </c>
      <c r="N229" s="38" t="n">
        <f aca="false">IF((H229=1),M229-D229,0)</f>
        <v>0</v>
      </c>
      <c r="O229" s="16" t="n">
        <v>212</v>
      </c>
      <c r="P229" s="41" t="n">
        <f aca="false">IF((Arterial=0),P228+1,P228)</f>
        <v>96</v>
      </c>
      <c r="Q229" s="41" t="n">
        <f aca="false">IF((Arterial=1),Q228+1,Q228)</f>
        <v>116</v>
      </c>
      <c r="R229" s="42" t="e">
        <f aca="false">IF((RESET=1),0,R229+K229)</f>
        <v>#N/A</v>
      </c>
      <c r="S229" s="14" t="n">
        <f aca="false">IF(RESET=1,0,S229+N229)</f>
        <v>444.655021797602</v>
      </c>
      <c r="T229" s="2" t="e">
        <f aca="false">IF(RESET=1,0,T229+IF(H229=0,1,0))</f>
        <v>#N/A</v>
      </c>
      <c r="U229" s="2" t="n">
        <f aca="false">IF(RESET=1,0,U229+H229)</f>
        <v>37</v>
      </c>
      <c r="V229" s="14" t="e">
        <f aca="false">R229/(T229+0.00001)</f>
        <v>#N/A</v>
      </c>
      <c r="W229" s="14" t="n">
        <f aca="false">S229/(U229+0.0001)</f>
        <v>12.0176708116357</v>
      </c>
      <c r="X229" s="39" t="n">
        <f aca="false">IF(Informed=1,K229,0)</f>
        <v>0</v>
      </c>
      <c r="Y229" s="39" t="n">
        <f aca="false">IF(Informed=0,K229,0)</f>
        <v>6.97492698831678</v>
      </c>
      <c r="Z229" s="39" t="n">
        <f aca="false">IF(Informed=1,N229,0)</f>
        <v>0</v>
      </c>
      <c r="AA229" s="39" t="n">
        <f aca="false">IF(Informed=0,N229,0)</f>
        <v>0</v>
      </c>
      <c r="AB229" s="43" t="n">
        <f aca="false">IF(Arterial=0,IF(Informed=1,1,0),0)</f>
        <v>0</v>
      </c>
      <c r="AC229" s="43" t="n">
        <f aca="false">IF(Arterial=0,IF(Informed=0,1,0),0)</f>
        <v>1</v>
      </c>
      <c r="AD229" s="43" t="n">
        <f aca="false">IF(Arterial=1,IF(Informed=1,1,0),0)</f>
        <v>0</v>
      </c>
      <c r="AE229" s="43" t="n">
        <f aca="false">IF(Arterial=1,IF(Informed=0,1,0),0)</f>
        <v>0</v>
      </c>
      <c r="AF229" s="35" t="n">
        <f aca="false">IF(AB229=1,(X229-G$1030)^2,0)</f>
        <v>0</v>
      </c>
      <c r="AG229" s="35" t="n">
        <f aca="false">IF(AC229=1,(Y229-H$1030)^2,0)</f>
        <v>15.5934815765492</v>
      </c>
      <c r="AH229" s="35" t="n">
        <f aca="false">IF(AD229=1,(Z229-I$1030)^2,0)</f>
        <v>0</v>
      </c>
      <c r="AI229" s="35" t="n">
        <f aca="false">IF(AE229=1,(AA229-J$1030)^2,0)</f>
        <v>0</v>
      </c>
      <c r="AJ229" s="37" t="n">
        <f aca="true">IF(RAND()&lt;$D$6,1,0)</f>
        <v>0</v>
      </c>
      <c r="AK229" s="14" t="n">
        <f aca="false">AK228+IF((AJ229=1),IF((H229=0),1,0),0)</f>
        <v>0</v>
      </c>
      <c r="AL229" s="14" t="n">
        <f aca="false">AL228+IF((AJ229=1),IF((H229=1),1,0),0)</f>
        <v>0</v>
      </c>
      <c r="AM229" s="37" t="n">
        <f aca="false">IF(AK229=0,9999,IF($H229=0,IF($AJ229&lt;1,AM228+1,0),AM228))</f>
        <v>9999</v>
      </c>
      <c r="AN229" s="37" t="n">
        <f aca="false">IF(AL229=0,9999,IF($H229=1,IF($AJ229&lt;1,AN228+1,0),AN228))</f>
        <v>9999</v>
      </c>
      <c r="AO229" s="37" t="n">
        <f aca="false">IF($A229-AM229&gt;0,1/(1+AM229),0)</f>
        <v>0</v>
      </c>
      <c r="AP229" s="37" t="n">
        <f aca="false">IF($A229-AN229&gt;0,1/(1+AN229),0)</f>
        <v>0</v>
      </c>
      <c r="AQ229" s="7" t="n">
        <f aca="false">IF(AK229=0,0,MAX(MIN(1,AO229^Power),0))</f>
        <v>0</v>
      </c>
      <c r="AR229" s="7" t="n">
        <f aca="false">IF(AL229=0,0,MAX(MIN(1,AP229^Power),0))</f>
        <v>0</v>
      </c>
      <c r="AS229" s="7" t="n">
        <f aca="false">IF($AJ229=1,IF($H229=0,K229,AS228),AS228)</f>
        <v>0</v>
      </c>
      <c r="AT229" s="7" t="n">
        <f aca="false">IF($AJ229=1,IF($H229=1,N229,AT228),AT228)</f>
        <v>0</v>
      </c>
    </row>
    <row r="230" customFormat="false" ht="13" hidden="false" customHeight="false" outlineLevel="0" collapsed="false">
      <c r="A230" s="16" t="n">
        <v>213</v>
      </c>
      <c r="B230" s="37" t="n">
        <f aca="true">IF(RAND()&lt;$D$8,1,0)</f>
        <v>1</v>
      </c>
      <c r="C230" s="20" t="n">
        <f aca="true">-LN(RAND())/$D$2</f>
        <v>0.98611995937434</v>
      </c>
      <c r="D230" s="38" t="n">
        <f aca="false">D229+C230</f>
        <v>238.340390930914</v>
      </c>
      <c r="E230" s="39" t="n">
        <f aca="false">MAX($E$3,AS229)</f>
        <v>0</v>
      </c>
      <c r="F230" s="39" t="n">
        <f aca="false">MAX($E$3,AT229)</f>
        <v>0</v>
      </c>
      <c r="G230" s="40" t="n">
        <v>0.5</v>
      </c>
      <c r="H230" s="38" t="n">
        <f aca="true">IF((B230=1),(IF((F230&lt;E230),1,(IF((F230=E230),(IF(RAND()&lt;G230,1,0)),0)))),(IF((RAND()&lt;G230),1,0)))</f>
        <v>0</v>
      </c>
      <c r="I230" s="38" t="n">
        <f aca="true">IF((H230=1),0,$D$3+$D$5*(RAND()-0.5))</f>
        <v>2.22835709250785</v>
      </c>
      <c r="J230" s="38" t="n">
        <f aca="false">I230+MAX(D230,J229)</f>
        <v>246.557555052364</v>
      </c>
      <c r="K230" s="38" t="n">
        <f aca="false">IF((H230=0),J230-D230,0)</f>
        <v>8.21716412145028</v>
      </c>
      <c r="L230" s="38" t="n">
        <f aca="true">IF(($H230=0),0,$D$4+$D$5*(RAND()-0.5))</f>
        <v>0</v>
      </c>
      <c r="M230" s="38" t="n">
        <f aca="false">L230+MAX(D230,M229)</f>
        <v>257.361505890794</v>
      </c>
      <c r="N230" s="38" t="n">
        <f aca="false">IF((H230=1),M230-D230,0)</f>
        <v>0</v>
      </c>
      <c r="O230" s="16" t="n">
        <v>213</v>
      </c>
      <c r="P230" s="41" t="n">
        <f aca="false">IF((Arterial=0),P229+1,P229)</f>
        <v>97</v>
      </c>
      <c r="Q230" s="41" t="n">
        <f aca="false">IF((Arterial=1),Q229+1,Q229)</f>
        <v>116</v>
      </c>
      <c r="R230" s="42" t="e">
        <f aca="false">IF((RESET=1),0,R230+K230)</f>
        <v>#N/A</v>
      </c>
      <c r="S230" s="14" t="n">
        <f aca="false">IF(RESET=1,0,S230+N230)</f>
        <v>554.449783666789</v>
      </c>
      <c r="T230" s="2" t="e">
        <f aca="false">IF(RESET=1,0,T230+IF(H230=0,1,0))</f>
        <v>#N/A</v>
      </c>
      <c r="U230" s="2" t="n">
        <f aca="false">IF(RESET=1,0,U230+H230)</f>
        <v>46</v>
      </c>
      <c r="V230" s="14" t="e">
        <f aca="false">R230/(T230+0.00001)</f>
        <v>#N/A</v>
      </c>
      <c r="W230" s="14" t="n">
        <f aca="false">S230/(U230+0.0001)</f>
        <v>12.0532299639955</v>
      </c>
      <c r="X230" s="39" t="n">
        <f aca="false">IF(Informed=1,K230,0)</f>
        <v>8.21716412145028</v>
      </c>
      <c r="Y230" s="39" t="n">
        <f aca="false">IF(Informed=0,K230,0)</f>
        <v>0</v>
      </c>
      <c r="Z230" s="39" t="n">
        <f aca="false">IF(Informed=1,N230,0)</f>
        <v>0</v>
      </c>
      <c r="AA230" s="39" t="n">
        <f aca="false">IF(Informed=0,N230,0)</f>
        <v>0</v>
      </c>
      <c r="AB230" s="43" t="n">
        <f aca="false">IF(Arterial=0,IF(Informed=1,1,0),0)</f>
        <v>1</v>
      </c>
      <c r="AC230" s="43" t="n">
        <f aca="false">IF(Arterial=0,IF(Informed=0,1,0),0)</f>
        <v>0</v>
      </c>
      <c r="AD230" s="43" t="n">
        <f aca="false">IF(Arterial=1,IF(Informed=1,1,0),0)</f>
        <v>0</v>
      </c>
      <c r="AE230" s="43" t="n">
        <f aca="false">IF(Arterial=1,IF(Informed=0,1,0),0)</f>
        <v>0</v>
      </c>
      <c r="AF230" s="35" t="n">
        <f aca="false">IF(AB230=1,(X230-G$1030)^2,0)</f>
        <v>6.21262664003422</v>
      </c>
      <c r="AG230" s="35" t="n">
        <f aca="false">IF(AC230=1,(Y230-H$1030)^2,0)</f>
        <v>0</v>
      </c>
      <c r="AH230" s="35" t="n">
        <f aca="false">IF(AD230=1,(Z230-I$1030)^2,0)</f>
        <v>0</v>
      </c>
      <c r="AI230" s="35" t="n">
        <f aca="false">IF(AE230=1,(AA230-J$1030)^2,0)</f>
        <v>0</v>
      </c>
      <c r="AJ230" s="37" t="n">
        <f aca="true">IF(RAND()&lt;$D$6,1,0)</f>
        <v>0</v>
      </c>
      <c r="AK230" s="14" t="n">
        <f aca="false">AK229+IF((AJ230=1),IF((H230=0),1,0),0)</f>
        <v>0</v>
      </c>
      <c r="AL230" s="14" t="n">
        <f aca="false">AL229+IF((AJ230=1),IF((H230=1),1,0),0)</f>
        <v>0</v>
      </c>
      <c r="AM230" s="37" t="n">
        <f aca="false">IF(AK230=0,9999,IF($H230=0,IF($AJ230&lt;1,AM229+1,0),AM229))</f>
        <v>9999</v>
      </c>
      <c r="AN230" s="37" t="n">
        <f aca="false">IF(AL230=0,9999,IF($H230=1,IF($AJ230&lt;1,AN229+1,0),AN229))</f>
        <v>9999</v>
      </c>
      <c r="AO230" s="37" t="n">
        <f aca="false">IF($A230-AM230&gt;0,1/(1+AM230),0)</f>
        <v>0</v>
      </c>
      <c r="AP230" s="37" t="n">
        <f aca="false">IF($A230-AN230&gt;0,1/(1+AN230),0)</f>
        <v>0</v>
      </c>
      <c r="AQ230" s="7" t="n">
        <f aca="false">IF(AK230=0,0,MAX(MIN(1,AO230^Power),0))</f>
        <v>0</v>
      </c>
      <c r="AR230" s="7" t="n">
        <f aca="false">IF(AL230=0,0,MAX(MIN(1,AP230^Power),0))</f>
        <v>0</v>
      </c>
      <c r="AS230" s="7" t="n">
        <f aca="false">IF($AJ230=1,IF($H230=0,K230,AS229),AS229)</f>
        <v>0</v>
      </c>
      <c r="AT230" s="7" t="n">
        <f aca="false">IF($AJ230=1,IF($H230=1,N230,AT229),AT229)</f>
        <v>0</v>
      </c>
    </row>
    <row r="231" customFormat="false" ht="13" hidden="false" customHeight="false" outlineLevel="0" collapsed="false">
      <c r="A231" s="16" t="n">
        <v>214</v>
      </c>
      <c r="B231" s="37" t="n">
        <f aca="true">IF(RAND()&lt;$D$8,1,0)</f>
        <v>1</v>
      </c>
      <c r="C231" s="20" t="n">
        <f aca="true">-LN(RAND())/$D$2</f>
        <v>0.834868281577688</v>
      </c>
      <c r="D231" s="38" t="n">
        <f aca="false">D230+C231</f>
        <v>239.175259212492</v>
      </c>
      <c r="E231" s="39" t="n">
        <f aca="false">MAX($E$3,AS230)</f>
        <v>0</v>
      </c>
      <c r="F231" s="39" t="n">
        <f aca="false">MAX($E$3,AT230)</f>
        <v>0</v>
      </c>
      <c r="G231" s="40" t="n">
        <v>0.5</v>
      </c>
      <c r="H231" s="38" t="n">
        <f aca="true">IF((B231=1),(IF((F231&lt;E231),1,(IF((F231=E231),(IF(RAND()&lt;G231,1,0)),0)))),(IF((RAND()&lt;G231),1,0)))</f>
        <v>0</v>
      </c>
      <c r="I231" s="38" t="n">
        <f aca="true">IF((H231=1),0,$D$3+$D$5*(RAND()-0.5))</f>
        <v>2.02329657297398</v>
      </c>
      <c r="J231" s="38" t="n">
        <f aca="false">I231+MAX(D231,J230)</f>
        <v>248.580851625338</v>
      </c>
      <c r="K231" s="38" t="n">
        <f aca="false">IF((H231=0),J231-D231,0)</f>
        <v>9.40559241284657</v>
      </c>
      <c r="L231" s="38" t="n">
        <f aca="true">IF(($H231=0),0,$D$4+$D$5*(RAND()-0.5))</f>
        <v>0</v>
      </c>
      <c r="M231" s="38" t="n">
        <f aca="false">L231+MAX(D231,M230)</f>
        <v>257.361505890794</v>
      </c>
      <c r="N231" s="38" t="n">
        <f aca="false">IF((H231=1),M231-D231,0)</f>
        <v>0</v>
      </c>
      <c r="O231" s="16" t="n">
        <v>214</v>
      </c>
      <c r="P231" s="41" t="n">
        <f aca="false">IF((Arterial=0),P230+1,P230)</f>
        <v>98</v>
      </c>
      <c r="Q231" s="41" t="n">
        <f aca="false">IF((Arterial=1),Q230+1,Q230)</f>
        <v>116</v>
      </c>
      <c r="R231" s="42" t="e">
        <f aca="false">IF((RESET=1),0,R231+K231)</f>
        <v>#N/A</v>
      </c>
      <c r="S231" s="14" t="n">
        <f aca="false">IF(RESET=1,0,S231+N231)</f>
        <v>560.50679903048</v>
      </c>
      <c r="T231" s="2" t="e">
        <f aca="false">IF(RESET=1,0,T231+IF(H231=0,1,0))</f>
        <v>#N/A</v>
      </c>
      <c r="U231" s="2" t="n">
        <f aca="false">IF(RESET=1,0,U231+H231)</f>
        <v>44</v>
      </c>
      <c r="V231" s="14" t="e">
        <f aca="false">R231/(T231+0.00001)</f>
        <v>#N/A</v>
      </c>
      <c r="W231" s="14" t="n">
        <f aca="false">S231/(U231+0.0001)</f>
        <v>12.7387619353247</v>
      </c>
      <c r="X231" s="39" t="n">
        <f aca="false">IF(Informed=1,K231,0)</f>
        <v>9.40559241284657</v>
      </c>
      <c r="Y231" s="39" t="n">
        <f aca="false">IF(Informed=0,K231,0)</f>
        <v>0</v>
      </c>
      <c r="Z231" s="39" t="n">
        <f aca="false">IF(Informed=1,N231,0)</f>
        <v>0</v>
      </c>
      <c r="AA231" s="39" t="n">
        <f aca="false">IF(Informed=0,N231,0)</f>
        <v>0</v>
      </c>
      <c r="AB231" s="43" t="n">
        <f aca="false">IF(Arterial=0,IF(Informed=1,1,0),0)</f>
        <v>1</v>
      </c>
      <c r="AC231" s="43" t="n">
        <f aca="false">IF(Arterial=0,IF(Informed=0,1,0),0)</f>
        <v>0</v>
      </c>
      <c r="AD231" s="43" t="n">
        <f aca="false">IF(Arterial=1,IF(Informed=1,1,0),0)</f>
        <v>0</v>
      </c>
      <c r="AE231" s="43" t="n">
        <f aca="false">IF(Arterial=1,IF(Informed=0,1,0),0)</f>
        <v>0</v>
      </c>
      <c r="AF231" s="35" t="n">
        <f aca="false">IF(AB231=1,(X231-G$1030)^2,0)</f>
        <v>1.70063984922037</v>
      </c>
      <c r="AG231" s="35" t="n">
        <f aca="false">IF(AC231=1,(Y231-H$1030)^2,0)</f>
        <v>0</v>
      </c>
      <c r="AH231" s="35" t="n">
        <f aca="false">IF(AD231=1,(Z231-I$1030)^2,0)</f>
        <v>0</v>
      </c>
      <c r="AI231" s="35" t="n">
        <f aca="false">IF(AE231=1,(AA231-J$1030)^2,0)</f>
        <v>0</v>
      </c>
      <c r="AJ231" s="37" t="n">
        <f aca="true">IF(RAND()&lt;$D$6,1,0)</f>
        <v>0</v>
      </c>
      <c r="AK231" s="14" t="n">
        <f aca="false">AK230+IF((AJ231=1),IF((H231=0),1,0),0)</f>
        <v>0</v>
      </c>
      <c r="AL231" s="14" t="n">
        <f aca="false">AL230+IF((AJ231=1),IF((H231=1),1,0),0)</f>
        <v>0</v>
      </c>
      <c r="AM231" s="37" t="n">
        <f aca="false">IF(AK231=0,9999,IF($H231=0,IF($AJ231&lt;1,AM230+1,0),AM230))</f>
        <v>9999</v>
      </c>
      <c r="AN231" s="37" t="n">
        <f aca="false">IF(AL231=0,9999,IF($H231=1,IF($AJ231&lt;1,AN230+1,0),AN230))</f>
        <v>9999</v>
      </c>
      <c r="AO231" s="37" t="n">
        <f aca="false">IF($A231-AM231&gt;0,1/(1+AM231),0)</f>
        <v>0</v>
      </c>
      <c r="AP231" s="37" t="n">
        <f aca="false">IF($A231-AN231&gt;0,1/(1+AN231),0)</f>
        <v>0</v>
      </c>
      <c r="AQ231" s="7" t="n">
        <f aca="false">IF(AK231=0,0,MAX(MIN(1,AO231^Power),0))</f>
        <v>0</v>
      </c>
      <c r="AR231" s="7" t="n">
        <f aca="false">IF(AL231=0,0,MAX(MIN(1,AP231^Power),0))</f>
        <v>0</v>
      </c>
      <c r="AS231" s="7" t="n">
        <f aca="false">IF($AJ231=1,IF($H231=0,K231,AS230),AS230)</f>
        <v>0</v>
      </c>
      <c r="AT231" s="7" t="n">
        <f aca="false">IF($AJ231=1,IF($H231=1,N231,AT230),AT230)</f>
        <v>0</v>
      </c>
    </row>
    <row r="232" customFormat="false" ht="13" hidden="false" customHeight="false" outlineLevel="0" collapsed="false">
      <c r="A232" s="16" t="n">
        <v>215</v>
      </c>
      <c r="B232" s="37" t="n">
        <f aca="true">IF(RAND()&lt;$D$8,1,0)</f>
        <v>1</v>
      </c>
      <c r="C232" s="20" t="n">
        <f aca="true">-LN(RAND())/$D$2</f>
        <v>1.02310430030731</v>
      </c>
      <c r="D232" s="38" t="n">
        <f aca="false">D231+C232</f>
        <v>240.198363512799</v>
      </c>
      <c r="E232" s="39" t="n">
        <f aca="false">MAX($E$3,AS231)</f>
        <v>0</v>
      </c>
      <c r="F232" s="39" t="n">
        <f aca="false">MAX($E$3,AT231)</f>
        <v>0</v>
      </c>
      <c r="G232" s="40" t="n">
        <v>0.5</v>
      </c>
      <c r="H232" s="38" t="n">
        <f aca="true">IF((B232=1),(IF((F232&lt;E232),1,(IF((F232=E232),(IF(RAND()&lt;G232,1,0)),0)))),(IF((RAND()&lt;G232),1,0)))</f>
        <v>1</v>
      </c>
      <c r="I232" s="38" t="n">
        <f aca="true">IF((H232=1),0,$D$3+$D$5*(RAND()-0.5))</f>
        <v>0</v>
      </c>
      <c r="J232" s="38" t="n">
        <f aca="false">I232+MAX(D232,J231)</f>
        <v>248.580851625338</v>
      </c>
      <c r="K232" s="38" t="n">
        <f aca="false">IF((H232=0),J232-D232,0)</f>
        <v>0</v>
      </c>
      <c r="L232" s="38" t="n">
        <f aca="true">IF(($H232=0),0,$D$4+$D$5*(RAND()-0.5))</f>
        <v>2.08536966851301</v>
      </c>
      <c r="M232" s="38" t="n">
        <f aca="false">L232+MAX(D232,M231)</f>
        <v>259.446875559307</v>
      </c>
      <c r="N232" s="38" t="n">
        <f aca="false">IF((H232=1),M232-D232,0)</f>
        <v>19.2485120465078</v>
      </c>
      <c r="O232" s="16" t="n">
        <v>215</v>
      </c>
      <c r="P232" s="41" t="n">
        <f aca="false">IF((Arterial=0),P231+1,P231)</f>
        <v>98</v>
      </c>
      <c r="Q232" s="41" t="n">
        <f aca="false">IF((Arterial=1),Q231+1,Q231)</f>
        <v>117</v>
      </c>
      <c r="R232" s="42" t="n">
        <f aca="false">IF((RESET=1),0,R232+K232)</f>
        <v>610.106236725049</v>
      </c>
      <c r="S232" s="14" t="e">
        <f aca="false">IF(RESET=1,0,S232+N232)</f>
        <v>#N/A</v>
      </c>
      <c r="T232" s="2" t="n">
        <f aca="false">IF(RESET=1,0,T232+IF(H232=0,1,0))</f>
        <v>45</v>
      </c>
      <c r="U232" s="2" t="e">
        <f aca="false">IF(RESET=1,0,U232+H232)</f>
        <v>#N/A</v>
      </c>
      <c r="V232" s="14" t="n">
        <f aca="false">R232/(T232+0.00001)</f>
        <v>13.5579133587981</v>
      </c>
      <c r="W232" s="14" t="e">
        <f aca="false">S232/(U232+0.0001)</f>
        <v>#N/A</v>
      </c>
      <c r="X232" s="39" t="n">
        <f aca="false">IF(Informed=1,K232,0)</f>
        <v>0</v>
      </c>
      <c r="Y232" s="39" t="n">
        <f aca="false">IF(Informed=0,K232,0)</f>
        <v>0</v>
      </c>
      <c r="Z232" s="39" t="n">
        <f aca="false">IF(Informed=1,N232,0)</f>
        <v>19.2485120465078</v>
      </c>
      <c r="AA232" s="39" t="n">
        <f aca="false">IF(Informed=0,N232,0)</f>
        <v>0</v>
      </c>
      <c r="AB232" s="43" t="n">
        <f aca="false">IF(Arterial=0,IF(Informed=1,1,0),0)</f>
        <v>0</v>
      </c>
      <c r="AC232" s="43" t="n">
        <f aca="false">IF(Arterial=0,IF(Informed=0,1,0),0)</f>
        <v>0</v>
      </c>
      <c r="AD232" s="43" t="n">
        <f aca="false">IF(Arterial=1,IF(Informed=1,1,0),0)</f>
        <v>1</v>
      </c>
      <c r="AE232" s="43" t="n">
        <f aca="false">IF(Arterial=1,IF(Informed=0,1,0),0)</f>
        <v>0</v>
      </c>
      <c r="AF232" s="35" t="n">
        <f aca="false">IF(AB232=1,(X232-G$1030)^2,0)</f>
        <v>0</v>
      </c>
      <c r="AG232" s="35" t="n">
        <f aca="false">IF(AC232=1,(Y232-H$1030)^2,0)</f>
        <v>0</v>
      </c>
      <c r="AH232" s="35" t="n">
        <f aca="false">IF(AD232=1,(Z232-I$1030)^2,0)</f>
        <v>83.28976687745</v>
      </c>
      <c r="AI232" s="35" t="n">
        <f aca="false">IF(AE232=1,(AA232-J$1030)^2,0)</f>
        <v>0</v>
      </c>
      <c r="AJ232" s="37" t="n">
        <f aca="true">IF(RAND()&lt;$D$6,1,0)</f>
        <v>0</v>
      </c>
      <c r="AK232" s="14" t="n">
        <f aca="false">AK231+IF((AJ232=1),IF((H232=0),1,0),0)</f>
        <v>0</v>
      </c>
      <c r="AL232" s="14" t="n">
        <f aca="false">AL231+IF((AJ232=1),IF((H232=1),1,0),0)</f>
        <v>0</v>
      </c>
      <c r="AM232" s="37" t="n">
        <f aca="false">IF(AK232=0,9999,IF($H232=0,IF($AJ232&lt;1,AM231+1,0),AM231))</f>
        <v>9999</v>
      </c>
      <c r="AN232" s="37" t="n">
        <f aca="false">IF(AL232=0,9999,IF($H232=1,IF($AJ232&lt;1,AN231+1,0),AN231))</f>
        <v>9999</v>
      </c>
      <c r="AO232" s="37" t="n">
        <f aca="false">IF($A232-AM232&gt;0,1/(1+AM232),0)</f>
        <v>0</v>
      </c>
      <c r="AP232" s="37" t="n">
        <f aca="false">IF($A232-AN232&gt;0,1/(1+AN232),0)</f>
        <v>0</v>
      </c>
      <c r="AQ232" s="7" t="n">
        <f aca="false">IF(AK232=0,0,MAX(MIN(1,AO232^Power),0))</f>
        <v>0</v>
      </c>
      <c r="AR232" s="7" t="n">
        <f aca="false">IF(AL232=0,0,MAX(MIN(1,AP232^Power),0))</f>
        <v>0</v>
      </c>
      <c r="AS232" s="7" t="n">
        <f aca="false">IF($AJ232=1,IF($H232=0,K232,AS231),AS231)</f>
        <v>0</v>
      </c>
      <c r="AT232" s="7" t="n">
        <f aca="false">IF($AJ232=1,IF($H232=1,N232,AT231),AT231)</f>
        <v>0</v>
      </c>
    </row>
    <row r="233" customFormat="false" ht="13" hidden="false" customHeight="false" outlineLevel="0" collapsed="false">
      <c r="A233" s="16" t="n">
        <v>216</v>
      </c>
      <c r="B233" s="37" t="n">
        <f aca="true">IF(RAND()&lt;$D$8,1,0)</f>
        <v>1</v>
      </c>
      <c r="C233" s="20" t="n">
        <f aca="true">-LN(RAND())/$D$2</f>
        <v>0.228156511390976</v>
      </c>
      <c r="D233" s="38" t="n">
        <f aca="false">D232+C233</f>
        <v>240.42652002419</v>
      </c>
      <c r="E233" s="39" t="n">
        <f aca="false">MAX($E$3,AS232)</f>
        <v>0</v>
      </c>
      <c r="F233" s="39" t="n">
        <f aca="false">MAX($E$3,AT232)</f>
        <v>0</v>
      </c>
      <c r="G233" s="40" t="n">
        <v>0.5</v>
      </c>
      <c r="H233" s="38" t="n">
        <f aca="true">IF((B233=1),(IF((F233&lt;E233),1,(IF((F233=E233),(IF(RAND()&lt;G233,1,0)),0)))),(IF((RAND()&lt;G233),1,0)))</f>
        <v>0</v>
      </c>
      <c r="I233" s="38" t="n">
        <f aca="true">IF((H233=1),0,$D$3+$D$5*(RAND()-0.5))</f>
        <v>1.96416691724306</v>
      </c>
      <c r="J233" s="38" t="n">
        <f aca="false">I233+MAX(D233,J232)</f>
        <v>250.545018542581</v>
      </c>
      <c r="K233" s="38" t="n">
        <f aca="false">IF((H233=0),J233-D233,0)</f>
        <v>10.1184985183914</v>
      </c>
      <c r="L233" s="38" t="n">
        <f aca="true">IF(($H233=0),0,$D$4+$D$5*(RAND()-0.5))</f>
        <v>0</v>
      </c>
      <c r="M233" s="38" t="n">
        <f aca="false">L233+MAX(D233,M232)</f>
        <v>259.446875559307</v>
      </c>
      <c r="N233" s="38" t="n">
        <f aca="false">IF((H233=1),M233-D233,0)</f>
        <v>0</v>
      </c>
      <c r="O233" s="16" t="n">
        <v>216</v>
      </c>
      <c r="P233" s="41" t="n">
        <f aca="false">IF((Arterial=0),P232+1,P232)</f>
        <v>99</v>
      </c>
      <c r="Q233" s="41" t="n">
        <f aca="false">IF((Arterial=1),Q232+1,Q232)</f>
        <v>117</v>
      </c>
      <c r="R233" s="42" t="e">
        <f aca="false">IF((RESET=1),0,R233+K233)</f>
        <v>#N/A</v>
      </c>
      <c r="S233" s="14" t="n">
        <f aca="false">IF(RESET=1,0,S233+N233)</f>
        <v>516.689170121485</v>
      </c>
      <c r="T233" s="2" t="e">
        <f aca="false">IF(RESET=1,0,T233+IF(H233=0,1,0))</f>
        <v>#N/A</v>
      </c>
      <c r="U233" s="2" t="n">
        <f aca="false">IF(RESET=1,0,U233+H233)</f>
        <v>44</v>
      </c>
      <c r="V233" s="14" t="e">
        <f aca="false">R233/(T233+0.00001)</f>
        <v>#N/A</v>
      </c>
      <c r="W233" s="14" t="n">
        <f aca="false">S233/(U233+0.0001)</f>
        <v>11.7429089961497</v>
      </c>
      <c r="X233" s="39" t="n">
        <f aca="false">IF(Informed=1,K233,0)</f>
        <v>10.1184985183914</v>
      </c>
      <c r="Y233" s="39" t="n">
        <f aca="false">IF(Informed=0,K233,0)</f>
        <v>0</v>
      </c>
      <c r="Z233" s="39" t="n">
        <f aca="false">IF(Informed=1,N233,0)</f>
        <v>0</v>
      </c>
      <c r="AA233" s="39" t="n">
        <f aca="false">IF(Informed=0,N233,0)</f>
        <v>0</v>
      </c>
      <c r="AB233" s="43" t="n">
        <f aca="false">IF(Arterial=0,IF(Informed=1,1,0),0)</f>
        <v>1</v>
      </c>
      <c r="AC233" s="43" t="n">
        <f aca="false">IF(Arterial=0,IF(Informed=0,1,0),0)</f>
        <v>0</v>
      </c>
      <c r="AD233" s="43" t="n">
        <f aca="false">IF(Arterial=1,IF(Informed=1,1,0),0)</f>
        <v>0</v>
      </c>
      <c r="AE233" s="43" t="n">
        <f aca="false">IF(Arterial=1,IF(Informed=0,1,0),0)</f>
        <v>0</v>
      </c>
      <c r="AF233" s="35" t="n">
        <f aca="false">IF(AB233=1,(X233-G$1030)^2,0)</f>
        <v>0.349493465343777</v>
      </c>
      <c r="AG233" s="35" t="n">
        <f aca="false">IF(AC233=1,(Y233-H$1030)^2,0)</f>
        <v>0</v>
      </c>
      <c r="AH233" s="35" t="n">
        <f aca="false">IF(AD233=1,(Z233-I$1030)^2,0)</f>
        <v>0</v>
      </c>
      <c r="AI233" s="35" t="n">
        <f aca="false">IF(AE233=1,(AA233-J$1030)^2,0)</f>
        <v>0</v>
      </c>
      <c r="AJ233" s="37" t="n">
        <f aca="true">IF(RAND()&lt;$D$6,1,0)</f>
        <v>0</v>
      </c>
      <c r="AK233" s="14" t="n">
        <f aca="false">AK232+IF((AJ233=1),IF((H233=0),1,0),0)</f>
        <v>0</v>
      </c>
      <c r="AL233" s="14" t="n">
        <f aca="false">AL232+IF((AJ233=1),IF((H233=1),1,0),0)</f>
        <v>0</v>
      </c>
      <c r="AM233" s="37" t="n">
        <f aca="false">IF(AK233=0,9999,IF($H233=0,IF($AJ233&lt;1,AM232+1,0),AM232))</f>
        <v>9999</v>
      </c>
      <c r="AN233" s="37" t="n">
        <f aca="false">IF(AL233=0,9999,IF($H233=1,IF($AJ233&lt;1,AN232+1,0),AN232))</f>
        <v>9999</v>
      </c>
      <c r="AO233" s="37" t="n">
        <f aca="false">IF($A233-AM233&gt;0,1/(1+AM233),0)</f>
        <v>0</v>
      </c>
      <c r="AP233" s="37" t="n">
        <f aca="false">IF($A233-AN233&gt;0,1/(1+AN233),0)</f>
        <v>0</v>
      </c>
      <c r="AQ233" s="7" t="n">
        <f aca="false">IF(AK233=0,0,MAX(MIN(1,AO233^Power),0))</f>
        <v>0</v>
      </c>
      <c r="AR233" s="7" t="n">
        <f aca="false">IF(AL233=0,0,MAX(MIN(1,AP233^Power),0))</f>
        <v>0</v>
      </c>
      <c r="AS233" s="7" t="n">
        <f aca="false">IF($AJ233=1,IF($H233=0,K233,AS232),AS232)</f>
        <v>0</v>
      </c>
      <c r="AT233" s="7" t="n">
        <f aca="false">IF($AJ233=1,IF($H233=1,N233,AT232),AT232)</f>
        <v>0</v>
      </c>
    </row>
    <row r="234" customFormat="false" ht="13" hidden="false" customHeight="false" outlineLevel="0" collapsed="false">
      <c r="A234" s="16" t="n">
        <v>217</v>
      </c>
      <c r="B234" s="37" t="n">
        <f aca="true">IF(RAND()&lt;$D$8,1,0)</f>
        <v>1</v>
      </c>
      <c r="C234" s="20" t="n">
        <f aca="true">-LN(RAND())/$D$2</f>
        <v>0.774238279990095</v>
      </c>
      <c r="D234" s="38" t="n">
        <f aca="false">D233+C234</f>
        <v>241.20075830418</v>
      </c>
      <c r="E234" s="39" t="n">
        <f aca="false">MAX($E$3,AS233)</f>
        <v>0</v>
      </c>
      <c r="F234" s="39" t="n">
        <f aca="false">MAX($E$3,AT233)</f>
        <v>0</v>
      </c>
      <c r="G234" s="40" t="n">
        <v>0.5</v>
      </c>
      <c r="H234" s="38" t="n">
        <f aca="true">IF((B234=1),(IF((F234&lt;E234),1,(IF((F234=E234),(IF(RAND()&lt;G234,1,0)),0)))),(IF((RAND()&lt;G234),1,0)))</f>
        <v>0</v>
      </c>
      <c r="I234" s="38" t="n">
        <f aca="true">IF((H234=1),0,$D$3+$D$5*(RAND()-0.5))</f>
        <v>2.00234430253392</v>
      </c>
      <c r="J234" s="38" t="n">
        <f aca="false">I234+MAX(D234,J233)</f>
        <v>252.547362845115</v>
      </c>
      <c r="K234" s="38" t="n">
        <f aca="false">IF((H234=0),J234-D234,0)</f>
        <v>11.3466045409352</v>
      </c>
      <c r="L234" s="38" t="n">
        <f aca="true">IF(($H234=0),0,$D$4+$D$5*(RAND()-0.5))</f>
        <v>0</v>
      </c>
      <c r="M234" s="38" t="n">
        <f aca="false">L234+MAX(D234,M233)</f>
        <v>259.446875559307</v>
      </c>
      <c r="N234" s="38" t="n">
        <f aca="false">IF((H234=1),M234-D234,0)</f>
        <v>0</v>
      </c>
      <c r="O234" s="16" t="n">
        <v>217</v>
      </c>
      <c r="P234" s="41" t="n">
        <f aca="false">IF((Arterial=0),P233+1,P233)</f>
        <v>100</v>
      </c>
      <c r="Q234" s="41" t="n">
        <f aca="false">IF((Arterial=1),Q233+1,Q233)</f>
        <v>117</v>
      </c>
      <c r="R234" s="42" t="e">
        <f aca="false">IF((RESET=1),0,R234+K234)</f>
        <v>#N/A</v>
      </c>
      <c r="S234" s="14" t="n">
        <f aca="false">IF(RESET=1,0,S234+N234)</f>
        <v>478.393988224821</v>
      </c>
      <c r="T234" s="2" t="e">
        <f aca="false">IF(RESET=1,0,T234+IF(H234=0,1,0))</f>
        <v>#N/A</v>
      </c>
      <c r="U234" s="2" t="n">
        <f aca="false">IF(RESET=1,0,U234+H234)</f>
        <v>40</v>
      </c>
      <c r="V234" s="14" t="e">
        <f aca="false">R234/(T234+0.00001)</f>
        <v>#N/A</v>
      </c>
      <c r="W234" s="14" t="n">
        <f aca="false">S234/(U234+0.0001)</f>
        <v>11.959819806071</v>
      </c>
      <c r="X234" s="39" t="n">
        <f aca="false">IF(Informed=1,K234,0)</f>
        <v>11.3466045409352</v>
      </c>
      <c r="Y234" s="39" t="n">
        <f aca="false">IF(Informed=0,K234,0)</f>
        <v>0</v>
      </c>
      <c r="Z234" s="39" t="n">
        <f aca="false">IF(Informed=1,N234,0)</f>
        <v>0</v>
      </c>
      <c r="AA234" s="39" t="n">
        <f aca="false">IF(Informed=0,N234,0)</f>
        <v>0</v>
      </c>
      <c r="AB234" s="43" t="n">
        <f aca="false">IF(Arterial=0,IF(Informed=1,1,0),0)</f>
        <v>1</v>
      </c>
      <c r="AC234" s="43" t="n">
        <f aca="false">IF(Arterial=0,IF(Informed=0,1,0),0)</f>
        <v>0</v>
      </c>
      <c r="AD234" s="43" t="n">
        <f aca="false">IF(Arterial=1,IF(Informed=1,1,0),0)</f>
        <v>0</v>
      </c>
      <c r="AE234" s="43" t="n">
        <f aca="false">IF(Arterial=1,IF(Informed=0,1,0),0)</f>
        <v>0</v>
      </c>
      <c r="AF234" s="35" t="n">
        <f aca="false">IF(AB234=1,(X234-G$1030)^2,0)</f>
        <v>0.405675110557758</v>
      </c>
      <c r="AG234" s="35" t="n">
        <f aca="false">IF(AC234=1,(Y234-H$1030)^2,0)</f>
        <v>0</v>
      </c>
      <c r="AH234" s="35" t="n">
        <f aca="false">IF(AD234=1,(Z234-I$1030)^2,0)</f>
        <v>0</v>
      </c>
      <c r="AI234" s="35" t="n">
        <f aca="false">IF(AE234=1,(AA234-J$1030)^2,0)</f>
        <v>0</v>
      </c>
      <c r="AJ234" s="37" t="n">
        <f aca="true">IF(RAND()&lt;$D$6,1,0)</f>
        <v>0</v>
      </c>
      <c r="AK234" s="14" t="n">
        <f aca="false">AK233+IF((AJ234=1),IF((H234=0),1,0),0)</f>
        <v>0</v>
      </c>
      <c r="AL234" s="14" t="n">
        <f aca="false">AL233+IF((AJ234=1),IF((H234=1),1,0),0)</f>
        <v>0</v>
      </c>
      <c r="AM234" s="37" t="n">
        <f aca="false">IF(AK234=0,9999,IF($H234=0,IF($AJ234&lt;1,AM233+1,0),AM233))</f>
        <v>9999</v>
      </c>
      <c r="AN234" s="37" t="n">
        <f aca="false">IF(AL234=0,9999,IF($H234=1,IF($AJ234&lt;1,AN233+1,0),AN233))</f>
        <v>9999</v>
      </c>
      <c r="AO234" s="37" t="n">
        <f aca="false">IF($A234-AM234&gt;0,1/(1+AM234),0)</f>
        <v>0</v>
      </c>
      <c r="AP234" s="37" t="n">
        <f aca="false">IF($A234-AN234&gt;0,1/(1+AN234),0)</f>
        <v>0</v>
      </c>
      <c r="AQ234" s="7" t="n">
        <f aca="false">IF(AK234=0,0,MAX(MIN(1,AO234^Power),0))</f>
        <v>0</v>
      </c>
      <c r="AR234" s="7" t="n">
        <f aca="false">IF(AL234=0,0,MAX(MIN(1,AP234^Power),0))</f>
        <v>0</v>
      </c>
      <c r="AS234" s="7" t="n">
        <f aca="false">IF($AJ234=1,IF($H234=0,K234,AS233),AS233)</f>
        <v>0</v>
      </c>
      <c r="AT234" s="7" t="n">
        <f aca="false">IF($AJ234=1,IF($H234=1,N234,AT233),AT233)</f>
        <v>0</v>
      </c>
    </row>
    <row r="235" customFormat="false" ht="13" hidden="false" customHeight="false" outlineLevel="0" collapsed="false">
      <c r="A235" s="16" t="n">
        <v>218</v>
      </c>
      <c r="B235" s="37" t="n">
        <f aca="true">IF(RAND()&lt;$D$8,1,0)</f>
        <v>1</v>
      </c>
      <c r="C235" s="20" t="n">
        <f aca="true">-LN(RAND())/$D$2</f>
        <v>1.68874542039998</v>
      </c>
      <c r="D235" s="38" t="n">
        <f aca="false">D234+C235</f>
        <v>242.88950372458</v>
      </c>
      <c r="E235" s="39" t="n">
        <f aca="false">MAX($E$3,AS234)</f>
        <v>0</v>
      </c>
      <c r="F235" s="39" t="n">
        <f aca="false">MAX($E$3,AT234)</f>
        <v>0</v>
      </c>
      <c r="G235" s="40" t="n">
        <v>0.5</v>
      </c>
      <c r="H235" s="38" t="n">
        <f aca="true">IF((B235=1),(IF((F235&lt;E235),1,(IF((F235=E235),(IF(RAND()&lt;G235,1,0)),0)))),(IF((RAND()&lt;G235),1,0)))</f>
        <v>0</v>
      </c>
      <c r="I235" s="38" t="n">
        <f aca="true">IF((H235=1),0,$D$3+$D$5*(RAND()-0.5))</f>
        <v>1.94904648911969</v>
      </c>
      <c r="J235" s="38" t="n">
        <f aca="false">I235+MAX(D235,J234)</f>
        <v>254.496409334235</v>
      </c>
      <c r="K235" s="38" t="n">
        <f aca="false">IF((H235=0),J235-D235,0)</f>
        <v>11.6069056096549</v>
      </c>
      <c r="L235" s="38" t="n">
        <f aca="true">IF(($H235=0),0,$D$4+$D$5*(RAND()-0.5))</f>
        <v>0</v>
      </c>
      <c r="M235" s="38" t="n">
        <f aca="false">L235+MAX(D235,M234)</f>
        <v>259.446875559307</v>
      </c>
      <c r="N235" s="38" t="n">
        <f aca="false">IF((H235=1),M235-D235,0)</f>
        <v>0</v>
      </c>
      <c r="O235" s="16" t="n">
        <v>218</v>
      </c>
      <c r="P235" s="41" t="n">
        <f aca="false">IF((Arterial=0),P234+1,P234)</f>
        <v>101</v>
      </c>
      <c r="Q235" s="41" t="n">
        <f aca="false">IF((Arterial=1),Q234+1,Q234)</f>
        <v>117</v>
      </c>
      <c r="R235" s="42" t="e">
        <f aca="false">IF((RESET=1),0,R235+K235)</f>
        <v>#N/A</v>
      </c>
      <c r="S235" s="14" t="n">
        <f aca="false">IF(RESET=1,0,S235+N235)</f>
        <v>410.990729162519</v>
      </c>
      <c r="T235" s="2" t="e">
        <f aca="false">IF(RESET=1,0,T235+IF(H235=0,1,0))</f>
        <v>#N/A</v>
      </c>
      <c r="U235" s="2" t="n">
        <f aca="false">IF(RESET=1,0,U235+H235)</f>
        <v>35</v>
      </c>
      <c r="V235" s="14" t="e">
        <f aca="false">R235/(T235+0.00001)</f>
        <v>#N/A</v>
      </c>
      <c r="W235" s="14" t="n">
        <f aca="false">S235/(U235+0.0001)</f>
        <v>11.7425587116185</v>
      </c>
      <c r="X235" s="39" t="n">
        <f aca="false">IF(Informed=1,K235,0)</f>
        <v>11.6069056096549</v>
      </c>
      <c r="Y235" s="39" t="n">
        <f aca="false">IF(Informed=0,K235,0)</f>
        <v>0</v>
      </c>
      <c r="Z235" s="39" t="n">
        <f aca="false">IF(Informed=1,N235,0)</f>
        <v>0</v>
      </c>
      <c r="AA235" s="39" t="n">
        <f aca="false">IF(Informed=0,N235,0)</f>
        <v>0</v>
      </c>
      <c r="AB235" s="43" t="n">
        <f aca="false">IF(Arterial=0,IF(Informed=1,1,0),0)</f>
        <v>1</v>
      </c>
      <c r="AC235" s="43" t="n">
        <f aca="false">IF(Arterial=0,IF(Informed=0,1,0),0)</f>
        <v>0</v>
      </c>
      <c r="AD235" s="43" t="n">
        <f aca="false">IF(Arterial=1,IF(Informed=1,1,0),0)</f>
        <v>0</v>
      </c>
      <c r="AE235" s="43" t="n">
        <f aca="false">IF(Arterial=1,IF(Informed=0,1,0),0)</f>
        <v>0</v>
      </c>
      <c r="AF235" s="35" t="n">
        <f aca="false">IF(AB235=1,(X235-G$1030)^2,0)</f>
        <v>0.805016949666869</v>
      </c>
      <c r="AG235" s="35" t="n">
        <f aca="false">IF(AC235=1,(Y235-H$1030)^2,0)</f>
        <v>0</v>
      </c>
      <c r="AH235" s="35" t="n">
        <f aca="false">IF(AD235=1,(Z235-I$1030)^2,0)</f>
        <v>0</v>
      </c>
      <c r="AI235" s="35" t="n">
        <f aca="false">IF(AE235=1,(AA235-J$1030)^2,0)</f>
        <v>0</v>
      </c>
      <c r="AJ235" s="37" t="n">
        <f aca="true">IF(RAND()&lt;$D$6,1,0)</f>
        <v>0</v>
      </c>
      <c r="AK235" s="14" t="n">
        <f aca="false">AK234+IF((AJ235=1),IF((H235=0),1,0),0)</f>
        <v>0</v>
      </c>
      <c r="AL235" s="14" t="n">
        <f aca="false">AL234+IF((AJ235=1),IF((H235=1),1,0),0)</f>
        <v>0</v>
      </c>
      <c r="AM235" s="37" t="n">
        <f aca="false">IF(AK235=0,9999,IF($H235=0,IF($AJ235&lt;1,AM234+1,0),AM234))</f>
        <v>9999</v>
      </c>
      <c r="AN235" s="37" t="n">
        <f aca="false">IF(AL235=0,9999,IF($H235=1,IF($AJ235&lt;1,AN234+1,0),AN234))</f>
        <v>9999</v>
      </c>
      <c r="AO235" s="37" t="n">
        <f aca="false">IF($A235-AM235&gt;0,1/(1+AM235),0)</f>
        <v>0</v>
      </c>
      <c r="AP235" s="37" t="n">
        <f aca="false">IF($A235-AN235&gt;0,1/(1+AN235),0)</f>
        <v>0</v>
      </c>
      <c r="AQ235" s="7" t="n">
        <f aca="false">IF(AK235=0,0,MAX(MIN(1,AO235^Power),0))</f>
        <v>0</v>
      </c>
      <c r="AR235" s="7" t="n">
        <f aca="false">IF(AL235=0,0,MAX(MIN(1,AP235^Power),0))</f>
        <v>0</v>
      </c>
      <c r="AS235" s="7" t="n">
        <f aca="false">IF($AJ235=1,IF($H235=0,K235,AS234),AS234)</f>
        <v>0</v>
      </c>
      <c r="AT235" s="7" t="n">
        <f aca="false">IF($AJ235=1,IF($H235=1,N235,AT234),AT234)</f>
        <v>0</v>
      </c>
    </row>
    <row r="236" customFormat="false" ht="13" hidden="false" customHeight="false" outlineLevel="0" collapsed="false">
      <c r="A236" s="16" t="n">
        <v>219</v>
      </c>
      <c r="B236" s="37" t="n">
        <f aca="true">IF(RAND()&lt;$D$8,1,0)</f>
        <v>1</v>
      </c>
      <c r="C236" s="20" t="n">
        <f aca="true">-LN(RAND())/$D$2</f>
        <v>1.13979820365021</v>
      </c>
      <c r="D236" s="38" t="n">
        <f aca="false">D235+C236</f>
        <v>244.02930192823</v>
      </c>
      <c r="E236" s="39" t="n">
        <f aca="false">MAX($E$3,AS235)</f>
        <v>0</v>
      </c>
      <c r="F236" s="39" t="n">
        <f aca="false">MAX($E$3,AT235)</f>
        <v>0</v>
      </c>
      <c r="G236" s="40" t="n">
        <v>0.5</v>
      </c>
      <c r="H236" s="38" t="n">
        <f aca="true">IF((B236=1),(IF((F236&lt;E236),1,(IF((F236=E236),(IF(RAND()&lt;G236,1,0)),0)))),(IF((RAND()&lt;G236),1,0)))</f>
        <v>0</v>
      </c>
      <c r="I236" s="38" t="n">
        <f aca="true">IF((H236=1),0,$D$3+$D$5*(RAND()-0.5))</f>
        <v>1.95202372980264</v>
      </c>
      <c r="J236" s="38" t="n">
        <f aca="false">I236+MAX(D236,J235)</f>
        <v>256.448433064038</v>
      </c>
      <c r="K236" s="38" t="n">
        <f aca="false">IF((H236=0),J236-D236,0)</f>
        <v>12.4191311358073</v>
      </c>
      <c r="L236" s="38" t="n">
        <f aca="true">IF(($H236=0),0,$D$4+$D$5*(RAND()-0.5))</f>
        <v>0</v>
      </c>
      <c r="M236" s="38" t="n">
        <f aca="false">L236+MAX(D236,M235)</f>
        <v>259.446875559307</v>
      </c>
      <c r="N236" s="38" t="n">
        <f aca="false">IF((H236=1),M236-D236,0)</f>
        <v>0</v>
      </c>
      <c r="O236" s="16" t="n">
        <v>219</v>
      </c>
      <c r="P236" s="41" t="n">
        <f aca="false">IF((Arterial=0),P235+1,P235)</f>
        <v>102</v>
      </c>
      <c r="Q236" s="41" t="n">
        <f aca="false">IF((Arterial=1),Q235+1,Q235)</f>
        <v>117</v>
      </c>
      <c r="R236" s="42" t="e">
        <f aca="false">IF((RESET=1),0,R236+K236)</f>
        <v>#N/A</v>
      </c>
      <c r="S236" s="14" t="n">
        <f aca="false">IF(RESET=1,0,S236+N236)</f>
        <v>400.254831265266</v>
      </c>
      <c r="T236" s="2" t="e">
        <f aca="false">IF(RESET=1,0,T236+IF(H236=0,1,0))</f>
        <v>#N/A</v>
      </c>
      <c r="U236" s="2" t="n">
        <f aca="false">IF(RESET=1,0,U236+H236)</f>
        <v>31</v>
      </c>
      <c r="V236" s="14" t="e">
        <f aca="false">R236/(T236+0.00001)</f>
        <v>#N/A</v>
      </c>
      <c r="W236" s="14" t="n">
        <f aca="false">S236/(U236+0.0001)</f>
        <v>12.9114045201553</v>
      </c>
      <c r="X236" s="39" t="n">
        <f aca="false">IF(Informed=1,K236,0)</f>
        <v>12.4191311358073</v>
      </c>
      <c r="Y236" s="39" t="n">
        <f aca="false">IF(Informed=0,K236,0)</f>
        <v>0</v>
      </c>
      <c r="Z236" s="39" t="n">
        <f aca="false">IF(Informed=1,N236,0)</f>
        <v>0</v>
      </c>
      <c r="AA236" s="39" t="n">
        <f aca="false">IF(Informed=0,N236,0)</f>
        <v>0</v>
      </c>
      <c r="AB236" s="43" t="n">
        <f aca="false">IF(Arterial=0,IF(Informed=1,1,0),0)</f>
        <v>1</v>
      </c>
      <c r="AC236" s="43" t="n">
        <f aca="false">IF(Arterial=0,IF(Informed=0,1,0),0)</f>
        <v>0</v>
      </c>
      <c r="AD236" s="43" t="n">
        <f aca="false">IF(Arterial=1,IF(Informed=1,1,0),0)</f>
        <v>0</v>
      </c>
      <c r="AE236" s="43" t="n">
        <f aca="false">IF(Arterial=1,IF(Informed=0,1,0),0)</f>
        <v>0</v>
      </c>
      <c r="AF236" s="35" t="n">
        <f aca="false">IF(AB236=1,(X236-G$1030)^2,0)</f>
        <v>2.92222919690447</v>
      </c>
      <c r="AG236" s="35" t="n">
        <f aca="false">IF(AC236=1,(Y236-H$1030)^2,0)</f>
        <v>0</v>
      </c>
      <c r="AH236" s="35" t="n">
        <f aca="false">IF(AD236=1,(Z236-I$1030)^2,0)</f>
        <v>0</v>
      </c>
      <c r="AI236" s="35" t="n">
        <f aca="false">IF(AE236=1,(AA236-J$1030)^2,0)</f>
        <v>0</v>
      </c>
      <c r="AJ236" s="37" t="n">
        <f aca="true">IF(RAND()&lt;$D$6,1,0)</f>
        <v>0</v>
      </c>
      <c r="AK236" s="14" t="n">
        <f aca="false">AK235+IF((AJ236=1),IF((H236=0),1,0),0)</f>
        <v>0</v>
      </c>
      <c r="AL236" s="14" t="n">
        <f aca="false">AL235+IF((AJ236=1),IF((H236=1),1,0),0)</f>
        <v>0</v>
      </c>
      <c r="AM236" s="37" t="n">
        <f aca="false">IF(AK236=0,9999,IF($H236=0,IF($AJ236&lt;1,AM235+1,0),AM235))</f>
        <v>9999</v>
      </c>
      <c r="AN236" s="37" t="n">
        <f aca="false">IF(AL236=0,9999,IF($H236=1,IF($AJ236&lt;1,AN235+1,0),AN235))</f>
        <v>9999</v>
      </c>
      <c r="AO236" s="37" t="n">
        <f aca="false">IF($A236-AM236&gt;0,1/(1+AM236),0)</f>
        <v>0</v>
      </c>
      <c r="AP236" s="37" t="n">
        <f aca="false">IF($A236-AN236&gt;0,1/(1+AN236),0)</f>
        <v>0</v>
      </c>
      <c r="AQ236" s="7" t="n">
        <f aca="false">IF(AK236=0,0,MAX(MIN(1,AO236^Power),0))</f>
        <v>0</v>
      </c>
      <c r="AR236" s="7" t="n">
        <f aca="false">IF(AL236=0,0,MAX(MIN(1,AP236^Power),0))</f>
        <v>0</v>
      </c>
      <c r="AS236" s="7" t="n">
        <f aca="false">IF($AJ236=1,IF($H236=0,K236,AS235),AS235)</f>
        <v>0</v>
      </c>
      <c r="AT236" s="7" t="n">
        <f aca="false">IF($AJ236=1,IF($H236=1,N236,AT235),AT235)</f>
        <v>0</v>
      </c>
    </row>
    <row r="237" customFormat="false" ht="13" hidden="false" customHeight="false" outlineLevel="0" collapsed="false">
      <c r="A237" s="16" t="n">
        <v>220</v>
      </c>
      <c r="B237" s="37" t="n">
        <f aca="true">IF(RAND()&lt;$D$8,1,0)</f>
        <v>0</v>
      </c>
      <c r="C237" s="20" t="n">
        <f aca="true">-LN(RAND())/$D$2</f>
        <v>0.996431719469482</v>
      </c>
      <c r="D237" s="38" t="n">
        <f aca="false">D236+C237</f>
        <v>245.0257336477</v>
      </c>
      <c r="E237" s="39" t="n">
        <f aca="false">MAX($E$3,AS236)</f>
        <v>0</v>
      </c>
      <c r="F237" s="39" t="n">
        <f aca="false">MAX($E$3,AT236)</f>
        <v>0</v>
      </c>
      <c r="G237" s="40" t="n">
        <v>0.5</v>
      </c>
      <c r="H237" s="38" t="n">
        <f aca="true">IF((B237=1),(IF((F237&lt;E237),1,(IF((F237=E237),(IF(RAND()&lt;G237,1,0)),0)))),(IF((RAND()&lt;G237),1,0)))</f>
        <v>1</v>
      </c>
      <c r="I237" s="38" t="n">
        <f aca="true">IF((H237=1),0,$D$3+$D$5*(RAND()-0.5))</f>
        <v>0</v>
      </c>
      <c r="J237" s="38" t="n">
        <f aca="false">I237+MAX(D237,J236)</f>
        <v>256.448433064038</v>
      </c>
      <c r="K237" s="38" t="n">
        <f aca="false">IF((H237=0),J237-D237,0)</f>
        <v>0</v>
      </c>
      <c r="L237" s="38" t="n">
        <f aca="true">IF(($H237=0),0,$D$4+$D$5*(RAND()-0.5))</f>
        <v>1.8151308066507</v>
      </c>
      <c r="M237" s="38" t="n">
        <f aca="false">L237+MAX(D237,M236)</f>
        <v>261.262006365957</v>
      </c>
      <c r="N237" s="38" t="n">
        <f aca="false">IF((H237=1),M237-D237,0)</f>
        <v>16.2362727182577</v>
      </c>
      <c r="O237" s="16" t="n">
        <v>220</v>
      </c>
      <c r="P237" s="41" t="n">
        <f aca="false">IF((Arterial=0),P236+1,P236)</f>
        <v>102</v>
      </c>
      <c r="Q237" s="41" t="n">
        <f aca="false">IF((Arterial=1),Q236+1,Q236)</f>
        <v>118</v>
      </c>
      <c r="R237" s="42" t="n">
        <f aca="false">IF((RESET=1),0,R237+K237)</f>
        <v>511.543897306391</v>
      </c>
      <c r="S237" s="14" t="e">
        <f aca="false">IF(RESET=1,0,S237+N237)</f>
        <v>#N/A</v>
      </c>
      <c r="T237" s="2" t="n">
        <f aca="false">IF(RESET=1,0,T237+IF(H237=0,1,0))</f>
        <v>35</v>
      </c>
      <c r="U237" s="2" t="e">
        <f aca="false">IF(RESET=1,0,U237+H237)</f>
        <v>#N/A</v>
      </c>
      <c r="V237" s="14" t="n">
        <f aca="false">R237/(T237+0.00001)</f>
        <v>14.6155357471724</v>
      </c>
      <c r="W237" s="14" t="e">
        <f aca="false">S237/(U237+0.0001)</f>
        <v>#N/A</v>
      </c>
      <c r="X237" s="39" t="n">
        <f aca="false">IF(Informed=1,K237,0)</f>
        <v>0</v>
      </c>
      <c r="Y237" s="39" t="n">
        <f aca="false">IF(Informed=0,K237,0)</f>
        <v>0</v>
      </c>
      <c r="Z237" s="39" t="n">
        <f aca="false">IF(Informed=1,N237,0)</f>
        <v>0</v>
      </c>
      <c r="AA237" s="39" t="n">
        <f aca="false">IF(Informed=0,N237,0)</f>
        <v>16.2362727182577</v>
      </c>
      <c r="AB237" s="43" t="n">
        <f aca="false">IF(Arterial=0,IF(Informed=1,1,0),0)</f>
        <v>0</v>
      </c>
      <c r="AC237" s="43" t="n">
        <f aca="false">IF(Arterial=0,IF(Informed=0,1,0),0)</f>
        <v>0</v>
      </c>
      <c r="AD237" s="43" t="n">
        <f aca="false">IF(Arterial=1,IF(Informed=1,1,0),0)</f>
        <v>0</v>
      </c>
      <c r="AE237" s="43" t="n">
        <f aca="false">IF(Arterial=1,IF(Informed=0,1,0),0)</f>
        <v>1</v>
      </c>
      <c r="AF237" s="35" t="n">
        <f aca="false">IF(AB237=1,(X237-G$1030)^2,0)</f>
        <v>0</v>
      </c>
      <c r="AG237" s="35" t="n">
        <f aca="false">IF(AC237=1,(Y237-H$1030)^2,0)</f>
        <v>0</v>
      </c>
      <c r="AH237" s="35" t="n">
        <f aca="false">IF(AD237=1,(Z237-I$1030)^2,0)</f>
        <v>0</v>
      </c>
      <c r="AI237" s="35" t="n">
        <f aca="false">IF(AE237=1,(AA237-J$1030)^2,0)</f>
        <v>177.635644561314</v>
      </c>
      <c r="AJ237" s="37" t="n">
        <f aca="true">IF(RAND()&lt;$D$6,1,0)</f>
        <v>0</v>
      </c>
      <c r="AK237" s="14" t="n">
        <f aca="false">AK236+IF((AJ237=1),IF((H237=0),1,0),0)</f>
        <v>0</v>
      </c>
      <c r="AL237" s="14" t="n">
        <f aca="false">AL236+IF((AJ237=1),IF((H237=1),1,0),0)</f>
        <v>0</v>
      </c>
      <c r="AM237" s="37" t="n">
        <f aca="false">IF(AK237=0,9999,IF($H237=0,IF($AJ237&lt;1,AM236+1,0),AM236))</f>
        <v>9999</v>
      </c>
      <c r="AN237" s="37" t="n">
        <f aca="false">IF(AL237=0,9999,IF($H237=1,IF($AJ237&lt;1,AN236+1,0),AN236))</f>
        <v>9999</v>
      </c>
      <c r="AO237" s="37" t="n">
        <f aca="false">IF($A237-AM237&gt;0,1/(1+AM237),0)</f>
        <v>0</v>
      </c>
      <c r="AP237" s="37" t="n">
        <f aca="false">IF($A237-AN237&gt;0,1/(1+AN237),0)</f>
        <v>0</v>
      </c>
      <c r="AQ237" s="7" t="n">
        <f aca="false">IF(AK237=0,0,MAX(MIN(1,AO237^Power),0))</f>
        <v>0</v>
      </c>
      <c r="AR237" s="7" t="n">
        <f aca="false">IF(AL237=0,0,MAX(MIN(1,AP237^Power),0))</f>
        <v>0</v>
      </c>
      <c r="AS237" s="7" t="n">
        <f aca="false">IF($AJ237=1,IF($H237=0,K237,AS236),AS236)</f>
        <v>0</v>
      </c>
      <c r="AT237" s="7" t="n">
        <f aca="false">IF($AJ237=1,IF($H237=1,N237,AT236),AT236)</f>
        <v>0</v>
      </c>
    </row>
    <row r="238" customFormat="false" ht="13" hidden="false" customHeight="false" outlineLevel="0" collapsed="false">
      <c r="A238" s="16" t="n">
        <v>221</v>
      </c>
      <c r="B238" s="37" t="n">
        <f aca="true">IF(RAND()&lt;$D$8,1,0)</f>
        <v>0</v>
      </c>
      <c r="C238" s="20" t="n">
        <f aca="true">-LN(RAND())/$D$2</f>
        <v>0.702739936421096</v>
      </c>
      <c r="D238" s="38" t="n">
        <f aca="false">D237+C238</f>
        <v>245.728473584121</v>
      </c>
      <c r="E238" s="39" t="n">
        <f aca="false">MAX($E$3,AS237)</f>
        <v>0</v>
      </c>
      <c r="F238" s="39" t="n">
        <f aca="false">MAX($E$3,AT237)</f>
        <v>0</v>
      </c>
      <c r="G238" s="40" t="n">
        <v>0.5</v>
      </c>
      <c r="H238" s="38" t="n">
        <f aca="true">IF((B238=1),(IF((F238&lt;E238),1,(IF((F238=E238),(IF(RAND()&lt;G238,1,0)),0)))),(IF((RAND()&lt;G238),1,0)))</f>
        <v>1</v>
      </c>
      <c r="I238" s="38" t="n">
        <f aca="true">IF((H238=1),0,$D$3+$D$5*(RAND()-0.5))</f>
        <v>0</v>
      </c>
      <c r="J238" s="38" t="n">
        <f aca="false">I238+MAX(D238,J237)</f>
        <v>256.448433064038</v>
      </c>
      <c r="K238" s="38" t="n">
        <f aca="false">IF((H238=0),J238-D238,0)</f>
        <v>0</v>
      </c>
      <c r="L238" s="38" t="n">
        <f aca="true">IF(($H238=0),0,$D$4+$D$5*(RAND()-0.5))</f>
        <v>1.99629571433525</v>
      </c>
      <c r="M238" s="38" t="n">
        <f aca="false">L238+MAX(D238,M237)</f>
        <v>263.258302080293</v>
      </c>
      <c r="N238" s="38" t="n">
        <f aca="false">IF((H238=1),M238-D238,0)</f>
        <v>17.5298284961719</v>
      </c>
      <c r="O238" s="16" t="n">
        <v>221</v>
      </c>
      <c r="P238" s="41" t="n">
        <f aca="false">IF((Arterial=0),P237+1,P237)</f>
        <v>102</v>
      </c>
      <c r="Q238" s="41" t="n">
        <f aca="false">IF((Arterial=1),Q237+1,Q237)</f>
        <v>119</v>
      </c>
      <c r="R238" s="42" t="n">
        <f aca="false">IF((RESET=1),0,R238+K238)</f>
        <v>604.870810891037</v>
      </c>
      <c r="S238" s="14" t="e">
        <f aca="false">IF(RESET=1,0,S238+N238)</f>
        <v>#N/A</v>
      </c>
      <c r="T238" s="2" t="n">
        <f aca="false">IF(RESET=1,0,T238+IF(H238=0,1,0))</f>
        <v>44</v>
      </c>
      <c r="U238" s="2" t="e">
        <f aca="false">IF(RESET=1,0,U238+H238)</f>
        <v>#N/A</v>
      </c>
      <c r="V238" s="14" t="n">
        <f aca="false">R238/(T238+0.00001)</f>
        <v>13.7470607595552</v>
      </c>
      <c r="W238" s="14" t="e">
        <f aca="false">S238/(U238+0.0001)</f>
        <v>#N/A</v>
      </c>
      <c r="X238" s="39" t="n">
        <f aca="false">IF(Informed=1,K238,0)</f>
        <v>0</v>
      </c>
      <c r="Y238" s="39" t="n">
        <f aca="false">IF(Informed=0,K238,0)</f>
        <v>0</v>
      </c>
      <c r="Z238" s="39" t="n">
        <f aca="false">IF(Informed=1,N238,0)</f>
        <v>0</v>
      </c>
      <c r="AA238" s="39" t="n">
        <f aca="false">IF(Informed=0,N238,0)</f>
        <v>17.5298284961719</v>
      </c>
      <c r="AB238" s="43" t="n">
        <f aca="false">IF(Arterial=0,IF(Informed=1,1,0),0)</f>
        <v>0</v>
      </c>
      <c r="AC238" s="43" t="n">
        <f aca="false">IF(Arterial=0,IF(Informed=0,1,0),0)</f>
        <v>0</v>
      </c>
      <c r="AD238" s="43" t="n">
        <f aca="false">IF(Arterial=1,IF(Informed=1,1,0),0)</f>
        <v>0</v>
      </c>
      <c r="AE238" s="43" t="n">
        <f aca="false">IF(Arterial=1,IF(Informed=0,1,0),0)</f>
        <v>1</v>
      </c>
      <c r="AF238" s="35" t="n">
        <f aca="false">IF(AB238=1,(X238-G$1030)^2,0)</f>
        <v>0</v>
      </c>
      <c r="AG238" s="35" t="n">
        <f aca="false">IF(AC238=1,(Y238-H$1030)^2,0)</f>
        <v>0</v>
      </c>
      <c r="AH238" s="35" t="n">
        <f aca="false">IF(AD238=1,(Z238-I$1030)^2,0)</f>
        <v>0</v>
      </c>
      <c r="AI238" s="35" t="n">
        <f aca="false">IF(AE238=1,(AA238-J$1030)^2,0)</f>
        <v>144.827902418001</v>
      </c>
      <c r="AJ238" s="37" t="n">
        <f aca="true">IF(RAND()&lt;$D$6,1,0)</f>
        <v>0</v>
      </c>
      <c r="AK238" s="14" t="n">
        <f aca="false">AK237+IF((AJ238=1),IF((H238=0),1,0),0)</f>
        <v>0</v>
      </c>
      <c r="AL238" s="14" t="n">
        <f aca="false">AL237+IF((AJ238=1),IF((H238=1),1,0),0)</f>
        <v>0</v>
      </c>
      <c r="AM238" s="37" t="n">
        <f aca="false">IF(AK238=0,9999,IF($H238=0,IF($AJ238&lt;1,AM237+1,0),AM237))</f>
        <v>9999</v>
      </c>
      <c r="AN238" s="37" t="n">
        <f aca="false">IF(AL238=0,9999,IF($H238=1,IF($AJ238&lt;1,AN237+1,0),AN237))</f>
        <v>9999</v>
      </c>
      <c r="AO238" s="37" t="n">
        <f aca="false">IF($A238-AM238&gt;0,1/(1+AM238),0)</f>
        <v>0</v>
      </c>
      <c r="AP238" s="37" t="n">
        <f aca="false">IF($A238-AN238&gt;0,1/(1+AN238),0)</f>
        <v>0</v>
      </c>
      <c r="AQ238" s="7" t="n">
        <f aca="false">IF(AK238=0,0,MAX(MIN(1,AO238^Power),0))</f>
        <v>0</v>
      </c>
      <c r="AR238" s="7" t="n">
        <f aca="false">IF(AL238=0,0,MAX(MIN(1,AP238^Power),0))</f>
        <v>0</v>
      </c>
      <c r="AS238" s="7" t="n">
        <f aca="false">IF($AJ238=1,IF($H238=0,K238,AS237),AS237)</f>
        <v>0</v>
      </c>
      <c r="AT238" s="7" t="n">
        <f aca="false">IF($AJ238=1,IF($H238=1,N238,AT237),AT237)</f>
        <v>0</v>
      </c>
    </row>
    <row r="239" customFormat="false" ht="13" hidden="false" customHeight="false" outlineLevel="0" collapsed="false">
      <c r="A239" s="16" t="n">
        <v>222</v>
      </c>
      <c r="B239" s="37" t="n">
        <f aca="true">IF(RAND()&lt;$D$8,1,0)</f>
        <v>0</v>
      </c>
      <c r="C239" s="20" t="n">
        <f aca="true">-LN(RAND())/$D$2</f>
        <v>0.127157783161083</v>
      </c>
      <c r="D239" s="38" t="n">
        <f aca="false">D238+C239</f>
        <v>245.855631367282</v>
      </c>
      <c r="E239" s="39" t="n">
        <f aca="false">MAX($E$3,AS238)</f>
        <v>0</v>
      </c>
      <c r="F239" s="39" t="n">
        <f aca="false">MAX($E$3,AT238)</f>
        <v>0</v>
      </c>
      <c r="G239" s="40" t="n">
        <v>0.5</v>
      </c>
      <c r="H239" s="38" t="n">
        <f aca="true">IF((B239=1),(IF((F239&lt;E239),1,(IF((F239=E239),(IF(RAND()&lt;G239,1,0)),0)))),(IF((RAND()&lt;G239),1,0)))</f>
        <v>0</v>
      </c>
      <c r="I239" s="38" t="n">
        <f aca="true">IF((H239=1),0,$D$3+$D$5*(RAND()-0.5))</f>
        <v>2.20628117656413</v>
      </c>
      <c r="J239" s="38" t="n">
        <f aca="false">I239+MAX(D239,J238)</f>
        <v>258.654714240602</v>
      </c>
      <c r="K239" s="38" t="n">
        <f aca="false">IF((H239=0),J239-D239,0)</f>
        <v>12.7990828733198</v>
      </c>
      <c r="L239" s="38" t="n">
        <f aca="true">IF(($H239=0),0,$D$4+$D$5*(RAND()-0.5))</f>
        <v>0</v>
      </c>
      <c r="M239" s="38" t="n">
        <f aca="false">L239+MAX(D239,M238)</f>
        <v>263.258302080293</v>
      </c>
      <c r="N239" s="38" t="n">
        <f aca="false">IF((H239=1),M239-D239,0)</f>
        <v>0</v>
      </c>
      <c r="O239" s="16" t="n">
        <v>222</v>
      </c>
      <c r="P239" s="41" t="n">
        <f aca="false">IF((Arterial=0),P238+1,P238)</f>
        <v>103</v>
      </c>
      <c r="Q239" s="41" t="n">
        <f aca="false">IF((Arterial=1),Q238+1,Q238)</f>
        <v>119</v>
      </c>
      <c r="R239" s="42" t="e">
        <f aca="false">IF((RESET=1),0,R239+K239)</f>
        <v>#N/A</v>
      </c>
      <c r="S239" s="14" t="n">
        <f aca="false">IF(RESET=1,0,S239+N239)</f>
        <v>450.232320478381</v>
      </c>
      <c r="T239" s="2" t="e">
        <f aca="false">IF(RESET=1,0,T239+IF(H239=0,1,0))</f>
        <v>#N/A</v>
      </c>
      <c r="U239" s="2" t="n">
        <f aca="false">IF(RESET=1,0,U239+H239)</f>
        <v>34</v>
      </c>
      <c r="V239" s="14" t="e">
        <f aca="false">R239/(T239+0.00001)</f>
        <v>#N/A</v>
      </c>
      <c r="W239" s="14" t="n">
        <f aca="false">S239/(U239+0.0001)</f>
        <v>13.2420881255755</v>
      </c>
      <c r="X239" s="39" t="n">
        <f aca="false">IF(Informed=1,K239,0)</f>
        <v>0</v>
      </c>
      <c r="Y239" s="39" t="n">
        <f aca="false">IF(Informed=0,K239,0)</f>
        <v>12.7990828733198</v>
      </c>
      <c r="Z239" s="39" t="n">
        <f aca="false">IF(Informed=1,N239,0)</f>
        <v>0</v>
      </c>
      <c r="AA239" s="39" t="n">
        <f aca="false">IF(Informed=0,N239,0)</f>
        <v>0</v>
      </c>
      <c r="AB239" s="43" t="n">
        <f aca="false">IF(Arterial=0,IF(Informed=1,1,0),0)</f>
        <v>0</v>
      </c>
      <c r="AC239" s="43" t="n">
        <f aca="false">IF(Arterial=0,IF(Informed=0,1,0),0)</f>
        <v>1</v>
      </c>
      <c r="AD239" s="43" t="n">
        <f aca="false">IF(Arterial=1,IF(Informed=1,1,0),0)</f>
        <v>0</v>
      </c>
      <c r="AE239" s="43" t="n">
        <f aca="false">IF(Arterial=1,IF(Informed=0,1,0),0)</f>
        <v>0</v>
      </c>
      <c r="AF239" s="35" t="n">
        <f aca="false">IF(AB239=1,(X239-G$1030)^2,0)</f>
        <v>0</v>
      </c>
      <c r="AG239" s="35" t="n">
        <f aca="false">IF(AC239=1,(Y239-H$1030)^2,0)</f>
        <v>3.51674117332882</v>
      </c>
      <c r="AH239" s="35" t="n">
        <f aca="false">IF(AD239=1,(Z239-I$1030)^2,0)</f>
        <v>0</v>
      </c>
      <c r="AI239" s="35" t="n">
        <f aca="false">IF(AE239=1,(AA239-J$1030)^2,0)</f>
        <v>0</v>
      </c>
      <c r="AJ239" s="37" t="n">
        <f aca="true">IF(RAND()&lt;$D$6,1,0)</f>
        <v>0</v>
      </c>
      <c r="AK239" s="14" t="n">
        <f aca="false">AK238+IF((AJ239=1),IF((H239=0),1,0),0)</f>
        <v>0</v>
      </c>
      <c r="AL239" s="14" t="n">
        <f aca="false">AL238+IF((AJ239=1),IF((H239=1),1,0),0)</f>
        <v>0</v>
      </c>
      <c r="AM239" s="37" t="n">
        <f aca="false">IF(AK239=0,9999,IF($H239=0,IF($AJ239&lt;1,AM238+1,0),AM238))</f>
        <v>9999</v>
      </c>
      <c r="AN239" s="37" t="n">
        <f aca="false">IF(AL239=0,9999,IF($H239=1,IF($AJ239&lt;1,AN238+1,0),AN238))</f>
        <v>9999</v>
      </c>
      <c r="AO239" s="37" t="n">
        <f aca="false">IF($A239-AM239&gt;0,1/(1+AM239),0)</f>
        <v>0</v>
      </c>
      <c r="AP239" s="37" t="n">
        <f aca="false">IF($A239-AN239&gt;0,1/(1+AN239),0)</f>
        <v>0</v>
      </c>
      <c r="AQ239" s="7" t="n">
        <f aca="false">IF(AK239=0,0,MAX(MIN(1,AO239^Power),0))</f>
        <v>0</v>
      </c>
      <c r="AR239" s="7" t="n">
        <f aca="false">IF(AL239=0,0,MAX(MIN(1,AP239^Power),0))</f>
        <v>0</v>
      </c>
      <c r="AS239" s="7" t="n">
        <f aca="false">IF($AJ239=1,IF($H239=0,K239,AS238),AS238)</f>
        <v>0</v>
      </c>
      <c r="AT239" s="7" t="n">
        <f aca="false">IF($AJ239=1,IF($H239=1,N239,AT238),AT238)</f>
        <v>0</v>
      </c>
    </row>
    <row r="240" customFormat="false" ht="13" hidden="false" customHeight="false" outlineLevel="0" collapsed="false">
      <c r="A240" s="16" t="n">
        <v>223</v>
      </c>
      <c r="B240" s="37" t="n">
        <f aca="true">IF(RAND()&lt;$D$8,1,0)</f>
        <v>0</v>
      </c>
      <c r="C240" s="20" t="n">
        <f aca="true">-LN(RAND())/$D$2</f>
        <v>0.413793372975003</v>
      </c>
      <c r="D240" s="38" t="n">
        <f aca="false">D239+C240</f>
        <v>246.269424740257</v>
      </c>
      <c r="E240" s="39" t="n">
        <f aca="false">MAX($E$3,AS239)</f>
        <v>0</v>
      </c>
      <c r="F240" s="39" t="n">
        <f aca="false">MAX($E$3,AT239)</f>
        <v>0</v>
      </c>
      <c r="G240" s="40" t="n">
        <v>0.5</v>
      </c>
      <c r="H240" s="38" t="n">
        <f aca="true">IF((B240=1),(IF((F240&lt;E240),1,(IF((F240=E240),(IF(RAND()&lt;G240,1,0)),0)))),(IF((RAND()&lt;G240),1,0)))</f>
        <v>1</v>
      </c>
      <c r="I240" s="38" t="n">
        <f aca="true">IF((H240=1),0,$D$3+$D$5*(RAND()-0.5))</f>
        <v>0</v>
      </c>
      <c r="J240" s="38" t="n">
        <f aca="false">I240+MAX(D240,J239)</f>
        <v>258.654714240602</v>
      </c>
      <c r="K240" s="38" t="n">
        <f aca="false">IF((H240=0),J240-D240,0)</f>
        <v>0</v>
      </c>
      <c r="L240" s="38" t="n">
        <f aca="true">IF(($H240=0),0,$D$4+$D$5*(RAND()-0.5))</f>
        <v>2.03455900636998</v>
      </c>
      <c r="M240" s="38" t="n">
        <f aca="false">L240+MAX(D240,M239)</f>
        <v>265.292861086663</v>
      </c>
      <c r="N240" s="38" t="n">
        <f aca="false">IF((H240=1),M240-D240,0)</f>
        <v>19.0234363464058</v>
      </c>
      <c r="O240" s="16" t="n">
        <v>223</v>
      </c>
      <c r="P240" s="41" t="n">
        <f aca="false">IF((Arterial=0),P239+1,P239)</f>
        <v>103</v>
      </c>
      <c r="Q240" s="41" t="n">
        <f aca="false">IF((Arterial=1),Q239+1,Q239)</f>
        <v>120</v>
      </c>
      <c r="R240" s="42" t="n">
        <f aca="false">IF((RESET=1),0,R240+K240)</f>
        <v>735.014129456769</v>
      </c>
      <c r="S240" s="14" t="e">
        <f aca="false">IF(RESET=1,0,S240+N240)</f>
        <v>#N/A</v>
      </c>
      <c r="T240" s="2" t="n">
        <f aca="false">IF(RESET=1,0,T240+IF(H240=0,1,0))</f>
        <v>47</v>
      </c>
      <c r="U240" s="2" t="e">
        <f aca="false">IF(RESET=1,0,U240+H240)</f>
        <v>#N/A</v>
      </c>
      <c r="V240" s="14" t="n">
        <f aca="false">R240/(T240+0.00001)</f>
        <v>15.6385951717195</v>
      </c>
      <c r="W240" s="14" t="e">
        <f aca="false">S240/(U240+0.0001)</f>
        <v>#N/A</v>
      </c>
      <c r="X240" s="39" t="n">
        <f aca="false">IF(Informed=1,K240,0)</f>
        <v>0</v>
      </c>
      <c r="Y240" s="39" t="n">
        <f aca="false">IF(Informed=0,K240,0)</f>
        <v>0</v>
      </c>
      <c r="Z240" s="39" t="n">
        <f aca="false">IF(Informed=1,N240,0)</f>
        <v>0</v>
      </c>
      <c r="AA240" s="39" t="n">
        <f aca="false">IF(Informed=0,N240,0)</f>
        <v>19.0234363464058</v>
      </c>
      <c r="AB240" s="43" t="n">
        <f aca="false">IF(Arterial=0,IF(Informed=1,1,0),0)</f>
        <v>0</v>
      </c>
      <c r="AC240" s="43" t="n">
        <f aca="false">IF(Arterial=0,IF(Informed=0,1,0),0)</f>
        <v>0</v>
      </c>
      <c r="AD240" s="43" t="n">
        <f aca="false">IF(Arterial=1,IF(Informed=1,1,0),0)</f>
        <v>0</v>
      </c>
      <c r="AE240" s="43" t="n">
        <f aca="false">IF(Arterial=1,IF(Informed=0,1,0),0)</f>
        <v>1</v>
      </c>
      <c r="AF240" s="35" t="n">
        <f aca="false">IF(AB240=1,(X240-G$1030)^2,0)</f>
        <v>0</v>
      </c>
      <c r="AG240" s="35" t="n">
        <f aca="false">IF(AC240=1,(Y240-H$1030)^2,0)</f>
        <v>0</v>
      </c>
      <c r="AH240" s="35" t="n">
        <f aca="false">IF(AD240=1,(Z240-I$1030)^2,0)</f>
        <v>0</v>
      </c>
      <c r="AI240" s="35" t="n">
        <f aca="false">IF(AE240=1,(AA240-J$1030)^2,0)</f>
        <v>111.109279314834</v>
      </c>
      <c r="AJ240" s="37" t="n">
        <f aca="true">IF(RAND()&lt;$D$6,1,0)</f>
        <v>0</v>
      </c>
      <c r="AK240" s="14" t="n">
        <f aca="false">AK239+IF((AJ240=1),IF((H240=0),1,0),0)</f>
        <v>0</v>
      </c>
      <c r="AL240" s="14" t="n">
        <f aca="false">AL239+IF((AJ240=1),IF((H240=1),1,0),0)</f>
        <v>0</v>
      </c>
      <c r="AM240" s="37" t="n">
        <f aca="false">IF(AK240=0,9999,IF($H240=0,IF($AJ240&lt;1,AM239+1,0),AM239))</f>
        <v>9999</v>
      </c>
      <c r="AN240" s="37" t="n">
        <f aca="false">IF(AL240=0,9999,IF($H240=1,IF($AJ240&lt;1,AN239+1,0),AN239))</f>
        <v>9999</v>
      </c>
      <c r="AO240" s="37" t="n">
        <f aca="false">IF($A240-AM240&gt;0,1/(1+AM240),0)</f>
        <v>0</v>
      </c>
      <c r="AP240" s="37" t="n">
        <f aca="false">IF($A240-AN240&gt;0,1/(1+AN240),0)</f>
        <v>0</v>
      </c>
      <c r="AQ240" s="7" t="n">
        <f aca="false">IF(AK240=0,0,MAX(MIN(1,AO240^Power),0))</f>
        <v>0</v>
      </c>
      <c r="AR240" s="7" t="n">
        <f aca="false">IF(AL240=0,0,MAX(MIN(1,AP240^Power),0))</f>
        <v>0</v>
      </c>
      <c r="AS240" s="7" t="n">
        <f aca="false">IF($AJ240=1,IF($H240=0,K240,AS239),AS239)</f>
        <v>0</v>
      </c>
      <c r="AT240" s="7" t="n">
        <f aca="false">IF($AJ240=1,IF($H240=1,N240,AT239),AT239)</f>
        <v>0</v>
      </c>
    </row>
    <row r="241" customFormat="false" ht="13" hidden="false" customHeight="false" outlineLevel="0" collapsed="false">
      <c r="A241" s="16" t="n">
        <v>224</v>
      </c>
      <c r="B241" s="37" t="n">
        <f aca="true">IF(RAND()&lt;$D$8,1,0)</f>
        <v>1</v>
      </c>
      <c r="C241" s="20" t="n">
        <f aca="true">-LN(RAND())/$D$2</f>
        <v>3.44935188622716</v>
      </c>
      <c r="D241" s="38" t="n">
        <f aca="false">D240+C241</f>
        <v>249.718776626484</v>
      </c>
      <c r="E241" s="39" t="n">
        <f aca="false">MAX($E$3,AS240)</f>
        <v>0</v>
      </c>
      <c r="F241" s="39" t="n">
        <f aca="false">MAX($E$3,AT240)</f>
        <v>0</v>
      </c>
      <c r="G241" s="40" t="n">
        <v>0.5</v>
      </c>
      <c r="H241" s="38" t="n">
        <f aca="true">IF((B241=1),(IF((F241&lt;E241),1,(IF((F241=E241),(IF(RAND()&lt;G241,1,0)),0)))),(IF((RAND()&lt;G241),1,0)))</f>
        <v>0</v>
      </c>
      <c r="I241" s="38" t="n">
        <f aca="true">IF((H241=1),0,$D$3+$D$5*(RAND()-0.5))</f>
        <v>1.96231940797551</v>
      </c>
      <c r="J241" s="38" t="n">
        <f aca="false">I241+MAX(D241,J240)</f>
        <v>260.617033648577</v>
      </c>
      <c r="K241" s="38" t="n">
        <f aca="false">IF((H241=0),J241-D241,0)</f>
        <v>10.8982570220931</v>
      </c>
      <c r="L241" s="38" t="n">
        <f aca="true">IF(($H241=0),0,$D$4+$D$5*(RAND()-0.5))</f>
        <v>0</v>
      </c>
      <c r="M241" s="38" t="n">
        <f aca="false">L241+MAX(D241,M240)</f>
        <v>265.292861086663</v>
      </c>
      <c r="N241" s="38" t="n">
        <f aca="false">IF((H241=1),M241-D241,0)</f>
        <v>0</v>
      </c>
      <c r="O241" s="16" t="n">
        <v>224</v>
      </c>
      <c r="P241" s="41" t="n">
        <f aca="false">IF((Arterial=0),P240+1,P240)</f>
        <v>104</v>
      </c>
      <c r="Q241" s="41" t="n">
        <f aca="false">IF((Arterial=1),Q240+1,Q240)</f>
        <v>120</v>
      </c>
      <c r="R241" s="42" t="e">
        <f aca="false">IF((RESET=1),0,R241+K241)</f>
        <v>#N/A</v>
      </c>
      <c r="S241" s="14" t="n">
        <f aca="false">IF(RESET=1,0,S241+N241)</f>
        <v>481.258944769254</v>
      </c>
      <c r="T241" s="2" t="e">
        <f aca="false">IF(RESET=1,0,T241+IF(H241=0,1,0))</f>
        <v>#N/A</v>
      </c>
      <c r="U241" s="2" t="n">
        <f aca="false">IF(RESET=1,0,U241+H241)</f>
        <v>45</v>
      </c>
      <c r="V241" s="14" t="e">
        <f aca="false">R241/(T241+0.00001)</f>
        <v>#N/A</v>
      </c>
      <c r="W241" s="14" t="n">
        <f aca="false">S241/(U241+0.0001)</f>
        <v>10.6946194512735</v>
      </c>
      <c r="X241" s="39" t="n">
        <f aca="false">IF(Informed=1,K241,0)</f>
        <v>10.8982570220931</v>
      </c>
      <c r="Y241" s="39" t="n">
        <f aca="false">IF(Informed=0,K241,0)</f>
        <v>0</v>
      </c>
      <c r="Z241" s="39" t="n">
        <f aca="false">IF(Informed=1,N241,0)</f>
        <v>0</v>
      </c>
      <c r="AA241" s="39" t="n">
        <f aca="false">IF(Informed=0,N241,0)</f>
        <v>0</v>
      </c>
      <c r="AB241" s="43" t="n">
        <f aca="false">IF(Arterial=0,IF(Informed=1,1,0),0)</f>
        <v>1</v>
      </c>
      <c r="AC241" s="43" t="n">
        <f aca="false">IF(Arterial=0,IF(Informed=0,1,0),0)</f>
        <v>0</v>
      </c>
      <c r="AD241" s="43" t="n">
        <f aca="false">IF(Arterial=1,IF(Informed=1,1,0),0)</f>
        <v>0</v>
      </c>
      <c r="AE241" s="43" t="n">
        <f aca="false">IF(Arterial=1,IF(Informed=0,1,0),0)</f>
        <v>0</v>
      </c>
      <c r="AF241" s="35" t="n">
        <f aca="false">IF(AB241=1,(X241-G$1030)^2,0)</f>
        <v>0.0355619563850447</v>
      </c>
      <c r="AG241" s="35" t="n">
        <f aca="false">IF(AC241=1,(Y241-H$1030)^2,0)</f>
        <v>0</v>
      </c>
      <c r="AH241" s="35" t="n">
        <f aca="false">IF(AD241=1,(Z241-I$1030)^2,0)</f>
        <v>0</v>
      </c>
      <c r="AI241" s="35" t="n">
        <f aca="false">IF(AE241=1,(AA241-J$1030)^2,0)</f>
        <v>0</v>
      </c>
      <c r="AJ241" s="37" t="n">
        <f aca="true">IF(RAND()&lt;$D$6,1,0)</f>
        <v>0</v>
      </c>
      <c r="AK241" s="14" t="n">
        <f aca="false">AK240+IF((AJ241=1),IF((H241=0),1,0),0)</f>
        <v>0</v>
      </c>
      <c r="AL241" s="14" t="n">
        <f aca="false">AL240+IF((AJ241=1),IF((H241=1),1,0),0)</f>
        <v>0</v>
      </c>
      <c r="AM241" s="37" t="n">
        <f aca="false">IF(AK241=0,9999,IF($H241=0,IF($AJ241&lt;1,AM240+1,0),AM240))</f>
        <v>9999</v>
      </c>
      <c r="AN241" s="37" t="n">
        <f aca="false">IF(AL241=0,9999,IF($H241=1,IF($AJ241&lt;1,AN240+1,0),AN240))</f>
        <v>9999</v>
      </c>
      <c r="AO241" s="37" t="n">
        <f aca="false">IF($A241-AM241&gt;0,1/(1+AM241),0)</f>
        <v>0</v>
      </c>
      <c r="AP241" s="37" t="n">
        <f aca="false">IF($A241-AN241&gt;0,1/(1+AN241),0)</f>
        <v>0</v>
      </c>
      <c r="AQ241" s="7" t="n">
        <f aca="false">IF(AK241=0,0,MAX(MIN(1,AO241^Power),0))</f>
        <v>0</v>
      </c>
      <c r="AR241" s="7" t="n">
        <f aca="false">IF(AL241=0,0,MAX(MIN(1,AP241^Power),0))</f>
        <v>0</v>
      </c>
      <c r="AS241" s="7" t="n">
        <f aca="false">IF($AJ241=1,IF($H241=0,K241,AS240),AS240)</f>
        <v>0</v>
      </c>
      <c r="AT241" s="7" t="n">
        <f aca="false">IF($AJ241=1,IF($H241=1,N241,AT240),AT240)</f>
        <v>0</v>
      </c>
    </row>
    <row r="242" customFormat="false" ht="13" hidden="false" customHeight="false" outlineLevel="0" collapsed="false">
      <c r="A242" s="16" t="n">
        <v>225</v>
      </c>
      <c r="B242" s="37" t="n">
        <f aca="true">IF(RAND()&lt;$D$8,1,0)</f>
        <v>1</v>
      </c>
      <c r="C242" s="20" t="n">
        <f aca="true">-LN(RAND())/$D$2</f>
        <v>0.0793539538499519</v>
      </c>
      <c r="D242" s="38" t="n">
        <f aca="false">D241+C242</f>
        <v>249.798130580334</v>
      </c>
      <c r="E242" s="39" t="n">
        <f aca="false">MAX($E$3,AS241)</f>
        <v>0</v>
      </c>
      <c r="F242" s="39" t="n">
        <f aca="false">MAX($E$3,AT241)</f>
        <v>0</v>
      </c>
      <c r="G242" s="40" t="n">
        <v>0.5</v>
      </c>
      <c r="H242" s="38" t="n">
        <f aca="true">IF((B242=1),(IF((F242&lt;E242),1,(IF((F242=E242),(IF(RAND()&lt;G242,1,0)),0)))),(IF((RAND()&lt;G242),1,0)))</f>
        <v>1</v>
      </c>
      <c r="I242" s="38" t="n">
        <f aca="true">IF((H242=1),0,$D$3+$D$5*(RAND()-0.5))</f>
        <v>0</v>
      </c>
      <c r="J242" s="38" t="n">
        <f aca="false">I242+MAX(D242,J241)</f>
        <v>260.617033648577</v>
      </c>
      <c r="K242" s="38" t="n">
        <f aca="false">IF((H242=0),J242-D242,0)</f>
        <v>0</v>
      </c>
      <c r="L242" s="38" t="n">
        <f aca="true">IF(($H242=0),0,$D$4+$D$5*(RAND()-0.5))</f>
        <v>1.88245303968824</v>
      </c>
      <c r="M242" s="38" t="n">
        <f aca="false">L242+MAX(D242,M241)</f>
        <v>267.175314126351</v>
      </c>
      <c r="N242" s="38" t="n">
        <f aca="false">IF((H242=1),M242-D242,0)</f>
        <v>17.3771835460169</v>
      </c>
      <c r="O242" s="16" t="n">
        <v>225</v>
      </c>
      <c r="P242" s="41" t="n">
        <f aca="false">IF((Arterial=0),P241+1,P241)</f>
        <v>104</v>
      </c>
      <c r="Q242" s="41" t="n">
        <f aca="false">IF((Arterial=1),Q241+1,Q241)</f>
        <v>121</v>
      </c>
      <c r="R242" s="42" t="n">
        <f aca="false">IF((RESET=1),0,R242+K242)</f>
        <v>482.285167872455</v>
      </c>
      <c r="S242" s="14" t="e">
        <f aca="false">IF(RESET=1,0,S242+N242)</f>
        <v>#N/A</v>
      </c>
      <c r="T242" s="2" t="n">
        <f aca="false">IF(RESET=1,0,T242+IF(H242=0,1,0))</f>
        <v>41</v>
      </c>
      <c r="U242" s="2" t="e">
        <f aca="false">IF(RESET=1,0,U242+H242)</f>
        <v>#N/A</v>
      </c>
      <c r="V242" s="14" t="n">
        <f aca="false">R242/(T242+0.00001)</f>
        <v>11.7630500059013</v>
      </c>
      <c r="W242" s="14" t="e">
        <f aca="false">S242/(U242+0.0001)</f>
        <v>#N/A</v>
      </c>
      <c r="X242" s="39" t="n">
        <f aca="false">IF(Informed=1,K242,0)</f>
        <v>0</v>
      </c>
      <c r="Y242" s="39" t="n">
        <f aca="false">IF(Informed=0,K242,0)</f>
        <v>0</v>
      </c>
      <c r="Z242" s="39" t="n">
        <f aca="false">IF(Informed=1,N242,0)</f>
        <v>17.3771835460169</v>
      </c>
      <c r="AA242" s="39" t="n">
        <f aca="false">IF(Informed=0,N242,0)</f>
        <v>0</v>
      </c>
      <c r="AB242" s="43" t="n">
        <f aca="false">IF(Arterial=0,IF(Informed=1,1,0),0)</f>
        <v>0</v>
      </c>
      <c r="AC242" s="43" t="n">
        <f aca="false">IF(Arterial=0,IF(Informed=0,1,0),0)</f>
        <v>0</v>
      </c>
      <c r="AD242" s="43" t="n">
        <f aca="false">IF(Arterial=1,IF(Informed=1,1,0),0)</f>
        <v>1</v>
      </c>
      <c r="AE242" s="43" t="n">
        <f aca="false">IF(Arterial=1,IF(Informed=0,1,0),0)</f>
        <v>0</v>
      </c>
      <c r="AF242" s="35" t="n">
        <f aca="false">IF(AB242=1,(X242-G$1030)^2,0)</f>
        <v>0</v>
      </c>
      <c r="AG242" s="35" t="n">
        <f aca="false">IF(AC242=1,(Y242-H$1030)^2,0)</f>
        <v>0</v>
      </c>
      <c r="AH242" s="35" t="n">
        <f aca="false">IF(AD242=1,(Z242-I$1030)^2,0)</f>
        <v>120.948332955461</v>
      </c>
      <c r="AI242" s="35" t="n">
        <f aca="false">IF(AE242=1,(AA242-J$1030)^2,0)</f>
        <v>0</v>
      </c>
      <c r="AJ242" s="37" t="n">
        <f aca="true">IF(RAND()&lt;$D$6,1,0)</f>
        <v>0</v>
      </c>
      <c r="AK242" s="14" t="n">
        <f aca="false">AK241+IF((AJ242=1),IF((H242=0),1,0),0)</f>
        <v>0</v>
      </c>
      <c r="AL242" s="14" t="n">
        <f aca="false">AL241+IF((AJ242=1),IF((H242=1),1,0),0)</f>
        <v>0</v>
      </c>
      <c r="AM242" s="37" t="n">
        <f aca="false">IF(AK242=0,9999,IF($H242=0,IF($AJ242&lt;1,AM241+1,0),AM241))</f>
        <v>9999</v>
      </c>
      <c r="AN242" s="37" t="n">
        <f aca="false">IF(AL242=0,9999,IF($H242=1,IF($AJ242&lt;1,AN241+1,0),AN241))</f>
        <v>9999</v>
      </c>
      <c r="AO242" s="37" t="n">
        <f aca="false">IF($A242-AM242&gt;0,1/(1+AM242),0)</f>
        <v>0</v>
      </c>
      <c r="AP242" s="37" t="n">
        <f aca="false">IF($A242-AN242&gt;0,1/(1+AN242),0)</f>
        <v>0</v>
      </c>
      <c r="AQ242" s="7" t="n">
        <f aca="false">IF(AK242=0,0,MAX(MIN(1,AO242^Power),0))</f>
        <v>0</v>
      </c>
      <c r="AR242" s="7" t="n">
        <f aca="false">IF(AL242=0,0,MAX(MIN(1,AP242^Power),0))</f>
        <v>0</v>
      </c>
      <c r="AS242" s="7" t="n">
        <f aca="false">IF($AJ242=1,IF($H242=0,K242,AS241),AS241)</f>
        <v>0</v>
      </c>
      <c r="AT242" s="7" t="n">
        <f aca="false">IF($AJ242=1,IF($H242=1,N242,AT241),AT241)</f>
        <v>0</v>
      </c>
    </row>
    <row r="243" customFormat="false" ht="13" hidden="false" customHeight="false" outlineLevel="0" collapsed="false">
      <c r="A243" s="16" t="n">
        <v>226</v>
      </c>
      <c r="B243" s="37" t="n">
        <f aca="true">IF(RAND()&lt;$D$8,1,0)</f>
        <v>0</v>
      </c>
      <c r="C243" s="20" t="n">
        <f aca="true">-LN(RAND())/$D$2</f>
        <v>0.816089909884654</v>
      </c>
      <c r="D243" s="38" t="n">
        <f aca="false">D242+C243</f>
        <v>250.614220490219</v>
      </c>
      <c r="E243" s="39" t="n">
        <f aca="false">MAX($E$3,AS242)</f>
        <v>0</v>
      </c>
      <c r="F243" s="39" t="n">
        <f aca="false">MAX($E$3,AT242)</f>
        <v>0</v>
      </c>
      <c r="G243" s="40" t="n">
        <v>0.5</v>
      </c>
      <c r="H243" s="38" t="n">
        <f aca="true">IF((B243=1),(IF((F243&lt;E243),1,(IF((F243=E243),(IF(RAND()&lt;G243,1,0)),0)))),(IF((RAND()&lt;G243),1,0)))</f>
        <v>1</v>
      </c>
      <c r="I243" s="38" t="n">
        <f aca="true">IF((H243=1),0,$D$3+$D$5*(RAND()-0.5))</f>
        <v>0</v>
      </c>
      <c r="J243" s="38" t="n">
        <f aca="false">I243+MAX(D243,J242)</f>
        <v>260.617033648577</v>
      </c>
      <c r="K243" s="38" t="n">
        <f aca="false">IF((H243=0),J243-D243,0)</f>
        <v>0</v>
      </c>
      <c r="L243" s="38" t="n">
        <f aca="true">IF(($H243=0),0,$D$4+$D$5*(RAND()-0.5))</f>
        <v>2.10213990421892</v>
      </c>
      <c r="M243" s="38" t="n">
        <f aca="false">L243+MAX(D243,M242)</f>
        <v>269.27745403057</v>
      </c>
      <c r="N243" s="38" t="n">
        <f aca="false">IF((H243=1),M243-D243,0)</f>
        <v>18.6632335403511</v>
      </c>
      <c r="O243" s="16" t="n">
        <v>226</v>
      </c>
      <c r="P243" s="41" t="n">
        <f aca="false">IF((Arterial=0),P242+1,P242)</f>
        <v>104</v>
      </c>
      <c r="Q243" s="41" t="n">
        <f aca="false">IF((Arterial=1),Q242+1,Q242)</f>
        <v>122</v>
      </c>
      <c r="R243" s="42" t="n">
        <f aca="false">IF((RESET=1),0,R243+K243)</f>
        <v>472.562980599673</v>
      </c>
      <c r="S243" s="14" t="e">
        <f aca="false">IF(RESET=1,0,S243+N243)</f>
        <v>#N/A</v>
      </c>
      <c r="T243" s="2" t="n">
        <f aca="false">IF(RESET=1,0,T243+IF(H243=0,1,0))</f>
        <v>38</v>
      </c>
      <c r="U243" s="2" t="e">
        <f aca="false">IF(RESET=1,0,U243+H243)</f>
        <v>#N/A</v>
      </c>
      <c r="V243" s="14" t="n">
        <f aca="false">R243/(T243+0.00001)</f>
        <v>12.4358646379218</v>
      </c>
      <c r="W243" s="14" t="e">
        <f aca="false">S243/(U243+0.0001)</f>
        <v>#N/A</v>
      </c>
      <c r="X243" s="39" t="n">
        <f aca="false">IF(Informed=1,K243,0)</f>
        <v>0</v>
      </c>
      <c r="Y243" s="39" t="n">
        <f aca="false">IF(Informed=0,K243,0)</f>
        <v>0</v>
      </c>
      <c r="Z243" s="39" t="n">
        <f aca="false">IF(Informed=1,N243,0)</f>
        <v>0</v>
      </c>
      <c r="AA243" s="39" t="n">
        <f aca="false">IF(Informed=0,N243,0)</f>
        <v>18.6632335403511</v>
      </c>
      <c r="AB243" s="43" t="n">
        <f aca="false">IF(Arterial=0,IF(Informed=1,1,0),0)</f>
        <v>0</v>
      </c>
      <c r="AC243" s="43" t="n">
        <f aca="false">IF(Arterial=0,IF(Informed=0,1,0),0)</f>
        <v>0</v>
      </c>
      <c r="AD243" s="43" t="n">
        <f aca="false">IF(Arterial=1,IF(Informed=1,1,0),0)</f>
        <v>0</v>
      </c>
      <c r="AE243" s="43" t="n">
        <f aca="false">IF(Arterial=1,IF(Informed=0,1,0),0)</f>
        <v>1</v>
      </c>
      <c r="AF243" s="35" t="n">
        <f aca="false">IF(AB243=1,(X243-G$1030)^2,0)</f>
        <v>0</v>
      </c>
      <c r="AG243" s="35" t="n">
        <f aca="false">IF(AC243=1,(Y243-H$1030)^2,0)</f>
        <v>0</v>
      </c>
      <c r="AH243" s="35" t="n">
        <f aca="false">IF(AD243=1,(Z243-I$1030)^2,0)</f>
        <v>0</v>
      </c>
      <c r="AI243" s="35" t="n">
        <f aca="false">IF(AE243=1,(AA243-J$1030)^2,0)</f>
        <v>118.832704691663</v>
      </c>
      <c r="AJ243" s="37" t="n">
        <f aca="true">IF(RAND()&lt;$D$6,1,0)</f>
        <v>0</v>
      </c>
      <c r="AK243" s="14" t="n">
        <f aca="false">AK242+IF((AJ243=1),IF((H243=0),1,0),0)</f>
        <v>0</v>
      </c>
      <c r="AL243" s="14" t="n">
        <f aca="false">AL242+IF((AJ243=1),IF((H243=1),1,0),0)</f>
        <v>0</v>
      </c>
      <c r="AM243" s="37" t="n">
        <f aca="false">IF(AK243=0,9999,IF($H243=0,IF($AJ243&lt;1,AM242+1,0),AM242))</f>
        <v>9999</v>
      </c>
      <c r="AN243" s="37" t="n">
        <f aca="false">IF(AL243=0,9999,IF($H243=1,IF($AJ243&lt;1,AN242+1,0),AN242))</f>
        <v>9999</v>
      </c>
      <c r="AO243" s="37" t="n">
        <f aca="false">IF($A243-AM243&gt;0,1/(1+AM243),0)</f>
        <v>0</v>
      </c>
      <c r="AP243" s="37" t="n">
        <f aca="false">IF($A243-AN243&gt;0,1/(1+AN243),0)</f>
        <v>0</v>
      </c>
      <c r="AQ243" s="7" t="n">
        <f aca="false">IF(AK243=0,0,MAX(MIN(1,AO243^Power),0))</f>
        <v>0</v>
      </c>
      <c r="AR243" s="7" t="n">
        <f aca="false">IF(AL243=0,0,MAX(MIN(1,AP243^Power),0))</f>
        <v>0</v>
      </c>
      <c r="AS243" s="7" t="n">
        <f aca="false">IF($AJ243=1,IF($H243=0,K243,AS242),AS242)</f>
        <v>0</v>
      </c>
      <c r="AT243" s="7" t="n">
        <f aca="false">IF($AJ243=1,IF($H243=1,N243,AT242),AT242)</f>
        <v>0</v>
      </c>
    </row>
    <row r="244" customFormat="false" ht="13" hidden="false" customHeight="false" outlineLevel="0" collapsed="false">
      <c r="A244" s="16" t="n">
        <v>227</v>
      </c>
      <c r="B244" s="37" t="n">
        <f aca="true">IF(RAND()&lt;$D$8,1,0)</f>
        <v>1</v>
      </c>
      <c r="C244" s="20" t="n">
        <f aca="true">-LN(RAND())/$D$2</f>
        <v>1.27814616898304</v>
      </c>
      <c r="D244" s="38" t="n">
        <f aca="false">D243+C244</f>
        <v>251.892366659202</v>
      </c>
      <c r="E244" s="39" t="n">
        <f aca="false">MAX($E$3,AS243)</f>
        <v>0</v>
      </c>
      <c r="F244" s="39" t="n">
        <f aca="false">MAX($E$3,AT243)</f>
        <v>0</v>
      </c>
      <c r="G244" s="40" t="n">
        <v>0.5</v>
      </c>
      <c r="H244" s="38" t="n">
        <f aca="true">IF((B244=1),(IF((F244&lt;E244),1,(IF((F244=E244),(IF(RAND()&lt;G244,1,0)),0)))),(IF((RAND()&lt;G244),1,0)))</f>
        <v>0</v>
      </c>
      <c r="I244" s="38" t="n">
        <f aca="true">IF((H244=1),0,$D$3+$D$5*(RAND()-0.5))</f>
        <v>1.8110154089202</v>
      </c>
      <c r="J244" s="38" t="n">
        <f aca="false">I244+MAX(D244,J243)</f>
        <v>262.428049057497</v>
      </c>
      <c r="K244" s="38" t="n">
        <f aca="false">IF((H244=0),J244-D244,0)</f>
        <v>10.5356823982956</v>
      </c>
      <c r="L244" s="38" t="n">
        <f aca="true">IF(($H244=0),0,$D$4+$D$5*(RAND()-0.5))</f>
        <v>0</v>
      </c>
      <c r="M244" s="38" t="n">
        <f aca="false">L244+MAX(D244,M243)</f>
        <v>269.27745403057</v>
      </c>
      <c r="N244" s="38" t="n">
        <f aca="false">IF((H244=1),M244-D244,0)</f>
        <v>0</v>
      </c>
      <c r="O244" s="16" t="n">
        <v>227</v>
      </c>
      <c r="P244" s="41" t="n">
        <f aca="false">IF((Arterial=0),P243+1,P243)</f>
        <v>105</v>
      </c>
      <c r="Q244" s="41" t="n">
        <f aca="false">IF((Arterial=1),Q243+1,Q243)</f>
        <v>122</v>
      </c>
      <c r="R244" s="42" t="e">
        <f aca="false">IF((RESET=1),0,R244+K244)</f>
        <v>#N/A</v>
      </c>
      <c r="S244" s="14" t="n">
        <f aca="false">IF(RESET=1,0,S244+N244)</f>
        <v>474.053385964167</v>
      </c>
      <c r="T244" s="2" t="e">
        <f aca="false">IF(RESET=1,0,T244+IF(H244=0,1,0))</f>
        <v>#N/A</v>
      </c>
      <c r="U244" s="2" t="n">
        <f aca="false">IF(RESET=1,0,U244+H244)</f>
        <v>41</v>
      </c>
      <c r="V244" s="14" t="e">
        <f aca="false">R244/(T244+0.00001)</f>
        <v>#N/A</v>
      </c>
      <c r="W244" s="14" t="n">
        <f aca="false">S244/(U244+0.0001)</f>
        <v>11.5622495058346</v>
      </c>
      <c r="X244" s="39" t="n">
        <f aca="false">IF(Informed=1,K244,0)</f>
        <v>10.5356823982956</v>
      </c>
      <c r="Y244" s="39" t="n">
        <f aca="false">IF(Informed=0,K244,0)</f>
        <v>0</v>
      </c>
      <c r="Z244" s="39" t="n">
        <f aca="false">IF(Informed=1,N244,0)</f>
        <v>0</v>
      </c>
      <c r="AA244" s="39" t="n">
        <f aca="false">IF(Informed=0,N244,0)</f>
        <v>0</v>
      </c>
      <c r="AB244" s="43" t="n">
        <f aca="false">IF(Arterial=0,IF(Informed=1,1,0),0)</f>
        <v>1</v>
      </c>
      <c r="AC244" s="43" t="n">
        <f aca="false">IF(Arterial=0,IF(Informed=0,1,0),0)</f>
        <v>0</v>
      </c>
      <c r="AD244" s="43" t="n">
        <f aca="false">IF(Arterial=1,IF(Informed=1,1,0),0)</f>
        <v>0</v>
      </c>
      <c r="AE244" s="43" t="n">
        <f aca="false">IF(Arterial=1,IF(Informed=0,1,0),0)</f>
        <v>0</v>
      </c>
      <c r="AF244" s="35" t="n">
        <f aca="false">IF(AB244=1,(X244-G$1030)^2,0)</f>
        <v>0.0302745535492161</v>
      </c>
      <c r="AG244" s="35" t="n">
        <f aca="false">IF(AC244=1,(Y244-H$1030)^2,0)</f>
        <v>0</v>
      </c>
      <c r="AH244" s="35" t="n">
        <f aca="false">IF(AD244=1,(Z244-I$1030)^2,0)</f>
        <v>0</v>
      </c>
      <c r="AI244" s="35" t="n">
        <f aca="false">IF(AE244=1,(AA244-J$1030)^2,0)</f>
        <v>0</v>
      </c>
      <c r="AJ244" s="37" t="n">
        <f aca="true">IF(RAND()&lt;$D$6,1,0)</f>
        <v>0</v>
      </c>
      <c r="AK244" s="14" t="n">
        <f aca="false">AK243+IF((AJ244=1),IF((H244=0),1,0),0)</f>
        <v>0</v>
      </c>
      <c r="AL244" s="14" t="n">
        <f aca="false">AL243+IF((AJ244=1),IF((H244=1),1,0),0)</f>
        <v>0</v>
      </c>
      <c r="AM244" s="37" t="n">
        <f aca="false">IF(AK244=0,9999,IF($H244=0,IF($AJ244&lt;1,AM243+1,0),AM243))</f>
        <v>9999</v>
      </c>
      <c r="AN244" s="37" t="n">
        <f aca="false">IF(AL244=0,9999,IF($H244=1,IF($AJ244&lt;1,AN243+1,0),AN243))</f>
        <v>9999</v>
      </c>
      <c r="AO244" s="37" t="n">
        <f aca="false">IF($A244-AM244&gt;0,1/(1+AM244),0)</f>
        <v>0</v>
      </c>
      <c r="AP244" s="37" t="n">
        <f aca="false">IF($A244-AN244&gt;0,1/(1+AN244),0)</f>
        <v>0</v>
      </c>
      <c r="AQ244" s="7" t="n">
        <f aca="false">IF(AK244=0,0,MAX(MIN(1,AO244^Power),0))</f>
        <v>0</v>
      </c>
      <c r="AR244" s="7" t="n">
        <f aca="false">IF(AL244=0,0,MAX(MIN(1,AP244^Power),0))</f>
        <v>0</v>
      </c>
      <c r="AS244" s="7" t="n">
        <f aca="false">IF($AJ244=1,IF($H244=0,K244,AS243),AS243)</f>
        <v>0</v>
      </c>
      <c r="AT244" s="7" t="n">
        <f aca="false">IF($AJ244=1,IF($H244=1,N244,AT243),AT243)</f>
        <v>0</v>
      </c>
    </row>
    <row r="245" customFormat="false" ht="13" hidden="false" customHeight="false" outlineLevel="0" collapsed="false">
      <c r="A245" s="16" t="n">
        <v>228</v>
      </c>
      <c r="B245" s="37" t="n">
        <f aca="true">IF(RAND()&lt;$D$8,1,0)</f>
        <v>1</v>
      </c>
      <c r="C245" s="20" t="n">
        <f aca="true">-LN(RAND())/$D$2</f>
        <v>0.915111804736365</v>
      </c>
      <c r="D245" s="38" t="n">
        <f aca="false">D244+C245</f>
        <v>252.807478463938</v>
      </c>
      <c r="E245" s="39" t="n">
        <f aca="false">MAX($E$3,AS244)</f>
        <v>0</v>
      </c>
      <c r="F245" s="39" t="n">
        <f aca="false">MAX($E$3,AT244)</f>
        <v>0</v>
      </c>
      <c r="G245" s="40" t="n">
        <v>0.5</v>
      </c>
      <c r="H245" s="38" t="n">
        <f aca="true">IF((B245=1),(IF((F245&lt;E245),1,(IF((F245=E245),(IF(RAND()&lt;G245,1,0)),0)))),(IF((RAND()&lt;G245),1,0)))</f>
        <v>1</v>
      </c>
      <c r="I245" s="38" t="n">
        <f aca="true">IF((H245=1),0,$D$3+$D$5*(RAND()-0.5))</f>
        <v>0</v>
      </c>
      <c r="J245" s="38" t="n">
        <f aca="false">I245+MAX(D245,J244)</f>
        <v>262.428049057497</v>
      </c>
      <c r="K245" s="38" t="n">
        <f aca="false">IF((H245=0),J245-D245,0)</f>
        <v>0</v>
      </c>
      <c r="L245" s="38" t="n">
        <f aca="true">IF(($H245=0),0,$D$4+$D$5*(RAND()-0.5))</f>
        <v>2.19813467058611</v>
      </c>
      <c r="M245" s="38" t="n">
        <f aca="false">L245+MAX(D245,M244)</f>
        <v>271.475588701156</v>
      </c>
      <c r="N245" s="38" t="n">
        <f aca="false">IF((H245=1),M245-D245,0)</f>
        <v>18.6681102372179</v>
      </c>
      <c r="O245" s="16" t="n">
        <v>228</v>
      </c>
      <c r="P245" s="41" t="n">
        <f aca="false">IF((Arterial=0),P244+1,P244)</f>
        <v>105</v>
      </c>
      <c r="Q245" s="41" t="n">
        <f aca="false">IF((Arterial=1),Q244+1,Q244)</f>
        <v>123</v>
      </c>
      <c r="R245" s="42" t="n">
        <f aca="false">IF((RESET=1),0,R245+K245)</f>
        <v>547.85584949826</v>
      </c>
      <c r="S245" s="14" t="e">
        <f aca="false">IF(RESET=1,0,S245+N245)</f>
        <v>#N/A</v>
      </c>
      <c r="T245" s="2" t="n">
        <f aca="false">IF(RESET=1,0,T245+IF(H245=0,1,0))</f>
        <v>38</v>
      </c>
      <c r="U245" s="2" t="e">
        <f aca="false">IF(RESET=1,0,U245+H245)</f>
        <v>#N/A</v>
      </c>
      <c r="V245" s="14" t="n">
        <f aca="false">R245/(T245+0.00001)</f>
        <v>14.4172554033081</v>
      </c>
      <c r="W245" s="14" t="e">
        <f aca="false">S245/(U245+0.0001)</f>
        <v>#N/A</v>
      </c>
      <c r="X245" s="39" t="n">
        <f aca="false">IF(Informed=1,K245,0)</f>
        <v>0</v>
      </c>
      <c r="Y245" s="39" t="n">
        <f aca="false">IF(Informed=0,K245,0)</f>
        <v>0</v>
      </c>
      <c r="Z245" s="39" t="n">
        <f aca="false">IF(Informed=1,N245,0)</f>
        <v>18.6681102372179</v>
      </c>
      <c r="AA245" s="39" t="n">
        <f aca="false">IF(Informed=0,N245,0)</f>
        <v>0</v>
      </c>
      <c r="AB245" s="43" t="n">
        <f aca="false">IF(Arterial=0,IF(Informed=1,1,0),0)</f>
        <v>0</v>
      </c>
      <c r="AC245" s="43" t="n">
        <f aca="false">IF(Arterial=0,IF(Informed=0,1,0),0)</f>
        <v>0</v>
      </c>
      <c r="AD245" s="43" t="n">
        <f aca="false">IF(Arterial=1,IF(Informed=1,1,0),0)</f>
        <v>1</v>
      </c>
      <c r="AE245" s="43" t="n">
        <f aca="false">IF(Arterial=1,IF(Informed=0,1,0),0)</f>
        <v>0</v>
      </c>
      <c r="AF245" s="35" t="n">
        <f aca="false">IF(AB245=1,(X245-G$1030)^2,0)</f>
        <v>0</v>
      </c>
      <c r="AG245" s="35" t="n">
        <f aca="false">IF(AC245=1,(Y245-H$1030)^2,0)</f>
        <v>0</v>
      </c>
      <c r="AH245" s="35" t="n">
        <f aca="false">IF(AD245=1,(Z245-I$1030)^2,0)</f>
        <v>94.2205016064063</v>
      </c>
      <c r="AI245" s="35" t="n">
        <f aca="false">IF(AE245=1,(AA245-J$1030)^2,0)</f>
        <v>0</v>
      </c>
      <c r="AJ245" s="37" t="n">
        <f aca="true">IF(RAND()&lt;$D$6,1,0)</f>
        <v>0</v>
      </c>
      <c r="AK245" s="14" t="n">
        <f aca="false">AK244+IF((AJ245=1),IF((H245=0),1,0),0)</f>
        <v>0</v>
      </c>
      <c r="AL245" s="14" t="n">
        <f aca="false">AL244+IF((AJ245=1),IF((H245=1),1,0),0)</f>
        <v>0</v>
      </c>
      <c r="AM245" s="37" t="n">
        <f aca="false">IF(AK245=0,9999,IF($H245=0,IF($AJ245&lt;1,AM244+1,0),AM244))</f>
        <v>9999</v>
      </c>
      <c r="AN245" s="37" t="n">
        <f aca="false">IF(AL245=0,9999,IF($H245=1,IF($AJ245&lt;1,AN244+1,0),AN244))</f>
        <v>9999</v>
      </c>
      <c r="AO245" s="37" t="n">
        <f aca="false">IF($A245-AM245&gt;0,1/(1+AM245),0)</f>
        <v>0</v>
      </c>
      <c r="AP245" s="37" t="n">
        <f aca="false">IF($A245-AN245&gt;0,1/(1+AN245),0)</f>
        <v>0</v>
      </c>
      <c r="AQ245" s="7" t="n">
        <f aca="false">IF(AK245=0,0,MAX(MIN(1,AO245^Power),0))</f>
        <v>0</v>
      </c>
      <c r="AR245" s="7" t="n">
        <f aca="false">IF(AL245=0,0,MAX(MIN(1,AP245^Power),0))</f>
        <v>0</v>
      </c>
      <c r="AS245" s="7" t="n">
        <f aca="false">IF($AJ245=1,IF($H245=0,K245,AS244),AS244)</f>
        <v>0</v>
      </c>
      <c r="AT245" s="7" t="n">
        <f aca="false">IF($AJ245=1,IF($H245=1,N245,AT244),AT244)</f>
        <v>0</v>
      </c>
    </row>
    <row r="246" customFormat="false" ht="13" hidden="false" customHeight="false" outlineLevel="0" collapsed="false">
      <c r="A246" s="16" t="n">
        <v>229</v>
      </c>
      <c r="B246" s="37" t="n">
        <f aca="true">IF(RAND()&lt;$D$8,1,0)</f>
        <v>1</v>
      </c>
      <c r="C246" s="20" t="n">
        <f aca="true">-LN(RAND())/$D$2</f>
        <v>2.3585123850043</v>
      </c>
      <c r="D246" s="38" t="n">
        <f aca="false">D245+C246</f>
        <v>255.165990848942</v>
      </c>
      <c r="E246" s="39" t="n">
        <f aca="false">MAX($E$3,AS245)</f>
        <v>0</v>
      </c>
      <c r="F246" s="39" t="n">
        <f aca="false">MAX($E$3,AT245)</f>
        <v>0</v>
      </c>
      <c r="G246" s="40" t="n">
        <v>0.5</v>
      </c>
      <c r="H246" s="38" t="n">
        <f aca="true">IF((B246=1),(IF((F246&lt;E246),1,(IF((F246=E246),(IF(RAND()&lt;G246,1,0)),0)))),(IF((RAND()&lt;G246),1,0)))</f>
        <v>0</v>
      </c>
      <c r="I246" s="38" t="n">
        <f aca="true">IF((H246=1),0,$D$3+$D$5*(RAND()-0.5))</f>
        <v>1.90884481191181</v>
      </c>
      <c r="J246" s="38" t="n">
        <f aca="false">I246+MAX(D246,J245)</f>
        <v>264.336893869409</v>
      </c>
      <c r="K246" s="38" t="n">
        <f aca="false">IF((H246=0),J246-D246,0)</f>
        <v>9.1709030204668</v>
      </c>
      <c r="L246" s="38" t="n">
        <f aca="true">IF(($H246=0),0,$D$4+$D$5*(RAND()-0.5))</f>
        <v>0</v>
      </c>
      <c r="M246" s="38" t="n">
        <f aca="false">L246+MAX(D246,M245)</f>
        <v>271.475588701156</v>
      </c>
      <c r="N246" s="38" t="n">
        <f aca="false">IF((H246=1),M246-D246,0)</f>
        <v>0</v>
      </c>
      <c r="O246" s="16" t="n">
        <v>229</v>
      </c>
      <c r="P246" s="41" t="n">
        <f aca="false">IF((Arterial=0),P245+1,P245)</f>
        <v>106</v>
      </c>
      <c r="Q246" s="41" t="n">
        <f aca="false">IF((Arterial=1),Q245+1,Q245)</f>
        <v>123</v>
      </c>
      <c r="R246" s="42" t="e">
        <f aca="false">IF((RESET=1),0,R246+K246)</f>
        <v>#N/A</v>
      </c>
      <c r="S246" s="14" t="n">
        <f aca="false">IF(RESET=1,0,S246+N246)</f>
        <v>541.424193161164</v>
      </c>
      <c r="T246" s="2" t="e">
        <f aca="false">IF(RESET=1,0,T246+IF(H246=0,1,0))</f>
        <v>#N/A</v>
      </c>
      <c r="U246" s="2" t="n">
        <f aca="false">IF(RESET=1,0,U246+H246)</f>
        <v>43</v>
      </c>
      <c r="V246" s="14" t="e">
        <f aca="false">R246/(T246+0.00001)</f>
        <v>#N/A</v>
      </c>
      <c r="W246" s="14" t="n">
        <f aca="false">S246/(U246+0.0001)</f>
        <v>12.591231024141</v>
      </c>
      <c r="X246" s="39" t="n">
        <f aca="false">IF(Informed=1,K246,0)</f>
        <v>9.1709030204668</v>
      </c>
      <c r="Y246" s="39" t="n">
        <f aca="false">IF(Informed=0,K246,0)</f>
        <v>0</v>
      </c>
      <c r="Z246" s="39" t="n">
        <f aca="false">IF(Informed=1,N246,0)</f>
        <v>0</v>
      </c>
      <c r="AA246" s="39" t="n">
        <f aca="false">IF(Informed=0,N246,0)</f>
        <v>0</v>
      </c>
      <c r="AB246" s="43" t="n">
        <f aca="false">IF(Arterial=0,IF(Informed=1,1,0),0)</f>
        <v>1</v>
      </c>
      <c r="AC246" s="43" t="n">
        <f aca="false">IF(Arterial=0,IF(Informed=0,1,0),0)</f>
        <v>0</v>
      </c>
      <c r="AD246" s="43" t="n">
        <f aca="false">IF(Arterial=1,IF(Informed=1,1,0),0)</f>
        <v>0</v>
      </c>
      <c r="AE246" s="43" t="n">
        <f aca="false">IF(Arterial=1,IF(Informed=0,1,0),0)</f>
        <v>0</v>
      </c>
      <c r="AF246" s="35" t="n">
        <f aca="false">IF(AB246=1,(X246-G$1030)^2,0)</f>
        <v>2.36782918172206</v>
      </c>
      <c r="AG246" s="35" t="n">
        <f aca="false">IF(AC246=1,(Y246-H$1030)^2,0)</f>
        <v>0</v>
      </c>
      <c r="AH246" s="35" t="n">
        <f aca="false">IF(AD246=1,(Z246-I$1030)^2,0)</f>
        <v>0</v>
      </c>
      <c r="AI246" s="35" t="n">
        <f aca="false">IF(AE246=1,(AA246-J$1030)^2,0)</f>
        <v>0</v>
      </c>
      <c r="AJ246" s="37" t="n">
        <f aca="true">IF(RAND()&lt;$D$6,1,0)</f>
        <v>0</v>
      </c>
      <c r="AK246" s="14" t="n">
        <f aca="false">AK245+IF((AJ246=1),IF((H246=0),1,0),0)</f>
        <v>0</v>
      </c>
      <c r="AL246" s="14" t="n">
        <f aca="false">AL245+IF((AJ246=1),IF((H246=1),1,0),0)</f>
        <v>0</v>
      </c>
      <c r="AM246" s="37" t="n">
        <f aca="false">IF(AK246=0,9999,IF($H246=0,IF($AJ246&lt;1,AM245+1,0),AM245))</f>
        <v>9999</v>
      </c>
      <c r="AN246" s="37" t="n">
        <f aca="false">IF(AL246=0,9999,IF($H246=1,IF($AJ246&lt;1,AN245+1,0),AN245))</f>
        <v>9999</v>
      </c>
      <c r="AO246" s="37" t="n">
        <f aca="false">IF($A246-AM246&gt;0,1/(1+AM246),0)</f>
        <v>0</v>
      </c>
      <c r="AP246" s="37" t="n">
        <f aca="false">IF($A246-AN246&gt;0,1/(1+AN246),0)</f>
        <v>0</v>
      </c>
      <c r="AQ246" s="7" t="n">
        <f aca="false">IF(AK246=0,0,MAX(MIN(1,AO246^Power),0))</f>
        <v>0</v>
      </c>
      <c r="AR246" s="7" t="n">
        <f aca="false">IF(AL246=0,0,MAX(MIN(1,AP246^Power),0))</f>
        <v>0</v>
      </c>
      <c r="AS246" s="7" t="n">
        <f aca="false">IF($AJ246=1,IF($H246=0,K246,AS245),AS245)</f>
        <v>0</v>
      </c>
      <c r="AT246" s="7" t="n">
        <f aca="false">IF($AJ246=1,IF($H246=1,N246,AT245),AT245)</f>
        <v>0</v>
      </c>
    </row>
    <row r="247" customFormat="false" ht="13" hidden="false" customHeight="false" outlineLevel="0" collapsed="false">
      <c r="A247" s="16" t="n">
        <v>230</v>
      </c>
      <c r="B247" s="37" t="n">
        <f aca="true">IF(RAND()&lt;$D$8,1,0)</f>
        <v>0</v>
      </c>
      <c r="C247" s="20" t="n">
        <f aca="true">-LN(RAND())/$D$2</f>
        <v>1.0834858291689</v>
      </c>
      <c r="D247" s="38" t="n">
        <f aca="false">D246+C247</f>
        <v>256.249476678111</v>
      </c>
      <c r="E247" s="39" t="n">
        <f aca="false">MAX($E$3,AS246)</f>
        <v>0</v>
      </c>
      <c r="F247" s="39" t="n">
        <f aca="false">MAX($E$3,AT246)</f>
        <v>0</v>
      </c>
      <c r="G247" s="40" t="n">
        <v>0.5</v>
      </c>
      <c r="H247" s="38" t="n">
        <f aca="true">IF((B247=1),(IF((F247&lt;E247),1,(IF((F247=E247),(IF(RAND()&lt;G247,1,0)),0)))),(IF((RAND()&lt;G247),1,0)))</f>
        <v>1</v>
      </c>
      <c r="I247" s="38" t="n">
        <f aca="true">IF((H247=1),0,$D$3+$D$5*(RAND()-0.5))</f>
        <v>0</v>
      </c>
      <c r="J247" s="38" t="n">
        <f aca="false">I247+MAX(D247,J246)</f>
        <v>264.336893869409</v>
      </c>
      <c r="K247" s="38" t="n">
        <f aca="false">IF((H247=0),J247-D247,0)</f>
        <v>0</v>
      </c>
      <c r="L247" s="38" t="n">
        <f aca="true">IF(($H247=0),0,$D$4+$D$5*(RAND()-0.5))</f>
        <v>2.00210081229622</v>
      </c>
      <c r="M247" s="38" t="n">
        <f aca="false">L247+MAX(D247,M246)</f>
        <v>273.477689513452</v>
      </c>
      <c r="N247" s="38" t="n">
        <f aca="false">IF((H247=1),M247-D247,0)</f>
        <v>17.2282128353409</v>
      </c>
      <c r="O247" s="16" t="n">
        <v>230</v>
      </c>
      <c r="P247" s="41" t="n">
        <f aca="false">IF((Arterial=0),P246+1,P246)</f>
        <v>106</v>
      </c>
      <c r="Q247" s="41" t="n">
        <f aca="false">IF((Arterial=1),Q246+1,Q246)</f>
        <v>124</v>
      </c>
      <c r="R247" s="42" t="n">
        <f aca="false">IF((RESET=1),0,R247+K247)</f>
        <v>377.896168668176</v>
      </c>
      <c r="S247" s="14" t="e">
        <f aca="false">IF(RESET=1,0,S247+N247)</f>
        <v>#N/A</v>
      </c>
      <c r="T247" s="2" t="n">
        <f aca="false">IF(RESET=1,0,T247+IF(H247=0,1,0))</f>
        <v>34</v>
      </c>
      <c r="U247" s="2" t="e">
        <f aca="false">IF(RESET=1,0,U247+H247)</f>
        <v>#N/A</v>
      </c>
      <c r="V247" s="14" t="n">
        <f aca="false">R247/(T247+0.00001)</f>
        <v>11.1145899271258</v>
      </c>
      <c r="W247" s="14" t="e">
        <f aca="false">S247/(U247+0.0001)</f>
        <v>#N/A</v>
      </c>
      <c r="X247" s="39" t="n">
        <f aca="false">IF(Informed=1,K247,0)</f>
        <v>0</v>
      </c>
      <c r="Y247" s="39" t="n">
        <f aca="false">IF(Informed=0,K247,0)</f>
        <v>0</v>
      </c>
      <c r="Z247" s="39" t="n">
        <f aca="false">IF(Informed=1,N247,0)</f>
        <v>0</v>
      </c>
      <c r="AA247" s="39" t="n">
        <f aca="false">IF(Informed=0,N247,0)</f>
        <v>17.2282128353409</v>
      </c>
      <c r="AB247" s="43" t="n">
        <f aca="false">IF(Arterial=0,IF(Informed=1,1,0),0)</f>
        <v>0</v>
      </c>
      <c r="AC247" s="43" t="n">
        <f aca="false">IF(Arterial=0,IF(Informed=0,1,0),0)</f>
        <v>0</v>
      </c>
      <c r="AD247" s="43" t="n">
        <f aca="false">IF(Arterial=1,IF(Informed=1,1,0),0)</f>
        <v>0</v>
      </c>
      <c r="AE247" s="43" t="n">
        <f aca="false">IF(Arterial=1,IF(Informed=0,1,0),0)</f>
        <v>1</v>
      </c>
      <c r="AF247" s="35" t="n">
        <f aca="false">IF(AB247=1,(X247-G$1030)^2,0)</f>
        <v>0</v>
      </c>
      <c r="AG247" s="35" t="n">
        <f aca="false">IF(AC247=1,(Y247-H$1030)^2,0)</f>
        <v>0</v>
      </c>
      <c r="AH247" s="35" t="n">
        <f aca="false">IF(AD247=1,(Z247-I$1030)^2,0)</f>
        <v>0</v>
      </c>
      <c r="AI247" s="35" t="n">
        <f aca="false">IF(AE247=1,(AA247-J$1030)^2,0)</f>
        <v>152.178429488931</v>
      </c>
      <c r="AJ247" s="37" t="n">
        <f aca="true">IF(RAND()&lt;$D$6,1,0)</f>
        <v>0</v>
      </c>
      <c r="AK247" s="14" t="n">
        <f aca="false">AK246+IF((AJ247=1),IF((H247=0),1,0),0)</f>
        <v>0</v>
      </c>
      <c r="AL247" s="14" t="n">
        <f aca="false">AL246+IF((AJ247=1),IF((H247=1),1,0),0)</f>
        <v>0</v>
      </c>
      <c r="AM247" s="37" t="n">
        <f aca="false">IF(AK247=0,9999,IF($H247=0,IF($AJ247&lt;1,AM246+1,0),AM246))</f>
        <v>9999</v>
      </c>
      <c r="AN247" s="37" t="n">
        <f aca="false">IF(AL247=0,9999,IF($H247=1,IF($AJ247&lt;1,AN246+1,0),AN246))</f>
        <v>9999</v>
      </c>
      <c r="AO247" s="37" t="n">
        <f aca="false">IF($A247-AM247&gt;0,1/(1+AM247),0)</f>
        <v>0</v>
      </c>
      <c r="AP247" s="37" t="n">
        <f aca="false">IF($A247-AN247&gt;0,1/(1+AN247),0)</f>
        <v>0</v>
      </c>
      <c r="AQ247" s="7" t="n">
        <f aca="false">IF(AK247=0,0,MAX(MIN(1,AO247^Power),0))</f>
        <v>0</v>
      </c>
      <c r="AR247" s="7" t="n">
        <f aca="false">IF(AL247=0,0,MAX(MIN(1,AP247^Power),0))</f>
        <v>0</v>
      </c>
      <c r="AS247" s="7" t="n">
        <f aca="false">IF($AJ247=1,IF($H247=0,K247,AS246),AS246)</f>
        <v>0</v>
      </c>
      <c r="AT247" s="7" t="n">
        <f aca="false">IF($AJ247=1,IF($H247=1,N247,AT246),AT246)</f>
        <v>0</v>
      </c>
    </row>
    <row r="248" customFormat="false" ht="13" hidden="false" customHeight="false" outlineLevel="0" collapsed="false">
      <c r="A248" s="16" t="n">
        <v>231</v>
      </c>
      <c r="B248" s="37" t="n">
        <f aca="true">IF(RAND()&lt;$D$8,1,0)</f>
        <v>0</v>
      </c>
      <c r="C248" s="20" t="n">
        <f aca="true">-LN(RAND())/$D$2</f>
        <v>2.060542247913</v>
      </c>
      <c r="D248" s="38" t="n">
        <f aca="false">D247+C248</f>
        <v>258.310018926024</v>
      </c>
      <c r="E248" s="39" t="n">
        <f aca="false">MAX($E$3,AS247)</f>
        <v>0</v>
      </c>
      <c r="F248" s="39" t="n">
        <f aca="false">MAX($E$3,AT247)</f>
        <v>0</v>
      </c>
      <c r="G248" s="40" t="n">
        <v>0.5</v>
      </c>
      <c r="H248" s="38" t="n">
        <f aca="true">IF((B248=1),(IF((F248&lt;E248),1,(IF((F248=E248),(IF(RAND()&lt;G248,1,0)),0)))),(IF((RAND()&lt;G248),1,0)))</f>
        <v>1</v>
      </c>
      <c r="I248" s="38" t="n">
        <f aca="true">IF((H248=1),0,$D$3+$D$5*(RAND()-0.5))</f>
        <v>0</v>
      </c>
      <c r="J248" s="38" t="n">
        <f aca="false">I248+MAX(D248,J247)</f>
        <v>264.336893869409</v>
      </c>
      <c r="K248" s="38" t="n">
        <f aca="false">IF((H248=0),J248-D248,0)</f>
        <v>0</v>
      </c>
      <c r="L248" s="38" t="n">
        <f aca="true">IF(($H248=0),0,$D$4+$D$5*(RAND()-0.5))</f>
        <v>2.01641766639139</v>
      </c>
      <c r="M248" s="38" t="n">
        <f aca="false">L248+MAX(D248,M247)</f>
        <v>275.494107179844</v>
      </c>
      <c r="N248" s="38" t="n">
        <f aca="false">IF((H248=1),M248-D248,0)</f>
        <v>17.1840882538193</v>
      </c>
      <c r="O248" s="16" t="n">
        <v>231</v>
      </c>
      <c r="P248" s="41" t="n">
        <f aca="false">IF((Arterial=0),P247+1,P247)</f>
        <v>106</v>
      </c>
      <c r="Q248" s="41" t="n">
        <f aca="false">IF((Arterial=1),Q247+1,Q247)</f>
        <v>125</v>
      </c>
      <c r="R248" s="42" t="n">
        <f aca="false">IF((RESET=1),0,R248+K248)</f>
        <v>506.657505891066</v>
      </c>
      <c r="S248" s="14" t="e">
        <f aca="false">IF(RESET=1,0,S248+N248)</f>
        <v>#N/A</v>
      </c>
      <c r="T248" s="2" t="n">
        <f aca="false">IF(RESET=1,0,T248+IF(H248=0,1,0))</f>
        <v>40</v>
      </c>
      <c r="U248" s="2" t="e">
        <f aca="false">IF(RESET=1,0,U248+H248)</f>
        <v>#N/A</v>
      </c>
      <c r="V248" s="14" t="n">
        <f aca="false">R248/(T248+0.00001)</f>
        <v>12.666434480668</v>
      </c>
      <c r="W248" s="14" t="e">
        <f aca="false">S248/(U248+0.0001)</f>
        <v>#N/A</v>
      </c>
      <c r="X248" s="39" t="n">
        <f aca="false">IF(Informed=1,K248,0)</f>
        <v>0</v>
      </c>
      <c r="Y248" s="39" t="n">
        <f aca="false">IF(Informed=0,K248,0)</f>
        <v>0</v>
      </c>
      <c r="Z248" s="39" t="n">
        <f aca="false">IF(Informed=1,N248,0)</f>
        <v>0</v>
      </c>
      <c r="AA248" s="39" t="n">
        <f aca="false">IF(Informed=0,N248,0)</f>
        <v>17.1840882538193</v>
      </c>
      <c r="AB248" s="43" t="n">
        <f aca="false">IF(Arterial=0,IF(Informed=1,1,0),0)</f>
        <v>0</v>
      </c>
      <c r="AC248" s="43" t="n">
        <f aca="false">IF(Arterial=0,IF(Informed=0,1,0),0)</f>
        <v>0</v>
      </c>
      <c r="AD248" s="43" t="n">
        <f aca="false">IF(Arterial=1,IF(Informed=1,1,0),0)</f>
        <v>0</v>
      </c>
      <c r="AE248" s="43" t="n">
        <f aca="false">IF(Arterial=1,IF(Informed=0,1,0),0)</f>
        <v>1</v>
      </c>
      <c r="AF248" s="35" t="n">
        <f aca="false">IF(AB248=1,(X248-G$1030)^2,0)</f>
        <v>0</v>
      </c>
      <c r="AG248" s="35" t="n">
        <f aca="false">IF(AC248=1,(Y248-H$1030)^2,0)</f>
        <v>0</v>
      </c>
      <c r="AH248" s="35" t="n">
        <f aca="false">IF(AD248=1,(Z248-I$1030)^2,0)</f>
        <v>0</v>
      </c>
      <c r="AI248" s="35" t="n">
        <f aca="false">IF(AE248=1,(AA248-J$1030)^2,0)</f>
        <v>153.269023628044</v>
      </c>
      <c r="AJ248" s="37" t="n">
        <f aca="true">IF(RAND()&lt;$D$6,1,0)</f>
        <v>0</v>
      </c>
      <c r="AK248" s="14" t="n">
        <f aca="false">AK247+IF((AJ248=1),IF((H248=0),1,0),0)</f>
        <v>0</v>
      </c>
      <c r="AL248" s="14" t="n">
        <f aca="false">AL247+IF((AJ248=1),IF((H248=1),1,0),0)</f>
        <v>0</v>
      </c>
      <c r="AM248" s="37" t="n">
        <f aca="false">IF(AK248=0,9999,IF($H248=0,IF($AJ248&lt;1,AM247+1,0),AM247))</f>
        <v>9999</v>
      </c>
      <c r="AN248" s="37" t="n">
        <f aca="false">IF(AL248=0,9999,IF($H248=1,IF($AJ248&lt;1,AN247+1,0),AN247))</f>
        <v>9999</v>
      </c>
      <c r="AO248" s="37" t="n">
        <f aca="false">IF($A248-AM248&gt;0,1/(1+AM248),0)</f>
        <v>0</v>
      </c>
      <c r="AP248" s="37" t="n">
        <f aca="false">IF($A248-AN248&gt;0,1/(1+AN248),0)</f>
        <v>0</v>
      </c>
      <c r="AQ248" s="7" t="n">
        <f aca="false">IF(AK248=0,0,MAX(MIN(1,AO248^Power),0))</f>
        <v>0</v>
      </c>
      <c r="AR248" s="7" t="n">
        <f aca="false">IF(AL248=0,0,MAX(MIN(1,AP248^Power),0))</f>
        <v>0</v>
      </c>
      <c r="AS248" s="7" t="n">
        <f aca="false">IF($AJ248=1,IF($H248=0,K248,AS247),AS247)</f>
        <v>0</v>
      </c>
      <c r="AT248" s="7" t="n">
        <f aca="false">IF($AJ248=1,IF($H248=1,N248,AT247),AT247)</f>
        <v>0</v>
      </c>
    </row>
    <row r="249" customFormat="false" ht="13" hidden="false" customHeight="false" outlineLevel="0" collapsed="false">
      <c r="A249" s="16" t="n">
        <v>232</v>
      </c>
      <c r="B249" s="37" t="n">
        <f aca="true">IF(RAND()&lt;$D$8,1,0)</f>
        <v>0</v>
      </c>
      <c r="C249" s="20" t="n">
        <f aca="true">-LN(RAND())/$D$2</f>
        <v>0.863790988670445</v>
      </c>
      <c r="D249" s="38" t="n">
        <f aca="false">D248+C249</f>
        <v>259.173809914695</v>
      </c>
      <c r="E249" s="39" t="n">
        <f aca="false">MAX($E$3,AS248)</f>
        <v>0</v>
      </c>
      <c r="F249" s="39" t="n">
        <f aca="false">MAX($E$3,AT248)</f>
        <v>0</v>
      </c>
      <c r="G249" s="40" t="n">
        <v>0.5</v>
      </c>
      <c r="H249" s="38" t="n">
        <f aca="true">IF((B249=1),(IF((F249&lt;E249),1,(IF((F249=E249),(IF(RAND()&lt;G249,1,0)),0)))),(IF((RAND()&lt;G249),1,0)))</f>
        <v>0</v>
      </c>
      <c r="I249" s="38" t="n">
        <f aca="true">IF((H249=1),0,$D$3+$D$5*(RAND()-0.5))</f>
        <v>2.02553354356677</v>
      </c>
      <c r="J249" s="38" t="n">
        <f aca="false">I249+MAX(D249,J248)</f>
        <v>266.362427412976</v>
      </c>
      <c r="K249" s="38" t="n">
        <f aca="false">IF((H249=0),J249-D249,0)</f>
        <v>7.18861749828119</v>
      </c>
      <c r="L249" s="38" t="n">
        <f aca="true">IF(($H249=0),0,$D$4+$D$5*(RAND()-0.5))</f>
        <v>0</v>
      </c>
      <c r="M249" s="38" t="n">
        <f aca="false">L249+MAX(D249,M248)</f>
        <v>275.494107179844</v>
      </c>
      <c r="N249" s="38" t="n">
        <f aca="false">IF((H249=1),M249-D249,0)</f>
        <v>0</v>
      </c>
      <c r="O249" s="16" t="n">
        <v>232</v>
      </c>
      <c r="P249" s="41" t="n">
        <f aca="false">IF((Arterial=0),P248+1,P248)</f>
        <v>107</v>
      </c>
      <c r="Q249" s="41" t="n">
        <f aca="false">IF((Arterial=1),Q248+1,Q248)</f>
        <v>125</v>
      </c>
      <c r="R249" s="42" t="e">
        <f aca="false">IF((RESET=1),0,R249+K249)</f>
        <v>#N/A</v>
      </c>
      <c r="S249" s="14" t="n">
        <f aca="false">IF(RESET=1,0,S249+N249)</f>
        <v>490.38519608098</v>
      </c>
      <c r="T249" s="2" t="e">
        <f aca="false">IF(RESET=1,0,T249+IF(H249=0,1,0))</f>
        <v>#N/A</v>
      </c>
      <c r="U249" s="2" t="n">
        <f aca="false">IF(RESET=1,0,U249+H249)</f>
        <v>35</v>
      </c>
      <c r="V249" s="14" t="e">
        <f aca="false">R249/(T249+0.00001)</f>
        <v>#N/A</v>
      </c>
      <c r="W249" s="14" t="n">
        <f aca="false">S249/(U249+0.0001)</f>
        <v>14.0109655709835</v>
      </c>
      <c r="X249" s="39" t="n">
        <f aca="false">IF(Informed=1,K249,0)</f>
        <v>0</v>
      </c>
      <c r="Y249" s="39" t="n">
        <f aca="false">IF(Informed=0,K249,0)</f>
        <v>7.18861749828119</v>
      </c>
      <c r="Z249" s="39" t="n">
        <f aca="false">IF(Informed=1,N249,0)</f>
        <v>0</v>
      </c>
      <c r="AA249" s="39" t="n">
        <f aca="false">IF(Informed=0,N249,0)</f>
        <v>0</v>
      </c>
      <c r="AB249" s="43" t="n">
        <f aca="false">IF(Arterial=0,IF(Informed=1,1,0),0)</f>
        <v>0</v>
      </c>
      <c r="AC249" s="43" t="n">
        <f aca="false">IF(Arterial=0,IF(Informed=0,1,0),0)</f>
        <v>1</v>
      </c>
      <c r="AD249" s="43" t="n">
        <f aca="false">IF(Arterial=1,IF(Informed=1,1,0),0)</f>
        <v>0</v>
      </c>
      <c r="AE249" s="43" t="n">
        <f aca="false">IF(Arterial=1,IF(Informed=0,1,0),0)</f>
        <v>0</v>
      </c>
      <c r="AF249" s="35" t="n">
        <f aca="false">IF(AB249=1,(X249-G$1030)^2,0)</f>
        <v>0</v>
      </c>
      <c r="AG249" s="35" t="n">
        <f aca="false">IF(AC249=1,(Y249-H$1030)^2,0)</f>
        <v>13.9514781388579</v>
      </c>
      <c r="AH249" s="35" t="n">
        <f aca="false">IF(AD249=1,(Z249-I$1030)^2,0)</f>
        <v>0</v>
      </c>
      <c r="AI249" s="35" t="n">
        <f aca="false">IF(AE249=1,(AA249-J$1030)^2,0)</f>
        <v>0</v>
      </c>
      <c r="AJ249" s="37" t="n">
        <f aca="true">IF(RAND()&lt;$D$6,1,0)</f>
        <v>0</v>
      </c>
      <c r="AK249" s="14" t="n">
        <f aca="false">AK248+IF((AJ249=1),IF((H249=0),1,0),0)</f>
        <v>0</v>
      </c>
      <c r="AL249" s="14" t="n">
        <f aca="false">AL248+IF((AJ249=1),IF((H249=1),1,0),0)</f>
        <v>0</v>
      </c>
      <c r="AM249" s="37" t="n">
        <f aca="false">IF(AK249=0,9999,IF($H249=0,IF($AJ249&lt;1,AM248+1,0),AM248))</f>
        <v>9999</v>
      </c>
      <c r="AN249" s="37" t="n">
        <f aca="false">IF(AL249=0,9999,IF($H249=1,IF($AJ249&lt;1,AN248+1,0),AN248))</f>
        <v>9999</v>
      </c>
      <c r="AO249" s="37" t="n">
        <f aca="false">IF($A249-AM249&gt;0,1/(1+AM249),0)</f>
        <v>0</v>
      </c>
      <c r="AP249" s="37" t="n">
        <f aca="false">IF($A249-AN249&gt;0,1/(1+AN249),0)</f>
        <v>0</v>
      </c>
      <c r="AQ249" s="7" t="n">
        <f aca="false">IF(AK249=0,0,MAX(MIN(1,AO249^Power),0))</f>
        <v>0</v>
      </c>
      <c r="AR249" s="7" t="n">
        <f aca="false">IF(AL249=0,0,MAX(MIN(1,AP249^Power),0))</f>
        <v>0</v>
      </c>
      <c r="AS249" s="7" t="n">
        <f aca="false">IF($AJ249=1,IF($H249=0,K249,AS248),AS248)</f>
        <v>0</v>
      </c>
      <c r="AT249" s="7" t="n">
        <f aca="false">IF($AJ249=1,IF($H249=1,N249,AT248),AT248)</f>
        <v>0</v>
      </c>
    </row>
    <row r="250" customFormat="false" ht="13" hidden="false" customHeight="false" outlineLevel="0" collapsed="false">
      <c r="A250" s="16" t="n">
        <v>233</v>
      </c>
      <c r="B250" s="37" t="n">
        <f aca="true">IF(RAND()&lt;$D$8,1,0)</f>
        <v>1</v>
      </c>
      <c r="C250" s="20" t="n">
        <f aca="true">-LN(RAND())/$D$2</f>
        <v>1.45812221923769</v>
      </c>
      <c r="D250" s="38" t="n">
        <f aca="false">D249+C250</f>
        <v>260.631932133933</v>
      </c>
      <c r="E250" s="39" t="n">
        <f aca="false">MAX($E$3,AS249)</f>
        <v>0</v>
      </c>
      <c r="F250" s="39" t="n">
        <f aca="false">MAX($E$3,AT249)</f>
        <v>0</v>
      </c>
      <c r="G250" s="40" t="n">
        <v>0.5</v>
      </c>
      <c r="H250" s="38" t="n">
        <f aca="true">IF((B250=1),(IF((F250&lt;E250),1,(IF((F250=E250),(IF(RAND()&lt;G250,1,0)),0)))),(IF((RAND()&lt;G250),1,0)))</f>
        <v>0</v>
      </c>
      <c r="I250" s="38" t="n">
        <f aca="true">IF((H250=1),0,$D$3+$D$5*(RAND()-0.5))</f>
        <v>2.23346926051693</v>
      </c>
      <c r="J250" s="38" t="n">
        <f aca="false">I250+MAX(D250,J249)</f>
        <v>268.595896673493</v>
      </c>
      <c r="K250" s="38" t="n">
        <f aca="false">IF((H250=0),J250-D250,0)</f>
        <v>7.96396453956044</v>
      </c>
      <c r="L250" s="38" t="n">
        <f aca="true">IF(($H250=0),0,$D$4+$D$5*(RAND()-0.5))</f>
        <v>0</v>
      </c>
      <c r="M250" s="38" t="n">
        <f aca="false">L250+MAX(D250,M249)</f>
        <v>275.494107179844</v>
      </c>
      <c r="N250" s="38" t="n">
        <f aca="false">IF((H250=1),M250-D250,0)</f>
        <v>0</v>
      </c>
      <c r="O250" s="16" t="n">
        <v>233</v>
      </c>
      <c r="P250" s="41" t="n">
        <f aca="false">IF((Arterial=0),P249+1,P249)</f>
        <v>108</v>
      </c>
      <c r="Q250" s="41" t="n">
        <f aca="false">IF((Arterial=1),Q249+1,Q249)</f>
        <v>125</v>
      </c>
      <c r="R250" s="42" t="e">
        <f aca="false">IF((RESET=1),0,R250+K250)</f>
        <v>#N/A</v>
      </c>
      <c r="S250" s="14" t="n">
        <f aca="false">IF(RESET=1,0,S250+N250)</f>
        <v>464.353409016269</v>
      </c>
      <c r="T250" s="2" t="e">
        <f aca="false">IF(RESET=1,0,T250+IF(H250=0,1,0))</f>
        <v>#N/A</v>
      </c>
      <c r="U250" s="2" t="n">
        <f aca="false">IF(RESET=1,0,U250+H250)</f>
        <v>36</v>
      </c>
      <c r="V250" s="14" t="e">
        <f aca="false">R250/(T250+0.00001)</f>
        <v>#N/A</v>
      </c>
      <c r="W250" s="14" t="n">
        <f aca="false">S250/(U250+0.0001)</f>
        <v>12.8986699763686</v>
      </c>
      <c r="X250" s="39" t="n">
        <f aca="false">IF(Informed=1,K250,0)</f>
        <v>7.96396453956044</v>
      </c>
      <c r="Y250" s="39" t="n">
        <f aca="false">IF(Informed=0,K250,0)</f>
        <v>0</v>
      </c>
      <c r="Z250" s="39" t="n">
        <f aca="false">IF(Informed=1,N250,0)</f>
        <v>0</v>
      </c>
      <c r="AA250" s="39" t="n">
        <f aca="false">IF(Informed=0,N250,0)</f>
        <v>0</v>
      </c>
      <c r="AB250" s="43" t="n">
        <f aca="false">IF(Arterial=0,IF(Informed=1,1,0),0)</f>
        <v>1</v>
      </c>
      <c r="AC250" s="43" t="n">
        <f aca="false">IF(Arterial=0,IF(Informed=0,1,0),0)</f>
        <v>0</v>
      </c>
      <c r="AD250" s="43" t="n">
        <f aca="false">IF(Arterial=1,IF(Informed=1,1,0),0)</f>
        <v>0</v>
      </c>
      <c r="AE250" s="43" t="n">
        <f aca="false">IF(Arterial=1,IF(Informed=0,1,0),0)</f>
        <v>0</v>
      </c>
      <c r="AF250" s="35" t="n">
        <f aca="false">IF(AB250=1,(X250-G$1030)^2,0)</f>
        <v>7.53894373454656</v>
      </c>
      <c r="AG250" s="35" t="n">
        <f aca="false">IF(AC250=1,(Y250-H$1030)^2,0)</f>
        <v>0</v>
      </c>
      <c r="AH250" s="35" t="n">
        <f aca="false">IF(AD250=1,(Z250-I$1030)^2,0)</f>
        <v>0</v>
      </c>
      <c r="AI250" s="35" t="n">
        <f aca="false">IF(AE250=1,(AA250-J$1030)^2,0)</f>
        <v>0</v>
      </c>
      <c r="AJ250" s="37" t="n">
        <f aca="true">IF(RAND()&lt;$D$6,1,0)</f>
        <v>0</v>
      </c>
      <c r="AK250" s="14" t="n">
        <f aca="false">AK249+IF((AJ250=1),IF((H250=0),1,0),0)</f>
        <v>0</v>
      </c>
      <c r="AL250" s="14" t="n">
        <f aca="false">AL249+IF((AJ250=1),IF((H250=1),1,0),0)</f>
        <v>0</v>
      </c>
      <c r="AM250" s="37" t="n">
        <f aca="false">IF(AK250=0,9999,IF($H250=0,IF($AJ250&lt;1,AM249+1,0),AM249))</f>
        <v>9999</v>
      </c>
      <c r="AN250" s="37" t="n">
        <f aca="false">IF(AL250=0,9999,IF($H250=1,IF($AJ250&lt;1,AN249+1,0),AN249))</f>
        <v>9999</v>
      </c>
      <c r="AO250" s="37" t="n">
        <f aca="false">IF($A250-AM250&gt;0,1/(1+AM250),0)</f>
        <v>0</v>
      </c>
      <c r="AP250" s="37" t="n">
        <f aca="false">IF($A250-AN250&gt;0,1/(1+AN250),0)</f>
        <v>0</v>
      </c>
      <c r="AQ250" s="7" t="n">
        <f aca="false">IF(AK250=0,0,MAX(MIN(1,AO250^Power),0))</f>
        <v>0</v>
      </c>
      <c r="AR250" s="7" t="n">
        <f aca="false">IF(AL250=0,0,MAX(MIN(1,AP250^Power),0))</f>
        <v>0</v>
      </c>
      <c r="AS250" s="7" t="n">
        <f aca="false">IF($AJ250=1,IF($H250=0,K250,AS249),AS249)</f>
        <v>0</v>
      </c>
      <c r="AT250" s="7" t="n">
        <f aca="false">IF($AJ250=1,IF($H250=1,N250,AT249),AT249)</f>
        <v>0</v>
      </c>
    </row>
    <row r="251" customFormat="false" ht="13" hidden="false" customHeight="false" outlineLevel="0" collapsed="false">
      <c r="A251" s="16" t="n">
        <v>234</v>
      </c>
      <c r="B251" s="37" t="n">
        <f aca="true">IF(RAND()&lt;$D$8,1,0)</f>
        <v>1</v>
      </c>
      <c r="C251" s="20" t="n">
        <f aca="true">-LN(RAND())/$D$2</f>
        <v>0.554616776368757</v>
      </c>
      <c r="D251" s="38" t="n">
        <f aca="false">D250+C251</f>
        <v>261.186548910301</v>
      </c>
      <c r="E251" s="39" t="n">
        <f aca="false">MAX($E$3,AS250)</f>
        <v>0</v>
      </c>
      <c r="F251" s="39" t="n">
        <f aca="false">MAX($E$3,AT250)</f>
        <v>0</v>
      </c>
      <c r="G251" s="40" t="n">
        <v>0.5</v>
      </c>
      <c r="H251" s="38" t="n">
        <f aca="true">IF((B251=1),(IF((F251&lt;E251),1,(IF((F251=E251),(IF(RAND()&lt;G251,1,0)),0)))),(IF((RAND()&lt;G251),1,0)))</f>
        <v>1</v>
      </c>
      <c r="I251" s="38" t="n">
        <f aca="true">IF((H251=1),0,$D$3+$D$5*(RAND()-0.5))</f>
        <v>0</v>
      </c>
      <c r="J251" s="38" t="n">
        <f aca="false">I251+MAX(D251,J250)</f>
        <v>268.595896673493</v>
      </c>
      <c r="K251" s="38" t="n">
        <f aca="false">IF((H251=0),J251-D251,0)</f>
        <v>0</v>
      </c>
      <c r="L251" s="38" t="n">
        <f aca="true">IF(($H251=0),0,$D$4+$D$5*(RAND()-0.5))</f>
        <v>2.14966324038949</v>
      </c>
      <c r="M251" s="38" t="n">
        <f aca="false">L251+MAX(D251,M250)</f>
        <v>277.643770420233</v>
      </c>
      <c r="N251" s="38" t="n">
        <f aca="false">IF((H251=1),M251-D251,0)</f>
        <v>16.4572215099319</v>
      </c>
      <c r="O251" s="16" t="n">
        <v>234</v>
      </c>
      <c r="P251" s="41" t="n">
        <f aca="false">IF((Arterial=0),P250+1,P250)</f>
        <v>108</v>
      </c>
      <c r="Q251" s="41" t="n">
        <f aca="false">IF((Arterial=1),Q250+1,Q250)</f>
        <v>126</v>
      </c>
      <c r="R251" s="42" t="n">
        <f aca="false">IF((RESET=1),0,R251+K251)</f>
        <v>400.67458109315</v>
      </c>
      <c r="S251" s="14" t="e">
        <f aca="false">IF(RESET=1,0,S251+N251)</f>
        <v>#N/A</v>
      </c>
      <c r="T251" s="2" t="n">
        <f aca="false">IF(RESET=1,0,T251+IF(H251=0,1,0))</f>
        <v>32</v>
      </c>
      <c r="U251" s="2" t="e">
        <f aca="false">IF(RESET=1,0,U251+H251)</f>
        <v>#N/A</v>
      </c>
      <c r="V251" s="14" t="n">
        <f aca="false">R251/(T251+0.00001)</f>
        <v>12.5210767463245</v>
      </c>
      <c r="W251" s="14" t="e">
        <f aca="false">S251/(U251+0.0001)</f>
        <v>#N/A</v>
      </c>
      <c r="X251" s="39" t="n">
        <f aca="false">IF(Informed=1,K251,0)</f>
        <v>0</v>
      </c>
      <c r="Y251" s="39" t="n">
        <f aca="false">IF(Informed=0,K251,0)</f>
        <v>0</v>
      </c>
      <c r="Z251" s="39" t="n">
        <f aca="false">IF(Informed=1,N251,0)</f>
        <v>16.4572215099319</v>
      </c>
      <c r="AA251" s="39" t="n">
        <f aca="false">IF(Informed=0,N251,0)</f>
        <v>0</v>
      </c>
      <c r="AB251" s="43" t="n">
        <f aca="false">IF(Arterial=0,IF(Informed=1,1,0),0)</f>
        <v>0</v>
      </c>
      <c r="AC251" s="43" t="n">
        <f aca="false">IF(Arterial=0,IF(Informed=0,1,0),0)</f>
        <v>0</v>
      </c>
      <c r="AD251" s="43" t="n">
        <f aca="false">IF(Arterial=1,IF(Informed=1,1,0),0)</f>
        <v>1</v>
      </c>
      <c r="AE251" s="43" t="n">
        <f aca="false">IF(Arterial=1,IF(Informed=0,1,0),0)</f>
        <v>0</v>
      </c>
      <c r="AF251" s="35" t="n">
        <f aca="false">IF(AB251=1,(X251-G$1030)^2,0)</f>
        <v>0</v>
      </c>
      <c r="AG251" s="35" t="n">
        <f aca="false">IF(AC251=1,(Y251-H$1030)^2,0)</f>
        <v>0</v>
      </c>
      <c r="AH251" s="35" t="n">
        <f aca="false">IF(AD251=1,(Z251-I$1030)^2,0)</f>
        <v>142.029506370388</v>
      </c>
      <c r="AI251" s="35" t="n">
        <f aca="false">IF(AE251=1,(AA251-J$1030)^2,0)</f>
        <v>0</v>
      </c>
      <c r="AJ251" s="37" t="n">
        <f aca="true">IF(RAND()&lt;$D$6,1,0)</f>
        <v>0</v>
      </c>
      <c r="AK251" s="14" t="n">
        <f aca="false">AK250+IF((AJ251=1),IF((H251=0),1,0),0)</f>
        <v>0</v>
      </c>
      <c r="AL251" s="14" t="n">
        <f aca="false">AL250+IF((AJ251=1),IF((H251=1),1,0),0)</f>
        <v>0</v>
      </c>
      <c r="AM251" s="37" t="n">
        <f aca="false">IF(AK251=0,9999,IF($H251=0,IF($AJ251&lt;1,AM250+1,0),AM250))</f>
        <v>9999</v>
      </c>
      <c r="AN251" s="37" t="n">
        <f aca="false">IF(AL251=0,9999,IF($H251=1,IF($AJ251&lt;1,AN250+1,0),AN250))</f>
        <v>9999</v>
      </c>
      <c r="AO251" s="37" t="n">
        <f aca="false">IF($A251-AM251&gt;0,1/(1+AM251),0)</f>
        <v>0</v>
      </c>
      <c r="AP251" s="37" t="n">
        <f aca="false">IF($A251-AN251&gt;0,1/(1+AN251),0)</f>
        <v>0</v>
      </c>
      <c r="AQ251" s="7" t="n">
        <f aca="false">IF(AK251=0,0,MAX(MIN(1,AO251^Power),0))</f>
        <v>0</v>
      </c>
      <c r="AR251" s="7" t="n">
        <f aca="false">IF(AL251=0,0,MAX(MIN(1,AP251^Power),0))</f>
        <v>0</v>
      </c>
      <c r="AS251" s="7" t="n">
        <f aca="false">IF($AJ251=1,IF($H251=0,K251,AS250),AS250)</f>
        <v>0</v>
      </c>
      <c r="AT251" s="7" t="n">
        <f aca="false">IF($AJ251=1,IF($H251=1,N251,AT250),AT250)</f>
        <v>0</v>
      </c>
    </row>
    <row r="252" customFormat="false" ht="13" hidden="false" customHeight="false" outlineLevel="0" collapsed="false">
      <c r="A252" s="16" t="n">
        <v>235</v>
      </c>
      <c r="B252" s="37" t="n">
        <f aca="true">IF(RAND()&lt;$D$8,1,0)</f>
        <v>1</v>
      </c>
      <c r="C252" s="20" t="n">
        <f aca="true">-LN(RAND())/$D$2</f>
        <v>1.313021582292</v>
      </c>
      <c r="D252" s="38" t="n">
        <f aca="false">D251+C252</f>
        <v>262.499570492593</v>
      </c>
      <c r="E252" s="39" t="n">
        <f aca="false">MAX($E$3,AS251)</f>
        <v>0</v>
      </c>
      <c r="F252" s="39" t="n">
        <f aca="false">MAX($E$3,AT251)</f>
        <v>0</v>
      </c>
      <c r="G252" s="40" t="n">
        <v>0.5</v>
      </c>
      <c r="H252" s="38" t="n">
        <f aca="true">IF((B252=1),(IF((F252&lt;E252),1,(IF((F252=E252),(IF(RAND()&lt;G252,1,0)),0)))),(IF((RAND()&lt;G252),1,0)))</f>
        <v>0</v>
      </c>
      <c r="I252" s="38" t="n">
        <f aca="true">IF((H252=1),0,$D$3+$D$5*(RAND()-0.5))</f>
        <v>2.0773116188156</v>
      </c>
      <c r="J252" s="38" t="n">
        <f aca="false">I252+MAX(D252,J251)</f>
        <v>270.673208292309</v>
      </c>
      <c r="K252" s="38" t="n">
        <f aca="false">IF((H252=0),J252-D252,0)</f>
        <v>8.17363779971532</v>
      </c>
      <c r="L252" s="38" t="n">
        <f aca="true">IF(($H252=0),0,$D$4+$D$5*(RAND()-0.5))</f>
        <v>0</v>
      </c>
      <c r="M252" s="38" t="n">
        <f aca="false">L252+MAX(D252,M251)</f>
        <v>277.643770420233</v>
      </c>
      <c r="N252" s="38" t="n">
        <f aca="false">IF((H252=1),M252-D252,0)</f>
        <v>0</v>
      </c>
      <c r="O252" s="16" t="n">
        <v>235</v>
      </c>
      <c r="P252" s="41" t="n">
        <f aca="false">IF((Arterial=0),P251+1,P251)</f>
        <v>109</v>
      </c>
      <c r="Q252" s="41" t="n">
        <f aca="false">IF((Arterial=1),Q251+1,Q251)</f>
        <v>126</v>
      </c>
      <c r="R252" s="42" t="e">
        <f aca="false">IF((RESET=1),0,R252+K252)</f>
        <v>#N/A</v>
      </c>
      <c r="S252" s="14" t="n">
        <f aca="false">IF(RESET=1,0,S252+N252)</f>
        <v>482.878075308753</v>
      </c>
      <c r="T252" s="2" t="e">
        <f aca="false">IF(RESET=1,0,T252+IF(H252=0,1,0))</f>
        <v>#N/A</v>
      </c>
      <c r="U252" s="2" t="n">
        <f aca="false">IF(RESET=1,0,U252+H252)</f>
        <v>39</v>
      </c>
      <c r="V252" s="14" t="e">
        <f aca="false">R252/(T252+0.00001)</f>
        <v>#N/A</v>
      </c>
      <c r="W252" s="14" t="n">
        <f aca="false">S252/(U252+0.0001)</f>
        <v>12.3814573631543</v>
      </c>
      <c r="X252" s="39" t="n">
        <f aca="false">IF(Informed=1,K252,0)</f>
        <v>8.17363779971532</v>
      </c>
      <c r="Y252" s="39" t="n">
        <f aca="false">IF(Informed=0,K252,0)</f>
        <v>0</v>
      </c>
      <c r="Z252" s="39" t="n">
        <f aca="false">IF(Informed=1,N252,0)</f>
        <v>0</v>
      </c>
      <c r="AA252" s="39" t="n">
        <f aca="false">IF(Informed=0,N252,0)</f>
        <v>0</v>
      </c>
      <c r="AB252" s="43" t="n">
        <f aca="false">IF(Arterial=0,IF(Informed=1,1,0),0)</f>
        <v>1</v>
      </c>
      <c r="AC252" s="43" t="n">
        <f aca="false">IF(Arterial=0,IF(Informed=0,1,0),0)</f>
        <v>0</v>
      </c>
      <c r="AD252" s="43" t="n">
        <f aca="false">IF(Arterial=1,IF(Informed=1,1,0),0)</f>
        <v>0</v>
      </c>
      <c r="AE252" s="43" t="n">
        <f aca="false">IF(Arterial=1,IF(Informed=0,1,0),0)</f>
        <v>0</v>
      </c>
      <c r="AF252" s="35" t="n">
        <f aca="false">IF(AB252=1,(X252-G$1030)^2,0)</f>
        <v>6.43150112377864</v>
      </c>
      <c r="AG252" s="35" t="n">
        <f aca="false">IF(AC252=1,(Y252-H$1030)^2,0)</f>
        <v>0</v>
      </c>
      <c r="AH252" s="35" t="n">
        <f aca="false">IF(AD252=1,(Z252-I$1030)^2,0)</f>
        <v>0</v>
      </c>
      <c r="AI252" s="35" t="n">
        <f aca="false">IF(AE252=1,(AA252-J$1030)^2,0)</f>
        <v>0</v>
      </c>
      <c r="AJ252" s="37" t="n">
        <f aca="true">IF(RAND()&lt;$D$6,1,0)</f>
        <v>0</v>
      </c>
      <c r="AK252" s="14" t="n">
        <f aca="false">AK251+IF((AJ252=1),IF((H252=0),1,0),0)</f>
        <v>0</v>
      </c>
      <c r="AL252" s="14" t="n">
        <f aca="false">AL251+IF((AJ252=1),IF((H252=1),1,0),0)</f>
        <v>0</v>
      </c>
      <c r="AM252" s="37" t="n">
        <f aca="false">IF(AK252=0,9999,IF($H252=0,IF($AJ252&lt;1,AM251+1,0),AM251))</f>
        <v>9999</v>
      </c>
      <c r="AN252" s="37" t="n">
        <f aca="false">IF(AL252=0,9999,IF($H252=1,IF($AJ252&lt;1,AN251+1,0),AN251))</f>
        <v>9999</v>
      </c>
      <c r="AO252" s="37" t="n">
        <f aca="false">IF($A252-AM252&gt;0,1/(1+AM252),0)</f>
        <v>0</v>
      </c>
      <c r="AP252" s="37" t="n">
        <f aca="false">IF($A252-AN252&gt;0,1/(1+AN252),0)</f>
        <v>0</v>
      </c>
      <c r="AQ252" s="7" t="n">
        <f aca="false">IF(AK252=0,0,MAX(MIN(1,AO252^Power),0))</f>
        <v>0</v>
      </c>
      <c r="AR252" s="7" t="n">
        <f aca="false">IF(AL252=0,0,MAX(MIN(1,AP252^Power),0))</f>
        <v>0</v>
      </c>
      <c r="AS252" s="7" t="n">
        <f aca="false">IF($AJ252=1,IF($H252=0,K252,AS251),AS251)</f>
        <v>0</v>
      </c>
      <c r="AT252" s="7" t="n">
        <f aca="false">IF($AJ252=1,IF($H252=1,N252,AT251),AT251)</f>
        <v>0</v>
      </c>
    </row>
    <row r="253" customFormat="false" ht="13" hidden="false" customHeight="false" outlineLevel="0" collapsed="false">
      <c r="A253" s="16" t="n">
        <v>236</v>
      </c>
      <c r="B253" s="37" t="n">
        <f aca="true">IF(RAND()&lt;$D$8,1,0)</f>
        <v>0</v>
      </c>
      <c r="C253" s="20" t="n">
        <f aca="true">-LN(RAND())/$D$2</f>
        <v>1.39460402441458</v>
      </c>
      <c r="D253" s="38" t="n">
        <f aca="false">D252+C253</f>
        <v>263.894174517008</v>
      </c>
      <c r="E253" s="39" t="n">
        <f aca="false">MAX($E$3,AS252)</f>
        <v>0</v>
      </c>
      <c r="F253" s="39" t="n">
        <f aca="false">MAX($E$3,AT252)</f>
        <v>0</v>
      </c>
      <c r="G253" s="40" t="n">
        <v>0.5</v>
      </c>
      <c r="H253" s="38" t="n">
        <f aca="true">IF((B253=1),(IF((F253&lt;E253),1,(IF((F253=E253),(IF(RAND()&lt;G253,1,0)),0)))),(IF((RAND()&lt;G253),1,0)))</f>
        <v>0</v>
      </c>
      <c r="I253" s="38" t="n">
        <f aca="true">IF((H253=1),0,$D$3+$D$5*(RAND()-0.5))</f>
        <v>1.98527117751863</v>
      </c>
      <c r="J253" s="38" t="n">
        <f aca="false">I253+MAX(D253,J252)</f>
        <v>272.658479469827</v>
      </c>
      <c r="K253" s="38" t="n">
        <f aca="false">IF((H253=0),J253-D253,0)</f>
        <v>8.76430495281932</v>
      </c>
      <c r="L253" s="38" t="n">
        <f aca="true">IF(($H253=0),0,$D$4+$D$5*(RAND()-0.5))</f>
        <v>0</v>
      </c>
      <c r="M253" s="38" t="n">
        <f aca="false">L253+MAX(D253,M252)</f>
        <v>277.643770420233</v>
      </c>
      <c r="N253" s="38" t="n">
        <f aca="false">IF((H253=1),M253-D253,0)</f>
        <v>0</v>
      </c>
      <c r="O253" s="16" t="n">
        <v>236</v>
      </c>
      <c r="P253" s="41" t="n">
        <f aca="false">IF((Arterial=0),P252+1,P252)</f>
        <v>110</v>
      </c>
      <c r="Q253" s="41" t="n">
        <f aca="false">IF((Arterial=1),Q252+1,Q252)</f>
        <v>126</v>
      </c>
      <c r="R253" s="42" t="e">
        <f aca="false">IF((RESET=1),0,R253+K253)</f>
        <v>#N/A</v>
      </c>
      <c r="S253" s="14" t="n">
        <f aca="false">IF(RESET=1,0,S253+N253)</f>
        <v>498.599981848512</v>
      </c>
      <c r="T253" s="2" t="e">
        <f aca="false">IF(RESET=1,0,T253+IF(H253=0,1,0))</f>
        <v>#N/A</v>
      </c>
      <c r="U253" s="2" t="n">
        <f aca="false">IF(RESET=1,0,U253+H253)</f>
        <v>39</v>
      </c>
      <c r="V253" s="14" t="e">
        <f aca="false">R253/(T253+0.00001)</f>
        <v>#N/A</v>
      </c>
      <c r="W253" s="14" t="n">
        <f aca="false">S253/(U253+0.0001)</f>
        <v>12.7845821382128</v>
      </c>
      <c r="X253" s="39" t="n">
        <f aca="false">IF(Informed=1,K253,0)</f>
        <v>0</v>
      </c>
      <c r="Y253" s="39" t="n">
        <f aca="false">IF(Informed=0,K253,0)</f>
        <v>8.76430495281932</v>
      </c>
      <c r="Z253" s="39" t="n">
        <f aca="false">IF(Informed=1,N253,0)</f>
        <v>0</v>
      </c>
      <c r="AA253" s="39" t="n">
        <f aca="false">IF(Informed=0,N253,0)</f>
        <v>0</v>
      </c>
      <c r="AB253" s="43" t="n">
        <f aca="false">IF(Arterial=0,IF(Informed=1,1,0),0)</f>
        <v>0</v>
      </c>
      <c r="AC253" s="43" t="n">
        <f aca="false">IF(Arterial=0,IF(Informed=0,1,0),0)</f>
        <v>1</v>
      </c>
      <c r="AD253" s="43" t="n">
        <f aca="false">IF(Arterial=1,IF(Informed=1,1,0),0)</f>
        <v>0</v>
      </c>
      <c r="AE253" s="43" t="n">
        <f aca="false">IF(Arterial=1,IF(Informed=0,1,0),0)</f>
        <v>0</v>
      </c>
      <c r="AF253" s="35" t="n">
        <f aca="false">IF(AB253=1,(X253-G$1030)^2,0)</f>
        <v>0</v>
      </c>
      <c r="AG253" s="35" t="n">
        <f aca="false">IF(AC253=1,(Y253-H$1030)^2,0)</f>
        <v>4.66335515702071</v>
      </c>
      <c r="AH253" s="35" t="n">
        <f aca="false">IF(AD253=1,(Z253-I$1030)^2,0)</f>
        <v>0</v>
      </c>
      <c r="AI253" s="35" t="n">
        <f aca="false">IF(AE253=1,(AA253-J$1030)^2,0)</f>
        <v>0</v>
      </c>
      <c r="AJ253" s="37" t="n">
        <f aca="true">IF(RAND()&lt;$D$6,1,0)</f>
        <v>0</v>
      </c>
      <c r="AK253" s="14" t="n">
        <f aca="false">AK252+IF((AJ253=1),IF((H253=0),1,0),0)</f>
        <v>0</v>
      </c>
      <c r="AL253" s="14" t="n">
        <f aca="false">AL252+IF((AJ253=1),IF((H253=1),1,0),0)</f>
        <v>0</v>
      </c>
      <c r="AM253" s="37" t="n">
        <f aca="false">IF(AK253=0,9999,IF($H253=0,IF($AJ253&lt;1,AM252+1,0),AM252))</f>
        <v>9999</v>
      </c>
      <c r="AN253" s="37" t="n">
        <f aca="false">IF(AL253=0,9999,IF($H253=1,IF($AJ253&lt;1,AN252+1,0),AN252))</f>
        <v>9999</v>
      </c>
      <c r="AO253" s="37" t="n">
        <f aca="false">IF($A253-AM253&gt;0,1/(1+AM253),0)</f>
        <v>0</v>
      </c>
      <c r="AP253" s="37" t="n">
        <f aca="false">IF($A253-AN253&gt;0,1/(1+AN253),0)</f>
        <v>0</v>
      </c>
      <c r="AQ253" s="7" t="n">
        <f aca="false">IF(AK253=0,0,MAX(MIN(1,AO253^Power),0))</f>
        <v>0</v>
      </c>
      <c r="AR253" s="7" t="n">
        <f aca="false">IF(AL253=0,0,MAX(MIN(1,AP253^Power),0))</f>
        <v>0</v>
      </c>
      <c r="AS253" s="7" t="n">
        <f aca="false">IF($AJ253=1,IF($H253=0,K253,AS252),AS252)</f>
        <v>0</v>
      </c>
      <c r="AT253" s="7" t="n">
        <f aca="false">IF($AJ253=1,IF($H253=1,N253,AT252),AT252)</f>
        <v>0</v>
      </c>
    </row>
    <row r="254" customFormat="false" ht="13" hidden="false" customHeight="false" outlineLevel="0" collapsed="false">
      <c r="A254" s="16" t="n">
        <v>237</v>
      </c>
      <c r="B254" s="37" t="n">
        <f aca="true">IF(RAND()&lt;$D$8,1,0)</f>
        <v>0</v>
      </c>
      <c r="C254" s="20" t="n">
        <f aca="true">-LN(RAND())/$D$2</f>
        <v>1.33105932613971</v>
      </c>
      <c r="D254" s="38" t="n">
        <f aca="false">D253+C254</f>
        <v>265.225233843148</v>
      </c>
      <c r="E254" s="39" t="n">
        <f aca="false">MAX($E$3,AS253)</f>
        <v>0</v>
      </c>
      <c r="F254" s="39" t="n">
        <f aca="false">MAX($E$3,AT253)</f>
        <v>0</v>
      </c>
      <c r="G254" s="40" t="n">
        <v>0.5</v>
      </c>
      <c r="H254" s="38" t="n">
        <f aca="true">IF((B254=1),(IF((F254&lt;E254),1,(IF((F254=E254),(IF(RAND()&lt;G254,1,0)),0)))),(IF((RAND()&lt;G254),1,0)))</f>
        <v>1</v>
      </c>
      <c r="I254" s="38" t="n">
        <f aca="true">IF((H254=1),0,$D$3+$D$5*(RAND()-0.5))</f>
        <v>0</v>
      </c>
      <c r="J254" s="38" t="n">
        <f aca="false">I254+MAX(D254,J253)</f>
        <v>272.658479469827</v>
      </c>
      <c r="K254" s="38" t="n">
        <f aca="false">IF((H254=0),J254-D254,0)</f>
        <v>0</v>
      </c>
      <c r="L254" s="38" t="n">
        <f aca="true">IF(($H254=0),0,$D$4+$D$5*(RAND()-0.5))</f>
        <v>1.84871143570417</v>
      </c>
      <c r="M254" s="38" t="n">
        <f aca="false">L254+MAX(D254,M253)</f>
        <v>279.492481855937</v>
      </c>
      <c r="N254" s="38" t="n">
        <f aca="false">IF((H254=1),M254-D254,0)</f>
        <v>14.2672480127897</v>
      </c>
      <c r="O254" s="16" t="n">
        <v>237</v>
      </c>
      <c r="P254" s="41" t="n">
        <f aca="false">IF((Arterial=0),P253+1,P253)</f>
        <v>110</v>
      </c>
      <c r="Q254" s="41" t="n">
        <f aca="false">IF((Arterial=1),Q253+1,Q253)</f>
        <v>127</v>
      </c>
      <c r="R254" s="42" t="n">
        <f aca="false">IF((RESET=1),0,R254+K254)</f>
        <v>508.56593848849</v>
      </c>
      <c r="S254" s="14" t="e">
        <f aca="false">IF(RESET=1,0,S254+N254)</f>
        <v>#N/A</v>
      </c>
      <c r="T254" s="2" t="n">
        <f aca="false">IF(RESET=1,0,T254+IF(H254=0,1,0))</f>
        <v>41</v>
      </c>
      <c r="U254" s="2" t="e">
        <f aca="false">IF(RESET=1,0,U254+H254)</f>
        <v>#N/A</v>
      </c>
      <c r="V254" s="14" t="n">
        <f aca="false">R254/(T254+0.00001)</f>
        <v>12.4040442548304</v>
      </c>
      <c r="W254" s="14" t="e">
        <f aca="false">S254/(U254+0.0001)</f>
        <v>#N/A</v>
      </c>
      <c r="X254" s="39" t="n">
        <f aca="false">IF(Informed=1,K254,0)</f>
        <v>0</v>
      </c>
      <c r="Y254" s="39" t="n">
        <f aca="false">IF(Informed=0,K254,0)</f>
        <v>0</v>
      </c>
      <c r="Z254" s="39" t="n">
        <f aca="false">IF(Informed=1,N254,0)</f>
        <v>0</v>
      </c>
      <c r="AA254" s="39" t="n">
        <f aca="false">IF(Informed=0,N254,0)</f>
        <v>14.2672480127897</v>
      </c>
      <c r="AB254" s="43" t="n">
        <f aca="false">IF(Arterial=0,IF(Informed=1,1,0),0)</f>
        <v>0</v>
      </c>
      <c r="AC254" s="43" t="n">
        <f aca="false">IF(Arterial=0,IF(Informed=0,1,0),0)</f>
        <v>0</v>
      </c>
      <c r="AD254" s="43" t="n">
        <f aca="false">IF(Arterial=1,IF(Informed=1,1,0),0)</f>
        <v>0</v>
      </c>
      <c r="AE254" s="43" t="n">
        <f aca="false">IF(Arterial=1,IF(Informed=0,1,0),0)</f>
        <v>1</v>
      </c>
      <c r="AF254" s="35" t="n">
        <f aca="false">IF(AB254=1,(X254-G$1030)^2,0)</f>
        <v>0</v>
      </c>
      <c r="AG254" s="35" t="n">
        <f aca="false">IF(AC254=1,(Y254-H$1030)^2,0)</f>
        <v>0</v>
      </c>
      <c r="AH254" s="35" t="n">
        <f aca="false">IF(AD254=1,(Z254-I$1030)^2,0)</f>
        <v>0</v>
      </c>
      <c r="AI254" s="35" t="n">
        <f aca="false">IF(AE254=1,(AA254-J$1030)^2,0)</f>
        <v>233.999034348095</v>
      </c>
      <c r="AJ254" s="37" t="n">
        <f aca="true">IF(RAND()&lt;$D$6,1,0)</f>
        <v>0</v>
      </c>
      <c r="AK254" s="14" t="n">
        <f aca="false">AK253+IF((AJ254=1),IF((H254=0),1,0),0)</f>
        <v>0</v>
      </c>
      <c r="AL254" s="14" t="n">
        <f aca="false">AL253+IF((AJ254=1),IF((H254=1),1,0),0)</f>
        <v>0</v>
      </c>
      <c r="AM254" s="37" t="n">
        <f aca="false">IF(AK254=0,9999,IF($H254=0,IF($AJ254&lt;1,AM253+1,0),AM253))</f>
        <v>9999</v>
      </c>
      <c r="AN254" s="37" t="n">
        <f aca="false">IF(AL254=0,9999,IF($H254=1,IF($AJ254&lt;1,AN253+1,0),AN253))</f>
        <v>9999</v>
      </c>
      <c r="AO254" s="37" t="n">
        <f aca="false">IF($A254-AM254&gt;0,1/(1+AM254),0)</f>
        <v>0</v>
      </c>
      <c r="AP254" s="37" t="n">
        <f aca="false">IF($A254-AN254&gt;0,1/(1+AN254),0)</f>
        <v>0</v>
      </c>
      <c r="AQ254" s="7" t="n">
        <f aca="false">IF(AK254=0,0,MAX(MIN(1,AO254^Power),0))</f>
        <v>0</v>
      </c>
      <c r="AR254" s="7" t="n">
        <f aca="false">IF(AL254=0,0,MAX(MIN(1,AP254^Power),0))</f>
        <v>0</v>
      </c>
      <c r="AS254" s="7" t="n">
        <f aca="false">IF($AJ254=1,IF($H254=0,K254,AS253),AS253)</f>
        <v>0</v>
      </c>
      <c r="AT254" s="7" t="n">
        <f aca="false">IF($AJ254=1,IF($H254=1,N254,AT253),AT253)</f>
        <v>0</v>
      </c>
    </row>
    <row r="255" customFormat="false" ht="13" hidden="false" customHeight="false" outlineLevel="0" collapsed="false">
      <c r="A255" s="16" t="n">
        <v>238</v>
      </c>
      <c r="B255" s="37" t="n">
        <f aca="true">IF(RAND()&lt;$D$8,1,0)</f>
        <v>1</v>
      </c>
      <c r="C255" s="20" t="n">
        <f aca="true">-LN(RAND())/$D$2</f>
        <v>0.566163809024026</v>
      </c>
      <c r="D255" s="38" t="n">
        <f aca="false">D254+C255</f>
        <v>265.791397652172</v>
      </c>
      <c r="E255" s="39" t="n">
        <f aca="false">MAX($E$3,AS254)</f>
        <v>0</v>
      </c>
      <c r="F255" s="39" t="n">
        <f aca="false">MAX($E$3,AT254)</f>
        <v>0</v>
      </c>
      <c r="G255" s="40" t="n">
        <v>0.5</v>
      </c>
      <c r="H255" s="38" t="n">
        <f aca="true">IF((B255=1),(IF((F255&lt;E255),1,(IF((F255=E255),(IF(RAND()&lt;G255,1,0)),0)))),(IF((RAND()&lt;G255),1,0)))</f>
        <v>0</v>
      </c>
      <c r="I255" s="38" t="n">
        <f aca="true">IF((H255=1),0,$D$3+$D$5*(RAND()-0.5))</f>
        <v>1.87865895708745</v>
      </c>
      <c r="J255" s="38" t="n">
        <f aca="false">I255+MAX(D255,J254)</f>
        <v>274.537138426915</v>
      </c>
      <c r="K255" s="38" t="n">
        <f aca="false">IF((H255=0),J255-D255,0)</f>
        <v>8.74574077474301</v>
      </c>
      <c r="L255" s="38" t="n">
        <f aca="true">IF(($H255=0),0,$D$4+$D$5*(RAND()-0.5))</f>
        <v>0</v>
      </c>
      <c r="M255" s="38" t="n">
        <f aca="false">L255+MAX(D255,M254)</f>
        <v>279.492481855937</v>
      </c>
      <c r="N255" s="38" t="n">
        <f aca="false">IF((H255=1),M255-D255,0)</f>
        <v>0</v>
      </c>
      <c r="O255" s="16" t="n">
        <v>238</v>
      </c>
      <c r="P255" s="41" t="n">
        <f aca="false">IF((Arterial=0),P254+1,P254)</f>
        <v>111</v>
      </c>
      <c r="Q255" s="41" t="n">
        <f aca="false">IF((Arterial=1),Q254+1,Q254)</f>
        <v>127</v>
      </c>
      <c r="R255" s="42" t="e">
        <f aca="false">IF((RESET=1),0,R255+K255)</f>
        <v>#N/A</v>
      </c>
      <c r="S255" s="14" t="n">
        <f aca="false">IF(RESET=1,0,S255+N255)</f>
        <v>439.192647284784</v>
      </c>
      <c r="T255" s="2" t="e">
        <f aca="false">IF(RESET=1,0,T255+IF(H255=0,1,0))</f>
        <v>#N/A</v>
      </c>
      <c r="U255" s="2" t="n">
        <f aca="false">IF(RESET=1,0,U255+H255)</f>
        <v>30</v>
      </c>
      <c r="V255" s="14" t="e">
        <f aca="false">R255/(T255+0.00001)</f>
        <v>#N/A</v>
      </c>
      <c r="W255" s="14" t="n">
        <f aca="false">S255/(U255+0.0001)</f>
        <v>14.6397061104724</v>
      </c>
      <c r="X255" s="39" t="n">
        <f aca="false">IF(Informed=1,K255,0)</f>
        <v>8.74574077474301</v>
      </c>
      <c r="Y255" s="39" t="n">
        <f aca="false">IF(Informed=0,K255,0)</f>
        <v>0</v>
      </c>
      <c r="Z255" s="39" t="n">
        <f aca="false">IF(Informed=1,N255,0)</f>
        <v>0</v>
      </c>
      <c r="AA255" s="39" t="n">
        <f aca="false">IF(Informed=0,N255,0)</f>
        <v>0</v>
      </c>
      <c r="AB255" s="43" t="n">
        <f aca="false">IF(Arterial=0,IF(Informed=1,1,0),0)</f>
        <v>1</v>
      </c>
      <c r="AC255" s="43" t="n">
        <f aca="false">IF(Arterial=0,IF(Informed=0,1,0),0)</f>
        <v>0</v>
      </c>
      <c r="AD255" s="43" t="n">
        <f aca="false">IF(Arterial=1,IF(Informed=1,1,0),0)</f>
        <v>0</v>
      </c>
      <c r="AE255" s="43" t="n">
        <f aca="false">IF(Arterial=1,IF(Informed=0,1,0),0)</f>
        <v>0</v>
      </c>
      <c r="AF255" s="35" t="n">
        <f aca="false">IF(AB255=1,(X255-G$1030)^2,0)</f>
        <v>3.85705037442472</v>
      </c>
      <c r="AG255" s="35" t="n">
        <f aca="false">IF(AC255=1,(Y255-H$1030)^2,0)</f>
        <v>0</v>
      </c>
      <c r="AH255" s="35" t="n">
        <f aca="false">IF(AD255=1,(Z255-I$1030)^2,0)</f>
        <v>0</v>
      </c>
      <c r="AI255" s="35" t="n">
        <f aca="false">IF(AE255=1,(AA255-J$1030)^2,0)</f>
        <v>0</v>
      </c>
      <c r="AJ255" s="37" t="n">
        <f aca="true">IF(RAND()&lt;$D$6,1,0)</f>
        <v>0</v>
      </c>
      <c r="AK255" s="14" t="n">
        <f aca="false">AK254+IF((AJ255=1),IF((H255=0),1,0),0)</f>
        <v>0</v>
      </c>
      <c r="AL255" s="14" t="n">
        <f aca="false">AL254+IF((AJ255=1),IF((H255=1),1,0),0)</f>
        <v>0</v>
      </c>
      <c r="AM255" s="37" t="n">
        <f aca="false">IF(AK255=0,9999,IF($H255=0,IF($AJ255&lt;1,AM254+1,0),AM254))</f>
        <v>9999</v>
      </c>
      <c r="AN255" s="37" t="n">
        <f aca="false">IF(AL255=0,9999,IF($H255=1,IF($AJ255&lt;1,AN254+1,0),AN254))</f>
        <v>9999</v>
      </c>
      <c r="AO255" s="37" t="n">
        <f aca="false">IF($A255-AM255&gt;0,1/(1+AM255),0)</f>
        <v>0</v>
      </c>
      <c r="AP255" s="37" t="n">
        <f aca="false">IF($A255-AN255&gt;0,1/(1+AN255),0)</f>
        <v>0</v>
      </c>
      <c r="AQ255" s="7" t="n">
        <f aca="false">IF(AK255=0,0,MAX(MIN(1,AO255^Power),0))</f>
        <v>0</v>
      </c>
      <c r="AR255" s="7" t="n">
        <f aca="false">IF(AL255=0,0,MAX(MIN(1,AP255^Power),0))</f>
        <v>0</v>
      </c>
      <c r="AS255" s="7" t="n">
        <f aca="false">IF($AJ255=1,IF($H255=0,K255,AS254),AS254)</f>
        <v>0</v>
      </c>
      <c r="AT255" s="7" t="n">
        <f aca="false">IF($AJ255=1,IF($H255=1,N255,AT254),AT254)</f>
        <v>0</v>
      </c>
    </row>
    <row r="256" customFormat="false" ht="13" hidden="false" customHeight="false" outlineLevel="0" collapsed="false">
      <c r="A256" s="16" t="n">
        <v>239</v>
      </c>
      <c r="B256" s="37" t="n">
        <f aca="true">IF(RAND()&lt;$D$8,1,0)</f>
        <v>0</v>
      </c>
      <c r="C256" s="20" t="n">
        <f aca="true">-LN(RAND())/$D$2</f>
        <v>0.107511899390258</v>
      </c>
      <c r="D256" s="38" t="n">
        <f aca="false">D255+C256</f>
        <v>265.898909551562</v>
      </c>
      <c r="E256" s="39" t="n">
        <f aca="false">MAX($E$3,AS255)</f>
        <v>0</v>
      </c>
      <c r="F256" s="39" t="n">
        <f aca="false">MAX($E$3,AT255)</f>
        <v>0</v>
      </c>
      <c r="G256" s="40" t="n">
        <v>0.5</v>
      </c>
      <c r="H256" s="38" t="n">
        <f aca="true">IF((B256=1),(IF((F256&lt;E256),1,(IF((F256=E256),(IF(RAND()&lt;G256,1,0)),0)))),(IF((RAND()&lt;G256),1,0)))</f>
        <v>1</v>
      </c>
      <c r="I256" s="38" t="n">
        <f aca="true">IF((H256=1),0,$D$3+$D$5*(RAND()-0.5))</f>
        <v>0</v>
      </c>
      <c r="J256" s="38" t="n">
        <f aca="false">I256+MAX(D256,J255)</f>
        <v>274.537138426915</v>
      </c>
      <c r="K256" s="38" t="n">
        <f aca="false">IF((H256=0),J256-D256,0)</f>
        <v>0</v>
      </c>
      <c r="L256" s="38" t="n">
        <f aca="true">IF(($H256=0),0,$D$4+$D$5*(RAND()-0.5))</f>
        <v>1.80460622806321</v>
      </c>
      <c r="M256" s="38" t="n">
        <f aca="false">L256+MAX(D256,M255)</f>
        <v>281.297088084</v>
      </c>
      <c r="N256" s="38" t="n">
        <f aca="false">IF((H256=1),M256-D256,0)</f>
        <v>15.3981785324386</v>
      </c>
      <c r="O256" s="16" t="n">
        <v>239</v>
      </c>
      <c r="P256" s="41" t="n">
        <f aca="false">IF((Arterial=0),P255+1,P255)</f>
        <v>111</v>
      </c>
      <c r="Q256" s="41" t="n">
        <f aca="false">IF((Arterial=1),Q255+1,Q255)</f>
        <v>128</v>
      </c>
      <c r="R256" s="42" t="n">
        <f aca="false">IF((RESET=1),0,R256+K256)</f>
        <v>716.463704164985</v>
      </c>
      <c r="S256" s="14" t="e">
        <f aca="false">IF(RESET=1,0,S256+N256)</f>
        <v>#N/A</v>
      </c>
      <c r="T256" s="2" t="n">
        <f aca="false">IF(RESET=1,0,T256+IF(H256=0,1,0))</f>
        <v>47</v>
      </c>
      <c r="U256" s="2" t="e">
        <f aca="false">IF(RESET=1,0,U256+H256)</f>
        <v>#N/A</v>
      </c>
      <c r="V256" s="14" t="n">
        <f aca="false">R256/(T256+0.00001)</f>
        <v>15.2439053558709</v>
      </c>
      <c r="W256" s="14" t="e">
        <f aca="false">S256/(U256+0.0001)</f>
        <v>#N/A</v>
      </c>
      <c r="X256" s="39" t="n">
        <f aca="false">IF(Informed=1,K256,0)</f>
        <v>0</v>
      </c>
      <c r="Y256" s="39" t="n">
        <f aca="false">IF(Informed=0,K256,0)</f>
        <v>0</v>
      </c>
      <c r="Z256" s="39" t="n">
        <f aca="false">IF(Informed=1,N256,0)</f>
        <v>0</v>
      </c>
      <c r="AA256" s="39" t="n">
        <f aca="false">IF(Informed=0,N256,0)</f>
        <v>15.3981785324386</v>
      </c>
      <c r="AB256" s="43" t="n">
        <f aca="false">IF(Arterial=0,IF(Informed=1,1,0),0)</f>
        <v>0</v>
      </c>
      <c r="AC256" s="43" t="n">
        <f aca="false">IF(Arterial=0,IF(Informed=0,1,0),0)</f>
        <v>0</v>
      </c>
      <c r="AD256" s="43" t="n">
        <f aca="false">IF(Arterial=1,IF(Informed=1,1,0),0)</f>
        <v>0</v>
      </c>
      <c r="AE256" s="43" t="n">
        <f aca="false">IF(Arterial=1,IF(Informed=0,1,0),0)</f>
        <v>1</v>
      </c>
      <c r="AF256" s="35" t="n">
        <f aca="false">IF(AB256=1,(X256-G$1030)^2,0)</f>
        <v>0</v>
      </c>
      <c r="AG256" s="35" t="n">
        <f aca="false">IF(AC256=1,(Y256-H$1030)^2,0)</f>
        <v>0</v>
      </c>
      <c r="AH256" s="35" t="n">
        <f aca="false">IF(AD256=1,(Z256-I$1030)^2,0)</f>
        <v>0</v>
      </c>
      <c r="AI256" s="35" t="n">
        <f aca="false">IF(AE256=1,(AA256-J$1030)^2,0)</f>
        <v>200.678288851041</v>
      </c>
      <c r="AJ256" s="37" t="n">
        <f aca="true">IF(RAND()&lt;$D$6,1,0)</f>
        <v>0</v>
      </c>
      <c r="AK256" s="14" t="n">
        <f aca="false">AK255+IF((AJ256=1),IF((H256=0),1,0),0)</f>
        <v>0</v>
      </c>
      <c r="AL256" s="14" t="n">
        <f aca="false">AL255+IF((AJ256=1),IF((H256=1),1,0),0)</f>
        <v>0</v>
      </c>
      <c r="AM256" s="37" t="n">
        <f aca="false">IF(AK256=0,9999,IF($H256=0,IF($AJ256&lt;1,AM255+1,0),AM255))</f>
        <v>9999</v>
      </c>
      <c r="AN256" s="37" t="n">
        <f aca="false">IF(AL256=0,9999,IF($H256=1,IF($AJ256&lt;1,AN255+1,0),AN255))</f>
        <v>9999</v>
      </c>
      <c r="AO256" s="37" t="n">
        <f aca="false">IF($A256-AM256&gt;0,1/(1+AM256),0)</f>
        <v>0</v>
      </c>
      <c r="AP256" s="37" t="n">
        <f aca="false">IF($A256-AN256&gt;0,1/(1+AN256),0)</f>
        <v>0</v>
      </c>
      <c r="AQ256" s="7" t="n">
        <f aca="false">IF(AK256=0,0,MAX(MIN(1,AO256^Power),0))</f>
        <v>0</v>
      </c>
      <c r="AR256" s="7" t="n">
        <f aca="false">IF(AL256=0,0,MAX(MIN(1,AP256^Power),0))</f>
        <v>0</v>
      </c>
      <c r="AS256" s="7" t="n">
        <f aca="false">IF($AJ256=1,IF($H256=0,K256,AS255),AS255)</f>
        <v>0</v>
      </c>
      <c r="AT256" s="7" t="n">
        <f aca="false">IF($AJ256=1,IF($H256=1,N256,AT255),AT255)</f>
        <v>0</v>
      </c>
    </row>
    <row r="257" customFormat="false" ht="13" hidden="false" customHeight="false" outlineLevel="0" collapsed="false">
      <c r="A257" s="16" t="n">
        <v>240</v>
      </c>
      <c r="B257" s="37" t="n">
        <f aca="true">IF(RAND()&lt;$D$8,1,0)</f>
        <v>0</v>
      </c>
      <c r="C257" s="20" t="n">
        <f aca="true">-LN(RAND())/$D$2</f>
        <v>0.687262200558393</v>
      </c>
      <c r="D257" s="38" t="n">
        <f aca="false">D256+C257</f>
        <v>266.58617175212</v>
      </c>
      <c r="E257" s="39" t="n">
        <f aca="false">MAX($E$3,AS256)</f>
        <v>0</v>
      </c>
      <c r="F257" s="39" t="n">
        <f aca="false">MAX($E$3,AT256)</f>
        <v>0</v>
      </c>
      <c r="G257" s="40" t="n">
        <v>0.5</v>
      </c>
      <c r="H257" s="38" t="n">
        <f aca="true">IF((B257=1),(IF((F257&lt;E257),1,(IF((F257=E257),(IF(RAND()&lt;G257,1,0)),0)))),(IF((RAND()&lt;G257),1,0)))</f>
        <v>1</v>
      </c>
      <c r="I257" s="38" t="n">
        <f aca="true">IF((H257=1),0,$D$3+$D$5*(RAND()-0.5))</f>
        <v>0</v>
      </c>
      <c r="J257" s="38" t="n">
        <f aca="false">I257+MAX(D257,J256)</f>
        <v>274.537138426915</v>
      </c>
      <c r="K257" s="38" t="n">
        <f aca="false">IF((H257=0),J257-D257,0)</f>
        <v>0</v>
      </c>
      <c r="L257" s="38" t="n">
        <f aca="true">IF(($H257=0),0,$D$4+$D$5*(RAND()-0.5))</f>
        <v>1.99601199591794</v>
      </c>
      <c r="M257" s="38" t="n">
        <f aca="false">L257+MAX(D257,M256)</f>
        <v>283.293100079918</v>
      </c>
      <c r="N257" s="38" t="n">
        <f aca="false">IF((H257=1),M257-D257,0)</f>
        <v>16.7069283277982</v>
      </c>
      <c r="O257" s="16" t="n">
        <v>240</v>
      </c>
      <c r="P257" s="41" t="n">
        <f aca="false">IF((Arterial=0),P256+1,P256)</f>
        <v>111</v>
      </c>
      <c r="Q257" s="41" t="n">
        <f aca="false">IF((Arterial=1),Q256+1,Q256)</f>
        <v>129</v>
      </c>
      <c r="R257" s="42" t="n">
        <f aca="false">IF((RESET=1),0,R257+K257)</f>
        <v>575.14424329628</v>
      </c>
      <c r="S257" s="14" t="e">
        <f aca="false">IF(RESET=1,0,S257+N257)</f>
        <v>#N/A</v>
      </c>
      <c r="T257" s="2" t="n">
        <f aca="false">IF(RESET=1,0,T257+IF(H257=0,1,0))</f>
        <v>40</v>
      </c>
      <c r="U257" s="2" t="e">
        <f aca="false">IF(RESET=1,0,U257+H257)</f>
        <v>#N/A</v>
      </c>
      <c r="V257" s="14" t="n">
        <f aca="false">R257/(T257+0.00001)</f>
        <v>14.3786024877564</v>
      </c>
      <c r="W257" s="14" t="e">
        <f aca="false">S257/(U257+0.0001)</f>
        <v>#N/A</v>
      </c>
      <c r="X257" s="39" t="n">
        <f aca="false">IF(Informed=1,K257,0)</f>
        <v>0</v>
      </c>
      <c r="Y257" s="39" t="n">
        <f aca="false">IF(Informed=0,K257,0)</f>
        <v>0</v>
      </c>
      <c r="Z257" s="39" t="n">
        <f aca="false">IF(Informed=1,N257,0)</f>
        <v>0</v>
      </c>
      <c r="AA257" s="39" t="n">
        <f aca="false">IF(Informed=0,N257,0)</f>
        <v>16.7069283277982</v>
      </c>
      <c r="AB257" s="43" t="n">
        <f aca="false">IF(Arterial=0,IF(Informed=1,1,0),0)</f>
        <v>0</v>
      </c>
      <c r="AC257" s="43" t="n">
        <f aca="false">IF(Arterial=0,IF(Informed=0,1,0),0)</f>
        <v>0</v>
      </c>
      <c r="AD257" s="43" t="n">
        <f aca="false">IF(Arterial=1,IF(Informed=1,1,0),0)</f>
        <v>0</v>
      </c>
      <c r="AE257" s="43" t="n">
        <f aca="false">IF(Arterial=1,IF(Informed=0,1,0),0)</f>
        <v>1</v>
      </c>
      <c r="AF257" s="35" t="n">
        <f aca="false">IF(AB257=1,(X257-G$1030)^2,0)</f>
        <v>0</v>
      </c>
      <c r="AG257" s="35" t="n">
        <f aca="false">IF(AC257=1,(Y257-H$1030)^2,0)</f>
        <v>0</v>
      </c>
      <c r="AH257" s="35" t="n">
        <f aca="false">IF(AD257=1,(Z257-I$1030)^2,0)</f>
        <v>0</v>
      </c>
      <c r="AI257" s="35" t="n">
        <f aca="false">IF(AE257=1,(AA257-J$1030)^2,0)</f>
        <v>165.311363197577</v>
      </c>
      <c r="AJ257" s="37" t="n">
        <f aca="true">IF(RAND()&lt;$D$6,1,0)</f>
        <v>0</v>
      </c>
      <c r="AK257" s="14" t="n">
        <f aca="false">AK256+IF((AJ257=1),IF((H257=0),1,0),0)</f>
        <v>0</v>
      </c>
      <c r="AL257" s="14" t="n">
        <f aca="false">AL256+IF((AJ257=1),IF((H257=1),1,0),0)</f>
        <v>0</v>
      </c>
      <c r="AM257" s="37" t="n">
        <f aca="false">IF(AK257=0,9999,IF($H257=0,IF($AJ257&lt;1,AM256+1,0),AM256))</f>
        <v>9999</v>
      </c>
      <c r="AN257" s="37" t="n">
        <f aca="false">IF(AL257=0,9999,IF($H257=1,IF($AJ257&lt;1,AN256+1,0),AN256))</f>
        <v>9999</v>
      </c>
      <c r="AO257" s="37" t="n">
        <f aca="false">IF($A257-AM257&gt;0,1/(1+AM257),0)</f>
        <v>0</v>
      </c>
      <c r="AP257" s="37" t="n">
        <f aca="false">IF($A257-AN257&gt;0,1/(1+AN257),0)</f>
        <v>0</v>
      </c>
      <c r="AQ257" s="7" t="n">
        <f aca="false">IF(AK257=0,0,MAX(MIN(1,AO257^Power),0))</f>
        <v>0</v>
      </c>
      <c r="AR257" s="7" t="n">
        <f aca="false">IF(AL257=0,0,MAX(MIN(1,AP257^Power),0))</f>
        <v>0</v>
      </c>
      <c r="AS257" s="7" t="n">
        <f aca="false">IF($AJ257=1,IF($H257=0,K257,AS256),AS256)</f>
        <v>0</v>
      </c>
      <c r="AT257" s="7" t="n">
        <f aca="false">IF($AJ257=1,IF($H257=1,N257,AT256),AT256)</f>
        <v>0</v>
      </c>
    </row>
    <row r="258" customFormat="false" ht="13" hidden="false" customHeight="false" outlineLevel="0" collapsed="false">
      <c r="A258" s="16" t="n">
        <v>241</v>
      </c>
      <c r="B258" s="37" t="n">
        <f aca="true">IF(RAND()&lt;$D$8,1,0)</f>
        <v>0</v>
      </c>
      <c r="C258" s="20" t="n">
        <f aca="true">-LN(RAND())/$D$2</f>
        <v>0.241374052724469</v>
      </c>
      <c r="D258" s="38" t="n">
        <f aca="false">D257+C258</f>
        <v>266.827545804845</v>
      </c>
      <c r="E258" s="39" t="n">
        <f aca="false">MAX($E$3,AS257)</f>
        <v>0</v>
      </c>
      <c r="F258" s="39" t="n">
        <f aca="false">MAX($E$3,AT257)</f>
        <v>0</v>
      </c>
      <c r="G258" s="40" t="n">
        <v>0.5</v>
      </c>
      <c r="H258" s="38" t="n">
        <f aca="true">IF((B258=1),(IF((F258&lt;E258),1,(IF((F258=E258),(IF(RAND()&lt;G258,1,0)),0)))),(IF((RAND()&lt;G258),1,0)))</f>
        <v>0</v>
      </c>
      <c r="I258" s="38" t="n">
        <f aca="true">IF((H258=1),0,$D$3+$D$5*(RAND()-0.5))</f>
        <v>2.13231840132668</v>
      </c>
      <c r="J258" s="38" t="n">
        <f aca="false">I258+MAX(D258,J257)</f>
        <v>276.669456828241</v>
      </c>
      <c r="K258" s="38" t="n">
        <f aca="false">IF((H258=0),J258-D258,0)</f>
        <v>9.84191102339656</v>
      </c>
      <c r="L258" s="38" t="n">
        <f aca="true">IF(($H258=0),0,$D$4+$D$5*(RAND()-0.5))</f>
        <v>0</v>
      </c>
      <c r="M258" s="38" t="n">
        <f aca="false">L258+MAX(D258,M257)</f>
        <v>283.293100079918</v>
      </c>
      <c r="N258" s="38" t="n">
        <f aca="false">IF((H258=1),M258-D258,0)</f>
        <v>0</v>
      </c>
      <c r="O258" s="16" t="n">
        <v>241</v>
      </c>
      <c r="P258" s="41" t="n">
        <f aca="false">IF((Arterial=0),P257+1,P257)</f>
        <v>112</v>
      </c>
      <c r="Q258" s="41" t="n">
        <f aca="false">IF((Arterial=1),Q257+1,Q257)</f>
        <v>129</v>
      </c>
      <c r="R258" s="42" t="e">
        <f aca="false">IF((RESET=1),0,R258+K258)</f>
        <v>#N/A</v>
      </c>
      <c r="S258" s="14" t="n">
        <f aca="false">IF(RESET=1,0,S258+N258)</f>
        <v>307.857586779131</v>
      </c>
      <c r="T258" s="2" t="e">
        <f aca="false">IF(RESET=1,0,T258+IF(H258=0,1,0))</f>
        <v>#N/A</v>
      </c>
      <c r="U258" s="2" t="n">
        <f aca="false">IF(RESET=1,0,U258+H258)</f>
        <v>28</v>
      </c>
      <c r="V258" s="14" t="e">
        <f aca="false">R258/(T258+0.00001)</f>
        <v>#N/A</v>
      </c>
      <c r="W258" s="14" t="n">
        <f aca="false">S258/(U258+0.0001)</f>
        <v>10.9948745461313</v>
      </c>
      <c r="X258" s="39" t="n">
        <f aca="false">IF(Informed=1,K258,0)</f>
        <v>0</v>
      </c>
      <c r="Y258" s="39" t="n">
        <f aca="false">IF(Informed=0,K258,0)</f>
        <v>9.84191102339656</v>
      </c>
      <c r="Z258" s="39" t="n">
        <f aca="false">IF(Informed=1,N258,0)</f>
        <v>0</v>
      </c>
      <c r="AA258" s="39" t="n">
        <f aca="false">IF(Informed=0,N258,0)</f>
        <v>0</v>
      </c>
      <c r="AB258" s="43" t="n">
        <f aca="false">IF(Arterial=0,IF(Informed=1,1,0),0)</f>
        <v>0</v>
      </c>
      <c r="AC258" s="43" t="n">
        <f aca="false">IF(Arterial=0,IF(Informed=0,1,0),0)</f>
        <v>1</v>
      </c>
      <c r="AD258" s="43" t="n">
        <f aca="false">IF(Arterial=1,IF(Informed=1,1,0),0)</f>
        <v>0</v>
      </c>
      <c r="AE258" s="43" t="n">
        <f aca="false">IF(Arterial=1,IF(Informed=0,1,0),0)</f>
        <v>0</v>
      </c>
      <c r="AF258" s="35" t="n">
        <f aca="false">IF(AB258=1,(X258-G$1030)^2,0)</f>
        <v>0</v>
      </c>
      <c r="AG258" s="35" t="n">
        <f aca="false">IF(AC258=1,(Y258-H$1030)^2,0)</f>
        <v>1.17045184374643</v>
      </c>
      <c r="AH258" s="35" t="n">
        <f aca="false">IF(AD258=1,(Z258-I$1030)^2,0)</f>
        <v>0</v>
      </c>
      <c r="AI258" s="35" t="n">
        <f aca="false">IF(AE258=1,(AA258-J$1030)^2,0)</f>
        <v>0</v>
      </c>
      <c r="AJ258" s="37" t="n">
        <f aca="true">IF(RAND()&lt;$D$6,1,0)</f>
        <v>0</v>
      </c>
      <c r="AK258" s="14" t="n">
        <f aca="false">AK257+IF((AJ258=1),IF((H258=0),1,0),0)</f>
        <v>0</v>
      </c>
      <c r="AL258" s="14" t="n">
        <f aca="false">AL257+IF((AJ258=1),IF((H258=1),1,0),0)</f>
        <v>0</v>
      </c>
      <c r="AM258" s="37" t="n">
        <f aca="false">IF(AK258=0,9999,IF($H258=0,IF($AJ258&lt;1,AM257+1,0),AM257))</f>
        <v>9999</v>
      </c>
      <c r="AN258" s="37" t="n">
        <f aca="false">IF(AL258=0,9999,IF($H258=1,IF($AJ258&lt;1,AN257+1,0),AN257))</f>
        <v>9999</v>
      </c>
      <c r="AO258" s="37" t="n">
        <f aca="false">IF($A258-AM258&gt;0,1/(1+AM258),0)</f>
        <v>0</v>
      </c>
      <c r="AP258" s="37" t="n">
        <f aca="false">IF($A258-AN258&gt;0,1/(1+AN258),0)</f>
        <v>0</v>
      </c>
      <c r="AQ258" s="7" t="n">
        <f aca="false">IF(AK258=0,0,MAX(MIN(1,AO258^Power),0))</f>
        <v>0</v>
      </c>
      <c r="AR258" s="7" t="n">
        <f aca="false">IF(AL258=0,0,MAX(MIN(1,AP258^Power),0))</f>
        <v>0</v>
      </c>
      <c r="AS258" s="7" t="n">
        <f aca="false">IF($AJ258=1,IF($H258=0,K258,AS257),AS257)</f>
        <v>0</v>
      </c>
      <c r="AT258" s="7" t="n">
        <f aca="false">IF($AJ258=1,IF($H258=1,N258,AT257),AT257)</f>
        <v>0</v>
      </c>
    </row>
    <row r="259" customFormat="false" ht="13" hidden="false" customHeight="false" outlineLevel="0" collapsed="false">
      <c r="A259" s="16" t="n">
        <v>242</v>
      </c>
      <c r="B259" s="37" t="n">
        <f aca="true">IF(RAND()&lt;$D$8,1,0)</f>
        <v>1</v>
      </c>
      <c r="C259" s="20" t="n">
        <f aca="true">-LN(RAND())/$D$2</f>
        <v>0.234911173511011</v>
      </c>
      <c r="D259" s="38" t="n">
        <f aca="false">D258+C259</f>
        <v>267.062456978356</v>
      </c>
      <c r="E259" s="39" t="n">
        <f aca="false">MAX($E$3,AS258)</f>
        <v>0</v>
      </c>
      <c r="F259" s="39" t="n">
        <f aca="false">MAX($E$3,AT258)</f>
        <v>0</v>
      </c>
      <c r="G259" s="40" t="n">
        <v>0.5</v>
      </c>
      <c r="H259" s="38" t="n">
        <f aca="true">IF((B259=1),(IF((F259&lt;E259),1,(IF((F259=E259),(IF(RAND()&lt;G259,1,0)),0)))),(IF((RAND()&lt;G259),1,0)))</f>
        <v>1</v>
      </c>
      <c r="I259" s="38" t="n">
        <f aca="true">IF((H259=1),0,$D$3+$D$5*(RAND()-0.5))</f>
        <v>0</v>
      </c>
      <c r="J259" s="38" t="n">
        <f aca="false">I259+MAX(D259,J258)</f>
        <v>276.669456828241</v>
      </c>
      <c r="K259" s="38" t="n">
        <f aca="false">IF((H259=0),J259-D259,0)</f>
        <v>0</v>
      </c>
      <c r="L259" s="38" t="n">
        <f aca="true">IF(($H259=0),0,$D$4+$D$5*(RAND()-0.5))</f>
        <v>2.02426434195317</v>
      </c>
      <c r="M259" s="38" t="n">
        <f aca="false">L259+MAX(D259,M258)</f>
        <v>285.317364421872</v>
      </c>
      <c r="N259" s="38" t="n">
        <f aca="false">IF((H259=1),M259-D259,0)</f>
        <v>18.2549074435158</v>
      </c>
      <c r="O259" s="16" t="n">
        <v>242</v>
      </c>
      <c r="P259" s="41" t="n">
        <f aca="false">IF((Arterial=0),P258+1,P258)</f>
        <v>112</v>
      </c>
      <c r="Q259" s="41" t="n">
        <f aca="false">IF((Arterial=1),Q258+1,Q258)</f>
        <v>130</v>
      </c>
      <c r="R259" s="42" t="n">
        <f aca="false">IF((RESET=1),0,R259+K259)</f>
        <v>555.219122100419</v>
      </c>
      <c r="S259" s="14" t="e">
        <f aca="false">IF(RESET=1,0,S259+N259)</f>
        <v>#N/A</v>
      </c>
      <c r="T259" s="2" t="n">
        <f aca="false">IF(RESET=1,0,T259+IF(H259=0,1,0))</f>
        <v>43</v>
      </c>
      <c r="U259" s="2" t="e">
        <f aca="false">IF(RESET=1,0,U259+H259)</f>
        <v>#N/A</v>
      </c>
      <c r="V259" s="14" t="n">
        <f aca="false">R259/(T259+0.00001)</f>
        <v>12.9120696041796</v>
      </c>
      <c r="W259" s="14" t="e">
        <f aca="false">S259/(U259+0.0001)</f>
        <v>#N/A</v>
      </c>
      <c r="X259" s="39" t="n">
        <f aca="false">IF(Informed=1,K259,0)</f>
        <v>0</v>
      </c>
      <c r="Y259" s="39" t="n">
        <f aca="false">IF(Informed=0,K259,0)</f>
        <v>0</v>
      </c>
      <c r="Z259" s="39" t="n">
        <f aca="false">IF(Informed=1,N259,0)</f>
        <v>18.2549074435158</v>
      </c>
      <c r="AA259" s="39" t="n">
        <f aca="false">IF(Informed=0,N259,0)</f>
        <v>0</v>
      </c>
      <c r="AB259" s="43" t="n">
        <f aca="false">IF(Arterial=0,IF(Informed=1,1,0),0)</f>
        <v>0</v>
      </c>
      <c r="AC259" s="43" t="n">
        <f aca="false">IF(Arterial=0,IF(Informed=0,1,0),0)</f>
        <v>0</v>
      </c>
      <c r="AD259" s="43" t="n">
        <f aca="false">IF(Arterial=1,IF(Informed=1,1,0),0)</f>
        <v>1</v>
      </c>
      <c r="AE259" s="43" t="n">
        <f aca="false">IF(Arterial=1,IF(Informed=0,1,0),0)</f>
        <v>0</v>
      </c>
      <c r="AF259" s="35" t="n">
        <f aca="false">IF(AB259=1,(X259-G$1030)^2,0)</f>
        <v>0</v>
      </c>
      <c r="AG259" s="35" t="n">
        <f aca="false">IF(AC259=1,(Y259-H$1030)^2,0)</f>
        <v>0</v>
      </c>
      <c r="AH259" s="35" t="n">
        <f aca="false">IF(AD259=1,(Z259-I$1030)^2,0)</f>
        <v>102.412929563616</v>
      </c>
      <c r="AI259" s="35" t="n">
        <f aca="false">IF(AE259=1,(AA259-J$1030)^2,0)</f>
        <v>0</v>
      </c>
      <c r="AJ259" s="37" t="n">
        <f aca="true">IF(RAND()&lt;$D$6,1,0)</f>
        <v>0</v>
      </c>
      <c r="AK259" s="14" t="n">
        <f aca="false">AK258+IF((AJ259=1),IF((H259=0),1,0),0)</f>
        <v>0</v>
      </c>
      <c r="AL259" s="14" t="n">
        <f aca="false">AL258+IF((AJ259=1),IF((H259=1),1,0),0)</f>
        <v>0</v>
      </c>
      <c r="AM259" s="37" t="n">
        <f aca="false">IF(AK259=0,9999,IF($H259=0,IF($AJ259&lt;1,AM258+1,0),AM258))</f>
        <v>9999</v>
      </c>
      <c r="AN259" s="37" t="n">
        <f aca="false">IF(AL259=0,9999,IF($H259=1,IF($AJ259&lt;1,AN258+1,0),AN258))</f>
        <v>9999</v>
      </c>
      <c r="AO259" s="37" t="n">
        <f aca="false">IF($A259-AM259&gt;0,1/(1+AM259),0)</f>
        <v>0</v>
      </c>
      <c r="AP259" s="37" t="n">
        <f aca="false">IF($A259-AN259&gt;0,1/(1+AN259),0)</f>
        <v>0</v>
      </c>
      <c r="AQ259" s="7" t="n">
        <f aca="false">IF(AK259=0,0,MAX(MIN(1,AO259^Power),0))</f>
        <v>0</v>
      </c>
      <c r="AR259" s="7" t="n">
        <f aca="false">IF(AL259=0,0,MAX(MIN(1,AP259^Power),0))</f>
        <v>0</v>
      </c>
      <c r="AS259" s="7" t="n">
        <f aca="false">IF($AJ259=1,IF($H259=0,K259,AS258),AS258)</f>
        <v>0</v>
      </c>
      <c r="AT259" s="7" t="n">
        <f aca="false">IF($AJ259=1,IF($H259=1,N259,AT258),AT258)</f>
        <v>0</v>
      </c>
    </row>
    <row r="260" customFormat="false" ht="13" hidden="false" customHeight="false" outlineLevel="0" collapsed="false">
      <c r="A260" s="16" t="n">
        <v>243</v>
      </c>
      <c r="B260" s="37" t="n">
        <f aca="true">IF(RAND()&lt;$D$8,1,0)</f>
        <v>1</v>
      </c>
      <c r="C260" s="20" t="n">
        <f aca="true">-LN(RAND())/$D$2</f>
        <v>0.0775187341472741</v>
      </c>
      <c r="D260" s="38" t="n">
        <f aca="false">D259+C260</f>
        <v>267.139975712503</v>
      </c>
      <c r="E260" s="39" t="n">
        <f aca="false">MAX($E$3,AS259)</f>
        <v>0</v>
      </c>
      <c r="F260" s="39" t="n">
        <f aca="false">MAX($E$3,AT259)</f>
        <v>0</v>
      </c>
      <c r="G260" s="40" t="n">
        <v>0.5</v>
      </c>
      <c r="H260" s="38" t="n">
        <f aca="true">IF((B260=1),(IF((F260&lt;E260),1,(IF((F260=E260),(IF(RAND()&lt;G260,1,0)),0)))),(IF((RAND()&lt;G260),1,0)))</f>
        <v>1</v>
      </c>
      <c r="I260" s="38" t="n">
        <f aca="true">IF((H260=1),0,$D$3+$D$5*(RAND()-0.5))</f>
        <v>0</v>
      </c>
      <c r="J260" s="38" t="n">
        <f aca="false">I260+MAX(D260,J259)</f>
        <v>276.669456828241</v>
      </c>
      <c r="K260" s="38" t="n">
        <f aca="false">IF((H260=0),J260-D260,0)</f>
        <v>0</v>
      </c>
      <c r="L260" s="38" t="n">
        <f aca="true">IF(($H260=0),0,$D$4+$D$5*(RAND()-0.5))</f>
        <v>2.05050790247858</v>
      </c>
      <c r="M260" s="38" t="n">
        <f aca="false">L260+MAX(D260,M259)</f>
        <v>287.36787232435</v>
      </c>
      <c r="N260" s="38" t="n">
        <f aca="false">IF((H260=1),M260-D260,0)</f>
        <v>20.2278966118471</v>
      </c>
      <c r="O260" s="16" t="n">
        <v>243</v>
      </c>
      <c r="P260" s="41" t="n">
        <f aca="false">IF((Arterial=0),P259+1,P259)</f>
        <v>112</v>
      </c>
      <c r="Q260" s="41" t="n">
        <f aca="false">IF((Arterial=1),Q259+1,Q259)</f>
        <v>131</v>
      </c>
      <c r="R260" s="42" t="n">
        <f aca="false">IF((RESET=1),0,R260+K260)</f>
        <v>457.07797939111</v>
      </c>
      <c r="S260" s="14" t="e">
        <f aca="false">IF(RESET=1,0,S260+N260)</f>
        <v>#N/A</v>
      </c>
      <c r="T260" s="2" t="n">
        <f aca="false">IF(RESET=1,0,T260+IF(H260=0,1,0))</f>
        <v>33</v>
      </c>
      <c r="U260" s="2" t="e">
        <f aca="false">IF(RESET=1,0,U260+H260)</f>
        <v>#N/A</v>
      </c>
      <c r="V260" s="14" t="n">
        <f aca="false">R260/(T260+0.00001)</f>
        <v>13.8508436631113</v>
      </c>
      <c r="W260" s="14" t="e">
        <f aca="false">S260/(U260+0.0001)</f>
        <v>#N/A</v>
      </c>
      <c r="X260" s="39" t="n">
        <f aca="false">IF(Informed=1,K260,0)</f>
        <v>0</v>
      </c>
      <c r="Y260" s="39" t="n">
        <f aca="false">IF(Informed=0,K260,0)</f>
        <v>0</v>
      </c>
      <c r="Z260" s="39" t="n">
        <f aca="false">IF(Informed=1,N260,0)</f>
        <v>20.2278966118471</v>
      </c>
      <c r="AA260" s="39" t="n">
        <f aca="false">IF(Informed=0,N260,0)</f>
        <v>0</v>
      </c>
      <c r="AB260" s="43" t="n">
        <f aca="false">IF(Arterial=0,IF(Informed=1,1,0),0)</f>
        <v>0</v>
      </c>
      <c r="AC260" s="43" t="n">
        <f aca="false">IF(Arterial=0,IF(Informed=0,1,0),0)</f>
        <v>0</v>
      </c>
      <c r="AD260" s="43" t="n">
        <f aca="false">IF(Arterial=1,IF(Informed=1,1,0),0)</f>
        <v>1</v>
      </c>
      <c r="AE260" s="43" t="n">
        <f aca="false">IF(Arterial=1,IF(Informed=0,1,0),0)</f>
        <v>0</v>
      </c>
      <c r="AF260" s="35" t="n">
        <f aca="false">IF(AB260=1,(X260-G$1030)^2,0)</f>
        <v>0</v>
      </c>
      <c r="AG260" s="35" t="n">
        <f aca="false">IF(AC260=1,(Y260-H$1030)^2,0)</f>
        <v>0</v>
      </c>
      <c r="AH260" s="35" t="n">
        <f aca="false">IF(AD260=1,(Z260-I$1030)^2,0)</f>
        <v>66.3726017313731</v>
      </c>
      <c r="AI260" s="35" t="n">
        <f aca="false">IF(AE260=1,(AA260-J$1030)^2,0)</f>
        <v>0</v>
      </c>
      <c r="AJ260" s="37" t="n">
        <f aca="true">IF(RAND()&lt;$D$6,1,0)</f>
        <v>0</v>
      </c>
      <c r="AK260" s="14" t="n">
        <f aca="false">AK259+IF((AJ260=1),IF((H260=0),1,0),0)</f>
        <v>0</v>
      </c>
      <c r="AL260" s="14" t="n">
        <f aca="false">AL259+IF((AJ260=1),IF((H260=1),1,0),0)</f>
        <v>0</v>
      </c>
      <c r="AM260" s="37" t="n">
        <f aca="false">IF(AK260=0,9999,IF($H260=0,IF($AJ260&lt;1,AM259+1,0),AM259))</f>
        <v>9999</v>
      </c>
      <c r="AN260" s="37" t="n">
        <f aca="false">IF(AL260=0,9999,IF($H260=1,IF($AJ260&lt;1,AN259+1,0),AN259))</f>
        <v>9999</v>
      </c>
      <c r="AO260" s="37" t="n">
        <f aca="false">IF($A260-AM260&gt;0,1/(1+AM260),0)</f>
        <v>0</v>
      </c>
      <c r="AP260" s="37" t="n">
        <f aca="false">IF($A260-AN260&gt;0,1/(1+AN260),0)</f>
        <v>0</v>
      </c>
      <c r="AQ260" s="7" t="n">
        <f aca="false">IF(AK260=0,0,MAX(MIN(1,AO260^Power),0))</f>
        <v>0</v>
      </c>
      <c r="AR260" s="7" t="n">
        <f aca="false">IF(AL260=0,0,MAX(MIN(1,AP260^Power),0))</f>
        <v>0</v>
      </c>
      <c r="AS260" s="7" t="n">
        <f aca="false">IF($AJ260=1,IF($H260=0,K260,AS259),AS259)</f>
        <v>0</v>
      </c>
      <c r="AT260" s="7" t="n">
        <f aca="false">IF($AJ260=1,IF($H260=1,N260,AT259),AT259)</f>
        <v>0</v>
      </c>
    </row>
    <row r="261" customFormat="false" ht="13" hidden="false" customHeight="false" outlineLevel="0" collapsed="false">
      <c r="A261" s="16" t="n">
        <v>244</v>
      </c>
      <c r="B261" s="37" t="n">
        <f aca="true">IF(RAND()&lt;$D$8,1,0)</f>
        <v>1</v>
      </c>
      <c r="C261" s="20" t="n">
        <f aca="true">-LN(RAND())/$D$2</f>
        <v>0.0730571627561221</v>
      </c>
      <c r="D261" s="38" t="n">
        <f aca="false">D260+C261</f>
        <v>267.213032875259</v>
      </c>
      <c r="E261" s="39" t="n">
        <f aca="false">MAX($E$3,AS260)</f>
        <v>0</v>
      </c>
      <c r="F261" s="39" t="n">
        <f aca="false">MAX($E$3,AT260)</f>
        <v>0</v>
      </c>
      <c r="G261" s="40" t="n">
        <v>0.5</v>
      </c>
      <c r="H261" s="38" t="n">
        <f aca="true">IF((B261=1),(IF((F261&lt;E261),1,(IF((F261=E261),(IF(RAND()&lt;G261,1,0)),0)))),(IF((RAND()&lt;G261),1,0)))</f>
        <v>0</v>
      </c>
      <c r="I261" s="38" t="n">
        <f aca="true">IF((H261=1),0,$D$3+$D$5*(RAND()-0.5))</f>
        <v>2.20691946553761</v>
      </c>
      <c r="J261" s="38" t="n">
        <f aca="false">I261+MAX(D261,J260)</f>
        <v>278.876376293779</v>
      </c>
      <c r="K261" s="38" t="n">
        <f aca="false">IF((H261=0),J261-D261,0)</f>
        <v>11.6633434185198</v>
      </c>
      <c r="L261" s="38" t="n">
        <f aca="true">IF(($H261=0),0,$D$4+$D$5*(RAND()-0.5))</f>
        <v>0</v>
      </c>
      <c r="M261" s="38" t="n">
        <f aca="false">L261+MAX(D261,M260)</f>
        <v>287.36787232435</v>
      </c>
      <c r="N261" s="38" t="n">
        <f aca="false">IF((H261=1),M261-D261,0)</f>
        <v>0</v>
      </c>
      <c r="O261" s="16" t="n">
        <v>244</v>
      </c>
      <c r="P261" s="41" t="n">
        <f aca="false">IF((Arterial=0),P260+1,P260)</f>
        <v>113</v>
      </c>
      <c r="Q261" s="41" t="n">
        <f aca="false">IF((Arterial=1),Q260+1,Q260)</f>
        <v>131</v>
      </c>
      <c r="R261" s="42" t="e">
        <f aca="false">IF((RESET=1),0,R261+K261)</f>
        <v>#N/A</v>
      </c>
      <c r="S261" s="14" t="n">
        <f aca="false">IF(RESET=1,0,S261+N261)</f>
        <v>520.369548382465</v>
      </c>
      <c r="T261" s="2" t="e">
        <f aca="false">IF(RESET=1,0,T261+IF(H261=0,1,0))</f>
        <v>#N/A</v>
      </c>
      <c r="U261" s="2" t="n">
        <f aca="false">IF(RESET=1,0,U261+H261)</f>
        <v>42</v>
      </c>
      <c r="V261" s="14" t="e">
        <f aca="false">R261/(T261+0.00001)</f>
        <v>#N/A</v>
      </c>
      <c r="W261" s="14" t="n">
        <f aca="false">S261/(U261+0.0001)</f>
        <v>12.3897216526262</v>
      </c>
      <c r="X261" s="39" t="n">
        <f aca="false">IF(Informed=1,K261,0)</f>
        <v>11.6633434185198</v>
      </c>
      <c r="Y261" s="39" t="n">
        <f aca="false">IF(Informed=0,K261,0)</f>
        <v>0</v>
      </c>
      <c r="Z261" s="39" t="n">
        <f aca="false">IF(Informed=1,N261,0)</f>
        <v>0</v>
      </c>
      <c r="AA261" s="39" t="n">
        <f aca="false">IF(Informed=0,N261,0)</f>
        <v>0</v>
      </c>
      <c r="AB261" s="43" t="n">
        <f aca="false">IF(Arterial=0,IF(Informed=1,1,0),0)</f>
        <v>1</v>
      </c>
      <c r="AC261" s="43" t="n">
        <f aca="false">IF(Arterial=0,IF(Informed=0,1,0),0)</f>
        <v>0</v>
      </c>
      <c r="AD261" s="43" t="n">
        <f aca="false">IF(Arterial=1,IF(Informed=1,1,0),0)</f>
        <v>0</v>
      </c>
      <c r="AE261" s="43" t="n">
        <f aca="false">IF(Arterial=1,IF(Informed=0,1,0),0)</f>
        <v>0</v>
      </c>
      <c r="AF261" s="35" t="n">
        <f aca="false">IF(AB261=1,(X261-G$1030)^2,0)</f>
        <v>0.909477269329499</v>
      </c>
      <c r="AG261" s="35" t="n">
        <f aca="false">IF(AC261=1,(Y261-H$1030)^2,0)</f>
        <v>0</v>
      </c>
      <c r="AH261" s="35" t="n">
        <f aca="false">IF(AD261=1,(Z261-I$1030)^2,0)</f>
        <v>0</v>
      </c>
      <c r="AI261" s="35" t="n">
        <f aca="false">IF(AE261=1,(AA261-J$1030)^2,0)</f>
        <v>0</v>
      </c>
      <c r="AJ261" s="37" t="n">
        <f aca="true">IF(RAND()&lt;$D$6,1,0)</f>
        <v>0</v>
      </c>
      <c r="AK261" s="14" t="n">
        <f aca="false">AK260+IF((AJ261=1),IF((H261=0),1,0),0)</f>
        <v>0</v>
      </c>
      <c r="AL261" s="14" t="n">
        <f aca="false">AL260+IF((AJ261=1),IF((H261=1),1,0),0)</f>
        <v>0</v>
      </c>
      <c r="AM261" s="37" t="n">
        <f aca="false">IF(AK261=0,9999,IF($H261=0,IF($AJ261&lt;1,AM260+1,0),AM260))</f>
        <v>9999</v>
      </c>
      <c r="AN261" s="37" t="n">
        <f aca="false">IF(AL261=0,9999,IF($H261=1,IF($AJ261&lt;1,AN260+1,0),AN260))</f>
        <v>9999</v>
      </c>
      <c r="AO261" s="37" t="n">
        <f aca="false">IF($A261-AM261&gt;0,1/(1+AM261),0)</f>
        <v>0</v>
      </c>
      <c r="AP261" s="37" t="n">
        <f aca="false">IF($A261-AN261&gt;0,1/(1+AN261),0)</f>
        <v>0</v>
      </c>
      <c r="AQ261" s="7" t="n">
        <f aca="false">IF(AK261=0,0,MAX(MIN(1,AO261^Power),0))</f>
        <v>0</v>
      </c>
      <c r="AR261" s="7" t="n">
        <f aca="false">IF(AL261=0,0,MAX(MIN(1,AP261^Power),0))</f>
        <v>0</v>
      </c>
      <c r="AS261" s="7" t="n">
        <f aca="false">IF($AJ261=1,IF($H261=0,K261,AS260),AS260)</f>
        <v>0</v>
      </c>
      <c r="AT261" s="7" t="n">
        <f aca="false">IF($AJ261=1,IF($H261=1,N261,AT260),AT260)</f>
        <v>0</v>
      </c>
    </row>
    <row r="262" customFormat="false" ht="13" hidden="false" customHeight="false" outlineLevel="0" collapsed="false">
      <c r="A262" s="16" t="n">
        <v>245</v>
      </c>
      <c r="B262" s="37" t="n">
        <f aca="true">IF(RAND()&lt;$D$8,1,0)</f>
        <v>1</v>
      </c>
      <c r="C262" s="20" t="n">
        <f aca="true">-LN(RAND())/$D$2</f>
        <v>0.246901478045935</v>
      </c>
      <c r="D262" s="38" t="n">
        <f aca="false">D261+C262</f>
        <v>267.459934353305</v>
      </c>
      <c r="E262" s="39" t="n">
        <f aca="false">MAX($E$3,AS261)</f>
        <v>0</v>
      </c>
      <c r="F262" s="39" t="n">
        <f aca="false">MAX($E$3,AT261)</f>
        <v>0</v>
      </c>
      <c r="G262" s="40" t="n">
        <v>0.5</v>
      </c>
      <c r="H262" s="38" t="n">
        <f aca="true">IF((B262=1),(IF((F262&lt;E262),1,(IF((F262=E262),(IF(RAND()&lt;G262,1,0)),0)))),(IF((RAND()&lt;G262),1,0)))</f>
        <v>1</v>
      </c>
      <c r="I262" s="38" t="n">
        <f aca="true">IF((H262=1),0,$D$3+$D$5*(RAND()-0.5))</f>
        <v>0</v>
      </c>
      <c r="J262" s="38" t="n">
        <f aca="false">I262+MAX(D262,J261)</f>
        <v>278.876376293779</v>
      </c>
      <c r="K262" s="38" t="n">
        <f aca="false">IF((H262=0),J262-D262,0)</f>
        <v>0</v>
      </c>
      <c r="L262" s="38" t="n">
        <f aca="true">IF(($H262=0),0,$D$4+$D$5*(RAND()-0.5))</f>
        <v>2.18734193632607</v>
      </c>
      <c r="M262" s="38" t="n">
        <f aca="false">L262+MAX(D262,M261)</f>
        <v>289.555214260676</v>
      </c>
      <c r="N262" s="38" t="n">
        <f aca="false">IF((H262=1),M262-D262,0)</f>
        <v>22.0952799073711</v>
      </c>
      <c r="O262" s="16" t="n">
        <v>245</v>
      </c>
      <c r="P262" s="41" t="n">
        <f aca="false">IF((Arterial=0),P261+1,P261)</f>
        <v>113</v>
      </c>
      <c r="Q262" s="41" t="n">
        <f aca="false">IF((Arterial=1),Q261+1,Q261)</f>
        <v>132</v>
      </c>
      <c r="R262" s="42" t="n">
        <f aca="false">IF((RESET=1),0,R262+K262)</f>
        <v>661.07036966529</v>
      </c>
      <c r="S262" s="14" t="e">
        <f aca="false">IF(RESET=1,0,S262+N262)</f>
        <v>#N/A</v>
      </c>
      <c r="T262" s="2" t="n">
        <f aca="false">IF(RESET=1,0,T262+IF(H262=0,1,0))</f>
        <v>42</v>
      </c>
      <c r="U262" s="2" t="e">
        <f aca="false">IF(RESET=1,0,U262+H262)</f>
        <v>#N/A</v>
      </c>
      <c r="V262" s="14" t="n">
        <f aca="false">R262/(T262+0.00001)</f>
        <v>15.7397669587529</v>
      </c>
      <c r="W262" s="14" t="e">
        <f aca="false">S262/(U262+0.0001)</f>
        <v>#N/A</v>
      </c>
      <c r="X262" s="39" t="n">
        <f aca="false">IF(Informed=1,K262,0)</f>
        <v>0</v>
      </c>
      <c r="Y262" s="39" t="n">
        <f aca="false">IF(Informed=0,K262,0)</f>
        <v>0</v>
      </c>
      <c r="Z262" s="39" t="n">
        <f aca="false">IF(Informed=1,N262,0)</f>
        <v>22.0952799073711</v>
      </c>
      <c r="AA262" s="39" t="n">
        <f aca="false">IF(Informed=0,N262,0)</f>
        <v>0</v>
      </c>
      <c r="AB262" s="43" t="n">
        <f aca="false">IF(Arterial=0,IF(Informed=1,1,0),0)</f>
        <v>0</v>
      </c>
      <c r="AC262" s="43" t="n">
        <f aca="false">IF(Arterial=0,IF(Informed=0,1,0),0)</f>
        <v>0</v>
      </c>
      <c r="AD262" s="43" t="n">
        <f aca="false">IF(Arterial=1,IF(Informed=1,1,0),0)</f>
        <v>1</v>
      </c>
      <c r="AE262" s="43" t="n">
        <f aca="false">IF(Arterial=1,IF(Informed=0,1,0),0)</f>
        <v>0</v>
      </c>
      <c r="AF262" s="35" t="n">
        <f aca="false">IF(AB262=1,(X262-G$1030)^2,0)</f>
        <v>0</v>
      </c>
      <c r="AG262" s="35" t="n">
        <f aca="false">IF(AC262=1,(Y262-H$1030)^2,0)</f>
        <v>0</v>
      </c>
      <c r="AH262" s="35" t="n">
        <f aca="false">IF(AD262=1,(Z262-I$1030)^2,0)</f>
        <v>39.4328095645903</v>
      </c>
      <c r="AI262" s="35" t="n">
        <f aca="false">IF(AE262=1,(AA262-J$1030)^2,0)</f>
        <v>0</v>
      </c>
      <c r="AJ262" s="37" t="n">
        <f aca="true">IF(RAND()&lt;$D$6,1,0)</f>
        <v>0</v>
      </c>
      <c r="AK262" s="14" t="n">
        <f aca="false">AK261+IF((AJ262=1),IF((H262=0),1,0),0)</f>
        <v>0</v>
      </c>
      <c r="AL262" s="14" t="n">
        <f aca="false">AL261+IF((AJ262=1),IF((H262=1),1,0),0)</f>
        <v>0</v>
      </c>
      <c r="AM262" s="37" t="n">
        <f aca="false">IF(AK262=0,9999,IF($H262=0,IF($AJ262&lt;1,AM261+1,0),AM261))</f>
        <v>9999</v>
      </c>
      <c r="AN262" s="37" t="n">
        <f aca="false">IF(AL262=0,9999,IF($H262=1,IF($AJ262&lt;1,AN261+1,0),AN261))</f>
        <v>9999</v>
      </c>
      <c r="AO262" s="37" t="n">
        <f aca="false">IF($A262-AM262&gt;0,1/(1+AM262),0)</f>
        <v>0</v>
      </c>
      <c r="AP262" s="37" t="n">
        <f aca="false">IF($A262-AN262&gt;0,1/(1+AN262),0)</f>
        <v>0</v>
      </c>
      <c r="AQ262" s="7" t="n">
        <f aca="false">IF(AK262=0,0,MAX(MIN(1,AO262^Power),0))</f>
        <v>0</v>
      </c>
      <c r="AR262" s="7" t="n">
        <f aca="false">IF(AL262=0,0,MAX(MIN(1,AP262^Power),0))</f>
        <v>0</v>
      </c>
      <c r="AS262" s="7" t="n">
        <f aca="false">IF($AJ262=1,IF($H262=0,K262,AS261),AS261)</f>
        <v>0</v>
      </c>
      <c r="AT262" s="7" t="n">
        <f aca="false">IF($AJ262=1,IF($H262=1,N262,AT261),AT261)</f>
        <v>0</v>
      </c>
    </row>
    <row r="263" customFormat="false" ht="13" hidden="false" customHeight="false" outlineLevel="0" collapsed="false">
      <c r="A263" s="16" t="n">
        <v>246</v>
      </c>
      <c r="B263" s="37" t="n">
        <f aca="true">IF(RAND()&lt;$D$8,1,0)</f>
        <v>0</v>
      </c>
      <c r="C263" s="20" t="n">
        <f aca="true">-LN(RAND())/$D$2</f>
        <v>2.3621990988008</v>
      </c>
      <c r="D263" s="38" t="n">
        <f aca="false">D262+C263</f>
        <v>269.822133452106</v>
      </c>
      <c r="E263" s="39" t="n">
        <f aca="false">MAX($E$3,AS262)</f>
        <v>0</v>
      </c>
      <c r="F263" s="39" t="n">
        <f aca="false">MAX($E$3,AT262)</f>
        <v>0</v>
      </c>
      <c r="G263" s="40" t="n">
        <v>0.5</v>
      </c>
      <c r="H263" s="38" t="n">
        <f aca="true">IF((B263=1),(IF((F263&lt;E263),1,(IF((F263=E263),(IF(RAND()&lt;G263,1,0)),0)))),(IF((RAND()&lt;G263),1,0)))</f>
        <v>0</v>
      </c>
      <c r="I263" s="38" t="n">
        <f aca="true">IF((H263=1),0,$D$3+$D$5*(RAND()-0.5))</f>
        <v>2.01704762642015</v>
      </c>
      <c r="J263" s="38" t="n">
        <f aca="false">I263+MAX(D263,J262)</f>
        <v>280.893423920199</v>
      </c>
      <c r="K263" s="38" t="n">
        <f aca="false">IF((H263=0),J263-D263,0)</f>
        <v>11.0712904680933</v>
      </c>
      <c r="L263" s="38" t="n">
        <f aca="true">IF(($H263=0),0,$D$4+$D$5*(RAND()-0.5))</f>
        <v>0</v>
      </c>
      <c r="M263" s="38" t="n">
        <f aca="false">L263+MAX(D263,M262)</f>
        <v>289.555214260676</v>
      </c>
      <c r="N263" s="38" t="n">
        <f aca="false">IF((H263=1),M263-D263,0)</f>
        <v>0</v>
      </c>
      <c r="O263" s="16" t="n">
        <v>246</v>
      </c>
      <c r="P263" s="41" t="n">
        <f aca="false">IF((Arterial=0),P262+1,P262)</f>
        <v>114</v>
      </c>
      <c r="Q263" s="41" t="n">
        <f aca="false">IF((Arterial=1),Q262+1,Q262)</f>
        <v>132</v>
      </c>
      <c r="R263" s="42" t="e">
        <f aca="false">IF((RESET=1),0,R263+K263)</f>
        <v>#N/A</v>
      </c>
      <c r="S263" s="14" t="n">
        <f aca="false">IF(RESET=1,0,S263+N263)</f>
        <v>442.968518874864</v>
      </c>
      <c r="T263" s="2" t="e">
        <f aca="false">IF(RESET=1,0,T263+IF(H263=0,1,0))</f>
        <v>#N/A</v>
      </c>
      <c r="U263" s="2" t="n">
        <f aca="false">IF(RESET=1,0,U263+H263)</f>
        <v>39</v>
      </c>
      <c r="V263" s="14" t="e">
        <f aca="false">R263/(T263+0.00001)</f>
        <v>#N/A</v>
      </c>
      <c r="W263" s="14" t="n">
        <f aca="false">S263/(U263+0.0001)</f>
        <v>11.3581380272067</v>
      </c>
      <c r="X263" s="39" t="n">
        <f aca="false">IF(Informed=1,K263,0)</f>
        <v>0</v>
      </c>
      <c r="Y263" s="39" t="n">
        <f aca="false">IF(Informed=0,K263,0)</f>
        <v>11.0712904680933</v>
      </c>
      <c r="Z263" s="39" t="n">
        <f aca="false">IF(Informed=1,N263,0)</f>
        <v>0</v>
      </c>
      <c r="AA263" s="39" t="n">
        <f aca="false">IF(Informed=0,N263,0)</f>
        <v>0</v>
      </c>
      <c r="AB263" s="43" t="n">
        <f aca="false">IF(Arterial=0,IF(Informed=1,1,0),0)</f>
        <v>0</v>
      </c>
      <c r="AC263" s="43" t="n">
        <f aca="false">IF(Arterial=0,IF(Informed=0,1,0),0)</f>
        <v>1</v>
      </c>
      <c r="AD263" s="43" t="n">
        <f aca="false">IF(Arterial=1,IF(Informed=1,1,0),0)</f>
        <v>0</v>
      </c>
      <c r="AE263" s="43" t="n">
        <f aca="false">IF(Arterial=1,IF(Informed=0,1,0),0)</f>
        <v>0</v>
      </c>
      <c r="AF263" s="35" t="n">
        <f aca="false">IF(AB263=1,(X263-G$1030)^2,0)</f>
        <v>0</v>
      </c>
      <c r="AG263" s="35" t="n">
        <f aca="false">IF(AC263=1,(Y263-H$1030)^2,0)</f>
        <v>0.0217577891523656</v>
      </c>
      <c r="AH263" s="35" t="n">
        <f aca="false">IF(AD263=1,(Z263-I$1030)^2,0)</f>
        <v>0</v>
      </c>
      <c r="AI263" s="35" t="n">
        <f aca="false">IF(AE263=1,(AA263-J$1030)^2,0)</f>
        <v>0</v>
      </c>
      <c r="AJ263" s="37" t="n">
        <f aca="true">IF(RAND()&lt;$D$6,1,0)</f>
        <v>0</v>
      </c>
      <c r="AK263" s="14" t="n">
        <f aca="false">AK262+IF((AJ263=1),IF((H263=0),1,0),0)</f>
        <v>0</v>
      </c>
      <c r="AL263" s="14" t="n">
        <f aca="false">AL262+IF((AJ263=1),IF((H263=1),1,0),0)</f>
        <v>0</v>
      </c>
      <c r="AM263" s="37" t="n">
        <f aca="false">IF(AK263=0,9999,IF($H263=0,IF($AJ263&lt;1,AM262+1,0),AM262))</f>
        <v>9999</v>
      </c>
      <c r="AN263" s="37" t="n">
        <f aca="false">IF(AL263=0,9999,IF($H263=1,IF($AJ263&lt;1,AN262+1,0),AN262))</f>
        <v>9999</v>
      </c>
      <c r="AO263" s="37" t="n">
        <f aca="false">IF($A263-AM263&gt;0,1/(1+AM263),0)</f>
        <v>0</v>
      </c>
      <c r="AP263" s="37" t="n">
        <f aca="false">IF($A263-AN263&gt;0,1/(1+AN263),0)</f>
        <v>0</v>
      </c>
      <c r="AQ263" s="7" t="n">
        <f aca="false">IF(AK263=0,0,MAX(MIN(1,AO263^Power),0))</f>
        <v>0</v>
      </c>
      <c r="AR263" s="7" t="n">
        <f aca="false">IF(AL263=0,0,MAX(MIN(1,AP263^Power),0))</f>
        <v>0</v>
      </c>
      <c r="AS263" s="7" t="n">
        <f aca="false">IF($AJ263=1,IF($H263=0,K263,AS262),AS262)</f>
        <v>0</v>
      </c>
      <c r="AT263" s="7" t="n">
        <f aca="false">IF($AJ263=1,IF($H263=1,N263,AT262),AT262)</f>
        <v>0</v>
      </c>
    </row>
    <row r="264" customFormat="false" ht="13" hidden="false" customHeight="false" outlineLevel="0" collapsed="false">
      <c r="A264" s="16" t="n">
        <v>247</v>
      </c>
      <c r="B264" s="37" t="n">
        <f aca="true">IF(RAND()&lt;$D$8,1,0)</f>
        <v>0</v>
      </c>
      <c r="C264" s="20" t="n">
        <f aca="true">-LN(RAND())/$D$2</f>
        <v>0.171616834659674</v>
      </c>
      <c r="D264" s="38" t="n">
        <f aca="false">D263+C264</f>
        <v>269.993750286766</v>
      </c>
      <c r="E264" s="39" t="n">
        <f aca="false">MAX($E$3,AS263)</f>
        <v>0</v>
      </c>
      <c r="F264" s="39" t="n">
        <f aca="false">MAX($E$3,AT263)</f>
        <v>0</v>
      </c>
      <c r="G264" s="40" t="n">
        <v>0.5</v>
      </c>
      <c r="H264" s="38" t="n">
        <f aca="true">IF((B264=1),(IF((F264&lt;E264),1,(IF((F264=E264),(IF(RAND()&lt;G264,1,0)),0)))),(IF((RAND()&lt;G264),1,0)))</f>
        <v>1</v>
      </c>
      <c r="I264" s="38" t="n">
        <f aca="true">IF((H264=1),0,$D$3+$D$5*(RAND()-0.5))</f>
        <v>0</v>
      </c>
      <c r="J264" s="38" t="n">
        <f aca="false">I264+MAX(D264,J263)</f>
        <v>280.893423920199</v>
      </c>
      <c r="K264" s="38" t="n">
        <f aca="false">IF((H264=0),J264-D264,0)</f>
        <v>0</v>
      </c>
      <c r="L264" s="38" t="n">
        <f aca="true">IF(($H264=0),0,$D$4+$D$5*(RAND()-0.5))</f>
        <v>1.91768862089465</v>
      </c>
      <c r="M264" s="38" t="n">
        <f aca="false">L264+MAX(D264,M263)</f>
        <v>291.472902881571</v>
      </c>
      <c r="N264" s="38" t="n">
        <f aca="false">IF((H264=1),M264-D264,0)</f>
        <v>21.4791525948053</v>
      </c>
      <c r="O264" s="16" t="n">
        <v>247</v>
      </c>
      <c r="P264" s="41" t="n">
        <f aca="false">IF((Arterial=0),P263+1,P263)</f>
        <v>114</v>
      </c>
      <c r="Q264" s="41" t="n">
        <f aca="false">IF((Arterial=1),Q263+1,Q263)</f>
        <v>133</v>
      </c>
      <c r="R264" s="42" t="n">
        <f aca="false">IF((RESET=1),0,R264+K264)</f>
        <v>602.26057272987</v>
      </c>
      <c r="S264" s="14" t="e">
        <f aca="false">IF(RESET=1,0,S264+N264)</f>
        <v>#N/A</v>
      </c>
      <c r="T264" s="2" t="n">
        <f aca="false">IF(RESET=1,0,T264+IF(H264=0,1,0))</f>
        <v>38</v>
      </c>
      <c r="U264" s="2" t="e">
        <f aca="false">IF(RESET=1,0,U264+H264)</f>
        <v>#N/A</v>
      </c>
      <c r="V264" s="14" t="n">
        <f aca="false">R264/(T264+0.00001)</f>
        <v>15.8489582694813</v>
      </c>
      <c r="W264" s="14" t="e">
        <f aca="false">S264/(U264+0.0001)</f>
        <v>#N/A</v>
      </c>
      <c r="X264" s="39" t="n">
        <f aca="false">IF(Informed=1,K264,0)</f>
        <v>0</v>
      </c>
      <c r="Y264" s="39" t="n">
        <f aca="false">IF(Informed=0,K264,0)</f>
        <v>0</v>
      </c>
      <c r="Z264" s="39" t="n">
        <f aca="false">IF(Informed=1,N264,0)</f>
        <v>0</v>
      </c>
      <c r="AA264" s="39" t="n">
        <f aca="false">IF(Informed=0,N264,0)</f>
        <v>21.4791525948053</v>
      </c>
      <c r="AB264" s="43" t="n">
        <f aca="false">IF(Arterial=0,IF(Informed=1,1,0),0)</f>
        <v>0</v>
      </c>
      <c r="AC264" s="43" t="n">
        <f aca="false">IF(Arterial=0,IF(Informed=0,1,0),0)</f>
        <v>0</v>
      </c>
      <c r="AD264" s="43" t="n">
        <f aca="false">IF(Arterial=1,IF(Informed=1,1,0),0)</f>
        <v>0</v>
      </c>
      <c r="AE264" s="43" t="n">
        <f aca="false">IF(Arterial=1,IF(Informed=0,1,0),0)</f>
        <v>1</v>
      </c>
      <c r="AF264" s="35" t="n">
        <f aca="false">IF(AB264=1,(X264-G$1030)^2,0)</f>
        <v>0</v>
      </c>
      <c r="AG264" s="35" t="n">
        <f aca="false">IF(AC264=1,(Y264-H$1030)^2,0)</f>
        <v>0</v>
      </c>
      <c r="AH264" s="35" t="n">
        <f aca="false">IF(AD264=1,(Z264-I$1030)^2,0)</f>
        <v>0</v>
      </c>
      <c r="AI264" s="35" t="n">
        <f aca="false">IF(AE264=1,(AA264-J$1030)^2,0)</f>
        <v>65.3692041487653</v>
      </c>
      <c r="AJ264" s="37" t="n">
        <f aca="true">IF(RAND()&lt;$D$6,1,0)</f>
        <v>0</v>
      </c>
      <c r="AK264" s="14" t="n">
        <f aca="false">AK263+IF((AJ264=1),IF((H264=0),1,0),0)</f>
        <v>0</v>
      </c>
      <c r="AL264" s="14" t="n">
        <f aca="false">AL263+IF((AJ264=1),IF((H264=1),1,0),0)</f>
        <v>0</v>
      </c>
      <c r="AM264" s="37" t="n">
        <f aca="false">IF(AK264=0,9999,IF($H264=0,IF($AJ264&lt;1,AM263+1,0),AM263))</f>
        <v>9999</v>
      </c>
      <c r="AN264" s="37" t="n">
        <f aca="false">IF(AL264=0,9999,IF($H264=1,IF($AJ264&lt;1,AN263+1,0),AN263))</f>
        <v>9999</v>
      </c>
      <c r="AO264" s="37" t="n">
        <f aca="false">IF($A264-AM264&gt;0,1/(1+AM264),0)</f>
        <v>0</v>
      </c>
      <c r="AP264" s="37" t="n">
        <f aca="false">IF($A264-AN264&gt;0,1/(1+AN264),0)</f>
        <v>0</v>
      </c>
      <c r="AQ264" s="7" t="n">
        <f aca="false">IF(AK264=0,0,MAX(MIN(1,AO264^Power),0))</f>
        <v>0</v>
      </c>
      <c r="AR264" s="7" t="n">
        <f aca="false">IF(AL264=0,0,MAX(MIN(1,AP264^Power),0))</f>
        <v>0</v>
      </c>
      <c r="AS264" s="7" t="n">
        <f aca="false">IF($AJ264=1,IF($H264=0,K264,AS263),AS263)</f>
        <v>0</v>
      </c>
      <c r="AT264" s="7" t="n">
        <f aca="false">IF($AJ264=1,IF($H264=1,N264,AT263),AT263)</f>
        <v>0</v>
      </c>
    </row>
    <row r="265" customFormat="false" ht="13" hidden="false" customHeight="false" outlineLevel="0" collapsed="false">
      <c r="A265" s="16" t="n">
        <v>248</v>
      </c>
      <c r="B265" s="37" t="n">
        <f aca="true">IF(RAND()&lt;$D$8,1,0)</f>
        <v>0</v>
      </c>
      <c r="C265" s="20" t="n">
        <f aca="true">-LN(RAND())/$D$2</f>
        <v>1.23787926495851</v>
      </c>
      <c r="D265" s="38" t="n">
        <f aca="false">D264+C265</f>
        <v>271.231629551724</v>
      </c>
      <c r="E265" s="39" t="n">
        <f aca="false">MAX($E$3,AS264)</f>
        <v>0</v>
      </c>
      <c r="F265" s="39" t="n">
        <f aca="false">MAX($E$3,AT264)</f>
        <v>0</v>
      </c>
      <c r="G265" s="40" t="n">
        <v>0.5</v>
      </c>
      <c r="H265" s="38" t="n">
        <f aca="true">IF((B265=1),(IF((F265&lt;E265),1,(IF((F265=E265),(IF(RAND()&lt;G265,1,0)),0)))),(IF((RAND()&lt;G265),1,0)))</f>
        <v>0</v>
      </c>
      <c r="I265" s="38" t="n">
        <f aca="true">IF((H265=1),0,$D$3+$D$5*(RAND()-0.5))</f>
        <v>1.82046889525539</v>
      </c>
      <c r="J265" s="38" t="n">
        <f aca="false">I265+MAX(D265,J264)</f>
        <v>282.713892815454</v>
      </c>
      <c r="K265" s="38" t="n">
        <f aca="false">IF((H265=0),J265-D265,0)</f>
        <v>11.4822632637304</v>
      </c>
      <c r="L265" s="38" t="n">
        <f aca="true">IF(($H265=0),0,$D$4+$D$5*(RAND()-0.5))</f>
        <v>0</v>
      </c>
      <c r="M265" s="38" t="n">
        <f aca="false">L265+MAX(D265,M264)</f>
        <v>291.472902881571</v>
      </c>
      <c r="N265" s="38" t="n">
        <f aca="false">IF((H265=1),M265-D265,0)</f>
        <v>0</v>
      </c>
      <c r="O265" s="16" t="n">
        <v>248</v>
      </c>
      <c r="P265" s="41" t="n">
        <f aca="false">IF((Arterial=0),P264+1,P264)</f>
        <v>115</v>
      </c>
      <c r="Q265" s="41" t="n">
        <f aca="false">IF((Arterial=1),Q264+1,Q264)</f>
        <v>133</v>
      </c>
      <c r="R265" s="42" t="e">
        <f aca="false">IF((RESET=1),0,R265+K265)</f>
        <v>#N/A</v>
      </c>
      <c r="S265" s="14" t="n">
        <f aca="false">IF(RESET=1,0,S265+N265)</f>
        <v>419.634147860775</v>
      </c>
      <c r="T265" s="2" t="e">
        <f aca="false">IF(RESET=1,0,T265+IF(H265=0,1,0))</f>
        <v>#N/A</v>
      </c>
      <c r="U265" s="2" t="n">
        <f aca="false">IF(RESET=1,0,U265+H265)</f>
        <v>36</v>
      </c>
      <c r="V265" s="14" t="e">
        <f aca="false">R265/(T265+0.00001)</f>
        <v>#N/A</v>
      </c>
      <c r="W265" s="14" t="n">
        <f aca="false">S265/(U265+0.0001)</f>
        <v>11.6564717281556</v>
      </c>
      <c r="X265" s="39" t="n">
        <f aca="false">IF(Informed=1,K265,0)</f>
        <v>0</v>
      </c>
      <c r="Y265" s="39" t="n">
        <f aca="false">IF(Informed=0,K265,0)</f>
        <v>11.4822632637304</v>
      </c>
      <c r="Z265" s="39" t="n">
        <f aca="false">IF(Informed=1,N265,0)</f>
        <v>0</v>
      </c>
      <c r="AA265" s="39" t="n">
        <f aca="false">IF(Informed=0,N265,0)</f>
        <v>0</v>
      </c>
      <c r="AB265" s="43" t="n">
        <f aca="false">IF(Arterial=0,IF(Informed=1,1,0),0)</f>
        <v>0</v>
      </c>
      <c r="AC265" s="43" t="n">
        <f aca="false">IF(Arterial=0,IF(Informed=0,1,0),0)</f>
        <v>1</v>
      </c>
      <c r="AD265" s="43" t="n">
        <f aca="false">IF(Arterial=1,IF(Informed=1,1,0),0)</f>
        <v>0</v>
      </c>
      <c r="AE265" s="43" t="n">
        <f aca="false">IF(Arterial=1,IF(Informed=0,1,0),0)</f>
        <v>0</v>
      </c>
      <c r="AF265" s="35" t="n">
        <f aca="false">IF(AB265=1,(X265-G$1030)^2,0)</f>
        <v>0</v>
      </c>
      <c r="AG265" s="35" t="n">
        <f aca="false">IF(AC265=1,(Y265-H$1030)^2,0)</f>
        <v>0.311897691016212</v>
      </c>
      <c r="AH265" s="35" t="n">
        <f aca="false">IF(AD265=1,(Z265-I$1030)^2,0)</f>
        <v>0</v>
      </c>
      <c r="AI265" s="35" t="n">
        <f aca="false">IF(AE265=1,(AA265-J$1030)^2,0)</f>
        <v>0</v>
      </c>
      <c r="AJ265" s="37" t="n">
        <f aca="true">IF(RAND()&lt;$D$6,1,0)</f>
        <v>0</v>
      </c>
      <c r="AK265" s="14" t="n">
        <f aca="false">AK264+IF((AJ265=1),IF((H265=0),1,0),0)</f>
        <v>0</v>
      </c>
      <c r="AL265" s="14" t="n">
        <f aca="false">AL264+IF((AJ265=1),IF((H265=1),1,0),0)</f>
        <v>0</v>
      </c>
      <c r="AM265" s="37" t="n">
        <f aca="false">IF(AK265=0,9999,IF($H265=0,IF($AJ265&lt;1,AM264+1,0),AM264))</f>
        <v>9999</v>
      </c>
      <c r="AN265" s="37" t="n">
        <f aca="false">IF(AL265=0,9999,IF($H265=1,IF($AJ265&lt;1,AN264+1,0),AN264))</f>
        <v>9999</v>
      </c>
      <c r="AO265" s="37" t="n">
        <f aca="false">IF($A265-AM265&gt;0,1/(1+AM265),0)</f>
        <v>0</v>
      </c>
      <c r="AP265" s="37" t="n">
        <f aca="false">IF($A265-AN265&gt;0,1/(1+AN265),0)</f>
        <v>0</v>
      </c>
      <c r="AQ265" s="7" t="n">
        <f aca="false">IF(AK265=0,0,MAX(MIN(1,AO265^Power),0))</f>
        <v>0</v>
      </c>
      <c r="AR265" s="7" t="n">
        <f aca="false">IF(AL265=0,0,MAX(MIN(1,AP265^Power),0))</f>
        <v>0</v>
      </c>
      <c r="AS265" s="7" t="n">
        <f aca="false">IF($AJ265=1,IF($H265=0,K265,AS264),AS264)</f>
        <v>0</v>
      </c>
      <c r="AT265" s="7" t="n">
        <f aca="false">IF($AJ265=1,IF($H265=1,N265,AT264),AT264)</f>
        <v>0</v>
      </c>
    </row>
    <row r="266" customFormat="false" ht="13" hidden="false" customHeight="false" outlineLevel="0" collapsed="false">
      <c r="A266" s="16" t="n">
        <v>249</v>
      </c>
      <c r="B266" s="37" t="n">
        <f aca="true">IF(RAND()&lt;$D$8,1,0)</f>
        <v>0</v>
      </c>
      <c r="C266" s="20" t="n">
        <f aca="true">-LN(RAND())/$D$2</f>
        <v>0.899476184586093</v>
      </c>
      <c r="D266" s="38" t="n">
        <f aca="false">D265+C266</f>
        <v>272.13110573631</v>
      </c>
      <c r="E266" s="39" t="n">
        <f aca="false">MAX($E$3,AS265)</f>
        <v>0</v>
      </c>
      <c r="F266" s="39" t="n">
        <f aca="false">MAX($E$3,AT265)</f>
        <v>0</v>
      </c>
      <c r="G266" s="40" t="n">
        <v>0.5</v>
      </c>
      <c r="H266" s="38" t="n">
        <f aca="true">IF((B266=1),(IF((F266&lt;E266),1,(IF((F266=E266),(IF(RAND()&lt;G266,1,0)),0)))),(IF((RAND()&lt;G266),1,0)))</f>
        <v>1</v>
      </c>
      <c r="I266" s="38" t="n">
        <f aca="true">IF((H266=1),0,$D$3+$D$5*(RAND()-0.5))</f>
        <v>0</v>
      </c>
      <c r="J266" s="38" t="n">
        <f aca="false">I266+MAX(D266,J265)</f>
        <v>282.713892815454</v>
      </c>
      <c r="K266" s="38" t="n">
        <f aca="false">IF((H266=0),J266-D266,0)</f>
        <v>0</v>
      </c>
      <c r="L266" s="38" t="n">
        <f aca="true">IF(($H266=0),0,$D$4+$D$5*(RAND()-0.5))</f>
        <v>2.05569675332964</v>
      </c>
      <c r="M266" s="38" t="n">
        <f aca="false">L266+MAX(D266,M265)</f>
        <v>293.5285996349</v>
      </c>
      <c r="N266" s="38" t="n">
        <f aca="false">IF((H266=1),M266-D266,0)</f>
        <v>21.3974938985903</v>
      </c>
      <c r="O266" s="16" t="n">
        <v>249</v>
      </c>
      <c r="P266" s="41" t="n">
        <f aca="false">IF((Arterial=0),P265+1,P265)</f>
        <v>115</v>
      </c>
      <c r="Q266" s="41" t="n">
        <f aca="false">IF((Arterial=1),Q265+1,Q265)</f>
        <v>134</v>
      </c>
      <c r="R266" s="42" t="n">
        <f aca="false">IF((RESET=1),0,R266+K266)</f>
        <v>720.670032700974</v>
      </c>
      <c r="S266" s="14" t="e">
        <f aca="false">IF(RESET=1,0,S266+N266)</f>
        <v>#N/A</v>
      </c>
      <c r="T266" s="2" t="n">
        <f aca="false">IF(RESET=1,0,T266+IF(H266=0,1,0))</f>
        <v>44</v>
      </c>
      <c r="U266" s="2" t="e">
        <f aca="false">IF(RESET=1,0,U266+H266)</f>
        <v>#N/A</v>
      </c>
      <c r="V266" s="14" t="n">
        <f aca="false">R266/(T266+0.00001)</f>
        <v>16.3788606570993</v>
      </c>
      <c r="W266" s="14" t="e">
        <f aca="false">S266/(U266+0.0001)</f>
        <v>#N/A</v>
      </c>
      <c r="X266" s="39" t="n">
        <f aca="false">IF(Informed=1,K266,0)</f>
        <v>0</v>
      </c>
      <c r="Y266" s="39" t="n">
        <f aca="false">IF(Informed=0,K266,0)</f>
        <v>0</v>
      </c>
      <c r="Z266" s="39" t="n">
        <f aca="false">IF(Informed=1,N266,0)</f>
        <v>0</v>
      </c>
      <c r="AA266" s="39" t="n">
        <f aca="false">IF(Informed=0,N266,0)</f>
        <v>21.3974938985903</v>
      </c>
      <c r="AB266" s="43" t="n">
        <f aca="false">IF(Arterial=0,IF(Informed=1,1,0),0)</f>
        <v>0</v>
      </c>
      <c r="AC266" s="43" t="n">
        <f aca="false">IF(Arterial=0,IF(Informed=0,1,0),0)</f>
        <v>0</v>
      </c>
      <c r="AD266" s="43" t="n">
        <f aca="false">IF(Arterial=1,IF(Informed=1,1,0),0)</f>
        <v>0</v>
      </c>
      <c r="AE266" s="43" t="n">
        <f aca="false">IF(Arterial=1,IF(Informed=0,1,0),0)</f>
        <v>1</v>
      </c>
      <c r="AF266" s="35" t="n">
        <f aca="false">IF(AB266=1,(X266-G$1030)^2,0)</f>
        <v>0</v>
      </c>
      <c r="AG266" s="35" t="n">
        <f aca="false">IF(AC266=1,(Y266-H$1030)^2,0)</f>
        <v>0</v>
      </c>
      <c r="AH266" s="35" t="n">
        <f aca="false">IF(AD266=1,(Z266-I$1030)^2,0)</f>
        <v>0</v>
      </c>
      <c r="AI266" s="35" t="n">
        <f aca="false">IF(AE266=1,(AA266-J$1030)^2,0)</f>
        <v>66.696313398528</v>
      </c>
      <c r="AJ266" s="37" t="n">
        <f aca="true">IF(RAND()&lt;$D$6,1,0)</f>
        <v>0</v>
      </c>
      <c r="AK266" s="14" t="n">
        <f aca="false">AK265+IF((AJ266=1),IF((H266=0),1,0),0)</f>
        <v>0</v>
      </c>
      <c r="AL266" s="14" t="n">
        <f aca="false">AL265+IF((AJ266=1),IF((H266=1),1,0),0)</f>
        <v>0</v>
      </c>
      <c r="AM266" s="37" t="n">
        <f aca="false">IF(AK266=0,9999,IF($H266=0,IF($AJ266&lt;1,AM265+1,0),AM265))</f>
        <v>9999</v>
      </c>
      <c r="AN266" s="37" t="n">
        <f aca="false">IF(AL266=0,9999,IF($H266=1,IF($AJ266&lt;1,AN265+1,0),AN265))</f>
        <v>9999</v>
      </c>
      <c r="AO266" s="37" t="n">
        <f aca="false">IF($A266-AM266&gt;0,1/(1+AM266),0)</f>
        <v>0</v>
      </c>
      <c r="AP266" s="37" t="n">
        <f aca="false">IF($A266-AN266&gt;0,1/(1+AN266),0)</f>
        <v>0</v>
      </c>
      <c r="AQ266" s="7" t="n">
        <f aca="false">IF(AK266=0,0,MAX(MIN(1,AO266^Power),0))</f>
        <v>0</v>
      </c>
      <c r="AR266" s="7" t="n">
        <f aca="false">IF(AL266=0,0,MAX(MIN(1,AP266^Power),0))</f>
        <v>0</v>
      </c>
      <c r="AS266" s="7" t="n">
        <f aca="false">IF($AJ266=1,IF($H266=0,K266,AS265),AS265)</f>
        <v>0</v>
      </c>
      <c r="AT266" s="7" t="n">
        <f aca="false">IF($AJ266=1,IF($H266=1,N266,AT265),AT265)</f>
        <v>0</v>
      </c>
    </row>
    <row r="267" customFormat="false" ht="13" hidden="false" customHeight="false" outlineLevel="0" collapsed="false">
      <c r="A267" s="16" t="n">
        <v>250</v>
      </c>
      <c r="B267" s="37" t="n">
        <f aca="true">IF(RAND()&lt;$D$8,1,0)</f>
        <v>0</v>
      </c>
      <c r="C267" s="20" t="n">
        <f aca="true">-LN(RAND())/$D$2</f>
        <v>1.33325823895049</v>
      </c>
      <c r="D267" s="38" t="n">
        <f aca="false">D266+C267</f>
        <v>273.464363975261</v>
      </c>
      <c r="E267" s="39" t="n">
        <f aca="false">MAX($E$3,AS266)</f>
        <v>0</v>
      </c>
      <c r="F267" s="39" t="n">
        <f aca="false">MAX($E$3,AT266)</f>
        <v>0</v>
      </c>
      <c r="G267" s="40" t="n">
        <v>0.5</v>
      </c>
      <c r="H267" s="38" t="n">
        <f aca="true">IF((B267=1),(IF((F267&lt;E267),1,(IF((F267=E267),(IF(RAND()&lt;G267,1,0)),0)))),(IF((RAND()&lt;G267),1,0)))</f>
        <v>0</v>
      </c>
      <c r="I267" s="38" t="n">
        <f aca="true">IF((H267=1),0,$D$3+$D$5*(RAND()-0.5))</f>
        <v>2.03493412957263</v>
      </c>
      <c r="J267" s="38" t="n">
        <f aca="false">I267+MAX(D267,J266)</f>
        <v>284.748826945027</v>
      </c>
      <c r="K267" s="38" t="n">
        <f aca="false">IF((H267=0),J267-D267,0)</f>
        <v>11.2844629697664</v>
      </c>
      <c r="L267" s="38" t="n">
        <f aca="true">IF(($H267=0),0,$D$4+$D$5*(RAND()-0.5))</f>
        <v>0</v>
      </c>
      <c r="M267" s="38" t="n">
        <f aca="false">L267+MAX(D267,M266)</f>
        <v>293.5285996349</v>
      </c>
      <c r="N267" s="38" t="n">
        <f aca="false">IF((H267=1),M267-D267,0)</f>
        <v>0</v>
      </c>
      <c r="O267" s="16" t="n">
        <v>250</v>
      </c>
      <c r="P267" s="41" t="n">
        <f aca="false">IF((Arterial=0),P266+1,P266)</f>
        <v>116</v>
      </c>
      <c r="Q267" s="41" t="n">
        <f aca="false">IF((Arterial=1),Q266+1,Q266)</f>
        <v>134</v>
      </c>
      <c r="R267" s="42" t="e">
        <f aca="false">IF((RESET=1),0,R267+K267)</f>
        <v>#N/A</v>
      </c>
      <c r="S267" s="14" t="n">
        <f aca="false">IF(RESET=1,0,S267+N267)</f>
        <v>468.466275644698</v>
      </c>
      <c r="T267" s="2" t="e">
        <f aca="false">IF(RESET=1,0,T267+IF(H267=0,1,0))</f>
        <v>#N/A</v>
      </c>
      <c r="U267" s="2" t="n">
        <f aca="false">IF(RESET=1,0,U267+H267)</f>
        <v>41</v>
      </c>
      <c r="V267" s="14" t="e">
        <f aca="false">R267/(T267+0.00001)</f>
        <v>#N/A</v>
      </c>
      <c r="W267" s="14" t="n">
        <f aca="false">S267/(U267+0.0001)</f>
        <v>11.4259788548003</v>
      </c>
      <c r="X267" s="39" t="n">
        <f aca="false">IF(Informed=1,K267,0)</f>
        <v>0</v>
      </c>
      <c r="Y267" s="39" t="n">
        <f aca="false">IF(Informed=0,K267,0)</f>
        <v>11.2844629697664</v>
      </c>
      <c r="Z267" s="39" t="n">
        <f aca="false">IF(Informed=1,N267,0)</f>
        <v>0</v>
      </c>
      <c r="AA267" s="39" t="n">
        <f aca="false">IF(Informed=0,N267,0)</f>
        <v>0</v>
      </c>
      <c r="AB267" s="43" t="n">
        <f aca="false">IF(Arterial=0,IF(Informed=1,1,0),0)</f>
        <v>0</v>
      </c>
      <c r="AC267" s="43" t="n">
        <f aca="false">IF(Arterial=0,IF(Informed=0,1,0),0)</f>
        <v>1</v>
      </c>
      <c r="AD267" s="43" t="n">
        <f aca="false">IF(Arterial=1,IF(Informed=1,1,0),0)</f>
        <v>0</v>
      </c>
      <c r="AE267" s="43" t="n">
        <f aca="false">IF(Arterial=1,IF(Informed=0,1,0),0)</f>
        <v>0</v>
      </c>
      <c r="AF267" s="35" t="n">
        <f aca="false">IF(AB267=1,(X267-G$1030)^2,0)</f>
        <v>0</v>
      </c>
      <c r="AG267" s="35" t="n">
        <f aca="false">IF(AC267=1,(Y267-H$1030)^2,0)</f>
        <v>0.130088417016616</v>
      </c>
      <c r="AH267" s="35" t="n">
        <f aca="false">IF(AD267=1,(Z267-I$1030)^2,0)</f>
        <v>0</v>
      </c>
      <c r="AI267" s="35" t="n">
        <f aca="false">IF(AE267=1,(AA267-J$1030)^2,0)</f>
        <v>0</v>
      </c>
      <c r="AJ267" s="37" t="n">
        <f aca="true">IF(RAND()&lt;$D$6,1,0)</f>
        <v>0</v>
      </c>
      <c r="AK267" s="14" t="n">
        <f aca="false">AK266+IF((AJ267=1),IF((H267=0),1,0),0)</f>
        <v>0</v>
      </c>
      <c r="AL267" s="14" t="n">
        <f aca="false">AL266+IF((AJ267=1),IF((H267=1),1,0),0)</f>
        <v>0</v>
      </c>
      <c r="AM267" s="37" t="n">
        <f aca="false">IF(AK267=0,9999,IF($H267=0,IF($AJ267&lt;1,AM266+1,0),AM266))</f>
        <v>9999</v>
      </c>
      <c r="AN267" s="37" t="n">
        <f aca="false">IF(AL267=0,9999,IF($H267=1,IF($AJ267&lt;1,AN266+1,0),AN266))</f>
        <v>9999</v>
      </c>
      <c r="AO267" s="37" t="n">
        <f aca="false">IF($A267-AM267&gt;0,1/(1+AM267),0)</f>
        <v>0</v>
      </c>
      <c r="AP267" s="37" t="n">
        <f aca="false">IF($A267-AN267&gt;0,1/(1+AN267),0)</f>
        <v>0</v>
      </c>
      <c r="AQ267" s="7" t="n">
        <f aca="false">IF(AK267=0,0,MAX(MIN(1,AO267^Power),0))</f>
        <v>0</v>
      </c>
      <c r="AR267" s="7" t="n">
        <f aca="false">IF(AL267=0,0,MAX(MIN(1,AP267^Power),0))</f>
        <v>0</v>
      </c>
      <c r="AS267" s="7" t="n">
        <f aca="false">IF($AJ267=1,IF($H267=0,K267,AS266),AS266)</f>
        <v>0</v>
      </c>
      <c r="AT267" s="7" t="n">
        <f aca="false">IF($AJ267=1,IF($H267=1,N267,AT266),AT266)</f>
        <v>0</v>
      </c>
    </row>
    <row r="268" customFormat="false" ht="13" hidden="false" customHeight="false" outlineLevel="0" collapsed="false">
      <c r="A268" s="16" t="n">
        <v>251</v>
      </c>
      <c r="B268" s="37" t="n">
        <f aca="true">IF(RAND()&lt;$D$8,1,0)</f>
        <v>0</v>
      </c>
      <c r="C268" s="20" t="n">
        <f aca="true">-LN(RAND())/$D$2</f>
        <v>4.88467255900921</v>
      </c>
      <c r="D268" s="38" t="n">
        <f aca="false">D267+C268</f>
        <v>278.34903653427</v>
      </c>
      <c r="E268" s="39" t="n">
        <f aca="false">MAX($E$3,AS267)</f>
        <v>0</v>
      </c>
      <c r="F268" s="39" t="n">
        <f aca="false">MAX($E$3,AT267)</f>
        <v>0</v>
      </c>
      <c r="G268" s="40" t="n">
        <v>0.5</v>
      </c>
      <c r="H268" s="38" t="n">
        <f aca="true">IF((B268=1),(IF((F268&lt;E268),1,(IF((F268=E268),(IF(RAND()&lt;G268,1,0)),0)))),(IF((RAND()&lt;G268),1,0)))</f>
        <v>1</v>
      </c>
      <c r="I268" s="38" t="n">
        <f aca="true">IF((H268=1),0,$D$3+$D$5*(RAND()-0.5))</f>
        <v>0</v>
      </c>
      <c r="J268" s="38" t="n">
        <f aca="false">I268+MAX(D268,J267)</f>
        <v>284.748826945027</v>
      </c>
      <c r="K268" s="38" t="n">
        <f aca="false">IF((H268=0),J268-D268,0)</f>
        <v>0</v>
      </c>
      <c r="L268" s="38" t="n">
        <f aca="true">IF(($H268=0),0,$D$4+$D$5*(RAND()-0.5))</f>
        <v>1.87542042661653</v>
      </c>
      <c r="M268" s="38" t="n">
        <f aca="false">L268+MAX(D268,M267)</f>
        <v>295.404020061517</v>
      </c>
      <c r="N268" s="38" t="n">
        <f aca="false">IF((H268=1),M268-D268,0)</f>
        <v>17.0549835272471</v>
      </c>
      <c r="O268" s="16" t="n">
        <v>251</v>
      </c>
      <c r="P268" s="41" t="n">
        <f aca="false">IF((Arterial=0),P267+1,P267)</f>
        <v>116</v>
      </c>
      <c r="Q268" s="41" t="n">
        <f aca="false">IF((Arterial=1),Q267+1,Q267)</f>
        <v>135</v>
      </c>
      <c r="R268" s="42" t="n">
        <f aca="false">IF((RESET=1),0,R268+K268)</f>
        <v>547.316572002816</v>
      </c>
      <c r="S268" s="14" t="e">
        <f aca="false">IF(RESET=1,0,S268+N268)</f>
        <v>#N/A</v>
      </c>
      <c r="T268" s="2" t="n">
        <f aca="false">IF(RESET=1,0,T268+IF(H268=0,1,0))</f>
        <v>39</v>
      </c>
      <c r="U268" s="2" t="e">
        <f aca="false">IF(RESET=1,0,U268+H268)</f>
        <v>#N/A</v>
      </c>
      <c r="V268" s="14" t="n">
        <f aca="false">R268/(T268+0.00001)</f>
        <v>14.0337546580838</v>
      </c>
      <c r="W268" s="14" t="e">
        <f aca="false">S268/(U268+0.0001)</f>
        <v>#N/A</v>
      </c>
      <c r="X268" s="39" t="n">
        <f aca="false">IF(Informed=1,K268,0)</f>
        <v>0</v>
      </c>
      <c r="Y268" s="39" t="n">
        <f aca="false">IF(Informed=0,K268,0)</f>
        <v>0</v>
      </c>
      <c r="Z268" s="39" t="n">
        <f aca="false">IF(Informed=1,N268,0)</f>
        <v>0</v>
      </c>
      <c r="AA268" s="39" t="n">
        <f aca="false">IF(Informed=0,N268,0)</f>
        <v>17.0549835272471</v>
      </c>
      <c r="AB268" s="43" t="n">
        <f aca="false">IF(Arterial=0,IF(Informed=1,1,0),0)</f>
        <v>0</v>
      </c>
      <c r="AC268" s="43" t="n">
        <f aca="false">IF(Arterial=0,IF(Informed=0,1,0),0)</f>
        <v>0</v>
      </c>
      <c r="AD268" s="43" t="n">
        <f aca="false">IF(Arterial=1,IF(Informed=1,1,0),0)</f>
        <v>0</v>
      </c>
      <c r="AE268" s="43" t="n">
        <f aca="false">IF(Arterial=1,IF(Informed=0,1,0),0)</f>
        <v>1</v>
      </c>
      <c r="AF268" s="35" t="n">
        <f aca="false">IF(AB268=1,(X268-G$1030)^2,0)</f>
        <v>0</v>
      </c>
      <c r="AG268" s="35" t="n">
        <f aca="false">IF(AC268=1,(Y268-H$1030)^2,0)</f>
        <v>0</v>
      </c>
      <c r="AH268" s="35" t="n">
        <f aca="false">IF(AD268=1,(Z268-I$1030)^2,0)</f>
        <v>0</v>
      </c>
      <c r="AI268" s="35" t="n">
        <f aca="false">IF(AE268=1,(AA268-J$1030)^2,0)</f>
        <v>156.482372905496</v>
      </c>
      <c r="AJ268" s="37" t="n">
        <f aca="true">IF(RAND()&lt;$D$6,1,0)</f>
        <v>0</v>
      </c>
      <c r="AK268" s="14" t="n">
        <f aca="false">AK267+IF((AJ268=1),IF((H268=0),1,0),0)</f>
        <v>0</v>
      </c>
      <c r="AL268" s="14" t="n">
        <f aca="false">AL267+IF((AJ268=1),IF((H268=1),1,0),0)</f>
        <v>0</v>
      </c>
      <c r="AM268" s="37" t="n">
        <f aca="false">IF(AK268=0,9999,IF($H268=0,IF($AJ268&lt;1,AM267+1,0),AM267))</f>
        <v>9999</v>
      </c>
      <c r="AN268" s="37" t="n">
        <f aca="false">IF(AL268=0,9999,IF($H268=1,IF($AJ268&lt;1,AN267+1,0),AN267))</f>
        <v>9999</v>
      </c>
      <c r="AO268" s="37" t="n">
        <f aca="false">IF($A268-AM268&gt;0,1/(1+AM268),0)</f>
        <v>0</v>
      </c>
      <c r="AP268" s="37" t="n">
        <f aca="false">IF($A268-AN268&gt;0,1/(1+AN268),0)</f>
        <v>0</v>
      </c>
      <c r="AQ268" s="7" t="n">
        <f aca="false">IF(AK268=0,0,MAX(MIN(1,AO268^Power),0))</f>
        <v>0</v>
      </c>
      <c r="AR268" s="7" t="n">
        <f aca="false">IF(AL268=0,0,MAX(MIN(1,AP268^Power),0))</f>
        <v>0</v>
      </c>
      <c r="AS268" s="7" t="n">
        <f aca="false">IF($AJ268=1,IF($H268=0,K268,AS267),AS267)</f>
        <v>0</v>
      </c>
      <c r="AT268" s="7" t="n">
        <f aca="false">IF($AJ268=1,IF($H268=1,N268,AT267),AT267)</f>
        <v>0</v>
      </c>
    </row>
    <row r="269" customFormat="false" ht="13" hidden="false" customHeight="false" outlineLevel="0" collapsed="false">
      <c r="A269" s="16" t="n">
        <v>252</v>
      </c>
      <c r="B269" s="37" t="n">
        <f aca="true">IF(RAND()&lt;$D$8,1,0)</f>
        <v>0</v>
      </c>
      <c r="C269" s="20" t="n">
        <f aca="true">-LN(RAND())/$D$2</f>
        <v>0.173721612444569</v>
      </c>
      <c r="D269" s="38" t="n">
        <f aca="false">D268+C269</f>
        <v>278.522758146714</v>
      </c>
      <c r="E269" s="39" t="n">
        <f aca="false">MAX($E$3,AS268)</f>
        <v>0</v>
      </c>
      <c r="F269" s="39" t="n">
        <f aca="false">MAX($E$3,AT268)</f>
        <v>0</v>
      </c>
      <c r="G269" s="40" t="n">
        <v>0.5</v>
      </c>
      <c r="H269" s="38" t="n">
        <f aca="true">IF((B269=1),(IF((F269&lt;E269),1,(IF((F269=E269),(IF(RAND()&lt;G269,1,0)),0)))),(IF((RAND()&lt;G269),1,0)))</f>
        <v>1</v>
      </c>
      <c r="I269" s="38" t="n">
        <f aca="true">IF((H269=1),0,$D$3+$D$5*(RAND()-0.5))</f>
        <v>0</v>
      </c>
      <c r="J269" s="38" t="n">
        <f aca="false">I269+MAX(D269,J268)</f>
        <v>284.748826945027</v>
      </c>
      <c r="K269" s="38" t="n">
        <f aca="false">IF((H269=0),J269-D269,0)</f>
        <v>0</v>
      </c>
      <c r="L269" s="38" t="n">
        <f aca="true">IF(($H269=0),0,$D$4+$D$5*(RAND()-0.5))</f>
        <v>1.93205631383863</v>
      </c>
      <c r="M269" s="38" t="n">
        <f aca="false">L269+MAX(D269,M268)</f>
        <v>297.336076375356</v>
      </c>
      <c r="N269" s="38" t="n">
        <f aca="false">IF((H269=1),M269-D269,0)</f>
        <v>18.8133182286412</v>
      </c>
      <c r="O269" s="16" t="n">
        <v>252</v>
      </c>
      <c r="P269" s="41" t="n">
        <f aca="false">IF((Arterial=0),P268+1,P268)</f>
        <v>116</v>
      </c>
      <c r="Q269" s="41" t="n">
        <f aca="false">IF((Arterial=1),Q268+1,Q268)</f>
        <v>136</v>
      </c>
      <c r="R269" s="42" t="n">
        <f aca="false">IF((RESET=1),0,R269+K269)</f>
        <v>679.440309740128</v>
      </c>
      <c r="S269" s="14" t="e">
        <f aca="false">IF(RESET=1,0,S269+N269)</f>
        <v>#N/A</v>
      </c>
      <c r="T269" s="2" t="n">
        <f aca="false">IF(RESET=1,0,T269+IF(H269=0,1,0))</f>
        <v>42</v>
      </c>
      <c r="U269" s="2" t="e">
        <f aca="false">IF(RESET=1,0,U269+H269)</f>
        <v>#N/A</v>
      </c>
      <c r="V269" s="14" t="n">
        <f aca="false">R269/(T269+0.00001)</f>
        <v>16.1771463802063</v>
      </c>
      <c r="W269" s="14" t="e">
        <f aca="false">S269/(U269+0.0001)</f>
        <v>#N/A</v>
      </c>
      <c r="X269" s="39" t="n">
        <f aca="false">IF(Informed=1,K269,0)</f>
        <v>0</v>
      </c>
      <c r="Y269" s="39" t="n">
        <f aca="false">IF(Informed=0,K269,0)</f>
        <v>0</v>
      </c>
      <c r="Z269" s="39" t="n">
        <f aca="false">IF(Informed=1,N269,0)</f>
        <v>0</v>
      </c>
      <c r="AA269" s="39" t="n">
        <f aca="false">IF(Informed=0,N269,0)</f>
        <v>18.8133182286412</v>
      </c>
      <c r="AB269" s="43" t="n">
        <f aca="false">IF(Arterial=0,IF(Informed=1,1,0),0)</f>
        <v>0</v>
      </c>
      <c r="AC269" s="43" t="n">
        <f aca="false">IF(Arterial=0,IF(Informed=0,1,0),0)</f>
        <v>0</v>
      </c>
      <c r="AD269" s="43" t="n">
        <f aca="false">IF(Arterial=1,IF(Informed=1,1,0),0)</f>
        <v>0</v>
      </c>
      <c r="AE269" s="43" t="n">
        <f aca="false">IF(Arterial=1,IF(Informed=0,1,0),0)</f>
        <v>1</v>
      </c>
      <c r="AF269" s="35" t="n">
        <f aca="false">IF(AB269=1,(X269-G$1030)^2,0)</f>
        <v>0</v>
      </c>
      <c r="AG269" s="35" t="n">
        <f aca="false">IF(AC269=1,(Y269-H$1030)^2,0)</f>
        <v>0</v>
      </c>
      <c r="AH269" s="35" t="n">
        <f aca="false">IF(AD269=1,(Z269-I$1030)^2,0)</f>
        <v>0</v>
      </c>
      <c r="AI269" s="35" t="n">
        <f aca="false">IF(AE269=1,(AA269-J$1030)^2,0)</f>
        <v>115.583071289243</v>
      </c>
      <c r="AJ269" s="37" t="n">
        <f aca="true">IF(RAND()&lt;$D$6,1,0)</f>
        <v>0</v>
      </c>
      <c r="AK269" s="14" t="n">
        <f aca="false">AK268+IF((AJ269=1),IF((H269=0),1,0),0)</f>
        <v>0</v>
      </c>
      <c r="AL269" s="14" t="n">
        <f aca="false">AL268+IF((AJ269=1),IF((H269=1),1,0),0)</f>
        <v>0</v>
      </c>
      <c r="AM269" s="37" t="n">
        <f aca="false">IF(AK269=0,9999,IF($H269=0,IF($AJ269&lt;1,AM268+1,0),AM268))</f>
        <v>9999</v>
      </c>
      <c r="AN269" s="37" t="n">
        <f aca="false">IF(AL269=0,9999,IF($H269=1,IF($AJ269&lt;1,AN268+1,0),AN268))</f>
        <v>9999</v>
      </c>
      <c r="AO269" s="37" t="n">
        <f aca="false">IF($A269-AM269&gt;0,1/(1+AM269),0)</f>
        <v>0</v>
      </c>
      <c r="AP269" s="37" t="n">
        <f aca="false">IF($A269-AN269&gt;0,1/(1+AN269),0)</f>
        <v>0</v>
      </c>
      <c r="AQ269" s="7" t="n">
        <f aca="false">IF(AK269=0,0,MAX(MIN(1,AO269^Power),0))</f>
        <v>0</v>
      </c>
      <c r="AR269" s="7" t="n">
        <f aca="false">IF(AL269=0,0,MAX(MIN(1,AP269^Power),0))</f>
        <v>0</v>
      </c>
      <c r="AS269" s="7" t="n">
        <f aca="false">IF($AJ269=1,IF($H269=0,K269,AS268),AS268)</f>
        <v>0</v>
      </c>
      <c r="AT269" s="7" t="n">
        <f aca="false">IF($AJ269=1,IF($H269=1,N269,AT268),AT268)</f>
        <v>0</v>
      </c>
    </row>
    <row r="270" customFormat="false" ht="13" hidden="false" customHeight="false" outlineLevel="0" collapsed="false">
      <c r="A270" s="16" t="n">
        <v>253</v>
      </c>
      <c r="B270" s="37" t="n">
        <f aca="true">IF(RAND()&lt;$D$8,1,0)</f>
        <v>0</v>
      </c>
      <c r="C270" s="20" t="n">
        <f aca="true">-LN(RAND())/$D$2</f>
        <v>4.21193892908118</v>
      </c>
      <c r="D270" s="38" t="n">
        <f aca="false">D269+C270</f>
        <v>282.734697075796</v>
      </c>
      <c r="E270" s="39" t="n">
        <f aca="false">MAX($E$3,AS269)</f>
        <v>0</v>
      </c>
      <c r="F270" s="39" t="n">
        <f aca="false">MAX($E$3,AT269)</f>
        <v>0</v>
      </c>
      <c r="G270" s="40" t="n">
        <v>0.5</v>
      </c>
      <c r="H270" s="38" t="n">
        <f aca="true">IF((B270=1),(IF((F270&lt;E270),1,(IF((F270=E270),(IF(RAND()&lt;G270,1,0)),0)))),(IF((RAND()&lt;G270),1,0)))</f>
        <v>0</v>
      </c>
      <c r="I270" s="38" t="n">
        <f aca="true">IF((H270=1),0,$D$3+$D$5*(RAND()-0.5))</f>
        <v>1.76839166160254</v>
      </c>
      <c r="J270" s="38" t="n">
        <f aca="false">I270+MAX(D270,J269)</f>
        <v>286.51721860663</v>
      </c>
      <c r="K270" s="38" t="n">
        <f aca="false">IF((H270=0),J270-D270,0)</f>
        <v>3.782521530834</v>
      </c>
      <c r="L270" s="38" t="n">
        <f aca="true">IF(($H270=0),0,$D$4+$D$5*(RAND()-0.5))</f>
        <v>0</v>
      </c>
      <c r="M270" s="38" t="n">
        <f aca="false">L270+MAX(D270,M269)</f>
        <v>297.336076375356</v>
      </c>
      <c r="N270" s="38" t="n">
        <f aca="false">IF((H270=1),M270-D270,0)</f>
        <v>0</v>
      </c>
      <c r="O270" s="16" t="n">
        <v>253</v>
      </c>
      <c r="P270" s="41" t="n">
        <f aca="false">IF((Arterial=0),P269+1,P269)</f>
        <v>117</v>
      </c>
      <c r="Q270" s="41" t="n">
        <f aca="false">IF((Arterial=1),Q269+1,Q269)</f>
        <v>136</v>
      </c>
      <c r="R270" s="42" t="e">
        <f aca="false">IF((RESET=1),0,R270+K270)</f>
        <v>#N/A</v>
      </c>
      <c r="S270" s="14" t="n">
        <f aca="false">IF(RESET=1,0,S270+N270)</f>
        <v>454.241489129993</v>
      </c>
      <c r="T270" s="2" t="e">
        <f aca="false">IF(RESET=1,0,T270+IF(H270=0,1,0))</f>
        <v>#N/A</v>
      </c>
      <c r="U270" s="2" t="n">
        <f aca="false">IF(RESET=1,0,U270+H270)</f>
        <v>37</v>
      </c>
      <c r="V270" s="14" t="e">
        <f aca="false">R270/(T270+0.00001)</f>
        <v>#N/A</v>
      </c>
      <c r="W270" s="14" t="n">
        <f aca="false">S270/(U270+0.0001)</f>
        <v>12.2767638230705</v>
      </c>
      <c r="X270" s="39" t="n">
        <f aca="false">IF(Informed=1,K270,0)</f>
        <v>0</v>
      </c>
      <c r="Y270" s="39" t="n">
        <f aca="false">IF(Informed=0,K270,0)</f>
        <v>3.782521530834</v>
      </c>
      <c r="Z270" s="39" t="n">
        <f aca="false">IF(Informed=1,N270,0)</f>
        <v>0</v>
      </c>
      <c r="AA270" s="39" t="n">
        <f aca="false">IF(Informed=0,N270,0)</f>
        <v>0</v>
      </c>
      <c r="AB270" s="43" t="n">
        <f aca="false">IF(Arterial=0,IF(Informed=1,1,0),0)</f>
        <v>0</v>
      </c>
      <c r="AC270" s="43" t="n">
        <f aca="false">IF(Arterial=0,IF(Informed=0,1,0),0)</f>
        <v>1</v>
      </c>
      <c r="AD270" s="43" t="n">
        <f aca="false">IF(Arterial=1,IF(Informed=1,1,0),0)</f>
        <v>0</v>
      </c>
      <c r="AE270" s="43" t="n">
        <f aca="false">IF(Arterial=1,IF(Informed=0,1,0),0)</f>
        <v>0</v>
      </c>
      <c r="AF270" s="35" t="n">
        <f aca="false">IF(AB270=1,(X270-G$1030)^2,0)</f>
        <v>0</v>
      </c>
      <c r="AG270" s="35" t="n">
        <f aca="false">IF(AC270=1,(Y270-H$1030)^2,0)</f>
        <v>50.9976475169583</v>
      </c>
      <c r="AH270" s="35" t="n">
        <f aca="false">IF(AD270=1,(Z270-I$1030)^2,0)</f>
        <v>0</v>
      </c>
      <c r="AI270" s="35" t="n">
        <f aca="false">IF(AE270=1,(AA270-J$1030)^2,0)</f>
        <v>0</v>
      </c>
      <c r="AJ270" s="37" t="n">
        <f aca="true">IF(RAND()&lt;$D$6,1,0)</f>
        <v>0</v>
      </c>
      <c r="AK270" s="14" t="n">
        <f aca="false">AK269+IF((AJ270=1),IF((H270=0),1,0),0)</f>
        <v>0</v>
      </c>
      <c r="AL270" s="14" t="n">
        <f aca="false">AL269+IF((AJ270=1),IF((H270=1),1,0),0)</f>
        <v>0</v>
      </c>
      <c r="AM270" s="37" t="n">
        <f aca="false">IF(AK270=0,9999,IF($H270=0,IF($AJ270&lt;1,AM269+1,0),AM269))</f>
        <v>9999</v>
      </c>
      <c r="AN270" s="37" t="n">
        <f aca="false">IF(AL270=0,9999,IF($H270=1,IF($AJ270&lt;1,AN269+1,0),AN269))</f>
        <v>9999</v>
      </c>
      <c r="AO270" s="37" t="n">
        <f aca="false">IF($A270-AM270&gt;0,1/(1+AM270),0)</f>
        <v>0</v>
      </c>
      <c r="AP270" s="37" t="n">
        <f aca="false">IF($A270-AN270&gt;0,1/(1+AN270),0)</f>
        <v>0</v>
      </c>
      <c r="AQ270" s="7" t="n">
        <f aca="false">IF(AK270=0,0,MAX(MIN(1,AO270^Power),0))</f>
        <v>0</v>
      </c>
      <c r="AR270" s="7" t="n">
        <f aca="false">IF(AL270=0,0,MAX(MIN(1,AP270^Power),0))</f>
        <v>0</v>
      </c>
      <c r="AS270" s="7" t="n">
        <f aca="false">IF($AJ270=1,IF($H270=0,K270,AS269),AS269)</f>
        <v>0</v>
      </c>
      <c r="AT270" s="7" t="n">
        <f aca="false">IF($AJ270=1,IF($H270=1,N270,AT269),AT269)</f>
        <v>0</v>
      </c>
    </row>
    <row r="271" customFormat="false" ht="13" hidden="false" customHeight="false" outlineLevel="0" collapsed="false">
      <c r="A271" s="16" t="n">
        <v>254</v>
      </c>
      <c r="B271" s="37" t="n">
        <f aca="true">IF(RAND()&lt;$D$8,1,0)</f>
        <v>0</v>
      </c>
      <c r="C271" s="20" t="n">
        <f aca="true">-LN(RAND())/$D$2</f>
        <v>0.196375677435303</v>
      </c>
      <c r="D271" s="38" t="n">
        <f aca="false">D270+C271</f>
        <v>282.931072753231</v>
      </c>
      <c r="E271" s="39" t="n">
        <f aca="false">MAX($E$3,AS270)</f>
        <v>0</v>
      </c>
      <c r="F271" s="39" t="n">
        <f aca="false">MAX($E$3,AT270)</f>
        <v>0</v>
      </c>
      <c r="G271" s="40" t="n">
        <v>0.5</v>
      </c>
      <c r="H271" s="38" t="n">
        <f aca="true">IF((B271=1),(IF((F271&lt;E271),1,(IF((F271=E271),(IF(RAND()&lt;G271,1,0)),0)))),(IF((RAND()&lt;G271),1,0)))</f>
        <v>0</v>
      </c>
      <c r="I271" s="38" t="n">
        <f aca="true">IF((H271=1),0,$D$3+$D$5*(RAND()-0.5))</f>
        <v>1.8439253404396</v>
      </c>
      <c r="J271" s="38" t="n">
        <f aca="false">I271+MAX(D271,J270)</f>
        <v>288.361143947069</v>
      </c>
      <c r="K271" s="38" t="n">
        <f aca="false">IF((H271=0),J271-D271,0)</f>
        <v>5.43007119383827</v>
      </c>
      <c r="L271" s="38" t="n">
        <f aca="true">IF(($H271=0),0,$D$4+$D$5*(RAND()-0.5))</f>
        <v>0</v>
      </c>
      <c r="M271" s="38" t="n">
        <f aca="false">L271+MAX(D271,M270)</f>
        <v>297.336076375356</v>
      </c>
      <c r="N271" s="38" t="n">
        <f aca="false">IF((H271=1),M271-D271,0)</f>
        <v>0</v>
      </c>
      <c r="O271" s="16" t="n">
        <v>254</v>
      </c>
      <c r="P271" s="41" t="n">
        <f aca="false">IF((Arterial=0),P270+1,P270)</f>
        <v>118</v>
      </c>
      <c r="Q271" s="41" t="n">
        <f aca="false">IF((Arterial=1),Q270+1,Q270)</f>
        <v>136</v>
      </c>
      <c r="R271" s="42" t="e">
        <f aca="false">IF((RESET=1),0,R271+K271)</f>
        <v>#N/A</v>
      </c>
      <c r="S271" s="14" t="n">
        <f aca="false">IF(RESET=1,0,S271+N271)</f>
        <v>551.228625866273</v>
      </c>
      <c r="T271" s="2" t="e">
        <f aca="false">IF(RESET=1,0,T271+IF(H271=0,1,0))</f>
        <v>#N/A</v>
      </c>
      <c r="U271" s="2" t="n">
        <f aca="false">IF(RESET=1,0,U271+H271)</f>
        <v>40</v>
      </c>
      <c r="V271" s="14" t="e">
        <f aca="false">R271/(T271+0.00001)</f>
        <v>#N/A</v>
      </c>
      <c r="W271" s="14" t="n">
        <f aca="false">S271/(U271+0.0001)</f>
        <v>13.7806811949538</v>
      </c>
      <c r="X271" s="39" t="n">
        <f aca="false">IF(Informed=1,K271,0)</f>
        <v>0</v>
      </c>
      <c r="Y271" s="39" t="n">
        <f aca="false">IF(Informed=0,K271,0)</f>
        <v>5.43007119383827</v>
      </c>
      <c r="Z271" s="39" t="n">
        <f aca="false">IF(Informed=1,N271,0)</f>
        <v>0</v>
      </c>
      <c r="AA271" s="39" t="n">
        <f aca="false">IF(Informed=0,N271,0)</f>
        <v>0</v>
      </c>
      <c r="AB271" s="43" t="n">
        <f aca="false">IF(Arterial=0,IF(Informed=1,1,0),0)</f>
        <v>0</v>
      </c>
      <c r="AC271" s="43" t="n">
        <f aca="false">IF(Arterial=0,IF(Informed=0,1,0),0)</f>
        <v>1</v>
      </c>
      <c r="AD271" s="43" t="n">
        <f aca="false">IF(Arterial=1,IF(Informed=1,1,0),0)</f>
        <v>0</v>
      </c>
      <c r="AE271" s="43" t="n">
        <f aca="false">IF(Arterial=1,IF(Informed=0,1,0),0)</f>
        <v>0</v>
      </c>
      <c r="AF271" s="35" t="n">
        <f aca="false">IF(AB271=1,(X271-G$1030)^2,0)</f>
        <v>0</v>
      </c>
      <c r="AG271" s="35" t="n">
        <f aca="false">IF(AC271=1,(Y271-H$1030)^2,0)</f>
        <v>30.1808941387786</v>
      </c>
      <c r="AH271" s="35" t="n">
        <f aca="false">IF(AD271=1,(Z271-I$1030)^2,0)</f>
        <v>0</v>
      </c>
      <c r="AI271" s="35" t="n">
        <f aca="false">IF(AE271=1,(AA271-J$1030)^2,0)</f>
        <v>0</v>
      </c>
      <c r="AJ271" s="37" t="n">
        <f aca="true">IF(RAND()&lt;$D$6,1,0)</f>
        <v>0</v>
      </c>
      <c r="AK271" s="14" t="n">
        <f aca="false">AK270+IF((AJ271=1),IF((H271=0),1,0),0)</f>
        <v>0</v>
      </c>
      <c r="AL271" s="14" t="n">
        <f aca="false">AL270+IF((AJ271=1),IF((H271=1),1,0),0)</f>
        <v>0</v>
      </c>
      <c r="AM271" s="37" t="n">
        <f aca="false">IF(AK271=0,9999,IF($H271=0,IF($AJ271&lt;1,AM270+1,0),AM270))</f>
        <v>9999</v>
      </c>
      <c r="AN271" s="37" t="n">
        <f aca="false">IF(AL271=0,9999,IF($H271=1,IF($AJ271&lt;1,AN270+1,0),AN270))</f>
        <v>9999</v>
      </c>
      <c r="AO271" s="37" t="n">
        <f aca="false">IF($A271-AM271&gt;0,1/(1+AM271),0)</f>
        <v>0</v>
      </c>
      <c r="AP271" s="37" t="n">
        <f aca="false">IF($A271-AN271&gt;0,1/(1+AN271),0)</f>
        <v>0</v>
      </c>
      <c r="AQ271" s="7" t="n">
        <f aca="false">IF(AK271=0,0,MAX(MIN(1,AO271^Power),0))</f>
        <v>0</v>
      </c>
      <c r="AR271" s="7" t="n">
        <f aca="false">IF(AL271=0,0,MAX(MIN(1,AP271^Power),0))</f>
        <v>0</v>
      </c>
      <c r="AS271" s="7" t="n">
        <f aca="false">IF($AJ271=1,IF($H271=0,K271,AS270),AS270)</f>
        <v>0</v>
      </c>
      <c r="AT271" s="7" t="n">
        <f aca="false">IF($AJ271=1,IF($H271=1,N271,AT270),AT270)</f>
        <v>0</v>
      </c>
    </row>
    <row r="272" customFormat="false" ht="13" hidden="false" customHeight="false" outlineLevel="0" collapsed="false">
      <c r="A272" s="16" t="n">
        <v>255</v>
      </c>
      <c r="B272" s="37" t="n">
        <f aca="true">IF(RAND()&lt;$D$8,1,0)</f>
        <v>1</v>
      </c>
      <c r="C272" s="20" t="n">
        <f aca="true">-LN(RAND())/$D$2</f>
        <v>0.687511633606508</v>
      </c>
      <c r="D272" s="38" t="n">
        <f aca="false">D271+C272</f>
        <v>283.618584386837</v>
      </c>
      <c r="E272" s="39" t="n">
        <f aca="false">MAX($E$3,AS271)</f>
        <v>0</v>
      </c>
      <c r="F272" s="39" t="n">
        <f aca="false">MAX($E$3,AT271)</f>
        <v>0</v>
      </c>
      <c r="G272" s="40" t="n">
        <v>0.5</v>
      </c>
      <c r="H272" s="38" t="n">
        <f aca="true">IF((B272=1),(IF((F272&lt;E272),1,(IF((F272=E272),(IF(RAND()&lt;G272,1,0)),0)))),(IF((RAND()&lt;G272),1,0)))</f>
        <v>0</v>
      </c>
      <c r="I272" s="38" t="n">
        <f aca="true">IF((H272=1),0,$D$3+$D$5*(RAND()-0.5))</f>
        <v>1.85610776920866</v>
      </c>
      <c r="J272" s="38" t="n">
        <f aca="false">I272+MAX(D272,J271)</f>
        <v>290.217251716278</v>
      </c>
      <c r="K272" s="38" t="n">
        <f aca="false">IF((H272=0),J272-D272,0)</f>
        <v>6.59866732944045</v>
      </c>
      <c r="L272" s="38" t="n">
        <f aca="true">IF(($H272=0),0,$D$4+$D$5*(RAND()-0.5))</f>
        <v>0</v>
      </c>
      <c r="M272" s="38" t="n">
        <f aca="false">L272+MAX(D272,M271)</f>
        <v>297.336076375356</v>
      </c>
      <c r="N272" s="38" t="n">
        <f aca="false">IF((H272=1),M272-D272,0)</f>
        <v>0</v>
      </c>
      <c r="O272" s="16" t="n">
        <v>255</v>
      </c>
      <c r="P272" s="41" t="n">
        <f aca="false">IF((Arterial=0),P271+1,P271)</f>
        <v>119</v>
      </c>
      <c r="Q272" s="41" t="n">
        <f aca="false">IF((Arterial=1),Q271+1,Q271)</f>
        <v>136</v>
      </c>
      <c r="R272" s="42" t="e">
        <f aca="false">IF((RESET=1),0,R272+K272)</f>
        <v>#N/A</v>
      </c>
      <c r="S272" s="14" t="n">
        <f aca="false">IF(RESET=1,0,S272+N272)</f>
        <v>389.630778594889</v>
      </c>
      <c r="T272" s="2" t="e">
        <f aca="false">IF(RESET=1,0,T272+IF(H272=0,1,0))</f>
        <v>#N/A</v>
      </c>
      <c r="U272" s="2" t="n">
        <f aca="false">IF(RESET=1,0,U272+H272)</f>
        <v>35</v>
      </c>
      <c r="V272" s="14" t="e">
        <f aca="false">R272/(T272+0.00001)</f>
        <v>#N/A</v>
      </c>
      <c r="W272" s="14" t="n">
        <f aca="false">S272/(U272+0.0001)</f>
        <v>11.1322761533507</v>
      </c>
      <c r="X272" s="39" t="n">
        <f aca="false">IF(Informed=1,K272,0)</f>
        <v>6.59866732944045</v>
      </c>
      <c r="Y272" s="39" t="n">
        <f aca="false">IF(Informed=0,K272,0)</f>
        <v>0</v>
      </c>
      <c r="Z272" s="39" t="n">
        <f aca="false">IF(Informed=1,N272,0)</f>
        <v>0</v>
      </c>
      <c r="AA272" s="39" t="n">
        <f aca="false">IF(Informed=0,N272,0)</f>
        <v>0</v>
      </c>
      <c r="AB272" s="43" t="n">
        <f aca="false">IF(Arterial=0,IF(Informed=1,1,0),0)</f>
        <v>1</v>
      </c>
      <c r="AC272" s="43" t="n">
        <f aca="false">IF(Arterial=0,IF(Informed=0,1,0),0)</f>
        <v>0</v>
      </c>
      <c r="AD272" s="43" t="n">
        <f aca="false">IF(Arterial=1,IF(Informed=1,1,0),0)</f>
        <v>0</v>
      </c>
      <c r="AE272" s="43" t="n">
        <f aca="false">IF(Arterial=1,IF(Informed=0,1,0),0)</f>
        <v>0</v>
      </c>
      <c r="AF272" s="35" t="n">
        <f aca="false">IF(AB272=1,(X272-G$1030)^2,0)</f>
        <v>16.9004107213604</v>
      </c>
      <c r="AG272" s="35" t="n">
        <f aca="false">IF(AC272=1,(Y272-H$1030)^2,0)</f>
        <v>0</v>
      </c>
      <c r="AH272" s="35" t="n">
        <f aca="false">IF(AD272=1,(Z272-I$1030)^2,0)</f>
        <v>0</v>
      </c>
      <c r="AI272" s="35" t="n">
        <f aca="false">IF(AE272=1,(AA272-J$1030)^2,0)</f>
        <v>0</v>
      </c>
      <c r="AJ272" s="37" t="n">
        <f aca="true">IF(RAND()&lt;$D$6,1,0)</f>
        <v>0</v>
      </c>
      <c r="AK272" s="14" t="n">
        <f aca="false">AK271+IF((AJ272=1),IF((H272=0),1,0),0)</f>
        <v>0</v>
      </c>
      <c r="AL272" s="14" t="n">
        <f aca="false">AL271+IF((AJ272=1),IF((H272=1),1,0),0)</f>
        <v>0</v>
      </c>
      <c r="AM272" s="37" t="n">
        <f aca="false">IF(AK272=0,9999,IF($H272=0,IF($AJ272&lt;1,AM271+1,0),AM271))</f>
        <v>9999</v>
      </c>
      <c r="AN272" s="37" t="n">
        <f aca="false">IF(AL272=0,9999,IF($H272=1,IF($AJ272&lt;1,AN271+1,0),AN271))</f>
        <v>9999</v>
      </c>
      <c r="AO272" s="37" t="n">
        <f aca="false">IF($A272-AM272&gt;0,1/(1+AM272),0)</f>
        <v>0</v>
      </c>
      <c r="AP272" s="37" t="n">
        <f aca="false">IF($A272-AN272&gt;0,1/(1+AN272),0)</f>
        <v>0</v>
      </c>
      <c r="AQ272" s="7" t="n">
        <f aca="false">IF(AK272=0,0,MAX(MIN(1,AO272^Power),0))</f>
        <v>0</v>
      </c>
      <c r="AR272" s="7" t="n">
        <f aca="false">IF(AL272=0,0,MAX(MIN(1,AP272^Power),0))</f>
        <v>0</v>
      </c>
      <c r="AS272" s="7" t="n">
        <f aca="false">IF($AJ272=1,IF($H272=0,K272,AS271),AS271)</f>
        <v>0</v>
      </c>
      <c r="AT272" s="7" t="n">
        <f aca="false">IF($AJ272=1,IF($H272=1,N272,AT271),AT271)</f>
        <v>0</v>
      </c>
    </row>
    <row r="273" customFormat="false" ht="13" hidden="false" customHeight="false" outlineLevel="0" collapsed="false">
      <c r="A273" s="16" t="n">
        <v>256</v>
      </c>
      <c r="B273" s="37" t="n">
        <f aca="true">IF(RAND()&lt;$D$8,1,0)</f>
        <v>0</v>
      </c>
      <c r="C273" s="20" t="n">
        <f aca="true">-LN(RAND())/$D$2</f>
        <v>0.349467677987485</v>
      </c>
      <c r="D273" s="38" t="n">
        <f aca="false">D272+C273</f>
        <v>283.968052064825</v>
      </c>
      <c r="E273" s="39" t="n">
        <f aca="false">MAX($E$3,AS272)</f>
        <v>0</v>
      </c>
      <c r="F273" s="39" t="n">
        <f aca="false">MAX($E$3,AT272)</f>
        <v>0</v>
      </c>
      <c r="G273" s="40" t="n">
        <v>0.5</v>
      </c>
      <c r="H273" s="38" t="n">
        <f aca="true">IF((B273=1),(IF((F273&lt;E273),1,(IF((F273=E273),(IF(RAND()&lt;G273,1,0)),0)))),(IF((RAND()&lt;G273),1,0)))</f>
        <v>0</v>
      </c>
      <c r="I273" s="38" t="n">
        <f aca="true">IF((H273=1),0,$D$3+$D$5*(RAND()-0.5))</f>
        <v>1.85437485493274</v>
      </c>
      <c r="J273" s="38" t="n">
        <f aca="false">I273+MAX(D273,J272)</f>
        <v>292.071626571211</v>
      </c>
      <c r="K273" s="38" t="n">
        <f aca="false">IF((H273=0),J273-D273,0)</f>
        <v>8.10357450638571</v>
      </c>
      <c r="L273" s="38" t="n">
        <f aca="true">IF(($H273=0),0,$D$4+$D$5*(RAND()-0.5))</f>
        <v>0</v>
      </c>
      <c r="M273" s="38" t="n">
        <f aca="false">L273+MAX(D273,M272)</f>
        <v>297.336076375356</v>
      </c>
      <c r="N273" s="38" t="n">
        <f aca="false">IF((H273=1),M273-D273,0)</f>
        <v>0</v>
      </c>
      <c r="O273" s="16" t="n">
        <v>256</v>
      </c>
      <c r="P273" s="41" t="n">
        <f aca="false">IF((Arterial=0),P272+1,P272)</f>
        <v>120</v>
      </c>
      <c r="Q273" s="41" t="n">
        <f aca="false">IF((Arterial=1),Q272+1,Q272)</f>
        <v>136</v>
      </c>
      <c r="R273" s="42" t="e">
        <f aca="false">IF((RESET=1),0,R273+K273)</f>
        <v>#N/A</v>
      </c>
      <c r="S273" s="14" t="n">
        <f aca="false">IF(RESET=1,0,S273+N273)</f>
        <v>663.268700466839</v>
      </c>
      <c r="T273" s="2" t="e">
        <f aca="false">IF(RESET=1,0,T273+IF(H273=0,1,0))</f>
        <v>#N/A</v>
      </c>
      <c r="U273" s="2" t="n">
        <f aca="false">IF(RESET=1,0,U273+H273)</f>
        <v>46</v>
      </c>
      <c r="V273" s="14" t="e">
        <f aca="false">R273/(T273+0.00001)</f>
        <v>#N/A</v>
      </c>
      <c r="W273" s="14" t="n">
        <f aca="false">S273/(U273+0.0001)</f>
        <v>14.4188534474238</v>
      </c>
      <c r="X273" s="39" t="n">
        <f aca="false">IF(Informed=1,K273,0)</f>
        <v>0</v>
      </c>
      <c r="Y273" s="39" t="n">
        <f aca="false">IF(Informed=0,K273,0)</f>
        <v>8.10357450638571</v>
      </c>
      <c r="Z273" s="39" t="n">
        <f aca="false">IF(Informed=1,N273,0)</f>
        <v>0</v>
      </c>
      <c r="AA273" s="39" t="n">
        <f aca="false">IF(Informed=0,N273,0)</f>
        <v>0</v>
      </c>
      <c r="AB273" s="43" t="n">
        <f aca="false">IF(Arterial=0,IF(Informed=1,1,0),0)</f>
        <v>0</v>
      </c>
      <c r="AC273" s="43" t="n">
        <f aca="false">IF(Arterial=0,IF(Informed=0,1,0),0)</f>
        <v>1</v>
      </c>
      <c r="AD273" s="43" t="n">
        <f aca="false">IF(Arterial=1,IF(Informed=1,1,0),0)</f>
        <v>0</v>
      </c>
      <c r="AE273" s="43" t="n">
        <f aca="false">IF(Arterial=1,IF(Informed=0,1,0),0)</f>
        <v>0</v>
      </c>
      <c r="AF273" s="35" t="n">
        <f aca="false">IF(AB273=1,(X273-G$1030)^2,0)</f>
        <v>0</v>
      </c>
      <c r="AG273" s="35" t="n">
        <f aca="false">IF(AC273=1,(Y273-H$1030)^2,0)</f>
        <v>7.95358864245789</v>
      </c>
      <c r="AH273" s="35" t="n">
        <f aca="false">IF(AD273=1,(Z273-I$1030)^2,0)</f>
        <v>0</v>
      </c>
      <c r="AI273" s="35" t="n">
        <f aca="false">IF(AE273=1,(AA273-J$1030)^2,0)</f>
        <v>0</v>
      </c>
      <c r="AJ273" s="37" t="n">
        <f aca="true">IF(RAND()&lt;$D$6,1,0)</f>
        <v>0</v>
      </c>
      <c r="AK273" s="14" t="n">
        <f aca="false">AK272+IF((AJ273=1),IF((H273=0),1,0),0)</f>
        <v>0</v>
      </c>
      <c r="AL273" s="14" t="n">
        <f aca="false">AL272+IF((AJ273=1),IF((H273=1),1,0),0)</f>
        <v>0</v>
      </c>
      <c r="AM273" s="37" t="n">
        <f aca="false">IF(AK273=0,9999,IF($H273=0,IF($AJ273&lt;1,AM272+1,0),AM272))</f>
        <v>9999</v>
      </c>
      <c r="AN273" s="37" t="n">
        <f aca="false">IF(AL273=0,9999,IF($H273=1,IF($AJ273&lt;1,AN272+1,0),AN272))</f>
        <v>9999</v>
      </c>
      <c r="AO273" s="37" t="n">
        <f aca="false">IF($A273-AM273&gt;0,1/(1+AM273),0)</f>
        <v>0</v>
      </c>
      <c r="AP273" s="37" t="n">
        <f aca="false">IF($A273-AN273&gt;0,1/(1+AN273),0)</f>
        <v>0</v>
      </c>
      <c r="AQ273" s="7" t="n">
        <f aca="false">IF(AK273=0,0,MAX(MIN(1,AO273^Power),0))</f>
        <v>0</v>
      </c>
      <c r="AR273" s="7" t="n">
        <f aca="false">IF(AL273=0,0,MAX(MIN(1,AP273^Power),0))</f>
        <v>0</v>
      </c>
      <c r="AS273" s="7" t="n">
        <f aca="false">IF($AJ273=1,IF($H273=0,K273,AS272),AS272)</f>
        <v>0</v>
      </c>
      <c r="AT273" s="7" t="n">
        <f aca="false">IF($AJ273=1,IF($H273=1,N273,AT272),AT272)</f>
        <v>0</v>
      </c>
    </row>
    <row r="274" customFormat="false" ht="13" hidden="false" customHeight="false" outlineLevel="0" collapsed="false">
      <c r="A274" s="16" t="n">
        <v>257</v>
      </c>
      <c r="B274" s="37" t="n">
        <f aca="true">IF(RAND()&lt;$D$8,1,0)</f>
        <v>0</v>
      </c>
      <c r="C274" s="20" t="n">
        <f aca="true">-LN(RAND())/$D$2</f>
        <v>0.17979282481703</v>
      </c>
      <c r="D274" s="38" t="n">
        <f aca="false">D273+C274</f>
        <v>284.147844889642</v>
      </c>
      <c r="E274" s="39" t="n">
        <f aca="false">MAX($E$3,AS273)</f>
        <v>0</v>
      </c>
      <c r="F274" s="39" t="n">
        <f aca="false">MAX($E$3,AT273)</f>
        <v>0</v>
      </c>
      <c r="G274" s="40" t="n">
        <v>0.5</v>
      </c>
      <c r="H274" s="38" t="n">
        <f aca="true">IF((B274=1),(IF((F274&lt;E274),1,(IF((F274=E274),(IF(RAND()&lt;G274,1,0)),0)))),(IF((RAND()&lt;G274),1,0)))</f>
        <v>0</v>
      </c>
      <c r="I274" s="38" t="n">
        <f aca="true">IF((H274=1),0,$D$3+$D$5*(RAND()-0.5))</f>
        <v>2.23691515469074</v>
      </c>
      <c r="J274" s="38" t="n">
        <f aca="false">I274+MAX(D274,J273)</f>
        <v>294.308541725901</v>
      </c>
      <c r="K274" s="38" t="n">
        <f aca="false">IF((H274=0),J274-D274,0)</f>
        <v>10.1606968362594</v>
      </c>
      <c r="L274" s="38" t="n">
        <f aca="true">IF(($H274=0),0,$D$4+$D$5*(RAND()-0.5))</f>
        <v>0</v>
      </c>
      <c r="M274" s="38" t="n">
        <f aca="false">L274+MAX(D274,M273)</f>
        <v>297.336076375356</v>
      </c>
      <c r="N274" s="38" t="n">
        <f aca="false">IF((H274=1),M274-D274,0)</f>
        <v>0</v>
      </c>
      <c r="O274" s="16" t="n">
        <v>257</v>
      </c>
      <c r="P274" s="41" t="n">
        <f aca="false">IF((Arterial=0),P273+1,P273)</f>
        <v>121</v>
      </c>
      <c r="Q274" s="41" t="n">
        <f aca="false">IF((Arterial=1),Q273+1,Q273)</f>
        <v>136</v>
      </c>
      <c r="R274" s="42" t="e">
        <f aca="false">IF((RESET=1),0,R274+K274)</f>
        <v>#N/A</v>
      </c>
      <c r="S274" s="14" t="n">
        <f aca="false">IF(RESET=1,0,S274+N274)</f>
        <v>680.882144523592</v>
      </c>
      <c r="T274" s="2" t="e">
        <f aca="false">IF(RESET=1,0,T274+IF(H274=0,1,0))</f>
        <v>#N/A</v>
      </c>
      <c r="U274" s="2" t="n">
        <f aca="false">IF(RESET=1,0,U274+H274)</f>
        <v>43</v>
      </c>
      <c r="V274" s="14" t="e">
        <f aca="false">R274/(T274+0.00001)</f>
        <v>#N/A</v>
      </c>
      <c r="W274" s="14" t="n">
        <f aca="false">S274/(U274+0.0001)</f>
        <v>15.8344316530332</v>
      </c>
      <c r="X274" s="39" t="n">
        <f aca="false">IF(Informed=1,K274,0)</f>
        <v>0</v>
      </c>
      <c r="Y274" s="39" t="n">
        <f aca="false">IF(Informed=0,K274,0)</f>
        <v>10.1606968362594</v>
      </c>
      <c r="Z274" s="39" t="n">
        <f aca="false">IF(Informed=1,N274,0)</f>
        <v>0</v>
      </c>
      <c r="AA274" s="39" t="n">
        <f aca="false">IF(Informed=0,N274,0)</f>
        <v>0</v>
      </c>
      <c r="AB274" s="43" t="n">
        <f aca="false">IF(Arterial=0,IF(Informed=1,1,0),0)</f>
        <v>0</v>
      </c>
      <c r="AC274" s="43" t="n">
        <f aca="false">IF(Arterial=0,IF(Informed=0,1,0),0)</f>
        <v>1</v>
      </c>
      <c r="AD274" s="43" t="n">
        <f aca="false">IF(Arterial=1,IF(Informed=1,1,0),0)</f>
        <v>0</v>
      </c>
      <c r="AE274" s="43" t="n">
        <f aca="false">IF(Arterial=1,IF(Informed=0,1,0),0)</f>
        <v>0</v>
      </c>
      <c r="AF274" s="35" t="n">
        <f aca="false">IF(AB274=1,(X274-G$1030)^2,0)</f>
        <v>0</v>
      </c>
      <c r="AG274" s="35" t="n">
        <f aca="false">IF(AC274=1,(Y274-H$1030)^2,0)</f>
        <v>0.58230392828376</v>
      </c>
      <c r="AH274" s="35" t="n">
        <f aca="false">IF(AD274=1,(Z274-I$1030)^2,0)</f>
        <v>0</v>
      </c>
      <c r="AI274" s="35" t="n">
        <f aca="false">IF(AE274=1,(AA274-J$1030)^2,0)</f>
        <v>0</v>
      </c>
      <c r="AJ274" s="37" t="n">
        <f aca="true">IF(RAND()&lt;$D$6,1,0)</f>
        <v>0</v>
      </c>
      <c r="AK274" s="14" t="n">
        <f aca="false">AK273+IF((AJ274=1),IF((H274=0),1,0),0)</f>
        <v>0</v>
      </c>
      <c r="AL274" s="14" t="n">
        <f aca="false">AL273+IF((AJ274=1),IF((H274=1),1,0),0)</f>
        <v>0</v>
      </c>
      <c r="AM274" s="37" t="n">
        <f aca="false">IF(AK274=0,9999,IF($H274=0,IF($AJ274&lt;1,AM273+1,0),AM273))</f>
        <v>9999</v>
      </c>
      <c r="AN274" s="37" t="n">
        <f aca="false">IF(AL274=0,9999,IF($H274=1,IF($AJ274&lt;1,AN273+1,0),AN273))</f>
        <v>9999</v>
      </c>
      <c r="AO274" s="37" t="n">
        <f aca="false">IF($A274-AM274&gt;0,1/(1+AM274),0)</f>
        <v>0</v>
      </c>
      <c r="AP274" s="37" t="n">
        <f aca="false">IF($A274-AN274&gt;0,1/(1+AN274),0)</f>
        <v>0</v>
      </c>
      <c r="AQ274" s="7" t="n">
        <f aca="false">IF(AK274=0,0,MAX(MIN(1,AO274^Power),0))</f>
        <v>0</v>
      </c>
      <c r="AR274" s="7" t="n">
        <f aca="false">IF(AL274=0,0,MAX(MIN(1,AP274^Power),0))</f>
        <v>0</v>
      </c>
      <c r="AS274" s="7" t="n">
        <f aca="false">IF($AJ274=1,IF($H274=0,K274,AS273),AS273)</f>
        <v>0</v>
      </c>
      <c r="AT274" s="7" t="n">
        <f aca="false">IF($AJ274=1,IF($H274=1,N274,AT273),AT273)</f>
        <v>0</v>
      </c>
    </row>
    <row r="275" customFormat="false" ht="13" hidden="false" customHeight="false" outlineLevel="0" collapsed="false">
      <c r="A275" s="16" t="n">
        <v>258</v>
      </c>
      <c r="B275" s="37" t="n">
        <f aca="true">IF(RAND()&lt;$D$8,1,0)</f>
        <v>0</v>
      </c>
      <c r="C275" s="20" t="n">
        <f aca="true">-LN(RAND())/$D$2</f>
        <v>0.0302314095739423</v>
      </c>
      <c r="D275" s="38" t="n">
        <f aca="false">D274+C275</f>
        <v>284.178076299216</v>
      </c>
      <c r="E275" s="39" t="n">
        <f aca="false">MAX($E$3,AS274)</f>
        <v>0</v>
      </c>
      <c r="F275" s="39" t="n">
        <f aca="false">MAX($E$3,AT274)</f>
        <v>0</v>
      </c>
      <c r="G275" s="40" t="n">
        <v>0.5</v>
      </c>
      <c r="H275" s="38" t="n">
        <f aca="true">IF((B275=1),(IF((F275&lt;E275),1,(IF((F275=E275),(IF(RAND()&lt;G275,1,0)),0)))),(IF((RAND()&lt;G275),1,0)))</f>
        <v>1</v>
      </c>
      <c r="I275" s="38" t="n">
        <f aca="true">IF((H275=1),0,$D$3+$D$5*(RAND()-0.5))</f>
        <v>0</v>
      </c>
      <c r="J275" s="38" t="n">
        <f aca="false">I275+MAX(D275,J274)</f>
        <v>294.308541725901</v>
      </c>
      <c r="K275" s="38" t="n">
        <f aca="false">IF((H275=0),J275-D275,0)</f>
        <v>0</v>
      </c>
      <c r="L275" s="38" t="n">
        <f aca="true">IF(($H275=0),0,$D$4+$D$5*(RAND()-0.5))</f>
        <v>1.9490789167519</v>
      </c>
      <c r="M275" s="38" t="n">
        <f aca="false">L275+MAX(D275,M274)</f>
        <v>299.285155292107</v>
      </c>
      <c r="N275" s="38" t="n">
        <f aca="false">IF((H275=1),M275-D275,0)</f>
        <v>15.1070789928916</v>
      </c>
      <c r="O275" s="16" t="n">
        <v>258</v>
      </c>
      <c r="P275" s="41" t="n">
        <f aca="false">IF((Arterial=0),P274+1,P274)</f>
        <v>121</v>
      </c>
      <c r="Q275" s="41" t="n">
        <f aca="false">IF((Arterial=1),Q274+1,Q274)</f>
        <v>137</v>
      </c>
      <c r="R275" s="42" t="n">
        <f aca="false">IF((RESET=1),0,R275+K275)</f>
        <v>773.325104812565</v>
      </c>
      <c r="S275" s="14" t="e">
        <f aca="false">IF(RESET=1,0,S275+N275)</f>
        <v>#N/A</v>
      </c>
      <c r="T275" s="2" t="n">
        <f aca="false">IF(RESET=1,0,T275+IF(H275=0,1,0))</f>
        <v>46</v>
      </c>
      <c r="U275" s="2" t="e">
        <f aca="false">IF(RESET=1,0,U275+H275)</f>
        <v>#N/A</v>
      </c>
      <c r="V275" s="14" t="n">
        <f aca="false">R275/(T275+0.00001)</f>
        <v>16.8114116673576</v>
      </c>
      <c r="W275" s="14" t="e">
        <f aca="false">S275/(U275+0.0001)</f>
        <v>#N/A</v>
      </c>
      <c r="X275" s="39" t="n">
        <f aca="false">IF(Informed=1,K275,0)</f>
        <v>0</v>
      </c>
      <c r="Y275" s="39" t="n">
        <f aca="false">IF(Informed=0,K275,0)</f>
        <v>0</v>
      </c>
      <c r="Z275" s="39" t="n">
        <f aca="false">IF(Informed=1,N275,0)</f>
        <v>0</v>
      </c>
      <c r="AA275" s="39" t="n">
        <f aca="false">IF(Informed=0,N275,0)</f>
        <v>15.1070789928916</v>
      </c>
      <c r="AB275" s="43" t="n">
        <f aca="false">IF(Arterial=0,IF(Informed=1,1,0),0)</f>
        <v>0</v>
      </c>
      <c r="AC275" s="43" t="n">
        <f aca="false">IF(Arterial=0,IF(Informed=0,1,0),0)</f>
        <v>0</v>
      </c>
      <c r="AD275" s="43" t="n">
        <f aca="false">IF(Arterial=1,IF(Informed=1,1,0),0)</f>
        <v>0</v>
      </c>
      <c r="AE275" s="43" t="n">
        <f aca="false">IF(Arterial=1,IF(Informed=0,1,0),0)</f>
        <v>1</v>
      </c>
      <c r="AF275" s="35" t="n">
        <f aca="false">IF(AB275=1,(X275-G$1030)^2,0)</f>
        <v>0</v>
      </c>
      <c r="AG275" s="35" t="n">
        <f aca="false">IF(AC275=1,(Y275-H$1030)^2,0)</f>
        <v>0</v>
      </c>
      <c r="AH275" s="35" t="n">
        <f aca="false">IF(AD275=1,(Z275-I$1030)^2,0)</f>
        <v>0</v>
      </c>
      <c r="AI275" s="35" t="n">
        <f aca="false">IF(AE275=1,(AA275-J$1030)^2,0)</f>
        <v>209.01051610504</v>
      </c>
      <c r="AJ275" s="37" t="n">
        <f aca="true">IF(RAND()&lt;$D$6,1,0)</f>
        <v>0</v>
      </c>
      <c r="AK275" s="14" t="n">
        <f aca="false">AK274+IF((AJ275=1),IF((H275=0),1,0),0)</f>
        <v>0</v>
      </c>
      <c r="AL275" s="14" t="n">
        <f aca="false">AL274+IF((AJ275=1),IF((H275=1),1,0),0)</f>
        <v>0</v>
      </c>
      <c r="AM275" s="37" t="n">
        <f aca="false">IF(AK275=0,9999,IF($H275=0,IF($AJ275&lt;1,AM274+1,0),AM274))</f>
        <v>9999</v>
      </c>
      <c r="AN275" s="37" t="n">
        <f aca="false">IF(AL275=0,9999,IF($H275=1,IF($AJ275&lt;1,AN274+1,0),AN274))</f>
        <v>9999</v>
      </c>
      <c r="AO275" s="37" t="n">
        <f aca="false">IF($A275-AM275&gt;0,1/(1+AM275),0)</f>
        <v>0</v>
      </c>
      <c r="AP275" s="37" t="n">
        <f aca="false">IF($A275-AN275&gt;0,1/(1+AN275),0)</f>
        <v>0</v>
      </c>
      <c r="AQ275" s="7" t="n">
        <f aca="false">IF(AK275=0,0,MAX(MIN(1,AO275^Power),0))</f>
        <v>0</v>
      </c>
      <c r="AR275" s="7" t="n">
        <f aca="false">IF(AL275=0,0,MAX(MIN(1,AP275^Power),0))</f>
        <v>0</v>
      </c>
      <c r="AS275" s="7" t="n">
        <f aca="false">IF($AJ275=1,IF($H275=0,K275,AS274),AS274)</f>
        <v>0</v>
      </c>
      <c r="AT275" s="7" t="n">
        <f aca="false">IF($AJ275=1,IF($H275=1,N275,AT274),AT274)</f>
        <v>0</v>
      </c>
    </row>
    <row r="276" customFormat="false" ht="13" hidden="false" customHeight="false" outlineLevel="0" collapsed="false">
      <c r="A276" s="16" t="n">
        <v>259</v>
      </c>
      <c r="B276" s="37" t="n">
        <f aca="true">IF(RAND()&lt;$D$8,1,0)</f>
        <v>1</v>
      </c>
      <c r="C276" s="20" t="n">
        <f aca="true">-LN(RAND())/$D$2</f>
        <v>0.157857166200501</v>
      </c>
      <c r="D276" s="38" t="n">
        <f aca="false">D275+C276</f>
        <v>284.335933465416</v>
      </c>
      <c r="E276" s="39" t="n">
        <f aca="false">MAX($E$3,AS275)</f>
        <v>0</v>
      </c>
      <c r="F276" s="39" t="n">
        <f aca="false">MAX($E$3,AT275)</f>
        <v>0</v>
      </c>
      <c r="G276" s="40" t="n">
        <v>0.5</v>
      </c>
      <c r="H276" s="38" t="n">
        <f aca="true">IF((B276=1),(IF((F276&lt;E276),1,(IF((F276=E276),(IF(RAND()&lt;G276,1,0)),0)))),(IF((RAND()&lt;G276),1,0)))</f>
        <v>1</v>
      </c>
      <c r="I276" s="38" t="n">
        <f aca="true">IF((H276=1),0,$D$3+$D$5*(RAND()-0.5))</f>
        <v>0</v>
      </c>
      <c r="J276" s="38" t="n">
        <f aca="false">I276+MAX(D276,J275)</f>
        <v>294.308541725901</v>
      </c>
      <c r="K276" s="38" t="n">
        <f aca="false">IF((H276=0),J276-D276,0)</f>
        <v>0</v>
      </c>
      <c r="L276" s="38" t="n">
        <f aca="true">IF(($H276=0),0,$D$4+$D$5*(RAND()-0.5))</f>
        <v>1.85805867786465</v>
      </c>
      <c r="M276" s="38" t="n">
        <f aca="false">L276+MAX(D276,M275)</f>
        <v>301.143213969972</v>
      </c>
      <c r="N276" s="38" t="n">
        <f aca="false">IF((H276=1),M276-D276,0)</f>
        <v>16.8072805045557</v>
      </c>
      <c r="O276" s="16" t="n">
        <v>259</v>
      </c>
      <c r="P276" s="41" t="n">
        <f aca="false">IF((Arterial=0),P275+1,P275)</f>
        <v>121</v>
      </c>
      <c r="Q276" s="41" t="n">
        <f aca="false">IF((Arterial=1),Q275+1,Q275)</f>
        <v>138</v>
      </c>
      <c r="R276" s="42" t="n">
        <f aca="false">IF((RESET=1),0,R276+K276)</f>
        <v>775.065689227545</v>
      </c>
      <c r="S276" s="14" t="e">
        <f aca="false">IF(RESET=1,0,S276+N276)</f>
        <v>#N/A</v>
      </c>
      <c r="T276" s="2" t="n">
        <f aca="false">IF(RESET=1,0,T276+IF(H276=0,1,0))</f>
        <v>46</v>
      </c>
      <c r="U276" s="2" t="e">
        <f aca="false">IF(RESET=1,0,U276+H276)</f>
        <v>#N/A</v>
      </c>
      <c r="V276" s="14" t="n">
        <f aca="false">R276/(T276+0.00001)</f>
        <v>16.8492504507617</v>
      </c>
      <c r="W276" s="14" t="e">
        <f aca="false">S276/(U276+0.0001)</f>
        <v>#N/A</v>
      </c>
      <c r="X276" s="39" t="n">
        <f aca="false">IF(Informed=1,K276,0)</f>
        <v>0</v>
      </c>
      <c r="Y276" s="39" t="n">
        <f aca="false">IF(Informed=0,K276,0)</f>
        <v>0</v>
      </c>
      <c r="Z276" s="39" t="n">
        <f aca="false">IF(Informed=1,N276,0)</f>
        <v>16.8072805045557</v>
      </c>
      <c r="AA276" s="39" t="n">
        <f aca="false">IF(Informed=0,N276,0)</f>
        <v>0</v>
      </c>
      <c r="AB276" s="43" t="n">
        <f aca="false">IF(Arterial=0,IF(Informed=1,1,0),0)</f>
        <v>0</v>
      </c>
      <c r="AC276" s="43" t="n">
        <f aca="false">IF(Arterial=0,IF(Informed=0,1,0),0)</f>
        <v>0</v>
      </c>
      <c r="AD276" s="43" t="n">
        <f aca="false">IF(Arterial=1,IF(Informed=1,1,0),0)</f>
        <v>1</v>
      </c>
      <c r="AE276" s="43" t="n">
        <f aca="false">IF(Arterial=1,IF(Informed=0,1,0),0)</f>
        <v>0</v>
      </c>
      <c r="AF276" s="35" t="n">
        <f aca="false">IF(AB276=1,(X276-G$1030)^2,0)</f>
        <v>0</v>
      </c>
      <c r="AG276" s="35" t="n">
        <f aca="false">IF(AC276=1,(Y276-H$1030)^2,0)</f>
        <v>0</v>
      </c>
      <c r="AH276" s="35" t="n">
        <f aca="false">IF(AD276=1,(Z276-I$1030)^2,0)</f>
        <v>133.808312221567</v>
      </c>
      <c r="AI276" s="35" t="n">
        <f aca="false">IF(AE276=1,(AA276-J$1030)^2,0)</f>
        <v>0</v>
      </c>
      <c r="AJ276" s="37" t="n">
        <f aca="true">IF(RAND()&lt;$D$6,1,0)</f>
        <v>0</v>
      </c>
      <c r="AK276" s="14" t="n">
        <f aca="false">AK275+IF((AJ276=1),IF((H276=0),1,0),0)</f>
        <v>0</v>
      </c>
      <c r="AL276" s="14" t="n">
        <f aca="false">AL275+IF((AJ276=1),IF((H276=1),1,0),0)</f>
        <v>0</v>
      </c>
      <c r="AM276" s="37" t="n">
        <f aca="false">IF(AK276=0,9999,IF($H276=0,IF($AJ276&lt;1,AM275+1,0),AM275))</f>
        <v>9999</v>
      </c>
      <c r="AN276" s="37" t="n">
        <f aca="false">IF(AL276=0,9999,IF($H276=1,IF($AJ276&lt;1,AN275+1,0),AN275))</f>
        <v>9999</v>
      </c>
      <c r="AO276" s="37" t="n">
        <f aca="false">IF($A276-AM276&gt;0,1/(1+AM276),0)</f>
        <v>0</v>
      </c>
      <c r="AP276" s="37" t="n">
        <f aca="false">IF($A276-AN276&gt;0,1/(1+AN276),0)</f>
        <v>0</v>
      </c>
      <c r="AQ276" s="7" t="n">
        <f aca="false">IF(AK276=0,0,MAX(MIN(1,AO276^Power),0))</f>
        <v>0</v>
      </c>
      <c r="AR276" s="7" t="n">
        <f aca="false">IF(AL276=0,0,MAX(MIN(1,AP276^Power),0))</f>
        <v>0</v>
      </c>
      <c r="AS276" s="7" t="n">
        <f aca="false">IF($AJ276=1,IF($H276=0,K276,AS275),AS275)</f>
        <v>0</v>
      </c>
      <c r="AT276" s="7" t="n">
        <f aca="false">IF($AJ276=1,IF($H276=1,N276,AT275),AT275)</f>
        <v>0</v>
      </c>
    </row>
    <row r="277" customFormat="false" ht="13" hidden="false" customHeight="false" outlineLevel="0" collapsed="false">
      <c r="A277" s="16" t="n">
        <v>260</v>
      </c>
      <c r="B277" s="37" t="n">
        <f aca="true">IF(RAND()&lt;$D$8,1,0)</f>
        <v>0</v>
      </c>
      <c r="C277" s="20" t="n">
        <f aca="true">-LN(RAND())/$D$2</f>
        <v>0.511222015629659</v>
      </c>
      <c r="D277" s="38" t="n">
        <f aca="false">D276+C277</f>
        <v>284.847155481046</v>
      </c>
      <c r="E277" s="39" t="n">
        <f aca="false">MAX($E$3,AS276)</f>
        <v>0</v>
      </c>
      <c r="F277" s="39" t="n">
        <f aca="false">MAX($E$3,AT276)</f>
        <v>0</v>
      </c>
      <c r="G277" s="40" t="n">
        <v>0.5</v>
      </c>
      <c r="H277" s="38" t="n">
        <f aca="true">IF((B277=1),(IF((F277&lt;E277),1,(IF((F277=E277),(IF(RAND()&lt;G277,1,0)),0)))),(IF((RAND()&lt;G277),1,0)))</f>
        <v>0</v>
      </c>
      <c r="I277" s="38" t="n">
        <f aca="true">IF((H277=1),0,$D$3+$D$5*(RAND()-0.5))</f>
        <v>1.85060085354939</v>
      </c>
      <c r="J277" s="38" t="n">
        <f aca="false">I277+MAX(D277,J276)</f>
        <v>296.159142579451</v>
      </c>
      <c r="K277" s="38" t="n">
        <f aca="false">IF((H277=0),J277-D277,0)</f>
        <v>11.3119870984047</v>
      </c>
      <c r="L277" s="38" t="n">
        <f aca="true">IF(($H277=0),0,$D$4+$D$5*(RAND()-0.5))</f>
        <v>0</v>
      </c>
      <c r="M277" s="38" t="n">
        <f aca="false">L277+MAX(D277,M276)</f>
        <v>301.143213969972</v>
      </c>
      <c r="N277" s="38" t="n">
        <f aca="false">IF((H277=1),M277-D277,0)</f>
        <v>0</v>
      </c>
      <c r="O277" s="16" t="n">
        <v>260</v>
      </c>
      <c r="P277" s="41" t="n">
        <f aca="false">IF((Arterial=0),P276+1,P276)</f>
        <v>122</v>
      </c>
      <c r="Q277" s="41" t="n">
        <f aca="false">IF((Arterial=1),Q276+1,Q276)</f>
        <v>138</v>
      </c>
      <c r="R277" s="42" t="e">
        <f aca="false">IF((RESET=1),0,R277+K277)</f>
        <v>#N/A</v>
      </c>
      <c r="S277" s="14" t="n">
        <f aca="false">IF(RESET=1,0,S277+N277)</f>
        <v>629.406875857696</v>
      </c>
      <c r="T277" s="2" t="e">
        <f aca="false">IF(RESET=1,0,T277+IF(H277=0,1,0))</f>
        <v>#N/A</v>
      </c>
      <c r="U277" s="2" t="n">
        <f aca="false">IF(RESET=1,0,U277+H277)</f>
        <v>42</v>
      </c>
      <c r="V277" s="14" t="e">
        <f aca="false">R277/(T277+0.00001)</f>
        <v>#N/A</v>
      </c>
      <c r="W277" s="14" t="n">
        <f aca="false">S277/(U277+0.0001)</f>
        <v>14.9858423160349</v>
      </c>
      <c r="X277" s="39" t="n">
        <f aca="false">IF(Informed=1,K277,0)</f>
        <v>0</v>
      </c>
      <c r="Y277" s="39" t="n">
        <f aca="false">IF(Informed=0,K277,0)</f>
        <v>11.3119870984047</v>
      </c>
      <c r="Z277" s="39" t="n">
        <f aca="false">IF(Informed=1,N277,0)</f>
        <v>0</v>
      </c>
      <c r="AA277" s="39" t="n">
        <f aca="false">IF(Informed=0,N277,0)</f>
        <v>0</v>
      </c>
      <c r="AB277" s="43" t="n">
        <f aca="false">IF(Arterial=0,IF(Informed=1,1,0),0)</f>
        <v>0</v>
      </c>
      <c r="AC277" s="43" t="n">
        <f aca="false">IF(Arterial=0,IF(Informed=0,1,0),0)</f>
        <v>1</v>
      </c>
      <c r="AD277" s="43" t="n">
        <f aca="false">IF(Arterial=1,IF(Informed=1,1,0),0)</f>
        <v>0</v>
      </c>
      <c r="AE277" s="43" t="n">
        <f aca="false">IF(Arterial=1,IF(Informed=0,1,0),0)</f>
        <v>0</v>
      </c>
      <c r="AF277" s="35" t="n">
        <f aca="false">IF(AB277=1,(X277-G$1030)^2,0)</f>
        <v>0</v>
      </c>
      <c r="AG277" s="35" t="n">
        <f aca="false">IF(AC277=1,(Y277-H$1030)^2,0)</f>
        <v>0.150700674545907</v>
      </c>
      <c r="AH277" s="35" t="n">
        <f aca="false">IF(AD277=1,(Z277-I$1030)^2,0)</f>
        <v>0</v>
      </c>
      <c r="AI277" s="35" t="n">
        <f aca="false">IF(AE277=1,(AA277-J$1030)^2,0)</f>
        <v>0</v>
      </c>
      <c r="AJ277" s="37" t="n">
        <f aca="true">IF(RAND()&lt;$D$6,1,0)</f>
        <v>0</v>
      </c>
      <c r="AK277" s="14" t="n">
        <f aca="false">AK276+IF((AJ277=1),IF((H277=0),1,0),0)</f>
        <v>0</v>
      </c>
      <c r="AL277" s="14" t="n">
        <f aca="false">AL276+IF((AJ277=1),IF((H277=1),1,0),0)</f>
        <v>0</v>
      </c>
      <c r="AM277" s="37" t="n">
        <f aca="false">IF(AK277=0,9999,IF($H277=0,IF($AJ277&lt;1,AM276+1,0),AM276))</f>
        <v>9999</v>
      </c>
      <c r="AN277" s="37" t="n">
        <f aca="false">IF(AL277=0,9999,IF($H277=1,IF($AJ277&lt;1,AN276+1,0),AN276))</f>
        <v>9999</v>
      </c>
      <c r="AO277" s="37" t="n">
        <f aca="false">IF($A277-AM277&gt;0,1/(1+AM277),0)</f>
        <v>0</v>
      </c>
      <c r="AP277" s="37" t="n">
        <f aca="false">IF($A277-AN277&gt;0,1/(1+AN277),0)</f>
        <v>0</v>
      </c>
      <c r="AQ277" s="7" t="n">
        <f aca="false">IF(AK277=0,0,MAX(MIN(1,AO277^Power),0))</f>
        <v>0</v>
      </c>
      <c r="AR277" s="7" t="n">
        <f aca="false">IF(AL277=0,0,MAX(MIN(1,AP277^Power),0))</f>
        <v>0</v>
      </c>
      <c r="AS277" s="7" t="n">
        <f aca="false">IF($AJ277=1,IF($H277=0,K277,AS276),AS276)</f>
        <v>0</v>
      </c>
      <c r="AT277" s="7" t="n">
        <f aca="false">IF($AJ277=1,IF($H277=1,N277,AT276),AT276)</f>
        <v>0</v>
      </c>
    </row>
    <row r="278" customFormat="false" ht="13" hidden="false" customHeight="false" outlineLevel="0" collapsed="false">
      <c r="A278" s="16" t="n">
        <v>261</v>
      </c>
      <c r="B278" s="37" t="n">
        <f aca="true">IF(RAND()&lt;$D$8,1,0)</f>
        <v>0</v>
      </c>
      <c r="C278" s="20" t="n">
        <f aca="true">-LN(RAND())/$D$2</f>
        <v>1.09504020321373</v>
      </c>
      <c r="D278" s="38" t="n">
        <f aca="false">D277+C278</f>
        <v>285.94219568426</v>
      </c>
      <c r="E278" s="39" t="n">
        <f aca="false">MAX($E$3,AS277)</f>
        <v>0</v>
      </c>
      <c r="F278" s="39" t="n">
        <f aca="false">MAX($E$3,AT277)</f>
        <v>0</v>
      </c>
      <c r="G278" s="40" t="n">
        <v>0.5</v>
      </c>
      <c r="H278" s="38" t="n">
        <f aca="true">IF((B278=1),(IF((F278&lt;E278),1,(IF((F278=E278),(IF(RAND()&lt;G278,1,0)),0)))),(IF((RAND()&lt;G278),1,0)))</f>
        <v>0</v>
      </c>
      <c r="I278" s="38" t="n">
        <f aca="true">IF((H278=1),0,$D$3+$D$5*(RAND()-0.5))</f>
        <v>2.12772057453192</v>
      </c>
      <c r="J278" s="38" t="n">
        <f aca="false">I278+MAX(D278,J277)</f>
        <v>298.286863153983</v>
      </c>
      <c r="K278" s="38" t="n">
        <f aca="false">IF((H278=0),J278-D278,0)</f>
        <v>12.3446674697229</v>
      </c>
      <c r="L278" s="38" t="n">
        <f aca="true">IF(($H278=0),0,$D$4+$D$5*(RAND()-0.5))</f>
        <v>0</v>
      </c>
      <c r="M278" s="38" t="n">
        <f aca="false">L278+MAX(D278,M277)</f>
        <v>301.143213969972</v>
      </c>
      <c r="N278" s="38" t="n">
        <f aca="false">IF((H278=1),M278-D278,0)</f>
        <v>0</v>
      </c>
      <c r="O278" s="16" t="n">
        <v>261</v>
      </c>
      <c r="P278" s="41" t="n">
        <f aca="false">IF((Arterial=0),P277+1,P277)</f>
        <v>123</v>
      </c>
      <c r="Q278" s="41" t="n">
        <f aca="false">IF((Arterial=1),Q277+1,Q277)</f>
        <v>138</v>
      </c>
      <c r="R278" s="42" t="e">
        <f aca="false">IF((RESET=1),0,R278+K278)</f>
        <v>#N/A</v>
      </c>
      <c r="S278" s="14" t="n">
        <f aca="false">IF(RESET=1,0,S278+N278)</f>
        <v>642.767708764438</v>
      </c>
      <c r="T278" s="2" t="e">
        <f aca="false">IF(RESET=1,0,T278+IF(H278=0,1,0))</f>
        <v>#N/A</v>
      </c>
      <c r="U278" s="2" t="n">
        <f aca="false">IF(RESET=1,0,U278+H278)</f>
        <v>42</v>
      </c>
      <c r="V278" s="14" t="e">
        <f aca="false">R278/(T278+0.00001)</f>
        <v>#N/A</v>
      </c>
      <c r="W278" s="14" t="n">
        <f aca="false">S278/(U278+0.0001)</f>
        <v>15.303956627828</v>
      </c>
      <c r="X278" s="39" t="n">
        <f aca="false">IF(Informed=1,K278,0)</f>
        <v>0</v>
      </c>
      <c r="Y278" s="39" t="n">
        <f aca="false">IF(Informed=0,K278,0)</f>
        <v>12.3446674697229</v>
      </c>
      <c r="Z278" s="39" t="n">
        <f aca="false">IF(Informed=1,N278,0)</f>
        <v>0</v>
      </c>
      <c r="AA278" s="39" t="n">
        <f aca="false">IF(Informed=0,N278,0)</f>
        <v>0</v>
      </c>
      <c r="AB278" s="43" t="n">
        <f aca="false">IF(Arterial=0,IF(Informed=1,1,0),0)</f>
        <v>0</v>
      </c>
      <c r="AC278" s="43" t="n">
        <f aca="false">IF(Arterial=0,IF(Informed=0,1,0),0)</f>
        <v>1</v>
      </c>
      <c r="AD278" s="43" t="n">
        <f aca="false">IF(Arterial=1,IF(Informed=1,1,0),0)</f>
        <v>0</v>
      </c>
      <c r="AE278" s="43" t="n">
        <f aca="false">IF(Arterial=1,IF(Informed=0,1,0),0)</f>
        <v>0</v>
      </c>
      <c r="AF278" s="35" t="n">
        <f aca="false">IF(AB278=1,(X278-G$1030)^2,0)</f>
        <v>0</v>
      </c>
      <c r="AG278" s="35" t="n">
        <f aca="false">IF(AC278=1,(Y278-H$1030)^2,0)</f>
        <v>2.01890628027888</v>
      </c>
      <c r="AH278" s="35" t="n">
        <f aca="false">IF(AD278=1,(Z278-I$1030)^2,0)</f>
        <v>0</v>
      </c>
      <c r="AI278" s="35" t="n">
        <f aca="false">IF(AE278=1,(AA278-J$1030)^2,0)</f>
        <v>0</v>
      </c>
      <c r="AJ278" s="37" t="n">
        <f aca="true">IF(RAND()&lt;$D$6,1,0)</f>
        <v>0</v>
      </c>
      <c r="AK278" s="14" t="n">
        <f aca="false">AK277+IF((AJ278=1),IF((H278=0),1,0),0)</f>
        <v>0</v>
      </c>
      <c r="AL278" s="14" t="n">
        <f aca="false">AL277+IF((AJ278=1),IF((H278=1),1,0),0)</f>
        <v>0</v>
      </c>
      <c r="AM278" s="37" t="n">
        <f aca="false">IF(AK278=0,9999,IF($H278=0,IF($AJ278&lt;1,AM277+1,0),AM277))</f>
        <v>9999</v>
      </c>
      <c r="AN278" s="37" t="n">
        <f aca="false">IF(AL278=0,9999,IF($H278=1,IF($AJ278&lt;1,AN277+1,0),AN277))</f>
        <v>9999</v>
      </c>
      <c r="AO278" s="37" t="n">
        <f aca="false">IF($A278-AM278&gt;0,1/(1+AM278),0)</f>
        <v>0</v>
      </c>
      <c r="AP278" s="37" t="n">
        <f aca="false">IF($A278-AN278&gt;0,1/(1+AN278),0)</f>
        <v>0</v>
      </c>
      <c r="AQ278" s="7" t="n">
        <f aca="false">IF(AK278=0,0,MAX(MIN(1,AO278^Power),0))</f>
        <v>0</v>
      </c>
      <c r="AR278" s="7" t="n">
        <f aca="false">IF(AL278=0,0,MAX(MIN(1,AP278^Power),0))</f>
        <v>0</v>
      </c>
      <c r="AS278" s="7" t="n">
        <f aca="false">IF($AJ278=1,IF($H278=0,K278,AS277),AS277)</f>
        <v>0</v>
      </c>
      <c r="AT278" s="7" t="n">
        <f aca="false">IF($AJ278=1,IF($H278=1,N278,AT277),AT277)</f>
        <v>0</v>
      </c>
    </row>
    <row r="279" customFormat="false" ht="13" hidden="false" customHeight="false" outlineLevel="0" collapsed="false">
      <c r="A279" s="16" t="n">
        <v>262</v>
      </c>
      <c r="B279" s="37" t="n">
        <f aca="true">IF(RAND()&lt;$D$8,1,0)</f>
        <v>0</v>
      </c>
      <c r="C279" s="20" t="n">
        <f aca="true">-LN(RAND())/$D$2</f>
        <v>1.9628860492423</v>
      </c>
      <c r="D279" s="38" t="n">
        <f aca="false">D278+C279</f>
        <v>287.905081733502</v>
      </c>
      <c r="E279" s="39" t="n">
        <f aca="false">MAX($E$3,AS278)</f>
        <v>0</v>
      </c>
      <c r="F279" s="39" t="n">
        <f aca="false">MAX($E$3,AT278)</f>
        <v>0</v>
      </c>
      <c r="G279" s="40" t="n">
        <v>0.5</v>
      </c>
      <c r="H279" s="38" t="n">
        <f aca="true">IF((B279=1),(IF((F279&lt;E279),1,(IF((F279=E279),(IF(RAND()&lt;G279,1,0)),0)))),(IF((RAND()&lt;G279),1,0)))</f>
        <v>0</v>
      </c>
      <c r="I279" s="38" t="n">
        <f aca="true">IF((H279=1),0,$D$3+$D$5*(RAND()-0.5))</f>
        <v>2.12903678967523</v>
      </c>
      <c r="J279" s="38" t="n">
        <f aca="false">I279+MAX(D279,J278)</f>
        <v>300.415899943658</v>
      </c>
      <c r="K279" s="38" t="n">
        <f aca="false">IF((H279=0),J279-D279,0)</f>
        <v>12.5108182101558</v>
      </c>
      <c r="L279" s="38" t="n">
        <f aca="true">IF(($H279=0),0,$D$4+$D$5*(RAND()-0.5))</f>
        <v>0</v>
      </c>
      <c r="M279" s="38" t="n">
        <f aca="false">L279+MAX(D279,M278)</f>
        <v>301.143213969972</v>
      </c>
      <c r="N279" s="38" t="n">
        <f aca="false">IF((H279=1),M279-D279,0)</f>
        <v>0</v>
      </c>
      <c r="O279" s="16" t="n">
        <v>262</v>
      </c>
      <c r="P279" s="41" t="n">
        <f aca="false">IF((Arterial=0),P278+1,P278)</f>
        <v>124</v>
      </c>
      <c r="Q279" s="41" t="n">
        <f aca="false">IF((Arterial=1),Q278+1,Q278)</f>
        <v>138</v>
      </c>
      <c r="R279" s="42" t="e">
        <f aca="false">IF((RESET=1),0,R279+K279)</f>
        <v>#N/A</v>
      </c>
      <c r="S279" s="14" t="n">
        <f aca="false">IF(RESET=1,0,S279+N279)</f>
        <v>585.033671509265</v>
      </c>
      <c r="T279" s="2" t="e">
        <f aca="false">IF(RESET=1,0,T279+IF(H279=0,1,0))</f>
        <v>#N/A</v>
      </c>
      <c r="U279" s="2" t="n">
        <f aca="false">IF(RESET=1,0,U279+H279)</f>
        <v>40</v>
      </c>
      <c r="V279" s="14" t="e">
        <f aca="false">R279/(T279+0.00001)</f>
        <v>#N/A</v>
      </c>
      <c r="W279" s="14" t="n">
        <f aca="false">S279/(U279+0.0001)</f>
        <v>14.6258052232186</v>
      </c>
      <c r="X279" s="39" t="n">
        <f aca="false">IF(Informed=1,K279,0)</f>
        <v>0</v>
      </c>
      <c r="Y279" s="39" t="n">
        <f aca="false">IF(Informed=0,K279,0)</f>
        <v>12.5108182101558</v>
      </c>
      <c r="Z279" s="39" t="n">
        <f aca="false">IF(Informed=1,N279,0)</f>
        <v>0</v>
      </c>
      <c r="AA279" s="39" t="n">
        <f aca="false">IF(Informed=0,N279,0)</f>
        <v>0</v>
      </c>
      <c r="AB279" s="43" t="n">
        <f aca="false">IF(Arterial=0,IF(Informed=1,1,0),0)</f>
        <v>0</v>
      </c>
      <c r="AC279" s="43" t="n">
        <f aca="false">IF(Arterial=0,IF(Informed=0,1,0),0)</f>
        <v>1</v>
      </c>
      <c r="AD279" s="43" t="n">
        <f aca="false">IF(Arterial=1,IF(Informed=1,1,0),0)</f>
        <v>0</v>
      </c>
      <c r="AE279" s="43" t="n">
        <f aca="false">IF(Arterial=1,IF(Informed=0,1,0),0)</f>
        <v>0</v>
      </c>
      <c r="AF279" s="35" t="n">
        <f aca="false">IF(AB279=1,(X279-G$1030)^2,0)</f>
        <v>0</v>
      </c>
      <c r="AG279" s="35" t="n">
        <f aca="false">IF(AC279=1,(Y279-H$1030)^2,0)</f>
        <v>2.51867361433604</v>
      </c>
      <c r="AH279" s="35" t="n">
        <f aca="false">IF(AD279=1,(Z279-I$1030)^2,0)</f>
        <v>0</v>
      </c>
      <c r="AI279" s="35" t="n">
        <f aca="false">IF(AE279=1,(AA279-J$1030)^2,0)</f>
        <v>0</v>
      </c>
      <c r="AJ279" s="37" t="n">
        <f aca="true">IF(RAND()&lt;$D$6,1,0)</f>
        <v>0</v>
      </c>
      <c r="AK279" s="14" t="n">
        <f aca="false">AK278+IF((AJ279=1),IF((H279=0),1,0),0)</f>
        <v>0</v>
      </c>
      <c r="AL279" s="14" t="n">
        <f aca="false">AL278+IF((AJ279=1),IF((H279=1),1,0),0)</f>
        <v>0</v>
      </c>
      <c r="AM279" s="37" t="n">
        <f aca="false">IF(AK279=0,9999,IF($H279=0,IF($AJ279&lt;1,AM278+1,0),AM278))</f>
        <v>9999</v>
      </c>
      <c r="AN279" s="37" t="n">
        <f aca="false">IF(AL279=0,9999,IF($H279=1,IF($AJ279&lt;1,AN278+1,0),AN278))</f>
        <v>9999</v>
      </c>
      <c r="AO279" s="37" t="n">
        <f aca="false">IF($A279-AM279&gt;0,1/(1+AM279),0)</f>
        <v>0</v>
      </c>
      <c r="AP279" s="37" t="n">
        <f aca="false">IF($A279-AN279&gt;0,1/(1+AN279),0)</f>
        <v>0</v>
      </c>
      <c r="AQ279" s="7" t="n">
        <f aca="false">IF(AK279=0,0,MAX(MIN(1,AO279^Power),0))</f>
        <v>0</v>
      </c>
      <c r="AR279" s="7" t="n">
        <f aca="false">IF(AL279=0,0,MAX(MIN(1,AP279^Power),0))</f>
        <v>0</v>
      </c>
      <c r="AS279" s="7" t="n">
        <f aca="false">IF($AJ279=1,IF($H279=0,K279,AS278),AS278)</f>
        <v>0</v>
      </c>
      <c r="AT279" s="7" t="n">
        <f aca="false">IF($AJ279=1,IF($H279=1,N279,AT278),AT278)</f>
        <v>0</v>
      </c>
    </row>
    <row r="280" customFormat="false" ht="13" hidden="false" customHeight="false" outlineLevel="0" collapsed="false">
      <c r="A280" s="16" t="n">
        <v>263</v>
      </c>
      <c r="B280" s="37" t="n">
        <f aca="true">IF(RAND()&lt;$D$8,1,0)</f>
        <v>1</v>
      </c>
      <c r="C280" s="20" t="n">
        <f aca="true">-LN(RAND())/$D$2</f>
        <v>1.70990058729231</v>
      </c>
      <c r="D280" s="38" t="n">
        <f aca="false">D279+C280</f>
        <v>289.614982320794</v>
      </c>
      <c r="E280" s="39" t="n">
        <f aca="false">MAX($E$3,AS279)</f>
        <v>0</v>
      </c>
      <c r="F280" s="39" t="n">
        <f aca="false">MAX($E$3,AT279)</f>
        <v>0</v>
      </c>
      <c r="G280" s="40" t="n">
        <v>0.5</v>
      </c>
      <c r="H280" s="38" t="n">
        <f aca="true">IF((B280=1),(IF((F280&lt;E280),1,(IF((F280=E280),(IF(RAND()&lt;G280,1,0)),0)))),(IF((RAND()&lt;G280),1,0)))</f>
        <v>0</v>
      </c>
      <c r="I280" s="38" t="n">
        <f aca="true">IF((H280=1),0,$D$3+$D$5*(RAND()-0.5))</f>
        <v>2.1897240357985</v>
      </c>
      <c r="J280" s="38" t="n">
        <f aca="false">I280+MAX(D280,J279)</f>
        <v>302.605623979456</v>
      </c>
      <c r="K280" s="38" t="n">
        <f aca="false">IF((H280=0),J280-D280,0)</f>
        <v>12.9906416586621</v>
      </c>
      <c r="L280" s="38" t="n">
        <f aca="true">IF(($H280=0),0,$D$4+$D$5*(RAND()-0.5))</f>
        <v>0</v>
      </c>
      <c r="M280" s="38" t="n">
        <f aca="false">L280+MAX(D280,M279)</f>
        <v>301.143213969972</v>
      </c>
      <c r="N280" s="38" t="n">
        <f aca="false">IF((H280=1),M280-D280,0)</f>
        <v>0</v>
      </c>
      <c r="O280" s="16" t="n">
        <v>263</v>
      </c>
      <c r="P280" s="41" t="n">
        <f aca="false">IF((Arterial=0),P279+1,P279)</f>
        <v>125</v>
      </c>
      <c r="Q280" s="41" t="n">
        <f aca="false">IF((Arterial=1),Q279+1,Q279)</f>
        <v>138</v>
      </c>
      <c r="R280" s="42" t="e">
        <f aca="false">IF((RESET=1),0,R280+K280)</f>
        <v>#N/A</v>
      </c>
      <c r="S280" s="14" t="n">
        <f aca="false">IF(RESET=1,0,S280+N280)</f>
        <v>448.073236537063</v>
      </c>
      <c r="T280" s="2" t="e">
        <f aca="false">IF(RESET=1,0,T280+IF(H280=0,1,0))</f>
        <v>#N/A</v>
      </c>
      <c r="U280" s="2" t="n">
        <f aca="false">IF(RESET=1,0,U280+H280)</f>
        <v>36</v>
      </c>
      <c r="V280" s="14" t="e">
        <f aca="false">R280/(T280+0.00001)</f>
        <v>#N/A</v>
      </c>
      <c r="W280" s="14" t="n">
        <f aca="false">S280/(U280+0.0001)</f>
        <v>12.44644421924</v>
      </c>
      <c r="X280" s="39" t="n">
        <f aca="false">IF(Informed=1,K280,0)</f>
        <v>12.9906416586621</v>
      </c>
      <c r="Y280" s="39" t="n">
        <f aca="false">IF(Informed=0,K280,0)</f>
        <v>0</v>
      </c>
      <c r="Z280" s="39" t="n">
        <f aca="false">IF(Informed=1,N280,0)</f>
        <v>0</v>
      </c>
      <c r="AA280" s="39" t="n">
        <f aca="false">IF(Informed=0,N280,0)</f>
        <v>0</v>
      </c>
      <c r="AB280" s="43" t="n">
        <f aca="false">IF(Arterial=0,IF(Informed=1,1,0),0)</f>
        <v>1</v>
      </c>
      <c r="AC280" s="43" t="n">
        <f aca="false">IF(Arterial=0,IF(Informed=0,1,0),0)</f>
        <v>0</v>
      </c>
      <c r="AD280" s="43" t="n">
        <f aca="false">IF(Arterial=1,IF(Informed=1,1,0),0)</f>
        <v>0</v>
      </c>
      <c r="AE280" s="43" t="n">
        <f aca="false">IF(Arterial=1,IF(Informed=0,1,0),0)</f>
        <v>0</v>
      </c>
      <c r="AF280" s="35" t="n">
        <f aca="false">IF(AB280=1,(X280-G$1030)^2,0)</f>
        <v>5.20279410916239</v>
      </c>
      <c r="AG280" s="35" t="n">
        <f aca="false">IF(AC280=1,(Y280-H$1030)^2,0)</f>
        <v>0</v>
      </c>
      <c r="AH280" s="35" t="n">
        <f aca="false">IF(AD280=1,(Z280-I$1030)^2,0)</f>
        <v>0</v>
      </c>
      <c r="AI280" s="35" t="n">
        <f aca="false">IF(AE280=1,(AA280-J$1030)^2,0)</f>
        <v>0</v>
      </c>
      <c r="AJ280" s="37" t="n">
        <f aca="true">IF(RAND()&lt;$D$6,1,0)</f>
        <v>0</v>
      </c>
      <c r="AK280" s="14" t="n">
        <f aca="false">AK279+IF((AJ280=1),IF((H280=0),1,0),0)</f>
        <v>0</v>
      </c>
      <c r="AL280" s="14" t="n">
        <f aca="false">AL279+IF((AJ280=1),IF((H280=1),1,0),0)</f>
        <v>0</v>
      </c>
      <c r="AM280" s="37" t="n">
        <f aca="false">IF(AK280=0,9999,IF($H280=0,IF($AJ280&lt;1,AM279+1,0),AM279))</f>
        <v>9999</v>
      </c>
      <c r="AN280" s="37" t="n">
        <f aca="false">IF(AL280=0,9999,IF($H280=1,IF($AJ280&lt;1,AN279+1,0),AN279))</f>
        <v>9999</v>
      </c>
      <c r="AO280" s="37" t="n">
        <f aca="false">IF($A280-AM280&gt;0,1/(1+AM280),0)</f>
        <v>0</v>
      </c>
      <c r="AP280" s="37" t="n">
        <f aca="false">IF($A280-AN280&gt;0,1/(1+AN280),0)</f>
        <v>0</v>
      </c>
      <c r="AQ280" s="7" t="n">
        <f aca="false">IF(AK280=0,0,MAX(MIN(1,AO280^Power),0))</f>
        <v>0</v>
      </c>
      <c r="AR280" s="7" t="n">
        <f aca="false">IF(AL280=0,0,MAX(MIN(1,AP280^Power),0))</f>
        <v>0</v>
      </c>
      <c r="AS280" s="7" t="n">
        <f aca="false">IF($AJ280=1,IF($H280=0,K280,AS279),AS279)</f>
        <v>0</v>
      </c>
      <c r="AT280" s="7" t="n">
        <f aca="false">IF($AJ280=1,IF($H280=1,N280,AT279),AT279)</f>
        <v>0</v>
      </c>
    </row>
    <row r="281" customFormat="false" ht="13" hidden="false" customHeight="false" outlineLevel="0" collapsed="false">
      <c r="A281" s="16" t="n">
        <v>264</v>
      </c>
      <c r="B281" s="37" t="n">
        <f aca="true">IF(RAND()&lt;$D$8,1,0)</f>
        <v>0</v>
      </c>
      <c r="C281" s="20" t="n">
        <f aca="true">-LN(RAND())/$D$2</f>
        <v>0.111401764828531</v>
      </c>
      <c r="D281" s="38" t="n">
        <f aca="false">D280+C281</f>
        <v>289.726384085623</v>
      </c>
      <c r="E281" s="39" t="n">
        <f aca="false">MAX($E$3,AS280)</f>
        <v>0</v>
      </c>
      <c r="F281" s="39" t="n">
        <f aca="false">MAX($E$3,AT280)</f>
        <v>0</v>
      </c>
      <c r="G281" s="40" t="n">
        <v>0.5</v>
      </c>
      <c r="H281" s="38" t="n">
        <f aca="true">IF((B281=1),(IF((F281&lt;E281),1,(IF((F281=E281),(IF(RAND()&lt;G281,1,0)),0)))),(IF((RAND()&lt;G281),1,0)))</f>
        <v>1</v>
      </c>
      <c r="I281" s="38" t="n">
        <f aca="true">IF((H281=1),0,$D$3+$D$5*(RAND()-0.5))</f>
        <v>0</v>
      </c>
      <c r="J281" s="38" t="n">
        <f aca="false">I281+MAX(D281,J280)</f>
        <v>302.605623979456</v>
      </c>
      <c r="K281" s="38" t="n">
        <f aca="false">IF((H281=0),J281-D281,0)</f>
        <v>0</v>
      </c>
      <c r="L281" s="38" t="n">
        <f aca="true">IF(($H281=0),0,$D$4+$D$5*(RAND()-0.5))</f>
        <v>2.10480182288971</v>
      </c>
      <c r="M281" s="38" t="n">
        <f aca="false">L281+MAX(D281,M280)</f>
        <v>303.248015792862</v>
      </c>
      <c r="N281" s="38" t="n">
        <f aca="false">IF((H281=1),M281-D281,0)</f>
        <v>13.521631707239</v>
      </c>
      <c r="O281" s="16" t="n">
        <v>264</v>
      </c>
      <c r="P281" s="41" t="n">
        <f aca="false">IF((Arterial=0),P280+1,P280)</f>
        <v>125</v>
      </c>
      <c r="Q281" s="41" t="n">
        <f aca="false">IF((Arterial=1),Q280+1,Q280)</f>
        <v>139</v>
      </c>
      <c r="R281" s="42" t="n">
        <f aca="false">IF((RESET=1),0,R281+K281)</f>
        <v>656.376125983433</v>
      </c>
      <c r="S281" s="14" t="e">
        <f aca="false">IF(RESET=1,0,S281+N281)</f>
        <v>#N/A</v>
      </c>
      <c r="T281" s="2" t="n">
        <f aca="false">IF(RESET=1,0,T281+IF(H281=0,1,0))</f>
        <v>43</v>
      </c>
      <c r="U281" s="2" t="e">
        <f aca="false">IF(RESET=1,0,U281+H281)</f>
        <v>#N/A</v>
      </c>
      <c r="V281" s="14" t="n">
        <f aca="false">R281/(T281+0.00001)</f>
        <v>15.2645575194851</v>
      </c>
      <c r="W281" s="14" t="e">
        <f aca="false">S281/(U281+0.0001)</f>
        <v>#N/A</v>
      </c>
      <c r="X281" s="39" t="n">
        <f aca="false">IF(Informed=1,K281,0)</f>
        <v>0</v>
      </c>
      <c r="Y281" s="39" t="n">
        <f aca="false">IF(Informed=0,K281,0)</f>
        <v>0</v>
      </c>
      <c r="Z281" s="39" t="n">
        <f aca="false">IF(Informed=1,N281,0)</f>
        <v>0</v>
      </c>
      <c r="AA281" s="39" t="n">
        <f aca="false">IF(Informed=0,N281,0)</f>
        <v>13.521631707239</v>
      </c>
      <c r="AB281" s="43" t="n">
        <f aca="false">IF(Arterial=0,IF(Informed=1,1,0),0)</f>
        <v>0</v>
      </c>
      <c r="AC281" s="43" t="n">
        <f aca="false">IF(Arterial=0,IF(Informed=0,1,0),0)</f>
        <v>0</v>
      </c>
      <c r="AD281" s="43" t="n">
        <f aca="false">IF(Arterial=1,IF(Informed=1,1,0),0)</f>
        <v>0</v>
      </c>
      <c r="AE281" s="43" t="n">
        <f aca="false">IF(Arterial=1,IF(Informed=0,1,0),0)</f>
        <v>1</v>
      </c>
      <c r="AF281" s="35" t="n">
        <f aca="false">IF(AB281=1,(X281-G$1030)^2,0)</f>
        <v>0</v>
      </c>
      <c r="AG281" s="35" t="n">
        <f aca="false">IF(AC281=1,(Y281-H$1030)^2,0)</f>
        <v>0</v>
      </c>
      <c r="AH281" s="35" t="n">
        <f aca="false">IF(AD281=1,(Z281-I$1030)^2,0)</f>
        <v>0</v>
      </c>
      <c r="AI281" s="35" t="n">
        <f aca="false">IF(AE281=1,(AA281-J$1030)^2,0)</f>
        <v>257.366403504835</v>
      </c>
      <c r="AJ281" s="37" t="n">
        <f aca="true">IF(RAND()&lt;$D$6,1,0)</f>
        <v>0</v>
      </c>
      <c r="AK281" s="14" t="n">
        <f aca="false">AK280+IF((AJ281=1),IF((H281=0),1,0),0)</f>
        <v>0</v>
      </c>
      <c r="AL281" s="14" t="n">
        <f aca="false">AL280+IF((AJ281=1),IF((H281=1),1,0),0)</f>
        <v>0</v>
      </c>
      <c r="AM281" s="37" t="n">
        <f aca="false">IF(AK281=0,9999,IF($H281=0,IF($AJ281&lt;1,AM280+1,0),AM280))</f>
        <v>9999</v>
      </c>
      <c r="AN281" s="37" t="n">
        <f aca="false">IF(AL281=0,9999,IF($H281=1,IF($AJ281&lt;1,AN280+1,0),AN280))</f>
        <v>9999</v>
      </c>
      <c r="AO281" s="37" t="n">
        <f aca="false">IF($A281-AM281&gt;0,1/(1+AM281),0)</f>
        <v>0</v>
      </c>
      <c r="AP281" s="37" t="n">
        <f aca="false">IF($A281-AN281&gt;0,1/(1+AN281),0)</f>
        <v>0</v>
      </c>
      <c r="AQ281" s="7" t="n">
        <f aca="false">IF(AK281=0,0,MAX(MIN(1,AO281^Power),0))</f>
        <v>0</v>
      </c>
      <c r="AR281" s="7" t="n">
        <f aca="false">IF(AL281=0,0,MAX(MIN(1,AP281^Power),0))</f>
        <v>0</v>
      </c>
      <c r="AS281" s="7" t="n">
        <f aca="false">IF($AJ281=1,IF($H281=0,K281,AS280),AS280)</f>
        <v>0</v>
      </c>
      <c r="AT281" s="7" t="n">
        <f aca="false">IF($AJ281=1,IF($H281=1,N281,AT280),AT280)</f>
        <v>0</v>
      </c>
    </row>
    <row r="282" customFormat="false" ht="13" hidden="false" customHeight="false" outlineLevel="0" collapsed="false">
      <c r="A282" s="16" t="n">
        <v>265</v>
      </c>
      <c r="B282" s="37" t="n">
        <f aca="true">IF(RAND()&lt;$D$8,1,0)</f>
        <v>0</v>
      </c>
      <c r="C282" s="20" t="n">
        <f aca="true">-LN(RAND())/$D$2</f>
        <v>0.66436906985856</v>
      </c>
      <c r="D282" s="38" t="n">
        <f aca="false">D281+C282</f>
        <v>290.390753155481</v>
      </c>
      <c r="E282" s="39" t="n">
        <f aca="false">MAX($E$3,AS281)</f>
        <v>0</v>
      </c>
      <c r="F282" s="39" t="n">
        <f aca="false">MAX($E$3,AT281)</f>
        <v>0</v>
      </c>
      <c r="G282" s="40" t="n">
        <v>0.5</v>
      </c>
      <c r="H282" s="38" t="n">
        <f aca="true">IF((B282=1),(IF((F282&lt;E282),1,(IF((F282=E282),(IF(RAND()&lt;G282,1,0)),0)))),(IF((RAND()&lt;G282),1,0)))</f>
        <v>0</v>
      </c>
      <c r="I282" s="38" t="n">
        <f aca="true">IF((H282=1),0,$D$3+$D$5*(RAND()-0.5))</f>
        <v>2.20861599657316</v>
      </c>
      <c r="J282" s="38" t="n">
        <f aca="false">I282+MAX(D282,J281)</f>
        <v>304.81423997603</v>
      </c>
      <c r="K282" s="38" t="n">
        <f aca="false">IF((H282=0),J282-D282,0)</f>
        <v>14.4234868205481</v>
      </c>
      <c r="L282" s="38" t="n">
        <f aca="true">IF(($H282=0),0,$D$4+$D$5*(RAND()-0.5))</f>
        <v>0</v>
      </c>
      <c r="M282" s="38" t="n">
        <f aca="false">L282+MAX(D282,M281)</f>
        <v>303.248015792862</v>
      </c>
      <c r="N282" s="38" t="n">
        <f aca="false">IF((H282=1),M282-D282,0)</f>
        <v>0</v>
      </c>
      <c r="O282" s="16" t="n">
        <v>265</v>
      </c>
      <c r="P282" s="41" t="n">
        <f aca="false">IF((Arterial=0),P281+1,P281)</f>
        <v>126</v>
      </c>
      <c r="Q282" s="41" t="n">
        <f aca="false">IF((Arterial=1),Q281+1,Q281)</f>
        <v>139</v>
      </c>
      <c r="R282" s="42" t="e">
        <f aca="false">IF((RESET=1),0,R282+K282)</f>
        <v>#N/A</v>
      </c>
      <c r="S282" s="14" t="n">
        <f aca="false">IF(RESET=1,0,S282+N282)</f>
        <v>580.007791252198</v>
      </c>
      <c r="T282" s="2" t="e">
        <f aca="false">IF(RESET=1,0,T282+IF(H282=0,1,0))</f>
        <v>#N/A</v>
      </c>
      <c r="U282" s="2" t="n">
        <f aca="false">IF(RESET=1,0,U282+H282)</f>
        <v>36</v>
      </c>
      <c r="V282" s="14" t="e">
        <f aca="false">R282/(T282+0.00001)</f>
        <v>#N/A</v>
      </c>
      <c r="W282" s="14" t="n">
        <f aca="false">S282/(U282+0.0001)</f>
        <v>16.11128278122</v>
      </c>
      <c r="X282" s="39" t="n">
        <f aca="false">IF(Informed=1,K282,0)</f>
        <v>0</v>
      </c>
      <c r="Y282" s="39" t="n">
        <f aca="false">IF(Informed=0,K282,0)</f>
        <v>14.4234868205481</v>
      </c>
      <c r="Z282" s="39" t="n">
        <f aca="false">IF(Informed=1,N282,0)</f>
        <v>0</v>
      </c>
      <c r="AA282" s="39" t="n">
        <f aca="false">IF(Informed=0,N282,0)</f>
        <v>0</v>
      </c>
      <c r="AB282" s="43" t="n">
        <f aca="false">IF(Arterial=0,IF(Informed=1,1,0),0)</f>
        <v>0</v>
      </c>
      <c r="AC282" s="43" t="n">
        <f aca="false">IF(Arterial=0,IF(Informed=0,1,0),0)</f>
        <v>1</v>
      </c>
      <c r="AD282" s="43" t="n">
        <f aca="false">IF(Arterial=1,IF(Informed=1,1,0),0)</f>
        <v>0</v>
      </c>
      <c r="AE282" s="43" t="n">
        <f aca="false">IF(Arterial=1,IF(Informed=0,1,0),0)</f>
        <v>0</v>
      </c>
      <c r="AF282" s="35" t="n">
        <f aca="false">IF(AB282=1,(X282-G$1030)^2,0)</f>
        <v>0</v>
      </c>
      <c r="AG282" s="35" t="n">
        <f aca="false">IF(AC282=1,(Y282-H$1030)^2,0)</f>
        <v>12.2479110778583</v>
      </c>
      <c r="AH282" s="35" t="n">
        <f aca="false">IF(AD282=1,(Z282-I$1030)^2,0)</f>
        <v>0</v>
      </c>
      <c r="AI282" s="35" t="n">
        <f aca="false">IF(AE282=1,(AA282-J$1030)^2,0)</f>
        <v>0</v>
      </c>
      <c r="AJ282" s="37" t="n">
        <f aca="true">IF(RAND()&lt;$D$6,1,0)</f>
        <v>0</v>
      </c>
      <c r="AK282" s="14" t="n">
        <f aca="false">AK281+IF((AJ282=1),IF((H282=0),1,0),0)</f>
        <v>0</v>
      </c>
      <c r="AL282" s="14" t="n">
        <f aca="false">AL281+IF((AJ282=1),IF((H282=1),1,0),0)</f>
        <v>0</v>
      </c>
      <c r="AM282" s="37" t="n">
        <f aca="false">IF(AK282=0,9999,IF($H282=0,IF($AJ282&lt;1,AM281+1,0),AM281))</f>
        <v>9999</v>
      </c>
      <c r="AN282" s="37" t="n">
        <f aca="false">IF(AL282=0,9999,IF($H282=1,IF($AJ282&lt;1,AN281+1,0),AN281))</f>
        <v>9999</v>
      </c>
      <c r="AO282" s="37" t="n">
        <f aca="false">IF($A282-AM282&gt;0,1/(1+AM282),0)</f>
        <v>0</v>
      </c>
      <c r="AP282" s="37" t="n">
        <f aca="false">IF($A282-AN282&gt;0,1/(1+AN282),0)</f>
        <v>0</v>
      </c>
      <c r="AQ282" s="7" t="n">
        <f aca="false">IF(AK282=0,0,MAX(MIN(1,AO282^Power),0))</f>
        <v>0</v>
      </c>
      <c r="AR282" s="7" t="n">
        <f aca="false">IF(AL282=0,0,MAX(MIN(1,AP282^Power),0))</f>
        <v>0</v>
      </c>
      <c r="AS282" s="7" t="n">
        <f aca="false">IF($AJ282=1,IF($H282=0,K282,AS281),AS281)</f>
        <v>0</v>
      </c>
      <c r="AT282" s="7" t="n">
        <f aca="false">IF($AJ282=1,IF($H282=1,N282,AT281),AT281)</f>
        <v>0</v>
      </c>
    </row>
    <row r="283" customFormat="false" ht="13" hidden="false" customHeight="false" outlineLevel="0" collapsed="false">
      <c r="A283" s="16" t="n">
        <v>266</v>
      </c>
      <c r="B283" s="37" t="n">
        <f aca="true">IF(RAND()&lt;$D$8,1,0)</f>
        <v>0</v>
      </c>
      <c r="C283" s="20" t="n">
        <f aca="true">-LN(RAND())/$D$2</f>
        <v>1.30308952826555</v>
      </c>
      <c r="D283" s="38" t="n">
        <f aca="false">D282+C283</f>
        <v>291.693842683747</v>
      </c>
      <c r="E283" s="39" t="n">
        <f aca="false">MAX($E$3,AS282)</f>
        <v>0</v>
      </c>
      <c r="F283" s="39" t="n">
        <f aca="false">MAX($E$3,AT282)</f>
        <v>0</v>
      </c>
      <c r="G283" s="40" t="n">
        <v>0.5</v>
      </c>
      <c r="H283" s="38" t="n">
        <f aca="true">IF((B283=1),(IF((F283&lt;E283),1,(IF((F283=E283),(IF(RAND()&lt;G283,1,0)),0)))),(IF((RAND()&lt;G283),1,0)))</f>
        <v>1</v>
      </c>
      <c r="I283" s="38" t="n">
        <f aca="true">IF((H283=1),0,$D$3+$D$5*(RAND()-0.5))</f>
        <v>0</v>
      </c>
      <c r="J283" s="38" t="n">
        <f aca="false">I283+MAX(D283,J282)</f>
        <v>304.81423997603</v>
      </c>
      <c r="K283" s="38" t="n">
        <f aca="false">IF((H283=0),J283-D283,0)</f>
        <v>0</v>
      </c>
      <c r="L283" s="38" t="n">
        <f aca="true">IF(($H283=0),0,$D$4+$D$5*(RAND()-0.5))</f>
        <v>2.03874777644701</v>
      </c>
      <c r="M283" s="38" t="n">
        <f aca="false">L283+MAX(D283,M282)</f>
        <v>305.286763569309</v>
      </c>
      <c r="N283" s="38" t="n">
        <f aca="false">IF((H283=1),M283-D283,0)</f>
        <v>13.5929208855619</v>
      </c>
      <c r="O283" s="16" t="n">
        <v>266</v>
      </c>
      <c r="P283" s="41" t="n">
        <f aca="false">IF((Arterial=0),P282+1,P282)</f>
        <v>126</v>
      </c>
      <c r="Q283" s="41" t="n">
        <f aca="false">IF((Arterial=1),Q282+1,Q282)</f>
        <v>140</v>
      </c>
      <c r="R283" s="42" t="n">
        <f aca="false">IF((RESET=1),0,R283+K283)</f>
        <v>745.606687064782</v>
      </c>
      <c r="S283" s="14" t="e">
        <f aca="false">IF(RESET=1,0,S283+N283)</f>
        <v>#N/A</v>
      </c>
      <c r="T283" s="2" t="n">
        <f aca="false">IF(RESET=1,0,T283+IF(H283=0,1,0))</f>
        <v>48</v>
      </c>
      <c r="U283" s="2" t="e">
        <f aca="false">IF(RESET=1,0,U283+H283)</f>
        <v>#N/A</v>
      </c>
      <c r="V283" s="14" t="n">
        <f aca="false">R283/(T283+0.00001)</f>
        <v>15.5334694110435</v>
      </c>
      <c r="W283" s="14" t="e">
        <f aca="false">S283/(U283+0.0001)</f>
        <v>#N/A</v>
      </c>
      <c r="X283" s="39" t="n">
        <f aca="false">IF(Informed=1,K283,0)</f>
        <v>0</v>
      </c>
      <c r="Y283" s="39" t="n">
        <f aca="false">IF(Informed=0,K283,0)</f>
        <v>0</v>
      </c>
      <c r="Z283" s="39" t="n">
        <f aca="false">IF(Informed=1,N283,0)</f>
        <v>0</v>
      </c>
      <c r="AA283" s="39" t="n">
        <f aca="false">IF(Informed=0,N283,0)</f>
        <v>13.5929208855619</v>
      </c>
      <c r="AB283" s="43" t="n">
        <f aca="false">IF(Arterial=0,IF(Informed=1,1,0),0)</f>
        <v>0</v>
      </c>
      <c r="AC283" s="43" t="n">
        <f aca="false">IF(Arterial=0,IF(Informed=0,1,0),0)</f>
        <v>0</v>
      </c>
      <c r="AD283" s="43" t="n">
        <f aca="false">IF(Arterial=1,IF(Informed=1,1,0),0)</f>
        <v>0</v>
      </c>
      <c r="AE283" s="43" t="n">
        <f aca="false">IF(Arterial=1,IF(Informed=0,1,0),0)</f>
        <v>1</v>
      </c>
      <c r="AF283" s="35" t="n">
        <f aca="false">IF(AB283=1,(X283-G$1030)^2,0)</f>
        <v>0</v>
      </c>
      <c r="AG283" s="35" t="n">
        <f aca="false">IF(AC283=1,(Y283-H$1030)^2,0)</f>
        <v>0</v>
      </c>
      <c r="AH283" s="35" t="n">
        <f aca="false">IF(AD283=1,(Z283-I$1030)^2,0)</f>
        <v>0</v>
      </c>
      <c r="AI283" s="35" t="n">
        <f aca="false">IF(AE283=1,(AA283-J$1030)^2,0)</f>
        <v>255.084151936239</v>
      </c>
      <c r="AJ283" s="37" t="n">
        <f aca="true">IF(RAND()&lt;$D$6,1,0)</f>
        <v>0</v>
      </c>
      <c r="AK283" s="14" t="n">
        <f aca="false">AK282+IF((AJ283=1),IF((H283=0),1,0),0)</f>
        <v>0</v>
      </c>
      <c r="AL283" s="14" t="n">
        <f aca="false">AL282+IF((AJ283=1),IF((H283=1),1,0),0)</f>
        <v>0</v>
      </c>
      <c r="AM283" s="37" t="n">
        <f aca="false">IF(AK283=0,9999,IF($H283=0,IF($AJ283&lt;1,AM282+1,0),AM282))</f>
        <v>9999</v>
      </c>
      <c r="AN283" s="37" t="n">
        <f aca="false">IF(AL283=0,9999,IF($H283=1,IF($AJ283&lt;1,AN282+1,0),AN282))</f>
        <v>9999</v>
      </c>
      <c r="AO283" s="37" t="n">
        <f aca="false">IF($A283-AM283&gt;0,1/(1+AM283),0)</f>
        <v>0</v>
      </c>
      <c r="AP283" s="37" t="n">
        <f aca="false">IF($A283-AN283&gt;0,1/(1+AN283),0)</f>
        <v>0</v>
      </c>
      <c r="AQ283" s="7" t="n">
        <f aca="false">IF(AK283=0,0,MAX(MIN(1,AO283^Power),0))</f>
        <v>0</v>
      </c>
      <c r="AR283" s="7" t="n">
        <f aca="false">IF(AL283=0,0,MAX(MIN(1,AP283^Power),0))</f>
        <v>0</v>
      </c>
      <c r="AS283" s="7" t="n">
        <f aca="false">IF($AJ283=1,IF($H283=0,K283,AS282),AS282)</f>
        <v>0</v>
      </c>
      <c r="AT283" s="7" t="n">
        <f aca="false">IF($AJ283=1,IF($H283=1,N283,AT282),AT282)</f>
        <v>0</v>
      </c>
    </row>
    <row r="284" customFormat="false" ht="13" hidden="false" customHeight="false" outlineLevel="0" collapsed="false">
      <c r="A284" s="16" t="n">
        <v>267</v>
      </c>
      <c r="B284" s="37" t="n">
        <f aca="true">IF(RAND()&lt;$D$8,1,0)</f>
        <v>1</v>
      </c>
      <c r="C284" s="20" t="n">
        <f aca="true">-LN(RAND())/$D$2</f>
        <v>0.232449519999918</v>
      </c>
      <c r="D284" s="38" t="n">
        <f aca="false">D283+C284</f>
        <v>291.926292203747</v>
      </c>
      <c r="E284" s="39" t="n">
        <f aca="false">MAX($E$3,AS283)</f>
        <v>0</v>
      </c>
      <c r="F284" s="39" t="n">
        <f aca="false">MAX($E$3,AT283)</f>
        <v>0</v>
      </c>
      <c r="G284" s="40" t="n">
        <v>0.5</v>
      </c>
      <c r="H284" s="38" t="n">
        <f aca="true">IF((B284=1),(IF((F284&lt;E284),1,(IF((F284=E284),(IF(RAND()&lt;G284,1,0)),0)))),(IF((RAND()&lt;G284),1,0)))</f>
        <v>1</v>
      </c>
      <c r="I284" s="38" t="n">
        <f aca="true">IF((H284=1),0,$D$3+$D$5*(RAND()-0.5))</f>
        <v>0</v>
      </c>
      <c r="J284" s="38" t="n">
        <f aca="false">I284+MAX(D284,J283)</f>
        <v>304.81423997603</v>
      </c>
      <c r="K284" s="38" t="n">
        <f aca="false">IF((H284=0),J284-D284,0)</f>
        <v>0</v>
      </c>
      <c r="L284" s="38" t="n">
        <f aca="true">IF(($H284=0),0,$D$4+$D$5*(RAND()-0.5))</f>
        <v>2.12889461000402</v>
      </c>
      <c r="M284" s="38" t="n">
        <f aca="false">L284+MAX(D284,M283)</f>
        <v>307.415658179313</v>
      </c>
      <c r="N284" s="38" t="n">
        <f aca="false">IF((H284=1),M284-D284,0)</f>
        <v>15.4893659755659</v>
      </c>
      <c r="O284" s="16" t="n">
        <v>267</v>
      </c>
      <c r="P284" s="41" t="n">
        <f aca="false">IF((Arterial=0),P283+1,P283)</f>
        <v>126</v>
      </c>
      <c r="Q284" s="41" t="n">
        <f aca="false">IF((Arterial=1),Q283+1,Q283)</f>
        <v>141</v>
      </c>
      <c r="R284" s="42" t="n">
        <f aca="false">IF((RESET=1),0,R284+K284)</f>
        <v>574.209567362301</v>
      </c>
      <c r="S284" s="14" t="e">
        <f aca="false">IF(RESET=1,0,S284+N284)</f>
        <v>#N/A</v>
      </c>
      <c r="T284" s="2" t="n">
        <f aca="false">IF(RESET=1,0,T284+IF(H284=0,1,0))</f>
        <v>40</v>
      </c>
      <c r="U284" s="2" t="e">
        <f aca="false">IF(RESET=1,0,U284+H284)</f>
        <v>#N/A</v>
      </c>
      <c r="V284" s="14" t="n">
        <f aca="false">R284/(T284+0.00001)</f>
        <v>14.3552355952486</v>
      </c>
      <c r="W284" s="14" t="e">
        <f aca="false">S284/(U284+0.0001)</f>
        <v>#N/A</v>
      </c>
      <c r="X284" s="39" t="n">
        <f aca="false">IF(Informed=1,K284,0)</f>
        <v>0</v>
      </c>
      <c r="Y284" s="39" t="n">
        <f aca="false">IF(Informed=0,K284,0)</f>
        <v>0</v>
      </c>
      <c r="Z284" s="39" t="n">
        <f aca="false">IF(Informed=1,N284,0)</f>
        <v>15.4893659755659</v>
      </c>
      <c r="AA284" s="39" t="n">
        <f aca="false">IF(Informed=0,N284,0)</f>
        <v>0</v>
      </c>
      <c r="AB284" s="43" t="n">
        <f aca="false">IF(Arterial=0,IF(Informed=1,1,0),0)</f>
        <v>0</v>
      </c>
      <c r="AC284" s="43" t="n">
        <f aca="false">IF(Arterial=0,IF(Informed=0,1,0),0)</f>
        <v>0</v>
      </c>
      <c r="AD284" s="43" t="n">
        <f aca="false">IF(Arterial=1,IF(Informed=1,1,0),0)</f>
        <v>1</v>
      </c>
      <c r="AE284" s="43" t="n">
        <f aca="false">IF(Arterial=1,IF(Informed=0,1,0),0)</f>
        <v>0</v>
      </c>
      <c r="AF284" s="35" t="n">
        <f aca="false">IF(AB284=1,(X284-G$1030)^2,0)</f>
        <v>0</v>
      </c>
      <c r="AG284" s="35" t="n">
        <f aca="false">IF(AC284=1,(Y284-H$1030)^2,0)</f>
        <v>0</v>
      </c>
      <c r="AH284" s="35" t="n">
        <f aca="false">IF(AD284=1,(Z284-I$1030)^2,0)</f>
        <v>166.035306651149</v>
      </c>
      <c r="AI284" s="35" t="n">
        <f aca="false">IF(AE284=1,(AA284-J$1030)^2,0)</f>
        <v>0</v>
      </c>
      <c r="AJ284" s="37" t="n">
        <f aca="true">IF(RAND()&lt;$D$6,1,0)</f>
        <v>0</v>
      </c>
      <c r="AK284" s="14" t="n">
        <f aca="false">AK283+IF((AJ284=1),IF((H284=0),1,0),0)</f>
        <v>0</v>
      </c>
      <c r="AL284" s="14" t="n">
        <f aca="false">AL283+IF((AJ284=1),IF((H284=1),1,0),0)</f>
        <v>0</v>
      </c>
      <c r="AM284" s="37" t="n">
        <f aca="false">IF(AK284=0,9999,IF($H284=0,IF($AJ284&lt;1,AM283+1,0),AM283))</f>
        <v>9999</v>
      </c>
      <c r="AN284" s="37" t="n">
        <f aca="false">IF(AL284=0,9999,IF($H284=1,IF($AJ284&lt;1,AN283+1,0),AN283))</f>
        <v>9999</v>
      </c>
      <c r="AO284" s="37" t="n">
        <f aca="false">IF($A284-AM284&gt;0,1/(1+AM284),0)</f>
        <v>0</v>
      </c>
      <c r="AP284" s="37" t="n">
        <f aca="false">IF($A284-AN284&gt;0,1/(1+AN284),0)</f>
        <v>0</v>
      </c>
      <c r="AQ284" s="7" t="n">
        <f aca="false">IF(AK284=0,0,MAX(MIN(1,AO284^Power),0))</f>
        <v>0</v>
      </c>
      <c r="AR284" s="7" t="n">
        <f aca="false">IF(AL284=0,0,MAX(MIN(1,AP284^Power),0))</f>
        <v>0</v>
      </c>
      <c r="AS284" s="7" t="n">
        <f aca="false">IF($AJ284=1,IF($H284=0,K284,AS283),AS283)</f>
        <v>0</v>
      </c>
      <c r="AT284" s="7" t="n">
        <f aca="false">IF($AJ284=1,IF($H284=1,N284,AT283),AT283)</f>
        <v>0</v>
      </c>
    </row>
    <row r="285" customFormat="false" ht="13" hidden="false" customHeight="false" outlineLevel="0" collapsed="false">
      <c r="A285" s="16" t="n">
        <v>268</v>
      </c>
      <c r="B285" s="37" t="n">
        <f aca="true">IF(RAND()&lt;$D$8,1,0)</f>
        <v>0</v>
      </c>
      <c r="C285" s="20" t="n">
        <f aca="true">-LN(RAND())/$D$2</f>
        <v>0.245580988440803</v>
      </c>
      <c r="D285" s="38" t="n">
        <f aca="false">D284+C285</f>
        <v>292.171873192188</v>
      </c>
      <c r="E285" s="39" t="n">
        <f aca="false">MAX($E$3,AS284)</f>
        <v>0</v>
      </c>
      <c r="F285" s="39" t="n">
        <f aca="false">MAX($E$3,AT284)</f>
        <v>0</v>
      </c>
      <c r="G285" s="40" t="n">
        <v>0.5</v>
      </c>
      <c r="H285" s="38" t="n">
        <f aca="true">IF((B285=1),(IF((F285&lt;E285),1,(IF((F285=E285),(IF(RAND()&lt;G285,1,0)),0)))),(IF((RAND()&lt;G285),1,0)))</f>
        <v>1</v>
      </c>
      <c r="I285" s="38" t="n">
        <f aca="true">IF((H285=1),0,$D$3+$D$5*(RAND()-0.5))</f>
        <v>0</v>
      </c>
      <c r="J285" s="38" t="n">
        <f aca="false">I285+MAX(D285,J284)</f>
        <v>304.81423997603</v>
      </c>
      <c r="K285" s="38" t="n">
        <f aca="false">IF((H285=0),J285-D285,0)</f>
        <v>0</v>
      </c>
      <c r="L285" s="38" t="n">
        <f aca="true">IF(($H285=0),0,$D$4+$D$5*(RAND()-0.5))</f>
        <v>2.09580422501135</v>
      </c>
      <c r="M285" s="38" t="n">
        <f aca="false">L285+MAX(D285,M284)</f>
        <v>309.511462404324</v>
      </c>
      <c r="N285" s="38" t="n">
        <f aca="false">IF((H285=1),M285-D285,0)</f>
        <v>17.3395892121365</v>
      </c>
      <c r="O285" s="16" t="n">
        <v>268</v>
      </c>
      <c r="P285" s="41" t="n">
        <f aca="false">IF((Arterial=0),P284+1,P284)</f>
        <v>126</v>
      </c>
      <c r="Q285" s="41" t="n">
        <f aca="false">IF((Arterial=1),Q284+1,Q284)</f>
        <v>142</v>
      </c>
      <c r="R285" s="42" t="n">
        <f aca="false">IF((RESET=1),0,R285+K285)</f>
        <v>587.354010606584</v>
      </c>
      <c r="S285" s="14" t="e">
        <f aca="false">IF(RESET=1,0,S285+N285)</f>
        <v>#N/A</v>
      </c>
      <c r="T285" s="2" t="n">
        <f aca="false">IF(RESET=1,0,T285+IF(H285=0,1,0))</f>
        <v>40</v>
      </c>
      <c r="U285" s="2" t="e">
        <f aca="false">IF(RESET=1,0,U285+H285)</f>
        <v>#N/A</v>
      </c>
      <c r="V285" s="14" t="n">
        <f aca="false">R285/(T285+0.00001)</f>
        <v>14.6838465942029</v>
      </c>
      <c r="W285" s="14" t="e">
        <f aca="false">S285/(U285+0.0001)</f>
        <v>#N/A</v>
      </c>
      <c r="X285" s="39" t="n">
        <f aca="false">IF(Informed=1,K285,0)</f>
        <v>0</v>
      </c>
      <c r="Y285" s="39" t="n">
        <f aca="false">IF(Informed=0,K285,0)</f>
        <v>0</v>
      </c>
      <c r="Z285" s="39" t="n">
        <f aca="false">IF(Informed=1,N285,0)</f>
        <v>0</v>
      </c>
      <c r="AA285" s="39" t="n">
        <f aca="false">IF(Informed=0,N285,0)</f>
        <v>17.3395892121365</v>
      </c>
      <c r="AB285" s="43" t="n">
        <f aca="false">IF(Arterial=0,IF(Informed=1,1,0),0)</f>
        <v>0</v>
      </c>
      <c r="AC285" s="43" t="n">
        <f aca="false">IF(Arterial=0,IF(Informed=0,1,0),0)</f>
        <v>0</v>
      </c>
      <c r="AD285" s="43" t="n">
        <f aca="false">IF(Arterial=1,IF(Informed=1,1,0),0)</f>
        <v>0</v>
      </c>
      <c r="AE285" s="43" t="n">
        <f aca="false">IF(Arterial=1,IF(Informed=0,1,0),0)</f>
        <v>1</v>
      </c>
      <c r="AF285" s="35" t="n">
        <f aca="false">IF(AB285=1,(X285-G$1030)^2,0)</f>
        <v>0</v>
      </c>
      <c r="AG285" s="35" t="n">
        <f aca="false">IF(AC285=1,(Y285-H$1030)^2,0)</f>
        <v>0</v>
      </c>
      <c r="AH285" s="35" t="n">
        <f aca="false">IF(AD285=1,(Z285-I$1030)^2,0)</f>
        <v>0</v>
      </c>
      <c r="AI285" s="35" t="n">
        <f aca="false">IF(AE285=1,(AA285-J$1030)^2,0)</f>
        <v>149.442942372769</v>
      </c>
      <c r="AJ285" s="37" t="n">
        <f aca="true">IF(RAND()&lt;$D$6,1,0)</f>
        <v>0</v>
      </c>
      <c r="AK285" s="14" t="n">
        <f aca="false">AK284+IF((AJ285=1),IF((H285=0),1,0),0)</f>
        <v>0</v>
      </c>
      <c r="AL285" s="14" t="n">
        <f aca="false">AL284+IF((AJ285=1),IF((H285=1),1,0),0)</f>
        <v>0</v>
      </c>
      <c r="AM285" s="37" t="n">
        <f aca="false">IF(AK285=0,9999,IF($H285=0,IF($AJ285&lt;1,AM284+1,0),AM284))</f>
        <v>9999</v>
      </c>
      <c r="AN285" s="37" t="n">
        <f aca="false">IF(AL285=0,9999,IF($H285=1,IF($AJ285&lt;1,AN284+1,0),AN284))</f>
        <v>9999</v>
      </c>
      <c r="AO285" s="37" t="n">
        <f aca="false">IF($A285-AM285&gt;0,1/(1+AM285),0)</f>
        <v>0</v>
      </c>
      <c r="AP285" s="37" t="n">
        <f aca="false">IF($A285-AN285&gt;0,1/(1+AN285),0)</f>
        <v>0</v>
      </c>
      <c r="AQ285" s="7" t="n">
        <f aca="false">IF(AK285=0,0,MAX(MIN(1,AO285^Power),0))</f>
        <v>0</v>
      </c>
      <c r="AR285" s="7" t="n">
        <f aca="false">IF(AL285=0,0,MAX(MIN(1,AP285^Power),0))</f>
        <v>0</v>
      </c>
      <c r="AS285" s="7" t="n">
        <f aca="false">IF($AJ285=1,IF($H285=0,K285,AS284),AS284)</f>
        <v>0</v>
      </c>
      <c r="AT285" s="7" t="n">
        <f aca="false">IF($AJ285=1,IF($H285=1,N285,AT284),AT284)</f>
        <v>0</v>
      </c>
    </row>
    <row r="286" customFormat="false" ht="13" hidden="false" customHeight="false" outlineLevel="0" collapsed="false">
      <c r="A286" s="16" t="n">
        <v>269</v>
      </c>
      <c r="B286" s="37" t="n">
        <f aca="true">IF(RAND()&lt;$D$8,1,0)</f>
        <v>0</v>
      </c>
      <c r="C286" s="20" t="n">
        <f aca="true">-LN(RAND())/$D$2</f>
        <v>0.143110219390335</v>
      </c>
      <c r="D286" s="38" t="n">
        <f aca="false">D285+C286</f>
        <v>292.314983411578</v>
      </c>
      <c r="E286" s="39" t="n">
        <f aca="false">MAX($E$3,AS285)</f>
        <v>0</v>
      </c>
      <c r="F286" s="39" t="n">
        <f aca="false">MAX($E$3,AT285)</f>
        <v>0</v>
      </c>
      <c r="G286" s="40" t="n">
        <v>0.5</v>
      </c>
      <c r="H286" s="38" t="n">
        <f aca="true">IF((B286=1),(IF((F286&lt;E286),1,(IF((F286=E286),(IF(RAND()&lt;G286,1,0)),0)))),(IF((RAND()&lt;G286),1,0)))</f>
        <v>0</v>
      </c>
      <c r="I286" s="38" t="n">
        <f aca="true">IF((H286=1),0,$D$3+$D$5*(RAND()-0.5))</f>
        <v>2.12569220061417</v>
      </c>
      <c r="J286" s="38" t="n">
        <f aca="false">I286+MAX(D286,J285)</f>
        <v>306.939932176644</v>
      </c>
      <c r="K286" s="38" t="n">
        <f aca="false">IF((H286=0),J286-D286,0)</f>
        <v>14.6249487650657</v>
      </c>
      <c r="L286" s="38" t="n">
        <f aca="true">IF(($H286=0),0,$D$4+$D$5*(RAND()-0.5))</f>
        <v>0</v>
      </c>
      <c r="M286" s="38" t="n">
        <f aca="false">L286+MAX(D286,M285)</f>
        <v>309.511462404324</v>
      </c>
      <c r="N286" s="38" t="n">
        <f aca="false">IF((H286=1),M286-D286,0)</f>
        <v>0</v>
      </c>
      <c r="O286" s="16" t="n">
        <v>269</v>
      </c>
      <c r="P286" s="41" t="n">
        <f aca="false">IF((Arterial=0),P285+1,P285)</f>
        <v>127</v>
      </c>
      <c r="Q286" s="41" t="n">
        <f aca="false">IF((Arterial=1),Q285+1,Q285)</f>
        <v>142</v>
      </c>
      <c r="R286" s="42" t="e">
        <f aca="false">IF((RESET=1),0,R286+K286)</f>
        <v>#N/A</v>
      </c>
      <c r="S286" s="14" t="n">
        <f aca="false">IF(RESET=1,0,S286+N286)</f>
        <v>363.359505983125</v>
      </c>
      <c r="T286" s="2" t="e">
        <f aca="false">IF(RESET=1,0,T286+IF(H286=0,1,0))</f>
        <v>#N/A</v>
      </c>
      <c r="U286" s="2" t="n">
        <f aca="false">IF(RESET=1,0,U286+H286)</f>
        <v>36</v>
      </c>
      <c r="V286" s="14" t="e">
        <f aca="false">R286/(T286+0.00001)</f>
        <v>#N/A</v>
      </c>
      <c r="W286" s="14" t="n">
        <f aca="false">S286/(U286+0.0001)</f>
        <v>10.0932915737213</v>
      </c>
      <c r="X286" s="39" t="n">
        <f aca="false">IF(Informed=1,K286,0)</f>
        <v>0</v>
      </c>
      <c r="Y286" s="39" t="n">
        <f aca="false">IF(Informed=0,K286,0)</f>
        <v>14.6249487650657</v>
      </c>
      <c r="Z286" s="39" t="n">
        <f aca="false">IF(Informed=1,N286,0)</f>
        <v>0</v>
      </c>
      <c r="AA286" s="39" t="n">
        <f aca="false">IF(Informed=0,N286,0)</f>
        <v>0</v>
      </c>
      <c r="AB286" s="43" t="n">
        <f aca="false">IF(Arterial=0,IF(Informed=1,1,0),0)</f>
        <v>0</v>
      </c>
      <c r="AC286" s="43" t="n">
        <f aca="false">IF(Arterial=0,IF(Informed=0,1,0),0)</f>
        <v>1</v>
      </c>
      <c r="AD286" s="43" t="n">
        <f aca="false">IF(Arterial=1,IF(Informed=1,1,0),0)</f>
        <v>0</v>
      </c>
      <c r="AE286" s="43" t="n">
        <f aca="false">IF(Arterial=1,IF(Informed=0,1,0),0)</f>
        <v>0</v>
      </c>
      <c r="AF286" s="35" t="n">
        <f aca="false">IF(AB286=1,(X286-G$1030)^2,0)</f>
        <v>0</v>
      </c>
      <c r="AG286" s="35" t="n">
        <f aca="false">IF(AC286=1,(Y286-H$1030)^2,0)</f>
        <v>13.6986113599243</v>
      </c>
      <c r="AH286" s="35" t="n">
        <f aca="false">IF(AD286=1,(Z286-I$1030)^2,0)</f>
        <v>0</v>
      </c>
      <c r="AI286" s="35" t="n">
        <f aca="false">IF(AE286=1,(AA286-J$1030)^2,0)</f>
        <v>0</v>
      </c>
      <c r="AJ286" s="37" t="n">
        <f aca="true">IF(RAND()&lt;$D$6,1,0)</f>
        <v>0</v>
      </c>
      <c r="AK286" s="14" t="n">
        <f aca="false">AK285+IF((AJ286=1),IF((H286=0),1,0),0)</f>
        <v>0</v>
      </c>
      <c r="AL286" s="14" t="n">
        <f aca="false">AL285+IF((AJ286=1),IF((H286=1),1,0),0)</f>
        <v>0</v>
      </c>
      <c r="AM286" s="37" t="n">
        <f aca="false">IF(AK286=0,9999,IF($H286=0,IF($AJ286&lt;1,AM285+1,0),AM285))</f>
        <v>9999</v>
      </c>
      <c r="AN286" s="37" t="n">
        <f aca="false">IF(AL286=0,9999,IF($H286=1,IF($AJ286&lt;1,AN285+1,0),AN285))</f>
        <v>9999</v>
      </c>
      <c r="AO286" s="37" t="n">
        <f aca="false">IF($A286-AM286&gt;0,1/(1+AM286),0)</f>
        <v>0</v>
      </c>
      <c r="AP286" s="37" t="n">
        <f aca="false">IF($A286-AN286&gt;0,1/(1+AN286),0)</f>
        <v>0</v>
      </c>
      <c r="AQ286" s="7" t="n">
        <f aca="false">IF(AK286=0,0,MAX(MIN(1,AO286^Power),0))</f>
        <v>0</v>
      </c>
      <c r="AR286" s="7" t="n">
        <f aca="false">IF(AL286=0,0,MAX(MIN(1,AP286^Power),0))</f>
        <v>0</v>
      </c>
      <c r="AS286" s="7" t="n">
        <f aca="false">IF($AJ286=1,IF($H286=0,K286,AS285),AS285)</f>
        <v>0</v>
      </c>
      <c r="AT286" s="7" t="n">
        <f aca="false">IF($AJ286=1,IF($H286=1,N286,AT285),AT285)</f>
        <v>0</v>
      </c>
    </row>
    <row r="287" customFormat="false" ht="13" hidden="false" customHeight="false" outlineLevel="0" collapsed="false">
      <c r="A287" s="16" t="n">
        <v>270</v>
      </c>
      <c r="B287" s="37" t="n">
        <f aca="true">IF(RAND()&lt;$D$8,1,0)</f>
        <v>1</v>
      </c>
      <c r="C287" s="20" t="n">
        <f aca="true">-LN(RAND())/$D$2</f>
        <v>0.192525757021366</v>
      </c>
      <c r="D287" s="38" t="n">
        <f aca="false">D286+C287</f>
        <v>292.507509168599</v>
      </c>
      <c r="E287" s="39" t="n">
        <f aca="false">MAX($E$3,AS286)</f>
        <v>0</v>
      </c>
      <c r="F287" s="39" t="n">
        <f aca="false">MAX($E$3,AT286)</f>
        <v>0</v>
      </c>
      <c r="G287" s="40" t="n">
        <v>0.5</v>
      </c>
      <c r="H287" s="38" t="n">
        <f aca="true">IF((B287=1),(IF((F287&lt;E287),1,(IF((F287=E287),(IF(RAND()&lt;G287,1,0)),0)))),(IF((RAND()&lt;G287),1,0)))</f>
        <v>1</v>
      </c>
      <c r="I287" s="38" t="n">
        <f aca="true">IF((H287=1),0,$D$3+$D$5*(RAND()-0.5))</f>
        <v>0</v>
      </c>
      <c r="J287" s="38" t="n">
        <f aca="false">I287+MAX(D287,J286)</f>
        <v>306.939932176644</v>
      </c>
      <c r="K287" s="38" t="n">
        <f aca="false">IF((H287=0),J287-D287,0)</f>
        <v>0</v>
      </c>
      <c r="L287" s="38" t="n">
        <f aca="true">IF(($H287=0),0,$D$4+$D$5*(RAND()-0.5))</f>
        <v>2.12661559291937</v>
      </c>
      <c r="M287" s="38" t="n">
        <f aca="false">L287+MAX(D287,M286)</f>
        <v>311.638077997244</v>
      </c>
      <c r="N287" s="38" t="n">
        <f aca="false">IF((H287=1),M287-D287,0)</f>
        <v>19.1305688286442</v>
      </c>
      <c r="O287" s="16" t="n">
        <v>270</v>
      </c>
      <c r="P287" s="41" t="n">
        <f aca="false">IF((Arterial=0),P286+1,P286)</f>
        <v>127</v>
      </c>
      <c r="Q287" s="41" t="n">
        <f aca="false">IF((Arterial=1),Q286+1,Q286)</f>
        <v>143</v>
      </c>
      <c r="R287" s="42" t="n">
        <f aca="false">IF((RESET=1),0,R287+K287)</f>
        <v>507.584111417817</v>
      </c>
      <c r="S287" s="14" t="e">
        <f aca="false">IF(RESET=1,0,S287+N287)</f>
        <v>#N/A</v>
      </c>
      <c r="T287" s="2" t="n">
        <f aca="false">IF(RESET=1,0,T287+IF(H287=0,1,0))</f>
        <v>30</v>
      </c>
      <c r="U287" s="2" t="e">
        <f aca="false">IF(RESET=1,0,U287+H287)</f>
        <v>#N/A</v>
      </c>
      <c r="V287" s="14" t="n">
        <f aca="false">R287/(T287+0.00001)</f>
        <v>16.9194647407723</v>
      </c>
      <c r="W287" s="14" t="e">
        <f aca="false">S287/(U287+0.0001)</f>
        <v>#N/A</v>
      </c>
      <c r="X287" s="39" t="n">
        <f aca="false">IF(Informed=1,K287,0)</f>
        <v>0</v>
      </c>
      <c r="Y287" s="39" t="n">
        <f aca="false">IF(Informed=0,K287,0)</f>
        <v>0</v>
      </c>
      <c r="Z287" s="39" t="n">
        <f aca="false">IF(Informed=1,N287,0)</f>
        <v>19.1305688286442</v>
      </c>
      <c r="AA287" s="39" t="n">
        <f aca="false">IF(Informed=0,N287,0)</f>
        <v>0</v>
      </c>
      <c r="AB287" s="43" t="n">
        <f aca="false">IF(Arterial=0,IF(Informed=1,1,0),0)</f>
        <v>0</v>
      </c>
      <c r="AC287" s="43" t="n">
        <f aca="false">IF(Arterial=0,IF(Informed=0,1,0),0)</f>
        <v>0</v>
      </c>
      <c r="AD287" s="43" t="n">
        <f aca="false">IF(Arterial=1,IF(Informed=1,1,0),0)</f>
        <v>1</v>
      </c>
      <c r="AE287" s="43" t="n">
        <f aca="false">IF(Arterial=1,IF(Informed=0,1,0),0)</f>
        <v>0</v>
      </c>
      <c r="AF287" s="35" t="n">
        <f aca="false">IF(AB287=1,(X287-G$1030)^2,0)</f>
        <v>0</v>
      </c>
      <c r="AG287" s="35" t="n">
        <f aca="false">IF(AC287=1,(Y287-H$1030)^2,0)</f>
        <v>0</v>
      </c>
      <c r="AH287" s="35" t="n">
        <f aca="false">IF(AD287=1,(Z287-I$1030)^2,0)</f>
        <v>85.4564532241113</v>
      </c>
      <c r="AI287" s="35" t="n">
        <f aca="false">IF(AE287=1,(AA287-J$1030)^2,0)</f>
        <v>0</v>
      </c>
      <c r="AJ287" s="37" t="n">
        <f aca="true">IF(RAND()&lt;$D$6,1,0)</f>
        <v>0</v>
      </c>
      <c r="AK287" s="14" t="n">
        <f aca="false">AK286+IF((AJ287=1),IF((H287=0),1,0),0)</f>
        <v>0</v>
      </c>
      <c r="AL287" s="14" t="n">
        <f aca="false">AL286+IF((AJ287=1),IF((H287=1),1,0),0)</f>
        <v>0</v>
      </c>
      <c r="AM287" s="37" t="n">
        <f aca="false">IF(AK287=0,9999,IF($H287=0,IF($AJ287&lt;1,AM286+1,0),AM286))</f>
        <v>9999</v>
      </c>
      <c r="AN287" s="37" t="n">
        <f aca="false">IF(AL287=0,9999,IF($H287=1,IF($AJ287&lt;1,AN286+1,0),AN286))</f>
        <v>9999</v>
      </c>
      <c r="AO287" s="37" t="n">
        <f aca="false">IF($A287-AM287&gt;0,1/(1+AM287),0)</f>
        <v>0</v>
      </c>
      <c r="AP287" s="37" t="n">
        <f aca="false">IF($A287-AN287&gt;0,1/(1+AN287),0)</f>
        <v>0</v>
      </c>
      <c r="AQ287" s="7" t="n">
        <f aca="false">IF(AK287=0,0,MAX(MIN(1,AO287^Power),0))</f>
        <v>0</v>
      </c>
      <c r="AR287" s="7" t="n">
        <f aca="false">IF(AL287=0,0,MAX(MIN(1,AP287^Power),0))</f>
        <v>0</v>
      </c>
      <c r="AS287" s="7" t="n">
        <f aca="false">IF($AJ287=1,IF($H287=0,K287,AS286),AS286)</f>
        <v>0</v>
      </c>
      <c r="AT287" s="7" t="n">
        <f aca="false">IF($AJ287=1,IF($H287=1,N287,AT286),AT286)</f>
        <v>0</v>
      </c>
    </row>
    <row r="288" customFormat="false" ht="13" hidden="false" customHeight="false" outlineLevel="0" collapsed="false">
      <c r="A288" s="16" t="n">
        <v>271</v>
      </c>
      <c r="B288" s="37" t="n">
        <f aca="true">IF(RAND()&lt;$D$8,1,0)</f>
        <v>1</v>
      </c>
      <c r="C288" s="20" t="n">
        <f aca="true">-LN(RAND())/$D$2</f>
        <v>0.727616170381819</v>
      </c>
      <c r="D288" s="38" t="n">
        <f aca="false">D287+C288</f>
        <v>293.235125338981</v>
      </c>
      <c r="E288" s="39" t="n">
        <f aca="false">MAX($E$3,AS287)</f>
        <v>0</v>
      </c>
      <c r="F288" s="39" t="n">
        <f aca="false">MAX($E$3,AT287)</f>
        <v>0</v>
      </c>
      <c r="G288" s="40" t="n">
        <v>0.5</v>
      </c>
      <c r="H288" s="38" t="n">
        <f aca="true">IF((B288=1),(IF((F288&lt;E288),1,(IF((F288=E288),(IF(RAND()&lt;G288,1,0)),0)))),(IF((RAND()&lt;G288),1,0)))</f>
        <v>1</v>
      </c>
      <c r="I288" s="38" t="n">
        <f aca="true">IF((H288=1),0,$D$3+$D$5*(RAND()-0.5))</f>
        <v>0</v>
      </c>
      <c r="J288" s="38" t="n">
        <f aca="false">I288+MAX(D288,J287)</f>
        <v>306.939932176644</v>
      </c>
      <c r="K288" s="38" t="n">
        <f aca="false">IF((H288=0),J288-D288,0)</f>
        <v>0</v>
      </c>
      <c r="L288" s="38" t="n">
        <f aca="true">IF(($H288=0),0,$D$4+$D$5*(RAND()-0.5))</f>
        <v>2.04756501287323</v>
      </c>
      <c r="M288" s="38" t="n">
        <f aca="false">L288+MAX(D288,M287)</f>
        <v>313.685643010117</v>
      </c>
      <c r="N288" s="38" t="n">
        <f aca="false">IF((H288=1),M288-D288,0)</f>
        <v>20.4505176711356</v>
      </c>
      <c r="O288" s="16" t="n">
        <v>271</v>
      </c>
      <c r="P288" s="41" t="n">
        <f aca="false">IF((Arterial=0),P287+1,P287)</f>
        <v>127</v>
      </c>
      <c r="Q288" s="41" t="n">
        <f aca="false">IF((Arterial=1),Q287+1,Q287)</f>
        <v>144</v>
      </c>
      <c r="R288" s="42" t="n">
        <f aca="false">IF((RESET=1),0,R288+K288)</f>
        <v>668.236638645382</v>
      </c>
      <c r="S288" s="14" t="e">
        <f aca="false">IF(RESET=1,0,S288+N288)</f>
        <v>#N/A</v>
      </c>
      <c r="T288" s="2" t="n">
        <f aca="false">IF(RESET=1,0,T288+IF(H288=0,1,0))</f>
        <v>45</v>
      </c>
      <c r="U288" s="2" t="e">
        <f aca="false">IF(RESET=1,0,U288+H288)</f>
        <v>#N/A</v>
      </c>
      <c r="V288" s="14" t="n">
        <f aca="false">R288/(T288+0.00001)</f>
        <v>14.8496997810752</v>
      </c>
      <c r="W288" s="14" t="e">
        <f aca="false">S288/(U288+0.0001)</f>
        <v>#N/A</v>
      </c>
      <c r="X288" s="39" t="n">
        <f aca="false">IF(Informed=1,K288,0)</f>
        <v>0</v>
      </c>
      <c r="Y288" s="39" t="n">
        <f aca="false">IF(Informed=0,K288,0)</f>
        <v>0</v>
      </c>
      <c r="Z288" s="39" t="n">
        <f aca="false">IF(Informed=1,N288,0)</f>
        <v>20.4505176711356</v>
      </c>
      <c r="AA288" s="39" t="n">
        <f aca="false">IF(Informed=0,N288,0)</f>
        <v>0</v>
      </c>
      <c r="AB288" s="43" t="n">
        <f aca="false">IF(Arterial=0,IF(Informed=1,1,0),0)</f>
        <v>0</v>
      </c>
      <c r="AC288" s="43" t="n">
        <f aca="false">IF(Arterial=0,IF(Informed=0,1,0),0)</f>
        <v>0</v>
      </c>
      <c r="AD288" s="43" t="n">
        <f aca="false">IF(Arterial=1,IF(Informed=1,1,0),0)</f>
        <v>1</v>
      </c>
      <c r="AE288" s="43" t="n">
        <f aca="false">IF(Arterial=1,IF(Informed=0,1,0),0)</f>
        <v>0</v>
      </c>
      <c r="AF288" s="35" t="n">
        <f aca="false">IF(AB288=1,(X288-G$1030)^2,0)</f>
        <v>0</v>
      </c>
      <c r="AG288" s="35" t="n">
        <f aca="false">IF(AC288=1,(Y288-H$1030)^2,0)</f>
        <v>0</v>
      </c>
      <c r="AH288" s="35" t="n">
        <f aca="false">IF(AD288=1,(Z288-I$1030)^2,0)</f>
        <v>62.7948018516137</v>
      </c>
      <c r="AI288" s="35" t="n">
        <f aca="false">IF(AE288=1,(AA288-J$1030)^2,0)</f>
        <v>0</v>
      </c>
      <c r="AJ288" s="37" t="n">
        <f aca="true">IF(RAND()&lt;$D$6,1,0)</f>
        <v>0</v>
      </c>
      <c r="AK288" s="14" t="n">
        <f aca="false">AK287+IF((AJ288=1),IF((H288=0),1,0),0)</f>
        <v>0</v>
      </c>
      <c r="AL288" s="14" t="n">
        <f aca="false">AL287+IF((AJ288=1),IF((H288=1),1,0),0)</f>
        <v>0</v>
      </c>
      <c r="AM288" s="37" t="n">
        <f aca="false">IF(AK288=0,9999,IF($H288=0,IF($AJ288&lt;1,AM287+1,0),AM287))</f>
        <v>9999</v>
      </c>
      <c r="AN288" s="37" t="n">
        <f aca="false">IF(AL288=0,9999,IF($H288=1,IF($AJ288&lt;1,AN287+1,0),AN287))</f>
        <v>9999</v>
      </c>
      <c r="AO288" s="37" t="n">
        <f aca="false">IF($A288-AM288&gt;0,1/(1+AM288),0)</f>
        <v>0</v>
      </c>
      <c r="AP288" s="37" t="n">
        <f aca="false">IF($A288-AN288&gt;0,1/(1+AN288),0)</f>
        <v>0</v>
      </c>
      <c r="AQ288" s="7" t="n">
        <f aca="false">IF(AK288=0,0,MAX(MIN(1,AO288^Power),0))</f>
        <v>0</v>
      </c>
      <c r="AR288" s="7" t="n">
        <f aca="false">IF(AL288=0,0,MAX(MIN(1,AP288^Power),0))</f>
        <v>0</v>
      </c>
      <c r="AS288" s="7" t="n">
        <f aca="false">IF($AJ288=1,IF($H288=0,K288,AS287),AS287)</f>
        <v>0</v>
      </c>
      <c r="AT288" s="7" t="n">
        <f aca="false">IF($AJ288=1,IF($H288=1,N288,AT287),AT287)</f>
        <v>0</v>
      </c>
    </row>
    <row r="289" customFormat="false" ht="13" hidden="false" customHeight="false" outlineLevel="0" collapsed="false">
      <c r="A289" s="16" t="n">
        <v>272</v>
      </c>
      <c r="B289" s="37" t="n">
        <f aca="true">IF(RAND()&lt;$D$8,1,0)</f>
        <v>1</v>
      </c>
      <c r="C289" s="20" t="n">
        <f aca="true">-LN(RAND())/$D$2</f>
        <v>0.16726795128537</v>
      </c>
      <c r="D289" s="38" t="n">
        <f aca="false">D288+C289</f>
        <v>293.402393290267</v>
      </c>
      <c r="E289" s="39" t="n">
        <f aca="false">MAX($E$3,AS288)</f>
        <v>0</v>
      </c>
      <c r="F289" s="39" t="n">
        <f aca="false">MAX($E$3,AT288)</f>
        <v>0</v>
      </c>
      <c r="G289" s="40" t="n">
        <v>0.5</v>
      </c>
      <c r="H289" s="38" t="n">
        <f aca="true">IF((B289=1),(IF((F289&lt;E289),1,(IF((F289=E289),(IF(RAND()&lt;G289,1,0)),0)))),(IF((RAND()&lt;G289),1,0)))</f>
        <v>1</v>
      </c>
      <c r="I289" s="38" t="n">
        <f aca="true">IF((H289=1),0,$D$3+$D$5*(RAND()-0.5))</f>
        <v>0</v>
      </c>
      <c r="J289" s="38" t="n">
        <f aca="false">I289+MAX(D289,J288)</f>
        <v>306.939932176644</v>
      </c>
      <c r="K289" s="38" t="n">
        <f aca="false">IF((H289=0),J289-D289,0)</f>
        <v>0</v>
      </c>
      <c r="L289" s="38" t="n">
        <f aca="true">IF(($H289=0),0,$D$4+$D$5*(RAND()-0.5))</f>
        <v>2.16241429098571</v>
      </c>
      <c r="M289" s="38" t="n">
        <f aca="false">L289+MAX(D289,M288)</f>
        <v>315.848057301103</v>
      </c>
      <c r="N289" s="38" t="n">
        <f aca="false">IF((H289=1),M289-D289,0)</f>
        <v>22.445664010836</v>
      </c>
      <c r="O289" s="16" t="n">
        <v>272</v>
      </c>
      <c r="P289" s="41" t="n">
        <f aca="false">IF((Arterial=0),P288+1,P288)</f>
        <v>127</v>
      </c>
      <c r="Q289" s="41" t="n">
        <f aca="false">IF((Arterial=1),Q288+1,Q288)</f>
        <v>145</v>
      </c>
      <c r="R289" s="42" t="n">
        <f aca="false">IF((RESET=1),0,R289+K289)</f>
        <v>564.465588001837</v>
      </c>
      <c r="S289" s="14" t="e">
        <f aca="false">IF(RESET=1,0,S289+N289)</f>
        <v>#N/A</v>
      </c>
      <c r="T289" s="2" t="n">
        <f aca="false">IF(RESET=1,0,T289+IF(H289=0,1,0))</f>
        <v>40</v>
      </c>
      <c r="U289" s="2" t="e">
        <f aca="false">IF(RESET=1,0,U289+H289)</f>
        <v>#N/A</v>
      </c>
      <c r="V289" s="14" t="n">
        <f aca="false">R289/(T289+0.00001)</f>
        <v>14.1116361721369</v>
      </c>
      <c r="W289" s="14" t="e">
        <f aca="false">S289/(U289+0.0001)</f>
        <v>#N/A</v>
      </c>
      <c r="X289" s="39" t="n">
        <f aca="false">IF(Informed=1,K289,0)</f>
        <v>0</v>
      </c>
      <c r="Y289" s="39" t="n">
        <f aca="false">IF(Informed=0,K289,0)</f>
        <v>0</v>
      </c>
      <c r="Z289" s="39" t="n">
        <f aca="false">IF(Informed=1,N289,0)</f>
        <v>22.445664010836</v>
      </c>
      <c r="AA289" s="39" t="n">
        <f aca="false">IF(Informed=0,N289,0)</f>
        <v>0</v>
      </c>
      <c r="AB289" s="43" t="n">
        <f aca="false">IF(Arterial=0,IF(Informed=1,1,0),0)</f>
        <v>0</v>
      </c>
      <c r="AC289" s="43" t="n">
        <f aca="false">IF(Arterial=0,IF(Informed=0,1,0),0)</f>
        <v>0</v>
      </c>
      <c r="AD289" s="43" t="n">
        <f aca="false">IF(Arterial=1,IF(Informed=1,1,0),0)</f>
        <v>1</v>
      </c>
      <c r="AE289" s="43" t="n">
        <f aca="false">IF(Arterial=1,IF(Informed=0,1,0),0)</f>
        <v>0</v>
      </c>
      <c r="AF289" s="35" t="n">
        <f aca="false">IF(AB289=1,(X289-G$1030)^2,0)</f>
        <v>0</v>
      </c>
      <c r="AG289" s="35" t="n">
        <f aca="false">IF(AC289=1,(Y289-H$1030)^2,0)</f>
        <v>0</v>
      </c>
      <c r="AH289" s="35" t="n">
        <f aca="false">IF(AD289=1,(Z289-I$1030)^2,0)</f>
        <v>35.1550661668666</v>
      </c>
      <c r="AI289" s="35" t="n">
        <f aca="false">IF(AE289=1,(AA289-J$1030)^2,0)</f>
        <v>0</v>
      </c>
      <c r="AJ289" s="37" t="n">
        <f aca="true">IF(RAND()&lt;$D$6,1,0)</f>
        <v>0</v>
      </c>
      <c r="AK289" s="14" t="n">
        <f aca="false">AK288+IF((AJ289=1),IF((H289=0),1,0),0)</f>
        <v>0</v>
      </c>
      <c r="AL289" s="14" t="n">
        <f aca="false">AL288+IF((AJ289=1),IF((H289=1),1,0),0)</f>
        <v>0</v>
      </c>
      <c r="AM289" s="37" t="n">
        <f aca="false">IF(AK289=0,9999,IF($H289=0,IF($AJ289&lt;1,AM288+1,0),AM288))</f>
        <v>9999</v>
      </c>
      <c r="AN289" s="37" t="n">
        <f aca="false">IF(AL289=0,9999,IF($H289=1,IF($AJ289&lt;1,AN288+1,0),AN288))</f>
        <v>9999</v>
      </c>
      <c r="AO289" s="37" t="n">
        <f aca="false">IF($A289-AM289&gt;0,1/(1+AM289),0)</f>
        <v>0</v>
      </c>
      <c r="AP289" s="37" t="n">
        <f aca="false">IF($A289-AN289&gt;0,1/(1+AN289),0)</f>
        <v>0</v>
      </c>
      <c r="AQ289" s="7" t="n">
        <f aca="false">IF(AK289=0,0,MAX(MIN(1,AO289^Power),0))</f>
        <v>0</v>
      </c>
      <c r="AR289" s="7" t="n">
        <f aca="false">IF(AL289=0,0,MAX(MIN(1,AP289^Power),0))</f>
        <v>0</v>
      </c>
      <c r="AS289" s="7" t="n">
        <f aca="false">IF($AJ289=1,IF($H289=0,K289,AS288),AS288)</f>
        <v>0</v>
      </c>
      <c r="AT289" s="7" t="n">
        <f aca="false">IF($AJ289=1,IF($H289=1,N289,AT288),AT288)</f>
        <v>0</v>
      </c>
    </row>
    <row r="290" customFormat="false" ht="13" hidden="false" customHeight="false" outlineLevel="0" collapsed="false">
      <c r="A290" s="16" t="n">
        <v>273</v>
      </c>
      <c r="B290" s="37" t="n">
        <f aca="true">IF(RAND()&lt;$D$8,1,0)</f>
        <v>0</v>
      </c>
      <c r="C290" s="20" t="n">
        <f aca="true">-LN(RAND())/$D$2</f>
        <v>0.340826915841955</v>
      </c>
      <c r="D290" s="38" t="n">
        <f aca="false">D289+C290</f>
        <v>293.743220206109</v>
      </c>
      <c r="E290" s="39" t="n">
        <f aca="false">MAX($E$3,AS289)</f>
        <v>0</v>
      </c>
      <c r="F290" s="39" t="n">
        <f aca="false">MAX($E$3,AT289)</f>
        <v>0</v>
      </c>
      <c r="G290" s="40" t="n">
        <v>0.5</v>
      </c>
      <c r="H290" s="38" t="n">
        <f aca="true">IF((B290=1),(IF((F290&lt;E290),1,(IF((F290=E290),(IF(RAND()&lt;G290,1,0)),0)))),(IF((RAND()&lt;G290),1,0)))</f>
        <v>0</v>
      </c>
      <c r="I290" s="38" t="n">
        <f aca="true">IF((H290=1),0,$D$3+$D$5*(RAND()-0.5))</f>
        <v>1.86646650985558</v>
      </c>
      <c r="J290" s="38" t="n">
        <f aca="false">I290+MAX(D290,J289)</f>
        <v>308.806398686499</v>
      </c>
      <c r="K290" s="38" t="n">
        <f aca="false">IF((H290=0),J290-D290,0)</f>
        <v>15.0631784803907</v>
      </c>
      <c r="L290" s="38" t="n">
        <f aca="true">IF(($H290=0),0,$D$4+$D$5*(RAND()-0.5))</f>
        <v>0</v>
      </c>
      <c r="M290" s="38" t="n">
        <f aca="false">L290+MAX(D290,M289)</f>
        <v>315.848057301103</v>
      </c>
      <c r="N290" s="38" t="n">
        <f aca="false">IF((H290=1),M290-D290,0)</f>
        <v>0</v>
      </c>
      <c r="O290" s="16" t="n">
        <v>273</v>
      </c>
      <c r="P290" s="41" t="n">
        <f aca="false">IF((Arterial=0),P289+1,P289)</f>
        <v>128</v>
      </c>
      <c r="Q290" s="41" t="n">
        <f aca="false">IF((Arterial=1),Q289+1,Q289)</f>
        <v>145</v>
      </c>
      <c r="R290" s="42" t="e">
        <f aca="false">IF((RESET=1),0,R290+K290)</f>
        <v>#N/A</v>
      </c>
      <c r="S290" s="14" t="n">
        <f aca="false">IF(RESET=1,0,S290+N290)</f>
        <v>492.171078124149</v>
      </c>
      <c r="T290" s="2" t="e">
        <f aca="false">IF(RESET=1,0,T290+IF(H290=0,1,0))</f>
        <v>#N/A</v>
      </c>
      <c r="U290" s="2" t="n">
        <f aca="false">IF(RESET=1,0,U290+H290)</f>
        <v>38</v>
      </c>
      <c r="V290" s="14" t="e">
        <f aca="false">R290/(T290+0.00001)</f>
        <v>#N/A</v>
      </c>
      <c r="W290" s="14" t="n">
        <f aca="false">S290/(U290+0.0001)</f>
        <v>12.9518363931713</v>
      </c>
      <c r="X290" s="39" t="n">
        <f aca="false">IF(Informed=1,K290,0)</f>
        <v>0</v>
      </c>
      <c r="Y290" s="39" t="n">
        <f aca="false">IF(Informed=0,K290,0)</f>
        <v>15.0631784803907</v>
      </c>
      <c r="Z290" s="39" t="n">
        <f aca="false">IF(Informed=1,N290,0)</f>
        <v>0</v>
      </c>
      <c r="AA290" s="39" t="n">
        <f aca="false">IF(Informed=0,N290,0)</f>
        <v>0</v>
      </c>
      <c r="AB290" s="43" t="n">
        <f aca="false">IF(Arterial=0,IF(Informed=1,1,0),0)</f>
        <v>0</v>
      </c>
      <c r="AC290" s="43" t="n">
        <f aca="false">IF(Arterial=0,IF(Informed=0,1,0),0)</f>
        <v>1</v>
      </c>
      <c r="AD290" s="43" t="n">
        <f aca="false">IF(Arterial=1,IF(Informed=1,1,0),0)</f>
        <v>0</v>
      </c>
      <c r="AE290" s="43" t="n">
        <f aca="false">IF(Arterial=1,IF(Informed=0,1,0),0)</f>
        <v>0</v>
      </c>
      <c r="AF290" s="35" t="n">
        <f aca="false">IF(AB290=1,(X290-G$1030)^2,0)</f>
        <v>0</v>
      </c>
      <c r="AG290" s="35" t="n">
        <f aca="false">IF(AC290=1,(Y290-H$1030)^2,0)</f>
        <v>17.1345763098448</v>
      </c>
      <c r="AH290" s="35" t="n">
        <f aca="false">IF(AD290=1,(Z290-I$1030)^2,0)</f>
        <v>0</v>
      </c>
      <c r="AI290" s="35" t="n">
        <f aca="false">IF(AE290=1,(AA290-J$1030)^2,0)</f>
        <v>0</v>
      </c>
      <c r="AJ290" s="37" t="n">
        <f aca="true">IF(RAND()&lt;$D$6,1,0)</f>
        <v>0</v>
      </c>
      <c r="AK290" s="14" t="n">
        <f aca="false">AK289+IF((AJ290=1),IF((H290=0),1,0),0)</f>
        <v>0</v>
      </c>
      <c r="AL290" s="14" t="n">
        <f aca="false">AL289+IF((AJ290=1),IF((H290=1),1,0),0)</f>
        <v>0</v>
      </c>
      <c r="AM290" s="37" t="n">
        <f aca="false">IF(AK290=0,9999,IF($H290=0,IF($AJ290&lt;1,AM289+1,0),AM289))</f>
        <v>9999</v>
      </c>
      <c r="AN290" s="37" t="n">
        <f aca="false">IF(AL290=0,9999,IF($H290=1,IF($AJ290&lt;1,AN289+1,0),AN289))</f>
        <v>9999</v>
      </c>
      <c r="AO290" s="37" t="n">
        <f aca="false">IF($A290-AM290&gt;0,1/(1+AM290),0)</f>
        <v>0</v>
      </c>
      <c r="AP290" s="37" t="n">
        <f aca="false">IF($A290-AN290&gt;0,1/(1+AN290),0)</f>
        <v>0</v>
      </c>
      <c r="AQ290" s="7" t="n">
        <f aca="false">IF(AK290=0,0,MAX(MIN(1,AO290^Power),0))</f>
        <v>0</v>
      </c>
      <c r="AR290" s="7" t="n">
        <f aca="false">IF(AL290=0,0,MAX(MIN(1,AP290^Power),0))</f>
        <v>0</v>
      </c>
      <c r="AS290" s="7" t="n">
        <f aca="false">IF($AJ290=1,IF($H290=0,K290,AS289),AS289)</f>
        <v>0</v>
      </c>
      <c r="AT290" s="7" t="n">
        <f aca="false">IF($AJ290=1,IF($H290=1,N290,AT289),AT289)</f>
        <v>0</v>
      </c>
    </row>
    <row r="291" customFormat="false" ht="13" hidden="false" customHeight="false" outlineLevel="0" collapsed="false">
      <c r="A291" s="16" t="n">
        <v>274</v>
      </c>
      <c r="B291" s="37" t="n">
        <f aca="true">IF(RAND()&lt;$D$8,1,0)</f>
        <v>1</v>
      </c>
      <c r="C291" s="20" t="n">
        <f aca="true">-LN(RAND())/$D$2</f>
        <v>0.170921661211269</v>
      </c>
      <c r="D291" s="38" t="n">
        <f aca="false">D290+C291</f>
        <v>293.91414186732</v>
      </c>
      <c r="E291" s="39" t="n">
        <f aca="false">MAX($E$3,AS290)</f>
        <v>0</v>
      </c>
      <c r="F291" s="39" t="n">
        <f aca="false">MAX($E$3,AT290)</f>
        <v>0</v>
      </c>
      <c r="G291" s="40" t="n">
        <v>0.5</v>
      </c>
      <c r="H291" s="38" t="n">
        <f aca="true">IF((B291=1),(IF((F291&lt;E291),1,(IF((F291=E291),(IF(RAND()&lt;G291,1,0)),0)))),(IF((RAND()&lt;G291),1,0)))</f>
        <v>0</v>
      </c>
      <c r="I291" s="38" t="n">
        <f aca="true">IF((H291=1),0,$D$3+$D$5*(RAND()-0.5))</f>
        <v>1.95359310926231</v>
      </c>
      <c r="J291" s="38" t="n">
        <f aca="false">I291+MAX(D291,J290)</f>
        <v>310.759991795762</v>
      </c>
      <c r="K291" s="38" t="n">
        <f aca="false">IF((H291=0),J291-D291,0)</f>
        <v>16.8458499284418</v>
      </c>
      <c r="L291" s="38" t="n">
        <f aca="true">IF(($H291=0),0,$D$4+$D$5*(RAND()-0.5))</f>
        <v>0</v>
      </c>
      <c r="M291" s="38" t="n">
        <f aca="false">L291+MAX(D291,M290)</f>
        <v>315.848057301103</v>
      </c>
      <c r="N291" s="38" t="n">
        <f aca="false">IF((H291=1),M291-D291,0)</f>
        <v>0</v>
      </c>
      <c r="O291" s="16" t="n">
        <v>274</v>
      </c>
      <c r="P291" s="41" t="n">
        <f aca="false">IF((Arterial=0),P290+1,P290)</f>
        <v>129</v>
      </c>
      <c r="Q291" s="41" t="n">
        <f aca="false">IF((Arterial=1),Q290+1,Q290)</f>
        <v>145</v>
      </c>
      <c r="R291" s="42" t="e">
        <f aca="false">IF((RESET=1),0,R291+K291)</f>
        <v>#N/A</v>
      </c>
      <c r="S291" s="14" t="n">
        <f aca="false">IF(RESET=1,0,S291+N291)</f>
        <v>544.069816122161</v>
      </c>
      <c r="T291" s="2" t="e">
        <f aca="false">IF(RESET=1,0,T291+IF(H291=0,1,0))</f>
        <v>#N/A</v>
      </c>
      <c r="U291" s="2" t="n">
        <f aca="false">IF(RESET=1,0,U291+H291)</f>
        <v>42</v>
      </c>
      <c r="V291" s="14" t="e">
        <f aca="false">R291/(T291+0.00001)</f>
        <v>#N/A</v>
      </c>
      <c r="W291" s="14" t="n">
        <f aca="false">S291/(U291+0.0001)</f>
        <v>12.9540123981172</v>
      </c>
      <c r="X291" s="39" t="n">
        <f aca="false">IF(Informed=1,K291,0)</f>
        <v>16.8458499284418</v>
      </c>
      <c r="Y291" s="39" t="n">
        <f aca="false">IF(Informed=0,K291,0)</f>
        <v>0</v>
      </c>
      <c r="Z291" s="39" t="n">
        <f aca="false">IF(Informed=1,N291,0)</f>
        <v>0</v>
      </c>
      <c r="AA291" s="39" t="n">
        <f aca="false">IF(Informed=0,N291,0)</f>
        <v>0</v>
      </c>
      <c r="AB291" s="43" t="n">
        <f aca="false">IF(Arterial=0,IF(Informed=1,1,0),0)</f>
        <v>1</v>
      </c>
      <c r="AC291" s="43" t="n">
        <f aca="false">IF(Arterial=0,IF(Informed=0,1,0),0)</f>
        <v>0</v>
      </c>
      <c r="AD291" s="43" t="n">
        <f aca="false">IF(Arterial=1,IF(Informed=1,1,0),0)</f>
        <v>0</v>
      </c>
      <c r="AE291" s="43" t="n">
        <f aca="false">IF(Arterial=1,IF(Informed=0,1,0),0)</f>
        <v>0</v>
      </c>
      <c r="AF291" s="35" t="n">
        <f aca="false">IF(AB291=1,(X291-G$1030)^2,0)</f>
        <v>37.6526029682115</v>
      </c>
      <c r="AG291" s="35" t="n">
        <f aca="false">IF(AC291=1,(Y291-H$1030)^2,0)</f>
        <v>0</v>
      </c>
      <c r="AH291" s="35" t="n">
        <f aca="false">IF(AD291=1,(Z291-I$1030)^2,0)</f>
        <v>0</v>
      </c>
      <c r="AI291" s="35" t="n">
        <f aca="false">IF(AE291=1,(AA291-J$1030)^2,0)</f>
        <v>0</v>
      </c>
      <c r="AJ291" s="37" t="n">
        <f aca="true">IF(RAND()&lt;$D$6,1,0)</f>
        <v>0</v>
      </c>
      <c r="AK291" s="14" t="n">
        <f aca="false">AK290+IF((AJ291=1),IF((H291=0),1,0),0)</f>
        <v>0</v>
      </c>
      <c r="AL291" s="14" t="n">
        <f aca="false">AL290+IF((AJ291=1),IF((H291=1),1,0),0)</f>
        <v>0</v>
      </c>
      <c r="AM291" s="37" t="n">
        <f aca="false">IF(AK291=0,9999,IF($H291=0,IF($AJ291&lt;1,AM290+1,0),AM290))</f>
        <v>9999</v>
      </c>
      <c r="AN291" s="37" t="n">
        <f aca="false">IF(AL291=0,9999,IF($H291=1,IF($AJ291&lt;1,AN290+1,0),AN290))</f>
        <v>9999</v>
      </c>
      <c r="AO291" s="37" t="n">
        <f aca="false">IF($A291-AM291&gt;0,1/(1+AM291),0)</f>
        <v>0</v>
      </c>
      <c r="AP291" s="37" t="n">
        <f aca="false">IF($A291-AN291&gt;0,1/(1+AN291),0)</f>
        <v>0</v>
      </c>
      <c r="AQ291" s="7" t="n">
        <f aca="false">IF(AK291=0,0,MAX(MIN(1,AO291^Power),0))</f>
        <v>0</v>
      </c>
      <c r="AR291" s="7" t="n">
        <f aca="false">IF(AL291=0,0,MAX(MIN(1,AP291^Power),0))</f>
        <v>0</v>
      </c>
      <c r="AS291" s="7" t="n">
        <f aca="false">IF($AJ291=1,IF($H291=0,K291,AS290),AS290)</f>
        <v>0</v>
      </c>
      <c r="AT291" s="7" t="n">
        <f aca="false">IF($AJ291=1,IF($H291=1,N291,AT290),AT290)</f>
        <v>0</v>
      </c>
    </row>
    <row r="292" customFormat="false" ht="13" hidden="false" customHeight="false" outlineLevel="0" collapsed="false">
      <c r="A292" s="16" t="n">
        <v>275</v>
      </c>
      <c r="B292" s="37" t="n">
        <f aca="true">IF(RAND()&lt;$D$8,1,0)</f>
        <v>1</v>
      </c>
      <c r="C292" s="20" t="n">
        <f aca="true">-LN(RAND())/$D$2</f>
        <v>0.698821441083965</v>
      </c>
      <c r="D292" s="38" t="n">
        <f aca="false">D291+C292</f>
        <v>294.612963308404</v>
      </c>
      <c r="E292" s="39" t="n">
        <f aca="false">MAX($E$3,AS291)</f>
        <v>0</v>
      </c>
      <c r="F292" s="39" t="n">
        <f aca="false">MAX($E$3,AT291)</f>
        <v>0</v>
      </c>
      <c r="G292" s="40" t="n">
        <v>0.5</v>
      </c>
      <c r="H292" s="38" t="n">
        <f aca="true">IF((B292=1),(IF((F292&lt;E292),1,(IF((F292=E292),(IF(RAND()&lt;G292,1,0)),0)))),(IF((RAND()&lt;G292),1,0)))</f>
        <v>0</v>
      </c>
      <c r="I292" s="38" t="n">
        <f aca="true">IF((H292=1),0,$D$3+$D$5*(RAND()-0.5))</f>
        <v>1.92604012527886</v>
      </c>
      <c r="J292" s="38" t="n">
        <f aca="false">I292+MAX(D292,J291)</f>
        <v>312.68603192104</v>
      </c>
      <c r="K292" s="38" t="n">
        <f aca="false">IF((H292=0),J292-D292,0)</f>
        <v>18.0730686126367</v>
      </c>
      <c r="L292" s="38" t="n">
        <f aca="true">IF(($H292=0),0,$D$4+$D$5*(RAND()-0.5))</f>
        <v>0</v>
      </c>
      <c r="M292" s="38" t="n">
        <f aca="false">L292+MAX(D292,M291)</f>
        <v>315.848057301103</v>
      </c>
      <c r="N292" s="38" t="n">
        <f aca="false">IF((H292=1),M292-D292,0)</f>
        <v>0</v>
      </c>
      <c r="O292" s="16" t="n">
        <v>275</v>
      </c>
      <c r="P292" s="41" t="n">
        <f aca="false">IF((Arterial=0),P291+1,P291)</f>
        <v>130</v>
      </c>
      <c r="Q292" s="41" t="n">
        <f aca="false">IF((Arterial=1),Q291+1,Q291)</f>
        <v>145</v>
      </c>
      <c r="R292" s="42" t="e">
        <f aca="false">IF((RESET=1),0,R292+K292)</f>
        <v>#N/A</v>
      </c>
      <c r="S292" s="14" t="n">
        <f aca="false">IF(RESET=1,0,S292+N292)</f>
        <v>504.21911990492</v>
      </c>
      <c r="T292" s="2" t="e">
        <f aca="false">IF(RESET=1,0,T292+IF(H292=0,1,0))</f>
        <v>#N/A</v>
      </c>
      <c r="U292" s="2" t="n">
        <f aca="false">IF(RESET=1,0,U292+H292)</f>
        <v>40</v>
      </c>
      <c r="V292" s="14" t="e">
        <f aca="false">R292/(T292+0.00001)</f>
        <v>#N/A</v>
      </c>
      <c r="W292" s="14" t="n">
        <f aca="false">S292/(U292+0.0001)</f>
        <v>12.6054464840068</v>
      </c>
      <c r="X292" s="39" t="n">
        <f aca="false">IF(Informed=1,K292,0)</f>
        <v>18.0730686126367</v>
      </c>
      <c r="Y292" s="39" t="n">
        <f aca="false">IF(Informed=0,K292,0)</f>
        <v>0</v>
      </c>
      <c r="Z292" s="39" t="n">
        <f aca="false">IF(Informed=1,N292,0)</f>
        <v>0</v>
      </c>
      <c r="AA292" s="39" t="n">
        <f aca="false">IF(Informed=0,N292,0)</f>
        <v>0</v>
      </c>
      <c r="AB292" s="43" t="n">
        <f aca="false">IF(Arterial=0,IF(Informed=1,1,0),0)</f>
        <v>1</v>
      </c>
      <c r="AC292" s="43" t="n">
        <f aca="false">IF(Arterial=0,IF(Informed=0,1,0),0)</f>
        <v>0</v>
      </c>
      <c r="AD292" s="43" t="n">
        <f aca="false">IF(Arterial=1,IF(Informed=1,1,0),0)</f>
        <v>0</v>
      </c>
      <c r="AE292" s="43" t="n">
        <f aca="false">IF(Arterial=1,IF(Informed=0,1,0),0)</f>
        <v>0</v>
      </c>
      <c r="AF292" s="35" t="n">
        <f aca="false">IF(AB292=1,(X292-G$1030)^2,0)</f>
        <v>54.219517753651</v>
      </c>
      <c r="AG292" s="35" t="n">
        <f aca="false">IF(AC292=1,(Y292-H$1030)^2,0)</f>
        <v>0</v>
      </c>
      <c r="AH292" s="35" t="n">
        <f aca="false">IF(AD292=1,(Z292-I$1030)^2,0)</f>
        <v>0</v>
      </c>
      <c r="AI292" s="35" t="n">
        <f aca="false">IF(AE292=1,(AA292-J$1030)^2,0)</f>
        <v>0</v>
      </c>
      <c r="AJ292" s="37" t="n">
        <f aca="true">IF(RAND()&lt;$D$6,1,0)</f>
        <v>0</v>
      </c>
      <c r="AK292" s="14" t="n">
        <f aca="false">AK291+IF((AJ292=1),IF((H292=0),1,0),0)</f>
        <v>0</v>
      </c>
      <c r="AL292" s="14" t="n">
        <f aca="false">AL291+IF((AJ292=1),IF((H292=1),1,0),0)</f>
        <v>0</v>
      </c>
      <c r="AM292" s="37" t="n">
        <f aca="false">IF(AK292=0,9999,IF($H292=0,IF($AJ292&lt;1,AM291+1,0),AM291))</f>
        <v>9999</v>
      </c>
      <c r="AN292" s="37" t="n">
        <f aca="false">IF(AL292=0,9999,IF($H292=1,IF($AJ292&lt;1,AN291+1,0),AN291))</f>
        <v>9999</v>
      </c>
      <c r="AO292" s="37" t="n">
        <f aca="false">IF($A292-AM292&gt;0,1/(1+AM292),0)</f>
        <v>0</v>
      </c>
      <c r="AP292" s="37" t="n">
        <f aca="false">IF($A292-AN292&gt;0,1/(1+AN292),0)</f>
        <v>0</v>
      </c>
      <c r="AQ292" s="7" t="n">
        <f aca="false">IF(AK292=0,0,MAX(MIN(1,AO292^Power),0))</f>
        <v>0</v>
      </c>
      <c r="AR292" s="7" t="n">
        <f aca="false">IF(AL292=0,0,MAX(MIN(1,AP292^Power),0))</f>
        <v>0</v>
      </c>
      <c r="AS292" s="7" t="n">
        <f aca="false">IF($AJ292=1,IF($H292=0,K292,AS291),AS291)</f>
        <v>0</v>
      </c>
      <c r="AT292" s="7" t="n">
        <f aca="false">IF($AJ292=1,IF($H292=1,N292,AT291),AT291)</f>
        <v>0</v>
      </c>
    </row>
    <row r="293" customFormat="false" ht="13" hidden="false" customHeight="false" outlineLevel="0" collapsed="false">
      <c r="A293" s="16" t="n">
        <v>276</v>
      </c>
      <c r="B293" s="37" t="n">
        <f aca="true">IF(RAND()&lt;$D$8,1,0)</f>
        <v>0</v>
      </c>
      <c r="C293" s="20" t="n">
        <f aca="true">-LN(RAND())/$D$2</f>
        <v>0.716286208404495</v>
      </c>
      <c r="D293" s="38" t="n">
        <f aca="false">D292+C293</f>
        <v>295.329249516808</v>
      </c>
      <c r="E293" s="39" t="n">
        <f aca="false">MAX($E$3,AS292)</f>
        <v>0</v>
      </c>
      <c r="F293" s="39" t="n">
        <f aca="false">MAX($E$3,AT292)</f>
        <v>0</v>
      </c>
      <c r="G293" s="40" t="n">
        <v>0.5</v>
      </c>
      <c r="H293" s="38" t="n">
        <f aca="true">IF((B293=1),(IF((F293&lt;E293),1,(IF((F293=E293),(IF(RAND()&lt;G293,1,0)),0)))),(IF((RAND()&lt;G293),1,0)))</f>
        <v>1</v>
      </c>
      <c r="I293" s="38" t="n">
        <f aca="true">IF((H293=1),0,$D$3+$D$5*(RAND()-0.5))</f>
        <v>0</v>
      </c>
      <c r="J293" s="38" t="n">
        <f aca="false">I293+MAX(D293,J292)</f>
        <v>312.68603192104</v>
      </c>
      <c r="K293" s="38" t="n">
        <f aca="false">IF((H293=0),J293-D293,0)</f>
        <v>0</v>
      </c>
      <c r="L293" s="38" t="n">
        <f aca="true">IF(($H293=0),0,$D$4+$D$5*(RAND()-0.5))</f>
        <v>2.17982283753745</v>
      </c>
      <c r="M293" s="38" t="n">
        <f aca="false">L293+MAX(D293,M292)</f>
        <v>318.02788013864</v>
      </c>
      <c r="N293" s="38" t="n">
        <f aca="false">IF((H293=1),M293-D293,0)</f>
        <v>22.6986306218318</v>
      </c>
      <c r="O293" s="16" t="n">
        <v>276</v>
      </c>
      <c r="P293" s="41" t="n">
        <f aca="false">IF((Arterial=0),P292+1,P292)</f>
        <v>130</v>
      </c>
      <c r="Q293" s="41" t="n">
        <f aca="false">IF((Arterial=1),Q292+1,Q292)</f>
        <v>146</v>
      </c>
      <c r="R293" s="42" t="n">
        <f aca="false">IF((RESET=1),0,R293+K293)</f>
        <v>337.203599242938</v>
      </c>
      <c r="S293" s="14" t="e">
        <f aca="false">IF(RESET=1,0,S293+N293)</f>
        <v>#N/A</v>
      </c>
      <c r="T293" s="2" t="n">
        <f aca="false">IF(RESET=1,0,T293+IF(H293=0,1,0))</f>
        <v>22</v>
      </c>
      <c r="U293" s="2" t="e">
        <f aca="false">IF(RESET=1,0,U293+H293)</f>
        <v>#N/A</v>
      </c>
      <c r="V293" s="14" t="n">
        <f aca="false">R293/(T293+0.00001)</f>
        <v>15.3274293622111</v>
      </c>
      <c r="W293" s="14" t="e">
        <f aca="false">S293/(U293+0.0001)</f>
        <v>#N/A</v>
      </c>
      <c r="X293" s="39" t="n">
        <f aca="false">IF(Informed=1,K293,0)</f>
        <v>0</v>
      </c>
      <c r="Y293" s="39" t="n">
        <f aca="false">IF(Informed=0,K293,0)</f>
        <v>0</v>
      </c>
      <c r="Z293" s="39" t="n">
        <f aca="false">IF(Informed=1,N293,0)</f>
        <v>0</v>
      </c>
      <c r="AA293" s="39" t="n">
        <f aca="false">IF(Informed=0,N293,0)</f>
        <v>22.6986306218318</v>
      </c>
      <c r="AB293" s="43" t="n">
        <f aca="false">IF(Arterial=0,IF(Informed=1,1,0),0)</f>
        <v>0</v>
      </c>
      <c r="AC293" s="43" t="n">
        <f aca="false">IF(Arterial=0,IF(Informed=0,1,0),0)</f>
        <v>0</v>
      </c>
      <c r="AD293" s="43" t="n">
        <f aca="false">IF(Arterial=1,IF(Informed=1,1,0),0)</f>
        <v>0</v>
      </c>
      <c r="AE293" s="43" t="n">
        <f aca="false">IF(Arterial=1,IF(Informed=0,1,0),0)</f>
        <v>1</v>
      </c>
      <c r="AF293" s="35" t="n">
        <f aca="false">IF(AB293=1,(X293-G$1030)^2,0)</f>
        <v>0</v>
      </c>
      <c r="AG293" s="35" t="n">
        <f aca="false">IF(AC293=1,(Y293-H$1030)^2,0)</f>
        <v>0</v>
      </c>
      <c r="AH293" s="35" t="n">
        <f aca="false">IF(AD293=1,(Z293-I$1030)^2,0)</f>
        <v>0</v>
      </c>
      <c r="AI293" s="35" t="n">
        <f aca="false">IF(AE293=1,(AA293-J$1030)^2,0)</f>
        <v>47.13707259312</v>
      </c>
      <c r="AJ293" s="37" t="n">
        <f aca="true">IF(RAND()&lt;$D$6,1,0)</f>
        <v>0</v>
      </c>
      <c r="AK293" s="14" t="n">
        <f aca="false">AK292+IF((AJ293=1),IF((H293=0),1,0),0)</f>
        <v>0</v>
      </c>
      <c r="AL293" s="14" t="n">
        <f aca="false">AL292+IF((AJ293=1),IF((H293=1),1,0),0)</f>
        <v>0</v>
      </c>
      <c r="AM293" s="37" t="n">
        <f aca="false">IF(AK293=0,9999,IF($H293=0,IF($AJ293&lt;1,AM292+1,0),AM292))</f>
        <v>9999</v>
      </c>
      <c r="AN293" s="37" t="n">
        <f aca="false">IF(AL293=0,9999,IF($H293=1,IF($AJ293&lt;1,AN292+1,0),AN292))</f>
        <v>9999</v>
      </c>
      <c r="AO293" s="37" t="n">
        <f aca="false">IF($A293-AM293&gt;0,1/(1+AM293),0)</f>
        <v>0</v>
      </c>
      <c r="AP293" s="37" t="n">
        <f aca="false">IF($A293-AN293&gt;0,1/(1+AN293),0)</f>
        <v>0</v>
      </c>
      <c r="AQ293" s="7" t="n">
        <f aca="false">IF(AK293=0,0,MAX(MIN(1,AO293^Power),0))</f>
        <v>0</v>
      </c>
      <c r="AR293" s="7" t="n">
        <f aca="false">IF(AL293=0,0,MAX(MIN(1,AP293^Power),0))</f>
        <v>0</v>
      </c>
      <c r="AS293" s="7" t="n">
        <f aca="false">IF($AJ293=1,IF($H293=0,K293,AS292),AS292)</f>
        <v>0</v>
      </c>
      <c r="AT293" s="7" t="n">
        <f aca="false">IF($AJ293=1,IF($H293=1,N293,AT292),AT292)</f>
        <v>0</v>
      </c>
    </row>
    <row r="294" customFormat="false" ht="13" hidden="false" customHeight="false" outlineLevel="0" collapsed="false">
      <c r="A294" s="16" t="n">
        <v>277</v>
      </c>
      <c r="B294" s="37" t="n">
        <f aca="true">IF(RAND()&lt;$D$8,1,0)</f>
        <v>0</v>
      </c>
      <c r="C294" s="20" t="n">
        <f aca="true">-LN(RAND())/$D$2</f>
        <v>0.99410584378757</v>
      </c>
      <c r="D294" s="38" t="n">
        <f aca="false">D293+C294</f>
        <v>296.323355360596</v>
      </c>
      <c r="E294" s="39" t="n">
        <f aca="false">MAX($E$3,AS293)</f>
        <v>0</v>
      </c>
      <c r="F294" s="39" t="n">
        <f aca="false">MAX($E$3,AT293)</f>
        <v>0</v>
      </c>
      <c r="G294" s="40" t="n">
        <v>0.5</v>
      </c>
      <c r="H294" s="38" t="n">
        <f aca="true">IF((B294=1),(IF((F294&lt;E294),1,(IF((F294=E294),(IF(RAND()&lt;G294,1,0)),0)))),(IF((RAND()&lt;G294),1,0)))</f>
        <v>0</v>
      </c>
      <c r="I294" s="38" t="n">
        <f aca="true">IF((H294=1),0,$D$3+$D$5*(RAND()-0.5))</f>
        <v>2.17233502404235</v>
      </c>
      <c r="J294" s="38" t="n">
        <f aca="false">I294+MAX(D294,J293)</f>
        <v>314.858366945083</v>
      </c>
      <c r="K294" s="38" t="n">
        <f aca="false">IF((H294=0),J294-D294,0)</f>
        <v>18.535011584487</v>
      </c>
      <c r="L294" s="38" t="n">
        <f aca="true">IF(($H294=0),0,$D$4+$D$5*(RAND()-0.5))</f>
        <v>0</v>
      </c>
      <c r="M294" s="38" t="n">
        <f aca="false">L294+MAX(D294,M293)</f>
        <v>318.02788013864</v>
      </c>
      <c r="N294" s="38" t="n">
        <f aca="false">IF((H294=1),M294-D294,0)</f>
        <v>0</v>
      </c>
      <c r="O294" s="16" t="n">
        <v>277</v>
      </c>
      <c r="P294" s="41" t="n">
        <f aca="false">IF((Arterial=0),P293+1,P293)</f>
        <v>131</v>
      </c>
      <c r="Q294" s="41" t="n">
        <f aca="false">IF((Arterial=1),Q293+1,Q293)</f>
        <v>146</v>
      </c>
      <c r="R294" s="42" t="e">
        <f aca="false">IF((RESET=1),0,R294+K294)</f>
        <v>#N/A</v>
      </c>
      <c r="S294" s="14" t="n">
        <f aca="false">IF(RESET=1,0,S294+N294)</f>
        <v>437.146817426452</v>
      </c>
      <c r="T294" s="2" t="e">
        <f aca="false">IF(RESET=1,0,T294+IF(H294=0,1,0))</f>
        <v>#N/A</v>
      </c>
      <c r="U294" s="2" t="n">
        <f aca="false">IF(RESET=1,0,U294+H294)</f>
        <v>38</v>
      </c>
      <c r="V294" s="14" t="e">
        <f aca="false">R294/(T294+0.00001)</f>
        <v>#N/A</v>
      </c>
      <c r="W294" s="14" t="n">
        <f aca="false">S294/(U294+0.0001)</f>
        <v>11.5038333432399</v>
      </c>
      <c r="X294" s="39" t="n">
        <f aca="false">IF(Informed=1,K294,0)</f>
        <v>0</v>
      </c>
      <c r="Y294" s="39" t="n">
        <f aca="false">IF(Informed=0,K294,0)</f>
        <v>18.535011584487</v>
      </c>
      <c r="Z294" s="39" t="n">
        <f aca="false">IF(Informed=1,N294,0)</f>
        <v>0</v>
      </c>
      <c r="AA294" s="39" t="n">
        <f aca="false">IF(Informed=0,N294,0)</f>
        <v>0</v>
      </c>
      <c r="AB294" s="43" t="n">
        <f aca="false">IF(Arterial=0,IF(Informed=1,1,0),0)</f>
        <v>0</v>
      </c>
      <c r="AC294" s="43" t="n">
        <f aca="false">IF(Arterial=0,IF(Informed=0,1,0),0)</f>
        <v>1</v>
      </c>
      <c r="AD294" s="43" t="n">
        <f aca="false">IF(Arterial=1,IF(Informed=1,1,0),0)</f>
        <v>0</v>
      </c>
      <c r="AE294" s="43" t="n">
        <f aca="false">IF(Arterial=1,IF(Informed=0,1,0),0)</f>
        <v>0</v>
      </c>
      <c r="AF294" s="35" t="n">
        <f aca="false">IF(AB294=1,(X294-G$1030)^2,0)</f>
        <v>0</v>
      </c>
      <c r="AG294" s="35" t="n">
        <f aca="false">IF(AC294=1,(Y294-H$1030)^2,0)</f>
        <v>57.93076630383</v>
      </c>
      <c r="AH294" s="35" t="n">
        <f aca="false">IF(AD294=1,(Z294-I$1030)^2,0)</f>
        <v>0</v>
      </c>
      <c r="AI294" s="35" t="n">
        <f aca="false">IF(AE294=1,(AA294-J$1030)^2,0)</f>
        <v>0</v>
      </c>
      <c r="AJ294" s="37" t="n">
        <f aca="true">IF(RAND()&lt;$D$6,1,0)</f>
        <v>0</v>
      </c>
      <c r="AK294" s="14" t="n">
        <f aca="false">AK293+IF((AJ294=1),IF((H294=0),1,0),0)</f>
        <v>0</v>
      </c>
      <c r="AL294" s="14" t="n">
        <f aca="false">AL293+IF((AJ294=1),IF((H294=1),1,0),0)</f>
        <v>0</v>
      </c>
      <c r="AM294" s="37" t="n">
        <f aca="false">IF(AK294=0,9999,IF($H294=0,IF($AJ294&lt;1,AM293+1,0),AM293))</f>
        <v>9999</v>
      </c>
      <c r="AN294" s="37" t="n">
        <f aca="false">IF(AL294=0,9999,IF($H294=1,IF($AJ294&lt;1,AN293+1,0),AN293))</f>
        <v>9999</v>
      </c>
      <c r="AO294" s="37" t="n">
        <f aca="false">IF($A294-AM294&gt;0,1/(1+AM294),0)</f>
        <v>0</v>
      </c>
      <c r="AP294" s="37" t="n">
        <f aca="false">IF($A294-AN294&gt;0,1/(1+AN294),0)</f>
        <v>0</v>
      </c>
      <c r="AQ294" s="7" t="n">
        <f aca="false">IF(AK294=0,0,MAX(MIN(1,AO294^Power),0))</f>
        <v>0</v>
      </c>
      <c r="AR294" s="7" t="n">
        <f aca="false">IF(AL294=0,0,MAX(MIN(1,AP294^Power),0))</f>
        <v>0</v>
      </c>
      <c r="AS294" s="7" t="n">
        <f aca="false">IF($AJ294=1,IF($H294=0,K294,AS293),AS293)</f>
        <v>0</v>
      </c>
      <c r="AT294" s="7" t="n">
        <f aca="false">IF($AJ294=1,IF($H294=1,N294,AT293),AT293)</f>
        <v>0</v>
      </c>
    </row>
    <row r="295" customFormat="false" ht="13" hidden="false" customHeight="false" outlineLevel="0" collapsed="false">
      <c r="A295" s="16" t="n">
        <v>278</v>
      </c>
      <c r="B295" s="37" t="n">
        <f aca="true">IF(RAND()&lt;$D$8,1,0)</f>
        <v>0</v>
      </c>
      <c r="C295" s="20" t="n">
        <f aca="true">-LN(RAND())/$D$2</f>
        <v>0.472171172839338</v>
      </c>
      <c r="D295" s="38" t="n">
        <f aca="false">D294+C295</f>
        <v>296.795526533435</v>
      </c>
      <c r="E295" s="39" t="n">
        <f aca="false">MAX($E$3,AS294)</f>
        <v>0</v>
      </c>
      <c r="F295" s="39" t="n">
        <f aca="false">MAX($E$3,AT294)</f>
        <v>0</v>
      </c>
      <c r="G295" s="40" t="n">
        <v>0.5</v>
      </c>
      <c r="H295" s="38" t="n">
        <f aca="true">IF((B295=1),(IF((F295&lt;E295),1,(IF((F295=E295),(IF(RAND()&lt;G295,1,0)),0)))),(IF((RAND()&lt;G295),1,0)))</f>
        <v>1</v>
      </c>
      <c r="I295" s="38" t="n">
        <f aca="true">IF((H295=1),0,$D$3+$D$5*(RAND()-0.5))</f>
        <v>0</v>
      </c>
      <c r="J295" s="38" t="n">
        <f aca="false">I295+MAX(D295,J294)</f>
        <v>314.858366945083</v>
      </c>
      <c r="K295" s="38" t="n">
        <f aca="false">IF((H295=0),J295-D295,0)</f>
        <v>0</v>
      </c>
      <c r="L295" s="38" t="n">
        <f aca="true">IF(($H295=0),0,$D$4+$D$5*(RAND()-0.5))</f>
        <v>2.03581280714707</v>
      </c>
      <c r="M295" s="38" t="n">
        <f aca="false">L295+MAX(D295,M294)</f>
        <v>320.063692945787</v>
      </c>
      <c r="N295" s="38" t="n">
        <f aca="false">IF((H295=1),M295-D295,0)</f>
        <v>23.2681664123519</v>
      </c>
      <c r="O295" s="16" t="n">
        <v>278</v>
      </c>
      <c r="P295" s="41" t="n">
        <f aca="false">IF((Arterial=0),P294+1,P294)</f>
        <v>131</v>
      </c>
      <c r="Q295" s="41" t="n">
        <f aca="false">IF((Arterial=1),Q294+1,Q294)</f>
        <v>147</v>
      </c>
      <c r="R295" s="42" t="n">
        <f aca="false">IF((RESET=1),0,R295+K295)</f>
        <v>637.725795856108</v>
      </c>
      <c r="S295" s="14" t="e">
        <f aca="false">IF(RESET=1,0,S295+N295)</f>
        <v>#N/A</v>
      </c>
      <c r="T295" s="2" t="n">
        <f aca="false">IF(RESET=1,0,T295+IF(H295=0,1,0))</f>
        <v>41</v>
      </c>
      <c r="U295" s="2" t="e">
        <f aca="false">IF(RESET=1,0,U295+H295)</f>
        <v>#N/A</v>
      </c>
      <c r="V295" s="14" t="n">
        <f aca="false">R295/(T295+0.00001)</f>
        <v>15.5542839100797</v>
      </c>
      <c r="W295" s="14" t="e">
        <f aca="false">S295/(U295+0.0001)</f>
        <v>#N/A</v>
      </c>
      <c r="X295" s="39" t="n">
        <f aca="false">IF(Informed=1,K295,0)</f>
        <v>0</v>
      </c>
      <c r="Y295" s="39" t="n">
        <f aca="false">IF(Informed=0,K295,0)</f>
        <v>0</v>
      </c>
      <c r="Z295" s="39" t="n">
        <f aca="false">IF(Informed=1,N295,0)</f>
        <v>0</v>
      </c>
      <c r="AA295" s="39" t="n">
        <f aca="false">IF(Informed=0,N295,0)</f>
        <v>23.2681664123519</v>
      </c>
      <c r="AB295" s="43" t="n">
        <f aca="false">IF(Arterial=0,IF(Informed=1,1,0),0)</f>
        <v>0</v>
      </c>
      <c r="AC295" s="43" t="n">
        <f aca="false">IF(Arterial=0,IF(Informed=0,1,0),0)</f>
        <v>0</v>
      </c>
      <c r="AD295" s="43" t="n">
        <f aca="false">IF(Arterial=1,IF(Informed=1,1,0),0)</f>
        <v>0</v>
      </c>
      <c r="AE295" s="43" t="n">
        <f aca="false">IF(Arterial=1,IF(Informed=0,1,0),0)</f>
        <v>1</v>
      </c>
      <c r="AF295" s="35" t="n">
        <f aca="false">IF(AB295=1,(X295-G$1030)^2,0)</f>
        <v>0</v>
      </c>
      <c r="AG295" s="35" t="n">
        <f aca="false">IF(AC295=1,(Y295-H$1030)^2,0)</f>
        <v>0</v>
      </c>
      <c r="AH295" s="35" t="n">
        <f aca="false">IF(AD295=1,(Z295-I$1030)^2,0)</f>
        <v>0</v>
      </c>
      <c r="AI295" s="35" t="n">
        <f aca="false">IF(AE295=1,(AA295-J$1030)^2,0)</f>
        <v>39.640983224248</v>
      </c>
      <c r="AJ295" s="37" t="n">
        <f aca="true">IF(RAND()&lt;$D$6,1,0)</f>
        <v>0</v>
      </c>
      <c r="AK295" s="14" t="n">
        <f aca="false">AK294+IF((AJ295=1),IF((H295=0),1,0),0)</f>
        <v>0</v>
      </c>
      <c r="AL295" s="14" t="n">
        <f aca="false">AL294+IF((AJ295=1),IF((H295=1),1,0),0)</f>
        <v>0</v>
      </c>
      <c r="AM295" s="37" t="n">
        <f aca="false">IF(AK295=0,9999,IF($H295=0,IF($AJ295&lt;1,AM294+1,0),AM294))</f>
        <v>9999</v>
      </c>
      <c r="AN295" s="37" t="n">
        <f aca="false">IF(AL295=0,9999,IF($H295=1,IF($AJ295&lt;1,AN294+1,0),AN294))</f>
        <v>9999</v>
      </c>
      <c r="AO295" s="37" t="n">
        <f aca="false">IF($A295-AM295&gt;0,1/(1+AM295),0)</f>
        <v>0</v>
      </c>
      <c r="AP295" s="37" t="n">
        <f aca="false">IF($A295-AN295&gt;0,1/(1+AN295),0)</f>
        <v>0</v>
      </c>
      <c r="AQ295" s="7" t="n">
        <f aca="false">IF(AK295=0,0,MAX(MIN(1,AO295^Power),0))</f>
        <v>0</v>
      </c>
      <c r="AR295" s="7" t="n">
        <f aca="false">IF(AL295=0,0,MAX(MIN(1,AP295^Power),0))</f>
        <v>0</v>
      </c>
      <c r="AS295" s="7" t="n">
        <f aca="false">IF($AJ295=1,IF($H295=0,K295,AS294),AS294)</f>
        <v>0</v>
      </c>
      <c r="AT295" s="7" t="n">
        <f aca="false">IF($AJ295=1,IF($H295=1,N295,AT294),AT294)</f>
        <v>0</v>
      </c>
    </row>
    <row r="296" customFormat="false" ht="13" hidden="false" customHeight="false" outlineLevel="0" collapsed="false">
      <c r="A296" s="16" t="n">
        <v>279</v>
      </c>
      <c r="B296" s="37" t="n">
        <f aca="true">IF(RAND()&lt;$D$8,1,0)</f>
        <v>0</v>
      </c>
      <c r="C296" s="20" t="n">
        <f aca="true">-LN(RAND())/$D$2</f>
        <v>1.49503884534167</v>
      </c>
      <c r="D296" s="38" t="n">
        <f aca="false">D295+C296</f>
        <v>298.290565378777</v>
      </c>
      <c r="E296" s="39" t="n">
        <f aca="false">MAX($E$3,AS295)</f>
        <v>0</v>
      </c>
      <c r="F296" s="39" t="n">
        <f aca="false">MAX($E$3,AT295)</f>
        <v>0</v>
      </c>
      <c r="G296" s="40" t="n">
        <v>0.5</v>
      </c>
      <c r="H296" s="38" t="n">
        <f aca="true">IF((B296=1),(IF((F296&lt;E296),1,(IF((F296=E296),(IF(RAND()&lt;G296,1,0)),0)))),(IF((RAND()&lt;G296),1,0)))</f>
        <v>0</v>
      </c>
      <c r="I296" s="38" t="n">
        <f aca="true">IF((H296=1),0,$D$3+$D$5*(RAND()-0.5))</f>
        <v>2.16629799847403</v>
      </c>
      <c r="J296" s="38" t="n">
        <f aca="false">I296+MAX(D296,J295)</f>
        <v>317.024664943557</v>
      </c>
      <c r="K296" s="38" t="n">
        <f aca="false">IF((H296=0),J296-D296,0)</f>
        <v>18.73409956478</v>
      </c>
      <c r="L296" s="38" t="n">
        <f aca="true">IF(($H296=0),0,$D$4+$D$5*(RAND()-0.5))</f>
        <v>0</v>
      </c>
      <c r="M296" s="38" t="n">
        <f aca="false">L296+MAX(D296,M295)</f>
        <v>320.063692945787</v>
      </c>
      <c r="N296" s="38" t="n">
        <f aca="false">IF((H296=1),M296-D296,0)</f>
        <v>0</v>
      </c>
      <c r="O296" s="16" t="n">
        <v>279</v>
      </c>
      <c r="P296" s="41" t="n">
        <f aca="false">IF((Arterial=0),P295+1,P295)</f>
        <v>132</v>
      </c>
      <c r="Q296" s="41" t="n">
        <f aca="false">IF((Arterial=1),Q295+1,Q295)</f>
        <v>147</v>
      </c>
      <c r="R296" s="42" t="e">
        <f aca="false">IF((RESET=1),0,R296+K296)</f>
        <v>#N/A</v>
      </c>
      <c r="S296" s="14" t="n">
        <f aca="false">IF(RESET=1,0,S296+N296)</f>
        <v>480.079479841609</v>
      </c>
      <c r="T296" s="2" t="e">
        <f aca="false">IF(RESET=1,0,T296+IF(H296=0,1,0))</f>
        <v>#N/A</v>
      </c>
      <c r="U296" s="2" t="n">
        <f aca="false">IF(RESET=1,0,U296+H296)</f>
        <v>39</v>
      </c>
      <c r="V296" s="14" t="e">
        <f aca="false">R296/(T296+0.00001)</f>
        <v>#N/A</v>
      </c>
      <c r="W296" s="14" t="n">
        <f aca="false">S296/(U296+0.0001)</f>
        <v>12.309698689019</v>
      </c>
      <c r="X296" s="39" t="n">
        <f aca="false">IF(Informed=1,K296,0)</f>
        <v>0</v>
      </c>
      <c r="Y296" s="39" t="n">
        <f aca="false">IF(Informed=0,K296,0)</f>
        <v>18.73409956478</v>
      </c>
      <c r="Z296" s="39" t="n">
        <f aca="false">IF(Informed=1,N296,0)</f>
        <v>0</v>
      </c>
      <c r="AA296" s="39" t="n">
        <f aca="false">IF(Informed=0,N296,0)</f>
        <v>0</v>
      </c>
      <c r="AB296" s="43" t="n">
        <f aca="false">IF(Arterial=0,IF(Informed=1,1,0),0)</f>
        <v>0</v>
      </c>
      <c r="AC296" s="43" t="n">
        <f aca="false">IF(Arterial=0,IF(Informed=0,1,0),0)</f>
        <v>1</v>
      </c>
      <c r="AD296" s="43" t="n">
        <f aca="false">IF(Arterial=1,IF(Informed=1,1,0),0)</f>
        <v>0</v>
      </c>
      <c r="AE296" s="43" t="n">
        <f aca="false">IF(Arterial=1,IF(Informed=0,1,0),0)</f>
        <v>0</v>
      </c>
      <c r="AF296" s="35" t="n">
        <f aca="false">IF(AB296=1,(X296-G$1030)^2,0)</f>
        <v>0</v>
      </c>
      <c r="AG296" s="35" t="n">
        <f aca="false">IF(AC296=1,(Y296-H$1030)^2,0)</f>
        <v>61.0010096844128</v>
      </c>
      <c r="AH296" s="35" t="n">
        <f aca="false">IF(AD296=1,(Z296-I$1030)^2,0)</f>
        <v>0</v>
      </c>
      <c r="AI296" s="35" t="n">
        <f aca="false">IF(AE296=1,(AA296-J$1030)^2,0)</f>
        <v>0</v>
      </c>
      <c r="AJ296" s="37" t="n">
        <f aca="true">IF(RAND()&lt;$D$6,1,0)</f>
        <v>0</v>
      </c>
      <c r="AK296" s="14" t="n">
        <f aca="false">AK295+IF((AJ296=1),IF((H296=0),1,0),0)</f>
        <v>0</v>
      </c>
      <c r="AL296" s="14" t="n">
        <f aca="false">AL295+IF((AJ296=1),IF((H296=1),1,0),0)</f>
        <v>0</v>
      </c>
      <c r="AM296" s="37" t="n">
        <f aca="false">IF(AK296=0,9999,IF($H296=0,IF($AJ296&lt;1,AM295+1,0),AM295))</f>
        <v>9999</v>
      </c>
      <c r="AN296" s="37" t="n">
        <f aca="false">IF(AL296=0,9999,IF($H296=1,IF($AJ296&lt;1,AN295+1,0),AN295))</f>
        <v>9999</v>
      </c>
      <c r="AO296" s="37" t="n">
        <f aca="false">IF($A296-AM296&gt;0,1/(1+AM296),0)</f>
        <v>0</v>
      </c>
      <c r="AP296" s="37" t="n">
        <f aca="false">IF($A296-AN296&gt;0,1/(1+AN296),0)</f>
        <v>0</v>
      </c>
      <c r="AQ296" s="7" t="n">
        <f aca="false">IF(AK296=0,0,MAX(MIN(1,AO296^Power),0))</f>
        <v>0</v>
      </c>
      <c r="AR296" s="7" t="n">
        <f aca="false">IF(AL296=0,0,MAX(MIN(1,AP296^Power),0))</f>
        <v>0</v>
      </c>
      <c r="AS296" s="7" t="n">
        <f aca="false">IF($AJ296=1,IF($H296=0,K296,AS295),AS295)</f>
        <v>0</v>
      </c>
      <c r="AT296" s="7" t="n">
        <f aca="false">IF($AJ296=1,IF($H296=1,N296,AT295),AT295)</f>
        <v>0</v>
      </c>
    </row>
    <row r="297" customFormat="false" ht="13" hidden="false" customHeight="false" outlineLevel="0" collapsed="false">
      <c r="A297" s="16" t="n">
        <v>280</v>
      </c>
      <c r="B297" s="37" t="n">
        <f aca="true">IF(RAND()&lt;$D$8,1,0)</f>
        <v>0</v>
      </c>
      <c r="C297" s="20" t="n">
        <f aca="true">-LN(RAND())/$D$2</f>
        <v>0.95057349425584</v>
      </c>
      <c r="D297" s="38" t="n">
        <f aca="false">D296+C297</f>
        <v>299.241138873033</v>
      </c>
      <c r="E297" s="39" t="n">
        <f aca="false">MAX($E$3,AS296)</f>
        <v>0</v>
      </c>
      <c r="F297" s="39" t="n">
        <f aca="false">MAX($E$3,AT296)</f>
        <v>0</v>
      </c>
      <c r="G297" s="40" t="n">
        <v>0.5</v>
      </c>
      <c r="H297" s="38" t="n">
        <f aca="true">IF((B297=1),(IF((F297&lt;E297),1,(IF((F297=E297),(IF(RAND()&lt;G297,1,0)),0)))),(IF((RAND()&lt;G297),1,0)))</f>
        <v>0</v>
      </c>
      <c r="I297" s="38" t="n">
        <f aca="true">IF((H297=1),0,$D$3+$D$5*(RAND()-0.5))</f>
        <v>2.06304872738554</v>
      </c>
      <c r="J297" s="38" t="n">
        <f aca="false">I297+MAX(D297,J296)</f>
        <v>319.087713670942</v>
      </c>
      <c r="K297" s="38" t="n">
        <f aca="false">IF((H297=0),J297-D297,0)</f>
        <v>19.8465747979097</v>
      </c>
      <c r="L297" s="38" t="n">
        <f aca="true">IF(($H297=0),0,$D$4+$D$5*(RAND()-0.5))</f>
        <v>0</v>
      </c>
      <c r="M297" s="38" t="n">
        <f aca="false">L297+MAX(D297,M296)</f>
        <v>320.063692945787</v>
      </c>
      <c r="N297" s="38" t="n">
        <f aca="false">IF((H297=1),M297-D297,0)</f>
        <v>0</v>
      </c>
      <c r="O297" s="16" t="n">
        <v>280</v>
      </c>
      <c r="P297" s="41" t="n">
        <f aca="false">IF((Arterial=0),P296+1,P296)</f>
        <v>133</v>
      </c>
      <c r="Q297" s="41" t="n">
        <f aca="false">IF((Arterial=1),Q296+1,Q296)</f>
        <v>147</v>
      </c>
      <c r="R297" s="42" t="e">
        <f aca="false">IF((RESET=1),0,R297+K297)</f>
        <v>#N/A</v>
      </c>
      <c r="S297" s="14" t="n">
        <f aca="false">IF(RESET=1,0,S297+N297)</f>
        <v>638.168965220466</v>
      </c>
      <c r="T297" s="2" t="e">
        <f aca="false">IF(RESET=1,0,T297+IF(H297=0,1,0))</f>
        <v>#N/A</v>
      </c>
      <c r="U297" s="2" t="n">
        <f aca="false">IF(RESET=1,0,U297+H297)</f>
        <v>41</v>
      </c>
      <c r="V297" s="14" t="e">
        <f aca="false">R297/(T297+0.00001)</f>
        <v>#N/A</v>
      </c>
      <c r="W297" s="14" t="n">
        <f aca="false">S297/(U297+0.0001)</f>
        <v>15.5650587491364</v>
      </c>
      <c r="X297" s="39" t="n">
        <f aca="false">IF(Informed=1,K297,0)</f>
        <v>0</v>
      </c>
      <c r="Y297" s="39" t="n">
        <f aca="false">IF(Informed=0,K297,0)</f>
        <v>19.8465747979097</v>
      </c>
      <c r="Z297" s="39" t="n">
        <f aca="false">IF(Informed=1,N297,0)</f>
        <v>0</v>
      </c>
      <c r="AA297" s="39" t="n">
        <f aca="false">IF(Informed=0,N297,0)</f>
        <v>0</v>
      </c>
      <c r="AB297" s="43" t="n">
        <f aca="false">IF(Arterial=0,IF(Informed=1,1,0),0)</f>
        <v>0</v>
      </c>
      <c r="AC297" s="43" t="n">
        <f aca="false">IF(Arterial=0,IF(Informed=0,1,0),0)</f>
        <v>1</v>
      </c>
      <c r="AD297" s="43" t="n">
        <f aca="false">IF(Arterial=1,IF(Informed=1,1,0),0)</f>
        <v>0</v>
      </c>
      <c r="AE297" s="43" t="n">
        <f aca="false">IF(Arterial=1,IF(Informed=0,1,0),0)</f>
        <v>0</v>
      </c>
      <c r="AF297" s="35" t="n">
        <f aca="false">IF(AB297=1,(X297-G$1030)^2,0)</f>
        <v>0</v>
      </c>
      <c r="AG297" s="35" t="n">
        <f aca="false">IF(AC297=1,(Y297-H$1030)^2,0)</f>
        <v>79.6161733034406</v>
      </c>
      <c r="AH297" s="35" t="n">
        <f aca="false">IF(AD297=1,(Z297-I$1030)^2,0)</f>
        <v>0</v>
      </c>
      <c r="AI297" s="35" t="n">
        <f aca="false">IF(AE297=1,(AA297-J$1030)^2,0)</f>
        <v>0</v>
      </c>
      <c r="AJ297" s="37" t="n">
        <f aca="true">IF(RAND()&lt;$D$6,1,0)</f>
        <v>0</v>
      </c>
      <c r="AK297" s="14" t="n">
        <f aca="false">AK296+IF((AJ297=1),IF((H297=0),1,0),0)</f>
        <v>0</v>
      </c>
      <c r="AL297" s="14" t="n">
        <f aca="false">AL296+IF((AJ297=1),IF((H297=1),1,0),0)</f>
        <v>0</v>
      </c>
      <c r="AM297" s="37" t="n">
        <f aca="false">IF(AK297=0,9999,IF($H297=0,IF($AJ297&lt;1,AM296+1,0),AM296))</f>
        <v>9999</v>
      </c>
      <c r="AN297" s="37" t="n">
        <f aca="false">IF(AL297=0,9999,IF($H297=1,IF($AJ297&lt;1,AN296+1,0),AN296))</f>
        <v>9999</v>
      </c>
      <c r="AO297" s="37" t="n">
        <f aca="false">IF($A297-AM297&gt;0,1/(1+AM297),0)</f>
        <v>0</v>
      </c>
      <c r="AP297" s="37" t="n">
        <f aca="false">IF($A297-AN297&gt;0,1/(1+AN297),0)</f>
        <v>0</v>
      </c>
      <c r="AQ297" s="7" t="n">
        <f aca="false">IF(AK297=0,0,MAX(MIN(1,AO297^Power),0))</f>
        <v>0</v>
      </c>
      <c r="AR297" s="7" t="n">
        <f aca="false">IF(AL297=0,0,MAX(MIN(1,AP297^Power),0))</f>
        <v>0</v>
      </c>
      <c r="AS297" s="7" t="n">
        <f aca="false">IF($AJ297=1,IF($H297=0,K297,AS296),AS296)</f>
        <v>0</v>
      </c>
      <c r="AT297" s="7" t="n">
        <f aca="false">IF($AJ297=1,IF($H297=1,N297,AT296),AT296)</f>
        <v>0</v>
      </c>
    </row>
    <row r="298" customFormat="false" ht="13" hidden="false" customHeight="false" outlineLevel="0" collapsed="false">
      <c r="A298" s="16" t="n">
        <v>281</v>
      </c>
      <c r="B298" s="37" t="n">
        <f aca="true">IF(RAND()&lt;$D$8,1,0)</f>
        <v>0</v>
      </c>
      <c r="C298" s="20" t="n">
        <f aca="true">-LN(RAND())/$D$2</f>
        <v>1.07374140109813</v>
      </c>
      <c r="D298" s="38" t="n">
        <f aca="false">D297+C298</f>
        <v>300.314880274131</v>
      </c>
      <c r="E298" s="39" t="n">
        <f aca="false">MAX($E$3,AS297)</f>
        <v>0</v>
      </c>
      <c r="F298" s="39" t="n">
        <f aca="false">MAX($E$3,AT297)</f>
        <v>0</v>
      </c>
      <c r="G298" s="40" t="n">
        <v>0.5</v>
      </c>
      <c r="H298" s="38" t="n">
        <f aca="true">IF((B298=1),(IF((F298&lt;E298),1,(IF((F298=E298),(IF(RAND()&lt;G298,1,0)),0)))),(IF((RAND()&lt;G298),1,0)))</f>
        <v>0</v>
      </c>
      <c r="I298" s="38" t="n">
        <f aca="true">IF((H298=1),0,$D$3+$D$5*(RAND()-0.5))</f>
        <v>2.23420674390457</v>
      </c>
      <c r="J298" s="38" t="n">
        <f aca="false">I298+MAX(D298,J297)</f>
        <v>321.321920414847</v>
      </c>
      <c r="K298" s="38" t="n">
        <f aca="false">IF((H298=0),J298-D298,0)</f>
        <v>21.0070401407162</v>
      </c>
      <c r="L298" s="38" t="n">
        <f aca="true">IF(($H298=0),0,$D$4+$D$5*(RAND()-0.5))</f>
        <v>0</v>
      </c>
      <c r="M298" s="38" t="n">
        <f aca="false">L298+MAX(D298,M297)</f>
        <v>320.063692945787</v>
      </c>
      <c r="N298" s="38" t="n">
        <f aca="false">IF((H298=1),M298-D298,0)</f>
        <v>0</v>
      </c>
      <c r="O298" s="16" t="n">
        <v>281</v>
      </c>
      <c r="P298" s="41" t="n">
        <f aca="false">IF((Arterial=0),P297+1,P297)</f>
        <v>134</v>
      </c>
      <c r="Q298" s="41" t="n">
        <f aca="false">IF((Arterial=1),Q297+1,Q297)</f>
        <v>147</v>
      </c>
      <c r="R298" s="42" t="e">
        <f aca="false">IF((RESET=1),0,R298+K298)</f>
        <v>#N/A</v>
      </c>
      <c r="S298" s="14" t="n">
        <f aca="false">IF(RESET=1,0,S298+N298)</f>
        <v>416.000067978763</v>
      </c>
      <c r="T298" s="2" t="e">
        <f aca="false">IF(RESET=1,0,T298+IF(H298=0,1,0))</f>
        <v>#N/A</v>
      </c>
      <c r="U298" s="2" t="n">
        <f aca="false">IF(RESET=1,0,U298+H298)</f>
        <v>39</v>
      </c>
      <c r="V298" s="14" t="e">
        <f aca="false">R298/(T298+0.00001)</f>
        <v>#N/A</v>
      </c>
      <c r="W298" s="14" t="n">
        <f aca="false">S298/(U298+0.0001)</f>
        <v>10.6666410593502</v>
      </c>
      <c r="X298" s="39" t="n">
        <f aca="false">IF(Informed=1,K298,0)</f>
        <v>0</v>
      </c>
      <c r="Y298" s="39" t="n">
        <f aca="false">IF(Informed=0,K298,0)</f>
        <v>21.0070401407162</v>
      </c>
      <c r="Z298" s="39" t="n">
        <f aca="false">IF(Informed=1,N298,0)</f>
        <v>0</v>
      </c>
      <c r="AA298" s="39" t="n">
        <f aca="false">IF(Informed=0,N298,0)</f>
        <v>0</v>
      </c>
      <c r="AB298" s="43" t="n">
        <f aca="false">IF(Arterial=0,IF(Informed=1,1,0),0)</f>
        <v>0</v>
      </c>
      <c r="AC298" s="43" t="n">
        <f aca="false">IF(Arterial=0,IF(Informed=0,1,0),0)</f>
        <v>1</v>
      </c>
      <c r="AD298" s="43" t="n">
        <f aca="false">IF(Arterial=1,IF(Informed=1,1,0),0)</f>
        <v>0</v>
      </c>
      <c r="AE298" s="43" t="n">
        <f aca="false">IF(Arterial=1,IF(Informed=0,1,0),0)</f>
        <v>0</v>
      </c>
      <c r="AF298" s="35" t="n">
        <f aca="false">IF(AB298=1,(X298-G$1030)^2,0)</f>
        <v>0</v>
      </c>
      <c r="AG298" s="35" t="n">
        <f aca="false">IF(AC298=1,(Y298-H$1030)^2,0)</f>
        <v>101.672029176634</v>
      </c>
      <c r="AH298" s="35" t="n">
        <f aca="false">IF(AD298=1,(Z298-I$1030)^2,0)</f>
        <v>0</v>
      </c>
      <c r="AI298" s="35" t="n">
        <f aca="false">IF(AE298=1,(AA298-J$1030)^2,0)</f>
        <v>0</v>
      </c>
      <c r="AJ298" s="37" t="n">
        <f aca="true">IF(RAND()&lt;$D$6,1,0)</f>
        <v>0</v>
      </c>
      <c r="AK298" s="14" t="n">
        <f aca="false">AK297+IF((AJ298=1),IF((H298=0),1,0),0)</f>
        <v>0</v>
      </c>
      <c r="AL298" s="14" t="n">
        <f aca="false">AL297+IF((AJ298=1),IF((H298=1),1,0),0)</f>
        <v>0</v>
      </c>
      <c r="AM298" s="37" t="n">
        <f aca="false">IF(AK298=0,9999,IF($H298=0,IF($AJ298&lt;1,AM297+1,0),AM297))</f>
        <v>9999</v>
      </c>
      <c r="AN298" s="37" t="n">
        <f aca="false">IF(AL298=0,9999,IF($H298=1,IF($AJ298&lt;1,AN297+1,0),AN297))</f>
        <v>9999</v>
      </c>
      <c r="AO298" s="37" t="n">
        <f aca="false">IF($A298-AM298&gt;0,1/(1+AM298),0)</f>
        <v>0</v>
      </c>
      <c r="AP298" s="37" t="n">
        <f aca="false">IF($A298-AN298&gt;0,1/(1+AN298),0)</f>
        <v>0</v>
      </c>
      <c r="AQ298" s="7" t="n">
        <f aca="false">IF(AK298=0,0,MAX(MIN(1,AO298^Power),0))</f>
        <v>0</v>
      </c>
      <c r="AR298" s="7" t="n">
        <f aca="false">IF(AL298=0,0,MAX(MIN(1,AP298^Power),0))</f>
        <v>0</v>
      </c>
      <c r="AS298" s="7" t="n">
        <f aca="false">IF($AJ298=1,IF($H298=0,K298,AS297),AS297)</f>
        <v>0</v>
      </c>
      <c r="AT298" s="7" t="n">
        <f aca="false">IF($AJ298=1,IF($H298=1,N298,AT297),AT297)</f>
        <v>0</v>
      </c>
    </row>
    <row r="299" customFormat="false" ht="13" hidden="false" customHeight="false" outlineLevel="0" collapsed="false">
      <c r="A299" s="16" t="n">
        <v>282</v>
      </c>
      <c r="B299" s="37" t="n">
        <f aca="true">IF(RAND()&lt;$D$8,1,0)</f>
        <v>0</v>
      </c>
      <c r="C299" s="20" t="n">
        <f aca="true">-LN(RAND())/$D$2</f>
        <v>0.41009189417511</v>
      </c>
      <c r="D299" s="38" t="n">
        <f aca="false">D298+C299</f>
        <v>300.724972168306</v>
      </c>
      <c r="E299" s="39" t="n">
        <f aca="false">MAX($E$3,AS298)</f>
        <v>0</v>
      </c>
      <c r="F299" s="39" t="n">
        <f aca="false">MAX($E$3,AT298)</f>
        <v>0</v>
      </c>
      <c r="G299" s="40" t="n">
        <v>0.5</v>
      </c>
      <c r="H299" s="38" t="n">
        <f aca="true">IF((B299=1),(IF((F299&lt;E299),1,(IF((F299=E299),(IF(RAND()&lt;G299,1,0)),0)))),(IF((RAND()&lt;G299),1,0)))</f>
        <v>0</v>
      </c>
      <c r="I299" s="38" t="n">
        <f aca="true">IF((H299=1),0,$D$3+$D$5*(RAND()-0.5))</f>
        <v>1.9731605516251</v>
      </c>
      <c r="J299" s="38" t="n">
        <f aca="false">I299+MAX(D299,J298)</f>
        <v>323.295080966472</v>
      </c>
      <c r="K299" s="38" t="n">
        <f aca="false">IF((H299=0),J299-D299,0)</f>
        <v>22.5701087981662</v>
      </c>
      <c r="L299" s="38" t="n">
        <f aca="true">IF(($H299=0),0,$D$4+$D$5*(RAND()-0.5))</f>
        <v>0</v>
      </c>
      <c r="M299" s="38" t="n">
        <f aca="false">L299+MAX(D299,M298)</f>
        <v>320.063692945787</v>
      </c>
      <c r="N299" s="38" t="n">
        <f aca="false">IF((H299=1),M299-D299,0)</f>
        <v>0</v>
      </c>
      <c r="O299" s="16" t="n">
        <v>282</v>
      </c>
      <c r="P299" s="41" t="n">
        <f aca="false">IF((Arterial=0),P298+1,P298)</f>
        <v>135</v>
      </c>
      <c r="Q299" s="41" t="n">
        <f aca="false">IF((Arterial=1),Q298+1,Q298)</f>
        <v>147</v>
      </c>
      <c r="R299" s="42" t="e">
        <f aca="false">IF((RESET=1),0,R299+K299)</f>
        <v>#N/A</v>
      </c>
      <c r="S299" s="14" t="n">
        <f aca="false">IF(RESET=1,0,S299+N299)</f>
        <v>511.078229725167</v>
      </c>
      <c r="T299" s="2" t="e">
        <f aca="false">IF(RESET=1,0,T299+IF(H299=0,1,0))</f>
        <v>#N/A</v>
      </c>
      <c r="U299" s="2" t="n">
        <f aca="false">IF(RESET=1,0,U299+H299)</f>
        <v>39</v>
      </c>
      <c r="V299" s="14" t="e">
        <f aca="false">R299/(T299+0.00001)</f>
        <v>#N/A</v>
      </c>
      <c r="W299" s="14" t="n">
        <f aca="false">S299/(U299+0.0001)</f>
        <v>13.1045363915776</v>
      </c>
      <c r="X299" s="39" t="n">
        <f aca="false">IF(Informed=1,K299,0)</f>
        <v>0</v>
      </c>
      <c r="Y299" s="39" t="n">
        <f aca="false">IF(Informed=0,K299,0)</f>
        <v>22.5701087981662</v>
      </c>
      <c r="Z299" s="39" t="n">
        <f aca="false">IF(Informed=1,N299,0)</f>
        <v>0</v>
      </c>
      <c r="AA299" s="39" t="n">
        <f aca="false">IF(Informed=0,N299,0)</f>
        <v>0</v>
      </c>
      <c r="AB299" s="43" t="n">
        <f aca="false">IF(Arterial=0,IF(Informed=1,1,0),0)</f>
        <v>0</v>
      </c>
      <c r="AC299" s="43" t="n">
        <f aca="false">IF(Arterial=0,IF(Informed=0,1,0),0)</f>
        <v>1</v>
      </c>
      <c r="AD299" s="43" t="n">
        <f aca="false">IF(Arterial=1,IF(Informed=1,1,0),0)</f>
        <v>0</v>
      </c>
      <c r="AE299" s="43" t="n">
        <f aca="false">IF(Arterial=1,IF(Informed=0,1,0),0)</f>
        <v>0</v>
      </c>
      <c r="AF299" s="35" t="n">
        <f aca="false">IF(AB299=1,(X299-G$1030)^2,0)</f>
        <v>0</v>
      </c>
      <c r="AG299" s="35" t="n">
        <f aca="false">IF(AC299=1,(Y299-H$1030)^2,0)</f>
        <v>135.636852171802</v>
      </c>
      <c r="AH299" s="35" t="n">
        <f aca="false">IF(AD299=1,(Z299-I$1030)^2,0)</f>
        <v>0</v>
      </c>
      <c r="AI299" s="35" t="n">
        <f aca="false">IF(AE299=1,(AA299-J$1030)^2,0)</f>
        <v>0</v>
      </c>
      <c r="AJ299" s="37" t="n">
        <f aca="true">IF(RAND()&lt;$D$6,1,0)</f>
        <v>0</v>
      </c>
      <c r="AK299" s="14" t="n">
        <f aca="false">AK298+IF((AJ299=1),IF((H299=0),1,0),0)</f>
        <v>0</v>
      </c>
      <c r="AL299" s="14" t="n">
        <f aca="false">AL298+IF((AJ299=1),IF((H299=1),1,0),0)</f>
        <v>0</v>
      </c>
      <c r="AM299" s="37" t="n">
        <f aca="false">IF(AK299=0,9999,IF($H299=0,IF($AJ299&lt;1,AM298+1,0),AM298))</f>
        <v>9999</v>
      </c>
      <c r="AN299" s="37" t="n">
        <f aca="false">IF(AL299=0,9999,IF($H299=1,IF($AJ299&lt;1,AN298+1,0),AN298))</f>
        <v>9999</v>
      </c>
      <c r="AO299" s="37" t="n">
        <f aca="false">IF($A299-AM299&gt;0,1/(1+AM299),0)</f>
        <v>0</v>
      </c>
      <c r="AP299" s="37" t="n">
        <f aca="false">IF($A299-AN299&gt;0,1/(1+AN299),0)</f>
        <v>0</v>
      </c>
      <c r="AQ299" s="7" t="n">
        <f aca="false">IF(AK299=0,0,MAX(MIN(1,AO299^Power),0))</f>
        <v>0</v>
      </c>
      <c r="AR299" s="7" t="n">
        <f aca="false">IF(AL299=0,0,MAX(MIN(1,AP299^Power),0))</f>
        <v>0</v>
      </c>
      <c r="AS299" s="7" t="n">
        <f aca="false">IF($AJ299=1,IF($H299=0,K299,AS298),AS298)</f>
        <v>0</v>
      </c>
      <c r="AT299" s="7" t="n">
        <f aca="false">IF($AJ299=1,IF($H299=1,N299,AT298),AT298)</f>
        <v>0</v>
      </c>
    </row>
    <row r="300" customFormat="false" ht="13" hidden="false" customHeight="false" outlineLevel="0" collapsed="false">
      <c r="A300" s="16" t="n">
        <v>283</v>
      </c>
      <c r="B300" s="37" t="n">
        <f aca="true">IF(RAND()&lt;$D$8,1,0)</f>
        <v>0</v>
      </c>
      <c r="C300" s="20" t="n">
        <f aca="true">-LN(RAND())/$D$2</f>
        <v>0.325982679605474</v>
      </c>
      <c r="D300" s="38" t="n">
        <f aca="false">D299+C300</f>
        <v>301.050954847911</v>
      </c>
      <c r="E300" s="39" t="n">
        <f aca="false">MAX($E$3,AS299)</f>
        <v>0</v>
      </c>
      <c r="F300" s="39" t="n">
        <f aca="false">MAX($E$3,AT299)</f>
        <v>0</v>
      </c>
      <c r="G300" s="40" t="n">
        <v>0.5</v>
      </c>
      <c r="H300" s="38" t="n">
        <f aca="true">IF((B300=1),(IF((F300&lt;E300),1,(IF((F300=E300),(IF(RAND()&lt;G300,1,0)),0)))),(IF((RAND()&lt;G300),1,0)))</f>
        <v>1</v>
      </c>
      <c r="I300" s="38" t="n">
        <f aca="true">IF((H300=1),0,$D$3+$D$5*(RAND()-0.5))</f>
        <v>0</v>
      </c>
      <c r="J300" s="38" t="n">
        <f aca="false">I300+MAX(D300,J299)</f>
        <v>323.295080966472</v>
      </c>
      <c r="K300" s="38" t="n">
        <f aca="false">IF((H300=0),J300-D300,0)</f>
        <v>0</v>
      </c>
      <c r="L300" s="38" t="n">
        <f aca="true">IF(($H300=0),0,$D$4+$D$5*(RAND()-0.5))</f>
        <v>2.15527196113272</v>
      </c>
      <c r="M300" s="38" t="n">
        <f aca="false">L300+MAX(D300,M299)</f>
        <v>322.21896490692</v>
      </c>
      <c r="N300" s="38" t="n">
        <f aca="false">IF((H300=1),M300-D300,0)</f>
        <v>21.1680100590085</v>
      </c>
      <c r="O300" s="16" t="n">
        <v>283</v>
      </c>
      <c r="P300" s="41" t="n">
        <f aca="false">IF((Arterial=0),P299+1,P299)</f>
        <v>135</v>
      </c>
      <c r="Q300" s="41" t="n">
        <f aca="false">IF((Arterial=1),Q299+1,Q299)</f>
        <v>148</v>
      </c>
      <c r="R300" s="42" t="n">
        <f aca="false">IF((RESET=1),0,R300+K300)</f>
        <v>649.759544511267</v>
      </c>
      <c r="S300" s="14" t="e">
        <f aca="false">IF(RESET=1,0,S300+N300)</f>
        <v>#N/A</v>
      </c>
      <c r="T300" s="2" t="n">
        <f aca="false">IF(RESET=1,0,T300+IF(H300=0,1,0))</f>
        <v>45</v>
      </c>
      <c r="U300" s="2" t="e">
        <f aca="false">IF(RESET=1,0,U300+H300)</f>
        <v>#N/A</v>
      </c>
      <c r="V300" s="14" t="n">
        <f aca="false">R300/(T300+0.00001)</f>
        <v>14.4390977804509</v>
      </c>
      <c r="W300" s="14" t="e">
        <f aca="false">S300/(U300+0.0001)</f>
        <v>#N/A</v>
      </c>
      <c r="X300" s="39" t="n">
        <f aca="false">IF(Informed=1,K300,0)</f>
        <v>0</v>
      </c>
      <c r="Y300" s="39" t="n">
        <f aca="false">IF(Informed=0,K300,0)</f>
        <v>0</v>
      </c>
      <c r="Z300" s="39" t="n">
        <f aca="false">IF(Informed=1,N300,0)</f>
        <v>0</v>
      </c>
      <c r="AA300" s="39" t="n">
        <f aca="false">IF(Informed=0,N300,0)</f>
        <v>21.1680100590085</v>
      </c>
      <c r="AB300" s="43" t="n">
        <f aca="false">IF(Arterial=0,IF(Informed=1,1,0),0)</f>
        <v>0</v>
      </c>
      <c r="AC300" s="43" t="n">
        <f aca="false">IF(Arterial=0,IF(Informed=0,1,0),0)</f>
        <v>0</v>
      </c>
      <c r="AD300" s="43" t="n">
        <f aca="false">IF(Arterial=1,IF(Informed=1,1,0),0)</f>
        <v>0</v>
      </c>
      <c r="AE300" s="43" t="n">
        <f aca="false">IF(Arterial=1,IF(Informed=0,1,0),0)</f>
        <v>1</v>
      </c>
      <c r="AF300" s="35" t="n">
        <f aca="false">IF(AB300=1,(X300-G$1030)^2,0)</f>
        <v>0</v>
      </c>
      <c r="AG300" s="35" t="n">
        <f aca="false">IF(AC300=1,(Y300-H$1030)^2,0)</f>
        <v>0</v>
      </c>
      <c r="AH300" s="35" t="n">
        <f aca="false">IF(AD300=1,(Z300-I$1030)^2,0)</f>
        <v>0</v>
      </c>
      <c r="AI300" s="35" t="n">
        <f aca="false">IF(AE300=1,(AA300-J$1030)^2,0)</f>
        <v>70.4972647950177</v>
      </c>
      <c r="AJ300" s="37" t="n">
        <f aca="true">IF(RAND()&lt;$D$6,1,0)</f>
        <v>0</v>
      </c>
      <c r="AK300" s="14" t="n">
        <f aca="false">AK299+IF((AJ300=1),IF((H300=0),1,0),0)</f>
        <v>0</v>
      </c>
      <c r="AL300" s="14" t="n">
        <f aca="false">AL299+IF((AJ300=1),IF((H300=1),1,0),0)</f>
        <v>0</v>
      </c>
      <c r="AM300" s="37" t="n">
        <f aca="false">IF(AK300=0,9999,IF($H300=0,IF($AJ300&lt;1,AM299+1,0),AM299))</f>
        <v>9999</v>
      </c>
      <c r="AN300" s="37" t="n">
        <f aca="false">IF(AL300=0,9999,IF($H300=1,IF($AJ300&lt;1,AN299+1,0),AN299))</f>
        <v>9999</v>
      </c>
      <c r="AO300" s="37" t="n">
        <f aca="false">IF($A300-AM300&gt;0,1/(1+AM300),0)</f>
        <v>0</v>
      </c>
      <c r="AP300" s="37" t="n">
        <f aca="false">IF($A300-AN300&gt;0,1/(1+AN300),0)</f>
        <v>0</v>
      </c>
      <c r="AQ300" s="7" t="n">
        <f aca="false">IF(AK300=0,0,MAX(MIN(1,AO300^Power),0))</f>
        <v>0</v>
      </c>
      <c r="AR300" s="7" t="n">
        <f aca="false">IF(AL300=0,0,MAX(MIN(1,AP300^Power),0))</f>
        <v>0</v>
      </c>
      <c r="AS300" s="7" t="n">
        <f aca="false">IF($AJ300=1,IF($H300=0,K300,AS299),AS299)</f>
        <v>0</v>
      </c>
      <c r="AT300" s="7" t="n">
        <f aca="false">IF($AJ300=1,IF($H300=1,N300,AT299),AT299)</f>
        <v>0</v>
      </c>
    </row>
    <row r="301" customFormat="false" ht="13" hidden="false" customHeight="false" outlineLevel="0" collapsed="false">
      <c r="A301" s="16" t="n">
        <v>284</v>
      </c>
      <c r="B301" s="37" t="n">
        <f aca="true">IF(RAND()&lt;$D$8,1,0)</f>
        <v>1</v>
      </c>
      <c r="C301" s="20" t="n">
        <f aca="true">-LN(RAND())/$D$2</f>
        <v>0.676339067534922</v>
      </c>
      <c r="D301" s="38" t="n">
        <f aca="false">D300+C301</f>
        <v>301.727293915446</v>
      </c>
      <c r="E301" s="39" t="n">
        <f aca="false">MAX($E$3,AS300)</f>
        <v>0</v>
      </c>
      <c r="F301" s="39" t="n">
        <f aca="false">MAX($E$3,AT300)</f>
        <v>0</v>
      </c>
      <c r="G301" s="40" t="n">
        <v>0.5</v>
      </c>
      <c r="H301" s="38" t="n">
        <f aca="true">IF((B301=1),(IF((F301&lt;E301),1,(IF((F301=E301),(IF(RAND()&lt;G301,1,0)),0)))),(IF((RAND()&lt;G301),1,0)))</f>
        <v>1</v>
      </c>
      <c r="I301" s="38" t="n">
        <f aca="true">IF((H301=1),0,$D$3+$D$5*(RAND()-0.5))</f>
        <v>0</v>
      </c>
      <c r="J301" s="38" t="n">
        <f aca="false">I301+MAX(D301,J300)</f>
        <v>323.295080966472</v>
      </c>
      <c r="K301" s="38" t="n">
        <f aca="false">IF((H301=0),J301-D301,0)</f>
        <v>0</v>
      </c>
      <c r="L301" s="38" t="n">
        <f aca="true">IF(($H301=0),0,$D$4+$D$5*(RAND()-0.5))</f>
        <v>2.02606779282595</v>
      </c>
      <c r="M301" s="38" t="n">
        <f aca="false">L301+MAX(D301,M300)</f>
        <v>324.245032699746</v>
      </c>
      <c r="N301" s="38" t="n">
        <f aca="false">IF((H301=1),M301-D301,0)</f>
        <v>22.5177387842995</v>
      </c>
      <c r="O301" s="16" t="n">
        <v>284</v>
      </c>
      <c r="P301" s="41" t="n">
        <f aca="false">IF((Arterial=0),P300+1,P300)</f>
        <v>135</v>
      </c>
      <c r="Q301" s="41" t="n">
        <f aca="false">IF((Arterial=1),Q300+1,Q300)</f>
        <v>149</v>
      </c>
      <c r="R301" s="42" t="n">
        <f aca="false">IF((RESET=1),0,R301+K301)</f>
        <v>501.72669097182</v>
      </c>
      <c r="S301" s="14" t="e">
        <f aca="false">IF(RESET=1,0,S301+N301)</f>
        <v>#N/A</v>
      </c>
      <c r="T301" s="2" t="n">
        <f aca="false">IF(RESET=1,0,T301+IF(H301=0,1,0))</f>
        <v>35</v>
      </c>
      <c r="U301" s="2" t="e">
        <f aca="false">IF(RESET=1,0,U301+H301)</f>
        <v>#N/A</v>
      </c>
      <c r="V301" s="14" t="n">
        <f aca="false">R301/(T301+0.00001)</f>
        <v>14.3350442177537</v>
      </c>
      <c r="W301" s="14" t="e">
        <f aca="false">S301/(U301+0.0001)</f>
        <v>#N/A</v>
      </c>
      <c r="X301" s="39" t="n">
        <f aca="false">IF(Informed=1,K301,0)</f>
        <v>0</v>
      </c>
      <c r="Y301" s="39" t="n">
        <f aca="false">IF(Informed=0,K301,0)</f>
        <v>0</v>
      </c>
      <c r="Z301" s="39" t="n">
        <f aca="false">IF(Informed=1,N301,0)</f>
        <v>22.5177387842995</v>
      </c>
      <c r="AA301" s="39" t="n">
        <f aca="false">IF(Informed=0,N301,0)</f>
        <v>0</v>
      </c>
      <c r="AB301" s="43" t="n">
        <f aca="false">IF(Arterial=0,IF(Informed=1,1,0),0)</f>
        <v>0</v>
      </c>
      <c r="AC301" s="43" t="n">
        <f aca="false">IF(Arterial=0,IF(Informed=0,1,0),0)</f>
        <v>0</v>
      </c>
      <c r="AD301" s="43" t="n">
        <f aca="false">IF(Arterial=1,IF(Informed=1,1,0),0)</f>
        <v>1</v>
      </c>
      <c r="AE301" s="43" t="n">
        <f aca="false">IF(Arterial=1,IF(Informed=0,1,0),0)</f>
        <v>0</v>
      </c>
      <c r="AF301" s="35" t="n">
        <f aca="false">IF(AB301=1,(X301-G$1030)^2,0)</f>
        <v>0</v>
      </c>
      <c r="AG301" s="35" t="n">
        <f aca="false">IF(AC301=1,(Y301-H$1030)^2,0)</f>
        <v>0</v>
      </c>
      <c r="AH301" s="35" t="n">
        <f aca="false">IF(AD301=1,(Z301-I$1030)^2,0)</f>
        <v>34.3055736579</v>
      </c>
      <c r="AI301" s="35" t="n">
        <f aca="false">IF(AE301=1,(AA301-J$1030)^2,0)</f>
        <v>0</v>
      </c>
      <c r="AJ301" s="37" t="n">
        <f aca="true">IF(RAND()&lt;$D$6,1,0)</f>
        <v>0</v>
      </c>
      <c r="AK301" s="14" t="n">
        <f aca="false">AK300+IF((AJ301=1),IF((H301=0),1,0),0)</f>
        <v>0</v>
      </c>
      <c r="AL301" s="14" t="n">
        <f aca="false">AL300+IF((AJ301=1),IF((H301=1),1,0),0)</f>
        <v>0</v>
      </c>
      <c r="AM301" s="37" t="n">
        <f aca="false">IF(AK301=0,9999,IF($H301=0,IF($AJ301&lt;1,AM300+1,0),AM300))</f>
        <v>9999</v>
      </c>
      <c r="AN301" s="37" t="n">
        <f aca="false">IF(AL301=0,9999,IF($H301=1,IF($AJ301&lt;1,AN300+1,0),AN300))</f>
        <v>9999</v>
      </c>
      <c r="AO301" s="37" t="n">
        <f aca="false">IF($A301-AM301&gt;0,1/(1+AM301),0)</f>
        <v>0</v>
      </c>
      <c r="AP301" s="37" t="n">
        <f aca="false">IF($A301-AN301&gt;0,1/(1+AN301),0)</f>
        <v>0</v>
      </c>
      <c r="AQ301" s="7" t="n">
        <f aca="false">IF(AK301=0,0,MAX(MIN(1,AO301^Power),0))</f>
        <v>0</v>
      </c>
      <c r="AR301" s="7" t="n">
        <f aca="false">IF(AL301=0,0,MAX(MIN(1,AP301^Power),0))</f>
        <v>0</v>
      </c>
      <c r="AS301" s="7" t="n">
        <f aca="false">IF($AJ301=1,IF($H301=0,K301,AS300),AS300)</f>
        <v>0</v>
      </c>
      <c r="AT301" s="7" t="n">
        <f aca="false">IF($AJ301=1,IF($H301=1,N301,AT300),AT300)</f>
        <v>0</v>
      </c>
    </row>
    <row r="302" customFormat="false" ht="13" hidden="false" customHeight="false" outlineLevel="0" collapsed="false">
      <c r="A302" s="16" t="n">
        <v>285</v>
      </c>
      <c r="B302" s="37" t="n">
        <f aca="true">IF(RAND()&lt;$D$8,1,0)</f>
        <v>0</v>
      </c>
      <c r="C302" s="20" t="n">
        <f aca="true">-LN(RAND())/$D$2</f>
        <v>1.02919045998418</v>
      </c>
      <c r="D302" s="38" t="n">
        <f aca="false">D301+C302</f>
        <v>302.75648437543</v>
      </c>
      <c r="E302" s="39" t="n">
        <f aca="false">MAX($E$3,AS301)</f>
        <v>0</v>
      </c>
      <c r="F302" s="39" t="n">
        <f aca="false">MAX($E$3,AT301)</f>
        <v>0</v>
      </c>
      <c r="G302" s="40" t="n">
        <v>0.5</v>
      </c>
      <c r="H302" s="38" t="n">
        <f aca="true">IF((B302=1),(IF((F302&lt;E302),1,(IF((F302=E302),(IF(RAND()&lt;G302,1,0)),0)))),(IF((RAND()&lt;G302),1,0)))</f>
        <v>0</v>
      </c>
      <c r="I302" s="38" t="n">
        <f aca="true">IF((H302=1),0,$D$3+$D$5*(RAND()-0.5))</f>
        <v>1.79554044651976</v>
      </c>
      <c r="J302" s="38" t="n">
        <f aca="false">I302+MAX(D302,J301)</f>
        <v>325.090621412992</v>
      </c>
      <c r="K302" s="38" t="n">
        <f aca="false">IF((H302=0),J302-D302,0)</f>
        <v>22.3341370375613</v>
      </c>
      <c r="L302" s="38" t="n">
        <f aca="true">IF(($H302=0),0,$D$4+$D$5*(RAND()-0.5))</f>
        <v>0</v>
      </c>
      <c r="M302" s="38" t="n">
        <f aca="false">L302+MAX(D302,M301)</f>
        <v>324.245032699746</v>
      </c>
      <c r="N302" s="38" t="n">
        <f aca="false">IF((H302=1),M302-D302,0)</f>
        <v>0</v>
      </c>
      <c r="O302" s="16" t="n">
        <v>285</v>
      </c>
      <c r="P302" s="41" t="n">
        <f aca="false">IF((Arterial=0),P301+1,P301)</f>
        <v>136</v>
      </c>
      <c r="Q302" s="41" t="n">
        <f aca="false">IF((Arterial=1),Q301+1,Q301)</f>
        <v>149</v>
      </c>
      <c r="R302" s="42" t="e">
        <f aca="false">IF((RESET=1),0,R302+K302)</f>
        <v>#N/A</v>
      </c>
      <c r="S302" s="14" t="n">
        <f aca="false">IF(RESET=1,0,S302+N302)</f>
        <v>419.915723116517</v>
      </c>
      <c r="T302" s="2" t="e">
        <f aca="false">IF(RESET=1,0,T302+IF(H302=0,1,0))</f>
        <v>#N/A</v>
      </c>
      <c r="U302" s="2" t="n">
        <f aca="false">IF(RESET=1,0,U302+H302)</f>
        <v>35</v>
      </c>
      <c r="V302" s="14" t="e">
        <f aca="false">R302/(T302+0.00001)</f>
        <v>#N/A</v>
      </c>
      <c r="W302" s="14" t="n">
        <f aca="false">S302/(U302+0.0001)</f>
        <v>11.9975578103068</v>
      </c>
      <c r="X302" s="39" t="n">
        <f aca="false">IF(Informed=1,K302,0)</f>
        <v>0</v>
      </c>
      <c r="Y302" s="39" t="n">
        <f aca="false">IF(Informed=0,K302,0)</f>
        <v>22.3341370375613</v>
      </c>
      <c r="Z302" s="39" t="n">
        <f aca="false">IF(Informed=1,N302,0)</f>
        <v>0</v>
      </c>
      <c r="AA302" s="39" t="n">
        <f aca="false">IF(Informed=0,N302,0)</f>
        <v>0</v>
      </c>
      <c r="AB302" s="43" t="n">
        <f aca="false">IF(Arterial=0,IF(Informed=1,1,0),0)</f>
        <v>0</v>
      </c>
      <c r="AC302" s="43" t="n">
        <f aca="false">IF(Arterial=0,IF(Informed=0,1,0),0)</f>
        <v>1</v>
      </c>
      <c r="AD302" s="43" t="n">
        <f aca="false">IF(Arterial=1,IF(Informed=1,1,0),0)</f>
        <v>0</v>
      </c>
      <c r="AE302" s="43" t="n">
        <f aca="false">IF(Arterial=1,IF(Informed=0,1,0),0)</f>
        <v>0</v>
      </c>
      <c r="AF302" s="35" t="n">
        <f aca="false">IF(AB302=1,(X302-G$1030)^2,0)</f>
        <v>0</v>
      </c>
      <c r="AG302" s="35" t="n">
        <f aca="false">IF(AC302=1,(Y302-H$1030)^2,0)</f>
        <v>130.196127899476</v>
      </c>
      <c r="AH302" s="35" t="n">
        <f aca="false">IF(AD302=1,(Z302-I$1030)^2,0)</f>
        <v>0</v>
      </c>
      <c r="AI302" s="35" t="n">
        <f aca="false">IF(AE302=1,(AA302-J$1030)^2,0)</f>
        <v>0</v>
      </c>
      <c r="AJ302" s="37" t="n">
        <f aca="true">IF(RAND()&lt;$D$6,1,0)</f>
        <v>0</v>
      </c>
      <c r="AK302" s="14" t="n">
        <f aca="false">AK301+IF((AJ302=1),IF((H302=0),1,0),0)</f>
        <v>0</v>
      </c>
      <c r="AL302" s="14" t="n">
        <f aca="false">AL301+IF((AJ302=1),IF((H302=1),1,0),0)</f>
        <v>0</v>
      </c>
      <c r="AM302" s="37" t="n">
        <f aca="false">IF(AK302=0,9999,IF($H302=0,IF($AJ302&lt;1,AM301+1,0),AM301))</f>
        <v>9999</v>
      </c>
      <c r="AN302" s="37" t="n">
        <f aca="false">IF(AL302=0,9999,IF($H302=1,IF($AJ302&lt;1,AN301+1,0),AN301))</f>
        <v>9999</v>
      </c>
      <c r="AO302" s="37" t="n">
        <f aca="false">IF($A302-AM302&gt;0,1/(1+AM302),0)</f>
        <v>0</v>
      </c>
      <c r="AP302" s="37" t="n">
        <f aca="false">IF($A302-AN302&gt;0,1/(1+AN302),0)</f>
        <v>0</v>
      </c>
      <c r="AQ302" s="7" t="n">
        <f aca="false">IF(AK302=0,0,MAX(MIN(1,AO302^Power),0))</f>
        <v>0</v>
      </c>
      <c r="AR302" s="7" t="n">
        <f aca="false">IF(AL302=0,0,MAX(MIN(1,AP302^Power),0))</f>
        <v>0</v>
      </c>
      <c r="AS302" s="7" t="n">
        <f aca="false">IF($AJ302=1,IF($H302=0,K302,AS301),AS301)</f>
        <v>0</v>
      </c>
      <c r="AT302" s="7" t="n">
        <f aca="false">IF($AJ302=1,IF($H302=1,N302,AT301),AT301)</f>
        <v>0</v>
      </c>
    </row>
    <row r="303" customFormat="false" ht="13" hidden="false" customHeight="false" outlineLevel="0" collapsed="false">
      <c r="A303" s="16" t="n">
        <v>286</v>
      </c>
      <c r="B303" s="37" t="n">
        <f aca="true">IF(RAND()&lt;$D$8,1,0)</f>
        <v>1</v>
      </c>
      <c r="C303" s="20" t="n">
        <f aca="true">-LN(RAND())/$D$2</f>
        <v>0.0330691284100863</v>
      </c>
      <c r="D303" s="38" t="n">
        <f aca="false">D302+C303</f>
        <v>302.78955350384</v>
      </c>
      <c r="E303" s="39" t="n">
        <f aca="false">MAX($E$3,AS302)</f>
        <v>0</v>
      </c>
      <c r="F303" s="39" t="n">
        <f aca="false">MAX($E$3,AT302)</f>
        <v>0</v>
      </c>
      <c r="G303" s="40" t="n">
        <v>0.5</v>
      </c>
      <c r="H303" s="38" t="n">
        <f aca="true">IF((B303=1),(IF((F303&lt;E303),1,(IF((F303=E303),(IF(RAND()&lt;G303,1,0)),0)))),(IF((RAND()&lt;G303),1,0)))</f>
        <v>1</v>
      </c>
      <c r="I303" s="38" t="n">
        <f aca="true">IF((H303=1),0,$D$3+$D$5*(RAND()-0.5))</f>
        <v>0</v>
      </c>
      <c r="J303" s="38" t="n">
        <f aca="false">I303+MAX(D303,J302)</f>
        <v>325.090621412992</v>
      </c>
      <c r="K303" s="38" t="n">
        <f aca="false">IF((H303=0),J303-D303,0)</f>
        <v>0</v>
      </c>
      <c r="L303" s="38" t="n">
        <f aca="true">IF(($H303=0),0,$D$4+$D$5*(RAND()-0.5))</f>
        <v>1.78147601398167</v>
      </c>
      <c r="M303" s="38" t="n">
        <f aca="false">L303+MAX(D303,M302)</f>
        <v>326.026508713727</v>
      </c>
      <c r="N303" s="38" t="n">
        <f aca="false">IF((H303=1),M303-D303,0)</f>
        <v>23.2369552098869</v>
      </c>
      <c r="O303" s="16" t="n">
        <v>286</v>
      </c>
      <c r="P303" s="41" t="n">
        <f aca="false">IF((Arterial=0),P302+1,P302)</f>
        <v>136</v>
      </c>
      <c r="Q303" s="41" t="n">
        <f aca="false">IF((Arterial=1),Q302+1,Q302)</f>
        <v>150</v>
      </c>
      <c r="R303" s="42" t="n">
        <f aca="false">IF((RESET=1),0,R303+K303)</f>
        <v>568.059661643575</v>
      </c>
      <c r="S303" s="14" t="e">
        <f aca="false">IF(RESET=1,0,S303+N303)</f>
        <v>#N/A</v>
      </c>
      <c r="T303" s="2" t="n">
        <f aca="false">IF(RESET=1,0,T303+IF(H303=0,1,0))</f>
        <v>34</v>
      </c>
      <c r="U303" s="2" t="e">
        <f aca="false">IF(RESET=1,0,U303+H303)</f>
        <v>#N/A</v>
      </c>
      <c r="V303" s="14" t="n">
        <f aca="false">R303/(T303+0.00001)</f>
        <v>16.7076321931545</v>
      </c>
      <c r="W303" s="14" t="e">
        <f aca="false">S303/(U303+0.0001)</f>
        <v>#N/A</v>
      </c>
      <c r="X303" s="39" t="n">
        <f aca="false">IF(Informed=1,K303,0)</f>
        <v>0</v>
      </c>
      <c r="Y303" s="39" t="n">
        <f aca="false">IF(Informed=0,K303,0)</f>
        <v>0</v>
      </c>
      <c r="Z303" s="39" t="n">
        <f aca="false">IF(Informed=1,N303,0)</f>
        <v>23.2369552098869</v>
      </c>
      <c r="AA303" s="39" t="n">
        <f aca="false">IF(Informed=0,N303,0)</f>
        <v>0</v>
      </c>
      <c r="AB303" s="43" t="n">
        <f aca="false">IF(Arterial=0,IF(Informed=1,1,0),0)</f>
        <v>0</v>
      </c>
      <c r="AC303" s="43" t="n">
        <f aca="false">IF(Arterial=0,IF(Informed=0,1,0),0)</f>
        <v>0</v>
      </c>
      <c r="AD303" s="43" t="n">
        <f aca="false">IF(Arterial=1,IF(Informed=1,1,0),0)</f>
        <v>1</v>
      </c>
      <c r="AE303" s="43" t="n">
        <f aca="false">IF(Arterial=1,IF(Informed=0,1,0),0)</f>
        <v>0</v>
      </c>
      <c r="AF303" s="35" t="n">
        <f aca="false">IF(AB303=1,(X303-G$1030)^2,0)</f>
        <v>0</v>
      </c>
      <c r="AG303" s="35" t="n">
        <f aca="false">IF(AC303=1,(Y303-H$1030)^2,0)</f>
        <v>0</v>
      </c>
      <c r="AH303" s="35" t="n">
        <f aca="false">IF(AD303=1,(Z303-I$1030)^2,0)</f>
        <v>26.3978066129959</v>
      </c>
      <c r="AI303" s="35" t="n">
        <f aca="false">IF(AE303=1,(AA303-J$1030)^2,0)</f>
        <v>0</v>
      </c>
      <c r="AJ303" s="37" t="n">
        <f aca="true">IF(RAND()&lt;$D$6,1,0)</f>
        <v>0</v>
      </c>
      <c r="AK303" s="14" t="n">
        <f aca="false">AK302+IF((AJ303=1),IF((H303=0),1,0),0)</f>
        <v>0</v>
      </c>
      <c r="AL303" s="14" t="n">
        <f aca="false">AL302+IF((AJ303=1),IF((H303=1),1,0),0)</f>
        <v>0</v>
      </c>
      <c r="AM303" s="37" t="n">
        <f aca="false">IF(AK303=0,9999,IF($H303=0,IF($AJ303&lt;1,AM302+1,0),AM302))</f>
        <v>9999</v>
      </c>
      <c r="AN303" s="37" t="n">
        <f aca="false">IF(AL303=0,9999,IF($H303=1,IF($AJ303&lt;1,AN302+1,0),AN302))</f>
        <v>9999</v>
      </c>
      <c r="AO303" s="37" t="n">
        <f aca="false">IF($A303-AM303&gt;0,1/(1+AM303),0)</f>
        <v>0</v>
      </c>
      <c r="AP303" s="37" t="n">
        <f aca="false">IF($A303-AN303&gt;0,1/(1+AN303),0)</f>
        <v>0</v>
      </c>
      <c r="AQ303" s="7" t="n">
        <f aca="false">IF(AK303=0,0,MAX(MIN(1,AO303^Power),0))</f>
        <v>0</v>
      </c>
      <c r="AR303" s="7" t="n">
        <f aca="false">IF(AL303=0,0,MAX(MIN(1,AP303^Power),0))</f>
        <v>0</v>
      </c>
      <c r="AS303" s="7" t="n">
        <f aca="false">IF($AJ303=1,IF($H303=0,K303,AS302),AS302)</f>
        <v>0</v>
      </c>
      <c r="AT303" s="7" t="n">
        <f aca="false">IF($AJ303=1,IF($H303=1,N303,AT302),AT302)</f>
        <v>0</v>
      </c>
    </row>
    <row r="304" customFormat="false" ht="13" hidden="false" customHeight="false" outlineLevel="0" collapsed="false">
      <c r="A304" s="16" t="n">
        <v>287</v>
      </c>
      <c r="B304" s="37" t="n">
        <f aca="true">IF(RAND()&lt;$D$8,1,0)</f>
        <v>1</v>
      </c>
      <c r="C304" s="20" t="n">
        <f aca="true">-LN(RAND())/$D$2</f>
        <v>2.08059608230818</v>
      </c>
      <c r="D304" s="38" t="n">
        <f aca="false">D303+C304</f>
        <v>304.870149586149</v>
      </c>
      <c r="E304" s="39" t="n">
        <f aca="false">MAX($E$3,AS303)</f>
        <v>0</v>
      </c>
      <c r="F304" s="39" t="n">
        <f aca="false">MAX($E$3,AT303)</f>
        <v>0</v>
      </c>
      <c r="G304" s="40" t="n">
        <v>0.5</v>
      </c>
      <c r="H304" s="38" t="n">
        <f aca="true">IF((B304=1),(IF((F304&lt;E304),1,(IF((F304=E304),(IF(RAND()&lt;G304,1,0)),0)))),(IF((RAND()&lt;G304),1,0)))</f>
        <v>1</v>
      </c>
      <c r="I304" s="38" t="n">
        <f aca="true">IF((H304=1),0,$D$3+$D$5*(RAND()-0.5))</f>
        <v>0</v>
      </c>
      <c r="J304" s="38" t="n">
        <f aca="false">I304+MAX(D304,J303)</f>
        <v>325.090621412992</v>
      </c>
      <c r="K304" s="38" t="n">
        <f aca="false">IF((H304=0),J304-D304,0)</f>
        <v>0</v>
      </c>
      <c r="L304" s="38" t="n">
        <f aca="true">IF(($H304=0),0,$D$4+$D$5*(RAND()-0.5))</f>
        <v>1.91406339952429</v>
      </c>
      <c r="M304" s="38" t="n">
        <f aca="false">L304+MAX(D304,M303)</f>
        <v>327.940572113252</v>
      </c>
      <c r="N304" s="38" t="n">
        <f aca="false">IF((H304=1),M304-D304,0)</f>
        <v>23.070422527103</v>
      </c>
      <c r="O304" s="16" t="n">
        <v>287</v>
      </c>
      <c r="P304" s="41" t="n">
        <f aca="false">IF((Arterial=0),P303+1,P303)</f>
        <v>136</v>
      </c>
      <c r="Q304" s="41" t="n">
        <f aca="false">IF((Arterial=1),Q303+1,Q303)</f>
        <v>151</v>
      </c>
      <c r="R304" s="42" t="n">
        <f aca="false">IF((RESET=1),0,R304+K304)</f>
        <v>724.081527073184</v>
      </c>
      <c r="S304" s="14" t="e">
        <f aca="false">IF(RESET=1,0,S304+N304)</f>
        <v>#N/A</v>
      </c>
      <c r="T304" s="2" t="n">
        <f aca="false">IF(RESET=1,0,T304+IF(H304=0,1,0))</f>
        <v>42</v>
      </c>
      <c r="U304" s="2" t="e">
        <f aca="false">IF(RESET=1,0,U304+H304)</f>
        <v>#N/A</v>
      </c>
      <c r="V304" s="14" t="n">
        <f aca="false">R304/(T304+0.00001)</f>
        <v>17.2400322541158</v>
      </c>
      <c r="W304" s="14" t="e">
        <f aca="false">S304/(U304+0.0001)</f>
        <v>#N/A</v>
      </c>
      <c r="X304" s="39" t="n">
        <f aca="false">IF(Informed=1,K304,0)</f>
        <v>0</v>
      </c>
      <c r="Y304" s="39" t="n">
        <f aca="false">IF(Informed=0,K304,0)</f>
        <v>0</v>
      </c>
      <c r="Z304" s="39" t="n">
        <f aca="false">IF(Informed=1,N304,0)</f>
        <v>23.070422527103</v>
      </c>
      <c r="AA304" s="39" t="n">
        <f aca="false">IF(Informed=0,N304,0)</f>
        <v>0</v>
      </c>
      <c r="AB304" s="43" t="n">
        <f aca="false">IF(Arterial=0,IF(Informed=1,1,0),0)</f>
        <v>0</v>
      </c>
      <c r="AC304" s="43" t="n">
        <f aca="false">IF(Arterial=0,IF(Informed=0,1,0),0)</f>
        <v>0</v>
      </c>
      <c r="AD304" s="43" t="n">
        <f aca="false">IF(Arterial=1,IF(Informed=1,1,0),0)</f>
        <v>1</v>
      </c>
      <c r="AE304" s="43" t="n">
        <f aca="false">IF(Arterial=1,IF(Informed=0,1,0),0)</f>
        <v>0</v>
      </c>
      <c r="AF304" s="35" t="n">
        <f aca="false">IF(AB304=1,(X304-G$1030)^2,0)</f>
        <v>0</v>
      </c>
      <c r="AG304" s="35" t="n">
        <f aca="false">IF(AC304=1,(Y304-H$1030)^2,0)</f>
        <v>0</v>
      </c>
      <c r="AH304" s="35" t="n">
        <f aca="false">IF(AD304=1,(Z304-I$1030)^2,0)</f>
        <v>28.1367894891026</v>
      </c>
      <c r="AI304" s="35" t="n">
        <f aca="false">IF(AE304=1,(AA304-J$1030)^2,0)</f>
        <v>0</v>
      </c>
      <c r="AJ304" s="37" t="n">
        <f aca="true">IF(RAND()&lt;$D$6,1,0)</f>
        <v>0</v>
      </c>
      <c r="AK304" s="14" t="n">
        <f aca="false">AK303+IF((AJ304=1),IF((H304=0),1,0),0)</f>
        <v>0</v>
      </c>
      <c r="AL304" s="14" t="n">
        <f aca="false">AL303+IF((AJ304=1),IF((H304=1),1,0),0)</f>
        <v>0</v>
      </c>
      <c r="AM304" s="37" t="n">
        <f aca="false">IF(AK304=0,9999,IF($H304=0,IF($AJ304&lt;1,AM303+1,0),AM303))</f>
        <v>9999</v>
      </c>
      <c r="AN304" s="37" t="n">
        <f aca="false">IF(AL304=0,9999,IF($H304=1,IF($AJ304&lt;1,AN303+1,0),AN303))</f>
        <v>9999</v>
      </c>
      <c r="AO304" s="37" t="n">
        <f aca="false">IF($A304-AM304&gt;0,1/(1+AM304),0)</f>
        <v>0</v>
      </c>
      <c r="AP304" s="37" t="n">
        <f aca="false">IF($A304-AN304&gt;0,1/(1+AN304),0)</f>
        <v>0</v>
      </c>
      <c r="AQ304" s="7" t="n">
        <f aca="false">IF(AK304=0,0,MAX(MIN(1,AO304^Power),0))</f>
        <v>0</v>
      </c>
      <c r="AR304" s="7" t="n">
        <f aca="false">IF(AL304=0,0,MAX(MIN(1,AP304^Power),0))</f>
        <v>0</v>
      </c>
      <c r="AS304" s="7" t="n">
        <f aca="false">IF($AJ304=1,IF($H304=0,K304,AS303),AS303)</f>
        <v>0</v>
      </c>
      <c r="AT304" s="7" t="n">
        <f aca="false">IF($AJ304=1,IF($H304=1,N304,AT303),AT303)</f>
        <v>0</v>
      </c>
    </row>
    <row r="305" customFormat="false" ht="13" hidden="false" customHeight="false" outlineLevel="0" collapsed="false">
      <c r="A305" s="16" t="n">
        <v>288</v>
      </c>
      <c r="B305" s="37" t="n">
        <f aca="true">IF(RAND()&lt;$D$8,1,0)</f>
        <v>1</v>
      </c>
      <c r="C305" s="20" t="n">
        <f aca="true">-LN(RAND())/$D$2</f>
        <v>0.263036822192174</v>
      </c>
      <c r="D305" s="38" t="n">
        <f aca="false">D304+C305</f>
        <v>305.133186408341</v>
      </c>
      <c r="E305" s="39" t="n">
        <f aca="false">MAX($E$3,AS304)</f>
        <v>0</v>
      </c>
      <c r="F305" s="39" t="n">
        <f aca="false">MAX($E$3,AT304)</f>
        <v>0</v>
      </c>
      <c r="G305" s="40" t="n">
        <v>0.5</v>
      </c>
      <c r="H305" s="38" t="n">
        <f aca="true">IF((B305=1),(IF((F305&lt;E305),1,(IF((F305=E305),(IF(RAND()&lt;G305,1,0)),0)))),(IF((RAND()&lt;G305),1,0)))</f>
        <v>0</v>
      </c>
      <c r="I305" s="38" t="n">
        <f aca="true">IF((H305=1),0,$D$3+$D$5*(RAND()-0.5))</f>
        <v>2.13923329634585</v>
      </c>
      <c r="J305" s="38" t="n">
        <f aca="false">I305+MAX(D305,J304)</f>
        <v>327.229854709338</v>
      </c>
      <c r="K305" s="38" t="n">
        <f aca="false">IF((H305=0),J305-D305,0)</f>
        <v>22.0966683009967</v>
      </c>
      <c r="L305" s="38" t="n">
        <f aca="true">IF(($H305=0),0,$D$4+$D$5*(RAND()-0.5))</f>
        <v>0</v>
      </c>
      <c r="M305" s="38" t="n">
        <f aca="false">L305+MAX(D305,M304)</f>
        <v>327.940572113252</v>
      </c>
      <c r="N305" s="38" t="n">
        <f aca="false">IF((H305=1),M305-D305,0)</f>
        <v>0</v>
      </c>
      <c r="O305" s="16" t="n">
        <v>288</v>
      </c>
      <c r="P305" s="41" t="n">
        <f aca="false">IF((Arterial=0),P304+1,P304)</f>
        <v>137</v>
      </c>
      <c r="Q305" s="41" t="n">
        <f aca="false">IF((Arterial=1),Q304+1,Q304)</f>
        <v>151</v>
      </c>
      <c r="R305" s="42" t="e">
        <f aca="false">IF((RESET=1),0,R305+K305)</f>
        <v>#N/A</v>
      </c>
      <c r="S305" s="14" t="n">
        <f aca="false">IF(RESET=1,0,S305+N305)</f>
        <v>566.288247828539</v>
      </c>
      <c r="T305" s="2" t="e">
        <f aca="false">IF(RESET=1,0,T305+IF(H305=0,1,0))</f>
        <v>#N/A</v>
      </c>
      <c r="U305" s="2" t="n">
        <f aca="false">IF(RESET=1,0,U305+H305)</f>
        <v>38</v>
      </c>
      <c r="V305" s="14" t="e">
        <f aca="false">R305/(T305+0.00001)</f>
        <v>#N/A</v>
      </c>
      <c r="W305" s="14" t="n">
        <f aca="false">S305/(U305+0.0001)</f>
        <v>14.9022830947429</v>
      </c>
      <c r="X305" s="39" t="n">
        <f aca="false">IF(Informed=1,K305,0)</f>
        <v>22.0966683009967</v>
      </c>
      <c r="Y305" s="39" t="n">
        <f aca="false">IF(Informed=0,K305,0)</f>
        <v>0</v>
      </c>
      <c r="Z305" s="39" t="n">
        <f aca="false">IF(Informed=1,N305,0)</f>
        <v>0</v>
      </c>
      <c r="AA305" s="39" t="n">
        <f aca="false">IF(Informed=0,N305,0)</f>
        <v>0</v>
      </c>
      <c r="AB305" s="43" t="n">
        <f aca="false">IF(Arterial=0,IF(Informed=1,1,0),0)</f>
        <v>1</v>
      </c>
      <c r="AC305" s="43" t="n">
        <f aca="false">IF(Arterial=0,IF(Informed=0,1,0),0)</f>
        <v>0</v>
      </c>
      <c r="AD305" s="43" t="n">
        <f aca="false">IF(Arterial=1,IF(Informed=1,1,0),0)</f>
        <v>0</v>
      </c>
      <c r="AE305" s="43" t="n">
        <f aca="false">IF(Arterial=1,IF(Informed=0,1,0),0)</f>
        <v>0</v>
      </c>
      <c r="AF305" s="35" t="n">
        <f aca="false">IF(AB305=1,(X305-G$1030)^2,0)</f>
        <v>129.663542608739</v>
      </c>
      <c r="AG305" s="35" t="n">
        <f aca="false">IF(AC305=1,(Y305-H$1030)^2,0)</f>
        <v>0</v>
      </c>
      <c r="AH305" s="35" t="n">
        <f aca="false">IF(AD305=1,(Z305-I$1030)^2,0)</f>
        <v>0</v>
      </c>
      <c r="AI305" s="35" t="n">
        <f aca="false">IF(AE305=1,(AA305-J$1030)^2,0)</f>
        <v>0</v>
      </c>
      <c r="AJ305" s="37" t="n">
        <f aca="true">IF(RAND()&lt;$D$6,1,0)</f>
        <v>0</v>
      </c>
      <c r="AK305" s="14" t="n">
        <f aca="false">AK304+IF((AJ305=1),IF((H305=0),1,0),0)</f>
        <v>0</v>
      </c>
      <c r="AL305" s="14" t="n">
        <f aca="false">AL304+IF((AJ305=1),IF((H305=1),1,0),0)</f>
        <v>0</v>
      </c>
      <c r="AM305" s="37" t="n">
        <f aca="false">IF(AK305=0,9999,IF($H305=0,IF($AJ305&lt;1,AM304+1,0),AM304))</f>
        <v>9999</v>
      </c>
      <c r="AN305" s="37" t="n">
        <f aca="false">IF(AL305=0,9999,IF($H305=1,IF($AJ305&lt;1,AN304+1,0),AN304))</f>
        <v>9999</v>
      </c>
      <c r="AO305" s="37" t="n">
        <f aca="false">IF($A305-AM305&gt;0,1/(1+AM305),0)</f>
        <v>0</v>
      </c>
      <c r="AP305" s="37" t="n">
        <f aca="false">IF($A305-AN305&gt;0,1/(1+AN305),0)</f>
        <v>0</v>
      </c>
      <c r="AQ305" s="7" t="n">
        <f aca="false">IF(AK305=0,0,MAX(MIN(1,AO305^Power),0))</f>
        <v>0</v>
      </c>
      <c r="AR305" s="7" t="n">
        <f aca="false">IF(AL305=0,0,MAX(MIN(1,AP305^Power),0))</f>
        <v>0</v>
      </c>
      <c r="AS305" s="7" t="n">
        <f aca="false">IF($AJ305=1,IF($H305=0,K305,AS304),AS304)</f>
        <v>0</v>
      </c>
      <c r="AT305" s="7" t="n">
        <f aca="false">IF($AJ305=1,IF($H305=1,N305,AT304),AT304)</f>
        <v>0</v>
      </c>
    </row>
    <row r="306" customFormat="false" ht="13" hidden="false" customHeight="false" outlineLevel="0" collapsed="false">
      <c r="A306" s="16" t="n">
        <v>289</v>
      </c>
      <c r="B306" s="37" t="n">
        <f aca="true">IF(RAND()&lt;$D$8,1,0)</f>
        <v>0</v>
      </c>
      <c r="C306" s="20" t="n">
        <f aca="true">-LN(RAND())/$D$2</f>
        <v>0.830909386942306</v>
      </c>
      <c r="D306" s="38" t="n">
        <f aca="false">D305+C306</f>
        <v>305.964095795283</v>
      </c>
      <c r="E306" s="39" t="n">
        <f aca="false">MAX($E$3,AS305)</f>
        <v>0</v>
      </c>
      <c r="F306" s="39" t="n">
        <f aca="false">MAX($E$3,AT305)</f>
        <v>0</v>
      </c>
      <c r="G306" s="40" t="n">
        <v>0.5</v>
      </c>
      <c r="H306" s="38" t="n">
        <f aca="true">IF((B306=1),(IF((F306&lt;E306),1,(IF((F306=E306),(IF(RAND()&lt;G306,1,0)),0)))),(IF((RAND()&lt;G306),1,0)))</f>
        <v>1</v>
      </c>
      <c r="I306" s="38" t="n">
        <f aca="true">IF((H306=1),0,$D$3+$D$5*(RAND()-0.5))</f>
        <v>0</v>
      </c>
      <c r="J306" s="38" t="n">
        <f aca="false">I306+MAX(D306,J305)</f>
        <v>327.229854709338</v>
      </c>
      <c r="K306" s="38" t="n">
        <f aca="false">IF((H306=0),J306-D306,0)</f>
        <v>0</v>
      </c>
      <c r="L306" s="38" t="n">
        <f aca="true">IF(($H306=0),0,$D$4+$D$5*(RAND()-0.5))</f>
        <v>2.18258578796623</v>
      </c>
      <c r="M306" s="38" t="n">
        <f aca="false">L306+MAX(D306,M305)</f>
        <v>330.123157901218</v>
      </c>
      <c r="N306" s="38" t="n">
        <f aca="false">IF((H306=1),M306-D306,0)</f>
        <v>24.1590621059347</v>
      </c>
      <c r="O306" s="16" t="n">
        <v>289</v>
      </c>
      <c r="P306" s="41" t="n">
        <f aca="false">IF((Arterial=0),P305+1,P305)</f>
        <v>137</v>
      </c>
      <c r="Q306" s="41" t="n">
        <f aca="false">IF((Arterial=1),Q305+1,Q305)</f>
        <v>152</v>
      </c>
      <c r="R306" s="42" t="n">
        <f aca="false">IF((RESET=1),0,R306+K306)</f>
        <v>577.817460642704</v>
      </c>
      <c r="S306" s="14" t="e">
        <f aca="false">IF(RESET=1,0,S306+N306)</f>
        <v>#N/A</v>
      </c>
      <c r="T306" s="2" t="n">
        <f aca="false">IF(RESET=1,0,T306+IF(H306=0,1,0))</f>
        <v>38</v>
      </c>
      <c r="U306" s="2" t="e">
        <f aca="false">IF(RESET=1,0,U306+H306)</f>
        <v>#N/A</v>
      </c>
      <c r="V306" s="14" t="n">
        <f aca="false">R306/(T306+0.00001)</f>
        <v>15.2057186469873</v>
      </c>
      <c r="W306" s="14" t="e">
        <f aca="false">S306/(U306+0.0001)</f>
        <v>#N/A</v>
      </c>
      <c r="X306" s="39" t="n">
        <f aca="false">IF(Informed=1,K306,0)</f>
        <v>0</v>
      </c>
      <c r="Y306" s="39" t="n">
        <f aca="false">IF(Informed=0,K306,0)</f>
        <v>0</v>
      </c>
      <c r="Z306" s="39" t="n">
        <f aca="false">IF(Informed=1,N306,0)</f>
        <v>0</v>
      </c>
      <c r="AA306" s="39" t="n">
        <f aca="false">IF(Informed=0,N306,0)</f>
        <v>24.1590621059347</v>
      </c>
      <c r="AB306" s="43" t="n">
        <f aca="false">IF(Arterial=0,IF(Informed=1,1,0),0)</f>
        <v>0</v>
      </c>
      <c r="AC306" s="43" t="n">
        <f aca="false">IF(Arterial=0,IF(Informed=0,1,0),0)</f>
        <v>0</v>
      </c>
      <c r="AD306" s="43" t="n">
        <f aca="false">IF(Arterial=1,IF(Informed=1,1,0),0)</f>
        <v>0</v>
      </c>
      <c r="AE306" s="43" t="n">
        <f aca="false">IF(Arterial=1,IF(Informed=0,1,0),0)</f>
        <v>1</v>
      </c>
      <c r="AF306" s="35" t="n">
        <f aca="false">IF(AB306=1,(X306-G$1030)^2,0)</f>
        <v>0</v>
      </c>
      <c r="AG306" s="35" t="n">
        <f aca="false">IF(AC306=1,(Y306-H$1030)^2,0)</f>
        <v>0</v>
      </c>
      <c r="AH306" s="35" t="n">
        <f aca="false">IF(AD306=1,(Z306-I$1030)^2,0)</f>
        <v>0</v>
      </c>
      <c r="AI306" s="35" t="n">
        <f aca="false">IF(AE306=1,(AA306-J$1030)^2,0)</f>
        <v>29.2163263243959</v>
      </c>
      <c r="AJ306" s="37" t="n">
        <f aca="true">IF(RAND()&lt;$D$6,1,0)</f>
        <v>0</v>
      </c>
      <c r="AK306" s="14" t="n">
        <f aca="false">AK305+IF((AJ306=1),IF((H306=0),1,0),0)</f>
        <v>0</v>
      </c>
      <c r="AL306" s="14" t="n">
        <f aca="false">AL305+IF((AJ306=1),IF((H306=1),1,0),0)</f>
        <v>0</v>
      </c>
      <c r="AM306" s="37" t="n">
        <f aca="false">IF(AK306=0,9999,IF($H306=0,IF($AJ306&lt;1,AM305+1,0),AM305))</f>
        <v>9999</v>
      </c>
      <c r="AN306" s="37" t="n">
        <f aca="false">IF(AL306=0,9999,IF($H306=1,IF($AJ306&lt;1,AN305+1,0),AN305))</f>
        <v>9999</v>
      </c>
      <c r="AO306" s="37" t="n">
        <f aca="false">IF($A306-AM306&gt;0,1/(1+AM306),0)</f>
        <v>0</v>
      </c>
      <c r="AP306" s="37" t="n">
        <f aca="false">IF($A306-AN306&gt;0,1/(1+AN306),0)</f>
        <v>0</v>
      </c>
      <c r="AQ306" s="7" t="n">
        <f aca="false">IF(AK306=0,0,MAX(MIN(1,AO306^Power),0))</f>
        <v>0</v>
      </c>
      <c r="AR306" s="7" t="n">
        <f aca="false">IF(AL306=0,0,MAX(MIN(1,AP306^Power),0))</f>
        <v>0</v>
      </c>
      <c r="AS306" s="7" t="n">
        <f aca="false">IF($AJ306=1,IF($H306=0,K306,AS305),AS305)</f>
        <v>0</v>
      </c>
      <c r="AT306" s="7" t="n">
        <f aca="false">IF($AJ306=1,IF($H306=1,N306,AT305),AT305)</f>
        <v>0</v>
      </c>
    </row>
    <row r="307" customFormat="false" ht="13" hidden="false" customHeight="false" outlineLevel="0" collapsed="false">
      <c r="A307" s="16" t="n">
        <v>290</v>
      </c>
      <c r="B307" s="37" t="n">
        <f aca="true">IF(RAND()&lt;$D$8,1,0)</f>
        <v>1</v>
      </c>
      <c r="C307" s="20" t="n">
        <f aca="true">-LN(RAND())/$D$2</f>
        <v>2.34208295360779</v>
      </c>
      <c r="D307" s="38" t="n">
        <f aca="false">D306+C307</f>
        <v>308.306178748891</v>
      </c>
      <c r="E307" s="39" t="n">
        <f aca="false">MAX($E$3,AS306)</f>
        <v>0</v>
      </c>
      <c r="F307" s="39" t="n">
        <f aca="false">MAX($E$3,AT306)</f>
        <v>0</v>
      </c>
      <c r="G307" s="40" t="n">
        <v>0.5</v>
      </c>
      <c r="H307" s="38" t="n">
        <f aca="true">IF((B307=1),(IF((F307&lt;E307),1,(IF((F307=E307),(IF(RAND()&lt;G307,1,0)),0)))),(IF((RAND()&lt;G307),1,0)))</f>
        <v>1</v>
      </c>
      <c r="I307" s="38" t="n">
        <f aca="true">IF((H307=1),0,$D$3+$D$5*(RAND()-0.5))</f>
        <v>0</v>
      </c>
      <c r="J307" s="38" t="n">
        <f aca="false">I307+MAX(D307,J306)</f>
        <v>327.229854709338</v>
      </c>
      <c r="K307" s="38" t="n">
        <f aca="false">IF((H307=0),J307-D307,0)</f>
        <v>0</v>
      </c>
      <c r="L307" s="38" t="n">
        <f aca="true">IF(($H307=0),0,$D$4+$D$5*(RAND()-0.5))</f>
        <v>2.03866258569514</v>
      </c>
      <c r="M307" s="38" t="n">
        <f aca="false">L307+MAX(D307,M306)</f>
        <v>332.161820486913</v>
      </c>
      <c r="N307" s="38" t="n">
        <f aca="false">IF((H307=1),M307-D307,0)</f>
        <v>23.855641738022</v>
      </c>
      <c r="O307" s="16" t="n">
        <v>290</v>
      </c>
      <c r="P307" s="41" t="n">
        <f aca="false">IF((Arterial=0),P306+1,P306)</f>
        <v>137</v>
      </c>
      <c r="Q307" s="41" t="n">
        <f aca="false">IF((Arterial=1),Q306+1,Q306)</f>
        <v>153</v>
      </c>
      <c r="R307" s="42" t="n">
        <f aca="false">IF((RESET=1),0,R307+K307)</f>
        <v>588.91020692924</v>
      </c>
      <c r="S307" s="14" t="e">
        <f aca="false">IF(RESET=1,0,S307+N307)</f>
        <v>#N/A</v>
      </c>
      <c r="T307" s="2" t="n">
        <f aca="false">IF(RESET=1,0,T307+IF(H307=0,1,0))</f>
        <v>41</v>
      </c>
      <c r="U307" s="2" t="e">
        <f aca="false">IF(RESET=1,0,U307+H307)</f>
        <v>#N/A</v>
      </c>
      <c r="V307" s="14" t="n">
        <f aca="false">R307/(T307+0.00001)</f>
        <v>14.3636600803083</v>
      </c>
      <c r="W307" s="14" t="e">
        <f aca="false">S307/(U307+0.0001)</f>
        <v>#N/A</v>
      </c>
      <c r="X307" s="39" t="n">
        <f aca="false">IF(Informed=1,K307,0)</f>
        <v>0</v>
      </c>
      <c r="Y307" s="39" t="n">
        <f aca="false">IF(Informed=0,K307,0)</f>
        <v>0</v>
      </c>
      <c r="Z307" s="39" t="n">
        <f aca="false">IF(Informed=1,N307,0)</f>
        <v>23.855641738022</v>
      </c>
      <c r="AA307" s="39" t="n">
        <f aca="false">IF(Informed=0,N307,0)</f>
        <v>0</v>
      </c>
      <c r="AB307" s="43" t="n">
        <f aca="false">IF(Arterial=0,IF(Informed=1,1,0),0)</f>
        <v>0</v>
      </c>
      <c r="AC307" s="43" t="n">
        <f aca="false">IF(Arterial=0,IF(Informed=0,1,0),0)</f>
        <v>0</v>
      </c>
      <c r="AD307" s="43" t="n">
        <f aca="false">IF(Arterial=1,IF(Informed=1,1,0),0)</f>
        <v>1</v>
      </c>
      <c r="AE307" s="43" t="n">
        <f aca="false">IF(Arterial=1,IF(Informed=0,1,0),0)</f>
        <v>0</v>
      </c>
      <c r="AF307" s="35" t="n">
        <f aca="false">IF(AB307=1,(X307-G$1030)^2,0)</f>
        <v>0</v>
      </c>
      <c r="AG307" s="35" t="n">
        <f aca="false">IF(AC307=1,(Y307-H$1030)^2,0)</f>
        <v>0</v>
      </c>
      <c r="AH307" s="35" t="n">
        <f aca="false">IF(AD307=1,(Z307-I$1030)^2,0)</f>
        <v>20.4231058702945</v>
      </c>
      <c r="AI307" s="35" t="n">
        <f aca="false">IF(AE307=1,(AA307-J$1030)^2,0)</f>
        <v>0</v>
      </c>
      <c r="AJ307" s="37" t="n">
        <f aca="true">IF(RAND()&lt;$D$6,1,0)</f>
        <v>0</v>
      </c>
      <c r="AK307" s="14" t="n">
        <f aca="false">AK306+IF((AJ307=1),IF((H307=0),1,0),0)</f>
        <v>0</v>
      </c>
      <c r="AL307" s="14" t="n">
        <f aca="false">AL306+IF((AJ307=1),IF((H307=1),1,0),0)</f>
        <v>0</v>
      </c>
      <c r="AM307" s="37" t="n">
        <f aca="false">IF(AK307=0,9999,IF($H307=0,IF($AJ307&lt;1,AM306+1,0),AM306))</f>
        <v>9999</v>
      </c>
      <c r="AN307" s="37" t="n">
        <f aca="false">IF(AL307=0,9999,IF($H307=1,IF($AJ307&lt;1,AN306+1,0),AN306))</f>
        <v>9999</v>
      </c>
      <c r="AO307" s="37" t="n">
        <f aca="false">IF($A307-AM307&gt;0,1/(1+AM307),0)</f>
        <v>0</v>
      </c>
      <c r="AP307" s="37" t="n">
        <f aca="false">IF($A307-AN307&gt;0,1/(1+AN307),0)</f>
        <v>0</v>
      </c>
      <c r="AQ307" s="7" t="n">
        <f aca="false">IF(AK307=0,0,MAX(MIN(1,AO307^Power),0))</f>
        <v>0</v>
      </c>
      <c r="AR307" s="7" t="n">
        <f aca="false">IF(AL307=0,0,MAX(MIN(1,AP307^Power),0))</f>
        <v>0</v>
      </c>
      <c r="AS307" s="7" t="n">
        <f aca="false">IF($AJ307=1,IF($H307=0,K307,AS306),AS306)</f>
        <v>0</v>
      </c>
      <c r="AT307" s="7" t="n">
        <f aca="false">IF($AJ307=1,IF($H307=1,N307,AT306),AT306)</f>
        <v>0</v>
      </c>
    </row>
    <row r="308" customFormat="false" ht="13" hidden="false" customHeight="false" outlineLevel="0" collapsed="false">
      <c r="A308" s="16" t="n">
        <v>291</v>
      </c>
      <c r="B308" s="37" t="n">
        <f aca="true">IF(RAND()&lt;$D$8,1,0)</f>
        <v>0</v>
      </c>
      <c r="C308" s="20" t="n">
        <f aca="true">-LN(RAND())/$D$2</f>
        <v>2.6328224626295</v>
      </c>
      <c r="D308" s="38" t="n">
        <f aca="false">D307+C308</f>
        <v>310.939001211521</v>
      </c>
      <c r="E308" s="39" t="n">
        <f aca="false">MAX($E$3,AS307)</f>
        <v>0</v>
      </c>
      <c r="F308" s="39" t="n">
        <f aca="false">MAX($E$3,AT307)</f>
        <v>0</v>
      </c>
      <c r="G308" s="40" t="n">
        <v>0.5</v>
      </c>
      <c r="H308" s="38" t="n">
        <f aca="true">IF((B308=1),(IF((F308&lt;E308),1,(IF((F308=E308),(IF(RAND()&lt;G308,1,0)),0)))),(IF((RAND()&lt;G308),1,0)))</f>
        <v>0</v>
      </c>
      <c r="I308" s="38" t="n">
        <f aca="true">IF((H308=1),0,$D$3+$D$5*(RAND()-0.5))</f>
        <v>2.06058818080364</v>
      </c>
      <c r="J308" s="38" t="n">
        <f aca="false">I308+MAX(D308,J307)</f>
        <v>329.290442890141</v>
      </c>
      <c r="K308" s="38" t="n">
        <f aca="false">IF((H308=0),J308-D308,0)</f>
        <v>18.3514416786206</v>
      </c>
      <c r="L308" s="38" t="n">
        <f aca="true">IF(($H308=0),0,$D$4+$D$5*(RAND()-0.5))</f>
        <v>0</v>
      </c>
      <c r="M308" s="38" t="n">
        <f aca="false">L308+MAX(D308,M307)</f>
        <v>332.161820486913</v>
      </c>
      <c r="N308" s="38" t="n">
        <f aca="false">IF((H308=1),M308-D308,0)</f>
        <v>0</v>
      </c>
      <c r="O308" s="16" t="n">
        <v>291</v>
      </c>
      <c r="P308" s="41" t="n">
        <f aca="false">IF((Arterial=0),P307+1,P307)</f>
        <v>138</v>
      </c>
      <c r="Q308" s="41" t="n">
        <f aca="false">IF((Arterial=1),Q307+1,Q307)</f>
        <v>153</v>
      </c>
      <c r="R308" s="42" t="e">
        <f aca="false">IF((RESET=1),0,R308+K308)</f>
        <v>#N/A</v>
      </c>
      <c r="S308" s="14" t="n">
        <f aca="false">IF(RESET=1,0,S308+N308)</f>
        <v>436.581612241586</v>
      </c>
      <c r="T308" s="2" t="e">
        <f aca="false">IF(RESET=1,0,T308+IF(H308=0,1,0))</f>
        <v>#N/A</v>
      </c>
      <c r="U308" s="2" t="n">
        <f aca="false">IF(RESET=1,0,U308+H308)</f>
        <v>40</v>
      </c>
      <c r="V308" s="14" t="e">
        <f aca="false">R308/(T308+0.00001)</f>
        <v>#N/A</v>
      </c>
      <c r="W308" s="14" t="n">
        <f aca="false">S308/(U308+0.0001)</f>
        <v>10.9145130197571</v>
      </c>
      <c r="X308" s="39" t="n">
        <f aca="false">IF(Informed=1,K308,0)</f>
        <v>0</v>
      </c>
      <c r="Y308" s="39" t="n">
        <f aca="false">IF(Informed=0,K308,0)</f>
        <v>18.3514416786206</v>
      </c>
      <c r="Z308" s="39" t="n">
        <f aca="false">IF(Informed=1,N308,0)</f>
        <v>0</v>
      </c>
      <c r="AA308" s="39" t="n">
        <f aca="false">IF(Informed=0,N308,0)</f>
        <v>0</v>
      </c>
      <c r="AB308" s="43" t="n">
        <f aca="false">IF(Arterial=0,IF(Informed=1,1,0),0)</f>
        <v>0</v>
      </c>
      <c r="AC308" s="43" t="n">
        <f aca="false">IF(Arterial=0,IF(Informed=0,1,0),0)</f>
        <v>1</v>
      </c>
      <c r="AD308" s="43" t="n">
        <f aca="false">IF(Arterial=1,IF(Informed=1,1,0),0)</f>
        <v>0</v>
      </c>
      <c r="AE308" s="43" t="n">
        <f aca="false">IF(Arterial=1,IF(Informed=0,1,0),0)</f>
        <v>0</v>
      </c>
      <c r="AF308" s="35" t="n">
        <f aca="false">IF(AB308=1,(X308-G$1030)^2,0)</f>
        <v>0</v>
      </c>
      <c r="AG308" s="35" t="n">
        <f aca="false">IF(AC308=1,(Y308-H$1030)^2,0)</f>
        <v>55.1700800109353</v>
      </c>
      <c r="AH308" s="35" t="n">
        <f aca="false">IF(AD308=1,(Z308-I$1030)^2,0)</f>
        <v>0</v>
      </c>
      <c r="AI308" s="35" t="n">
        <f aca="false">IF(AE308=1,(AA308-J$1030)^2,0)</f>
        <v>0</v>
      </c>
      <c r="AJ308" s="37" t="n">
        <f aca="true">IF(RAND()&lt;$D$6,1,0)</f>
        <v>0</v>
      </c>
      <c r="AK308" s="14" t="n">
        <f aca="false">AK307+IF((AJ308=1),IF((H308=0),1,0),0)</f>
        <v>0</v>
      </c>
      <c r="AL308" s="14" t="n">
        <f aca="false">AL307+IF((AJ308=1),IF((H308=1),1,0),0)</f>
        <v>0</v>
      </c>
      <c r="AM308" s="37" t="n">
        <f aca="false">IF(AK308=0,9999,IF($H308=0,IF($AJ308&lt;1,AM307+1,0),AM307))</f>
        <v>9999</v>
      </c>
      <c r="AN308" s="37" t="n">
        <f aca="false">IF(AL308=0,9999,IF($H308=1,IF($AJ308&lt;1,AN307+1,0),AN307))</f>
        <v>9999</v>
      </c>
      <c r="AO308" s="37" t="n">
        <f aca="false">IF($A308-AM308&gt;0,1/(1+AM308),0)</f>
        <v>0</v>
      </c>
      <c r="AP308" s="37" t="n">
        <f aca="false">IF($A308-AN308&gt;0,1/(1+AN308),0)</f>
        <v>0</v>
      </c>
      <c r="AQ308" s="7" t="n">
        <f aca="false">IF(AK308=0,0,MAX(MIN(1,AO308^Power),0))</f>
        <v>0</v>
      </c>
      <c r="AR308" s="7" t="n">
        <f aca="false">IF(AL308=0,0,MAX(MIN(1,AP308^Power),0))</f>
        <v>0</v>
      </c>
      <c r="AS308" s="7" t="n">
        <f aca="false">IF($AJ308=1,IF($H308=0,K308,AS307),AS307)</f>
        <v>0</v>
      </c>
      <c r="AT308" s="7" t="n">
        <f aca="false">IF($AJ308=1,IF($H308=1,N308,AT307),AT307)</f>
        <v>0</v>
      </c>
    </row>
    <row r="309" customFormat="false" ht="13" hidden="false" customHeight="false" outlineLevel="0" collapsed="false">
      <c r="A309" s="16" t="n">
        <v>292</v>
      </c>
      <c r="B309" s="37" t="n">
        <f aca="true">IF(RAND()&lt;$D$8,1,0)</f>
        <v>1</v>
      </c>
      <c r="C309" s="20" t="n">
        <f aca="true">-LN(RAND())/$D$2</f>
        <v>2.43025824301132</v>
      </c>
      <c r="D309" s="38" t="n">
        <f aca="false">D308+C309</f>
        <v>313.369259454532</v>
      </c>
      <c r="E309" s="39" t="n">
        <f aca="false">MAX($E$3,AS308)</f>
        <v>0</v>
      </c>
      <c r="F309" s="39" t="n">
        <f aca="false">MAX($E$3,AT308)</f>
        <v>0</v>
      </c>
      <c r="G309" s="40" t="n">
        <v>0.5</v>
      </c>
      <c r="H309" s="38" t="n">
        <f aca="true">IF((B309=1),(IF((F309&lt;E309),1,(IF((F309=E309),(IF(RAND()&lt;G309,1,0)),0)))),(IF((RAND()&lt;G309),1,0)))</f>
        <v>1</v>
      </c>
      <c r="I309" s="38" t="n">
        <f aca="true">IF((H309=1),0,$D$3+$D$5*(RAND()-0.5))</f>
        <v>0</v>
      </c>
      <c r="J309" s="38" t="n">
        <f aca="false">I309+MAX(D309,J308)</f>
        <v>329.290442890141</v>
      </c>
      <c r="K309" s="38" t="n">
        <f aca="false">IF((H309=0),J309-D309,0)</f>
        <v>0</v>
      </c>
      <c r="L309" s="38" t="n">
        <f aca="true">IF(($H309=0),0,$D$4+$D$5*(RAND()-0.5))</f>
        <v>2.24358137618585</v>
      </c>
      <c r="M309" s="38" t="n">
        <f aca="false">L309+MAX(D309,M308)</f>
        <v>334.405401863099</v>
      </c>
      <c r="N309" s="38" t="n">
        <f aca="false">IF((H309=1),M309-D309,0)</f>
        <v>21.036142408567</v>
      </c>
      <c r="O309" s="16" t="n">
        <v>292</v>
      </c>
      <c r="P309" s="41" t="n">
        <f aca="false">IF((Arterial=0),P308+1,P308)</f>
        <v>138</v>
      </c>
      <c r="Q309" s="41" t="n">
        <f aca="false">IF((Arterial=1),Q308+1,Q308)</f>
        <v>154</v>
      </c>
      <c r="R309" s="42" t="n">
        <f aca="false">IF((RESET=1),0,R309+K309)</f>
        <v>595.307908025114</v>
      </c>
      <c r="S309" s="14" t="e">
        <f aca="false">IF(RESET=1,0,S309+N309)</f>
        <v>#N/A</v>
      </c>
      <c r="T309" s="2" t="n">
        <f aca="false">IF(RESET=1,0,T309+IF(H309=0,1,0))</f>
        <v>36</v>
      </c>
      <c r="U309" s="2" t="e">
        <f aca="false">IF(RESET=1,0,U309+H309)</f>
        <v>#N/A</v>
      </c>
      <c r="V309" s="14" t="n">
        <f aca="false">R309/(T309+0.00001)</f>
        <v>16.5363261850515</v>
      </c>
      <c r="W309" s="14" t="e">
        <f aca="false">S309/(U309+0.0001)</f>
        <v>#N/A</v>
      </c>
      <c r="X309" s="39" t="n">
        <f aca="false">IF(Informed=1,K309,0)</f>
        <v>0</v>
      </c>
      <c r="Y309" s="39" t="n">
        <f aca="false">IF(Informed=0,K309,0)</f>
        <v>0</v>
      </c>
      <c r="Z309" s="39" t="n">
        <f aca="false">IF(Informed=1,N309,0)</f>
        <v>21.036142408567</v>
      </c>
      <c r="AA309" s="39" t="n">
        <f aca="false">IF(Informed=0,N309,0)</f>
        <v>0</v>
      </c>
      <c r="AB309" s="43" t="n">
        <f aca="false">IF(Arterial=0,IF(Informed=1,1,0),0)</f>
        <v>0</v>
      </c>
      <c r="AC309" s="43" t="n">
        <f aca="false">IF(Arterial=0,IF(Informed=0,1,0),0)</f>
        <v>0</v>
      </c>
      <c r="AD309" s="43" t="n">
        <f aca="false">IF(Arterial=1,IF(Informed=1,1,0),0)</f>
        <v>1</v>
      </c>
      <c r="AE309" s="43" t="n">
        <f aca="false">IF(Arterial=1,IF(Informed=0,1,0),0)</f>
        <v>0</v>
      </c>
      <c r="AF309" s="35" t="n">
        <f aca="false">IF(AB309=1,(X309-G$1030)^2,0)</f>
        <v>0</v>
      </c>
      <c r="AG309" s="35" t="n">
        <f aca="false">IF(AC309=1,(Y309-H$1030)^2,0)</f>
        <v>0</v>
      </c>
      <c r="AH309" s="35" t="n">
        <f aca="false">IF(AD309=1,(Z309-I$1030)^2,0)</f>
        <v>53.8564059167993</v>
      </c>
      <c r="AI309" s="35" t="n">
        <f aca="false">IF(AE309=1,(AA309-J$1030)^2,0)</f>
        <v>0</v>
      </c>
      <c r="AJ309" s="37" t="n">
        <f aca="true">IF(RAND()&lt;$D$6,1,0)</f>
        <v>0</v>
      </c>
      <c r="AK309" s="14" t="n">
        <f aca="false">AK308+IF((AJ309=1),IF((H309=0),1,0),0)</f>
        <v>0</v>
      </c>
      <c r="AL309" s="14" t="n">
        <f aca="false">AL308+IF((AJ309=1),IF((H309=1),1,0),0)</f>
        <v>0</v>
      </c>
      <c r="AM309" s="37" t="n">
        <f aca="false">IF(AK309=0,9999,IF($H309=0,IF($AJ309&lt;1,AM308+1,0),AM308))</f>
        <v>9999</v>
      </c>
      <c r="AN309" s="37" t="n">
        <f aca="false">IF(AL309=0,9999,IF($H309=1,IF($AJ309&lt;1,AN308+1,0),AN308))</f>
        <v>9999</v>
      </c>
      <c r="AO309" s="37" t="n">
        <f aca="false">IF($A309-AM309&gt;0,1/(1+AM309),0)</f>
        <v>0</v>
      </c>
      <c r="AP309" s="37" t="n">
        <f aca="false">IF($A309-AN309&gt;0,1/(1+AN309),0)</f>
        <v>0</v>
      </c>
      <c r="AQ309" s="7" t="n">
        <f aca="false">IF(AK309=0,0,MAX(MIN(1,AO309^Power),0))</f>
        <v>0</v>
      </c>
      <c r="AR309" s="7" t="n">
        <f aca="false">IF(AL309=0,0,MAX(MIN(1,AP309^Power),0))</f>
        <v>0</v>
      </c>
      <c r="AS309" s="7" t="n">
        <f aca="false">IF($AJ309=1,IF($H309=0,K309,AS308),AS308)</f>
        <v>0</v>
      </c>
      <c r="AT309" s="7" t="n">
        <f aca="false">IF($AJ309=1,IF($H309=1,N309,AT308),AT308)</f>
        <v>0</v>
      </c>
    </row>
    <row r="310" customFormat="false" ht="13" hidden="false" customHeight="false" outlineLevel="0" collapsed="false">
      <c r="A310" s="16" t="n">
        <v>293</v>
      </c>
      <c r="B310" s="37" t="n">
        <f aca="true">IF(RAND()&lt;$D$8,1,0)</f>
        <v>1</v>
      </c>
      <c r="C310" s="20" t="n">
        <f aca="true">-LN(RAND())/$D$2</f>
        <v>1.13716719278008</v>
      </c>
      <c r="D310" s="38" t="n">
        <f aca="false">D309+C310</f>
        <v>314.506426647312</v>
      </c>
      <c r="E310" s="39" t="n">
        <f aca="false">MAX($E$3,AS309)</f>
        <v>0</v>
      </c>
      <c r="F310" s="39" t="n">
        <f aca="false">MAX($E$3,AT309)</f>
        <v>0</v>
      </c>
      <c r="G310" s="40" t="n">
        <v>0.5</v>
      </c>
      <c r="H310" s="38" t="n">
        <f aca="true">IF((B310=1),(IF((F310&lt;E310),1,(IF((F310=E310),(IF(RAND()&lt;G310,1,0)),0)))),(IF((RAND()&lt;G310),1,0)))</f>
        <v>1</v>
      </c>
      <c r="I310" s="38" t="n">
        <f aca="true">IF((H310=1),0,$D$3+$D$5*(RAND()-0.5))</f>
        <v>0</v>
      </c>
      <c r="J310" s="38" t="n">
        <f aca="false">I310+MAX(D310,J309)</f>
        <v>329.290442890141</v>
      </c>
      <c r="K310" s="38" t="n">
        <f aca="false">IF((H310=0),J310-D310,0)</f>
        <v>0</v>
      </c>
      <c r="L310" s="38" t="n">
        <f aca="true">IF(($H310=0),0,$D$4+$D$5*(RAND()-0.5))</f>
        <v>1.88272067416971</v>
      </c>
      <c r="M310" s="38" t="n">
        <f aca="false">L310+MAX(D310,M309)</f>
        <v>336.288122537269</v>
      </c>
      <c r="N310" s="38" t="n">
        <f aca="false">IF((H310=1),M310-D310,0)</f>
        <v>21.7816958899566</v>
      </c>
      <c r="O310" s="16" t="n">
        <v>293</v>
      </c>
      <c r="P310" s="41" t="n">
        <f aca="false">IF((Arterial=0),P309+1,P309)</f>
        <v>138</v>
      </c>
      <c r="Q310" s="41" t="n">
        <f aca="false">IF((Arterial=1),Q309+1,Q309)</f>
        <v>155</v>
      </c>
      <c r="R310" s="42" t="n">
        <f aca="false">IF((RESET=1),0,R310+K310)</f>
        <v>557.31956156077</v>
      </c>
      <c r="S310" s="14" t="e">
        <f aca="false">IF(RESET=1,0,S310+N310)</f>
        <v>#N/A</v>
      </c>
      <c r="T310" s="2" t="n">
        <f aca="false">IF(RESET=1,0,T310+IF(H310=0,1,0))</f>
        <v>38</v>
      </c>
      <c r="U310" s="2" t="e">
        <f aca="false">IF(RESET=1,0,U310+H310)</f>
        <v>#N/A</v>
      </c>
      <c r="V310" s="14" t="n">
        <f aca="false">R310/(T310+0.00001)</f>
        <v>14.6663003920465</v>
      </c>
      <c r="W310" s="14" t="e">
        <f aca="false">S310/(U310+0.0001)</f>
        <v>#N/A</v>
      </c>
      <c r="X310" s="39" t="n">
        <f aca="false">IF(Informed=1,K310,0)</f>
        <v>0</v>
      </c>
      <c r="Y310" s="39" t="n">
        <f aca="false">IF(Informed=0,K310,0)</f>
        <v>0</v>
      </c>
      <c r="Z310" s="39" t="n">
        <f aca="false">IF(Informed=1,N310,0)</f>
        <v>21.7816958899566</v>
      </c>
      <c r="AA310" s="39" t="n">
        <f aca="false">IF(Informed=0,N310,0)</f>
        <v>0</v>
      </c>
      <c r="AB310" s="43" t="n">
        <f aca="false">IF(Arterial=0,IF(Informed=1,1,0),0)</f>
        <v>0</v>
      </c>
      <c r="AC310" s="43" t="n">
        <f aca="false">IF(Arterial=0,IF(Informed=0,1,0),0)</f>
        <v>0</v>
      </c>
      <c r="AD310" s="43" t="n">
        <f aca="false">IF(Arterial=1,IF(Informed=1,1,0),0)</f>
        <v>1</v>
      </c>
      <c r="AE310" s="43" t="n">
        <f aca="false">IF(Arterial=1,IF(Informed=0,1,0),0)</f>
        <v>0</v>
      </c>
      <c r="AF310" s="35" t="n">
        <f aca="false">IF(AB310=1,(X310-G$1030)^2,0)</f>
        <v>0</v>
      </c>
      <c r="AG310" s="35" t="n">
        <f aca="false">IF(AC310=1,(Y310-H$1030)^2,0)</f>
        <v>0</v>
      </c>
      <c r="AH310" s="35" t="n">
        <f aca="false">IF(AD310=1,(Z310-I$1030)^2,0)</f>
        <v>43.4694805979367</v>
      </c>
      <c r="AI310" s="35" t="n">
        <f aca="false">IF(AE310=1,(AA310-J$1030)^2,0)</f>
        <v>0</v>
      </c>
      <c r="AJ310" s="37" t="n">
        <f aca="true">IF(RAND()&lt;$D$6,1,0)</f>
        <v>0</v>
      </c>
      <c r="AK310" s="14" t="n">
        <f aca="false">AK309+IF((AJ310=1),IF((H310=0),1,0),0)</f>
        <v>0</v>
      </c>
      <c r="AL310" s="14" t="n">
        <f aca="false">AL309+IF((AJ310=1),IF((H310=1),1,0),0)</f>
        <v>0</v>
      </c>
      <c r="AM310" s="37" t="n">
        <f aca="false">IF(AK310=0,9999,IF($H310=0,IF($AJ310&lt;1,AM309+1,0),AM309))</f>
        <v>9999</v>
      </c>
      <c r="AN310" s="37" t="n">
        <f aca="false">IF(AL310=0,9999,IF($H310=1,IF($AJ310&lt;1,AN309+1,0),AN309))</f>
        <v>9999</v>
      </c>
      <c r="AO310" s="37" t="n">
        <f aca="false">IF($A310-AM310&gt;0,1/(1+AM310),0)</f>
        <v>0</v>
      </c>
      <c r="AP310" s="37" t="n">
        <f aca="false">IF($A310-AN310&gt;0,1/(1+AN310),0)</f>
        <v>0</v>
      </c>
      <c r="AQ310" s="7" t="n">
        <f aca="false">IF(AK310=0,0,MAX(MIN(1,AO310^Power),0))</f>
        <v>0</v>
      </c>
      <c r="AR310" s="7" t="n">
        <f aca="false">IF(AL310=0,0,MAX(MIN(1,AP310^Power),0))</f>
        <v>0</v>
      </c>
      <c r="AS310" s="7" t="n">
        <f aca="false">IF($AJ310=1,IF($H310=0,K310,AS309),AS309)</f>
        <v>0</v>
      </c>
      <c r="AT310" s="7" t="n">
        <f aca="false">IF($AJ310=1,IF($H310=1,N310,AT309),AT309)</f>
        <v>0</v>
      </c>
    </row>
    <row r="311" customFormat="false" ht="13" hidden="false" customHeight="false" outlineLevel="0" collapsed="false">
      <c r="A311" s="16" t="n">
        <v>294</v>
      </c>
      <c r="B311" s="37" t="n">
        <f aca="true">IF(RAND()&lt;$D$8,1,0)</f>
        <v>0</v>
      </c>
      <c r="C311" s="20" t="n">
        <f aca="true">-LN(RAND())/$D$2</f>
        <v>1.61279469224082</v>
      </c>
      <c r="D311" s="38" t="n">
        <f aca="false">D310+C311</f>
        <v>316.119221339553</v>
      </c>
      <c r="E311" s="39" t="n">
        <f aca="false">MAX($E$3,AS310)</f>
        <v>0</v>
      </c>
      <c r="F311" s="39" t="n">
        <f aca="false">MAX($E$3,AT310)</f>
        <v>0</v>
      </c>
      <c r="G311" s="40" t="n">
        <v>0.5</v>
      </c>
      <c r="H311" s="38" t="n">
        <f aca="true">IF((B311=1),(IF((F311&lt;E311),1,(IF((F311=E311),(IF(RAND()&lt;G311,1,0)),0)))),(IF((RAND()&lt;G311),1,0)))</f>
        <v>1</v>
      </c>
      <c r="I311" s="38" t="n">
        <f aca="true">IF((H311=1),0,$D$3+$D$5*(RAND()-0.5))</f>
        <v>0</v>
      </c>
      <c r="J311" s="38" t="n">
        <f aca="false">I311+MAX(D311,J310)</f>
        <v>329.290442890141</v>
      </c>
      <c r="K311" s="38" t="n">
        <f aca="false">IF((H311=0),J311-D311,0)</f>
        <v>0</v>
      </c>
      <c r="L311" s="38" t="n">
        <f aca="true">IF(($H311=0),0,$D$4+$D$5*(RAND()-0.5))</f>
        <v>2.22326295218515</v>
      </c>
      <c r="M311" s="38" t="n">
        <f aca="false">L311+MAX(D311,M310)</f>
        <v>338.511385489454</v>
      </c>
      <c r="N311" s="38" t="n">
        <f aca="false">IF((H311=1),M311-D311,0)</f>
        <v>22.392164149901</v>
      </c>
      <c r="O311" s="16" t="n">
        <v>294</v>
      </c>
      <c r="P311" s="41" t="n">
        <f aca="false">IF((Arterial=0),P310+1,P310)</f>
        <v>138</v>
      </c>
      <c r="Q311" s="41" t="n">
        <f aca="false">IF((Arterial=1),Q310+1,Q310)</f>
        <v>156</v>
      </c>
      <c r="R311" s="42" t="n">
        <f aca="false">IF((RESET=1),0,R311+K311)</f>
        <v>517.076843895619</v>
      </c>
      <c r="S311" s="14" t="e">
        <f aca="false">IF(RESET=1,0,S311+N311)</f>
        <v>#N/A</v>
      </c>
      <c r="T311" s="2" t="n">
        <f aca="false">IF(RESET=1,0,T311+IF(H311=0,1,0))</f>
        <v>34</v>
      </c>
      <c r="U311" s="2" t="e">
        <f aca="false">IF(RESET=1,0,U311+H311)</f>
        <v>#N/A</v>
      </c>
      <c r="V311" s="14" t="n">
        <f aca="false">R311/(T311+0.00001)</f>
        <v>15.2081379945364</v>
      </c>
      <c r="W311" s="14" t="e">
        <f aca="false">S311/(U311+0.0001)</f>
        <v>#N/A</v>
      </c>
      <c r="X311" s="39" t="n">
        <f aca="false">IF(Informed=1,K311,0)</f>
        <v>0</v>
      </c>
      <c r="Y311" s="39" t="n">
        <f aca="false">IF(Informed=0,K311,0)</f>
        <v>0</v>
      </c>
      <c r="Z311" s="39" t="n">
        <f aca="false">IF(Informed=1,N311,0)</f>
        <v>0</v>
      </c>
      <c r="AA311" s="39" t="n">
        <f aca="false">IF(Informed=0,N311,0)</f>
        <v>22.392164149901</v>
      </c>
      <c r="AB311" s="43" t="n">
        <f aca="false">IF(Arterial=0,IF(Informed=1,1,0),0)</f>
        <v>0</v>
      </c>
      <c r="AC311" s="43" t="n">
        <f aca="false">IF(Arterial=0,IF(Informed=0,1,0),0)</f>
        <v>0</v>
      </c>
      <c r="AD311" s="43" t="n">
        <f aca="false">IF(Arterial=1,IF(Informed=1,1,0),0)</f>
        <v>0</v>
      </c>
      <c r="AE311" s="43" t="n">
        <f aca="false">IF(Arterial=1,IF(Informed=0,1,0),0)</f>
        <v>1</v>
      </c>
      <c r="AF311" s="35" t="n">
        <f aca="false">IF(AB311=1,(X311-G$1030)^2,0)</f>
        <v>0</v>
      </c>
      <c r="AG311" s="35" t="n">
        <f aca="false">IF(AC311=1,(Y311-H$1030)^2,0)</f>
        <v>0</v>
      </c>
      <c r="AH311" s="35" t="n">
        <f aca="false">IF(AD311=1,(Z311-I$1030)^2,0)</f>
        <v>0</v>
      </c>
      <c r="AI311" s="35" t="n">
        <f aca="false">IF(AE311=1,(AA311-J$1030)^2,0)</f>
        <v>51.4391739057584</v>
      </c>
      <c r="AJ311" s="37" t="n">
        <f aca="true">IF(RAND()&lt;$D$6,1,0)</f>
        <v>0</v>
      </c>
      <c r="AK311" s="14" t="n">
        <f aca="false">AK310+IF((AJ311=1),IF((H311=0),1,0),0)</f>
        <v>0</v>
      </c>
      <c r="AL311" s="14" t="n">
        <f aca="false">AL310+IF((AJ311=1),IF((H311=1),1,0),0)</f>
        <v>0</v>
      </c>
      <c r="AM311" s="37" t="n">
        <f aca="false">IF(AK311=0,9999,IF($H311=0,IF($AJ311&lt;1,AM310+1,0),AM310))</f>
        <v>9999</v>
      </c>
      <c r="AN311" s="37" t="n">
        <f aca="false">IF(AL311=0,9999,IF($H311=1,IF($AJ311&lt;1,AN310+1,0),AN310))</f>
        <v>9999</v>
      </c>
      <c r="AO311" s="37" t="n">
        <f aca="false">IF($A311-AM311&gt;0,1/(1+AM311),0)</f>
        <v>0</v>
      </c>
      <c r="AP311" s="37" t="n">
        <f aca="false">IF($A311-AN311&gt;0,1/(1+AN311),0)</f>
        <v>0</v>
      </c>
      <c r="AQ311" s="7" t="n">
        <f aca="false">IF(AK311=0,0,MAX(MIN(1,AO311^Power),0))</f>
        <v>0</v>
      </c>
      <c r="AR311" s="7" t="n">
        <f aca="false">IF(AL311=0,0,MAX(MIN(1,AP311^Power),0))</f>
        <v>0</v>
      </c>
      <c r="AS311" s="7" t="n">
        <f aca="false">IF($AJ311=1,IF($H311=0,K311,AS310),AS310)</f>
        <v>0</v>
      </c>
      <c r="AT311" s="7" t="n">
        <f aca="false">IF($AJ311=1,IF($H311=1,N311,AT310),AT310)</f>
        <v>0</v>
      </c>
    </row>
    <row r="312" customFormat="false" ht="13" hidden="false" customHeight="false" outlineLevel="0" collapsed="false">
      <c r="A312" s="16" t="n">
        <v>295</v>
      </c>
      <c r="B312" s="37" t="n">
        <f aca="true">IF(RAND()&lt;$D$8,1,0)</f>
        <v>0</v>
      </c>
      <c r="C312" s="20" t="n">
        <f aca="true">-LN(RAND())/$D$2</f>
        <v>0.439081611388275</v>
      </c>
      <c r="D312" s="38" t="n">
        <f aca="false">D311+C312</f>
        <v>316.558302950941</v>
      </c>
      <c r="E312" s="39" t="n">
        <f aca="false">MAX($E$3,AS311)</f>
        <v>0</v>
      </c>
      <c r="F312" s="39" t="n">
        <f aca="false">MAX($E$3,AT311)</f>
        <v>0</v>
      </c>
      <c r="G312" s="40" t="n">
        <v>0.5</v>
      </c>
      <c r="H312" s="38" t="n">
        <f aca="true">IF((B312=1),(IF((F312&lt;E312),1,(IF((F312=E312),(IF(RAND()&lt;G312,1,0)),0)))),(IF((RAND()&lt;G312),1,0)))</f>
        <v>1</v>
      </c>
      <c r="I312" s="38" t="n">
        <f aca="true">IF((H312=1),0,$D$3+$D$5*(RAND()-0.5))</f>
        <v>0</v>
      </c>
      <c r="J312" s="38" t="n">
        <f aca="false">I312+MAX(D312,J311)</f>
        <v>329.290442890141</v>
      </c>
      <c r="K312" s="38" t="n">
        <f aca="false">IF((H312=0),J312-D312,0)</f>
        <v>0</v>
      </c>
      <c r="L312" s="38" t="n">
        <f aca="true">IF(($H312=0),0,$D$4+$D$5*(RAND()-0.5))</f>
        <v>2.13411670041283</v>
      </c>
      <c r="M312" s="38" t="n">
        <f aca="false">L312+MAX(D312,M311)</f>
        <v>340.645502189867</v>
      </c>
      <c r="N312" s="38" t="n">
        <f aca="false">IF((H312=1),M312-D312,0)</f>
        <v>24.0871992389255</v>
      </c>
      <c r="O312" s="16" t="n">
        <v>295</v>
      </c>
      <c r="P312" s="41" t="n">
        <f aca="false">IF((Arterial=0),P311+1,P311)</f>
        <v>138</v>
      </c>
      <c r="Q312" s="41" t="n">
        <f aca="false">IF((Arterial=1),Q311+1,Q311)</f>
        <v>157</v>
      </c>
      <c r="R312" s="42" t="n">
        <f aca="false">IF((RESET=1),0,R312+K312)</f>
        <v>418.395012323393</v>
      </c>
      <c r="S312" s="14" t="e">
        <f aca="false">IF(RESET=1,0,S312+N312)</f>
        <v>#N/A</v>
      </c>
      <c r="T312" s="2" t="n">
        <f aca="false">IF(RESET=1,0,T312+IF(H312=0,1,0))</f>
        <v>31</v>
      </c>
      <c r="U312" s="2" t="e">
        <f aca="false">IF(RESET=1,0,U312+H312)</f>
        <v>#N/A</v>
      </c>
      <c r="V312" s="14" t="n">
        <f aca="false">R312/(T312+0.00001)</f>
        <v>13.4966089470098</v>
      </c>
      <c r="W312" s="14" t="e">
        <f aca="false">S312/(U312+0.0001)</f>
        <v>#N/A</v>
      </c>
      <c r="X312" s="39" t="n">
        <f aca="false">IF(Informed=1,K312,0)</f>
        <v>0</v>
      </c>
      <c r="Y312" s="39" t="n">
        <f aca="false">IF(Informed=0,K312,0)</f>
        <v>0</v>
      </c>
      <c r="Z312" s="39" t="n">
        <f aca="false">IF(Informed=1,N312,0)</f>
        <v>0</v>
      </c>
      <c r="AA312" s="39" t="n">
        <f aca="false">IF(Informed=0,N312,0)</f>
        <v>24.0871992389255</v>
      </c>
      <c r="AB312" s="43" t="n">
        <f aca="false">IF(Arterial=0,IF(Informed=1,1,0),0)</f>
        <v>0</v>
      </c>
      <c r="AC312" s="43" t="n">
        <f aca="false">IF(Arterial=0,IF(Informed=0,1,0),0)</f>
        <v>0</v>
      </c>
      <c r="AD312" s="43" t="n">
        <f aca="false">IF(Arterial=1,IF(Informed=1,1,0),0)</f>
        <v>0</v>
      </c>
      <c r="AE312" s="43" t="n">
        <f aca="false">IF(Arterial=1,IF(Informed=0,1,0),0)</f>
        <v>1</v>
      </c>
      <c r="AF312" s="35" t="n">
        <f aca="false">IF(AB312=1,(X312-G$1030)^2,0)</f>
        <v>0</v>
      </c>
      <c r="AG312" s="35" t="n">
        <f aca="false">IF(AC312=1,(Y312-H$1030)^2,0)</f>
        <v>0</v>
      </c>
      <c r="AH312" s="35" t="n">
        <f aca="false">IF(AD312=1,(Z312-I$1030)^2,0)</f>
        <v>0</v>
      </c>
      <c r="AI312" s="35" t="n">
        <f aca="false">IF(AE312=1,(AA312-J$1030)^2,0)</f>
        <v>29.9983587853697</v>
      </c>
      <c r="AJ312" s="37" t="n">
        <f aca="true">IF(RAND()&lt;$D$6,1,0)</f>
        <v>0</v>
      </c>
      <c r="AK312" s="14" t="n">
        <f aca="false">AK311+IF((AJ312=1),IF((H312=0),1,0),0)</f>
        <v>0</v>
      </c>
      <c r="AL312" s="14" t="n">
        <f aca="false">AL311+IF((AJ312=1),IF((H312=1),1,0),0)</f>
        <v>0</v>
      </c>
      <c r="AM312" s="37" t="n">
        <f aca="false">IF(AK312=0,9999,IF($H312=0,IF($AJ312&lt;1,AM311+1,0),AM311))</f>
        <v>9999</v>
      </c>
      <c r="AN312" s="37" t="n">
        <f aca="false">IF(AL312=0,9999,IF($H312=1,IF($AJ312&lt;1,AN311+1,0),AN311))</f>
        <v>9999</v>
      </c>
      <c r="AO312" s="37" t="n">
        <f aca="false">IF($A312-AM312&gt;0,1/(1+AM312),0)</f>
        <v>0</v>
      </c>
      <c r="AP312" s="37" t="n">
        <f aca="false">IF($A312-AN312&gt;0,1/(1+AN312),0)</f>
        <v>0</v>
      </c>
      <c r="AQ312" s="7" t="n">
        <f aca="false">IF(AK312=0,0,MAX(MIN(1,AO312^Power),0))</f>
        <v>0</v>
      </c>
      <c r="AR312" s="7" t="n">
        <f aca="false">IF(AL312=0,0,MAX(MIN(1,AP312^Power),0))</f>
        <v>0</v>
      </c>
      <c r="AS312" s="7" t="n">
        <f aca="false">IF($AJ312=1,IF($H312=0,K312,AS311),AS311)</f>
        <v>0</v>
      </c>
      <c r="AT312" s="7" t="n">
        <f aca="false">IF($AJ312=1,IF($H312=1,N312,AT311),AT311)</f>
        <v>0</v>
      </c>
    </row>
    <row r="313" customFormat="false" ht="13" hidden="false" customHeight="false" outlineLevel="0" collapsed="false">
      <c r="A313" s="16" t="n">
        <v>296</v>
      </c>
      <c r="B313" s="37" t="n">
        <f aca="true">IF(RAND()&lt;$D$8,1,0)</f>
        <v>0</v>
      </c>
      <c r="C313" s="20" t="n">
        <f aca="true">-LN(RAND())/$D$2</f>
        <v>0.576874652383377</v>
      </c>
      <c r="D313" s="38" t="n">
        <f aca="false">D312+C313</f>
        <v>317.135177603324</v>
      </c>
      <c r="E313" s="39" t="n">
        <f aca="false">MAX($E$3,AS312)</f>
        <v>0</v>
      </c>
      <c r="F313" s="39" t="n">
        <f aca="false">MAX($E$3,AT312)</f>
        <v>0</v>
      </c>
      <c r="G313" s="40" t="n">
        <v>0.5</v>
      </c>
      <c r="H313" s="38" t="n">
        <f aca="true">IF((B313=1),(IF((F313&lt;E313),1,(IF((F313=E313),(IF(RAND()&lt;G313,1,0)),0)))),(IF((RAND()&lt;G313),1,0)))</f>
        <v>0</v>
      </c>
      <c r="I313" s="38" t="n">
        <f aca="true">IF((H313=1),0,$D$3+$D$5*(RAND()-0.5))</f>
        <v>2.10327406184455</v>
      </c>
      <c r="J313" s="38" t="n">
        <f aca="false">I313+MAX(D313,J312)</f>
        <v>331.393716951986</v>
      </c>
      <c r="K313" s="38" t="n">
        <f aca="false">IF((H313=0),J313-D313,0)</f>
        <v>14.2585393486613</v>
      </c>
      <c r="L313" s="38" t="n">
        <f aca="true">IF(($H313=0),0,$D$4+$D$5*(RAND()-0.5))</f>
        <v>0</v>
      </c>
      <c r="M313" s="38" t="n">
        <f aca="false">L313+MAX(D313,M312)</f>
        <v>340.645502189867</v>
      </c>
      <c r="N313" s="38" t="n">
        <f aca="false">IF((H313=1),M313-D313,0)</f>
        <v>0</v>
      </c>
      <c r="O313" s="16" t="n">
        <v>296</v>
      </c>
      <c r="P313" s="41" t="n">
        <f aca="false">IF((Arterial=0),P312+1,P312)</f>
        <v>139</v>
      </c>
      <c r="Q313" s="41" t="n">
        <f aca="false">IF((Arterial=1),Q312+1,Q312)</f>
        <v>157</v>
      </c>
      <c r="R313" s="42" t="e">
        <f aca="false">IF((RESET=1),0,R313+K313)</f>
        <v>#N/A</v>
      </c>
      <c r="S313" s="14" t="n">
        <f aca="false">IF(RESET=1,0,S313+N313)</f>
        <v>584.020756064013</v>
      </c>
      <c r="T313" s="2" t="e">
        <f aca="false">IF(RESET=1,0,T313+IF(H313=0,1,0))</f>
        <v>#N/A</v>
      </c>
      <c r="U313" s="2" t="n">
        <f aca="false">IF(RESET=1,0,U313+H313)</f>
        <v>38</v>
      </c>
      <c r="V313" s="14" t="e">
        <f aca="false">R313/(T313+0.00001)</f>
        <v>#N/A</v>
      </c>
      <c r="W313" s="14" t="n">
        <f aca="false">S313/(U313+0.0001)</f>
        <v>15.3689268202982</v>
      </c>
      <c r="X313" s="39" t="n">
        <f aca="false">IF(Informed=1,K313,0)</f>
        <v>0</v>
      </c>
      <c r="Y313" s="39" t="n">
        <f aca="false">IF(Informed=0,K313,0)</f>
        <v>14.2585393486613</v>
      </c>
      <c r="Z313" s="39" t="n">
        <f aca="false">IF(Informed=1,N313,0)</f>
        <v>0</v>
      </c>
      <c r="AA313" s="39" t="n">
        <f aca="false">IF(Informed=0,N313,0)</f>
        <v>0</v>
      </c>
      <c r="AB313" s="43" t="n">
        <f aca="false">IF(Arterial=0,IF(Informed=1,1,0),0)</f>
        <v>0</v>
      </c>
      <c r="AC313" s="43" t="n">
        <f aca="false">IF(Arterial=0,IF(Informed=0,1,0),0)</f>
        <v>1</v>
      </c>
      <c r="AD313" s="43" t="n">
        <f aca="false">IF(Arterial=1,IF(Informed=1,1,0),0)</f>
        <v>0</v>
      </c>
      <c r="AE313" s="43" t="n">
        <f aca="false">IF(Arterial=1,IF(Informed=0,1,0),0)</f>
        <v>0</v>
      </c>
      <c r="AF313" s="35" t="n">
        <f aca="false">IF(AB313=1,(X313-G$1030)^2,0)</f>
        <v>0</v>
      </c>
      <c r="AG313" s="35" t="n">
        <f aca="false">IF(AC313=1,(Y313-H$1030)^2,0)</f>
        <v>11.1205848937368</v>
      </c>
      <c r="AH313" s="35" t="n">
        <f aca="false">IF(AD313=1,(Z313-I$1030)^2,0)</f>
        <v>0</v>
      </c>
      <c r="AI313" s="35" t="n">
        <f aca="false">IF(AE313=1,(AA313-J$1030)^2,0)</f>
        <v>0</v>
      </c>
      <c r="AJ313" s="37" t="n">
        <f aca="true">IF(RAND()&lt;$D$6,1,0)</f>
        <v>0</v>
      </c>
      <c r="AK313" s="14" t="n">
        <f aca="false">AK312+IF((AJ313=1),IF((H313=0),1,0),0)</f>
        <v>0</v>
      </c>
      <c r="AL313" s="14" t="n">
        <f aca="false">AL312+IF((AJ313=1),IF((H313=1),1,0),0)</f>
        <v>0</v>
      </c>
      <c r="AM313" s="37" t="n">
        <f aca="false">IF(AK313=0,9999,IF($H313=0,IF($AJ313&lt;1,AM312+1,0),AM312))</f>
        <v>9999</v>
      </c>
      <c r="AN313" s="37" t="n">
        <f aca="false">IF(AL313=0,9999,IF($H313=1,IF($AJ313&lt;1,AN312+1,0),AN312))</f>
        <v>9999</v>
      </c>
      <c r="AO313" s="37" t="n">
        <f aca="false">IF($A313-AM313&gt;0,1/(1+AM313),0)</f>
        <v>0</v>
      </c>
      <c r="AP313" s="37" t="n">
        <f aca="false">IF($A313-AN313&gt;0,1/(1+AN313),0)</f>
        <v>0</v>
      </c>
      <c r="AQ313" s="7" t="n">
        <f aca="false">IF(AK313=0,0,MAX(MIN(1,AO313^Power),0))</f>
        <v>0</v>
      </c>
      <c r="AR313" s="7" t="n">
        <f aca="false">IF(AL313=0,0,MAX(MIN(1,AP313^Power),0))</f>
        <v>0</v>
      </c>
      <c r="AS313" s="7" t="n">
        <f aca="false">IF($AJ313=1,IF($H313=0,K313,AS312),AS312)</f>
        <v>0</v>
      </c>
      <c r="AT313" s="7" t="n">
        <f aca="false">IF($AJ313=1,IF($H313=1,N313,AT312),AT312)</f>
        <v>0</v>
      </c>
    </row>
    <row r="314" customFormat="false" ht="13" hidden="false" customHeight="false" outlineLevel="0" collapsed="false">
      <c r="A314" s="16" t="n">
        <v>297</v>
      </c>
      <c r="B314" s="37" t="n">
        <f aca="true">IF(RAND()&lt;$D$8,1,0)</f>
        <v>0</v>
      </c>
      <c r="C314" s="20" t="n">
        <f aca="true">-LN(RAND())/$D$2</f>
        <v>0.915395087165352</v>
      </c>
      <c r="D314" s="38" t="n">
        <f aca="false">D313+C314</f>
        <v>318.05057269049</v>
      </c>
      <c r="E314" s="39" t="n">
        <f aca="false">MAX($E$3,AS313)</f>
        <v>0</v>
      </c>
      <c r="F314" s="39" t="n">
        <f aca="false">MAX($E$3,AT313)</f>
        <v>0</v>
      </c>
      <c r="G314" s="40" t="n">
        <v>0.5</v>
      </c>
      <c r="H314" s="38" t="n">
        <f aca="true">IF((B314=1),(IF((F314&lt;E314),1,(IF((F314=E314),(IF(RAND()&lt;G314,1,0)),0)))),(IF((RAND()&lt;G314),1,0)))</f>
        <v>1</v>
      </c>
      <c r="I314" s="38" t="n">
        <f aca="true">IF((H314=1),0,$D$3+$D$5*(RAND()-0.5))</f>
        <v>0</v>
      </c>
      <c r="J314" s="38" t="n">
        <f aca="false">I314+MAX(D314,J313)</f>
        <v>331.393716951986</v>
      </c>
      <c r="K314" s="38" t="n">
        <f aca="false">IF((H314=0),J314-D314,0)</f>
        <v>0</v>
      </c>
      <c r="L314" s="38" t="n">
        <f aca="true">IF(($H314=0),0,$D$4+$D$5*(RAND()-0.5))</f>
        <v>2.098392953602</v>
      </c>
      <c r="M314" s="38" t="n">
        <f aca="false">L314+MAX(D314,M313)</f>
        <v>342.743895143469</v>
      </c>
      <c r="N314" s="38" t="n">
        <f aca="false">IF((H314=1),M314-D314,0)</f>
        <v>24.6933224529788</v>
      </c>
      <c r="O314" s="16" t="n">
        <v>297</v>
      </c>
      <c r="P314" s="41" t="n">
        <f aca="false">IF((Arterial=0),P313+1,P313)</f>
        <v>139</v>
      </c>
      <c r="Q314" s="41" t="n">
        <f aca="false">IF((Arterial=1),Q313+1,Q313)</f>
        <v>158</v>
      </c>
      <c r="R314" s="42" t="n">
        <f aca="false">IF((RESET=1),0,R314+K314)</f>
        <v>632.273639785698</v>
      </c>
      <c r="S314" s="14" t="e">
        <f aca="false">IF(RESET=1,0,S314+N314)</f>
        <v>#N/A</v>
      </c>
      <c r="T314" s="2" t="n">
        <f aca="false">IF(RESET=1,0,T314+IF(H314=0,1,0))</f>
        <v>41</v>
      </c>
      <c r="U314" s="2" t="e">
        <f aca="false">IF(RESET=1,0,U314+H314)</f>
        <v>#N/A</v>
      </c>
      <c r="V314" s="14" t="n">
        <f aca="false">R314/(T314+0.00001)</f>
        <v>15.4213045261623</v>
      </c>
      <c r="W314" s="14" t="e">
        <f aca="false">S314/(U314+0.0001)</f>
        <v>#N/A</v>
      </c>
      <c r="X314" s="39" t="n">
        <f aca="false">IF(Informed=1,K314,0)</f>
        <v>0</v>
      </c>
      <c r="Y314" s="39" t="n">
        <f aca="false">IF(Informed=0,K314,0)</f>
        <v>0</v>
      </c>
      <c r="Z314" s="39" t="n">
        <f aca="false">IF(Informed=1,N314,0)</f>
        <v>0</v>
      </c>
      <c r="AA314" s="39" t="n">
        <f aca="false">IF(Informed=0,N314,0)</f>
        <v>24.6933224529788</v>
      </c>
      <c r="AB314" s="43" t="n">
        <f aca="false">IF(Arterial=0,IF(Informed=1,1,0),0)</f>
        <v>0</v>
      </c>
      <c r="AC314" s="43" t="n">
        <f aca="false">IF(Arterial=0,IF(Informed=0,1,0),0)</f>
        <v>0</v>
      </c>
      <c r="AD314" s="43" t="n">
        <f aca="false">IF(Arterial=1,IF(Informed=1,1,0),0)</f>
        <v>0</v>
      </c>
      <c r="AE314" s="43" t="n">
        <f aca="false">IF(Arterial=1,IF(Informed=0,1,0),0)</f>
        <v>1</v>
      </c>
      <c r="AF314" s="35" t="n">
        <f aca="false">IF(AB314=1,(X314-G$1030)^2,0)</f>
        <v>0</v>
      </c>
      <c r="AG314" s="35" t="n">
        <f aca="false">IF(AC314=1,(Y314-H$1030)^2,0)</f>
        <v>0</v>
      </c>
      <c r="AH314" s="35" t="n">
        <f aca="false">IF(AD314=1,(Z314-I$1030)^2,0)</f>
        <v>0</v>
      </c>
      <c r="AI314" s="35" t="n">
        <f aca="false">IF(AE314=1,(AA314-J$1030)^2,0)</f>
        <v>23.7261786200134</v>
      </c>
      <c r="AJ314" s="37" t="n">
        <f aca="true">IF(RAND()&lt;$D$6,1,0)</f>
        <v>0</v>
      </c>
      <c r="AK314" s="14" t="n">
        <f aca="false">AK313+IF((AJ314=1),IF((H314=0),1,0),0)</f>
        <v>0</v>
      </c>
      <c r="AL314" s="14" t="n">
        <f aca="false">AL313+IF((AJ314=1),IF((H314=1),1,0),0)</f>
        <v>0</v>
      </c>
      <c r="AM314" s="37" t="n">
        <f aca="false">IF(AK314=0,9999,IF($H314=0,IF($AJ314&lt;1,AM313+1,0),AM313))</f>
        <v>9999</v>
      </c>
      <c r="AN314" s="37" t="n">
        <f aca="false">IF(AL314=0,9999,IF($H314=1,IF($AJ314&lt;1,AN313+1,0),AN313))</f>
        <v>9999</v>
      </c>
      <c r="AO314" s="37" t="n">
        <f aca="false">IF($A314-AM314&gt;0,1/(1+AM314),0)</f>
        <v>0</v>
      </c>
      <c r="AP314" s="37" t="n">
        <f aca="false">IF($A314-AN314&gt;0,1/(1+AN314),0)</f>
        <v>0</v>
      </c>
      <c r="AQ314" s="7" t="n">
        <f aca="false">IF(AK314=0,0,MAX(MIN(1,AO314^Power),0))</f>
        <v>0</v>
      </c>
      <c r="AR314" s="7" t="n">
        <f aca="false">IF(AL314=0,0,MAX(MIN(1,AP314^Power),0))</f>
        <v>0</v>
      </c>
      <c r="AS314" s="7" t="n">
        <f aca="false">IF($AJ314=1,IF($H314=0,K314,AS313),AS313)</f>
        <v>0</v>
      </c>
      <c r="AT314" s="7" t="n">
        <f aca="false">IF($AJ314=1,IF($H314=1,N314,AT313),AT313)</f>
        <v>0</v>
      </c>
    </row>
    <row r="315" customFormat="false" ht="13" hidden="false" customHeight="false" outlineLevel="0" collapsed="false">
      <c r="A315" s="16" t="n">
        <v>298</v>
      </c>
      <c r="B315" s="37" t="n">
        <f aca="true">IF(RAND()&lt;$D$8,1,0)</f>
        <v>0</v>
      </c>
      <c r="C315" s="20" t="n">
        <f aca="true">-LN(RAND())/$D$2</f>
        <v>0.555243365490804</v>
      </c>
      <c r="D315" s="38" t="n">
        <f aca="false">D314+C315</f>
        <v>318.605816055981</v>
      </c>
      <c r="E315" s="39" t="n">
        <f aca="false">MAX($E$3,AS314)</f>
        <v>0</v>
      </c>
      <c r="F315" s="39" t="n">
        <f aca="false">MAX($E$3,AT314)</f>
        <v>0</v>
      </c>
      <c r="G315" s="40" t="n">
        <v>0.5</v>
      </c>
      <c r="H315" s="38" t="n">
        <f aca="true">IF((B315=1),(IF((F315&lt;E315),1,(IF((F315=E315),(IF(RAND()&lt;G315,1,0)),0)))),(IF((RAND()&lt;G315),1,0)))</f>
        <v>0</v>
      </c>
      <c r="I315" s="38" t="n">
        <f aca="true">IF((H315=1),0,$D$3+$D$5*(RAND()-0.5))</f>
        <v>2.22451640345712</v>
      </c>
      <c r="J315" s="38" t="n">
        <f aca="false">I315+MAX(D315,J314)</f>
        <v>333.618233355443</v>
      </c>
      <c r="K315" s="38" t="n">
        <f aca="false">IF((H315=0),J315-D315,0)</f>
        <v>15.0124172994622</v>
      </c>
      <c r="L315" s="38" t="n">
        <f aca="true">IF(($H315=0),0,$D$4+$D$5*(RAND()-0.5))</f>
        <v>0</v>
      </c>
      <c r="M315" s="38" t="n">
        <f aca="false">L315+MAX(D315,M314)</f>
        <v>342.743895143469</v>
      </c>
      <c r="N315" s="38" t="n">
        <f aca="false">IF((H315=1),M315-D315,0)</f>
        <v>0</v>
      </c>
      <c r="O315" s="16" t="n">
        <v>298</v>
      </c>
      <c r="P315" s="41" t="n">
        <f aca="false">IF((Arterial=0),P314+1,P314)</f>
        <v>140</v>
      </c>
      <c r="Q315" s="41" t="n">
        <f aca="false">IF((Arterial=1),Q314+1,Q314)</f>
        <v>158</v>
      </c>
      <c r="R315" s="42" t="e">
        <f aca="false">IF((RESET=1),0,R315+K315)</f>
        <v>#N/A</v>
      </c>
      <c r="S315" s="14" t="n">
        <f aca="false">IF(RESET=1,0,S315+N315)</f>
        <v>503.776570689852</v>
      </c>
      <c r="T315" s="2" t="e">
        <f aca="false">IF(RESET=1,0,T315+IF(H315=0,1,0))</f>
        <v>#N/A</v>
      </c>
      <c r="U315" s="2" t="n">
        <f aca="false">IF(RESET=1,0,U315+H315)</f>
        <v>40</v>
      </c>
      <c r="V315" s="14" t="e">
        <f aca="false">R315/(T315+0.00001)</f>
        <v>#N/A</v>
      </c>
      <c r="W315" s="14" t="n">
        <f aca="false">S315/(U315+0.0001)</f>
        <v>12.5943827812893</v>
      </c>
      <c r="X315" s="39" t="n">
        <f aca="false">IF(Informed=1,K315,0)</f>
        <v>0</v>
      </c>
      <c r="Y315" s="39" t="n">
        <f aca="false">IF(Informed=0,K315,0)</f>
        <v>15.0124172994622</v>
      </c>
      <c r="Z315" s="39" t="n">
        <f aca="false">IF(Informed=1,N315,0)</f>
        <v>0</v>
      </c>
      <c r="AA315" s="39" t="n">
        <f aca="false">IF(Informed=0,N315,0)</f>
        <v>0</v>
      </c>
      <c r="AB315" s="43" t="n">
        <f aca="false">IF(Arterial=0,IF(Informed=1,1,0),0)</f>
        <v>0</v>
      </c>
      <c r="AC315" s="43" t="n">
        <f aca="false">IF(Arterial=0,IF(Informed=0,1,0),0)</f>
        <v>1</v>
      </c>
      <c r="AD315" s="43" t="n">
        <f aca="false">IF(Arterial=1,IF(Informed=1,1,0),0)</f>
        <v>0</v>
      </c>
      <c r="AE315" s="43" t="n">
        <f aca="false">IF(Arterial=1,IF(Informed=0,1,0),0)</f>
        <v>0</v>
      </c>
      <c r="AF315" s="35" t="n">
        <f aca="false">IF(AB315=1,(X315-G$1030)^2,0)</f>
        <v>0</v>
      </c>
      <c r="AG315" s="35" t="n">
        <f aca="false">IF(AC315=1,(Y315-H$1030)^2,0)</f>
        <v>16.7169120300032</v>
      </c>
      <c r="AH315" s="35" t="n">
        <f aca="false">IF(AD315=1,(Z315-I$1030)^2,0)</f>
        <v>0</v>
      </c>
      <c r="AI315" s="35" t="n">
        <f aca="false">IF(AE315=1,(AA315-J$1030)^2,0)</f>
        <v>0</v>
      </c>
      <c r="AJ315" s="37" t="n">
        <f aca="true">IF(RAND()&lt;$D$6,1,0)</f>
        <v>0</v>
      </c>
      <c r="AK315" s="14" t="n">
        <f aca="false">AK314+IF((AJ315=1),IF((H315=0),1,0),0)</f>
        <v>0</v>
      </c>
      <c r="AL315" s="14" t="n">
        <f aca="false">AL314+IF((AJ315=1),IF((H315=1),1,0),0)</f>
        <v>0</v>
      </c>
      <c r="AM315" s="37" t="n">
        <f aca="false">IF(AK315=0,9999,IF($H315=0,IF($AJ315&lt;1,AM314+1,0),AM314))</f>
        <v>9999</v>
      </c>
      <c r="AN315" s="37" t="n">
        <f aca="false">IF(AL315=0,9999,IF($H315=1,IF($AJ315&lt;1,AN314+1,0),AN314))</f>
        <v>9999</v>
      </c>
      <c r="AO315" s="37" t="n">
        <f aca="false">IF($A315-AM315&gt;0,1/(1+AM315),0)</f>
        <v>0</v>
      </c>
      <c r="AP315" s="37" t="n">
        <f aca="false">IF($A315-AN315&gt;0,1/(1+AN315),0)</f>
        <v>0</v>
      </c>
      <c r="AQ315" s="7" t="n">
        <f aca="false">IF(AK315=0,0,MAX(MIN(1,AO315^Power),0))</f>
        <v>0</v>
      </c>
      <c r="AR315" s="7" t="n">
        <f aca="false">IF(AL315=0,0,MAX(MIN(1,AP315^Power),0))</f>
        <v>0</v>
      </c>
      <c r="AS315" s="7" t="n">
        <f aca="false">IF($AJ315=1,IF($H315=0,K315,AS314),AS314)</f>
        <v>0</v>
      </c>
      <c r="AT315" s="7" t="n">
        <f aca="false">IF($AJ315=1,IF($H315=1,N315,AT314),AT314)</f>
        <v>0</v>
      </c>
    </row>
    <row r="316" customFormat="false" ht="13" hidden="false" customHeight="false" outlineLevel="0" collapsed="false">
      <c r="A316" s="16" t="n">
        <v>299</v>
      </c>
      <c r="B316" s="37" t="n">
        <f aca="true">IF(RAND()&lt;$D$8,1,0)</f>
        <v>1</v>
      </c>
      <c r="C316" s="20" t="n">
        <f aca="true">-LN(RAND())/$D$2</f>
        <v>0.847594158278592</v>
      </c>
      <c r="D316" s="38" t="n">
        <f aca="false">D315+C316</f>
        <v>319.453410214259</v>
      </c>
      <c r="E316" s="39" t="n">
        <f aca="false">MAX($E$3,AS315)</f>
        <v>0</v>
      </c>
      <c r="F316" s="39" t="n">
        <f aca="false">MAX($E$3,AT315)</f>
        <v>0</v>
      </c>
      <c r="G316" s="40" t="n">
        <v>0.5</v>
      </c>
      <c r="H316" s="38" t="n">
        <f aca="true">IF((B316=1),(IF((F316&lt;E316),1,(IF((F316=E316),(IF(RAND()&lt;G316,1,0)),0)))),(IF((RAND()&lt;G316),1,0)))</f>
        <v>0</v>
      </c>
      <c r="I316" s="38" t="n">
        <f aca="true">IF((H316=1),0,$D$3+$D$5*(RAND()-0.5))</f>
        <v>1.98806012140175</v>
      </c>
      <c r="J316" s="38" t="n">
        <f aca="false">I316+MAX(D316,J315)</f>
        <v>335.606293476845</v>
      </c>
      <c r="K316" s="38" t="n">
        <f aca="false">IF((H316=0),J316-D316,0)</f>
        <v>16.1528832625854</v>
      </c>
      <c r="L316" s="38" t="n">
        <f aca="true">IF(($H316=0),0,$D$4+$D$5*(RAND()-0.5))</f>
        <v>0</v>
      </c>
      <c r="M316" s="38" t="n">
        <f aca="false">L316+MAX(D316,M315)</f>
        <v>342.743895143469</v>
      </c>
      <c r="N316" s="38" t="n">
        <f aca="false">IF((H316=1),M316-D316,0)</f>
        <v>0</v>
      </c>
      <c r="O316" s="16" t="n">
        <v>299</v>
      </c>
      <c r="P316" s="41" t="n">
        <f aca="false">IF((Arterial=0),P315+1,P315)</f>
        <v>141</v>
      </c>
      <c r="Q316" s="41" t="n">
        <f aca="false">IF((Arterial=1),Q315+1,Q315)</f>
        <v>158</v>
      </c>
      <c r="R316" s="42" t="e">
        <f aca="false">IF((RESET=1),0,R316+K316)</f>
        <v>#N/A</v>
      </c>
      <c r="S316" s="14" t="n">
        <f aca="false">IF(RESET=1,0,S316+N316)</f>
        <v>577.070156037567</v>
      </c>
      <c r="T316" s="2" t="e">
        <f aca="false">IF(RESET=1,0,T316+IF(H316=0,1,0))</f>
        <v>#N/A</v>
      </c>
      <c r="U316" s="2" t="n">
        <f aca="false">IF(RESET=1,0,U316+H316)</f>
        <v>41</v>
      </c>
      <c r="V316" s="14" t="e">
        <f aca="false">R316/(T316+0.00001)</f>
        <v>#N/A</v>
      </c>
      <c r="W316" s="14" t="n">
        <f aca="false">S316/(U316+0.0001)</f>
        <v>14.0748475256784</v>
      </c>
      <c r="X316" s="39" t="n">
        <f aca="false">IF(Informed=1,K316,0)</f>
        <v>16.1528832625854</v>
      </c>
      <c r="Y316" s="39" t="n">
        <f aca="false">IF(Informed=0,K316,0)</f>
        <v>0</v>
      </c>
      <c r="Z316" s="39" t="n">
        <f aca="false">IF(Informed=1,N316,0)</f>
        <v>0</v>
      </c>
      <c r="AA316" s="39" t="n">
        <f aca="false">IF(Informed=0,N316,0)</f>
        <v>0</v>
      </c>
      <c r="AB316" s="43" t="n">
        <f aca="false">IF(Arterial=0,IF(Informed=1,1,0),0)</f>
        <v>1</v>
      </c>
      <c r="AC316" s="43" t="n">
        <f aca="false">IF(Arterial=0,IF(Informed=0,1,0),0)</f>
        <v>0</v>
      </c>
      <c r="AD316" s="43" t="n">
        <f aca="false">IF(Arterial=1,IF(Informed=1,1,0),0)</f>
        <v>0</v>
      </c>
      <c r="AE316" s="43" t="n">
        <f aca="false">IF(Arterial=1,IF(Informed=0,1,0),0)</f>
        <v>0</v>
      </c>
      <c r="AF316" s="35" t="n">
        <f aca="false">IF(AB316=1,(X316-G$1030)^2,0)</f>
        <v>29.6284808985406</v>
      </c>
      <c r="AG316" s="35" t="n">
        <f aca="false">IF(AC316=1,(Y316-H$1030)^2,0)</f>
        <v>0</v>
      </c>
      <c r="AH316" s="35" t="n">
        <f aca="false">IF(AD316=1,(Z316-I$1030)^2,0)</f>
        <v>0</v>
      </c>
      <c r="AI316" s="35" t="n">
        <f aca="false">IF(AE316=1,(AA316-J$1030)^2,0)</f>
        <v>0</v>
      </c>
      <c r="AJ316" s="37" t="n">
        <f aca="true">IF(RAND()&lt;$D$6,1,0)</f>
        <v>0</v>
      </c>
      <c r="AK316" s="14" t="n">
        <f aca="false">AK315+IF((AJ316=1),IF((H316=0),1,0),0)</f>
        <v>0</v>
      </c>
      <c r="AL316" s="14" t="n">
        <f aca="false">AL315+IF((AJ316=1),IF((H316=1),1,0),0)</f>
        <v>0</v>
      </c>
      <c r="AM316" s="37" t="n">
        <f aca="false">IF(AK316=0,9999,IF($H316=0,IF($AJ316&lt;1,AM315+1,0),AM315))</f>
        <v>9999</v>
      </c>
      <c r="AN316" s="37" t="n">
        <f aca="false">IF(AL316=0,9999,IF($H316=1,IF($AJ316&lt;1,AN315+1,0),AN315))</f>
        <v>9999</v>
      </c>
      <c r="AO316" s="37" t="n">
        <f aca="false">IF($A316-AM316&gt;0,1/(1+AM316),0)</f>
        <v>0</v>
      </c>
      <c r="AP316" s="37" t="n">
        <f aca="false">IF($A316-AN316&gt;0,1/(1+AN316),0)</f>
        <v>0</v>
      </c>
      <c r="AQ316" s="7" t="n">
        <f aca="false">IF(AK316=0,0,MAX(MIN(1,AO316^Power),0))</f>
        <v>0</v>
      </c>
      <c r="AR316" s="7" t="n">
        <f aca="false">IF(AL316=0,0,MAX(MIN(1,AP316^Power),0))</f>
        <v>0</v>
      </c>
      <c r="AS316" s="7" t="n">
        <f aca="false">IF($AJ316=1,IF($H316=0,K316,AS315),AS315)</f>
        <v>0</v>
      </c>
      <c r="AT316" s="7" t="n">
        <f aca="false">IF($AJ316=1,IF($H316=1,N316,AT315),AT315)</f>
        <v>0</v>
      </c>
    </row>
    <row r="317" customFormat="false" ht="13" hidden="false" customHeight="false" outlineLevel="0" collapsed="false">
      <c r="A317" s="16" t="n">
        <v>300</v>
      </c>
      <c r="B317" s="37" t="n">
        <f aca="true">IF(RAND()&lt;$D$8,1,0)</f>
        <v>1</v>
      </c>
      <c r="C317" s="20" t="n">
        <f aca="true">-LN(RAND())/$D$2</f>
        <v>0.744177180138845</v>
      </c>
      <c r="D317" s="38" t="n">
        <f aca="false">D316+C317</f>
        <v>320.197587394398</v>
      </c>
      <c r="E317" s="39" t="n">
        <f aca="false">MAX($E$3,AS316)</f>
        <v>0</v>
      </c>
      <c r="F317" s="39" t="n">
        <f aca="false">MAX($E$3,AT316)</f>
        <v>0</v>
      </c>
      <c r="G317" s="40" t="n">
        <v>0.5</v>
      </c>
      <c r="H317" s="38" t="n">
        <f aca="true">IF((B317=1),(IF((F317&lt;E317),1,(IF((F317=E317),(IF(RAND()&lt;G317,1,0)),0)))),(IF((RAND()&lt;G317),1,0)))</f>
        <v>1</v>
      </c>
      <c r="I317" s="38" t="n">
        <f aca="true">IF((H317=1),0,$D$3+$D$5*(RAND()-0.5))</f>
        <v>0</v>
      </c>
      <c r="J317" s="38" t="n">
        <f aca="false">I317+MAX(D317,J316)</f>
        <v>335.606293476845</v>
      </c>
      <c r="K317" s="38" t="n">
        <f aca="false">IF((H317=0),J317-D317,0)</f>
        <v>0</v>
      </c>
      <c r="L317" s="38" t="n">
        <f aca="true">IF(($H317=0),0,$D$4+$D$5*(RAND()-0.5))</f>
        <v>1.96909082631414</v>
      </c>
      <c r="M317" s="38" t="n">
        <f aca="false">L317+MAX(D317,M316)</f>
        <v>344.712985969783</v>
      </c>
      <c r="N317" s="38" t="n">
        <f aca="false">IF((H317=1),M317-D317,0)</f>
        <v>24.5153985753847</v>
      </c>
      <c r="O317" s="16" t="n">
        <v>300</v>
      </c>
      <c r="P317" s="41" t="n">
        <f aca="false">IF((Arterial=0),P316+1,P316)</f>
        <v>141</v>
      </c>
      <c r="Q317" s="41" t="n">
        <f aca="false">IF((Arterial=1),Q316+1,Q316)</f>
        <v>159</v>
      </c>
      <c r="R317" s="42" t="n">
        <f aca="false">IF((RESET=1),0,R317+K317)</f>
        <v>706.193400332964</v>
      </c>
      <c r="S317" s="14" t="e">
        <f aca="false">IF(RESET=1,0,S317+N317)</f>
        <v>#N/A</v>
      </c>
      <c r="T317" s="2" t="n">
        <f aca="false">IF(RESET=1,0,T317+IF(H317=0,1,0))</f>
        <v>40</v>
      </c>
      <c r="U317" s="2" t="e">
        <f aca="false">IF(RESET=1,0,U317+H317)</f>
        <v>#N/A</v>
      </c>
      <c r="V317" s="14" t="n">
        <f aca="false">R317/(T317+0.00001)</f>
        <v>17.6548305946164</v>
      </c>
      <c r="W317" s="14" t="e">
        <f aca="false">S317/(U317+0.0001)</f>
        <v>#N/A</v>
      </c>
      <c r="X317" s="39" t="n">
        <f aca="false">IF(Informed=1,K317,0)</f>
        <v>0</v>
      </c>
      <c r="Y317" s="39" t="n">
        <f aca="false">IF(Informed=0,K317,0)</f>
        <v>0</v>
      </c>
      <c r="Z317" s="39" t="n">
        <f aca="false">IF(Informed=1,N317,0)</f>
        <v>24.5153985753847</v>
      </c>
      <c r="AA317" s="39" t="n">
        <f aca="false">IF(Informed=0,N317,0)</f>
        <v>0</v>
      </c>
      <c r="AB317" s="43" t="n">
        <f aca="false">IF(Arterial=0,IF(Informed=1,1,0),0)</f>
        <v>0</v>
      </c>
      <c r="AC317" s="43" t="n">
        <f aca="false">IF(Arterial=0,IF(Informed=0,1,0),0)</f>
        <v>0</v>
      </c>
      <c r="AD317" s="43" t="n">
        <f aca="false">IF(Arterial=1,IF(Informed=1,1,0),0)</f>
        <v>1</v>
      </c>
      <c r="AE317" s="43" t="n">
        <f aca="false">IF(Arterial=1,IF(Informed=0,1,0),0)</f>
        <v>0</v>
      </c>
      <c r="AF317" s="35" t="n">
        <f aca="false">IF(AB317=1,(X317-G$1030)^2,0)</f>
        <v>0</v>
      </c>
      <c r="AG317" s="35" t="n">
        <f aca="false">IF(AC317=1,(Y317-H$1030)^2,0)</f>
        <v>0</v>
      </c>
      <c r="AH317" s="35" t="n">
        <f aca="false">IF(AD317=1,(Z317-I$1030)^2,0)</f>
        <v>14.8952479196625</v>
      </c>
      <c r="AI317" s="35" t="n">
        <f aca="false">IF(AE317=1,(AA317-J$1030)^2,0)</f>
        <v>0</v>
      </c>
      <c r="AJ317" s="37" t="n">
        <f aca="true">IF(RAND()&lt;$D$6,1,0)</f>
        <v>0</v>
      </c>
      <c r="AK317" s="14" t="n">
        <f aca="false">AK316+IF((AJ317=1),IF((H317=0),1,0),0)</f>
        <v>0</v>
      </c>
      <c r="AL317" s="14" t="n">
        <f aca="false">AL316+IF((AJ317=1),IF((H317=1),1,0),0)</f>
        <v>0</v>
      </c>
      <c r="AM317" s="37" t="n">
        <f aca="false">IF(AK317=0,9999,IF($H317=0,IF($AJ317&lt;1,AM316+1,0),AM316))</f>
        <v>9999</v>
      </c>
      <c r="AN317" s="37" t="n">
        <f aca="false">IF(AL317=0,9999,IF($H317=1,IF($AJ317&lt;1,AN316+1,0),AN316))</f>
        <v>9999</v>
      </c>
      <c r="AO317" s="37" t="n">
        <f aca="false">IF($A317-AM317&gt;0,1/(1+AM317),0)</f>
        <v>0</v>
      </c>
      <c r="AP317" s="37" t="n">
        <f aca="false">IF($A317-AN317&gt;0,1/(1+AN317),0)</f>
        <v>0</v>
      </c>
      <c r="AQ317" s="7" t="n">
        <f aca="false">IF(AK317=0,0,MAX(MIN(1,AO317^Power),0))</f>
        <v>0</v>
      </c>
      <c r="AR317" s="7" t="n">
        <f aca="false">IF(AL317=0,0,MAX(MIN(1,AP317^Power),0))</f>
        <v>0</v>
      </c>
      <c r="AS317" s="7" t="n">
        <f aca="false">IF($AJ317=1,IF($H317=0,K317,AS316),AS316)</f>
        <v>0</v>
      </c>
      <c r="AT317" s="7" t="n">
        <f aca="false">IF($AJ317=1,IF($H317=1,N317,AT316),AT316)</f>
        <v>0</v>
      </c>
    </row>
    <row r="318" customFormat="false" ht="13" hidden="false" customHeight="false" outlineLevel="0" collapsed="false">
      <c r="A318" s="16" t="n">
        <v>301</v>
      </c>
      <c r="B318" s="37" t="n">
        <f aca="true">IF(RAND()&lt;$D$8,1,0)</f>
        <v>0</v>
      </c>
      <c r="C318" s="20" t="n">
        <f aca="true">-LN(RAND())/$D$2</f>
        <v>0.482869647053525</v>
      </c>
      <c r="D318" s="38" t="n">
        <f aca="false">D317+C318</f>
        <v>320.680457041452</v>
      </c>
      <c r="E318" s="39" t="n">
        <f aca="false">MAX($E$3,AS317)</f>
        <v>0</v>
      </c>
      <c r="F318" s="39" t="n">
        <f aca="false">MAX($E$3,AT317)</f>
        <v>0</v>
      </c>
      <c r="G318" s="40" t="n">
        <v>0.5</v>
      </c>
      <c r="H318" s="38" t="n">
        <f aca="true">IF((B318=1),(IF((F318&lt;E318),1,(IF((F318=E318),(IF(RAND()&lt;G318,1,0)),0)))),(IF((RAND()&lt;G318),1,0)))</f>
        <v>0</v>
      </c>
      <c r="I318" s="38" t="n">
        <f aca="true">IF((H318=1),0,$D$3+$D$5*(RAND()-0.5))</f>
        <v>2.23433368755994</v>
      </c>
      <c r="J318" s="38" t="n">
        <f aca="false">I318+MAX(D318,J317)</f>
        <v>337.840627164405</v>
      </c>
      <c r="K318" s="38" t="n">
        <f aca="false">IF((H318=0),J318-D318,0)</f>
        <v>17.160170122953</v>
      </c>
      <c r="L318" s="38" t="n">
        <f aca="true">IF(($H318=0),0,$D$4+$D$5*(RAND()-0.5))</f>
        <v>0</v>
      </c>
      <c r="M318" s="38" t="n">
        <f aca="false">L318+MAX(D318,M317)</f>
        <v>344.712985969783</v>
      </c>
      <c r="N318" s="38" t="n">
        <f aca="false">IF((H318=1),M318-D318,0)</f>
        <v>0</v>
      </c>
      <c r="O318" s="16" t="n">
        <v>301</v>
      </c>
      <c r="P318" s="41" t="n">
        <f aca="false">IF((Arterial=0),P317+1,P317)</f>
        <v>142</v>
      </c>
      <c r="Q318" s="41" t="n">
        <f aca="false">IF((Arterial=1),Q317+1,Q317)</f>
        <v>159</v>
      </c>
      <c r="R318" s="42" t="e">
        <f aca="false">IF((RESET=1),0,R318+K318)</f>
        <v>#N/A</v>
      </c>
      <c r="S318" s="14" t="n">
        <f aca="false">IF(RESET=1,0,S318+N318)</f>
        <v>494.771985386159</v>
      </c>
      <c r="T318" s="2" t="e">
        <f aca="false">IF(RESET=1,0,T318+IF(H318=0,1,0))</f>
        <v>#N/A</v>
      </c>
      <c r="U318" s="2" t="n">
        <f aca="false">IF(RESET=1,0,U318+H318)</f>
        <v>39</v>
      </c>
      <c r="V318" s="14" t="e">
        <f aca="false">R318/(T318+0.00001)</f>
        <v>#N/A</v>
      </c>
      <c r="W318" s="14" t="n">
        <f aca="false">S318/(U318+0.0001)</f>
        <v>12.6864286344435</v>
      </c>
      <c r="X318" s="39" t="n">
        <f aca="false">IF(Informed=1,K318,0)</f>
        <v>0</v>
      </c>
      <c r="Y318" s="39" t="n">
        <f aca="false">IF(Informed=0,K318,0)</f>
        <v>17.160170122953</v>
      </c>
      <c r="Z318" s="39" t="n">
        <f aca="false">IF(Informed=1,N318,0)</f>
        <v>0</v>
      </c>
      <c r="AA318" s="39" t="n">
        <f aca="false">IF(Informed=0,N318,0)</f>
        <v>0</v>
      </c>
      <c r="AB318" s="43" t="n">
        <f aca="false">IF(Arterial=0,IF(Informed=1,1,0),0)</f>
        <v>0</v>
      </c>
      <c r="AC318" s="43" t="n">
        <f aca="false">IF(Arterial=0,IF(Informed=0,1,0),0)</f>
        <v>1</v>
      </c>
      <c r="AD318" s="43" t="n">
        <f aca="false">IF(Arterial=1,IF(Informed=1,1,0),0)</f>
        <v>0</v>
      </c>
      <c r="AE318" s="43" t="n">
        <f aca="false">IF(Arterial=1,IF(Informed=0,1,0),0)</f>
        <v>0</v>
      </c>
      <c r="AF318" s="35" t="n">
        <f aca="false">IF(AB318=1,(X318-G$1030)^2,0)</f>
        <v>0</v>
      </c>
      <c r="AG318" s="35" t="n">
        <f aca="false">IF(AC318=1,(Y318-H$1030)^2,0)</f>
        <v>38.892496274618</v>
      </c>
      <c r="AH318" s="35" t="n">
        <f aca="false">IF(AD318=1,(Z318-I$1030)^2,0)</f>
        <v>0</v>
      </c>
      <c r="AI318" s="35" t="n">
        <f aca="false">IF(AE318=1,(AA318-J$1030)^2,0)</f>
        <v>0</v>
      </c>
      <c r="AJ318" s="37" t="n">
        <f aca="true">IF(RAND()&lt;$D$6,1,0)</f>
        <v>0</v>
      </c>
      <c r="AK318" s="14" t="n">
        <f aca="false">AK317+IF((AJ318=1),IF((H318=0),1,0),0)</f>
        <v>0</v>
      </c>
      <c r="AL318" s="14" t="n">
        <f aca="false">AL317+IF((AJ318=1),IF((H318=1),1,0),0)</f>
        <v>0</v>
      </c>
      <c r="AM318" s="37" t="n">
        <f aca="false">IF(AK318=0,9999,IF($H318=0,IF($AJ318&lt;1,AM317+1,0),AM317))</f>
        <v>9999</v>
      </c>
      <c r="AN318" s="37" t="n">
        <f aca="false">IF(AL318=0,9999,IF($H318=1,IF($AJ318&lt;1,AN317+1,0),AN317))</f>
        <v>9999</v>
      </c>
      <c r="AO318" s="37" t="n">
        <f aca="false">IF($A318-AM318&gt;0,1/(1+AM318),0)</f>
        <v>0</v>
      </c>
      <c r="AP318" s="37" t="n">
        <f aca="false">IF($A318-AN318&gt;0,1/(1+AN318),0)</f>
        <v>0</v>
      </c>
      <c r="AQ318" s="7" t="n">
        <f aca="false">IF(AK318=0,0,MAX(MIN(1,AO318^Power),0))</f>
        <v>0</v>
      </c>
      <c r="AR318" s="7" t="n">
        <f aca="false">IF(AL318=0,0,MAX(MIN(1,AP318^Power),0))</f>
        <v>0</v>
      </c>
      <c r="AS318" s="7" t="n">
        <f aca="false">IF($AJ318=1,IF($H318=0,K318,AS317),AS317)</f>
        <v>0</v>
      </c>
      <c r="AT318" s="7" t="n">
        <f aca="false">IF($AJ318=1,IF($H318=1,N318,AT317),AT317)</f>
        <v>0</v>
      </c>
    </row>
    <row r="319" customFormat="false" ht="13" hidden="false" customHeight="false" outlineLevel="0" collapsed="false">
      <c r="A319" s="16" t="n">
        <v>302</v>
      </c>
      <c r="B319" s="37" t="n">
        <f aca="true">IF(RAND()&lt;$D$8,1,0)</f>
        <v>1</v>
      </c>
      <c r="C319" s="20" t="n">
        <f aca="true">-LN(RAND())/$D$2</f>
        <v>0.757562948386556</v>
      </c>
      <c r="D319" s="38" t="n">
        <f aca="false">D318+C319</f>
        <v>321.438019989838</v>
      </c>
      <c r="E319" s="39" t="n">
        <f aca="false">MAX($E$3,AS318)</f>
        <v>0</v>
      </c>
      <c r="F319" s="39" t="n">
        <f aca="false">MAX($E$3,AT318)</f>
        <v>0</v>
      </c>
      <c r="G319" s="40" t="n">
        <v>0.5</v>
      </c>
      <c r="H319" s="38" t="n">
        <f aca="true">IF((B319=1),(IF((F319&lt;E319),1,(IF((F319=E319),(IF(RAND()&lt;G319,1,0)),0)))),(IF((RAND()&lt;G319),1,0)))</f>
        <v>1</v>
      </c>
      <c r="I319" s="38" t="n">
        <f aca="true">IF((H319=1),0,$D$3+$D$5*(RAND()-0.5))</f>
        <v>0</v>
      </c>
      <c r="J319" s="38" t="n">
        <f aca="false">I319+MAX(D319,J318)</f>
        <v>337.840627164405</v>
      </c>
      <c r="K319" s="38" t="n">
        <f aca="false">IF((H319=0),J319-D319,0)</f>
        <v>0</v>
      </c>
      <c r="L319" s="38" t="n">
        <f aca="true">IF(($H319=0),0,$D$4+$D$5*(RAND()-0.5))</f>
        <v>2.0883576076831</v>
      </c>
      <c r="M319" s="38" t="n">
        <f aca="false">L319+MAX(D319,M318)</f>
        <v>346.801343577466</v>
      </c>
      <c r="N319" s="38" t="n">
        <f aca="false">IF((H319=1),M319-D319,0)</f>
        <v>25.3633235876277</v>
      </c>
      <c r="O319" s="16" t="n">
        <v>302</v>
      </c>
      <c r="P319" s="41" t="n">
        <f aca="false">IF((Arterial=0),P318+1,P318)</f>
        <v>142</v>
      </c>
      <c r="Q319" s="41" t="n">
        <f aca="false">IF((Arterial=1),Q318+1,Q318)</f>
        <v>160</v>
      </c>
      <c r="R319" s="42" t="n">
        <f aca="false">IF((RESET=1),0,R319+K319)</f>
        <v>579.99423740324</v>
      </c>
      <c r="S319" s="14" t="e">
        <f aca="false">IF(RESET=1,0,S319+N319)</f>
        <v>#N/A</v>
      </c>
      <c r="T319" s="2" t="n">
        <f aca="false">IF(RESET=1,0,T319+IF(H319=0,1,0))</f>
        <v>36</v>
      </c>
      <c r="U319" s="2" t="e">
        <f aca="false">IF(RESET=1,0,U319+H319)</f>
        <v>#N/A</v>
      </c>
      <c r="V319" s="14" t="n">
        <f aca="false">R319/(T319+0.00001)</f>
        <v>16.1109465637159</v>
      </c>
      <c r="W319" s="14" t="e">
        <f aca="false">S319/(U319+0.0001)</f>
        <v>#N/A</v>
      </c>
      <c r="X319" s="39" t="n">
        <f aca="false">IF(Informed=1,K319,0)</f>
        <v>0</v>
      </c>
      <c r="Y319" s="39" t="n">
        <f aca="false">IF(Informed=0,K319,0)</f>
        <v>0</v>
      </c>
      <c r="Z319" s="39" t="n">
        <f aca="false">IF(Informed=1,N319,0)</f>
        <v>25.3633235876277</v>
      </c>
      <c r="AA319" s="39" t="n">
        <f aca="false">IF(Informed=0,N319,0)</f>
        <v>0</v>
      </c>
      <c r="AB319" s="43" t="n">
        <f aca="false">IF(Arterial=0,IF(Informed=1,1,0),0)</f>
        <v>0</v>
      </c>
      <c r="AC319" s="43" t="n">
        <f aca="false">IF(Arterial=0,IF(Informed=0,1,0),0)</f>
        <v>0</v>
      </c>
      <c r="AD319" s="43" t="n">
        <f aca="false">IF(Arterial=1,IF(Informed=1,1,0),0)</f>
        <v>1</v>
      </c>
      <c r="AE319" s="43" t="n">
        <f aca="false">IF(Arterial=1,IF(Informed=0,1,0),0)</f>
        <v>0</v>
      </c>
      <c r="AF319" s="35" t="n">
        <f aca="false">IF(AB319=1,(X319-G$1030)^2,0)</f>
        <v>0</v>
      </c>
      <c r="AG319" s="35" t="n">
        <f aca="false">IF(AC319=1,(Y319-H$1030)^2,0)</f>
        <v>0</v>
      </c>
      <c r="AH319" s="35" t="n">
        <f aca="false">IF(AD319=1,(Z319-I$1030)^2,0)</f>
        <v>9.0691997415043</v>
      </c>
      <c r="AI319" s="35" t="n">
        <f aca="false">IF(AE319=1,(AA319-J$1030)^2,0)</f>
        <v>0</v>
      </c>
      <c r="AJ319" s="37" t="n">
        <f aca="true">IF(RAND()&lt;$D$6,1,0)</f>
        <v>0</v>
      </c>
      <c r="AK319" s="14" t="n">
        <f aca="false">AK318+IF((AJ319=1),IF((H319=0),1,0),0)</f>
        <v>0</v>
      </c>
      <c r="AL319" s="14" t="n">
        <f aca="false">AL318+IF((AJ319=1),IF((H319=1),1,0),0)</f>
        <v>0</v>
      </c>
      <c r="AM319" s="37" t="n">
        <f aca="false">IF(AK319=0,9999,IF($H319=0,IF($AJ319&lt;1,AM318+1,0),AM318))</f>
        <v>9999</v>
      </c>
      <c r="AN319" s="37" t="n">
        <f aca="false">IF(AL319=0,9999,IF($H319=1,IF($AJ319&lt;1,AN318+1,0),AN318))</f>
        <v>9999</v>
      </c>
      <c r="AO319" s="37" t="n">
        <f aca="false">IF($A319-AM319&gt;0,1/(1+AM319),0)</f>
        <v>0</v>
      </c>
      <c r="AP319" s="37" t="n">
        <f aca="false">IF($A319-AN319&gt;0,1/(1+AN319),0)</f>
        <v>0</v>
      </c>
      <c r="AQ319" s="7" t="n">
        <f aca="false">IF(AK319=0,0,MAX(MIN(1,AO319^Power),0))</f>
        <v>0</v>
      </c>
      <c r="AR319" s="7" t="n">
        <f aca="false">IF(AL319=0,0,MAX(MIN(1,AP319^Power),0))</f>
        <v>0</v>
      </c>
      <c r="AS319" s="7" t="n">
        <f aca="false">IF($AJ319=1,IF($H319=0,K319,AS318),AS318)</f>
        <v>0</v>
      </c>
      <c r="AT319" s="7" t="n">
        <f aca="false">IF($AJ319=1,IF($H319=1,N319,AT318),AT318)</f>
        <v>0</v>
      </c>
    </row>
    <row r="320" customFormat="false" ht="13" hidden="false" customHeight="false" outlineLevel="0" collapsed="false">
      <c r="A320" s="16" t="n">
        <v>303</v>
      </c>
      <c r="B320" s="37" t="n">
        <f aca="true">IF(RAND()&lt;$D$8,1,0)</f>
        <v>1</v>
      </c>
      <c r="C320" s="20" t="n">
        <f aca="true">-LN(RAND())/$D$2</f>
        <v>2.23275356570961</v>
      </c>
      <c r="D320" s="38" t="n">
        <f aca="false">D319+C320</f>
        <v>323.670773555548</v>
      </c>
      <c r="E320" s="39" t="n">
        <f aca="false">MAX($E$3,AS319)</f>
        <v>0</v>
      </c>
      <c r="F320" s="39" t="n">
        <f aca="false">MAX($E$3,AT319)</f>
        <v>0</v>
      </c>
      <c r="G320" s="40" t="n">
        <v>0.5</v>
      </c>
      <c r="H320" s="38" t="n">
        <f aca="true">IF((B320=1),(IF((F320&lt;E320),1,(IF((F320=E320),(IF(RAND()&lt;G320,1,0)),0)))),(IF((RAND()&lt;G320),1,0)))</f>
        <v>0</v>
      </c>
      <c r="I320" s="38" t="n">
        <f aca="true">IF((H320=1),0,$D$3+$D$5*(RAND()-0.5))</f>
        <v>2.20865590715253</v>
      </c>
      <c r="J320" s="38" t="n">
        <f aca="false">I320+MAX(D320,J319)</f>
        <v>340.049283071557</v>
      </c>
      <c r="K320" s="38" t="n">
        <f aca="false">IF((H320=0),J320-D320,0)</f>
        <v>16.3785095160093</v>
      </c>
      <c r="L320" s="38" t="n">
        <f aca="true">IF(($H320=0),0,$D$4+$D$5*(RAND()-0.5))</f>
        <v>0</v>
      </c>
      <c r="M320" s="38" t="n">
        <f aca="false">L320+MAX(D320,M319)</f>
        <v>346.801343577466</v>
      </c>
      <c r="N320" s="38" t="n">
        <f aca="false">IF((H320=1),M320-D320,0)</f>
        <v>0</v>
      </c>
      <c r="O320" s="16" t="n">
        <v>303</v>
      </c>
      <c r="P320" s="41" t="n">
        <f aca="false">IF((Arterial=0),P319+1,P319)</f>
        <v>143</v>
      </c>
      <c r="Q320" s="41" t="n">
        <f aca="false">IF((Arterial=1),Q319+1,Q319)</f>
        <v>160</v>
      </c>
      <c r="R320" s="42" t="e">
        <f aca="false">IF((RESET=1),0,R320+K320)</f>
        <v>#N/A</v>
      </c>
      <c r="S320" s="14" t="n">
        <f aca="false">IF(RESET=1,0,S320+N320)</f>
        <v>597.822427694985</v>
      </c>
      <c r="T320" s="2" t="e">
        <f aca="false">IF(RESET=1,0,T320+IF(H320=0,1,0))</f>
        <v>#N/A</v>
      </c>
      <c r="U320" s="2" t="n">
        <f aca="false">IF(RESET=1,0,U320+H320)</f>
        <v>36</v>
      </c>
      <c r="V320" s="14" t="e">
        <f aca="false">R320/(T320+0.00001)</f>
        <v>#N/A</v>
      </c>
      <c r="W320" s="14" t="n">
        <f aca="false">S320/(U320+0.0001)</f>
        <v>16.6061324189373</v>
      </c>
      <c r="X320" s="39" t="n">
        <f aca="false">IF(Informed=1,K320,0)</f>
        <v>16.3785095160093</v>
      </c>
      <c r="Y320" s="39" t="n">
        <f aca="false">IF(Informed=0,K320,0)</f>
        <v>0</v>
      </c>
      <c r="Z320" s="39" t="n">
        <f aca="false">IF(Informed=1,N320,0)</f>
        <v>0</v>
      </c>
      <c r="AA320" s="39" t="n">
        <f aca="false">IF(Informed=0,N320,0)</f>
        <v>0</v>
      </c>
      <c r="AB320" s="43" t="n">
        <f aca="false">IF(Arterial=0,IF(Informed=1,1,0),0)</f>
        <v>1</v>
      </c>
      <c r="AC320" s="43" t="n">
        <f aca="false">IF(Arterial=0,IF(Informed=0,1,0),0)</f>
        <v>0</v>
      </c>
      <c r="AD320" s="43" t="n">
        <f aca="false">IF(Arterial=1,IF(Informed=1,1,0),0)</f>
        <v>0</v>
      </c>
      <c r="AE320" s="43" t="n">
        <f aca="false">IF(Arterial=1,IF(Informed=0,1,0),0)</f>
        <v>0</v>
      </c>
      <c r="AF320" s="35" t="n">
        <f aca="false">IF(AB320=1,(X320-G$1030)^2,0)</f>
        <v>32.1356480157006</v>
      </c>
      <c r="AG320" s="35" t="n">
        <f aca="false">IF(AC320=1,(Y320-H$1030)^2,0)</f>
        <v>0</v>
      </c>
      <c r="AH320" s="35" t="n">
        <f aca="false">IF(AD320=1,(Z320-I$1030)^2,0)</f>
        <v>0</v>
      </c>
      <c r="AI320" s="35" t="n">
        <f aca="false">IF(AE320=1,(AA320-J$1030)^2,0)</f>
        <v>0</v>
      </c>
      <c r="AJ320" s="37" t="n">
        <f aca="true">IF(RAND()&lt;$D$6,1,0)</f>
        <v>0</v>
      </c>
      <c r="AK320" s="14" t="n">
        <f aca="false">AK319+IF((AJ320=1),IF((H320=0),1,0),0)</f>
        <v>0</v>
      </c>
      <c r="AL320" s="14" t="n">
        <f aca="false">AL319+IF((AJ320=1),IF((H320=1),1,0),0)</f>
        <v>0</v>
      </c>
      <c r="AM320" s="37" t="n">
        <f aca="false">IF(AK320=0,9999,IF($H320=0,IF($AJ320&lt;1,AM319+1,0),AM319))</f>
        <v>9999</v>
      </c>
      <c r="AN320" s="37" t="n">
        <f aca="false">IF(AL320=0,9999,IF($H320=1,IF($AJ320&lt;1,AN319+1,0),AN319))</f>
        <v>9999</v>
      </c>
      <c r="AO320" s="37" t="n">
        <f aca="false">IF($A320-AM320&gt;0,1/(1+AM320),0)</f>
        <v>0</v>
      </c>
      <c r="AP320" s="37" t="n">
        <f aca="false">IF($A320-AN320&gt;0,1/(1+AN320),0)</f>
        <v>0</v>
      </c>
      <c r="AQ320" s="7" t="n">
        <f aca="false">IF(AK320=0,0,MAX(MIN(1,AO320^Power),0))</f>
        <v>0</v>
      </c>
      <c r="AR320" s="7" t="n">
        <f aca="false">IF(AL320=0,0,MAX(MIN(1,AP320^Power),0))</f>
        <v>0</v>
      </c>
      <c r="AS320" s="7" t="n">
        <f aca="false">IF($AJ320=1,IF($H320=0,K320,AS319),AS319)</f>
        <v>0</v>
      </c>
      <c r="AT320" s="7" t="n">
        <f aca="false">IF($AJ320=1,IF($H320=1,N320,AT319),AT319)</f>
        <v>0</v>
      </c>
    </row>
    <row r="321" customFormat="false" ht="13" hidden="false" customHeight="false" outlineLevel="0" collapsed="false">
      <c r="A321" s="16" t="n">
        <v>304</v>
      </c>
      <c r="B321" s="37" t="n">
        <f aca="true">IF(RAND()&lt;$D$8,1,0)</f>
        <v>1</v>
      </c>
      <c r="C321" s="20" t="n">
        <f aca="true">-LN(RAND())/$D$2</f>
        <v>0.50618245774283</v>
      </c>
      <c r="D321" s="38" t="n">
        <f aca="false">D320+C321</f>
        <v>324.176956013291</v>
      </c>
      <c r="E321" s="39" t="n">
        <f aca="false">MAX($E$3,AS320)</f>
        <v>0</v>
      </c>
      <c r="F321" s="39" t="n">
        <f aca="false">MAX($E$3,AT320)</f>
        <v>0</v>
      </c>
      <c r="G321" s="40" t="n">
        <v>0.5</v>
      </c>
      <c r="H321" s="38" t="n">
        <f aca="true">IF((B321=1),(IF((F321&lt;E321),1,(IF((F321=E321),(IF(RAND()&lt;G321,1,0)),0)))),(IF((RAND()&lt;G321),1,0)))</f>
        <v>1</v>
      </c>
      <c r="I321" s="38" t="n">
        <f aca="true">IF((H321=1),0,$D$3+$D$5*(RAND()-0.5))</f>
        <v>0</v>
      </c>
      <c r="J321" s="38" t="n">
        <f aca="false">I321+MAX(D321,J320)</f>
        <v>340.049283071557</v>
      </c>
      <c r="K321" s="38" t="n">
        <f aca="false">IF((H321=0),J321-D321,0)</f>
        <v>0</v>
      </c>
      <c r="L321" s="38" t="n">
        <f aca="true">IF(($H321=0),0,$D$4+$D$5*(RAND()-0.5))</f>
        <v>1.8918982416235</v>
      </c>
      <c r="M321" s="38" t="n">
        <f aca="false">L321+MAX(D321,M320)</f>
        <v>348.693241819089</v>
      </c>
      <c r="N321" s="38" t="n">
        <f aca="false">IF((H321=1),M321-D321,0)</f>
        <v>24.5162858057988</v>
      </c>
      <c r="O321" s="16" t="n">
        <v>304</v>
      </c>
      <c r="P321" s="41" t="n">
        <f aca="false">IF((Arterial=0),P320+1,P320)</f>
        <v>143</v>
      </c>
      <c r="Q321" s="41" t="n">
        <f aca="false">IF((Arterial=1),Q320+1,Q320)</f>
        <v>161</v>
      </c>
      <c r="R321" s="42" t="n">
        <f aca="false">IF((RESET=1),0,R321+K321)</f>
        <v>468.832729595807</v>
      </c>
      <c r="S321" s="14" t="e">
        <f aca="false">IF(RESET=1,0,S321+N321)</f>
        <v>#N/A</v>
      </c>
      <c r="T321" s="2" t="n">
        <f aca="false">IF(RESET=1,0,T321+IF(H321=0,1,0))</f>
        <v>32</v>
      </c>
      <c r="U321" s="2" t="e">
        <f aca="false">IF(RESET=1,0,U321+H321)</f>
        <v>#N/A</v>
      </c>
      <c r="V321" s="14" t="n">
        <f aca="false">R321/(T321+0.00001)</f>
        <v>14.6510182214258</v>
      </c>
      <c r="W321" s="14" t="e">
        <f aca="false">S321/(U321+0.0001)</f>
        <v>#N/A</v>
      </c>
      <c r="X321" s="39" t="n">
        <f aca="false">IF(Informed=1,K321,0)</f>
        <v>0</v>
      </c>
      <c r="Y321" s="39" t="n">
        <f aca="false">IF(Informed=0,K321,0)</f>
        <v>0</v>
      </c>
      <c r="Z321" s="39" t="n">
        <f aca="false">IF(Informed=1,N321,0)</f>
        <v>24.5162858057988</v>
      </c>
      <c r="AA321" s="39" t="n">
        <f aca="false">IF(Informed=0,N321,0)</f>
        <v>0</v>
      </c>
      <c r="AB321" s="43" t="n">
        <f aca="false">IF(Arterial=0,IF(Informed=1,1,0),0)</f>
        <v>0</v>
      </c>
      <c r="AC321" s="43" t="n">
        <f aca="false">IF(Arterial=0,IF(Informed=0,1,0),0)</f>
        <v>0</v>
      </c>
      <c r="AD321" s="43" t="n">
        <f aca="false">IF(Arterial=1,IF(Informed=1,1,0),0)</f>
        <v>1</v>
      </c>
      <c r="AE321" s="43" t="n">
        <f aca="false">IF(Arterial=1,IF(Informed=0,1,0),0)</f>
        <v>0</v>
      </c>
      <c r="AF321" s="35" t="n">
        <f aca="false">IF(AB321=1,(X321-G$1030)^2,0)</f>
        <v>0</v>
      </c>
      <c r="AG321" s="35" t="n">
        <f aca="false">IF(AC321=1,(Y321-H$1030)^2,0)</f>
        <v>0</v>
      </c>
      <c r="AH321" s="35" t="n">
        <f aca="false">IF(AD321=1,(Z321-I$1030)^2,0)</f>
        <v>14.8884002884532</v>
      </c>
      <c r="AI321" s="35" t="n">
        <f aca="false">IF(AE321=1,(AA321-J$1030)^2,0)</f>
        <v>0</v>
      </c>
      <c r="AJ321" s="37" t="n">
        <f aca="true">IF(RAND()&lt;$D$6,1,0)</f>
        <v>0</v>
      </c>
      <c r="AK321" s="14" t="n">
        <f aca="false">AK320+IF((AJ321=1),IF((H321=0),1,0),0)</f>
        <v>0</v>
      </c>
      <c r="AL321" s="14" t="n">
        <f aca="false">AL320+IF((AJ321=1),IF((H321=1),1,0),0)</f>
        <v>0</v>
      </c>
      <c r="AM321" s="37" t="n">
        <f aca="false">IF(AK321=0,9999,IF($H321=0,IF($AJ321&lt;1,AM320+1,0),AM320))</f>
        <v>9999</v>
      </c>
      <c r="AN321" s="37" t="n">
        <f aca="false">IF(AL321=0,9999,IF($H321=1,IF($AJ321&lt;1,AN320+1,0),AN320))</f>
        <v>9999</v>
      </c>
      <c r="AO321" s="37" t="n">
        <f aca="false">IF($A321-AM321&gt;0,1/(1+AM321),0)</f>
        <v>0</v>
      </c>
      <c r="AP321" s="37" t="n">
        <f aca="false">IF($A321-AN321&gt;0,1/(1+AN321),0)</f>
        <v>0</v>
      </c>
      <c r="AQ321" s="7" t="n">
        <f aca="false">IF(AK321=0,0,MAX(MIN(1,AO321^Power),0))</f>
        <v>0</v>
      </c>
      <c r="AR321" s="7" t="n">
        <f aca="false">IF(AL321=0,0,MAX(MIN(1,AP321^Power),0))</f>
        <v>0</v>
      </c>
      <c r="AS321" s="7" t="n">
        <f aca="false">IF($AJ321=1,IF($H321=0,K321,AS320),AS320)</f>
        <v>0</v>
      </c>
      <c r="AT321" s="7" t="n">
        <f aca="false">IF($AJ321=1,IF($H321=1,N321,AT320),AT320)</f>
        <v>0</v>
      </c>
    </row>
    <row r="322" customFormat="false" ht="13" hidden="false" customHeight="false" outlineLevel="0" collapsed="false">
      <c r="A322" s="16" t="n">
        <v>305</v>
      </c>
      <c r="B322" s="37" t="n">
        <f aca="true">IF(RAND()&lt;$D$8,1,0)</f>
        <v>0</v>
      </c>
      <c r="C322" s="20" t="n">
        <f aca="true">-LN(RAND())/$D$2</f>
        <v>1.97113518955891</v>
      </c>
      <c r="D322" s="38" t="n">
        <f aca="false">D321+C322</f>
        <v>326.14809120285</v>
      </c>
      <c r="E322" s="39" t="n">
        <f aca="false">MAX($E$3,AS321)</f>
        <v>0</v>
      </c>
      <c r="F322" s="39" t="n">
        <f aca="false">MAX($E$3,AT321)</f>
        <v>0</v>
      </c>
      <c r="G322" s="40" t="n">
        <v>0.5</v>
      </c>
      <c r="H322" s="38" t="n">
        <f aca="true">IF((B322=1),(IF((F322&lt;E322),1,(IF((F322=E322),(IF(RAND()&lt;G322,1,0)),0)))),(IF((RAND()&lt;G322),1,0)))</f>
        <v>1</v>
      </c>
      <c r="I322" s="38" t="n">
        <f aca="true">IF((H322=1),0,$D$3+$D$5*(RAND()-0.5))</f>
        <v>0</v>
      </c>
      <c r="J322" s="38" t="n">
        <f aca="false">I322+MAX(D322,J321)</f>
        <v>340.049283071557</v>
      </c>
      <c r="K322" s="38" t="n">
        <f aca="false">IF((H322=0),J322-D322,0)</f>
        <v>0</v>
      </c>
      <c r="L322" s="38" t="n">
        <f aca="true">IF(($H322=0),0,$D$4+$D$5*(RAND()-0.5))</f>
        <v>2.16617161622682</v>
      </c>
      <c r="M322" s="38" t="n">
        <f aca="false">L322+MAX(D322,M321)</f>
        <v>350.859413435316</v>
      </c>
      <c r="N322" s="38" t="n">
        <f aca="false">IF((H322=1),M322-D322,0)</f>
        <v>24.7113222324666</v>
      </c>
      <c r="O322" s="16" t="n">
        <v>305</v>
      </c>
      <c r="P322" s="41" t="n">
        <f aca="false">IF((Arterial=0),P321+1,P321)</f>
        <v>143</v>
      </c>
      <c r="Q322" s="41" t="n">
        <f aca="false">IF((Arterial=1),Q321+1,Q321)</f>
        <v>162</v>
      </c>
      <c r="R322" s="42" t="n">
        <f aca="false">IF((RESET=1),0,R322+K322)</f>
        <v>506.75077698427</v>
      </c>
      <c r="S322" s="14" t="e">
        <f aca="false">IF(RESET=1,0,S322+N322)</f>
        <v>#N/A</v>
      </c>
      <c r="T322" s="2" t="n">
        <f aca="false">IF(RESET=1,0,T322+IF(H322=0,1,0))</f>
        <v>29</v>
      </c>
      <c r="U322" s="2" t="e">
        <f aca="false">IF(RESET=1,0,U322+H322)</f>
        <v>#N/A</v>
      </c>
      <c r="V322" s="14" t="n">
        <f aca="false">R322/(T322+0.00001)</f>
        <v>17.4741586980236</v>
      </c>
      <c r="W322" s="14" t="e">
        <f aca="false">S322/(U322+0.0001)</f>
        <v>#N/A</v>
      </c>
      <c r="X322" s="39" t="n">
        <f aca="false">IF(Informed=1,K322,0)</f>
        <v>0</v>
      </c>
      <c r="Y322" s="39" t="n">
        <f aca="false">IF(Informed=0,K322,0)</f>
        <v>0</v>
      </c>
      <c r="Z322" s="39" t="n">
        <f aca="false">IF(Informed=1,N322,0)</f>
        <v>0</v>
      </c>
      <c r="AA322" s="39" t="n">
        <f aca="false">IF(Informed=0,N322,0)</f>
        <v>24.7113222324666</v>
      </c>
      <c r="AB322" s="43" t="n">
        <f aca="false">IF(Arterial=0,IF(Informed=1,1,0),0)</f>
        <v>0</v>
      </c>
      <c r="AC322" s="43" t="n">
        <f aca="false">IF(Arterial=0,IF(Informed=0,1,0),0)</f>
        <v>0</v>
      </c>
      <c r="AD322" s="43" t="n">
        <f aca="false">IF(Arterial=1,IF(Informed=1,1,0),0)</f>
        <v>0</v>
      </c>
      <c r="AE322" s="43" t="n">
        <f aca="false">IF(Arterial=1,IF(Informed=0,1,0),0)</f>
        <v>1</v>
      </c>
      <c r="AF322" s="35" t="n">
        <f aca="false">IF(AB322=1,(X322-G$1030)^2,0)</f>
        <v>0</v>
      </c>
      <c r="AG322" s="35" t="n">
        <f aca="false">IF(AC322=1,(Y322-H$1030)^2,0)</f>
        <v>0</v>
      </c>
      <c r="AH322" s="35" t="n">
        <f aca="false">IF(AD322=1,(Z322-I$1030)^2,0)</f>
        <v>0</v>
      </c>
      <c r="AI322" s="35" t="n">
        <f aca="false">IF(AE322=1,(AA322-J$1030)^2,0)</f>
        <v>23.5511504689433</v>
      </c>
      <c r="AJ322" s="37" t="n">
        <f aca="true">IF(RAND()&lt;$D$6,1,0)</f>
        <v>0</v>
      </c>
      <c r="AK322" s="14" t="n">
        <f aca="false">AK321+IF((AJ322=1),IF((H322=0),1,0),0)</f>
        <v>0</v>
      </c>
      <c r="AL322" s="14" t="n">
        <f aca="false">AL321+IF((AJ322=1),IF((H322=1),1,0),0)</f>
        <v>0</v>
      </c>
      <c r="AM322" s="37" t="n">
        <f aca="false">IF(AK322=0,9999,IF($H322=0,IF($AJ322&lt;1,AM321+1,0),AM321))</f>
        <v>9999</v>
      </c>
      <c r="AN322" s="37" t="n">
        <f aca="false">IF(AL322=0,9999,IF($H322=1,IF($AJ322&lt;1,AN321+1,0),AN321))</f>
        <v>9999</v>
      </c>
      <c r="AO322" s="37" t="n">
        <f aca="false">IF($A322-AM322&gt;0,1/(1+AM322),0)</f>
        <v>0</v>
      </c>
      <c r="AP322" s="37" t="n">
        <f aca="false">IF($A322-AN322&gt;0,1/(1+AN322),0)</f>
        <v>0</v>
      </c>
      <c r="AQ322" s="7" t="n">
        <f aca="false">IF(AK322=0,0,MAX(MIN(1,AO322^Power),0))</f>
        <v>0</v>
      </c>
      <c r="AR322" s="7" t="n">
        <f aca="false">IF(AL322=0,0,MAX(MIN(1,AP322^Power),0))</f>
        <v>0</v>
      </c>
      <c r="AS322" s="7" t="n">
        <f aca="false">IF($AJ322=1,IF($H322=0,K322,AS321),AS321)</f>
        <v>0</v>
      </c>
      <c r="AT322" s="7" t="n">
        <f aca="false">IF($AJ322=1,IF($H322=1,N322,AT321),AT321)</f>
        <v>0</v>
      </c>
    </row>
    <row r="323" customFormat="false" ht="13" hidden="false" customHeight="false" outlineLevel="0" collapsed="false">
      <c r="A323" s="16" t="n">
        <v>306</v>
      </c>
      <c r="B323" s="37" t="n">
        <f aca="true">IF(RAND()&lt;$D$8,1,0)</f>
        <v>1</v>
      </c>
      <c r="C323" s="20" t="n">
        <f aca="true">-LN(RAND())/$D$2</f>
        <v>0.739826283742078</v>
      </c>
      <c r="D323" s="38" t="n">
        <f aca="false">D322+C323</f>
        <v>326.887917486592</v>
      </c>
      <c r="E323" s="39" t="n">
        <f aca="false">MAX($E$3,AS322)</f>
        <v>0</v>
      </c>
      <c r="F323" s="39" t="n">
        <f aca="false">MAX($E$3,AT322)</f>
        <v>0</v>
      </c>
      <c r="G323" s="40" t="n">
        <v>0.5</v>
      </c>
      <c r="H323" s="38" t="n">
        <f aca="true">IF((B323=1),(IF((F323&lt;E323),1,(IF((F323=E323),(IF(RAND()&lt;G323,1,0)),0)))),(IF((RAND()&lt;G323),1,0)))</f>
        <v>1</v>
      </c>
      <c r="I323" s="38" t="n">
        <f aca="true">IF((H323=1),0,$D$3+$D$5*(RAND()-0.5))</f>
        <v>0</v>
      </c>
      <c r="J323" s="38" t="n">
        <f aca="false">I323+MAX(D323,J322)</f>
        <v>340.049283071557</v>
      </c>
      <c r="K323" s="38" t="n">
        <f aca="false">IF((H323=0),J323-D323,0)</f>
        <v>0</v>
      </c>
      <c r="L323" s="38" t="n">
        <f aca="true">IF(($H323=0),0,$D$4+$D$5*(RAND()-0.5))</f>
        <v>2.23195670594403</v>
      </c>
      <c r="M323" s="38" t="n">
        <f aca="false">L323+MAX(D323,M322)</f>
        <v>353.09137014126</v>
      </c>
      <c r="N323" s="38" t="n">
        <f aca="false">IF((H323=1),M323-D323,0)</f>
        <v>26.2034526546685</v>
      </c>
      <c r="O323" s="16" t="n">
        <v>306</v>
      </c>
      <c r="P323" s="41" t="n">
        <f aca="false">IF((Arterial=0),P322+1,P322)</f>
        <v>143</v>
      </c>
      <c r="Q323" s="41" t="n">
        <f aca="false">IF((Arterial=1),Q322+1,Q322)</f>
        <v>163</v>
      </c>
      <c r="R323" s="42" t="n">
        <f aca="false">IF((RESET=1),0,R323+K323)</f>
        <v>517.591154000443</v>
      </c>
      <c r="S323" s="14" t="e">
        <f aca="false">IF(RESET=1,0,S323+N323)</f>
        <v>#N/A</v>
      </c>
      <c r="T323" s="2" t="n">
        <f aca="false">IF(RESET=1,0,T323+IF(H323=0,1,0))</f>
        <v>37</v>
      </c>
      <c r="U323" s="2" t="e">
        <f aca="false">IF(RESET=1,0,U323+H323)</f>
        <v>#N/A</v>
      </c>
      <c r="V323" s="14" t="n">
        <f aca="false">R323/(T323+0.00001)</f>
        <v>13.9889463273238</v>
      </c>
      <c r="W323" s="14" t="e">
        <f aca="false">S323/(U323+0.0001)</f>
        <v>#N/A</v>
      </c>
      <c r="X323" s="39" t="n">
        <f aca="false">IF(Informed=1,K323,0)</f>
        <v>0</v>
      </c>
      <c r="Y323" s="39" t="n">
        <f aca="false">IF(Informed=0,K323,0)</f>
        <v>0</v>
      </c>
      <c r="Z323" s="39" t="n">
        <f aca="false">IF(Informed=1,N323,0)</f>
        <v>26.2034526546685</v>
      </c>
      <c r="AA323" s="39" t="n">
        <f aca="false">IF(Informed=0,N323,0)</f>
        <v>0</v>
      </c>
      <c r="AB323" s="43" t="n">
        <f aca="false">IF(Arterial=0,IF(Informed=1,1,0),0)</f>
        <v>0</v>
      </c>
      <c r="AC323" s="43" t="n">
        <f aca="false">IF(Arterial=0,IF(Informed=0,1,0),0)</f>
        <v>0</v>
      </c>
      <c r="AD323" s="43" t="n">
        <f aca="false">IF(Arterial=1,IF(Informed=1,1,0),0)</f>
        <v>1</v>
      </c>
      <c r="AE323" s="43" t="n">
        <f aca="false">IF(Arterial=1,IF(Informed=0,1,0),0)</f>
        <v>0</v>
      </c>
      <c r="AF323" s="35" t="n">
        <f aca="false">IF(AB323=1,(X323-G$1030)^2,0)</f>
        <v>0</v>
      </c>
      <c r="AG323" s="35" t="n">
        <f aca="false">IF(AC323=1,(Y323-H$1030)^2,0)</f>
        <v>0</v>
      </c>
      <c r="AH323" s="35" t="n">
        <f aca="false">IF(AD323=1,(Z323-I$1030)^2,0)</f>
        <v>4.71490039169002</v>
      </c>
      <c r="AI323" s="35" t="n">
        <f aca="false">IF(AE323=1,(AA323-J$1030)^2,0)</f>
        <v>0</v>
      </c>
      <c r="AJ323" s="37" t="n">
        <f aca="true">IF(RAND()&lt;$D$6,1,0)</f>
        <v>0</v>
      </c>
      <c r="AK323" s="14" t="n">
        <f aca="false">AK322+IF((AJ323=1),IF((H323=0),1,0),0)</f>
        <v>0</v>
      </c>
      <c r="AL323" s="14" t="n">
        <f aca="false">AL322+IF((AJ323=1),IF((H323=1),1,0),0)</f>
        <v>0</v>
      </c>
      <c r="AM323" s="37" t="n">
        <f aca="false">IF(AK323=0,9999,IF($H323=0,IF($AJ323&lt;1,AM322+1,0),AM322))</f>
        <v>9999</v>
      </c>
      <c r="AN323" s="37" t="n">
        <f aca="false">IF(AL323=0,9999,IF($H323=1,IF($AJ323&lt;1,AN322+1,0),AN322))</f>
        <v>9999</v>
      </c>
      <c r="AO323" s="37" t="n">
        <f aca="false">IF($A323-AM323&gt;0,1/(1+AM323),0)</f>
        <v>0</v>
      </c>
      <c r="AP323" s="37" t="n">
        <f aca="false">IF($A323-AN323&gt;0,1/(1+AN323),0)</f>
        <v>0</v>
      </c>
      <c r="AQ323" s="7" t="n">
        <f aca="false">IF(AK323=0,0,MAX(MIN(1,AO323^Power),0))</f>
        <v>0</v>
      </c>
      <c r="AR323" s="7" t="n">
        <f aca="false">IF(AL323=0,0,MAX(MIN(1,AP323^Power),0))</f>
        <v>0</v>
      </c>
      <c r="AS323" s="7" t="n">
        <f aca="false">IF($AJ323=1,IF($H323=0,K323,AS322),AS322)</f>
        <v>0</v>
      </c>
      <c r="AT323" s="7" t="n">
        <f aca="false">IF($AJ323=1,IF($H323=1,N323,AT322),AT322)</f>
        <v>0</v>
      </c>
    </row>
    <row r="324" customFormat="false" ht="13" hidden="false" customHeight="false" outlineLevel="0" collapsed="false">
      <c r="A324" s="16" t="n">
        <v>307</v>
      </c>
      <c r="B324" s="37" t="n">
        <f aca="true">IF(RAND()&lt;$D$8,1,0)</f>
        <v>0</v>
      </c>
      <c r="C324" s="20" t="n">
        <f aca="true">-LN(RAND())/$D$2</f>
        <v>0.341181478539204</v>
      </c>
      <c r="D324" s="38" t="n">
        <f aca="false">D323+C324</f>
        <v>327.229098965131</v>
      </c>
      <c r="E324" s="39" t="n">
        <f aca="false">MAX($E$3,AS323)</f>
        <v>0</v>
      </c>
      <c r="F324" s="39" t="n">
        <f aca="false">MAX($E$3,AT323)</f>
        <v>0</v>
      </c>
      <c r="G324" s="40" t="n">
        <v>0.5</v>
      </c>
      <c r="H324" s="38" t="n">
        <f aca="true">IF((B324=1),(IF((F324&lt;E324),1,(IF((F324=E324),(IF(RAND()&lt;G324,1,0)),0)))),(IF((RAND()&lt;G324),1,0)))</f>
        <v>1</v>
      </c>
      <c r="I324" s="38" t="n">
        <f aca="true">IF((H324=1),0,$D$3+$D$5*(RAND()-0.5))</f>
        <v>0</v>
      </c>
      <c r="J324" s="38" t="n">
        <f aca="false">I324+MAX(D324,J323)</f>
        <v>340.049283071557</v>
      </c>
      <c r="K324" s="38" t="n">
        <f aca="false">IF((H324=0),J324-D324,0)</f>
        <v>0</v>
      </c>
      <c r="L324" s="38" t="n">
        <f aca="true">IF(($H324=0),0,$D$4+$D$5*(RAND()-0.5))</f>
        <v>2.04049167164529</v>
      </c>
      <c r="M324" s="38" t="n">
        <f aca="false">L324+MAX(D324,M323)</f>
        <v>355.131861812905</v>
      </c>
      <c r="N324" s="38" t="n">
        <f aca="false">IF((H324=1),M324-D324,0)</f>
        <v>27.9027628477746</v>
      </c>
      <c r="O324" s="16" t="n">
        <v>307</v>
      </c>
      <c r="P324" s="41" t="n">
        <f aca="false">IF((Arterial=0),P323+1,P323)</f>
        <v>143</v>
      </c>
      <c r="Q324" s="41" t="n">
        <f aca="false">IF((Arterial=1),Q323+1,Q323)</f>
        <v>164</v>
      </c>
      <c r="R324" s="42" t="n">
        <f aca="false">IF((RESET=1),0,R324+K324)</f>
        <v>702.357871726912</v>
      </c>
      <c r="S324" s="14" t="e">
        <f aca="false">IF(RESET=1,0,S324+N324)</f>
        <v>#N/A</v>
      </c>
      <c r="T324" s="2" t="n">
        <f aca="false">IF(RESET=1,0,T324+IF(H324=0,1,0))</f>
        <v>48</v>
      </c>
      <c r="U324" s="2" t="e">
        <f aca="false">IF(RESET=1,0,U324+H324)</f>
        <v>#N/A</v>
      </c>
      <c r="V324" s="14" t="n">
        <f aca="false">R324/(T324+0.00001)</f>
        <v>14.6324526125497</v>
      </c>
      <c r="W324" s="14" t="e">
        <f aca="false">S324/(U324+0.0001)</f>
        <v>#N/A</v>
      </c>
      <c r="X324" s="39" t="n">
        <f aca="false">IF(Informed=1,K324,0)</f>
        <v>0</v>
      </c>
      <c r="Y324" s="39" t="n">
        <f aca="false">IF(Informed=0,K324,0)</f>
        <v>0</v>
      </c>
      <c r="Z324" s="39" t="n">
        <f aca="false">IF(Informed=1,N324,0)</f>
        <v>0</v>
      </c>
      <c r="AA324" s="39" t="n">
        <f aca="false">IF(Informed=0,N324,0)</f>
        <v>27.9027628477746</v>
      </c>
      <c r="AB324" s="43" t="n">
        <f aca="false">IF(Arterial=0,IF(Informed=1,1,0),0)</f>
        <v>0</v>
      </c>
      <c r="AC324" s="43" t="n">
        <f aca="false">IF(Arterial=0,IF(Informed=0,1,0),0)</f>
        <v>0</v>
      </c>
      <c r="AD324" s="43" t="n">
        <f aca="false">IF(Arterial=1,IF(Informed=1,1,0),0)</f>
        <v>0</v>
      </c>
      <c r="AE324" s="43" t="n">
        <f aca="false">IF(Arterial=1,IF(Informed=0,1,0),0)</f>
        <v>1</v>
      </c>
      <c r="AF324" s="35" t="n">
        <f aca="false">IF(AB324=1,(X324-G$1030)^2,0)</f>
        <v>0</v>
      </c>
      <c r="AG324" s="35" t="n">
        <f aca="false">IF(AC324=1,(Y324-H$1030)^2,0)</f>
        <v>0</v>
      </c>
      <c r="AH324" s="35" t="n">
        <f aca="false">IF(AD324=1,(Z324-I$1030)^2,0)</f>
        <v>0</v>
      </c>
      <c r="AI324" s="35" t="n">
        <f aca="false">IF(AE324=1,(AA324-J$1030)^2,0)</f>
        <v>2.76062259947892</v>
      </c>
      <c r="AJ324" s="37" t="n">
        <f aca="true">IF(RAND()&lt;$D$6,1,0)</f>
        <v>0</v>
      </c>
      <c r="AK324" s="14" t="n">
        <f aca="false">AK323+IF((AJ324=1),IF((H324=0),1,0),0)</f>
        <v>0</v>
      </c>
      <c r="AL324" s="14" t="n">
        <f aca="false">AL323+IF((AJ324=1),IF((H324=1),1,0),0)</f>
        <v>0</v>
      </c>
      <c r="AM324" s="37" t="n">
        <f aca="false">IF(AK324=0,9999,IF($H324=0,IF($AJ324&lt;1,AM323+1,0),AM323))</f>
        <v>9999</v>
      </c>
      <c r="AN324" s="37" t="n">
        <f aca="false">IF(AL324=0,9999,IF($H324=1,IF($AJ324&lt;1,AN323+1,0),AN323))</f>
        <v>9999</v>
      </c>
      <c r="AO324" s="37" t="n">
        <f aca="false">IF($A324-AM324&gt;0,1/(1+AM324),0)</f>
        <v>0</v>
      </c>
      <c r="AP324" s="37" t="n">
        <f aca="false">IF($A324-AN324&gt;0,1/(1+AN324),0)</f>
        <v>0</v>
      </c>
      <c r="AQ324" s="7" t="n">
        <f aca="false">IF(AK324=0,0,MAX(MIN(1,AO324^Power),0))</f>
        <v>0</v>
      </c>
      <c r="AR324" s="7" t="n">
        <f aca="false">IF(AL324=0,0,MAX(MIN(1,AP324^Power),0))</f>
        <v>0</v>
      </c>
      <c r="AS324" s="7" t="n">
        <f aca="false">IF($AJ324=1,IF($H324=0,K324,AS323),AS323)</f>
        <v>0</v>
      </c>
      <c r="AT324" s="7" t="n">
        <f aca="false">IF($AJ324=1,IF($H324=1,N324,AT323),AT323)</f>
        <v>0</v>
      </c>
    </row>
    <row r="325" customFormat="false" ht="13" hidden="false" customHeight="false" outlineLevel="0" collapsed="false">
      <c r="A325" s="16" t="n">
        <v>308</v>
      </c>
      <c r="B325" s="37" t="n">
        <f aca="true">IF(RAND()&lt;$D$8,1,0)</f>
        <v>0</v>
      </c>
      <c r="C325" s="20" t="n">
        <f aca="true">-LN(RAND())/$D$2</f>
        <v>0.506677957826987</v>
      </c>
      <c r="D325" s="38" t="n">
        <f aca="false">D324+C325</f>
        <v>327.735776922958</v>
      </c>
      <c r="E325" s="39" t="n">
        <f aca="false">MAX($E$3,AS324)</f>
        <v>0</v>
      </c>
      <c r="F325" s="39" t="n">
        <f aca="false">MAX($E$3,AT324)</f>
        <v>0</v>
      </c>
      <c r="G325" s="40" t="n">
        <v>0.5</v>
      </c>
      <c r="H325" s="38" t="n">
        <f aca="true">IF((B325=1),(IF((F325&lt;E325),1,(IF((F325=E325),(IF(RAND()&lt;G325,1,0)),0)))),(IF((RAND()&lt;G325),1,0)))</f>
        <v>0</v>
      </c>
      <c r="I325" s="38" t="n">
        <f aca="true">IF((H325=1),0,$D$3+$D$5*(RAND()-0.5))</f>
        <v>1.95330634593564</v>
      </c>
      <c r="J325" s="38" t="n">
        <f aca="false">I325+MAX(D325,J324)</f>
        <v>342.002589417493</v>
      </c>
      <c r="K325" s="38" t="n">
        <f aca="false">IF((H325=0),J325-D325,0)</f>
        <v>14.2668124945349</v>
      </c>
      <c r="L325" s="38" t="n">
        <f aca="true">IF(($H325=0),0,$D$4+$D$5*(RAND()-0.5))</f>
        <v>0</v>
      </c>
      <c r="M325" s="38" t="n">
        <f aca="false">L325+MAX(D325,M324)</f>
        <v>355.131861812905</v>
      </c>
      <c r="N325" s="38" t="n">
        <f aca="false">IF((H325=1),M325-D325,0)</f>
        <v>0</v>
      </c>
      <c r="O325" s="16" t="n">
        <v>308</v>
      </c>
      <c r="P325" s="41" t="n">
        <f aca="false">IF((Arterial=0),P324+1,P324)</f>
        <v>144</v>
      </c>
      <c r="Q325" s="41" t="n">
        <f aca="false">IF((Arterial=1),Q324+1,Q324)</f>
        <v>164</v>
      </c>
      <c r="R325" s="42" t="e">
        <f aca="false">IF((RESET=1),0,R325+K325)</f>
        <v>#N/A</v>
      </c>
      <c r="S325" s="14" t="n">
        <f aca="false">IF(RESET=1,0,S325+N325)</f>
        <v>405.809415683535</v>
      </c>
      <c r="T325" s="2" t="e">
        <f aca="false">IF(RESET=1,0,T325+IF(H325=0,1,0))</f>
        <v>#N/A</v>
      </c>
      <c r="U325" s="2" t="n">
        <f aca="false">IF(RESET=1,0,U325+H325)</f>
        <v>35</v>
      </c>
      <c r="V325" s="14" t="e">
        <f aca="false">R325/(T325+0.00001)</f>
        <v>#N/A</v>
      </c>
      <c r="W325" s="14" t="n">
        <f aca="false">S325/(U325+0.0001)</f>
        <v>11.5945216066107</v>
      </c>
      <c r="X325" s="39" t="n">
        <f aca="false">IF(Informed=1,K325,0)</f>
        <v>0</v>
      </c>
      <c r="Y325" s="39" t="n">
        <f aca="false">IF(Informed=0,K325,0)</f>
        <v>14.2668124945349</v>
      </c>
      <c r="Z325" s="39" t="n">
        <f aca="false">IF(Informed=1,N325,0)</f>
        <v>0</v>
      </c>
      <c r="AA325" s="39" t="n">
        <f aca="false">IF(Informed=0,N325,0)</f>
        <v>0</v>
      </c>
      <c r="AB325" s="43" t="n">
        <f aca="false">IF(Arterial=0,IF(Informed=1,1,0),0)</f>
        <v>0</v>
      </c>
      <c r="AC325" s="43" t="n">
        <f aca="false">IF(Arterial=0,IF(Informed=0,1,0),0)</f>
        <v>1</v>
      </c>
      <c r="AD325" s="43" t="n">
        <f aca="false">IF(Arterial=1,IF(Informed=1,1,0),0)</f>
        <v>0</v>
      </c>
      <c r="AE325" s="43" t="n">
        <f aca="false">IF(Arterial=1,IF(Informed=0,1,0),0)</f>
        <v>0</v>
      </c>
      <c r="AF325" s="35" t="n">
        <f aca="false">IF(AB325=1,(X325-G$1030)^2,0)</f>
        <v>0</v>
      </c>
      <c r="AG325" s="35" t="n">
        <f aca="false">IF(AC325=1,(Y325-H$1030)^2,0)</f>
        <v>11.1758311528892</v>
      </c>
      <c r="AH325" s="35" t="n">
        <f aca="false">IF(AD325=1,(Z325-I$1030)^2,0)</f>
        <v>0</v>
      </c>
      <c r="AI325" s="35" t="n">
        <f aca="false">IF(AE325=1,(AA325-J$1030)^2,0)</f>
        <v>0</v>
      </c>
      <c r="AJ325" s="37" t="n">
        <f aca="true">IF(RAND()&lt;$D$6,1,0)</f>
        <v>0</v>
      </c>
      <c r="AK325" s="14" t="n">
        <f aca="false">AK324+IF((AJ325=1),IF((H325=0),1,0),0)</f>
        <v>0</v>
      </c>
      <c r="AL325" s="14" t="n">
        <f aca="false">AL324+IF((AJ325=1),IF((H325=1),1,0),0)</f>
        <v>0</v>
      </c>
      <c r="AM325" s="37" t="n">
        <f aca="false">IF(AK325=0,9999,IF($H325=0,IF($AJ325&lt;1,AM324+1,0),AM324))</f>
        <v>9999</v>
      </c>
      <c r="AN325" s="37" t="n">
        <f aca="false">IF(AL325=0,9999,IF($H325=1,IF($AJ325&lt;1,AN324+1,0),AN324))</f>
        <v>9999</v>
      </c>
      <c r="AO325" s="37" t="n">
        <f aca="false">IF($A325-AM325&gt;0,1/(1+AM325),0)</f>
        <v>0</v>
      </c>
      <c r="AP325" s="37" t="n">
        <f aca="false">IF($A325-AN325&gt;0,1/(1+AN325),0)</f>
        <v>0</v>
      </c>
      <c r="AQ325" s="7" t="n">
        <f aca="false">IF(AK325=0,0,MAX(MIN(1,AO325^Power),0))</f>
        <v>0</v>
      </c>
      <c r="AR325" s="7" t="n">
        <f aca="false">IF(AL325=0,0,MAX(MIN(1,AP325^Power),0))</f>
        <v>0</v>
      </c>
      <c r="AS325" s="7" t="n">
        <f aca="false">IF($AJ325=1,IF($H325=0,K325,AS324),AS324)</f>
        <v>0</v>
      </c>
      <c r="AT325" s="7" t="n">
        <f aca="false">IF($AJ325=1,IF($H325=1,N325,AT324),AT324)</f>
        <v>0</v>
      </c>
    </row>
    <row r="326" customFormat="false" ht="13" hidden="false" customHeight="false" outlineLevel="0" collapsed="false">
      <c r="A326" s="16" t="n">
        <v>309</v>
      </c>
      <c r="B326" s="37" t="n">
        <f aca="true">IF(RAND()&lt;$D$8,1,0)</f>
        <v>0</v>
      </c>
      <c r="C326" s="20" t="n">
        <f aca="true">-LN(RAND())/$D$2</f>
        <v>0.603386796090551</v>
      </c>
      <c r="D326" s="38" t="n">
        <f aca="false">D325+C326</f>
        <v>328.339163719048</v>
      </c>
      <c r="E326" s="39" t="n">
        <f aca="false">MAX($E$3,AS325)</f>
        <v>0</v>
      </c>
      <c r="F326" s="39" t="n">
        <f aca="false">MAX($E$3,AT325)</f>
        <v>0</v>
      </c>
      <c r="G326" s="40" t="n">
        <v>0.5</v>
      </c>
      <c r="H326" s="38" t="n">
        <f aca="true">IF((B326=1),(IF((F326&lt;E326),1,(IF((F326=E326),(IF(RAND()&lt;G326,1,0)),0)))),(IF((RAND()&lt;G326),1,0)))</f>
        <v>0</v>
      </c>
      <c r="I326" s="38" t="n">
        <f aca="true">IF((H326=1),0,$D$3+$D$5*(RAND()-0.5))</f>
        <v>1.75221710241026</v>
      </c>
      <c r="J326" s="38" t="n">
        <f aca="false">I326+MAX(D326,J325)</f>
        <v>343.754806519903</v>
      </c>
      <c r="K326" s="38" t="n">
        <f aca="false">IF((H326=0),J326-D326,0)</f>
        <v>15.4156428008546</v>
      </c>
      <c r="L326" s="38" t="n">
        <f aca="true">IF(($H326=0),0,$D$4+$D$5*(RAND()-0.5))</f>
        <v>0</v>
      </c>
      <c r="M326" s="38" t="n">
        <f aca="false">L326+MAX(D326,M325)</f>
        <v>355.131861812905</v>
      </c>
      <c r="N326" s="38" t="n">
        <f aca="false">IF((H326=1),M326-D326,0)</f>
        <v>0</v>
      </c>
      <c r="O326" s="16" t="n">
        <v>309</v>
      </c>
      <c r="P326" s="41" t="n">
        <f aca="false">IF((Arterial=0),P325+1,P325)</f>
        <v>145</v>
      </c>
      <c r="Q326" s="41" t="n">
        <f aca="false">IF((Arterial=1),Q325+1,Q325)</f>
        <v>164</v>
      </c>
      <c r="R326" s="42" t="e">
        <f aca="false">IF((RESET=1),0,R326+K326)</f>
        <v>#N/A</v>
      </c>
      <c r="S326" s="14" t="n">
        <f aca="false">IF(RESET=1,0,S326+N326)</f>
        <v>561.81225427033</v>
      </c>
      <c r="T326" s="2" t="e">
        <f aca="false">IF(RESET=1,0,T326+IF(H326=0,1,0))</f>
        <v>#N/A</v>
      </c>
      <c r="U326" s="2" t="n">
        <f aca="false">IF(RESET=1,0,U326+H326)</f>
        <v>44</v>
      </c>
      <c r="V326" s="14" t="e">
        <f aca="false">R326/(T326+0.00001)</f>
        <v>#N/A</v>
      </c>
      <c r="W326" s="14" t="n">
        <f aca="false">S326/(U326+0.0001)</f>
        <v>12.7684313051636</v>
      </c>
      <c r="X326" s="39" t="n">
        <f aca="false">IF(Informed=1,K326,0)</f>
        <v>0</v>
      </c>
      <c r="Y326" s="39" t="n">
        <f aca="false">IF(Informed=0,K326,0)</f>
        <v>15.4156428008546</v>
      </c>
      <c r="Z326" s="39" t="n">
        <f aca="false">IF(Informed=1,N326,0)</f>
        <v>0</v>
      </c>
      <c r="AA326" s="39" t="n">
        <f aca="false">IF(Informed=0,N326,0)</f>
        <v>0</v>
      </c>
      <c r="AB326" s="43" t="n">
        <f aca="false">IF(Arterial=0,IF(Informed=1,1,0),0)</f>
        <v>0</v>
      </c>
      <c r="AC326" s="43" t="n">
        <f aca="false">IF(Arterial=0,IF(Informed=0,1,0),0)</f>
        <v>1</v>
      </c>
      <c r="AD326" s="43" t="n">
        <f aca="false">IF(Arterial=1,IF(Informed=1,1,0),0)</f>
        <v>0</v>
      </c>
      <c r="AE326" s="43" t="n">
        <f aca="false">IF(Arterial=1,IF(Informed=0,1,0),0)</f>
        <v>0</v>
      </c>
      <c r="AF326" s="35" t="n">
        <f aca="false">IF(AB326=1,(X326-G$1030)^2,0)</f>
        <v>0</v>
      </c>
      <c r="AG326" s="35" t="n">
        <f aca="false">IF(AC326=1,(Y326-H$1030)^2,0)</f>
        <v>20.1767842507021</v>
      </c>
      <c r="AH326" s="35" t="n">
        <f aca="false">IF(AD326=1,(Z326-I$1030)^2,0)</f>
        <v>0</v>
      </c>
      <c r="AI326" s="35" t="n">
        <f aca="false">IF(AE326=1,(AA326-J$1030)^2,0)</f>
        <v>0</v>
      </c>
      <c r="AJ326" s="37" t="n">
        <f aca="true">IF(RAND()&lt;$D$6,1,0)</f>
        <v>0</v>
      </c>
      <c r="AK326" s="14" t="n">
        <f aca="false">AK325+IF((AJ326=1),IF((H326=0),1,0),0)</f>
        <v>0</v>
      </c>
      <c r="AL326" s="14" t="n">
        <f aca="false">AL325+IF((AJ326=1),IF((H326=1),1,0),0)</f>
        <v>0</v>
      </c>
      <c r="AM326" s="37" t="n">
        <f aca="false">IF(AK326=0,9999,IF($H326=0,IF($AJ326&lt;1,AM325+1,0),AM325))</f>
        <v>9999</v>
      </c>
      <c r="AN326" s="37" t="n">
        <f aca="false">IF(AL326=0,9999,IF($H326=1,IF($AJ326&lt;1,AN325+1,0),AN325))</f>
        <v>9999</v>
      </c>
      <c r="AO326" s="37" t="n">
        <f aca="false">IF($A326-AM326&gt;0,1/(1+AM326),0)</f>
        <v>0</v>
      </c>
      <c r="AP326" s="37" t="n">
        <f aca="false">IF($A326-AN326&gt;0,1/(1+AN326),0)</f>
        <v>0</v>
      </c>
      <c r="AQ326" s="7" t="n">
        <f aca="false">IF(AK326=0,0,MAX(MIN(1,AO326^Power),0))</f>
        <v>0</v>
      </c>
      <c r="AR326" s="7" t="n">
        <f aca="false">IF(AL326=0,0,MAX(MIN(1,AP326^Power),0))</f>
        <v>0</v>
      </c>
      <c r="AS326" s="7" t="n">
        <f aca="false">IF($AJ326=1,IF($H326=0,K326,AS325),AS325)</f>
        <v>0</v>
      </c>
      <c r="AT326" s="7" t="n">
        <f aca="false">IF($AJ326=1,IF($H326=1,N326,AT325),AT325)</f>
        <v>0</v>
      </c>
    </row>
    <row r="327" customFormat="false" ht="13" hidden="false" customHeight="false" outlineLevel="0" collapsed="false">
      <c r="A327" s="16" t="n">
        <v>310</v>
      </c>
      <c r="B327" s="37" t="n">
        <f aca="true">IF(RAND()&lt;$D$8,1,0)</f>
        <v>0</v>
      </c>
      <c r="C327" s="20" t="n">
        <f aca="true">-LN(RAND())/$D$2</f>
        <v>0.64233422451331</v>
      </c>
      <c r="D327" s="38" t="n">
        <f aca="false">D326+C327</f>
        <v>328.981497943562</v>
      </c>
      <c r="E327" s="39" t="n">
        <f aca="false">MAX($E$3,AS326)</f>
        <v>0</v>
      </c>
      <c r="F327" s="39" t="n">
        <f aca="false">MAX($E$3,AT326)</f>
        <v>0</v>
      </c>
      <c r="G327" s="40" t="n">
        <v>0.5</v>
      </c>
      <c r="H327" s="38" t="n">
        <f aca="true">IF((B327=1),(IF((F327&lt;E327),1,(IF((F327=E327),(IF(RAND()&lt;G327,1,0)),0)))),(IF((RAND()&lt;G327),1,0)))</f>
        <v>0</v>
      </c>
      <c r="I327" s="38" t="n">
        <f aca="true">IF((H327=1),0,$D$3+$D$5*(RAND()-0.5))</f>
        <v>2.15073961667555</v>
      </c>
      <c r="J327" s="38" t="n">
        <f aca="false">I327+MAX(D327,J326)</f>
        <v>345.905546136579</v>
      </c>
      <c r="K327" s="38" t="n">
        <f aca="false">IF((H327=0),J327-D327,0)</f>
        <v>16.9240481930168</v>
      </c>
      <c r="L327" s="38" t="n">
        <f aca="true">IF(($H327=0),0,$D$4+$D$5*(RAND()-0.5))</f>
        <v>0</v>
      </c>
      <c r="M327" s="38" t="n">
        <f aca="false">L327+MAX(D327,M326)</f>
        <v>355.131861812905</v>
      </c>
      <c r="N327" s="38" t="n">
        <f aca="false">IF((H327=1),M327-D327,0)</f>
        <v>0</v>
      </c>
      <c r="O327" s="16" t="n">
        <v>310</v>
      </c>
      <c r="P327" s="41" t="n">
        <f aca="false">IF((Arterial=0),P326+1,P326)</f>
        <v>146</v>
      </c>
      <c r="Q327" s="41" t="n">
        <f aca="false">IF((Arterial=1),Q326+1,Q326)</f>
        <v>164</v>
      </c>
      <c r="R327" s="42" t="e">
        <f aca="false">IF((RESET=1),0,R327+K327)</f>
        <v>#N/A</v>
      </c>
      <c r="S327" s="14" t="n">
        <f aca="false">IF(RESET=1,0,S327+N327)</f>
        <v>566.77587672801</v>
      </c>
      <c r="T327" s="2" t="e">
        <f aca="false">IF(RESET=1,0,T327+IF(H327=0,1,0))</f>
        <v>#N/A</v>
      </c>
      <c r="U327" s="2" t="n">
        <f aca="false">IF(RESET=1,0,U327+H327)</f>
        <v>45</v>
      </c>
      <c r="V327" s="14" t="e">
        <f aca="false">R327/(T327+0.00001)</f>
        <v>#N/A</v>
      </c>
      <c r="W327" s="14" t="n">
        <f aca="false">S327/(U327+0.0001)</f>
        <v>12.5949914939747</v>
      </c>
      <c r="X327" s="39" t="n">
        <f aca="false">IF(Informed=1,K327,0)</f>
        <v>0</v>
      </c>
      <c r="Y327" s="39" t="n">
        <f aca="false">IF(Informed=0,K327,0)</f>
        <v>16.9240481930168</v>
      </c>
      <c r="Z327" s="39" t="n">
        <f aca="false">IF(Informed=1,N327,0)</f>
        <v>0</v>
      </c>
      <c r="AA327" s="39" t="n">
        <f aca="false">IF(Informed=0,N327,0)</f>
        <v>0</v>
      </c>
      <c r="AB327" s="43" t="n">
        <f aca="false">IF(Arterial=0,IF(Informed=1,1,0),0)</f>
        <v>0</v>
      </c>
      <c r="AC327" s="43" t="n">
        <f aca="false">IF(Arterial=0,IF(Informed=0,1,0),0)</f>
        <v>1</v>
      </c>
      <c r="AD327" s="43" t="n">
        <f aca="false">IF(Arterial=1,IF(Informed=1,1,0),0)</f>
        <v>0</v>
      </c>
      <c r="AE327" s="43" t="n">
        <f aca="false">IF(Arterial=1,IF(Informed=0,1,0),0)</f>
        <v>0</v>
      </c>
      <c r="AF327" s="35" t="n">
        <f aca="false">IF(AB327=1,(X327-G$1030)^2,0)</f>
        <v>0</v>
      </c>
      <c r="AG327" s="35" t="n">
        <f aca="false">IF(AC327=1,(Y327-H$1030)^2,0)</f>
        <v>36.0031553767017</v>
      </c>
      <c r="AH327" s="35" t="n">
        <f aca="false">IF(AD327=1,(Z327-I$1030)^2,0)</f>
        <v>0</v>
      </c>
      <c r="AI327" s="35" t="n">
        <f aca="false">IF(AE327=1,(AA327-J$1030)^2,0)</f>
        <v>0</v>
      </c>
      <c r="AJ327" s="37" t="n">
        <f aca="true">IF(RAND()&lt;$D$6,1,0)</f>
        <v>0</v>
      </c>
      <c r="AK327" s="14" t="n">
        <f aca="false">AK326+IF((AJ327=1),IF((H327=0),1,0),0)</f>
        <v>0</v>
      </c>
      <c r="AL327" s="14" t="n">
        <f aca="false">AL326+IF((AJ327=1),IF((H327=1),1,0),0)</f>
        <v>0</v>
      </c>
      <c r="AM327" s="37" t="n">
        <f aca="false">IF(AK327=0,9999,IF($H327=0,IF($AJ327&lt;1,AM326+1,0),AM326))</f>
        <v>9999</v>
      </c>
      <c r="AN327" s="37" t="n">
        <f aca="false">IF(AL327=0,9999,IF($H327=1,IF($AJ327&lt;1,AN326+1,0),AN326))</f>
        <v>9999</v>
      </c>
      <c r="AO327" s="37" t="n">
        <f aca="false">IF($A327-AM327&gt;0,1/(1+AM327),0)</f>
        <v>0</v>
      </c>
      <c r="AP327" s="37" t="n">
        <f aca="false">IF($A327-AN327&gt;0,1/(1+AN327),0)</f>
        <v>0</v>
      </c>
      <c r="AQ327" s="7" t="n">
        <f aca="false">IF(AK327=0,0,MAX(MIN(1,AO327^Power),0))</f>
        <v>0</v>
      </c>
      <c r="AR327" s="7" t="n">
        <f aca="false">IF(AL327=0,0,MAX(MIN(1,AP327^Power),0))</f>
        <v>0</v>
      </c>
      <c r="AS327" s="7" t="n">
        <f aca="false">IF($AJ327=1,IF($H327=0,K327,AS326),AS326)</f>
        <v>0</v>
      </c>
      <c r="AT327" s="7" t="n">
        <f aca="false">IF($AJ327=1,IF($H327=1,N327,AT326),AT326)</f>
        <v>0</v>
      </c>
    </row>
    <row r="328" customFormat="false" ht="13" hidden="false" customHeight="false" outlineLevel="0" collapsed="false">
      <c r="A328" s="16" t="n">
        <v>311</v>
      </c>
      <c r="B328" s="37" t="n">
        <f aca="true">IF(RAND()&lt;$D$8,1,0)</f>
        <v>1</v>
      </c>
      <c r="C328" s="20" t="n">
        <f aca="true">-LN(RAND())/$D$2</f>
        <v>1.58070608264428</v>
      </c>
      <c r="D328" s="38" t="n">
        <f aca="false">D327+C328</f>
        <v>330.562204026206</v>
      </c>
      <c r="E328" s="39" t="n">
        <f aca="false">MAX($E$3,AS327)</f>
        <v>0</v>
      </c>
      <c r="F328" s="39" t="n">
        <f aca="false">MAX($E$3,AT327)</f>
        <v>0</v>
      </c>
      <c r="G328" s="40" t="n">
        <v>0.5</v>
      </c>
      <c r="H328" s="38" t="n">
        <f aca="true">IF((B328=1),(IF((F328&lt;E328),1,(IF((F328=E328),(IF(RAND()&lt;G328,1,0)),0)))),(IF((RAND()&lt;G328),1,0)))</f>
        <v>0</v>
      </c>
      <c r="I328" s="38" t="n">
        <f aca="true">IF((H328=1),0,$D$3+$D$5*(RAND()-0.5))</f>
        <v>1.9623593170943</v>
      </c>
      <c r="J328" s="38" t="n">
        <f aca="false">I328+MAX(D328,J327)</f>
        <v>347.867905453673</v>
      </c>
      <c r="K328" s="38" t="n">
        <f aca="false">IF((H328=0),J328-D328,0)</f>
        <v>17.3057014274668</v>
      </c>
      <c r="L328" s="38" t="n">
        <f aca="true">IF(($H328=0),0,$D$4+$D$5*(RAND()-0.5))</f>
        <v>0</v>
      </c>
      <c r="M328" s="38" t="n">
        <f aca="false">L328+MAX(D328,M327)</f>
        <v>355.131861812905</v>
      </c>
      <c r="N328" s="38" t="n">
        <f aca="false">IF((H328=1),M328-D328,0)</f>
        <v>0</v>
      </c>
      <c r="O328" s="16" t="n">
        <v>311</v>
      </c>
      <c r="P328" s="41" t="n">
        <f aca="false">IF((Arterial=0),P327+1,P327)</f>
        <v>147</v>
      </c>
      <c r="Q328" s="41" t="n">
        <f aca="false">IF((Arterial=1),Q327+1,Q327)</f>
        <v>164</v>
      </c>
      <c r="R328" s="42" t="e">
        <f aca="false">IF((RESET=1),0,R328+K328)</f>
        <v>#N/A</v>
      </c>
      <c r="S328" s="14" t="n">
        <f aca="false">IF(RESET=1,0,S328+N328)</f>
        <v>545.387681477414</v>
      </c>
      <c r="T328" s="2" t="e">
        <f aca="false">IF(RESET=1,0,T328+IF(H328=0,1,0))</f>
        <v>#N/A</v>
      </c>
      <c r="U328" s="2" t="n">
        <f aca="false">IF(RESET=1,0,U328+H328)</f>
        <v>38</v>
      </c>
      <c r="V328" s="14" t="e">
        <f aca="false">R328/(T328+0.00001)</f>
        <v>#N/A</v>
      </c>
      <c r="W328" s="14" t="n">
        <f aca="false">S328/(U328+0.0001)</f>
        <v>14.3522696381697</v>
      </c>
      <c r="X328" s="39" t="n">
        <f aca="false">IF(Informed=1,K328,0)</f>
        <v>17.3057014274668</v>
      </c>
      <c r="Y328" s="39" t="n">
        <f aca="false">IF(Informed=0,K328,0)</f>
        <v>0</v>
      </c>
      <c r="Z328" s="39" t="n">
        <f aca="false">IF(Informed=1,N328,0)</f>
        <v>0</v>
      </c>
      <c r="AA328" s="39" t="n">
        <f aca="false">IF(Informed=0,N328,0)</f>
        <v>0</v>
      </c>
      <c r="AB328" s="43" t="n">
        <f aca="false">IF(Arterial=0,IF(Informed=1,1,0),0)</f>
        <v>1</v>
      </c>
      <c r="AC328" s="43" t="n">
        <f aca="false">IF(Arterial=0,IF(Informed=0,1,0),0)</f>
        <v>0</v>
      </c>
      <c r="AD328" s="43" t="n">
        <f aca="false">IF(Arterial=1,IF(Informed=1,1,0),0)</f>
        <v>0</v>
      </c>
      <c r="AE328" s="43" t="n">
        <f aca="false">IF(Arterial=1,IF(Informed=0,1,0),0)</f>
        <v>0</v>
      </c>
      <c r="AF328" s="35" t="n">
        <f aca="false">IF(AB328=1,(X328-G$1030)^2,0)</f>
        <v>43.5075218661415</v>
      </c>
      <c r="AG328" s="35" t="n">
        <f aca="false">IF(AC328=1,(Y328-H$1030)^2,0)</f>
        <v>0</v>
      </c>
      <c r="AH328" s="35" t="n">
        <f aca="false">IF(AD328=1,(Z328-I$1030)^2,0)</f>
        <v>0</v>
      </c>
      <c r="AI328" s="35" t="n">
        <f aca="false">IF(AE328=1,(AA328-J$1030)^2,0)</f>
        <v>0</v>
      </c>
      <c r="AJ328" s="37" t="n">
        <f aca="true">IF(RAND()&lt;$D$6,1,0)</f>
        <v>0</v>
      </c>
      <c r="AK328" s="14" t="n">
        <f aca="false">AK327+IF((AJ328=1),IF((H328=0),1,0),0)</f>
        <v>0</v>
      </c>
      <c r="AL328" s="14" t="n">
        <f aca="false">AL327+IF((AJ328=1),IF((H328=1),1,0),0)</f>
        <v>0</v>
      </c>
      <c r="AM328" s="37" t="n">
        <f aca="false">IF(AK328=0,9999,IF($H328=0,IF($AJ328&lt;1,AM327+1,0),AM327))</f>
        <v>9999</v>
      </c>
      <c r="AN328" s="37" t="n">
        <f aca="false">IF(AL328=0,9999,IF($H328=1,IF($AJ328&lt;1,AN327+1,0),AN327))</f>
        <v>9999</v>
      </c>
      <c r="AO328" s="37" t="n">
        <f aca="false">IF($A328-AM328&gt;0,1/(1+AM328),0)</f>
        <v>0</v>
      </c>
      <c r="AP328" s="37" t="n">
        <f aca="false">IF($A328-AN328&gt;0,1/(1+AN328),0)</f>
        <v>0</v>
      </c>
      <c r="AQ328" s="7" t="n">
        <f aca="false">IF(AK328=0,0,MAX(MIN(1,AO328^Power),0))</f>
        <v>0</v>
      </c>
      <c r="AR328" s="7" t="n">
        <f aca="false">IF(AL328=0,0,MAX(MIN(1,AP328^Power),0))</f>
        <v>0</v>
      </c>
      <c r="AS328" s="7" t="n">
        <f aca="false">IF($AJ328=1,IF($H328=0,K328,AS327),AS327)</f>
        <v>0</v>
      </c>
      <c r="AT328" s="7" t="n">
        <f aca="false">IF($AJ328=1,IF($H328=1,N328,AT327),AT327)</f>
        <v>0</v>
      </c>
    </row>
    <row r="329" customFormat="false" ht="13" hidden="false" customHeight="false" outlineLevel="0" collapsed="false">
      <c r="A329" s="16" t="n">
        <v>312</v>
      </c>
      <c r="B329" s="37" t="n">
        <f aca="true">IF(RAND()&lt;$D$8,1,0)</f>
        <v>0</v>
      </c>
      <c r="C329" s="20" t="n">
        <f aca="true">-LN(RAND())/$D$2</f>
        <v>0.593134038646288</v>
      </c>
      <c r="D329" s="38" t="n">
        <f aca="false">D328+C329</f>
        <v>331.155338064852</v>
      </c>
      <c r="E329" s="39" t="n">
        <f aca="false">MAX($E$3,AS328)</f>
        <v>0</v>
      </c>
      <c r="F329" s="39" t="n">
        <f aca="false">MAX($E$3,AT328)</f>
        <v>0</v>
      </c>
      <c r="G329" s="40" t="n">
        <v>0.5</v>
      </c>
      <c r="H329" s="38" t="n">
        <f aca="true">IF((B329=1),(IF((F329&lt;E329),1,(IF((F329=E329),(IF(RAND()&lt;G329,1,0)),0)))),(IF((RAND()&lt;G329),1,0)))</f>
        <v>1</v>
      </c>
      <c r="I329" s="38" t="n">
        <f aca="true">IF((H329=1),0,$D$3+$D$5*(RAND()-0.5))</f>
        <v>0</v>
      </c>
      <c r="J329" s="38" t="n">
        <f aca="false">I329+MAX(D329,J328)</f>
        <v>347.867905453673</v>
      </c>
      <c r="K329" s="38" t="n">
        <f aca="false">IF((H329=0),J329-D329,0)</f>
        <v>0</v>
      </c>
      <c r="L329" s="38" t="n">
        <f aca="true">IF(($H329=0),0,$D$4+$D$5*(RAND()-0.5))</f>
        <v>1.81362796350594</v>
      </c>
      <c r="M329" s="38" t="n">
        <f aca="false">L329+MAX(D329,M328)</f>
        <v>356.945489776411</v>
      </c>
      <c r="N329" s="38" t="n">
        <f aca="false">IF((H329=1),M329-D329,0)</f>
        <v>25.7901517115591</v>
      </c>
      <c r="O329" s="16" t="n">
        <v>312</v>
      </c>
      <c r="P329" s="41" t="n">
        <f aca="false">IF((Arterial=0),P328+1,P328)</f>
        <v>147</v>
      </c>
      <c r="Q329" s="41" t="n">
        <f aca="false">IF((Arterial=1),Q328+1,Q328)</f>
        <v>165</v>
      </c>
      <c r="R329" s="42" t="n">
        <f aca="false">IF((RESET=1),0,R329+K329)</f>
        <v>543.091936025509</v>
      </c>
      <c r="S329" s="14" t="e">
        <f aca="false">IF(RESET=1,0,S329+N329)</f>
        <v>#N/A</v>
      </c>
      <c r="T329" s="2" t="n">
        <f aca="false">IF(RESET=1,0,T329+IF(H329=0,1,0))</f>
        <v>37</v>
      </c>
      <c r="U329" s="2" t="e">
        <f aca="false">IF(RESET=1,0,U329+H329)</f>
        <v>#N/A</v>
      </c>
      <c r="V329" s="14" t="n">
        <f aca="false">R329/(T329+0.00001)</f>
        <v>14.6781564660526</v>
      </c>
      <c r="W329" s="14" t="e">
        <f aca="false">S329/(U329+0.0001)</f>
        <v>#N/A</v>
      </c>
      <c r="X329" s="39" t="n">
        <f aca="false">IF(Informed=1,K329,0)</f>
        <v>0</v>
      </c>
      <c r="Y329" s="39" t="n">
        <f aca="false">IF(Informed=0,K329,0)</f>
        <v>0</v>
      </c>
      <c r="Z329" s="39" t="n">
        <f aca="false">IF(Informed=1,N329,0)</f>
        <v>0</v>
      </c>
      <c r="AA329" s="39" t="n">
        <f aca="false">IF(Informed=0,N329,0)</f>
        <v>25.7901517115591</v>
      </c>
      <c r="AB329" s="43" t="n">
        <f aca="false">IF(Arterial=0,IF(Informed=1,1,0),0)</f>
        <v>0</v>
      </c>
      <c r="AC329" s="43" t="n">
        <f aca="false">IF(Arterial=0,IF(Informed=0,1,0),0)</f>
        <v>0</v>
      </c>
      <c r="AD329" s="43" t="n">
        <f aca="false">IF(Arterial=1,IF(Informed=1,1,0),0)</f>
        <v>0</v>
      </c>
      <c r="AE329" s="43" t="n">
        <f aca="false">IF(Arterial=1,IF(Informed=0,1,0),0)</f>
        <v>1</v>
      </c>
      <c r="AF329" s="35" t="n">
        <f aca="false">IF(AB329=1,(X329-G$1030)^2,0)</f>
        <v>0</v>
      </c>
      <c r="AG329" s="35" t="n">
        <f aca="false">IF(AC329=1,(Y329-H$1030)^2,0)</f>
        <v>0</v>
      </c>
      <c r="AH329" s="35" t="n">
        <f aca="false">IF(AD329=1,(Z329-I$1030)^2,0)</f>
        <v>0</v>
      </c>
      <c r="AI329" s="35" t="n">
        <f aca="false">IF(AE329=1,(AA329-J$1030)^2,0)</f>
        <v>14.2440065224965</v>
      </c>
      <c r="AJ329" s="37" t="n">
        <f aca="true">IF(RAND()&lt;$D$6,1,0)</f>
        <v>0</v>
      </c>
      <c r="AK329" s="14" t="n">
        <f aca="false">AK328+IF((AJ329=1),IF((H329=0),1,0),0)</f>
        <v>0</v>
      </c>
      <c r="AL329" s="14" t="n">
        <f aca="false">AL328+IF((AJ329=1),IF((H329=1),1,0),0)</f>
        <v>0</v>
      </c>
      <c r="AM329" s="37" t="n">
        <f aca="false">IF(AK329=0,9999,IF($H329=0,IF($AJ329&lt;1,AM328+1,0),AM328))</f>
        <v>9999</v>
      </c>
      <c r="AN329" s="37" t="n">
        <f aca="false">IF(AL329=0,9999,IF($H329=1,IF($AJ329&lt;1,AN328+1,0),AN328))</f>
        <v>9999</v>
      </c>
      <c r="AO329" s="37" t="n">
        <f aca="false">IF($A329-AM329&gt;0,1/(1+AM329),0)</f>
        <v>0</v>
      </c>
      <c r="AP329" s="37" t="n">
        <f aca="false">IF($A329-AN329&gt;0,1/(1+AN329),0)</f>
        <v>0</v>
      </c>
      <c r="AQ329" s="7" t="n">
        <f aca="false">IF(AK329=0,0,MAX(MIN(1,AO329^Power),0))</f>
        <v>0</v>
      </c>
      <c r="AR329" s="7" t="n">
        <f aca="false">IF(AL329=0,0,MAX(MIN(1,AP329^Power),0))</f>
        <v>0</v>
      </c>
      <c r="AS329" s="7" t="n">
        <f aca="false">IF($AJ329=1,IF($H329=0,K329,AS328),AS328)</f>
        <v>0</v>
      </c>
      <c r="AT329" s="7" t="n">
        <f aca="false">IF($AJ329=1,IF($H329=1,N329,AT328),AT328)</f>
        <v>0</v>
      </c>
    </row>
    <row r="330" customFormat="false" ht="13" hidden="false" customHeight="false" outlineLevel="0" collapsed="false">
      <c r="A330" s="16" t="n">
        <v>313</v>
      </c>
      <c r="B330" s="37" t="n">
        <f aca="true">IF(RAND()&lt;$D$8,1,0)</f>
        <v>1</v>
      </c>
      <c r="C330" s="20" t="n">
        <f aca="true">-LN(RAND())/$D$2</f>
        <v>1.05697463571002</v>
      </c>
      <c r="D330" s="38" t="n">
        <f aca="false">D329+C330</f>
        <v>332.212312700562</v>
      </c>
      <c r="E330" s="39" t="n">
        <f aca="false">MAX($E$3,AS329)</f>
        <v>0</v>
      </c>
      <c r="F330" s="39" t="n">
        <f aca="false">MAX($E$3,AT329)</f>
        <v>0</v>
      </c>
      <c r="G330" s="40" t="n">
        <v>0.5</v>
      </c>
      <c r="H330" s="38" t="n">
        <f aca="true">IF((B330=1),(IF((F330&lt;E330),1,(IF((F330=E330),(IF(RAND()&lt;G330,1,0)),0)))),(IF((RAND()&lt;G330),1,0)))</f>
        <v>1</v>
      </c>
      <c r="I330" s="38" t="n">
        <f aca="true">IF((H330=1),0,$D$3+$D$5*(RAND()-0.5))</f>
        <v>0</v>
      </c>
      <c r="J330" s="38" t="n">
        <f aca="false">I330+MAX(D330,J329)</f>
        <v>347.867905453673</v>
      </c>
      <c r="K330" s="38" t="n">
        <f aca="false">IF((H330=0),J330-D330,0)</f>
        <v>0</v>
      </c>
      <c r="L330" s="38" t="n">
        <f aca="true">IF(($H330=0),0,$D$4+$D$5*(RAND()-0.5))</f>
        <v>1.90917616778765</v>
      </c>
      <c r="M330" s="38" t="n">
        <f aca="false">L330+MAX(D330,M329)</f>
        <v>358.854665944199</v>
      </c>
      <c r="N330" s="38" t="n">
        <f aca="false">IF((H330=1),M330-D330,0)</f>
        <v>26.6423532436368</v>
      </c>
      <c r="O330" s="16" t="n">
        <v>313</v>
      </c>
      <c r="P330" s="41" t="n">
        <f aca="false">IF((Arterial=0),P329+1,P329)</f>
        <v>147</v>
      </c>
      <c r="Q330" s="41" t="n">
        <f aca="false">IF((Arterial=1),Q329+1,Q329)</f>
        <v>166</v>
      </c>
      <c r="R330" s="42" t="n">
        <f aca="false">IF((RESET=1),0,R330+K330)</f>
        <v>590.844346429113</v>
      </c>
      <c r="S330" s="14" t="e">
        <f aca="false">IF(RESET=1,0,S330+N330)</f>
        <v>#N/A</v>
      </c>
      <c r="T330" s="2" t="n">
        <f aca="false">IF(RESET=1,0,T330+IF(H330=0,1,0))</f>
        <v>35</v>
      </c>
      <c r="U330" s="2" t="e">
        <f aca="false">IF(RESET=1,0,U330+H330)</f>
        <v>#N/A</v>
      </c>
      <c r="V330" s="14" t="n">
        <f aca="false">R330/(T330+0.00001)</f>
        <v>16.881262217614</v>
      </c>
      <c r="W330" s="14" t="e">
        <f aca="false">S330/(U330+0.0001)</f>
        <v>#N/A</v>
      </c>
      <c r="X330" s="39" t="n">
        <f aca="false">IF(Informed=1,K330,0)</f>
        <v>0</v>
      </c>
      <c r="Y330" s="39" t="n">
        <f aca="false">IF(Informed=0,K330,0)</f>
        <v>0</v>
      </c>
      <c r="Z330" s="39" t="n">
        <f aca="false">IF(Informed=1,N330,0)</f>
        <v>26.6423532436368</v>
      </c>
      <c r="AA330" s="39" t="n">
        <f aca="false">IF(Informed=0,N330,0)</f>
        <v>0</v>
      </c>
      <c r="AB330" s="43" t="n">
        <f aca="false">IF(Arterial=0,IF(Informed=1,1,0),0)</f>
        <v>0</v>
      </c>
      <c r="AC330" s="43" t="n">
        <f aca="false">IF(Arterial=0,IF(Informed=0,1,0),0)</f>
        <v>0</v>
      </c>
      <c r="AD330" s="43" t="n">
        <f aca="false">IF(Arterial=1,IF(Informed=1,1,0),0)</f>
        <v>1</v>
      </c>
      <c r="AE330" s="43" t="n">
        <f aca="false">IF(Arterial=1,IF(Informed=0,1,0),0)</f>
        <v>0</v>
      </c>
      <c r="AF330" s="35" t="n">
        <f aca="false">IF(AB330=1,(X330-G$1030)^2,0)</f>
        <v>0</v>
      </c>
      <c r="AG330" s="35" t="n">
        <f aca="false">IF(AC330=1,(Y330-H$1030)^2,0)</f>
        <v>0</v>
      </c>
      <c r="AH330" s="35" t="n">
        <f aca="false">IF(AD330=1,(Z330-I$1030)^2,0)</f>
        <v>3.0014923197019</v>
      </c>
      <c r="AI330" s="35" t="n">
        <f aca="false">IF(AE330=1,(AA330-J$1030)^2,0)</f>
        <v>0</v>
      </c>
      <c r="AJ330" s="37" t="n">
        <f aca="true">IF(RAND()&lt;$D$6,1,0)</f>
        <v>0</v>
      </c>
      <c r="AK330" s="14" t="n">
        <f aca="false">AK329+IF((AJ330=1),IF((H330=0),1,0),0)</f>
        <v>0</v>
      </c>
      <c r="AL330" s="14" t="n">
        <f aca="false">AL329+IF((AJ330=1),IF((H330=1),1,0),0)</f>
        <v>0</v>
      </c>
      <c r="AM330" s="37" t="n">
        <f aca="false">IF(AK330=0,9999,IF($H330=0,IF($AJ330&lt;1,AM329+1,0),AM329))</f>
        <v>9999</v>
      </c>
      <c r="AN330" s="37" t="n">
        <f aca="false">IF(AL330=0,9999,IF($H330=1,IF($AJ330&lt;1,AN329+1,0),AN329))</f>
        <v>9999</v>
      </c>
      <c r="AO330" s="37" t="n">
        <f aca="false">IF($A330-AM330&gt;0,1/(1+AM330),0)</f>
        <v>0</v>
      </c>
      <c r="AP330" s="37" t="n">
        <f aca="false">IF($A330-AN330&gt;0,1/(1+AN330),0)</f>
        <v>0</v>
      </c>
      <c r="AQ330" s="7" t="n">
        <f aca="false">IF(AK330=0,0,MAX(MIN(1,AO330^Power),0))</f>
        <v>0</v>
      </c>
      <c r="AR330" s="7" t="n">
        <f aca="false">IF(AL330=0,0,MAX(MIN(1,AP330^Power),0))</f>
        <v>0</v>
      </c>
      <c r="AS330" s="7" t="n">
        <f aca="false">IF($AJ330=1,IF($H330=0,K330,AS329),AS329)</f>
        <v>0</v>
      </c>
      <c r="AT330" s="7" t="n">
        <f aca="false">IF($AJ330=1,IF($H330=1,N330,AT329),AT329)</f>
        <v>0</v>
      </c>
    </row>
    <row r="331" customFormat="false" ht="13" hidden="false" customHeight="false" outlineLevel="0" collapsed="false">
      <c r="A331" s="16" t="n">
        <v>314</v>
      </c>
      <c r="B331" s="37" t="n">
        <f aca="true">IF(RAND()&lt;$D$8,1,0)</f>
        <v>0</v>
      </c>
      <c r="C331" s="20" t="n">
        <f aca="true">-LN(RAND())/$D$2</f>
        <v>2.56268353534588</v>
      </c>
      <c r="D331" s="38" t="n">
        <f aca="false">D330+C331</f>
        <v>334.774996235908</v>
      </c>
      <c r="E331" s="39" t="n">
        <f aca="false">MAX($E$3,AS330)</f>
        <v>0</v>
      </c>
      <c r="F331" s="39" t="n">
        <f aca="false">MAX($E$3,AT330)</f>
        <v>0</v>
      </c>
      <c r="G331" s="40" t="n">
        <v>0.5</v>
      </c>
      <c r="H331" s="38" t="n">
        <f aca="true">IF((B331=1),(IF((F331&lt;E331),1,(IF((F331=E331),(IF(RAND()&lt;G331,1,0)),0)))),(IF((RAND()&lt;G331),1,0)))</f>
        <v>0</v>
      </c>
      <c r="I331" s="38" t="n">
        <f aca="true">IF((H331=1),0,$D$3+$D$5*(RAND()-0.5))</f>
        <v>1.77473332283409</v>
      </c>
      <c r="J331" s="38" t="n">
        <f aca="false">I331+MAX(D331,J330)</f>
        <v>349.642638776507</v>
      </c>
      <c r="K331" s="38" t="n">
        <f aca="false">IF((H331=0),J331-D331,0)</f>
        <v>14.8676425405988</v>
      </c>
      <c r="L331" s="38" t="n">
        <f aca="true">IF(($H331=0),0,$D$4+$D$5*(RAND()-0.5))</f>
        <v>0</v>
      </c>
      <c r="M331" s="38" t="n">
        <f aca="false">L331+MAX(D331,M330)</f>
        <v>358.854665944199</v>
      </c>
      <c r="N331" s="38" t="n">
        <f aca="false">IF((H331=1),M331-D331,0)</f>
        <v>0</v>
      </c>
      <c r="O331" s="16" t="n">
        <v>314</v>
      </c>
      <c r="P331" s="41" t="n">
        <f aca="false">IF((Arterial=0),P330+1,P330)</f>
        <v>148</v>
      </c>
      <c r="Q331" s="41" t="n">
        <f aca="false">IF((Arterial=1),Q330+1,Q330)</f>
        <v>166</v>
      </c>
      <c r="R331" s="42" t="e">
        <f aca="false">IF((RESET=1),0,R331+K331)</f>
        <v>#N/A</v>
      </c>
      <c r="S331" s="14" t="n">
        <f aca="false">IF(RESET=1,0,S331+N331)</f>
        <v>394.639162125845</v>
      </c>
      <c r="T331" s="2" t="e">
        <f aca="false">IF(RESET=1,0,T331+IF(H331=0,1,0))</f>
        <v>#N/A</v>
      </c>
      <c r="U331" s="2" t="n">
        <f aca="false">IF(RESET=1,0,U331+H331)</f>
        <v>31</v>
      </c>
      <c r="V331" s="14" t="e">
        <f aca="false">R331/(T331+0.00001)</f>
        <v>#N/A</v>
      </c>
      <c r="W331" s="14" t="n">
        <f aca="false">S331/(U331+0.0001)</f>
        <v>12.7302544871095</v>
      </c>
      <c r="X331" s="39" t="n">
        <f aca="false">IF(Informed=1,K331,0)</f>
        <v>0</v>
      </c>
      <c r="Y331" s="39" t="n">
        <f aca="false">IF(Informed=0,K331,0)</f>
        <v>14.8676425405988</v>
      </c>
      <c r="Z331" s="39" t="n">
        <f aca="false">IF(Informed=1,N331,0)</f>
        <v>0</v>
      </c>
      <c r="AA331" s="39" t="n">
        <f aca="false">IF(Informed=0,N331,0)</f>
        <v>0</v>
      </c>
      <c r="AB331" s="43" t="n">
        <f aca="false">IF(Arterial=0,IF(Informed=1,1,0),0)</f>
        <v>0</v>
      </c>
      <c r="AC331" s="43" t="n">
        <f aca="false">IF(Arterial=0,IF(Informed=0,1,0),0)</f>
        <v>1</v>
      </c>
      <c r="AD331" s="43" t="n">
        <f aca="false">IF(Arterial=1,IF(Informed=1,1,0),0)</f>
        <v>0</v>
      </c>
      <c r="AE331" s="43" t="n">
        <f aca="false">IF(Arterial=1,IF(Informed=0,1,0),0)</f>
        <v>0</v>
      </c>
      <c r="AF331" s="35" t="n">
        <f aca="false">IF(AB331=1,(X331-G$1030)^2,0)</f>
        <v>0</v>
      </c>
      <c r="AG331" s="35" t="n">
        <f aca="false">IF(AC331=1,(Y331-H$1030)^2,0)</f>
        <v>15.5540103229312</v>
      </c>
      <c r="AH331" s="35" t="n">
        <f aca="false">IF(AD331=1,(Z331-I$1030)^2,0)</f>
        <v>0</v>
      </c>
      <c r="AI331" s="35" t="n">
        <f aca="false">IF(AE331=1,(AA331-J$1030)^2,0)</f>
        <v>0</v>
      </c>
      <c r="AJ331" s="37" t="n">
        <f aca="true">IF(RAND()&lt;$D$6,1,0)</f>
        <v>0</v>
      </c>
      <c r="AK331" s="14" t="n">
        <f aca="false">AK330+IF((AJ331=1),IF((H331=0),1,0),0)</f>
        <v>0</v>
      </c>
      <c r="AL331" s="14" t="n">
        <f aca="false">AL330+IF((AJ331=1),IF((H331=1),1,0),0)</f>
        <v>0</v>
      </c>
      <c r="AM331" s="37" t="n">
        <f aca="false">IF(AK331=0,9999,IF($H331=0,IF($AJ331&lt;1,AM330+1,0),AM330))</f>
        <v>9999</v>
      </c>
      <c r="AN331" s="37" t="n">
        <f aca="false">IF(AL331=0,9999,IF($H331=1,IF($AJ331&lt;1,AN330+1,0),AN330))</f>
        <v>9999</v>
      </c>
      <c r="AO331" s="37" t="n">
        <f aca="false">IF($A331-AM331&gt;0,1/(1+AM331),0)</f>
        <v>0</v>
      </c>
      <c r="AP331" s="37" t="n">
        <f aca="false">IF($A331-AN331&gt;0,1/(1+AN331),0)</f>
        <v>0</v>
      </c>
      <c r="AQ331" s="7" t="n">
        <f aca="false">IF(AK331=0,0,MAX(MIN(1,AO331^Power),0))</f>
        <v>0</v>
      </c>
      <c r="AR331" s="7" t="n">
        <f aca="false">IF(AL331=0,0,MAX(MIN(1,AP331^Power),0))</f>
        <v>0</v>
      </c>
      <c r="AS331" s="7" t="n">
        <f aca="false">IF($AJ331=1,IF($H331=0,K331,AS330),AS330)</f>
        <v>0</v>
      </c>
      <c r="AT331" s="7" t="n">
        <f aca="false">IF($AJ331=1,IF($H331=1,N331,AT330),AT330)</f>
        <v>0</v>
      </c>
    </row>
    <row r="332" customFormat="false" ht="13" hidden="false" customHeight="false" outlineLevel="0" collapsed="false">
      <c r="A332" s="16" t="n">
        <v>315</v>
      </c>
      <c r="B332" s="37" t="n">
        <f aca="true">IF(RAND()&lt;$D$8,1,0)</f>
        <v>1</v>
      </c>
      <c r="C332" s="20" t="n">
        <f aca="true">-LN(RAND())/$D$2</f>
        <v>1.65591553458868</v>
      </c>
      <c r="D332" s="38" t="n">
        <f aca="false">D331+C332</f>
        <v>336.430911770497</v>
      </c>
      <c r="E332" s="39" t="n">
        <f aca="false">MAX($E$3,AS331)</f>
        <v>0</v>
      </c>
      <c r="F332" s="39" t="n">
        <f aca="false">MAX($E$3,AT331)</f>
        <v>0</v>
      </c>
      <c r="G332" s="40" t="n">
        <v>0.5</v>
      </c>
      <c r="H332" s="38" t="n">
        <f aca="true">IF((B332=1),(IF((F332&lt;E332),1,(IF((F332=E332),(IF(RAND()&lt;G332,1,0)),0)))),(IF((RAND()&lt;G332),1,0)))</f>
        <v>0</v>
      </c>
      <c r="I332" s="38" t="n">
        <f aca="true">IF((H332=1),0,$D$3+$D$5*(RAND()-0.5))</f>
        <v>1.95601938521493</v>
      </c>
      <c r="J332" s="38" t="n">
        <f aca="false">I332+MAX(D332,J331)</f>
        <v>351.598658161722</v>
      </c>
      <c r="K332" s="38" t="n">
        <f aca="false">IF((H332=0),J332-D332,0)</f>
        <v>15.167746391225</v>
      </c>
      <c r="L332" s="38" t="n">
        <f aca="true">IF(($H332=0),0,$D$4+$D$5*(RAND()-0.5))</f>
        <v>0</v>
      </c>
      <c r="M332" s="38" t="n">
        <f aca="false">L332+MAX(D332,M331)</f>
        <v>358.854665944199</v>
      </c>
      <c r="N332" s="38" t="n">
        <f aca="false">IF((H332=1),M332-D332,0)</f>
        <v>0</v>
      </c>
      <c r="O332" s="16" t="n">
        <v>315</v>
      </c>
      <c r="P332" s="41" t="n">
        <f aca="false">IF((Arterial=0),P331+1,P331)</f>
        <v>149</v>
      </c>
      <c r="Q332" s="41" t="n">
        <f aca="false">IF((Arterial=1),Q331+1,Q331)</f>
        <v>166</v>
      </c>
      <c r="R332" s="42" t="e">
        <f aca="false">IF((RESET=1),0,R332+K332)</f>
        <v>#N/A</v>
      </c>
      <c r="S332" s="14" t="n">
        <f aca="false">IF(RESET=1,0,S332+N332)</f>
        <v>519.942043619552</v>
      </c>
      <c r="T332" s="2" t="e">
        <f aca="false">IF(RESET=1,0,T332+IF(H332=0,1,0))</f>
        <v>#N/A</v>
      </c>
      <c r="U332" s="2" t="n">
        <f aca="false">IF(RESET=1,0,U332+H332)</f>
        <v>39</v>
      </c>
      <c r="V332" s="14" t="e">
        <f aca="false">R332/(T332+0.00001)</f>
        <v>#N/A</v>
      </c>
      <c r="W332" s="14" t="n">
        <f aca="false">S332/(U332+0.0001)</f>
        <v>13.3318130881601</v>
      </c>
      <c r="X332" s="39" t="n">
        <f aca="false">IF(Informed=1,K332,0)</f>
        <v>15.167746391225</v>
      </c>
      <c r="Y332" s="39" t="n">
        <f aca="false">IF(Informed=0,K332,0)</f>
        <v>0</v>
      </c>
      <c r="Z332" s="39" t="n">
        <f aca="false">IF(Informed=1,N332,0)</f>
        <v>0</v>
      </c>
      <c r="AA332" s="39" t="n">
        <f aca="false">IF(Informed=0,N332,0)</f>
        <v>0</v>
      </c>
      <c r="AB332" s="43" t="n">
        <f aca="false">IF(Arterial=0,IF(Informed=1,1,0),0)</f>
        <v>1</v>
      </c>
      <c r="AC332" s="43" t="n">
        <f aca="false">IF(Arterial=0,IF(Informed=0,1,0),0)</f>
        <v>0</v>
      </c>
      <c r="AD332" s="43" t="n">
        <f aca="false">IF(Arterial=1,IF(Informed=1,1,0),0)</f>
        <v>0</v>
      </c>
      <c r="AE332" s="43" t="n">
        <f aca="false">IF(Arterial=1,IF(Informed=0,1,0),0)</f>
        <v>0</v>
      </c>
      <c r="AF332" s="35" t="n">
        <f aca="false">IF(AB332=1,(X332-G$1030)^2,0)</f>
        <v>19.8743716251119</v>
      </c>
      <c r="AG332" s="35" t="n">
        <f aca="false">IF(AC332=1,(Y332-H$1030)^2,0)</f>
        <v>0</v>
      </c>
      <c r="AH332" s="35" t="n">
        <f aca="false">IF(AD332=1,(Z332-I$1030)^2,0)</f>
        <v>0</v>
      </c>
      <c r="AI332" s="35" t="n">
        <f aca="false">IF(AE332=1,(AA332-J$1030)^2,0)</f>
        <v>0</v>
      </c>
      <c r="AJ332" s="37" t="n">
        <f aca="true">IF(RAND()&lt;$D$6,1,0)</f>
        <v>0</v>
      </c>
      <c r="AK332" s="14" t="n">
        <f aca="false">AK331+IF((AJ332=1),IF((H332=0),1,0),0)</f>
        <v>0</v>
      </c>
      <c r="AL332" s="14" t="n">
        <f aca="false">AL331+IF((AJ332=1),IF((H332=1),1,0),0)</f>
        <v>0</v>
      </c>
      <c r="AM332" s="37" t="n">
        <f aca="false">IF(AK332=0,9999,IF($H332=0,IF($AJ332&lt;1,AM331+1,0),AM331))</f>
        <v>9999</v>
      </c>
      <c r="AN332" s="37" t="n">
        <f aca="false">IF(AL332=0,9999,IF($H332=1,IF($AJ332&lt;1,AN331+1,0),AN331))</f>
        <v>9999</v>
      </c>
      <c r="AO332" s="37" t="n">
        <f aca="false">IF($A332-AM332&gt;0,1/(1+AM332),0)</f>
        <v>0</v>
      </c>
      <c r="AP332" s="37" t="n">
        <f aca="false">IF($A332-AN332&gt;0,1/(1+AN332),0)</f>
        <v>0</v>
      </c>
      <c r="AQ332" s="7" t="n">
        <f aca="false">IF(AK332=0,0,MAX(MIN(1,AO332^Power),0))</f>
        <v>0</v>
      </c>
      <c r="AR332" s="7" t="n">
        <f aca="false">IF(AL332=0,0,MAX(MIN(1,AP332^Power),0))</f>
        <v>0</v>
      </c>
      <c r="AS332" s="7" t="n">
        <f aca="false">IF($AJ332=1,IF($H332=0,K332,AS331),AS331)</f>
        <v>0</v>
      </c>
      <c r="AT332" s="7" t="n">
        <f aca="false">IF($AJ332=1,IF($H332=1,N332,AT331),AT331)</f>
        <v>0</v>
      </c>
    </row>
    <row r="333" customFormat="false" ht="13" hidden="false" customHeight="false" outlineLevel="0" collapsed="false">
      <c r="A333" s="16" t="n">
        <v>316</v>
      </c>
      <c r="B333" s="37" t="n">
        <f aca="true">IF(RAND()&lt;$D$8,1,0)</f>
        <v>1</v>
      </c>
      <c r="C333" s="20" t="n">
        <f aca="true">-LN(RAND())/$D$2</f>
        <v>2.43125219066713</v>
      </c>
      <c r="D333" s="38" t="n">
        <f aca="false">D332+C333</f>
        <v>338.862163961164</v>
      </c>
      <c r="E333" s="39" t="n">
        <f aca="false">MAX($E$3,AS332)</f>
        <v>0</v>
      </c>
      <c r="F333" s="39" t="n">
        <f aca="false">MAX($E$3,AT332)</f>
        <v>0</v>
      </c>
      <c r="G333" s="40" t="n">
        <v>0.5</v>
      </c>
      <c r="H333" s="38" t="n">
        <f aca="true">IF((B333=1),(IF((F333&lt;E333),1,(IF((F333=E333),(IF(RAND()&lt;G333,1,0)),0)))),(IF((RAND()&lt;G333),1,0)))</f>
        <v>1</v>
      </c>
      <c r="I333" s="38" t="n">
        <f aca="true">IF((H333=1),0,$D$3+$D$5*(RAND()-0.5))</f>
        <v>0</v>
      </c>
      <c r="J333" s="38" t="n">
        <f aca="false">I333+MAX(D333,J332)</f>
        <v>351.598658161722</v>
      </c>
      <c r="K333" s="38" t="n">
        <f aca="false">IF((H333=0),J333-D333,0)</f>
        <v>0</v>
      </c>
      <c r="L333" s="38" t="n">
        <f aca="true">IF(($H333=0),0,$D$4+$D$5*(RAND()-0.5))</f>
        <v>2.08113466899143</v>
      </c>
      <c r="M333" s="38" t="n">
        <f aca="false">L333+MAX(D333,M332)</f>
        <v>360.93580061319</v>
      </c>
      <c r="N333" s="38" t="n">
        <f aca="false">IF((H333=1),M333-D333,0)</f>
        <v>22.0736366520265</v>
      </c>
      <c r="O333" s="16" t="n">
        <v>316</v>
      </c>
      <c r="P333" s="41" t="n">
        <f aca="false">IF((Arterial=0),P332+1,P332)</f>
        <v>149</v>
      </c>
      <c r="Q333" s="41" t="n">
        <f aca="false">IF((Arterial=1),Q332+1,Q332)</f>
        <v>167</v>
      </c>
      <c r="R333" s="42" t="n">
        <f aca="false">IF((RESET=1),0,R333+K333)</f>
        <v>480.160470321022</v>
      </c>
      <c r="S333" s="14" t="e">
        <f aca="false">IF(RESET=1,0,S333+N333)</f>
        <v>#N/A</v>
      </c>
      <c r="T333" s="2" t="n">
        <f aca="false">IF(RESET=1,0,T333+IF(H333=0,1,0))</f>
        <v>34</v>
      </c>
      <c r="U333" s="2" t="e">
        <f aca="false">IF(RESET=1,0,U333+H333)</f>
        <v>#N/A</v>
      </c>
      <c r="V333" s="14" t="n">
        <f aca="false">R333/(T333+0.00001)</f>
        <v>14.1223626205116</v>
      </c>
      <c r="W333" s="14" t="e">
        <f aca="false">S333/(U333+0.0001)</f>
        <v>#N/A</v>
      </c>
      <c r="X333" s="39" t="n">
        <f aca="false">IF(Informed=1,K333,0)</f>
        <v>0</v>
      </c>
      <c r="Y333" s="39" t="n">
        <f aca="false">IF(Informed=0,K333,0)</f>
        <v>0</v>
      </c>
      <c r="Z333" s="39" t="n">
        <f aca="false">IF(Informed=1,N333,0)</f>
        <v>22.0736366520265</v>
      </c>
      <c r="AA333" s="39" t="n">
        <f aca="false">IF(Informed=0,N333,0)</f>
        <v>0</v>
      </c>
      <c r="AB333" s="43" t="n">
        <f aca="false">IF(Arterial=0,IF(Informed=1,1,0),0)</f>
        <v>0</v>
      </c>
      <c r="AC333" s="43" t="n">
        <f aca="false">IF(Arterial=0,IF(Informed=0,1,0),0)</f>
        <v>0</v>
      </c>
      <c r="AD333" s="43" t="n">
        <f aca="false">IF(Arterial=1,IF(Informed=1,1,0),0)</f>
        <v>1</v>
      </c>
      <c r="AE333" s="43" t="n">
        <f aca="false">IF(Arterial=1,IF(Informed=0,1,0),0)</f>
        <v>0</v>
      </c>
      <c r="AF333" s="35" t="n">
        <f aca="false">IF(AB333=1,(X333-G$1030)^2,0)</f>
        <v>0</v>
      </c>
      <c r="AG333" s="35" t="n">
        <f aca="false">IF(AC333=1,(Y333-H$1030)^2,0)</f>
        <v>0</v>
      </c>
      <c r="AH333" s="35" t="n">
        <f aca="false">IF(AD333=1,(Z333-I$1030)^2,0)</f>
        <v>39.7050980147826</v>
      </c>
      <c r="AI333" s="35" t="n">
        <f aca="false">IF(AE333=1,(AA333-J$1030)^2,0)</f>
        <v>0</v>
      </c>
      <c r="AJ333" s="37" t="n">
        <f aca="true">IF(RAND()&lt;$D$6,1,0)</f>
        <v>0</v>
      </c>
      <c r="AK333" s="14" t="n">
        <f aca="false">AK332+IF((AJ333=1),IF((H333=0),1,0),0)</f>
        <v>0</v>
      </c>
      <c r="AL333" s="14" t="n">
        <f aca="false">AL332+IF((AJ333=1),IF((H333=1),1,0),0)</f>
        <v>0</v>
      </c>
      <c r="AM333" s="37" t="n">
        <f aca="false">IF(AK333=0,9999,IF($H333=0,IF($AJ333&lt;1,AM332+1,0),AM332))</f>
        <v>9999</v>
      </c>
      <c r="AN333" s="37" t="n">
        <f aca="false">IF(AL333=0,9999,IF($H333=1,IF($AJ333&lt;1,AN332+1,0),AN332))</f>
        <v>9999</v>
      </c>
      <c r="AO333" s="37" t="n">
        <f aca="false">IF($A333-AM333&gt;0,1/(1+AM333),0)</f>
        <v>0</v>
      </c>
      <c r="AP333" s="37" t="n">
        <f aca="false">IF($A333-AN333&gt;0,1/(1+AN333),0)</f>
        <v>0</v>
      </c>
      <c r="AQ333" s="7" t="n">
        <f aca="false">IF(AK333=0,0,MAX(MIN(1,AO333^Power),0))</f>
        <v>0</v>
      </c>
      <c r="AR333" s="7" t="n">
        <f aca="false">IF(AL333=0,0,MAX(MIN(1,AP333^Power),0))</f>
        <v>0</v>
      </c>
      <c r="AS333" s="7" t="n">
        <f aca="false">IF($AJ333=1,IF($H333=0,K333,AS332),AS332)</f>
        <v>0</v>
      </c>
      <c r="AT333" s="7" t="n">
        <f aca="false">IF($AJ333=1,IF($H333=1,N333,AT332),AT332)</f>
        <v>0</v>
      </c>
    </row>
    <row r="334" customFormat="false" ht="13" hidden="false" customHeight="false" outlineLevel="0" collapsed="false">
      <c r="A334" s="16" t="n">
        <v>317</v>
      </c>
      <c r="B334" s="37" t="n">
        <f aca="true">IF(RAND()&lt;$D$8,1,0)</f>
        <v>1</v>
      </c>
      <c r="C334" s="20" t="n">
        <f aca="true">-LN(RAND())/$D$2</f>
        <v>0.979996732615553</v>
      </c>
      <c r="D334" s="38" t="n">
        <f aca="false">D333+C334</f>
        <v>339.84216069378</v>
      </c>
      <c r="E334" s="39" t="n">
        <f aca="false">MAX($E$3,AS333)</f>
        <v>0</v>
      </c>
      <c r="F334" s="39" t="n">
        <f aca="false">MAX($E$3,AT333)</f>
        <v>0</v>
      </c>
      <c r="G334" s="40" t="n">
        <v>0.5</v>
      </c>
      <c r="H334" s="38" t="n">
        <f aca="true">IF((B334=1),(IF((F334&lt;E334),1,(IF((F334=E334),(IF(RAND()&lt;G334,1,0)),0)))),(IF((RAND()&lt;G334),1,0)))</f>
        <v>1</v>
      </c>
      <c r="I334" s="38" t="n">
        <f aca="true">IF((H334=1),0,$D$3+$D$5*(RAND()-0.5))</f>
        <v>0</v>
      </c>
      <c r="J334" s="38" t="n">
        <f aca="false">I334+MAX(D334,J333)</f>
        <v>351.598658161722</v>
      </c>
      <c r="K334" s="38" t="n">
        <f aca="false">IF((H334=0),J334-D334,0)</f>
        <v>0</v>
      </c>
      <c r="L334" s="38" t="n">
        <f aca="true">IF(($H334=0),0,$D$4+$D$5*(RAND()-0.5))</f>
        <v>2.11426206287284</v>
      </c>
      <c r="M334" s="38" t="n">
        <f aca="false">L334+MAX(D334,M333)</f>
        <v>363.050062676063</v>
      </c>
      <c r="N334" s="38" t="n">
        <f aca="false">IF((H334=1),M334-D334,0)</f>
        <v>23.2079019822838</v>
      </c>
      <c r="O334" s="16" t="n">
        <v>317</v>
      </c>
      <c r="P334" s="41" t="n">
        <f aca="false">IF((Arterial=0),P333+1,P333)</f>
        <v>149</v>
      </c>
      <c r="Q334" s="41" t="n">
        <f aca="false">IF((Arterial=1),Q333+1,Q333)</f>
        <v>168</v>
      </c>
      <c r="R334" s="42" t="n">
        <f aca="false">IF((RESET=1),0,R334+K334)</f>
        <v>540.214807569551</v>
      </c>
      <c r="S334" s="14" t="e">
        <f aca="false">IF(RESET=1,0,S334+N334)</f>
        <v>#N/A</v>
      </c>
      <c r="T334" s="2" t="n">
        <f aca="false">IF(RESET=1,0,T334+IF(H334=0,1,0))</f>
        <v>38</v>
      </c>
      <c r="U334" s="2" t="e">
        <f aca="false">IF(RESET=1,0,U334+H334)</f>
        <v>#N/A</v>
      </c>
      <c r="V334" s="14" t="n">
        <f aca="false">R334/(T334+0.00001)</f>
        <v>14.2161754054683</v>
      </c>
      <c r="W334" s="14" t="e">
        <f aca="false">S334/(U334+0.0001)</f>
        <v>#N/A</v>
      </c>
      <c r="X334" s="39" t="n">
        <f aca="false">IF(Informed=1,K334,0)</f>
        <v>0</v>
      </c>
      <c r="Y334" s="39" t="n">
        <f aca="false">IF(Informed=0,K334,0)</f>
        <v>0</v>
      </c>
      <c r="Z334" s="39" t="n">
        <f aca="false">IF(Informed=1,N334,0)</f>
        <v>23.2079019822838</v>
      </c>
      <c r="AA334" s="39" t="n">
        <f aca="false">IF(Informed=0,N334,0)</f>
        <v>0</v>
      </c>
      <c r="AB334" s="43" t="n">
        <f aca="false">IF(Arterial=0,IF(Informed=1,1,0),0)</f>
        <v>0</v>
      </c>
      <c r="AC334" s="43" t="n">
        <f aca="false">IF(Arterial=0,IF(Informed=0,1,0),0)</f>
        <v>0</v>
      </c>
      <c r="AD334" s="43" t="n">
        <f aca="false">IF(Arterial=1,IF(Informed=1,1,0),0)</f>
        <v>1</v>
      </c>
      <c r="AE334" s="43" t="n">
        <f aca="false">IF(Arterial=1,IF(Informed=0,1,0),0)</f>
        <v>0</v>
      </c>
      <c r="AF334" s="35" t="n">
        <f aca="false">IF(AB334=1,(X334-G$1030)^2,0)</f>
        <v>0</v>
      </c>
      <c r="AG334" s="35" t="n">
        <f aca="false">IF(AC334=1,(Y334-H$1030)^2,0)</f>
        <v>0</v>
      </c>
      <c r="AH334" s="35" t="n">
        <f aca="false">IF(AD334=1,(Z334-I$1030)^2,0)</f>
        <v>26.6971946728951</v>
      </c>
      <c r="AI334" s="35" t="n">
        <f aca="false">IF(AE334=1,(AA334-J$1030)^2,0)</f>
        <v>0</v>
      </c>
      <c r="AJ334" s="37" t="n">
        <f aca="true">IF(RAND()&lt;$D$6,1,0)</f>
        <v>0</v>
      </c>
      <c r="AK334" s="14" t="n">
        <f aca="false">AK333+IF((AJ334=1),IF((H334=0),1,0),0)</f>
        <v>0</v>
      </c>
      <c r="AL334" s="14" t="n">
        <f aca="false">AL333+IF((AJ334=1),IF((H334=1),1,0),0)</f>
        <v>0</v>
      </c>
      <c r="AM334" s="37" t="n">
        <f aca="false">IF(AK334=0,9999,IF($H334=0,IF($AJ334&lt;1,AM333+1,0),AM333))</f>
        <v>9999</v>
      </c>
      <c r="AN334" s="37" t="n">
        <f aca="false">IF(AL334=0,9999,IF($H334=1,IF($AJ334&lt;1,AN333+1,0),AN333))</f>
        <v>9999</v>
      </c>
      <c r="AO334" s="37" t="n">
        <f aca="false">IF($A334-AM334&gt;0,1/(1+AM334),0)</f>
        <v>0</v>
      </c>
      <c r="AP334" s="37" t="n">
        <f aca="false">IF($A334-AN334&gt;0,1/(1+AN334),0)</f>
        <v>0</v>
      </c>
      <c r="AQ334" s="7" t="n">
        <f aca="false">IF(AK334=0,0,MAX(MIN(1,AO334^Power),0))</f>
        <v>0</v>
      </c>
      <c r="AR334" s="7" t="n">
        <f aca="false">IF(AL334=0,0,MAX(MIN(1,AP334^Power),0))</f>
        <v>0</v>
      </c>
      <c r="AS334" s="7" t="n">
        <f aca="false">IF($AJ334=1,IF($H334=0,K334,AS333),AS333)</f>
        <v>0</v>
      </c>
      <c r="AT334" s="7" t="n">
        <f aca="false">IF($AJ334=1,IF($H334=1,N334,AT333),AT333)</f>
        <v>0</v>
      </c>
    </row>
    <row r="335" customFormat="false" ht="13" hidden="false" customHeight="false" outlineLevel="0" collapsed="false">
      <c r="A335" s="16" t="n">
        <v>318</v>
      </c>
      <c r="B335" s="37" t="n">
        <f aca="true">IF(RAND()&lt;$D$8,1,0)</f>
        <v>0</v>
      </c>
      <c r="C335" s="20" t="n">
        <f aca="true">-LN(RAND())/$D$2</f>
        <v>0.94498390362628</v>
      </c>
      <c r="D335" s="38" t="n">
        <f aca="false">D334+C335</f>
        <v>340.787144597406</v>
      </c>
      <c r="E335" s="39" t="n">
        <f aca="false">MAX($E$3,AS334)</f>
        <v>0</v>
      </c>
      <c r="F335" s="39" t="n">
        <f aca="false">MAX($E$3,AT334)</f>
        <v>0</v>
      </c>
      <c r="G335" s="40" t="n">
        <v>0.5</v>
      </c>
      <c r="H335" s="38" t="n">
        <f aca="true">IF((B335=1),(IF((F335&lt;E335),1,(IF((F335=E335),(IF(RAND()&lt;G335,1,0)),0)))),(IF((RAND()&lt;G335),1,0)))</f>
        <v>0</v>
      </c>
      <c r="I335" s="38" t="n">
        <f aca="true">IF((H335=1),0,$D$3+$D$5*(RAND()-0.5))</f>
        <v>2.12767742214675</v>
      </c>
      <c r="J335" s="38" t="n">
        <f aca="false">I335+MAX(D335,J334)</f>
        <v>353.726335583869</v>
      </c>
      <c r="K335" s="38" t="n">
        <f aca="false">IF((H335=0),J335-D335,0)</f>
        <v>12.9391909864628</v>
      </c>
      <c r="L335" s="38" t="n">
        <f aca="true">IF(($H335=0),0,$D$4+$D$5*(RAND()-0.5))</f>
        <v>0</v>
      </c>
      <c r="M335" s="38" t="n">
        <f aca="false">L335+MAX(D335,M334)</f>
        <v>363.050062676063</v>
      </c>
      <c r="N335" s="38" t="n">
        <f aca="false">IF((H335=1),M335-D335,0)</f>
        <v>0</v>
      </c>
      <c r="O335" s="16" t="n">
        <v>318</v>
      </c>
      <c r="P335" s="41" t="n">
        <f aca="false">IF((Arterial=0),P334+1,P334)</f>
        <v>150</v>
      </c>
      <c r="Q335" s="41" t="n">
        <f aca="false">IF((Arterial=1),Q334+1,Q334)</f>
        <v>168</v>
      </c>
      <c r="R335" s="42" t="e">
        <f aca="false">IF((RESET=1),0,R335+K335)</f>
        <v>#N/A</v>
      </c>
      <c r="S335" s="14" t="n">
        <f aca="false">IF(RESET=1,0,S335+N335)</f>
        <v>475.635306490818</v>
      </c>
      <c r="T335" s="2" t="e">
        <f aca="false">IF(RESET=1,0,T335+IF(H335=0,1,0))</f>
        <v>#N/A</v>
      </c>
      <c r="U335" s="2" t="n">
        <f aca="false">IF(RESET=1,0,U335+H335)</f>
        <v>32</v>
      </c>
      <c r="V335" s="14" t="e">
        <f aca="false">R335/(T335+0.00001)</f>
        <v>#N/A</v>
      </c>
      <c r="W335" s="14" t="n">
        <f aca="false">S335/(U335+0.0001)</f>
        <v>14.8635568792228</v>
      </c>
      <c r="X335" s="39" t="n">
        <f aca="false">IF(Informed=1,K335,0)</f>
        <v>0</v>
      </c>
      <c r="Y335" s="39" t="n">
        <f aca="false">IF(Informed=0,K335,0)</f>
        <v>12.9391909864628</v>
      </c>
      <c r="Z335" s="39" t="n">
        <f aca="false">IF(Informed=1,N335,0)</f>
        <v>0</v>
      </c>
      <c r="AA335" s="39" t="n">
        <f aca="false">IF(Informed=0,N335,0)</f>
        <v>0</v>
      </c>
      <c r="AB335" s="43" t="n">
        <f aca="false">IF(Arterial=0,IF(Informed=1,1,0),0)</f>
        <v>0</v>
      </c>
      <c r="AC335" s="43" t="n">
        <f aca="false">IF(Arterial=0,IF(Informed=0,1,0),0)</f>
        <v>1</v>
      </c>
      <c r="AD335" s="43" t="n">
        <f aca="false">IF(Arterial=1,IF(Informed=1,1,0),0)</f>
        <v>0</v>
      </c>
      <c r="AE335" s="43" t="n">
        <f aca="false">IF(Arterial=1,IF(Informed=0,1,0),0)</f>
        <v>0</v>
      </c>
      <c r="AF335" s="35" t="n">
        <f aca="false">IF(AB335=1,(X335-G$1030)^2,0)</f>
        <v>0</v>
      </c>
      <c r="AG335" s="35" t="n">
        <f aca="false">IF(AC335=1,(Y335-H$1030)^2,0)</f>
        <v>4.06186027966542</v>
      </c>
      <c r="AH335" s="35" t="n">
        <f aca="false">IF(AD335=1,(Z335-I$1030)^2,0)</f>
        <v>0</v>
      </c>
      <c r="AI335" s="35" t="n">
        <f aca="false">IF(AE335=1,(AA335-J$1030)^2,0)</f>
        <v>0</v>
      </c>
      <c r="AJ335" s="37" t="n">
        <f aca="true">IF(RAND()&lt;$D$6,1,0)</f>
        <v>0</v>
      </c>
      <c r="AK335" s="14" t="n">
        <f aca="false">AK334+IF((AJ335=1),IF((H335=0),1,0),0)</f>
        <v>0</v>
      </c>
      <c r="AL335" s="14" t="n">
        <f aca="false">AL334+IF((AJ335=1),IF((H335=1),1,0),0)</f>
        <v>0</v>
      </c>
      <c r="AM335" s="37" t="n">
        <f aca="false">IF(AK335=0,9999,IF($H335=0,IF($AJ335&lt;1,AM334+1,0),AM334))</f>
        <v>9999</v>
      </c>
      <c r="AN335" s="37" t="n">
        <f aca="false">IF(AL335=0,9999,IF($H335=1,IF($AJ335&lt;1,AN334+1,0),AN334))</f>
        <v>9999</v>
      </c>
      <c r="AO335" s="37" t="n">
        <f aca="false">IF($A335-AM335&gt;0,1/(1+AM335),0)</f>
        <v>0</v>
      </c>
      <c r="AP335" s="37" t="n">
        <f aca="false">IF($A335-AN335&gt;0,1/(1+AN335),0)</f>
        <v>0</v>
      </c>
      <c r="AQ335" s="7" t="n">
        <f aca="false">IF(AK335=0,0,MAX(MIN(1,AO335^Power),0))</f>
        <v>0</v>
      </c>
      <c r="AR335" s="7" t="n">
        <f aca="false">IF(AL335=0,0,MAX(MIN(1,AP335^Power),0))</f>
        <v>0</v>
      </c>
      <c r="AS335" s="7" t="n">
        <f aca="false">IF($AJ335=1,IF($H335=0,K335,AS334),AS334)</f>
        <v>0</v>
      </c>
      <c r="AT335" s="7" t="n">
        <f aca="false">IF($AJ335=1,IF($H335=1,N335,AT334),AT334)</f>
        <v>0</v>
      </c>
    </row>
    <row r="336" customFormat="false" ht="13" hidden="false" customHeight="false" outlineLevel="0" collapsed="false">
      <c r="A336" s="16" t="n">
        <v>319</v>
      </c>
      <c r="B336" s="37" t="n">
        <f aca="true">IF(RAND()&lt;$D$8,1,0)</f>
        <v>1</v>
      </c>
      <c r="C336" s="20" t="n">
        <f aca="true">-LN(RAND())/$D$2</f>
        <v>0.215090493978176</v>
      </c>
      <c r="D336" s="38" t="n">
        <f aca="false">D335+C336</f>
        <v>341.002235091384</v>
      </c>
      <c r="E336" s="39" t="n">
        <f aca="false">MAX($E$3,AS335)</f>
        <v>0</v>
      </c>
      <c r="F336" s="39" t="n">
        <f aca="false">MAX($E$3,AT335)</f>
        <v>0</v>
      </c>
      <c r="G336" s="40" t="n">
        <v>0.5</v>
      </c>
      <c r="H336" s="38" t="n">
        <f aca="true">IF((B336=1),(IF((F336&lt;E336),1,(IF((F336=E336),(IF(RAND()&lt;G336,1,0)),0)))),(IF((RAND()&lt;G336),1,0)))</f>
        <v>1</v>
      </c>
      <c r="I336" s="38" t="n">
        <f aca="true">IF((H336=1),0,$D$3+$D$5*(RAND()-0.5))</f>
        <v>0</v>
      </c>
      <c r="J336" s="38" t="n">
        <f aca="false">I336+MAX(D336,J335)</f>
        <v>353.726335583869</v>
      </c>
      <c r="K336" s="38" t="n">
        <f aca="false">IF((H336=0),J336-D336,0)</f>
        <v>0</v>
      </c>
      <c r="L336" s="38" t="n">
        <f aca="true">IF(($H336=0),0,$D$4+$D$5*(RAND()-0.5))</f>
        <v>1.76929313285194</v>
      </c>
      <c r="M336" s="38" t="n">
        <f aca="false">L336+MAX(D336,M335)</f>
        <v>364.819355808915</v>
      </c>
      <c r="N336" s="38" t="n">
        <f aca="false">IF((H336=1),M336-D336,0)</f>
        <v>23.8171207175313</v>
      </c>
      <c r="O336" s="16" t="n">
        <v>319</v>
      </c>
      <c r="P336" s="41" t="n">
        <f aca="false">IF((Arterial=0),P335+1,P335)</f>
        <v>150</v>
      </c>
      <c r="Q336" s="41" t="n">
        <f aca="false">IF((Arterial=1),Q335+1,Q335)</f>
        <v>169</v>
      </c>
      <c r="R336" s="42" t="n">
        <f aca="false">IF((RESET=1),0,R336+K336)</f>
        <v>711.845330603685</v>
      </c>
      <c r="S336" s="14" t="e">
        <f aca="false">IF(RESET=1,0,S336+N336)</f>
        <v>#N/A</v>
      </c>
      <c r="T336" s="2" t="n">
        <f aca="false">IF(RESET=1,0,T336+IF(H336=0,1,0))</f>
        <v>42</v>
      </c>
      <c r="U336" s="2" t="e">
        <f aca="false">IF(RESET=1,0,U336+H336)</f>
        <v>#N/A</v>
      </c>
      <c r="V336" s="14" t="n">
        <f aca="false">R336/(T336+0.00001)</f>
        <v>16.9486943123034</v>
      </c>
      <c r="W336" s="14" t="e">
        <f aca="false">S336/(U336+0.0001)</f>
        <v>#N/A</v>
      </c>
      <c r="X336" s="39" t="n">
        <f aca="false">IF(Informed=1,K336,0)</f>
        <v>0</v>
      </c>
      <c r="Y336" s="39" t="n">
        <f aca="false">IF(Informed=0,K336,0)</f>
        <v>0</v>
      </c>
      <c r="Z336" s="39" t="n">
        <f aca="false">IF(Informed=1,N336,0)</f>
        <v>23.8171207175313</v>
      </c>
      <c r="AA336" s="39" t="n">
        <f aca="false">IF(Informed=0,N336,0)</f>
        <v>0</v>
      </c>
      <c r="AB336" s="43" t="n">
        <f aca="false">IF(Arterial=0,IF(Informed=1,1,0),0)</f>
        <v>0</v>
      </c>
      <c r="AC336" s="43" t="n">
        <f aca="false">IF(Arterial=0,IF(Informed=0,1,0),0)</f>
        <v>0</v>
      </c>
      <c r="AD336" s="43" t="n">
        <f aca="false">IF(Arterial=1,IF(Informed=1,1,0),0)</f>
        <v>1</v>
      </c>
      <c r="AE336" s="43" t="n">
        <f aca="false">IF(Arterial=1,IF(Informed=0,1,0),0)</f>
        <v>0</v>
      </c>
      <c r="AF336" s="35" t="n">
        <f aca="false">IF(AB336=1,(X336-G$1030)^2,0)</f>
        <v>0</v>
      </c>
      <c r="AG336" s="35" t="n">
        <f aca="false">IF(AC336=1,(Y336-H$1030)^2,0)</f>
        <v>0</v>
      </c>
      <c r="AH336" s="35" t="n">
        <f aca="false">IF(AD336=1,(Z336-I$1030)^2,0)</f>
        <v>20.7727575958773</v>
      </c>
      <c r="AI336" s="35" t="n">
        <f aca="false">IF(AE336=1,(AA336-J$1030)^2,0)</f>
        <v>0</v>
      </c>
      <c r="AJ336" s="37" t="n">
        <f aca="true">IF(RAND()&lt;$D$6,1,0)</f>
        <v>0</v>
      </c>
      <c r="AK336" s="14" t="n">
        <f aca="false">AK335+IF((AJ336=1),IF((H336=0),1,0),0)</f>
        <v>0</v>
      </c>
      <c r="AL336" s="14" t="n">
        <f aca="false">AL335+IF((AJ336=1),IF((H336=1),1,0),0)</f>
        <v>0</v>
      </c>
      <c r="AM336" s="37" t="n">
        <f aca="false">IF(AK336=0,9999,IF($H336=0,IF($AJ336&lt;1,AM335+1,0),AM335))</f>
        <v>9999</v>
      </c>
      <c r="AN336" s="37" t="n">
        <f aca="false">IF(AL336=0,9999,IF($H336=1,IF($AJ336&lt;1,AN335+1,0),AN335))</f>
        <v>9999</v>
      </c>
      <c r="AO336" s="37" t="n">
        <f aca="false">IF($A336-AM336&gt;0,1/(1+AM336),0)</f>
        <v>0</v>
      </c>
      <c r="AP336" s="37" t="n">
        <f aca="false">IF($A336-AN336&gt;0,1/(1+AN336),0)</f>
        <v>0</v>
      </c>
      <c r="AQ336" s="7" t="n">
        <f aca="false">IF(AK336=0,0,MAX(MIN(1,AO336^Power),0))</f>
        <v>0</v>
      </c>
      <c r="AR336" s="7" t="n">
        <f aca="false">IF(AL336=0,0,MAX(MIN(1,AP336^Power),0))</f>
        <v>0</v>
      </c>
      <c r="AS336" s="7" t="n">
        <f aca="false">IF($AJ336=1,IF($H336=0,K336,AS335),AS335)</f>
        <v>0</v>
      </c>
      <c r="AT336" s="7" t="n">
        <f aca="false">IF($AJ336=1,IF($H336=1,N336,AT335),AT335)</f>
        <v>0</v>
      </c>
    </row>
    <row r="337" customFormat="false" ht="13" hidden="false" customHeight="false" outlineLevel="0" collapsed="false">
      <c r="A337" s="16" t="n">
        <v>320</v>
      </c>
      <c r="B337" s="37" t="n">
        <f aca="true">IF(RAND()&lt;$D$8,1,0)</f>
        <v>0</v>
      </c>
      <c r="C337" s="20" t="n">
        <f aca="true">-LN(RAND())/$D$2</f>
        <v>4.24293467410971</v>
      </c>
      <c r="D337" s="38" t="n">
        <f aca="false">D336+C337</f>
        <v>345.245169765494</v>
      </c>
      <c r="E337" s="39" t="n">
        <f aca="false">MAX($E$3,AS336)</f>
        <v>0</v>
      </c>
      <c r="F337" s="39" t="n">
        <f aca="false">MAX($E$3,AT336)</f>
        <v>0</v>
      </c>
      <c r="G337" s="40" t="n">
        <v>0.5</v>
      </c>
      <c r="H337" s="38" t="n">
        <f aca="true">IF((B337=1),(IF((F337&lt;E337),1,(IF((F337=E337),(IF(RAND()&lt;G337,1,0)),0)))),(IF((RAND()&lt;G337),1,0)))</f>
        <v>1</v>
      </c>
      <c r="I337" s="38" t="n">
        <f aca="true">IF((H337=1),0,$D$3+$D$5*(RAND()-0.5))</f>
        <v>0</v>
      </c>
      <c r="J337" s="38" t="n">
        <f aca="false">I337+MAX(D337,J336)</f>
        <v>353.726335583869</v>
      </c>
      <c r="K337" s="38" t="n">
        <f aca="false">IF((H337=0),J337-D337,0)</f>
        <v>0</v>
      </c>
      <c r="L337" s="38" t="n">
        <f aca="true">IF(($H337=0),0,$D$4+$D$5*(RAND()-0.5))</f>
        <v>2.23639731321862</v>
      </c>
      <c r="M337" s="38" t="n">
        <f aca="false">L337+MAX(D337,M336)</f>
        <v>367.055753122134</v>
      </c>
      <c r="N337" s="38" t="n">
        <f aca="false">IF((H337=1),M337-D337,0)</f>
        <v>21.8105833566402</v>
      </c>
      <c r="O337" s="16" t="n">
        <v>320</v>
      </c>
      <c r="P337" s="41" t="n">
        <f aca="false">IF((Arterial=0),P336+1,P336)</f>
        <v>150</v>
      </c>
      <c r="Q337" s="41" t="n">
        <f aca="false">IF((Arterial=1),Q336+1,Q336)</f>
        <v>170</v>
      </c>
      <c r="R337" s="42" t="n">
        <f aca="false">IF((RESET=1),0,R337+K337)</f>
        <v>599.763878432512</v>
      </c>
      <c r="S337" s="14" t="e">
        <f aca="false">IF(RESET=1,0,S337+N337)</f>
        <v>#N/A</v>
      </c>
      <c r="T337" s="2" t="n">
        <f aca="false">IF(RESET=1,0,T337+IF(H337=0,1,0))</f>
        <v>35</v>
      </c>
      <c r="U337" s="2" t="e">
        <f aca="false">IF(RESET=1,0,U337+H337)</f>
        <v>#N/A</v>
      </c>
      <c r="V337" s="14" t="n">
        <f aca="false">R337/(T337+0.00001)</f>
        <v>17.1361059163272</v>
      </c>
      <c r="W337" s="14" t="e">
        <f aca="false">S337/(U337+0.0001)</f>
        <v>#N/A</v>
      </c>
      <c r="X337" s="39" t="n">
        <f aca="false">IF(Informed=1,K337,0)</f>
        <v>0</v>
      </c>
      <c r="Y337" s="39" t="n">
        <f aca="false">IF(Informed=0,K337,0)</f>
        <v>0</v>
      </c>
      <c r="Z337" s="39" t="n">
        <f aca="false">IF(Informed=1,N337,0)</f>
        <v>0</v>
      </c>
      <c r="AA337" s="39" t="n">
        <f aca="false">IF(Informed=0,N337,0)</f>
        <v>21.8105833566402</v>
      </c>
      <c r="AB337" s="43" t="n">
        <f aca="false">IF(Arterial=0,IF(Informed=1,1,0),0)</f>
        <v>0</v>
      </c>
      <c r="AC337" s="43" t="n">
        <f aca="false">IF(Arterial=0,IF(Informed=0,1,0),0)</f>
        <v>0</v>
      </c>
      <c r="AD337" s="43" t="n">
        <f aca="false">IF(Arterial=1,IF(Informed=1,1,0),0)</f>
        <v>0</v>
      </c>
      <c r="AE337" s="43" t="n">
        <f aca="false">IF(Arterial=1,IF(Informed=0,1,0),0)</f>
        <v>1</v>
      </c>
      <c r="AF337" s="35" t="n">
        <f aca="false">IF(AB337=1,(X337-G$1030)^2,0)</f>
        <v>0</v>
      </c>
      <c r="AG337" s="35" t="n">
        <f aca="false">IF(AC337=1,(Y337-H$1030)^2,0)</f>
        <v>0</v>
      </c>
      <c r="AH337" s="35" t="n">
        <f aca="false">IF(AD337=1,(Z337-I$1030)^2,0)</f>
        <v>0</v>
      </c>
      <c r="AI337" s="35" t="n">
        <f aca="false">IF(AE337=1,(AA337-J$1030)^2,0)</f>
        <v>60.1197339485774</v>
      </c>
      <c r="AJ337" s="37" t="n">
        <f aca="true">IF(RAND()&lt;$D$6,1,0)</f>
        <v>0</v>
      </c>
      <c r="AK337" s="14" t="n">
        <f aca="false">AK336+IF((AJ337=1),IF((H337=0),1,0),0)</f>
        <v>0</v>
      </c>
      <c r="AL337" s="14" t="n">
        <f aca="false">AL336+IF((AJ337=1),IF((H337=1),1,0),0)</f>
        <v>0</v>
      </c>
      <c r="AM337" s="37" t="n">
        <f aca="false">IF(AK337=0,9999,IF($H337=0,IF($AJ337&lt;1,AM336+1,0),AM336))</f>
        <v>9999</v>
      </c>
      <c r="AN337" s="37" t="n">
        <f aca="false">IF(AL337=0,9999,IF($H337=1,IF($AJ337&lt;1,AN336+1,0),AN336))</f>
        <v>9999</v>
      </c>
      <c r="AO337" s="37" t="n">
        <f aca="false">IF($A337-AM337&gt;0,1/(1+AM337),0)</f>
        <v>0</v>
      </c>
      <c r="AP337" s="37" t="n">
        <f aca="false">IF($A337-AN337&gt;0,1/(1+AN337),0)</f>
        <v>0</v>
      </c>
      <c r="AQ337" s="7" t="n">
        <f aca="false">IF(AK337=0,0,MAX(MIN(1,AO337^Power),0))</f>
        <v>0</v>
      </c>
      <c r="AR337" s="7" t="n">
        <f aca="false">IF(AL337=0,0,MAX(MIN(1,AP337^Power),0))</f>
        <v>0</v>
      </c>
      <c r="AS337" s="7" t="n">
        <f aca="false">IF($AJ337=1,IF($H337=0,K337,AS336),AS336)</f>
        <v>0</v>
      </c>
      <c r="AT337" s="7" t="n">
        <f aca="false">IF($AJ337=1,IF($H337=1,N337,AT336),AT336)</f>
        <v>0</v>
      </c>
    </row>
    <row r="338" customFormat="false" ht="13" hidden="false" customHeight="false" outlineLevel="0" collapsed="false">
      <c r="A338" s="16" t="n">
        <v>321</v>
      </c>
      <c r="B338" s="37" t="n">
        <f aca="true">IF(RAND()&lt;$D$8,1,0)</f>
        <v>1</v>
      </c>
      <c r="C338" s="20" t="n">
        <f aca="true">-LN(RAND())/$D$2</f>
        <v>0.340406242735135</v>
      </c>
      <c r="D338" s="38" t="n">
        <f aca="false">D337+C338</f>
        <v>345.585576008229</v>
      </c>
      <c r="E338" s="39" t="n">
        <f aca="false">MAX($E$3,AS337)</f>
        <v>0</v>
      </c>
      <c r="F338" s="39" t="n">
        <f aca="false">MAX($E$3,AT337)</f>
        <v>0</v>
      </c>
      <c r="G338" s="40" t="n">
        <v>0.5</v>
      </c>
      <c r="H338" s="38" t="n">
        <f aca="true">IF((B338=1),(IF((F338&lt;E338),1,(IF((F338=E338),(IF(RAND()&lt;G338,1,0)),0)))),(IF((RAND()&lt;G338),1,0)))</f>
        <v>1</v>
      </c>
      <c r="I338" s="38" t="n">
        <f aca="true">IF((H338=1),0,$D$3+$D$5*(RAND()-0.5))</f>
        <v>0</v>
      </c>
      <c r="J338" s="38" t="n">
        <f aca="false">I338+MAX(D338,J337)</f>
        <v>353.726335583869</v>
      </c>
      <c r="K338" s="38" t="n">
        <f aca="false">IF((H338=0),J338-D338,0)</f>
        <v>0</v>
      </c>
      <c r="L338" s="38" t="n">
        <f aca="true">IF(($H338=0),0,$D$4+$D$5*(RAND()-0.5))</f>
        <v>2.04931656982684</v>
      </c>
      <c r="M338" s="38" t="n">
        <f aca="false">L338+MAX(D338,M337)</f>
        <v>369.105069691961</v>
      </c>
      <c r="N338" s="38" t="n">
        <f aca="false">IF((H338=1),M338-D338,0)</f>
        <v>23.5194936837319</v>
      </c>
      <c r="O338" s="16" t="n">
        <v>321</v>
      </c>
      <c r="P338" s="41" t="n">
        <f aca="false">IF((Arterial=0),P337+1,P337)</f>
        <v>150</v>
      </c>
      <c r="Q338" s="41" t="n">
        <f aca="false">IF((Arterial=1),Q337+1,Q337)</f>
        <v>171</v>
      </c>
      <c r="R338" s="42" t="n">
        <f aca="false">IF((RESET=1),0,R338+K338)</f>
        <v>718.035750968261</v>
      </c>
      <c r="S338" s="14" t="e">
        <f aca="false">IF(RESET=1,0,S338+N338)</f>
        <v>#N/A</v>
      </c>
      <c r="T338" s="2" t="n">
        <f aca="false">IF(RESET=1,0,T338+IF(H338=0,1,0))</f>
        <v>48</v>
      </c>
      <c r="U338" s="2" t="e">
        <f aca="false">IF(RESET=1,0,U338+H338)</f>
        <v>#N/A</v>
      </c>
      <c r="V338" s="14" t="n">
        <f aca="false">R338/(T338+0.00001)</f>
        <v>14.9590750286981</v>
      </c>
      <c r="W338" s="14" t="e">
        <f aca="false">S338/(U338+0.0001)</f>
        <v>#N/A</v>
      </c>
      <c r="X338" s="39" t="n">
        <f aca="false">IF(Informed=1,K338,0)</f>
        <v>0</v>
      </c>
      <c r="Y338" s="39" t="n">
        <f aca="false">IF(Informed=0,K338,0)</f>
        <v>0</v>
      </c>
      <c r="Z338" s="39" t="n">
        <f aca="false">IF(Informed=1,N338,0)</f>
        <v>23.5194936837319</v>
      </c>
      <c r="AA338" s="39" t="n">
        <f aca="false">IF(Informed=0,N338,0)</f>
        <v>0</v>
      </c>
      <c r="AB338" s="43" t="n">
        <f aca="false">IF(Arterial=0,IF(Informed=1,1,0),0)</f>
        <v>0</v>
      </c>
      <c r="AC338" s="43" t="n">
        <f aca="false">IF(Arterial=0,IF(Informed=0,1,0),0)</f>
        <v>0</v>
      </c>
      <c r="AD338" s="43" t="n">
        <f aca="false">IF(Arterial=1,IF(Informed=1,1,0),0)</f>
        <v>1</v>
      </c>
      <c r="AE338" s="43" t="n">
        <f aca="false">IF(Arterial=1,IF(Informed=0,1,0),0)</f>
        <v>0</v>
      </c>
      <c r="AF338" s="35" t="n">
        <f aca="false">IF(AB338=1,(X338-G$1030)^2,0)</f>
        <v>0</v>
      </c>
      <c r="AG338" s="35" t="n">
        <f aca="false">IF(AC338=1,(Y338-H$1030)^2,0)</f>
        <v>0</v>
      </c>
      <c r="AH338" s="35" t="n">
        <f aca="false">IF(AD338=1,(Z338-I$1030)^2,0)</f>
        <v>23.5743372896412</v>
      </c>
      <c r="AI338" s="35" t="n">
        <f aca="false">IF(AE338=1,(AA338-J$1030)^2,0)</f>
        <v>0</v>
      </c>
      <c r="AJ338" s="37" t="n">
        <f aca="true">IF(RAND()&lt;$D$6,1,0)</f>
        <v>0</v>
      </c>
      <c r="AK338" s="14" t="n">
        <f aca="false">AK337+IF((AJ338=1),IF((H338=0),1,0),0)</f>
        <v>0</v>
      </c>
      <c r="AL338" s="14" t="n">
        <f aca="false">AL337+IF((AJ338=1),IF((H338=1),1,0),0)</f>
        <v>0</v>
      </c>
      <c r="AM338" s="37" t="n">
        <f aca="false">IF(AK338=0,9999,IF($H338=0,IF($AJ338&lt;1,AM337+1,0),AM337))</f>
        <v>9999</v>
      </c>
      <c r="AN338" s="37" t="n">
        <f aca="false">IF(AL338=0,9999,IF($H338=1,IF($AJ338&lt;1,AN337+1,0),AN337))</f>
        <v>9999</v>
      </c>
      <c r="AO338" s="37" t="n">
        <f aca="false">IF($A338-AM338&gt;0,1/(1+AM338),0)</f>
        <v>0</v>
      </c>
      <c r="AP338" s="37" t="n">
        <f aca="false">IF($A338-AN338&gt;0,1/(1+AN338),0)</f>
        <v>0</v>
      </c>
      <c r="AQ338" s="7" t="n">
        <f aca="false">IF(AK338=0,0,MAX(MIN(1,AO338^Power),0))</f>
        <v>0</v>
      </c>
      <c r="AR338" s="7" t="n">
        <f aca="false">IF(AL338=0,0,MAX(MIN(1,AP338^Power),0))</f>
        <v>0</v>
      </c>
      <c r="AS338" s="7" t="n">
        <f aca="false">IF($AJ338=1,IF($H338=0,K338,AS337),AS337)</f>
        <v>0</v>
      </c>
      <c r="AT338" s="7" t="n">
        <f aca="false">IF($AJ338=1,IF($H338=1,N338,AT337),AT337)</f>
        <v>0</v>
      </c>
    </row>
    <row r="339" customFormat="false" ht="13" hidden="false" customHeight="false" outlineLevel="0" collapsed="false">
      <c r="A339" s="16" t="n">
        <v>322</v>
      </c>
      <c r="B339" s="37" t="n">
        <f aca="true">IF(RAND()&lt;$D$8,1,0)</f>
        <v>0</v>
      </c>
      <c r="C339" s="20" t="n">
        <f aca="true">-LN(RAND())/$D$2</f>
        <v>0.415255414649511</v>
      </c>
      <c r="D339" s="38" t="n">
        <f aca="false">D338+C339</f>
        <v>346.000831422878</v>
      </c>
      <c r="E339" s="39" t="n">
        <f aca="false">MAX($E$3,AS338)</f>
        <v>0</v>
      </c>
      <c r="F339" s="39" t="n">
        <f aca="false">MAX($E$3,AT338)</f>
        <v>0</v>
      </c>
      <c r="G339" s="40" t="n">
        <v>0.5</v>
      </c>
      <c r="H339" s="38" t="n">
        <f aca="true">IF((B339=1),(IF((F339&lt;E339),1,(IF((F339=E339),(IF(RAND()&lt;G339,1,0)),0)))),(IF((RAND()&lt;G339),1,0)))</f>
        <v>1</v>
      </c>
      <c r="I339" s="38" t="n">
        <f aca="true">IF((H339=1),0,$D$3+$D$5*(RAND()-0.5))</f>
        <v>0</v>
      </c>
      <c r="J339" s="38" t="n">
        <f aca="false">I339+MAX(D339,J338)</f>
        <v>353.726335583869</v>
      </c>
      <c r="K339" s="38" t="n">
        <f aca="false">IF((H339=0),J339-D339,0)</f>
        <v>0</v>
      </c>
      <c r="L339" s="38" t="n">
        <f aca="true">IF(($H339=0),0,$D$4+$D$5*(RAND()-0.5))</f>
        <v>2.05272172521258</v>
      </c>
      <c r="M339" s="38" t="n">
        <f aca="false">L339+MAX(D339,M338)</f>
        <v>371.157791417173</v>
      </c>
      <c r="N339" s="38" t="n">
        <f aca="false">IF((H339=1),M339-D339,0)</f>
        <v>25.1569599942949</v>
      </c>
      <c r="O339" s="16" t="n">
        <v>322</v>
      </c>
      <c r="P339" s="41" t="n">
        <f aca="false">IF((Arterial=0),P338+1,P338)</f>
        <v>150</v>
      </c>
      <c r="Q339" s="41" t="n">
        <f aca="false">IF((Arterial=1),Q338+1,Q338)</f>
        <v>172</v>
      </c>
      <c r="R339" s="42" t="n">
        <f aca="false">IF((RESET=1),0,R339+K339)</f>
        <v>768.064792471938</v>
      </c>
      <c r="S339" s="14" t="e">
        <f aca="false">IF(RESET=1,0,S339+N339)</f>
        <v>#N/A</v>
      </c>
      <c r="T339" s="2" t="n">
        <f aca="false">IF(RESET=1,0,T339+IF(H339=0,1,0))</f>
        <v>43</v>
      </c>
      <c r="U339" s="2" t="e">
        <f aca="false">IF(RESET=1,0,U339+H339)</f>
        <v>#N/A</v>
      </c>
      <c r="V339" s="14" t="n">
        <f aca="false">R339/(T339+0.00001)</f>
        <v>17.861967764006</v>
      </c>
      <c r="W339" s="14" t="e">
        <f aca="false">S339/(U339+0.0001)</f>
        <v>#N/A</v>
      </c>
      <c r="X339" s="39" t="n">
        <f aca="false">IF(Informed=1,K339,0)</f>
        <v>0</v>
      </c>
      <c r="Y339" s="39" t="n">
        <f aca="false">IF(Informed=0,K339,0)</f>
        <v>0</v>
      </c>
      <c r="Z339" s="39" t="n">
        <f aca="false">IF(Informed=1,N339,0)</f>
        <v>0</v>
      </c>
      <c r="AA339" s="39" t="n">
        <f aca="false">IF(Informed=0,N339,0)</f>
        <v>25.1569599942949</v>
      </c>
      <c r="AB339" s="43" t="n">
        <f aca="false">IF(Arterial=0,IF(Informed=1,1,0),0)</f>
        <v>0</v>
      </c>
      <c r="AC339" s="43" t="n">
        <f aca="false">IF(Arterial=0,IF(Informed=0,1,0),0)</f>
        <v>0</v>
      </c>
      <c r="AD339" s="43" t="n">
        <f aca="false">IF(Arterial=1,IF(Informed=1,1,0),0)</f>
        <v>0</v>
      </c>
      <c r="AE339" s="43" t="n">
        <f aca="false">IF(Arterial=1,IF(Informed=0,1,0),0)</f>
        <v>1</v>
      </c>
      <c r="AF339" s="35" t="n">
        <f aca="false">IF(AB339=1,(X339-G$1030)^2,0)</f>
        <v>0</v>
      </c>
      <c r="AG339" s="35" t="n">
        <f aca="false">IF(AC339=1,(Y339-H$1030)^2,0)</f>
        <v>0</v>
      </c>
      <c r="AH339" s="35" t="n">
        <f aca="false">IF(AD339=1,(Z339-I$1030)^2,0)</f>
        <v>0</v>
      </c>
      <c r="AI339" s="35" t="n">
        <f aca="false">IF(AE339=1,(AA339-J$1030)^2,0)</f>
        <v>19.424425473267</v>
      </c>
      <c r="AJ339" s="37" t="n">
        <f aca="true">IF(RAND()&lt;$D$6,1,0)</f>
        <v>0</v>
      </c>
      <c r="AK339" s="14" t="n">
        <f aca="false">AK338+IF((AJ339=1),IF((H339=0),1,0),0)</f>
        <v>0</v>
      </c>
      <c r="AL339" s="14" t="n">
        <f aca="false">AL338+IF((AJ339=1),IF((H339=1),1,0),0)</f>
        <v>0</v>
      </c>
      <c r="AM339" s="37" t="n">
        <f aca="false">IF(AK339=0,9999,IF($H339=0,IF($AJ339&lt;1,AM338+1,0),AM338))</f>
        <v>9999</v>
      </c>
      <c r="AN339" s="37" t="n">
        <f aca="false">IF(AL339=0,9999,IF($H339=1,IF($AJ339&lt;1,AN338+1,0),AN338))</f>
        <v>9999</v>
      </c>
      <c r="AO339" s="37" t="n">
        <f aca="false">IF($A339-AM339&gt;0,1/(1+AM339),0)</f>
        <v>0</v>
      </c>
      <c r="AP339" s="37" t="n">
        <f aca="false">IF($A339-AN339&gt;0,1/(1+AN339),0)</f>
        <v>0</v>
      </c>
      <c r="AQ339" s="7" t="n">
        <f aca="false">IF(AK339=0,0,MAX(MIN(1,AO339^Power),0))</f>
        <v>0</v>
      </c>
      <c r="AR339" s="7" t="n">
        <f aca="false">IF(AL339=0,0,MAX(MIN(1,AP339^Power),0))</f>
        <v>0</v>
      </c>
      <c r="AS339" s="7" t="n">
        <f aca="false">IF($AJ339=1,IF($H339=0,K339,AS338),AS338)</f>
        <v>0</v>
      </c>
      <c r="AT339" s="7" t="n">
        <f aca="false">IF($AJ339=1,IF($H339=1,N339,AT338),AT338)</f>
        <v>0</v>
      </c>
    </row>
    <row r="340" customFormat="false" ht="13" hidden="false" customHeight="false" outlineLevel="0" collapsed="false">
      <c r="A340" s="16" t="n">
        <v>323</v>
      </c>
      <c r="B340" s="37" t="n">
        <f aca="true">IF(RAND()&lt;$D$8,1,0)</f>
        <v>1</v>
      </c>
      <c r="C340" s="20" t="n">
        <f aca="true">-LN(RAND())/$D$2</f>
        <v>2.68497134649018</v>
      </c>
      <c r="D340" s="38" t="n">
        <f aca="false">D339+C340</f>
        <v>348.685802769368</v>
      </c>
      <c r="E340" s="39" t="n">
        <f aca="false">MAX($E$3,AS339)</f>
        <v>0</v>
      </c>
      <c r="F340" s="39" t="n">
        <f aca="false">MAX($E$3,AT339)</f>
        <v>0</v>
      </c>
      <c r="G340" s="40" t="n">
        <v>0.5</v>
      </c>
      <c r="H340" s="38" t="n">
        <f aca="true">IF((B340=1),(IF((F340&lt;E340),1,(IF((F340=E340),(IF(RAND()&lt;G340,1,0)),0)))),(IF((RAND()&lt;G340),1,0)))</f>
        <v>0</v>
      </c>
      <c r="I340" s="38" t="n">
        <f aca="true">IF((H340=1),0,$D$3+$D$5*(RAND()-0.5))</f>
        <v>2.12492284910735</v>
      </c>
      <c r="J340" s="38" t="n">
        <f aca="false">I340+MAX(D340,J339)</f>
        <v>355.851258432976</v>
      </c>
      <c r="K340" s="38" t="n">
        <f aca="false">IF((H340=0),J340-D340,0)</f>
        <v>7.16545566360747</v>
      </c>
      <c r="L340" s="38" t="n">
        <f aca="true">IF(($H340=0),0,$D$4+$D$5*(RAND()-0.5))</f>
        <v>0</v>
      </c>
      <c r="M340" s="38" t="n">
        <f aca="false">L340+MAX(D340,M339)</f>
        <v>371.157791417173</v>
      </c>
      <c r="N340" s="38" t="n">
        <f aca="false">IF((H340=1),M340-D340,0)</f>
        <v>0</v>
      </c>
      <c r="O340" s="16" t="n">
        <v>323</v>
      </c>
      <c r="P340" s="41" t="n">
        <f aca="false">IF((Arterial=0),P339+1,P339)</f>
        <v>151</v>
      </c>
      <c r="Q340" s="41" t="n">
        <f aca="false">IF((Arterial=1),Q339+1,Q339)</f>
        <v>172</v>
      </c>
      <c r="R340" s="42" t="e">
        <f aca="false">IF((RESET=1),0,R340+K340)</f>
        <v>#N/A</v>
      </c>
      <c r="S340" s="14" t="n">
        <f aca="false">IF(RESET=1,0,S340+N340)</f>
        <v>582.33559017756</v>
      </c>
      <c r="T340" s="2" t="e">
        <f aca="false">IF(RESET=1,0,T340+IF(H340=0,1,0))</f>
        <v>#N/A</v>
      </c>
      <c r="U340" s="2" t="n">
        <f aca="false">IF(RESET=1,0,U340+H340)</f>
        <v>38</v>
      </c>
      <c r="V340" s="14" t="e">
        <f aca="false">R340/(T340+0.00001)</f>
        <v>#N/A</v>
      </c>
      <c r="W340" s="14" t="n">
        <f aca="false">S340/(U340+0.0001)</f>
        <v>15.324580466303</v>
      </c>
      <c r="X340" s="39" t="n">
        <f aca="false">IF(Informed=1,K340,0)</f>
        <v>7.16545566360747</v>
      </c>
      <c r="Y340" s="39" t="n">
        <f aca="false">IF(Informed=0,K340,0)</f>
        <v>0</v>
      </c>
      <c r="Z340" s="39" t="n">
        <f aca="false">IF(Informed=1,N340,0)</f>
        <v>0</v>
      </c>
      <c r="AA340" s="39" t="n">
        <f aca="false">IF(Informed=0,N340,0)</f>
        <v>0</v>
      </c>
      <c r="AB340" s="43" t="n">
        <f aca="false">IF(Arterial=0,IF(Informed=1,1,0),0)</f>
        <v>1</v>
      </c>
      <c r="AC340" s="43" t="n">
        <f aca="false">IF(Arterial=0,IF(Informed=0,1,0),0)</f>
        <v>0</v>
      </c>
      <c r="AD340" s="43" t="n">
        <f aca="false">IF(Arterial=1,IF(Informed=1,1,0),0)</f>
        <v>0</v>
      </c>
      <c r="AE340" s="43" t="n">
        <f aca="false">IF(Arterial=1,IF(Informed=0,1,0),0)</f>
        <v>0</v>
      </c>
      <c r="AF340" s="35" t="n">
        <f aca="false">IF(AB340=1,(X340-G$1030)^2,0)</f>
        <v>12.5615136836154</v>
      </c>
      <c r="AG340" s="35" t="n">
        <f aca="false">IF(AC340=1,(Y340-H$1030)^2,0)</f>
        <v>0</v>
      </c>
      <c r="AH340" s="35" t="n">
        <f aca="false">IF(AD340=1,(Z340-I$1030)^2,0)</f>
        <v>0</v>
      </c>
      <c r="AI340" s="35" t="n">
        <f aca="false">IF(AE340=1,(AA340-J$1030)^2,0)</f>
        <v>0</v>
      </c>
      <c r="AJ340" s="37" t="n">
        <f aca="true">IF(RAND()&lt;$D$6,1,0)</f>
        <v>0</v>
      </c>
      <c r="AK340" s="14" t="n">
        <f aca="false">AK339+IF((AJ340=1),IF((H340=0),1,0),0)</f>
        <v>0</v>
      </c>
      <c r="AL340" s="14" t="n">
        <f aca="false">AL339+IF((AJ340=1),IF((H340=1),1,0),0)</f>
        <v>0</v>
      </c>
      <c r="AM340" s="37" t="n">
        <f aca="false">IF(AK340=0,9999,IF($H340=0,IF($AJ340&lt;1,AM339+1,0),AM339))</f>
        <v>9999</v>
      </c>
      <c r="AN340" s="37" t="n">
        <f aca="false">IF(AL340=0,9999,IF($H340=1,IF($AJ340&lt;1,AN339+1,0),AN339))</f>
        <v>9999</v>
      </c>
      <c r="AO340" s="37" t="n">
        <f aca="false">IF($A340-AM340&gt;0,1/(1+AM340),0)</f>
        <v>0</v>
      </c>
      <c r="AP340" s="37" t="n">
        <f aca="false">IF($A340-AN340&gt;0,1/(1+AN340),0)</f>
        <v>0</v>
      </c>
      <c r="AQ340" s="7" t="n">
        <f aca="false">IF(AK340=0,0,MAX(MIN(1,AO340^Power),0))</f>
        <v>0</v>
      </c>
      <c r="AR340" s="7" t="n">
        <f aca="false">IF(AL340=0,0,MAX(MIN(1,AP340^Power),0))</f>
        <v>0</v>
      </c>
      <c r="AS340" s="7" t="n">
        <f aca="false">IF($AJ340=1,IF($H340=0,K340,AS339),AS339)</f>
        <v>0</v>
      </c>
      <c r="AT340" s="7" t="n">
        <f aca="false">IF($AJ340=1,IF($H340=1,N340,AT339),AT339)</f>
        <v>0</v>
      </c>
    </row>
    <row r="341" customFormat="false" ht="13" hidden="false" customHeight="false" outlineLevel="0" collapsed="false">
      <c r="A341" s="16" t="n">
        <v>324</v>
      </c>
      <c r="B341" s="37" t="n">
        <f aca="true">IF(RAND()&lt;$D$8,1,0)</f>
        <v>1</v>
      </c>
      <c r="C341" s="20" t="n">
        <f aca="true">-LN(RAND())/$D$2</f>
        <v>0.440203416067886</v>
      </c>
      <c r="D341" s="38" t="n">
        <f aca="false">D340+C341</f>
        <v>349.126006185436</v>
      </c>
      <c r="E341" s="39" t="n">
        <f aca="false">MAX($E$3,AS340)</f>
        <v>0</v>
      </c>
      <c r="F341" s="39" t="n">
        <f aca="false">MAX($E$3,AT340)</f>
        <v>0</v>
      </c>
      <c r="G341" s="40" t="n">
        <v>0.5</v>
      </c>
      <c r="H341" s="38" t="n">
        <f aca="true">IF((B341=1),(IF((F341&lt;E341),1,(IF((F341=E341),(IF(RAND()&lt;G341,1,0)),0)))),(IF((RAND()&lt;G341),1,0)))</f>
        <v>1</v>
      </c>
      <c r="I341" s="38" t="n">
        <f aca="true">IF((H341=1),0,$D$3+$D$5*(RAND()-0.5))</f>
        <v>0</v>
      </c>
      <c r="J341" s="38" t="n">
        <f aca="false">I341+MAX(D341,J340)</f>
        <v>355.851258432976</v>
      </c>
      <c r="K341" s="38" t="n">
        <f aca="false">IF((H341=0),J341-D341,0)</f>
        <v>0</v>
      </c>
      <c r="L341" s="38" t="n">
        <f aca="true">IF(($H341=0),0,$D$4+$D$5*(RAND()-0.5))</f>
        <v>1.8459929032867</v>
      </c>
      <c r="M341" s="38" t="n">
        <f aca="false">L341+MAX(D341,M340)</f>
        <v>373.00378432046</v>
      </c>
      <c r="N341" s="38" t="n">
        <f aca="false">IF((H341=1),M341-D341,0)</f>
        <v>23.8777781350236</v>
      </c>
      <c r="O341" s="16" t="n">
        <v>324</v>
      </c>
      <c r="P341" s="41" t="n">
        <f aca="false">IF((Arterial=0),P340+1,P340)</f>
        <v>151</v>
      </c>
      <c r="Q341" s="41" t="n">
        <f aca="false">IF((Arterial=1),Q340+1,Q340)</f>
        <v>173</v>
      </c>
      <c r="R341" s="42" t="n">
        <f aca="false">IF((RESET=1),0,R341+K341)</f>
        <v>529.390152582556</v>
      </c>
      <c r="S341" s="14" t="e">
        <f aca="false">IF(RESET=1,0,S341+N341)</f>
        <v>#N/A</v>
      </c>
      <c r="T341" s="2" t="n">
        <f aca="false">IF(RESET=1,0,T341+IF(H341=0,1,0))</f>
        <v>37</v>
      </c>
      <c r="U341" s="2" t="e">
        <f aca="false">IF(RESET=1,0,U341+H341)</f>
        <v>#N/A</v>
      </c>
      <c r="V341" s="14" t="n">
        <f aca="false">R341/(T341+0.00001)</f>
        <v>14.3078380947074</v>
      </c>
      <c r="W341" s="14" t="e">
        <f aca="false">S341/(U341+0.0001)</f>
        <v>#N/A</v>
      </c>
      <c r="X341" s="39" t="n">
        <f aca="false">IF(Informed=1,K341,0)</f>
        <v>0</v>
      </c>
      <c r="Y341" s="39" t="n">
        <f aca="false">IF(Informed=0,K341,0)</f>
        <v>0</v>
      </c>
      <c r="Z341" s="39" t="n">
        <f aca="false">IF(Informed=1,N341,0)</f>
        <v>23.8777781350236</v>
      </c>
      <c r="AA341" s="39" t="n">
        <f aca="false">IF(Informed=0,N341,0)</f>
        <v>0</v>
      </c>
      <c r="AB341" s="43" t="n">
        <f aca="false">IF(Arterial=0,IF(Informed=1,1,0),0)</f>
        <v>0</v>
      </c>
      <c r="AC341" s="43" t="n">
        <f aca="false">IF(Arterial=0,IF(Informed=0,1,0),0)</f>
        <v>0</v>
      </c>
      <c r="AD341" s="43" t="n">
        <f aca="false">IF(Arterial=1,IF(Informed=1,1,0),0)</f>
        <v>1</v>
      </c>
      <c r="AE341" s="43" t="n">
        <f aca="false">IF(Arterial=1,IF(Informed=0,1,0),0)</f>
        <v>0</v>
      </c>
      <c r="AF341" s="35" t="n">
        <f aca="false">IF(AB341=1,(X341-G$1030)^2,0)</f>
        <v>0</v>
      </c>
      <c r="AG341" s="35" t="n">
        <f aca="false">IF(AC341=1,(Y341-H$1030)^2,0)</f>
        <v>0</v>
      </c>
      <c r="AH341" s="35" t="n">
        <f aca="false">IF(AD341=1,(Z341-I$1030)^2,0)</f>
        <v>20.2235185871732</v>
      </c>
      <c r="AI341" s="35" t="n">
        <f aca="false">IF(AE341=1,(AA341-J$1030)^2,0)</f>
        <v>0</v>
      </c>
      <c r="AJ341" s="37" t="n">
        <f aca="true">IF(RAND()&lt;$D$6,1,0)</f>
        <v>0</v>
      </c>
      <c r="AK341" s="14" t="n">
        <f aca="false">AK340+IF((AJ341=1),IF((H341=0),1,0),0)</f>
        <v>0</v>
      </c>
      <c r="AL341" s="14" t="n">
        <f aca="false">AL340+IF((AJ341=1),IF((H341=1),1,0),0)</f>
        <v>0</v>
      </c>
      <c r="AM341" s="37" t="n">
        <f aca="false">IF(AK341=0,9999,IF($H341=0,IF($AJ341&lt;1,AM340+1,0),AM340))</f>
        <v>9999</v>
      </c>
      <c r="AN341" s="37" t="n">
        <f aca="false">IF(AL341=0,9999,IF($H341=1,IF($AJ341&lt;1,AN340+1,0),AN340))</f>
        <v>9999</v>
      </c>
      <c r="AO341" s="37" t="n">
        <f aca="false">IF($A341-AM341&gt;0,1/(1+AM341),0)</f>
        <v>0</v>
      </c>
      <c r="AP341" s="37" t="n">
        <f aca="false">IF($A341-AN341&gt;0,1/(1+AN341),0)</f>
        <v>0</v>
      </c>
      <c r="AQ341" s="7" t="n">
        <f aca="false">IF(AK341=0,0,MAX(MIN(1,AO341^Power),0))</f>
        <v>0</v>
      </c>
      <c r="AR341" s="7" t="n">
        <f aca="false">IF(AL341=0,0,MAX(MIN(1,AP341^Power),0))</f>
        <v>0</v>
      </c>
      <c r="AS341" s="7" t="n">
        <f aca="false">IF($AJ341=1,IF($H341=0,K341,AS340),AS340)</f>
        <v>0</v>
      </c>
      <c r="AT341" s="7" t="n">
        <f aca="false">IF($AJ341=1,IF($H341=1,N341,AT340),AT340)</f>
        <v>0</v>
      </c>
    </row>
    <row r="342" customFormat="false" ht="13" hidden="false" customHeight="false" outlineLevel="0" collapsed="false">
      <c r="A342" s="16" t="n">
        <v>325</v>
      </c>
      <c r="B342" s="37" t="n">
        <f aca="true">IF(RAND()&lt;$D$8,1,0)</f>
        <v>0</v>
      </c>
      <c r="C342" s="20" t="n">
        <f aca="true">-LN(RAND())/$D$2</f>
        <v>0.0731454520441373</v>
      </c>
      <c r="D342" s="38" t="n">
        <f aca="false">D341+C342</f>
        <v>349.19915163748</v>
      </c>
      <c r="E342" s="39" t="n">
        <f aca="false">MAX($E$3,AS341)</f>
        <v>0</v>
      </c>
      <c r="F342" s="39" t="n">
        <f aca="false">MAX($E$3,AT341)</f>
        <v>0</v>
      </c>
      <c r="G342" s="40" t="n">
        <v>0.5</v>
      </c>
      <c r="H342" s="38" t="n">
        <f aca="true">IF((B342=1),(IF((F342&lt;E342),1,(IF((F342=E342),(IF(RAND()&lt;G342,1,0)),0)))),(IF((RAND()&lt;G342),1,0)))</f>
        <v>0</v>
      </c>
      <c r="I342" s="38" t="n">
        <f aca="true">IF((H342=1),0,$D$3+$D$5*(RAND()-0.5))</f>
        <v>1.83383701911432</v>
      </c>
      <c r="J342" s="38" t="n">
        <f aca="false">I342+MAX(D342,J341)</f>
        <v>357.68509545209</v>
      </c>
      <c r="K342" s="38" t="n">
        <f aca="false">IF((H342=0),J342-D342,0)</f>
        <v>8.48594381460976</v>
      </c>
      <c r="L342" s="38" t="n">
        <f aca="true">IF(($H342=0),0,$D$4+$D$5*(RAND()-0.5))</f>
        <v>0</v>
      </c>
      <c r="M342" s="38" t="n">
        <f aca="false">L342+MAX(D342,M341)</f>
        <v>373.00378432046</v>
      </c>
      <c r="N342" s="38" t="n">
        <f aca="false">IF((H342=1),M342-D342,0)</f>
        <v>0</v>
      </c>
      <c r="O342" s="16" t="n">
        <v>325</v>
      </c>
      <c r="P342" s="41" t="n">
        <f aca="false">IF((Arterial=0),P341+1,P341)</f>
        <v>152</v>
      </c>
      <c r="Q342" s="41" t="n">
        <f aca="false">IF((Arterial=1),Q341+1,Q341)</f>
        <v>173</v>
      </c>
      <c r="R342" s="42" t="e">
        <f aca="false">IF((RESET=1),0,R342+K342)</f>
        <v>#N/A</v>
      </c>
      <c r="S342" s="14" t="n">
        <f aca="false">IF(RESET=1,0,S342+N342)</f>
        <v>292.133202737451</v>
      </c>
      <c r="T342" s="2" t="e">
        <f aca="false">IF(RESET=1,0,T342+IF(H342=0,1,0))</f>
        <v>#N/A</v>
      </c>
      <c r="U342" s="2" t="n">
        <f aca="false">IF(RESET=1,0,U342+H342)</f>
        <v>28</v>
      </c>
      <c r="V342" s="14" t="e">
        <f aca="false">R342/(T342+0.00001)</f>
        <v>#N/A</v>
      </c>
      <c r="W342" s="14" t="n">
        <f aca="false">S342/(U342+0.0001)</f>
        <v>10.4332914074396</v>
      </c>
      <c r="X342" s="39" t="n">
        <f aca="false">IF(Informed=1,K342,0)</f>
        <v>0</v>
      </c>
      <c r="Y342" s="39" t="n">
        <f aca="false">IF(Informed=0,K342,0)</f>
        <v>8.48594381460976</v>
      </c>
      <c r="Z342" s="39" t="n">
        <f aca="false">IF(Informed=1,N342,0)</f>
        <v>0</v>
      </c>
      <c r="AA342" s="39" t="n">
        <f aca="false">IF(Informed=0,N342,0)</f>
        <v>0</v>
      </c>
      <c r="AB342" s="43" t="n">
        <f aca="false">IF(Arterial=0,IF(Informed=1,1,0),0)</f>
        <v>0</v>
      </c>
      <c r="AC342" s="43" t="n">
        <f aca="false">IF(Arterial=0,IF(Informed=0,1,0),0)</f>
        <v>1</v>
      </c>
      <c r="AD342" s="43" t="n">
        <f aca="false">IF(Arterial=1,IF(Informed=1,1,0),0)</f>
        <v>0</v>
      </c>
      <c r="AE342" s="43" t="n">
        <f aca="false">IF(Arterial=1,IF(Informed=0,1,0),0)</f>
        <v>0</v>
      </c>
      <c r="AF342" s="35" t="n">
        <f aca="false">IF(AB342=1,(X342-G$1030)^2,0)</f>
        <v>0</v>
      </c>
      <c r="AG342" s="35" t="n">
        <f aca="false">IF(AC342=1,(Y342-H$1030)^2,0)</f>
        <v>5.94307086761548</v>
      </c>
      <c r="AH342" s="35" t="n">
        <f aca="false">IF(AD342=1,(Z342-I$1030)^2,0)</f>
        <v>0</v>
      </c>
      <c r="AI342" s="35" t="n">
        <f aca="false">IF(AE342=1,(AA342-J$1030)^2,0)</f>
        <v>0</v>
      </c>
      <c r="AJ342" s="37" t="n">
        <f aca="true">IF(RAND()&lt;$D$6,1,0)</f>
        <v>0</v>
      </c>
      <c r="AK342" s="14" t="n">
        <f aca="false">AK341+IF((AJ342=1),IF((H342=0),1,0),0)</f>
        <v>0</v>
      </c>
      <c r="AL342" s="14" t="n">
        <f aca="false">AL341+IF((AJ342=1),IF((H342=1),1,0),0)</f>
        <v>0</v>
      </c>
      <c r="AM342" s="37" t="n">
        <f aca="false">IF(AK342=0,9999,IF($H342=0,IF($AJ342&lt;1,AM341+1,0),AM341))</f>
        <v>9999</v>
      </c>
      <c r="AN342" s="37" t="n">
        <f aca="false">IF(AL342=0,9999,IF($H342=1,IF($AJ342&lt;1,AN341+1,0),AN341))</f>
        <v>9999</v>
      </c>
      <c r="AO342" s="37" t="n">
        <f aca="false">IF($A342-AM342&gt;0,1/(1+AM342),0)</f>
        <v>0</v>
      </c>
      <c r="AP342" s="37" t="n">
        <f aca="false">IF($A342-AN342&gt;0,1/(1+AN342),0)</f>
        <v>0</v>
      </c>
      <c r="AQ342" s="7" t="n">
        <f aca="false">IF(AK342=0,0,MAX(MIN(1,AO342^Power),0))</f>
        <v>0</v>
      </c>
      <c r="AR342" s="7" t="n">
        <f aca="false">IF(AL342=0,0,MAX(MIN(1,AP342^Power),0))</f>
        <v>0</v>
      </c>
      <c r="AS342" s="7" t="n">
        <f aca="false">IF($AJ342=1,IF($H342=0,K342,AS341),AS341)</f>
        <v>0</v>
      </c>
      <c r="AT342" s="7" t="n">
        <f aca="false">IF($AJ342=1,IF($H342=1,N342,AT341),AT341)</f>
        <v>0</v>
      </c>
    </row>
    <row r="343" customFormat="false" ht="13" hidden="false" customHeight="false" outlineLevel="0" collapsed="false">
      <c r="A343" s="16" t="n">
        <v>326</v>
      </c>
      <c r="B343" s="37" t="n">
        <f aca="true">IF(RAND()&lt;$D$8,1,0)</f>
        <v>1</v>
      </c>
      <c r="C343" s="20" t="n">
        <f aca="true">-LN(RAND())/$D$2</f>
        <v>0.233124862305241</v>
      </c>
      <c r="D343" s="38" t="n">
        <f aca="false">D342+C343</f>
        <v>349.432276499786</v>
      </c>
      <c r="E343" s="39" t="n">
        <f aca="false">MAX($E$3,AS342)</f>
        <v>0</v>
      </c>
      <c r="F343" s="39" t="n">
        <f aca="false">MAX($E$3,AT342)</f>
        <v>0</v>
      </c>
      <c r="G343" s="40" t="n">
        <v>0.5</v>
      </c>
      <c r="H343" s="38" t="n">
        <f aca="true">IF((B343=1),(IF((F343&lt;E343),1,(IF((F343=E343),(IF(RAND()&lt;G343,1,0)),0)))),(IF((RAND()&lt;G343),1,0)))</f>
        <v>1</v>
      </c>
      <c r="I343" s="38" t="n">
        <f aca="true">IF((H343=1),0,$D$3+$D$5*(RAND()-0.5))</f>
        <v>0</v>
      </c>
      <c r="J343" s="38" t="n">
        <f aca="false">I343+MAX(D343,J342)</f>
        <v>357.68509545209</v>
      </c>
      <c r="K343" s="38" t="n">
        <f aca="false">IF((H343=0),J343-D343,0)</f>
        <v>0</v>
      </c>
      <c r="L343" s="38" t="n">
        <f aca="true">IF(($H343=0),0,$D$4+$D$5*(RAND()-0.5))</f>
        <v>2.11613137264508</v>
      </c>
      <c r="M343" s="38" t="n">
        <f aca="false">L343+MAX(D343,M342)</f>
        <v>375.119915693105</v>
      </c>
      <c r="N343" s="38" t="n">
        <f aca="false">IF((H343=1),M343-D343,0)</f>
        <v>25.6876391933193</v>
      </c>
      <c r="O343" s="16" t="n">
        <v>326</v>
      </c>
      <c r="P343" s="41" t="n">
        <f aca="false">IF((Arterial=0),P342+1,P342)</f>
        <v>152</v>
      </c>
      <c r="Q343" s="41" t="n">
        <f aca="false">IF((Arterial=1),Q342+1,Q342)</f>
        <v>174</v>
      </c>
      <c r="R343" s="42" t="n">
        <f aca="false">IF((RESET=1),0,R343+K343)</f>
        <v>779.881364737687</v>
      </c>
      <c r="S343" s="14" t="e">
        <f aca="false">IF(RESET=1,0,S343+N343)</f>
        <v>#N/A</v>
      </c>
      <c r="T343" s="2" t="n">
        <f aca="false">IF(RESET=1,0,T343+IF(H343=0,1,0))</f>
        <v>47</v>
      </c>
      <c r="U343" s="2" t="e">
        <f aca="false">IF(RESET=1,0,U343+H343)</f>
        <v>#N/A</v>
      </c>
      <c r="V343" s="14" t="n">
        <f aca="false">R343/(T343+0.00001)</f>
        <v>16.5932169958621</v>
      </c>
      <c r="W343" s="14" t="e">
        <f aca="false">S343/(U343+0.0001)</f>
        <v>#N/A</v>
      </c>
      <c r="X343" s="39" t="n">
        <f aca="false">IF(Informed=1,K343,0)</f>
        <v>0</v>
      </c>
      <c r="Y343" s="39" t="n">
        <f aca="false">IF(Informed=0,K343,0)</f>
        <v>0</v>
      </c>
      <c r="Z343" s="39" t="n">
        <f aca="false">IF(Informed=1,N343,0)</f>
        <v>25.6876391933193</v>
      </c>
      <c r="AA343" s="39" t="n">
        <f aca="false">IF(Informed=0,N343,0)</f>
        <v>0</v>
      </c>
      <c r="AB343" s="43" t="n">
        <f aca="false">IF(Arterial=0,IF(Informed=1,1,0),0)</f>
        <v>0</v>
      </c>
      <c r="AC343" s="43" t="n">
        <f aca="false">IF(Arterial=0,IF(Informed=0,1,0),0)</f>
        <v>0</v>
      </c>
      <c r="AD343" s="43" t="n">
        <f aca="false">IF(Arterial=1,IF(Informed=1,1,0),0)</f>
        <v>1</v>
      </c>
      <c r="AE343" s="43" t="n">
        <f aca="false">IF(Arterial=1,IF(Informed=0,1,0),0)</f>
        <v>0</v>
      </c>
      <c r="AF343" s="35" t="n">
        <f aca="false">IF(AB343=1,(X343-G$1030)^2,0)</f>
        <v>0</v>
      </c>
      <c r="AG343" s="35" t="n">
        <f aca="false">IF(AC343=1,(Y343-H$1030)^2,0)</f>
        <v>0</v>
      </c>
      <c r="AH343" s="35" t="n">
        <f aca="false">IF(AD343=1,(Z343-I$1030)^2,0)</f>
        <v>7.22102019221195</v>
      </c>
      <c r="AI343" s="35" t="n">
        <f aca="false">IF(AE343=1,(AA343-J$1030)^2,0)</f>
        <v>0</v>
      </c>
      <c r="AJ343" s="37" t="n">
        <f aca="true">IF(RAND()&lt;$D$6,1,0)</f>
        <v>0</v>
      </c>
      <c r="AK343" s="14" t="n">
        <f aca="false">AK342+IF((AJ343=1),IF((H343=0),1,0),0)</f>
        <v>0</v>
      </c>
      <c r="AL343" s="14" t="n">
        <f aca="false">AL342+IF((AJ343=1),IF((H343=1),1,0),0)</f>
        <v>0</v>
      </c>
      <c r="AM343" s="37" t="n">
        <f aca="false">IF(AK343=0,9999,IF($H343=0,IF($AJ343&lt;1,AM342+1,0),AM342))</f>
        <v>9999</v>
      </c>
      <c r="AN343" s="37" t="n">
        <f aca="false">IF(AL343=0,9999,IF($H343=1,IF($AJ343&lt;1,AN342+1,0),AN342))</f>
        <v>9999</v>
      </c>
      <c r="AO343" s="37" t="n">
        <f aca="false">IF($A343-AM343&gt;0,1/(1+AM343),0)</f>
        <v>0</v>
      </c>
      <c r="AP343" s="37" t="n">
        <f aca="false">IF($A343-AN343&gt;0,1/(1+AN343),0)</f>
        <v>0</v>
      </c>
      <c r="AQ343" s="7" t="n">
        <f aca="false">IF(AK343=0,0,MAX(MIN(1,AO343^Power),0))</f>
        <v>0</v>
      </c>
      <c r="AR343" s="7" t="n">
        <f aca="false">IF(AL343=0,0,MAX(MIN(1,AP343^Power),0))</f>
        <v>0</v>
      </c>
      <c r="AS343" s="7" t="n">
        <f aca="false">IF($AJ343=1,IF($H343=0,K343,AS342),AS342)</f>
        <v>0</v>
      </c>
      <c r="AT343" s="7" t="n">
        <f aca="false">IF($AJ343=1,IF($H343=1,N343,AT342),AT342)</f>
        <v>0</v>
      </c>
    </row>
    <row r="344" customFormat="false" ht="13" hidden="false" customHeight="false" outlineLevel="0" collapsed="false">
      <c r="A344" s="16" t="n">
        <v>327</v>
      </c>
      <c r="B344" s="37" t="n">
        <f aca="true">IF(RAND()&lt;$D$8,1,0)</f>
        <v>0</v>
      </c>
      <c r="C344" s="20" t="n">
        <f aca="true">-LN(RAND())/$D$2</f>
        <v>2.54419002009044</v>
      </c>
      <c r="D344" s="38" t="n">
        <f aca="false">D343+C344</f>
        <v>351.976466519876</v>
      </c>
      <c r="E344" s="39" t="n">
        <f aca="false">MAX($E$3,AS343)</f>
        <v>0</v>
      </c>
      <c r="F344" s="39" t="n">
        <f aca="false">MAX($E$3,AT343)</f>
        <v>0</v>
      </c>
      <c r="G344" s="40" t="n">
        <v>0.5</v>
      </c>
      <c r="H344" s="38" t="n">
        <f aca="true">IF((B344=1),(IF((F344&lt;E344),1,(IF((F344=E344),(IF(RAND()&lt;G344,1,0)),0)))),(IF((RAND()&lt;G344),1,0)))</f>
        <v>0</v>
      </c>
      <c r="I344" s="38" t="n">
        <f aca="true">IF((H344=1),0,$D$3+$D$5*(RAND()-0.5))</f>
        <v>1.8363601342004</v>
      </c>
      <c r="J344" s="38" t="n">
        <f aca="false">I344+MAX(D344,J343)</f>
        <v>359.521455586291</v>
      </c>
      <c r="K344" s="38" t="n">
        <f aca="false">IF((H344=0),J344-D344,0)</f>
        <v>7.54498906641447</v>
      </c>
      <c r="L344" s="38" t="n">
        <f aca="true">IF(($H344=0),0,$D$4+$D$5*(RAND()-0.5))</f>
        <v>0</v>
      </c>
      <c r="M344" s="38" t="n">
        <f aca="false">L344+MAX(D344,M343)</f>
        <v>375.119915693105</v>
      </c>
      <c r="N344" s="38" t="n">
        <f aca="false">IF((H344=1),M344-D344,0)</f>
        <v>0</v>
      </c>
      <c r="O344" s="16" t="n">
        <v>327</v>
      </c>
      <c r="P344" s="41" t="n">
        <f aca="false">IF((Arterial=0),P343+1,P343)</f>
        <v>153</v>
      </c>
      <c r="Q344" s="41" t="n">
        <f aca="false">IF((Arterial=1),Q343+1,Q343)</f>
        <v>174</v>
      </c>
      <c r="R344" s="42" t="e">
        <f aca="false">IF((RESET=1),0,R344+K344)</f>
        <v>#N/A</v>
      </c>
      <c r="S344" s="14" t="n">
        <f aca="false">IF(RESET=1,0,S344+N344)</f>
        <v>469.170945734732</v>
      </c>
      <c r="T344" s="2" t="e">
        <f aca="false">IF(RESET=1,0,T344+IF(H344=0,1,0))</f>
        <v>#N/A</v>
      </c>
      <c r="U344" s="2" t="n">
        <f aca="false">IF(RESET=1,0,U344+H344)</f>
        <v>40</v>
      </c>
      <c r="V344" s="14" t="e">
        <f aca="false">R344/(T344+0.00001)</f>
        <v>#N/A</v>
      </c>
      <c r="W344" s="14" t="n">
        <f aca="false">S344/(U344+0.0001)</f>
        <v>11.7292443202575</v>
      </c>
      <c r="X344" s="39" t="n">
        <f aca="false">IF(Informed=1,K344,0)</f>
        <v>0</v>
      </c>
      <c r="Y344" s="39" t="n">
        <f aca="false">IF(Informed=0,K344,0)</f>
        <v>7.54498906641447</v>
      </c>
      <c r="Z344" s="39" t="n">
        <f aca="false">IF(Informed=1,N344,0)</f>
        <v>0</v>
      </c>
      <c r="AA344" s="39" t="n">
        <f aca="false">IF(Informed=0,N344,0)</f>
        <v>0</v>
      </c>
      <c r="AB344" s="43" t="n">
        <f aca="false">IF(Arterial=0,IF(Informed=1,1,0),0)</f>
        <v>0</v>
      </c>
      <c r="AC344" s="43" t="n">
        <f aca="false">IF(Arterial=0,IF(Informed=0,1,0),0)</f>
        <v>1</v>
      </c>
      <c r="AD344" s="43" t="n">
        <f aca="false">IF(Arterial=1,IF(Informed=1,1,0),0)</f>
        <v>0</v>
      </c>
      <c r="AE344" s="43" t="n">
        <f aca="false">IF(Arterial=1,IF(Informed=0,1,0),0)</f>
        <v>0</v>
      </c>
      <c r="AF344" s="35" t="n">
        <f aca="false">IF(AB344=1,(X344-G$1030)^2,0)</f>
        <v>0</v>
      </c>
      <c r="AG344" s="35" t="n">
        <f aca="false">IF(AC344=1,(Y344-H$1030)^2,0)</f>
        <v>11.4162636550768</v>
      </c>
      <c r="AH344" s="35" t="n">
        <f aca="false">IF(AD344=1,(Z344-I$1030)^2,0)</f>
        <v>0</v>
      </c>
      <c r="AI344" s="35" t="n">
        <f aca="false">IF(AE344=1,(AA344-J$1030)^2,0)</f>
        <v>0</v>
      </c>
      <c r="AJ344" s="37" t="n">
        <f aca="true">IF(RAND()&lt;$D$6,1,0)</f>
        <v>0</v>
      </c>
      <c r="AK344" s="14" t="n">
        <f aca="false">AK343+IF((AJ344=1),IF((H344=0),1,0),0)</f>
        <v>0</v>
      </c>
      <c r="AL344" s="14" t="n">
        <f aca="false">AL343+IF((AJ344=1),IF((H344=1),1,0),0)</f>
        <v>0</v>
      </c>
      <c r="AM344" s="37" t="n">
        <f aca="false">IF(AK344=0,9999,IF($H344=0,IF($AJ344&lt;1,AM343+1,0),AM343))</f>
        <v>9999</v>
      </c>
      <c r="AN344" s="37" t="n">
        <f aca="false">IF(AL344=0,9999,IF($H344=1,IF($AJ344&lt;1,AN343+1,0),AN343))</f>
        <v>9999</v>
      </c>
      <c r="AO344" s="37" t="n">
        <f aca="false">IF($A344-AM344&gt;0,1/(1+AM344),0)</f>
        <v>0</v>
      </c>
      <c r="AP344" s="37" t="n">
        <f aca="false">IF($A344-AN344&gt;0,1/(1+AN344),0)</f>
        <v>0</v>
      </c>
      <c r="AQ344" s="7" t="n">
        <f aca="false">IF(AK344=0,0,MAX(MIN(1,AO344^Power),0))</f>
        <v>0</v>
      </c>
      <c r="AR344" s="7" t="n">
        <f aca="false">IF(AL344=0,0,MAX(MIN(1,AP344^Power),0))</f>
        <v>0</v>
      </c>
      <c r="AS344" s="7" t="n">
        <f aca="false">IF($AJ344=1,IF($H344=0,K344,AS343),AS343)</f>
        <v>0</v>
      </c>
      <c r="AT344" s="7" t="n">
        <f aca="false">IF($AJ344=1,IF($H344=1,N344,AT343),AT343)</f>
        <v>0</v>
      </c>
    </row>
    <row r="345" customFormat="false" ht="13" hidden="false" customHeight="false" outlineLevel="0" collapsed="false">
      <c r="A345" s="16" t="n">
        <v>328</v>
      </c>
      <c r="B345" s="37" t="n">
        <f aca="true">IF(RAND()&lt;$D$8,1,0)</f>
        <v>0</v>
      </c>
      <c r="C345" s="20" t="n">
        <f aca="true">-LN(RAND())/$D$2</f>
        <v>2.43786572930613</v>
      </c>
      <c r="D345" s="38" t="n">
        <f aca="false">D344+C345</f>
        <v>354.414332249182</v>
      </c>
      <c r="E345" s="39" t="n">
        <f aca="false">MAX($E$3,AS344)</f>
        <v>0</v>
      </c>
      <c r="F345" s="39" t="n">
        <f aca="false">MAX($E$3,AT344)</f>
        <v>0</v>
      </c>
      <c r="G345" s="40" t="n">
        <v>0.5</v>
      </c>
      <c r="H345" s="38" t="n">
        <f aca="true">IF((B345=1),(IF((F345&lt;E345),1,(IF((F345=E345),(IF(RAND()&lt;G345,1,0)),0)))),(IF((RAND()&lt;G345),1,0)))</f>
        <v>1</v>
      </c>
      <c r="I345" s="38" t="n">
        <f aca="true">IF((H345=1),0,$D$3+$D$5*(RAND()-0.5))</f>
        <v>0</v>
      </c>
      <c r="J345" s="38" t="n">
        <f aca="false">I345+MAX(D345,J344)</f>
        <v>359.521455586291</v>
      </c>
      <c r="K345" s="38" t="n">
        <f aca="false">IF((H345=0),J345-D345,0)</f>
        <v>0</v>
      </c>
      <c r="L345" s="38" t="n">
        <f aca="true">IF(($H345=0),0,$D$4+$D$5*(RAND()-0.5))</f>
        <v>2.17886818936505</v>
      </c>
      <c r="M345" s="38" t="n">
        <f aca="false">L345+MAX(D345,M344)</f>
        <v>377.29878388247</v>
      </c>
      <c r="N345" s="38" t="n">
        <f aca="false">IF((H345=1),M345-D345,0)</f>
        <v>22.8844516332878</v>
      </c>
      <c r="O345" s="16" t="n">
        <v>328</v>
      </c>
      <c r="P345" s="41" t="n">
        <f aca="false">IF((Arterial=0),P344+1,P344)</f>
        <v>153</v>
      </c>
      <c r="Q345" s="41" t="n">
        <f aca="false">IF((Arterial=1),Q344+1,Q344)</f>
        <v>175</v>
      </c>
      <c r="R345" s="42" t="n">
        <f aca="false">IF((RESET=1),0,R345+K345)</f>
        <v>593.313171507682</v>
      </c>
      <c r="S345" s="14" t="e">
        <f aca="false">IF(RESET=1,0,S345+N345)</f>
        <v>#N/A</v>
      </c>
      <c r="T345" s="2" t="n">
        <f aca="false">IF(RESET=1,0,T345+IF(H345=0,1,0))</f>
        <v>37</v>
      </c>
      <c r="U345" s="2" t="e">
        <f aca="false">IF(RESET=1,0,U345+H345)</f>
        <v>#N/A</v>
      </c>
      <c r="V345" s="14" t="n">
        <f aca="false">R345/(T345+0.00001)</f>
        <v>16.0354867879139</v>
      </c>
      <c r="W345" s="14" t="e">
        <f aca="false">S345/(U345+0.0001)</f>
        <v>#N/A</v>
      </c>
      <c r="X345" s="39" t="n">
        <f aca="false">IF(Informed=1,K345,0)</f>
        <v>0</v>
      </c>
      <c r="Y345" s="39" t="n">
        <f aca="false">IF(Informed=0,K345,0)</f>
        <v>0</v>
      </c>
      <c r="Z345" s="39" t="n">
        <f aca="false">IF(Informed=1,N345,0)</f>
        <v>0</v>
      </c>
      <c r="AA345" s="39" t="n">
        <f aca="false">IF(Informed=0,N345,0)</f>
        <v>22.8844516332878</v>
      </c>
      <c r="AB345" s="43" t="n">
        <f aca="false">IF(Arterial=0,IF(Informed=1,1,0),0)</f>
        <v>0</v>
      </c>
      <c r="AC345" s="43" t="n">
        <f aca="false">IF(Arterial=0,IF(Informed=0,1,0),0)</f>
        <v>0</v>
      </c>
      <c r="AD345" s="43" t="n">
        <f aca="false">IF(Arterial=1,IF(Informed=1,1,0),0)</f>
        <v>0</v>
      </c>
      <c r="AE345" s="43" t="n">
        <f aca="false">IF(Arterial=1,IF(Informed=0,1,0),0)</f>
        <v>1</v>
      </c>
      <c r="AF345" s="35" t="n">
        <f aca="false">IF(AB345=1,(X345-G$1030)^2,0)</f>
        <v>0</v>
      </c>
      <c r="AG345" s="35" t="n">
        <f aca="false">IF(AC345=1,(Y345-H$1030)^2,0)</f>
        <v>0</v>
      </c>
      <c r="AH345" s="35" t="n">
        <f aca="false">IF(AD345=1,(Z345-I$1030)^2,0)</f>
        <v>0</v>
      </c>
      <c r="AI345" s="35" t="n">
        <f aca="false">IF(AE345=1,(AA345-J$1030)^2,0)</f>
        <v>44.6200400797576</v>
      </c>
      <c r="AJ345" s="37" t="n">
        <f aca="true">IF(RAND()&lt;$D$6,1,0)</f>
        <v>0</v>
      </c>
      <c r="AK345" s="14" t="n">
        <f aca="false">AK344+IF((AJ345=1),IF((H345=0),1,0),0)</f>
        <v>0</v>
      </c>
      <c r="AL345" s="14" t="n">
        <f aca="false">AL344+IF((AJ345=1),IF((H345=1),1,0),0)</f>
        <v>0</v>
      </c>
      <c r="AM345" s="37" t="n">
        <f aca="false">IF(AK345=0,9999,IF($H345=0,IF($AJ345&lt;1,AM344+1,0),AM344))</f>
        <v>9999</v>
      </c>
      <c r="AN345" s="37" t="n">
        <f aca="false">IF(AL345=0,9999,IF($H345=1,IF($AJ345&lt;1,AN344+1,0),AN344))</f>
        <v>9999</v>
      </c>
      <c r="AO345" s="37" t="n">
        <f aca="false">IF($A345-AM345&gt;0,1/(1+AM345),0)</f>
        <v>0</v>
      </c>
      <c r="AP345" s="37" t="n">
        <f aca="false">IF($A345-AN345&gt;0,1/(1+AN345),0)</f>
        <v>0</v>
      </c>
      <c r="AQ345" s="7" t="n">
        <f aca="false">IF(AK345=0,0,MAX(MIN(1,AO345^Power),0))</f>
        <v>0</v>
      </c>
      <c r="AR345" s="7" t="n">
        <f aca="false">IF(AL345=0,0,MAX(MIN(1,AP345^Power),0))</f>
        <v>0</v>
      </c>
      <c r="AS345" s="7" t="n">
        <f aca="false">IF($AJ345=1,IF($H345=0,K345,AS344),AS344)</f>
        <v>0</v>
      </c>
      <c r="AT345" s="7" t="n">
        <f aca="false">IF($AJ345=1,IF($H345=1,N345,AT344),AT344)</f>
        <v>0</v>
      </c>
    </row>
    <row r="346" customFormat="false" ht="13" hidden="false" customHeight="false" outlineLevel="0" collapsed="false">
      <c r="A346" s="16" t="n">
        <v>329</v>
      </c>
      <c r="B346" s="37" t="n">
        <f aca="true">IF(RAND()&lt;$D$8,1,0)</f>
        <v>0</v>
      </c>
      <c r="C346" s="20" t="n">
        <f aca="true">-LN(RAND())/$D$2</f>
        <v>0.630376629879725</v>
      </c>
      <c r="D346" s="38" t="n">
        <f aca="false">D345+C346</f>
        <v>355.044708879062</v>
      </c>
      <c r="E346" s="39" t="n">
        <f aca="false">MAX($E$3,AS345)</f>
        <v>0</v>
      </c>
      <c r="F346" s="39" t="n">
        <f aca="false">MAX($E$3,AT345)</f>
        <v>0</v>
      </c>
      <c r="G346" s="40" t="n">
        <v>0.5</v>
      </c>
      <c r="H346" s="38" t="n">
        <f aca="true">IF((B346=1),(IF((F346&lt;E346),1,(IF((F346=E346),(IF(RAND()&lt;G346,1,0)),0)))),(IF((RAND()&lt;G346),1,0)))</f>
        <v>1</v>
      </c>
      <c r="I346" s="38" t="n">
        <f aca="true">IF((H346=1),0,$D$3+$D$5*(RAND()-0.5))</f>
        <v>0</v>
      </c>
      <c r="J346" s="38" t="n">
        <f aca="false">I346+MAX(D346,J345)</f>
        <v>359.521455586291</v>
      </c>
      <c r="K346" s="38" t="n">
        <f aca="false">IF((H346=0),J346-D346,0)</f>
        <v>0</v>
      </c>
      <c r="L346" s="38" t="n">
        <f aca="true">IF(($H346=0),0,$D$4+$D$5*(RAND()-0.5))</f>
        <v>1.7983959503663</v>
      </c>
      <c r="M346" s="38" t="n">
        <f aca="false">L346+MAX(D346,M345)</f>
        <v>379.097179832836</v>
      </c>
      <c r="N346" s="38" t="n">
        <f aca="false">IF((H346=1),M346-D346,0)</f>
        <v>24.0524709537744</v>
      </c>
      <c r="O346" s="16" t="n">
        <v>329</v>
      </c>
      <c r="P346" s="41" t="n">
        <f aca="false">IF((Arterial=0),P345+1,P345)</f>
        <v>153</v>
      </c>
      <c r="Q346" s="41" t="n">
        <f aca="false">IF((Arterial=1),Q345+1,Q345)</f>
        <v>176</v>
      </c>
      <c r="R346" s="42" t="n">
        <f aca="false">IF((RESET=1),0,R346+K346)</f>
        <v>536.387738077856</v>
      </c>
      <c r="S346" s="14" t="e">
        <f aca="false">IF(RESET=1,0,S346+N346)</f>
        <v>#N/A</v>
      </c>
      <c r="T346" s="2" t="n">
        <f aca="false">IF(RESET=1,0,T346+IF(H346=0,1,0))</f>
        <v>35</v>
      </c>
      <c r="U346" s="2" t="e">
        <f aca="false">IF(RESET=1,0,U346+H346)</f>
        <v>#N/A</v>
      </c>
      <c r="V346" s="14" t="n">
        <f aca="false">R346/(T346+0.00001)</f>
        <v>15.3253595664074</v>
      </c>
      <c r="W346" s="14" t="e">
        <f aca="false">S346/(U346+0.0001)</f>
        <v>#N/A</v>
      </c>
      <c r="X346" s="39" t="n">
        <f aca="false">IF(Informed=1,K346,0)</f>
        <v>0</v>
      </c>
      <c r="Y346" s="39" t="n">
        <f aca="false">IF(Informed=0,K346,0)</f>
        <v>0</v>
      </c>
      <c r="Z346" s="39" t="n">
        <f aca="false">IF(Informed=1,N346,0)</f>
        <v>0</v>
      </c>
      <c r="AA346" s="39" t="n">
        <f aca="false">IF(Informed=0,N346,0)</f>
        <v>24.0524709537744</v>
      </c>
      <c r="AB346" s="43" t="n">
        <f aca="false">IF(Arterial=0,IF(Informed=1,1,0),0)</f>
        <v>0</v>
      </c>
      <c r="AC346" s="43" t="n">
        <f aca="false">IF(Arterial=0,IF(Informed=0,1,0),0)</f>
        <v>0</v>
      </c>
      <c r="AD346" s="43" t="n">
        <f aca="false">IF(Arterial=1,IF(Informed=1,1,0),0)</f>
        <v>0</v>
      </c>
      <c r="AE346" s="43" t="n">
        <f aca="false">IF(Arterial=1,IF(Informed=0,1,0),0)</f>
        <v>1</v>
      </c>
      <c r="AF346" s="35" t="n">
        <f aca="false">IF(AB346=1,(X346-G$1030)^2,0)</f>
        <v>0</v>
      </c>
      <c r="AG346" s="35" t="n">
        <f aca="false">IF(AC346=1,(Y346-H$1030)^2,0)</f>
        <v>0</v>
      </c>
      <c r="AH346" s="35" t="n">
        <f aca="false">IF(AD346=1,(Z346-I$1030)^2,0)</f>
        <v>0</v>
      </c>
      <c r="AI346" s="35" t="n">
        <f aca="false">IF(AE346=1,(AA346-J$1030)^2,0)</f>
        <v>30.3799837361294</v>
      </c>
      <c r="AJ346" s="37" t="n">
        <f aca="true">IF(RAND()&lt;$D$6,1,0)</f>
        <v>0</v>
      </c>
      <c r="AK346" s="14" t="n">
        <f aca="false">AK345+IF((AJ346=1),IF((H346=0),1,0),0)</f>
        <v>0</v>
      </c>
      <c r="AL346" s="14" t="n">
        <f aca="false">AL345+IF((AJ346=1),IF((H346=1),1,0),0)</f>
        <v>0</v>
      </c>
      <c r="AM346" s="37" t="n">
        <f aca="false">IF(AK346=0,9999,IF($H346=0,IF($AJ346&lt;1,AM345+1,0),AM345))</f>
        <v>9999</v>
      </c>
      <c r="AN346" s="37" t="n">
        <f aca="false">IF(AL346=0,9999,IF($H346=1,IF($AJ346&lt;1,AN345+1,0),AN345))</f>
        <v>9999</v>
      </c>
      <c r="AO346" s="37" t="n">
        <f aca="false">IF($A346-AM346&gt;0,1/(1+AM346),0)</f>
        <v>0</v>
      </c>
      <c r="AP346" s="37" t="n">
        <f aca="false">IF($A346-AN346&gt;0,1/(1+AN346),0)</f>
        <v>0</v>
      </c>
      <c r="AQ346" s="7" t="n">
        <f aca="false">IF(AK346=0,0,MAX(MIN(1,AO346^Power),0))</f>
        <v>0</v>
      </c>
      <c r="AR346" s="7" t="n">
        <f aca="false">IF(AL346=0,0,MAX(MIN(1,AP346^Power),0))</f>
        <v>0</v>
      </c>
      <c r="AS346" s="7" t="n">
        <f aca="false">IF($AJ346=1,IF($H346=0,K346,AS345),AS345)</f>
        <v>0</v>
      </c>
      <c r="AT346" s="7" t="n">
        <f aca="false">IF($AJ346=1,IF($H346=1,N346,AT345),AT345)</f>
        <v>0</v>
      </c>
    </row>
    <row r="347" customFormat="false" ht="13" hidden="false" customHeight="false" outlineLevel="0" collapsed="false">
      <c r="A347" s="16" t="n">
        <v>330</v>
      </c>
      <c r="B347" s="37" t="n">
        <f aca="true">IF(RAND()&lt;$D$8,1,0)</f>
        <v>1</v>
      </c>
      <c r="C347" s="20" t="n">
        <f aca="true">-LN(RAND())/$D$2</f>
        <v>0.823071674103661</v>
      </c>
      <c r="D347" s="38" t="n">
        <f aca="false">D346+C347</f>
        <v>355.867780553166</v>
      </c>
      <c r="E347" s="39" t="n">
        <f aca="false">MAX($E$3,AS346)</f>
        <v>0</v>
      </c>
      <c r="F347" s="39" t="n">
        <f aca="false">MAX($E$3,AT346)</f>
        <v>0</v>
      </c>
      <c r="G347" s="40" t="n">
        <v>0.5</v>
      </c>
      <c r="H347" s="38" t="n">
        <f aca="true">IF((B347=1),(IF((F347&lt;E347),1,(IF((F347=E347),(IF(RAND()&lt;G347,1,0)),0)))),(IF((RAND()&lt;G347),1,0)))</f>
        <v>1</v>
      </c>
      <c r="I347" s="38" t="n">
        <f aca="true">IF((H347=1),0,$D$3+$D$5*(RAND()-0.5))</f>
        <v>0</v>
      </c>
      <c r="J347" s="38" t="n">
        <f aca="false">I347+MAX(D347,J346)</f>
        <v>359.521455586291</v>
      </c>
      <c r="K347" s="38" t="n">
        <f aca="false">IF((H347=0),J347-D347,0)</f>
        <v>0</v>
      </c>
      <c r="L347" s="38" t="n">
        <f aca="true">IF(($H347=0),0,$D$4+$D$5*(RAND()-0.5))</f>
        <v>2.17608029283592</v>
      </c>
      <c r="M347" s="38" t="n">
        <f aca="false">L347+MAX(D347,M346)</f>
        <v>381.273260125672</v>
      </c>
      <c r="N347" s="38" t="n">
        <f aca="false">IF((H347=1),M347-D347,0)</f>
        <v>25.4054795725066</v>
      </c>
      <c r="O347" s="16" t="n">
        <v>330</v>
      </c>
      <c r="P347" s="41" t="n">
        <f aca="false">IF((Arterial=0),P346+1,P346)</f>
        <v>153</v>
      </c>
      <c r="Q347" s="41" t="n">
        <f aca="false">IF((Arterial=1),Q346+1,Q346)</f>
        <v>177</v>
      </c>
      <c r="R347" s="42" t="n">
        <f aca="false">IF((RESET=1),0,R347+K347)</f>
        <v>567.081600476382</v>
      </c>
      <c r="S347" s="14" t="e">
        <f aca="false">IF(RESET=1,0,S347+N347)</f>
        <v>#N/A</v>
      </c>
      <c r="T347" s="2" t="n">
        <f aca="false">IF(RESET=1,0,T347+IF(H347=0,1,0))</f>
        <v>38</v>
      </c>
      <c r="U347" s="2" t="e">
        <f aca="false">IF(RESET=1,0,U347+H347)</f>
        <v>#N/A</v>
      </c>
      <c r="V347" s="14" t="n">
        <f aca="false">R347/(T347+0.00001)</f>
        <v>14.9231960853795</v>
      </c>
      <c r="W347" s="14" t="e">
        <f aca="false">S347/(U347+0.0001)</f>
        <v>#N/A</v>
      </c>
      <c r="X347" s="39" t="n">
        <f aca="false">IF(Informed=1,K347,0)</f>
        <v>0</v>
      </c>
      <c r="Y347" s="39" t="n">
        <f aca="false">IF(Informed=0,K347,0)</f>
        <v>0</v>
      </c>
      <c r="Z347" s="39" t="n">
        <f aca="false">IF(Informed=1,N347,0)</f>
        <v>25.4054795725066</v>
      </c>
      <c r="AA347" s="39" t="n">
        <f aca="false">IF(Informed=0,N347,0)</f>
        <v>0</v>
      </c>
      <c r="AB347" s="43" t="n">
        <f aca="false">IF(Arterial=0,IF(Informed=1,1,0),0)</f>
        <v>0</v>
      </c>
      <c r="AC347" s="43" t="n">
        <f aca="false">IF(Arterial=0,IF(Informed=0,1,0),0)</f>
        <v>0</v>
      </c>
      <c r="AD347" s="43" t="n">
        <f aca="false">IF(Arterial=1,IF(Informed=1,1,0),0)</f>
        <v>1</v>
      </c>
      <c r="AE347" s="43" t="n">
        <f aca="false">IF(Arterial=1,IF(Informed=0,1,0),0)</f>
        <v>0</v>
      </c>
      <c r="AF347" s="35" t="n">
        <f aca="false">IF(AB347=1,(X347-G$1030)^2,0)</f>
        <v>0</v>
      </c>
      <c r="AG347" s="35" t="n">
        <f aca="false">IF(AC347=1,(Y347-H$1030)^2,0)</f>
        <v>0</v>
      </c>
      <c r="AH347" s="35" t="n">
        <f aca="false">IF(AD347=1,(Z347-I$1030)^2,0)</f>
        <v>8.81707042687295</v>
      </c>
      <c r="AI347" s="35" t="n">
        <f aca="false">IF(AE347=1,(AA347-J$1030)^2,0)</f>
        <v>0</v>
      </c>
      <c r="AJ347" s="37" t="n">
        <f aca="true">IF(RAND()&lt;$D$6,1,0)</f>
        <v>0</v>
      </c>
      <c r="AK347" s="14" t="n">
        <f aca="false">AK346+IF((AJ347=1),IF((H347=0),1,0),0)</f>
        <v>0</v>
      </c>
      <c r="AL347" s="14" t="n">
        <f aca="false">AL346+IF((AJ347=1),IF((H347=1),1,0),0)</f>
        <v>0</v>
      </c>
      <c r="AM347" s="37" t="n">
        <f aca="false">IF(AK347=0,9999,IF($H347=0,IF($AJ347&lt;1,AM346+1,0),AM346))</f>
        <v>9999</v>
      </c>
      <c r="AN347" s="37" t="n">
        <f aca="false">IF(AL347=0,9999,IF($H347=1,IF($AJ347&lt;1,AN346+1,0),AN346))</f>
        <v>9999</v>
      </c>
      <c r="AO347" s="37" t="n">
        <f aca="false">IF($A347-AM347&gt;0,1/(1+AM347),0)</f>
        <v>0</v>
      </c>
      <c r="AP347" s="37" t="n">
        <f aca="false">IF($A347-AN347&gt;0,1/(1+AN347),0)</f>
        <v>0</v>
      </c>
      <c r="AQ347" s="7" t="n">
        <f aca="false">IF(AK347=0,0,MAX(MIN(1,AO347^Power),0))</f>
        <v>0</v>
      </c>
      <c r="AR347" s="7" t="n">
        <f aca="false">IF(AL347=0,0,MAX(MIN(1,AP347^Power),0))</f>
        <v>0</v>
      </c>
      <c r="AS347" s="7" t="n">
        <f aca="false">IF($AJ347=1,IF($H347=0,K347,AS346),AS346)</f>
        <v>0</v>
      </c>
      <c r="AT347" s="7" t="n">
        <f aca="false">IF($AJ347=1,IF($H347=1,N347,AT346),AT346)</f>
        <v>0</v>
      </c>
    </row>
    <row r="348" customFormat="false" ht="13" hidden="false" customHeight="false" outlineLevel="0" collapsed="false">
      <c r="A348" s="16" t="n">
        <v>331</v>
      </c>
      <c r="B348" s="37" t="n">
        <f aca="true">IF(RAND()&lt;$D$8,1,0)</f>
        <v>1</v>
      </c>
      <c r="C348" s="20" t="n">
        <f aca="true">-LN(RAND())/$D$2</f>
        <v>0.984891701386564</v>
      </c>
      <c r="D348" s="38" t="n">
        <f aca="false">D347+C348</f>
        <v>356.852672254552</v>
      </c>
      <c r="E348" s="39" t="n">
        <f aca="false">MAX($E$3,AS347)</f>
        <v>0</v>
      </c>
      <c r="F348" s="39" t="n">
        <f aca="false">MAX($E$3,AT347)</f>
        <v>0</v>
      </c>
      <c r="G348" s="40" t="n">
        <v>0.5</v>
      </c>
      <c r="H348" s="38" t="n">
        <f aca="true">IF((B348=1),(IF((F348&lt;E348),1,(IF((F348=E348),(IF(RAND()&lt;G348,1,0)),0)))),(IF((RAND()&lt;G348),1,0)))</f>
        <v>0</v>
      </c>
      <c r="I348" s="38" t="n">
        <f aca="true">IF((H348=1),0,$D$3+$D$5*(RAND()-0.5))</f>
        <v>1.93965509354207</v>
      </c>
      <c r="J348" s="38" t="n">
        <f aca="false">I348+MAX(D348,J347)</f>
        <v>361.461110679833</v>
      </c>
      <c r="K348" s="38" t="n">
        <f aca="false">IF((H348=0),J348-D348,0)</f>
        <v>4.60843842528044</v>
      </c>
      <c r="L348" s="38" t="n">
        <f aca="true">IF(($H348=0),0,$D$4+$D$5*(RAND()-0.5))</f>
        <v>0</v>
      </c>
      <c r="M348" s="38" t="n">
        <f aca="false">L348+MAX(D348,M347)</f>
        <v>381.273260125672</v>
      </c>
      <c r="N348" s="38" t="n">
        <f aca="false">IF((H348=1),M348-D348,0)</f>
        <v>0</v>
      </c>
      <c r="O348" s="16" t="n">
        <v>331</v>
      </c>
      <c r="P348" s="41" t="n">
        <f aca="false">IF((Arterial=0),P347+1,P347)</f>
        <v>154</v>
      </c>
      <c r="Q348" s="41" t="n">
        <f aca="false">IF((Arterial=1),Q347+1,Q347)</f>
        <v>177</v>
      </c>
      <c r="R348" s="42" t="e">
        <f aca="false">IF((RESET=1),0,R348+K348)</f>
        <v>#N/A</v>
      </c>
      <c r="S348" s="14" t="n">
        <f aca="false">IF(RESET=1,0,S348+N348)</f>
        <v>644.203410178228</v>
      </c>
      <c r="T348" s="2" t="e">
        <f aca="false">IF(RESET=1,0,T348+IF(H348=0,1,0))</f>
        <v>#N/A</v>
      </c>
      <c r="U348" s="2" t="n">
        <f aca="false">IF(RESET=1,0,U348+H348)</f>
        <v>49</v>
      </c>
      <c r="V348" s="14" t="e">
        <f aca="false">R348/(T348+0.00001)</f>
        <v>#N/A</v>
      </c>
      <c r="W348" s="14" t="n">
        <f aca="false">S348/(U348+0.0001)</f>
        <v>13.1469815404097</v>
      </c>
      <c r="X348" s="39" t="n">
        <f aca="false">IF(Informed=1,K348,0)</f>
        <v>4.60843842528044</v>
      </c>
      <c r="Y348" s="39" t="n">
        <f aca="false">IF(Informed=0,K348,0)</f>
        <v>0</v>
      </c>
      <c r="Z348" s="39" t="n">
        <f aca="false">IF(Informed=1,N348,0)</f>
        <v>0</v>
      </c>
      <c r="AA348" s="39" t="n">
        <f aca="false">IF(Informed=0,N348,0)</f>
        <v>0</v>
      </c>
      <c r="AB348" s="43" t="n">
        <f aca="false">IF(Arterial=0,IF(Informed=1,1,0),0)</f>
        <v>1</v>
      </c>
      <c r="AC348" s="43" t="n">
        <f aca="false">IF(Arterial=0,IF(Informed=0,1,0),0)</f>
        <v>0</v>
      </c>
      <c r="AD348" s="43" t="n">
        <f aca="false">IF(Arterial=1,IF(Informed=1,1,0),0)</f>
        <v>0</v>
      </c>
      <c r="AE348" s="43" t="n">
        <f aca="false">IF(Arterial=1,IF(Informed=0,1,0),0)</f>
        <v>0</v>
      </c>
      <c r="AF348" s="35" t="n">
        <f aca="false">IF(AB348=1,(X348-G$1030)^2,0)</f>
        <v>37.225127298418</v>
      </c>
      <c r="AG348" s="35" t="n">
        <f aca="false">IF(AC348=1,(Y348-H$1030)^2,0)</f>
        <v>0</v>
      </c>
      <c r="AH348" s="35" t="n">
        <f aca="false">IF(AD348=1,(Z348-I$1030)^2,0)</f>
        <v>0</v>
      </c>
      <c r="AI348" s="35" t="n">
        <f aca="false">IF(AE348=1,(AA348-J$1030)^2,0)</f>
        <v>0</v>
      </c>
      <c r="AJ348" s="37" t="n">
        <f aca="true">IF(RAND()&lt;$D$6,1,0)</f>
        <v>0</v>
      </c>
      <c r="AK348" s="14" t="n">
        <f aca="false">AK347+IF((AJ348=1),IF((H348=0),1,0),0)</f>
        <v>0</v>
      </c>
      <c r="AL348" s="14" t="n">
        <f aca="false">AL347+IF((AJ348=1),IF((H348=1),1,0),0)</f>
        <v>0</v>
      </c>
      <c r="AM348" s="37" t="n">
        <f aca="false">IF(AK348=0,9999,IF($H348=0,IF($AJ348&lt;1,AM347+1,0),AM347))</f>
        <v>9999</v>
      </c>
      <c r="AN348" s="37" t="n">
        <f aca="false">IF(AL348=0,9999,IF($H348=1,IF($AJ348&lt;1,AN347+1,0),AN347))</f>
        <v>9999</v>
      </c>
      <c r="AO348" s="37" t="n">
        <f aca="false">IF($A348-AM348&gt;0,1/(1+AM348),0)</f>
        <v>0</v>
      </c>
      <c r="AP348" s="37" t="n">
        <f aca="false">IF($A348-AN348&gt;0,1/(1+AN348),0)</f>
        <v>0</v>
      </c>
      <c r="AQ348" s="7" t="n">
        <f aca="false">IF(AK348=0,0,MAX(MIN(1,AO348^Power),0))</f>
        <v>0</v>
      </c>
      <c r="AR348" s="7" t="n">
        <f aca="false">IF(AL348=0,0,MAX(MIN(1,AP348^Power),0))</f>
        <v>0</v>
      </c>
      <c r="AS348" s="7" t="n">
        <f aca="false">IF($AJ348=1,IF($H348=0,K348,AS347),AS347)</f>
        <v>0</v>
      </c>
      <c r="AT348" s="7" t="n">
        <f aca="false">IF($AJ348=1,IF($H348=1,N348,AT347),AT347)</f>
        <v>0</v>
      </c>
    </row>
    <row r="349" customFormat="false" ht="13" hidden="false" customHeight="false" outlineLevel="0" collapsed="false">
      <c r="A349" s="16" t="n">
        <v>332</v>
      </c>
      <c r="B349" s="37" t="n">
        <f aca="true">IF(RAND()&lt;$D$8,1,0)</f>
        <v>1</v>
      </c>
      <c r="C349" s="20" t="n">
        <f aca="true">-LN(RAND())/$D$2</f>
        <v>3.0649364659639</v>
      </c>
      <c r="D349" s="38" t="n">
        <f aca="false">D348+C349</f>
        <v>359.917608720516</v>
      </c>
      <c r="E349" s="39" t="n">
        <f aca="false">MAX($E$3,AS348)</f>
        <v>0</v>
      </c>
      <c r="F349" s="39" t="n">
        <f aca="false">MAX($E$3,AT348)</f>
        <v>0</v>
      </c>
      <c r="G349" s="40" t="n">
        <v>0.5</v>
      </c>
      <c r="H349" s="38" t="n">
        <f aca="true">IF((B349=1),(IF((F349&lt;E349),1,(IF((F349=E349),(IF(RAND()&lt;G349,1,0)),0)))),(IF((RAND()&lt;G349),1,0)))</f>
        <v>1</v>
      </c>
      <c r="I349" s="38" t="n">
        <f aca="true">IF((H349=1),0,$D$3+$D$5*(RAND()-0.5))</f>
        <v>0</v>
      </c>
      <c r="J349" s="38" t="n">
        <f aca="false">I349+MAX(D349,J348)</f>
        <v>361.461110679833</v>
      </c>
      <c r="K349" s="38" t="n">
        <f aca="false">IF((H349=0),J349-D349,0)</f>
        <v>0</v>
      </c>
      <c r="L349" s="38" t="n">
        <f aca="true">IF(($H349=0),0,$D$4+$D$5*(RAND()-0.5))</f>
        <v>2.24794052869617</v>
      </c>
      <c r="M349" s="38" t="n">
        <f aca="false">L349+MAX(D349,M348)</f>
        <v>383.521200654368</v>
      </c>
      <c r="N349" s="38" t="n">
        <f aca="false">IF((H349=1),M349-D349,0)</f>
        <v>23.6035919338523</v>
      </c>
      <c r="O349" s="16" t="n">
        <v>332</v>
      </c>
      <c r="P349" s="41" t="n">
        <f aca="false">IF((Arterial=0),P348+1,P348)</f>
        <v>154</v>
      </c>
      <c r="Q349" s="41" t="n">
        <f aca="false">IF((Arterial=1),Q348+1,Q348)</f>
        <v>178</v>
      </c>
      <c r="R349" s="42" t="n">
        <f aca="false">IF((RESET=1),0,R349+K349)</f>
        <v>644.305946713573</v>
      </c>
      <c r="S349" s="14" t="e">
        <f aca="false">IF(RESET=1,0,S349+N349)</f>
        <v>#N/A</v>
      </c>
      <c r="T349" s="2" t="n">
        <f aca="false">IF(RESET=1,0,T349+IF(H349=0,1,0))</f>
        <v>44</v>
      </c>
      <c r="U349" s="2" t="e">
        <f aca="false">IF(RESET=1,0,U349+H349)</f>
        <v>#N/A</v>
      </c>
      <c r="V349" s="14" t="n">
        <f aca="false">R349/(T349+0.00001)</f>
        <v>14.6433136427372</v>
      </c>
      <c r="W349" s="14" t="e">
        <f aca="false">S349/(U349+0.0001)</f>
        <v>#N/A</v>
      </c>
      <c r="X349" s="39" t="n">
        <f aca="false">IF(Informed=1,K349,0)</f>
        <v>0</v>
      </c>
      <c r="Y349" s="39" t="n">
        <f aca="false">IF(Informed=0,K349,0)</f>
        <v>0</v>
      </c>
      <c r="Z349" s="39" t="n">
        <f aca="false">IF(Informed=1,N349,0)</f>
        <v>23.6035919338523</v>
      </c>
      <c r="AA349" s="39" t="n">
        <f aca="false">IF(Informed=0,N349,0)</f>
        <v>0</v>
      </c>
      <c r="AB349" s="43" t="n">
        <f aca="false">IF(Arterial=0,IF(Informed=1,1,0),0)</f>
        <v>0</v>
      </c>
      <c r="AC349" s="43" t="n">
        <f aca="false">IF(Arterial=0,IF(Informed=0,1,0),0)</f>
        <v>0</v>
      </c>
      <c r="AD349" s="43" t="n">
        <f aca="false">IF(Arterial=1,IF(Informed=1,1,0),0)</f>
        <v>1</v>
      </c>
      <c r="AE349" s="43" t="n">
        <f aca="false">IF(Arterial=1,IF(Informed=0,1,0),0)</f>
        <v>0</v>
      </c>
      <c r="AF349" s="35" t="n">
        <f aca="false">IF(AB349=1,(X349-G$1030)^2,0)</f>
        <v>0</v>
      </c>
      <c r="AG349" s="35" t="n">
        <f aca="false">IF(AC349=1,(Y349-H$1030)^2,0)</f>
        <v>0</v>
      </c>
      <c r="AH349" s="35" t="n">
        <f aca="false">IF(AD349=1,(Z349-I$1030)^2,0)</f>
        <v>22.76475842322</v>
      </c>
      <c r="AI349" s="35" t="n">
        <f aca="false">IF(AE349=1,(AA349-J$1030)^2,0)</f>
        <v>0</v>
      </c>
      <c r="AJ349" s="37" t="n">
        <f aca="true">IF(RAND()&lt;$D$6,1,0)</f>
        <v>0</v>
      </c>
      <c r="AK349" s="14" t="n">
        <f aca="false">AK348+IF((AJ349=1),IF((H349=0),1,0),0)</f>
        <v>0</v>
      </c>
      <c r="AL349" s="14" t="n">
        <f aca="false">AL348+IF((AJ349=1),IF((H349=1),1,0),0)</f>
        <v>0</v>
      </c>
      <c r="AM349" s="37" t="n">
        <f aca="false">IF(AK349=0,9999,IF($H349=0,IF($AJ349&lt;1,AM348+1,0),AM348))</f>
        <v>9999</v>
      </c>
      <c r="AN349" s="37" t="n">
        <f aca="false">IF(AL349=0,9999,IF($H349=1,IF($AJ349&lt;1,AN348+1,0),AN348))</f>
        <v>9999</v>
      </c>
      <c r="AO349" s="37" t="n">
        <f aca="false">IF($A349-AM349&gt;0,1/(1+AM349),0)</f>
        <v>0</v>
      </c>
      <c r="AP349" s="37" t="n">
        <f aca="false">IF($A349-AN349&gt;0,1/(1+AN349),0)</f>
        <v>0</v>
      </c>
      <c r="AQ349" s="7" t="n">
        <f aca="false">IF(AK349=0,0,MAX(MIN(1,AO349^Power),0))</f>
        <v>0</v>
      </c>
      <c r="AR349" s="7" t="n">
        <f aca="false">IF(AL349=0,0,MAX(MIN(1,AP349^Power),0))</f>
        <v>0</v>
      </c>
      <c r="AS349" s="7" t="n">
        <f aca="false">IF($AJ349=1,IF($H349=0,K349,AS348),AS348)</f>
        <v>0</v>
      </c>
      <c r="AT349" s="7" t="n">
        <f aca="false">IF($AJ349=1,IF($H349=1,N349,AT348),AT348)</f>
        <v>0</v>
      </c>
    </row>
    <row r="350" customFormat="false" ht="13" hidden="false" customHeight="false" outlineLevel="0" collapsed="false">
      <c r="A350" s="16" t="n">
        <v>333</v>
      </c>
      <c r="B350" s="37" t="n">
        <f aca="true">IF(RAND()&lt;$D$8,1,0)</f>
        <v>0</v>
      </c>
      <c r="C350" s="20" t="n">
        <f aca="true">-LN(RAND())/$D$2</f>
        <v>1.17090270620308</v>
      </c>
      <c r="D350" s="38" t="n">
        <f aca="false">D349+C350</f>
        <v>361.088511426719</v>
      </c>
      <c r="E350" s="39" t="n">
        <f aca="false">MAX($E$3,AS349)</f>
        <v>0</v>
      </c>
      <c r="F350" s="39" t="n">
        <f aca="false">MAX($E$3,AT349)</f>
        <v>0</v>
      </c>
      <c r="G350" s="40" t="n">
        <v>0.5</v>
      </c>
      <c r="H350" s="38" t="n">
        <f aca="true">IF((B350=1),(IF((F350&lt;E350),1,(IF((F350=E350),(IF(RAND()&lt;G350,1,0)),0)))),(IF((RAND()&lt;G350),1,0)))</f>
        <v>1</v>
      </c>
      <c r="I350" s="38" t="n">
        <f aca="true">IF((H350=1),0,$D$3+$D$5*(RAND()-0.5))</f>
        <v>0</v>
      </c>
      <c r="J350" s="38" t="n">
        <f aca="false">I350+MAX(D350,J349)</f>
        <v>361.461110679833</v>
      </c>
      <c r="K350" s="38" t="n">
        <f aca="false">IF((H350=0),J350-D350,0)</f>
        <v>0</v>
      </c>
      <c r="L350" s="38" t="n">
        <f aca="true">IF(($H350=0),0,$D$4+$D$5*(RAND()-0.5))</f>
        <v>1.82866238267277</v>
      </c>
      <c r="M350" s="38" t="n">
        <f aca="false">L350+MAX(D350,M349)</f>
        <v>385.349863037041</v>
      </c>
      <c r="N350" s="38" t="n">
        <f aca="false">IF((H350=1),M350-D350,0)</f>
        <v>24.261351610322</v>
      </c>
      <c r="O350" s="16" t="n">
        <v>333</v>
      </c>
      <c r="P350" s="41" t="n">
        <f aca="false">IF((Arterial=0),P349+1,P349)</f>
        <v>154</v>
      </c>
      <c r="Q350" s="41" t="n">
        <f aca="false">IF((Arterial=1),Q349+1,Q349)</f>
        <v>179</v>
      </c>
      <c r="R350" s="42" t="n">
        <f aca="false">IF((RESET=1),0,R350+K350)</f>
        <v>743.380604835402</v>
      </c>
      <c r="S350" s="14" t="e">
        <f aca="false">IF(RESET=1,0,S350+N350)</f>
        <v>#N/A</v>
      </c>
      <c r="T350" s="2" t="n">
        <f aca="false">IF(RESET=1,0,T350+IF(H350=0,1,0))</f>
        <v>46</v>
      </c>
      <c r="U350" s="2" t="e">
        <f aca="false">IF(RESET=1,0,U350+H350)</f>
        <v>#N/A</v>
      </c>
      <c r="V350" s="14" t="n">
        <f aca="false">R350/(T350+0.00001)</f>
        <v>16.1604444180643</v>
      </c>
      <c r="W350" s="14" t="e">
        <f aca="false">S350/(U350+0.0001)</f>
        <v>#N/A</v>
      </c>
      <c r="X350" s="39" t="n">
        <f aca="false">IF(Informed=1,K350,0)</f>
        <v>0</v>
      </c>
      <c r="Y350" s="39" t="n">
        <f aca="false">IF(Informed=0,K350,0)</f>
        <v>0</v>
      </c>
      <c r="Z350" s="39" t="n">
        <f aca="false">IF(Informed=1,N350,0)</f>
        <v>0</v>
      </c>
      <c r="AA350" s="39" t="n">
        <f aca="false">IF(Informed=0,N350,0)</f>
        <v>24.261351610322</v>
      </c>
      <c r="AB350" s="43" t="n">
        <f aca="false">IF(Arterial=0,IF(Informed=1,1,0),0)</f>
        <v>0</v>
      </c>
      <c r="AC350" s="43" t="n">
        <f aca="false">IF(Arterial=0,IF(Informed=0,1,0),0)</f>
        <v>0</v>
      </c>
      <c r="AD350" s="43" t="n">
        <f aca="false">IF(Arterial=1,IF(Informed=1,1,0),0)</f>
        <v>0</v>
      </c>
      <c r="AE350" s="43" t="n">
        <f aca="false">IF(Arterial=1,IF(Informed=0,1,0),0)</f>
        <v>1</v>
      </c>
      <c r="AF350" s="35" t="n">
        <f aca="false">IF(AB350=1,(X350-G$1030)^2,0)</f>
        <v>0</v>
      </c>
      <c r="AG350" s="35" t="n">
        <f aca="false">IF(AC350=1,(Y350-H$1030)^2,0)</f>
        <v>0</v>
      </c>
      <c r="AH350" s="35" t="n">
        <f aca="false">IF(AD350=1,(Z350-I$1030)^2,0)</f>
        <v>0</v>
      </c>
      <c r="AI350" s="35" t="n">
        <f aca="false">IF(AE350=1,(AA350-J$1030)^2,0)</f>
        <v>28.1209963730222</v>
      </c>
      <c r="AJ350" s="37" t="n">
        <f aca="true">IF(RAND()&lt;$D$6,1,0)</f>
        <v>0</v>
      </c>
      <c r="AK350" s="14" t="n">
        <f aca="false">AK349+IF((AJ350=1),IF((H350=0),1,0),0)</f>
        <v>0</v>
      </c>
      <c r="AL350" s="14" t="n">
        <f aca="false">AL349+IF((AJ350=1),IF((H350=1),1,0),0)</f>
        <v>0</v>
      </c>
      <c r="AM350" s="37" t="n">
        <f aca="false">IF(AK350=0,9999,IF($H350=0,IF($AJ350&lt;1,AM349+1,0),AM349))</f>
        <v>9999</v>
      </c>
      <c r="AN350" s="37" t="n">
        <f aca="false">IF(AL350=0,9999,IF($H350=1,IF($AJ350&lt;1,AN349+1,0),AN349))</f>
        <v>9999</v>
      </c>
      <c r="AO350" s="37" t="n">
        <f aca="false">IF($A350-AM350&gt;0,1/(1+AM350),0)</f>
        <v>0</v>
      </c>
      <c r="AP350" s="37" t="n">
        <f aca="false">IF($A350-AN350&gt;0,1/(1+AN350),0)</f>
        <v>0</v>
      </c>
      <c r="AQ350" s="7" t="n">
        <f aca="false">IF(AK350=0,0,MAX(MIN(1,AO350^Power),0))</f>
        <v>0</v>
      </c>
      <c r="AR350" s="7" t="n">
        <f aca="false">IF(AL350=0,0,MAX(MIN(1,AP350^Power),0))</f>
        <v>0</v>
      </c>
      <c r="AS350" s="7" t="n">
        <f aca="false">IF($AJ350=1,IF($H350=0,K350,AS349),AS349)</f>
        <v>0</v>
      </c>
      <c r="AT350" s="7" t="n">
        <f aca="false">IF($AJ350=1,IF($H350=1,N350,AT349),AT349)</f>
        <v>0</v>
      </c>
    </row>
    <row r="351" customFormat="false" ht="13" hidden="false" customHeight="false" outlineLevel="0" collapsed="false">
      <c r="A351" s="16" t="n">
        <v>334</v>
      </c>
      <c r="B351" s="37" t="n">
        <f aca="true">IF(RAND()&lt;$D$8,1,0)</f>
        <v>1</v>
      </c>
      <c r="C351" s="20" t="n">
        <f aca="true">-LN(RAND())/$D$2</f>
        <v>0.559684496993512</v>
      </c>
      <c r="D351" s="38" t="n">
        <f aca="false">D350+C351</f>
        <v>361.648195923713</v>
      </c>
      <c r="E351" s="39" t="n">
        <f aca="false">MAX($E$3,AS350)</f>
        <v>0</v>
      </c>
      <c r="F351" s="39" t="n">
        <f aca="false">MAX($E$3,AT350)</f>
        <v>0</v>
      </c>
      <c r="G351" s="40" t="n">
        <v>0.5</v>
      </c>
      <c r="H351" s="38" t="n">
        <f aca="true">IF((B351=1),(IF((F351&lt;E351),1,(IF((F351=E351),(IF(RAND()&lt;G351,1,0)),0)))),(IF((RAND()&lt;G351),1,0)))</f>
        <v>1</v>
      </c>
      <c r="I351" s="38" t="n">
        <f aca="true">IF((H351=1),0,$D$3+$D$5*(RAND()-0.5))</f>
        <v>0</v>
      </c>
      <c r="J351" s="38" t="n">
        <f aca="false">I351+MAX(D351,J350)</f>
        <v>361.648195923713</v>
      </c>
      <c r="K351" s="38" t="n">
        <f aca="false">IF((H351=0),J351-D351,0)</f>
        <v>0</v>
      </c>
      <c r="L351" s="38" t="n">
        <f aca="true">IF(($H351=0),0,$D$4+$D$5*(RAND()-0.5))</f>
        <v>2.18649402025239</v>
      </c>
      <c r="M351" s="38" t="n">
        <f aca="false">L351+MAX(D351,M350)</f>
        <v>387.536357057294</v>
      </c>
      <c r="N351" s="38" t="n">
        <f aca="false">IF((H351=1),M351-D351,0)</f>
        <v>25.8881611335809</v>
      </c>
      <c r="O351" s="16" t="n">
        <v>334</v>
      </c>
      <c r="P351" s="41" t="n">
        <f aca="false">IF((Arterial=0),P350+1,P350)</f>
        <v>154</v>
      </c>
      <c r="Q351" s="41" t="n">
        <f aca="false">IF((Arterial=1),Q350+1,Q350)</f>
        <v>180</v>
      </c>
      <c r="R351" s="42" t="n">
        <f aca="false">IF((RESET=1),0,R351+K351)</f>
        <v>640.882097882453</v>
      </c>
      <c r="S351" s="14" t="e">
        <f aca="false">IF(RESET=1,0,S351+N351)</f>
        <v>#N/A</v>
      </c>
      <c r="T351" s="2" t="n">
        <f aca="false">IF(RESET=1,0,T351+IF(H351=0,1,0))</f>
        <v>46</v>
      </c>
      <c r="U351" s="2" t="e">
        <f aca="false">IF(RESET=1,0,U351+H351)</f>
        <v>#N/A</v>
      </c>
      <c r="V351" s="14" t="n">
        <f aca="false">R351/(T351+0.00001)</f>
        <v>13.932216490441</v>
      </c>
      <c r="W351" s="14" t="e">
        <f aca="false">S351/(U351+0.0001)</f>
        <v>#N/A</v>
      </c>
      <c r="X351" s="39" t="n">
        <f aca="false">IF(Informed=1,K351,0)</f>
        <v>0</v>
      </c>
      <c r="Y351" s="39" t="n">
        <f aca="false">IF(Informed=0,K351,0)</f>
        <v>0</v>
      </c>
      <c r="Z351" s="39" t="n">
        <f aca="false">IF(Informed=1,N351,0)</f>
        <v>25.8881611335809</v>
      </c>
      <c r="AA351" s="39" t="n">
        <f aca="false">IF(Informed=0,N351,0)</f>
        <v>0</v>
      </c>
      <c r="AB351" s="43" t="n">
        <f aca="false">IF(Arterial=0,IF(Informed=1,1,0),0)</f>
        <v>0</v>
      </c>
      <c r="AC351" s="43" t="n">
        <f aca="false">IF(Arterial=0,IF(Informed=0,1,0),0)</f>
        <v>0</v>
      </c>
      <c r="AD351" s="43" t="n">
        <f aca="false">IF(Arterial=1,IF(Informed=1,1,0),0)</f>
        <v>1</v>
      </c>
      <c r="AE351" s="43" t="n">
        <f aca="false">IF(Arterial=1,IF(Informed=0,1,0),0)</f>
        <v>0</v>
      </c>
      <c r="AF351" s="35" t="n">
        <f aca="false">IF(AB351=1,(X351-G$1030)^2,0)</f>
        <v>0</v>
      </c>
      <c r="AG351" s="35" t="n">
        <f aca="false">IF(AC351=1,(Y351-H$1030)^2,0)</f>
        <v>0</v>
      </c>
      <c r="AH351" s="35" t="n">
        <f aca="false">IF(AD351=1,(Z351-I$1030)^2,0)</f>
        <v>6.18354588962284</v>
      </c>
      <c r="AI351" s="35" t="n">
        <f aca="false">IF(AE351=1,(AA351-J$1030)^2,0)</f>
        <v>0</v>
      </c>
      <c r="AJ351" s="37" t="n">
        <f aca="true">IF(RAND()&lt;$D$6,1,0)</f>
        <v>0</v>
      </c>
      <c r="AK351" s="14" t="n">
        <f aca="false">AK350+IF((AJ351=1),IF((H351=0),1,0),0)</f>
        <v>0</v>
      </c>
      <c r="AL351" s="14" t="n">
        <f aca="false">AL350+IF((AJ351=1),IF((H351=1),1,0),0)</f>
        <v>0</v>
      </c>
      <c r="AM351" s="37" t="n">
        <f aca="false">IF(AK351=0,9999,IF($H351=0,IF($AJ351&lt;1,AM350+1,0),AM350))</f>
        <v>9999</v>
      </c>
      <c r="AN351" s="37" t="n">
        <f aca="false">IF(AL351=0,9999,IF($H351=1,IF($AJ351&lt;1,AN350+1,0),AN350))</f>
        <v>9999</v>
      </c>
      <c r="AO351" s="37" t="n">
        <f aca="false">IF($A351-AM351&gt;0,1/(1+AM351),0)</f>
        <v>0</v>
      </c>
      <c r="AP351" s="37" t="n">
        <f aca="false">IF($A351-AN351&gt;0,1/(1+AN351),0)</f>
        <v>0</v>
      </c>
      <c r="AQ351" s="7" t="n">
        <f aca="false">IF(AK351=0,0,MAX(MIN(1,AO351^Power),0))</f>
        <v>0</v>
      </c>
      <c r="AR351" s="7" t="n">
        <f aca="false">IF(AL351=0,0,MAX(MIN(1,AP351^Power),0))</f>
        <v>0</v>
      </c>
      <c r="AS351" s="7" t="n">
        <f aca="false">IF($AJ351=1,IF($H351=0,K351,AS350),AS350)</f>
        <v>0</v>
      </c>
      <c r="AT351" s="7" t="n">
        <f aca="false">IF($AJ351=1,IF($H351=1,N351,AT350),AT350)</f>
        <v>0</v>
      </c>
    </row>
    <row r="352" customFormat="false" ht="13" hidden="false" customHeight="false" outlineLevel="0" collapsed="false">
      <c r="A352" s="16" t="n">
        <v>335</v>
      </c>
      <c r="B352" s="37" t="n">
        <f aca="true">IF(RAND()&lt;$D$8,1,0)</f>
        <v>1</v>
      </c>
      <c r="C352" s="20" t="n">
        <f aca="true">-LN(RAND())/$D$2</f>
        <v>0.430521929461225</v>
      </c>
      <c r="D352" s="38" t="n">
        <f aca="false">D351+C352</f>
        <v>362.078717853174</v>
      </c>
      <c r="E352" s="39" t="n">
        <f aca="false">MAX($E$3,AS351)</f>
        <v>0</v>
      </c>
      <c r="F352" s="39" t="n">
        <f aca="false">MAX($E$3,AT351)</f>
        <v>0</v>
      </c>
      <c r="G352" s="40" t="n">
        <v>0.5</v>
      </c>
      <c r="H352" s="38" t="n">
        <f aca="true">IF((B352=1),(IF((F352&lt;E352),1,(IF((F352=E352),(IF(RAND()&lt;G352,1,0)),0)))),(IF((RAND()&lt;G352),1,0)))</f>
        <v>1</v>
      </c>
      <c r="I352" s="38" t="n">
        <f aca="true">IF((H352=1),0,$D$3+$D$5*(RAND()-0.5))</f>
        <v>0</v>
      </c>
      <c r="J352" s="38" t="n">
        <f aca="false">I352+MAX(D352,J351)</f>
        <v>362.078717853174</v>
      </c>
      <c r="K352" s="38" t="n">
        <f aca="false">IF((H352=0),J352-D352,0)</f>
        <v>0</v>
      </c>
      <c r="L352" s="38" t="n">
        <f aca="true">IF(($H352=0),0,$D$4+$D$5*(RAND()-0.5))</f>
        <v>1.7538873735153</v>
      </c>
      <c r="M352" s="38" t="n">
        <f aca="false">L352+MAX(D352,M351)</f>
        <v>389.290244430809</v>
      </c>
      <c r="N352" s="38" t="n">
        <f aca="false">IF((H352=1),M352-D352,0)</f>
        <v>27.2115265776349</v>
      </c>
      <c r="O352" s="16" t="n">
        <v>335</v>
      </c>
      <c r="P352" s="41" t="n">
        <f aca="false">IF((Arterial=0),P351+1,P351)</f>
        <v>154</v>
      </c>
      <c r="Q352" s="41" t="n">
        <f aca="false">IF((Arterial=1),Q351+1,Q351)</f>
        <v>181</v>
      </c>
      <c r="R352" s="42" t="n">
        <f aca="false">IF((RESET=1),0,R352+K352)</f>
        <v>797.135916849963</v>
      </c>
      <c r="S352" s="14" t="e">
        <f aca="false">IF(RESET=1,0,S352+N352)</f>
        <v>#N/A</v>
      </c>
      <c r="T352" s="2" t="n">
        <f aca="false">IF(RESET=1,0,T352+IF(H352=0,1,0))</f>
        <v>54</v>
      </c>
      <c r="U352" s="2" t="e">
        <f aca="false">IF(RESET=1,0,U352+H352)</f>
        <v>#N/A</v>
      </c>
      <c r="V352" s="14" t="n">
        <f aca="false">R352/(T352+0.00001)</f>
        <v>14.7617735043005</v>
      </c>
      <c r="W352" s="14" t="e">
        <f aca="false">S352/(U352+0.0001)</f>
        <v>#N/A</v>
      </c>
      <c r="X352" s="39" t="n">
        <f aca="false">IF(Informed=1,K352,0)</f>
        <v>0</v>
      </c>
      <c r="Y352" s="39" t="n">
        <f aca="false">IF(Informed=0,K352,0)</f>
        <v>0</v>
      </c>
      <c r="Z352" s="39" t="n">
        <f aca="false">IF(Informed=1,N352,0)</f>
        <v>27.2115265776349</v>
      </c>
      <c r="AA352" s="39" t="n">
        <f aca="false">IF(Informed=0,N352,0)</f>
        <v>0</v>
      </c>
      <c r="AB352" s="43" t="n">
        <f aca="false">IF(Arterial=0,IF(Informed=1,1,0),0)</f>
        <v>0</v>
      </c>
      <c r="AC352" s="43" t="n">
        <f aca="false">IF(Arterial=0,IF(Informed=0,1,0),0)</f>
        <v>0</v>
      </c>
      <c r="AD352" s="43" t="n">
        <f aca="false">IF(Arterial=1,IF(Informed=1,1,0),0)</f>
        <v>1</v>
      </c>
      <c r="AE352" s="43" t="n">
        <f aca="false">IF(Arterial=1,IF(Informed=0,1,0),0)</f>
        <v>0</v>
      </c>
      <c r="AF352" s="35" t="n">
        <f aca="false">IF(AB352=1,(X352-G$1030)^2,0)</f>
        <v>0</v>
      </c>
      <c r="AG352" s="35" t="n">
        <f aca="false">IF(AC352=1,(Y352-H$1030)^2,0)</f>
        <v>0</v>
      </c>
      <c r="AH352" s="35" t="n">
        <f aca="false">IF(AD352=1,(Z352-I$1030)^2,0)</f>
        <v>1.35328600448507</v>
      </c>
      <c r="AI352" s="35" t="n">
        <f aca="false">IF(AE352=1,(AA352-J$1030)^2,0)</f>
        <v>0</v>
      </c>
      <c r="AJ352" s="37" t="n">
        <f aca="true">IF(RAND()&lt;$D$6,1,0)</f>
        <v>0</v>
      </c>
      <c r="AK352" s="14" t="n">
        <f aca="false">AK351+IF((AJ352=1),IF((H352=0),1,0),0)</f>
        <v>0</v>
      </c>
      <c r="AL352" s="14" t="n">
        <f aca="false">AL351+IF((AJ352=1),IF((H352=1),1,0),0)</f>
        <v>0</v>
      </c>
      <c r="AM352" s="37" t="n">
        <f aca="false">IF(AK352=0,9999,IF($H352=0,IF($AJ352&lt;1,AM351+1,0),AM351))</f>
        <v>9999</v>
      </c>
      <c r="AN352" s="37" t="n">
        <f aca="false">IF(AL352=0,9999,IF($H352=1,IF($AJ352&lt;1,AN351+1,0),AN351))</f>
        <v>9999</v>
      </c>
      <c r="AO352" s="37" t="n">
        <f aca="false">IF($A352-AM352&gt;0,1/(1+AM352),0)</f>
        <v>0</v>
      </c>
      <c r="AP352" s="37" t="n">
        <f aca="false">IF($A352-AN352&gt;0,1/(1+AN352),0)</f>
        <v>0</v>
      </c>
      <c r="AQ352" s="7" t="n">
        <f aca="false">IF(AK352=0,0,MAX(MIN(1,AO352^Power),0))</f>
        <v>0</v>
      </c>
      <c r="AR352" s="7" t="n">
        <f aca="false">IF(AL352=0,0,MAX(MIN(1,AP352^Power),0))</f>
        <v>0</v>
      </c>
      <c r="AS352" s="7" t="n">
        <f aca="false">IF($AJ352=1,IF($H352=0,K352,AS351),AS351)</f>
        <v>0</v>
      </c>
      <c r="AT352" s="7" t="n">
        <f aca="false">IF($AJ352=1,IF($H352=1,N352,AT351),AT351)</f>
        <v>0</v>
      </c>
    </row>
    <row r="353" customFormat="false" ht="13" hidden="false" customHeight="false" outlineLevel="0" collapsed="false">
      <c r="A353" s="16" t="n">
        <v>336</v>
      </c>
      <c r="B353" s="37" t="n">
        <f aca="true">IF(RAND()&lt;$D$8,1,0)</f>
        <v>1</v>
      </c>
      <c r="C353" s="20" t="n">
        <f aca="true">-LN(RAND())/$D$2</f>
        <v>0.159017753092428</v>
      </c>
      <c r="D353" s="38" t="n">
        <f aca="false">D352+C353</f>
        <v>362.237735606266</v>
      </c>
      <c r="E353" s="39" t="n">
        <f aca="false">MAX($E$3,AS352)</f>
        <v>0</v>
      </c>
      <c r="F353" s="39" t="n">
        <f aca="false">MAX($E$3,AT352)</f>
        <v>0</v>
      </c>
      <c r="G353" s="40" t="n">
        <v>0.5</v>
      </c>
      <c r="H353" s="38" t="n">
        <f aca="true">IF((B353=1),(IF((F353&lt;E353),1,(IF((F353=E353),(IF(RAND()&lt;G353,1,0)),0)))),(IF((RAND()&lt;G353),1,0)))</f>
        <v>1</v>
      </c>
      <c r="I353" s="38" t="n">
        <f aca="true">IF((H353=1),0,$D$3+$D$5*(RAND()-0.5))</f>
        <v>0</v>
      </c>
      <c r="J353" s="38" t="n">
        <f aca="false">I353+MAX(D353,J352)</f>
        <v>362.237735606266</v>
      </c>
      <c r="K353" s="38" t="n">
        <f aca="false">IF((H353=0),J353-D353,0)</f>
        <v>0</v>
      </c>
      <c r="L353" s="38" t="n">
        <f aca="true">IF(($H353=0),0,$D$4+$D$5*(RAND()-0.5))</f>
        <v>1.87333841126586</v>
      </c>
      <c r="M353" s="38" t="n">
        <f aca="false">L353+MAX(D353,M352)</f>
        <v>391.163582842075</v>
      </c>
      <c r="N353" s="38" t="n">
        <f aca="false">IF((H353=1),M353-D353,0)</f>
        <v>28.9258472358084</v>
      </c>
      <c r="O353" s="16" t="n">
        <v>336</v>
      </c>
      <c r="P353" s="41" t="n">
        <f aca="false">IF((Arterial=0),P352+1,P352)</f>
        <v>154</v>
      </c>
      <c r="Q353" s="41" t="n">
        <f aca="false">IF((Arterial=1),Q352+1,Q352)</f>
        <v>182</v>
      </c>
      <c r="R353" s="42" t="n">
        <f aca="false">IF((RESET=1),0,R353+K353)</f>
        <v>685.167828460639</v>
      </c>
      <c r="S353" s="14" t="e">
        <f aca="false">IF(RESET=1,0,S353+N353)</f>
        <v>#N/A</v>
      </c>
      <c r="T353" s="2" t="n">
        <f aca="false">IF(RESET=1,0,T353+IF(H353=0,1,0))</f>
        <v>43</v>
      </c>
      <c r="U353" s="2" t="e">
        <f aca="false">IF(RESET=1,0,U353+H353)</f>
        <v>#N/A</v>
      </c>
      <c r="V353" s="14" t="n">
        <f aca="false">R353/(T353+0.00001)</f>
        <v>15.9341318399842</v>
      </c>
      <c r="W353" s="14" t="e">
        <f aca="false">S353/(U353+0.0001)</f>
        <v>#N/A</v>
      </c>
      <c r="X353" s="39" t="n">
        <f aca="false">IF(Informed=1,K353,0)</f>
        <v>0</v>
      </c>
      <c r="Y353" s="39" t="n">
        <f aca="false">IF(Informed=0,K353,0)</f>
        <v>0</v>
      </c>
      <c r="Z353" s="39" t="n">
        <f aca="false">IF(Informed=1,N353,0)</f>
        <v>28.9258472358084</v>
      </c>
      <c r="AA353" s="39" t="n">
        <f aca="false">IF(Informed=0,N353,0)</f>
        <v>0</v>
      </c>
      <c r="AB353" s="43" t="n">
        <f aca="false">IF(Arterial=0,IF(Informed=1,1,0),0)</f>
        <v>0</v>
      </c>
      <c r="AC353" s="43" t="n">
        <f aca="false">IF(Arterial=0,IF(Informed=0,1,0),0)</f>
        <v>0</v>
      </c>
      <c r="AD353" s="43" t="n">
        <f aca="false">IF(Arterial=1,IF(Informed=1,1,0),0)</f>
        <v>1</v>
      </c>
      <c r="AE353" s="43" t="n">
        <f aca="false">IF(Arterial=1,IF(Informed=0,1,0),0)</f>
        <v>0</v>
      </c>
      <c r="AF353" s="35" t="n">
        <f aca="false">IF(AB353=1,(X353-G$1030)^2,0)</f>
        <v>0</v>
      </c>
      <c r="AG353" s="35" t="n">
        <f aca="false">IF(AC353=1,(Y353-H$1030)^2,0)</f>
        <v>0</v>
      </c>
      <c r="AH353" s="35" t="n">
        <f aca="false">IF(AD353=1,(Z353-I$1030)^2,0)</f>
        <v>0.30361471186952</v>
      </c>
      <c r="AI353" s="35" t="n">
        <f aca="false">IF(AE353=1,(AA353-J$1030)^2,0)</f>
        <v>0</v>
      </c>
      <c r="AJ353" s="37" t="n">
        <f aca="true">IF(RAND()&lt;$D$6,1,0)</f>
        <v>0</v>
      </c>
      <c r="AK353" s="14" t="n">
        <f aca="false">AK352+IF((AJ353=1),IF((H353=0),1,0),0)</f>
        <v>0</v>
      </c>
      <c r="AL353" s="14" t="n">
        <f aca="false">AL352+IF((AJ353=1),IF((H353=1),1,0),0)</f>
        <v>0</v>
      </c>
      <c r="AM353" s="37" t="n">
        <f aca="false">IF(AK353=0,9999,IF($H353=0,IF($AJ353&lt;1,AM352+1,0),AM352))</f>
        <v>9999</v>
      </c>
      <c r="AN353" s="37" t="n">
        <f aca="false">IF(AL353=0,9999,IF($H353=1,IF($AJ353&lt;1,AN352+1,0),AN352))</f>
        <v>9999</v>
      </c>
      <c r="AO353" s="37" t="n">
        <f aca="false">IF($A353-AM353&gt;0,1/(1+AM353),0)</f>
        <v>0</v>
      </c>
      <c r="AP353" s="37" t="n">
        <f aca="false">IF($A353-AN353&gt;0,1/(1+AN353),0)</f>
        <v>0</v>
      </c>
      <c r="AQ353" s="7" t="n">
        <f aca="false">IF(AK353=0,0,MAX(MIN(1,AO353^Power),0))</f>
        <v>0</v>
      </c>
      <c r="AR353" s="7" t="n">
        <f aca="false">IF(AL353=0,0,MAX(MIN(1,AP353^Power),0))</f>
        <v>0</v>
      </c>
      <c r="AS353" s="7" t="n">
        <f aca="false">IF($AJ353=1,IF($H353=0,K353,AS352),AS352)</f>
        <v>0</v>
      </c>
      <c r="AT353" s="7" t="n">
        <f aca="false">IF($AJ353=1,IF($H353=1,N353,AT352),AT352)</f>
        <v>0</v>
      </c>
    </row>
    <row r="354" customFormat="false" ht="13" hidden="false" customHeight="false" outlineLevel="0" collapsed="false">
      <c r="A354" s="16" t="n">
        <v>337</v>
      </c>
      <c r="B354" s="37" t="n">
        <f aca="true">IF(RAND()&lt;$D$8,1,0)</f>
        <v>0</v>
      </c>
      <c r="C354" s="20" t="n">
        <f aca="true">-LN(RAND())/$D$2</f>
        <v>0.395826599046671</v>
      </c>
      <c r="D354" s="38" t="n">
        <f aca="false">D353+C354</f>
        <v>362.633562205313</v>
      </c>
      <c r="E354" s="39" t="n">
        <f aca="false">MAX($E$3,AS353)</f>
        <v>0</v>
      </c>
      <c r="F354" s="39" t="n">
        <f aca="false">MAX($E$3,AT353)</f>
        <v>0</v>
      </c>
      <c r="G354" s="40" t="n">
        <v>0.5</v>
      </c>
      <c r="H354" s="38" t="n">
        <f aca="true">IF((B354=1),(IF((F354&lt;E354),1,(IF((F354=E354),(IF(RAND()&lt;G354,1,0)),0)))),(IF((RAND()&lt;G354),1,0)))</f>
        <v>1</v>
      </c>
      <c r="I354" s="38" t="n">
        <f aca="true">IF((H354=1),0,$D$3+$D$5*(RAND()-0.5))</f>
        <v>0</v>
      </c>
      <c r="J354" s="38" t="n">
        <f aca="false">I354+MAX(D354,J353)</f>
        <v>362.633562205313</v>
      </c>
      <c r="K354" s="38" t="n">
        <f aca="false">IF((H354=0),J354-D354,0)</f>
        <v>0</v>
      </c>
      <c r="L354" s="38" t="n">
        <f aca="true">IF(($H354=0),0,$D$4+$D$5*(RAND()-0.5))</f>
        <v>2.18103453791824</v>
      </c>
      <c r="M354" s="38" t="n">
        <f aca="false">L354+MAX(D354,M353)</f>
        <v>393.344617379993</v>
      </c>
      <c r="N354" s="38" t="n">
        <f aca="false">IF((H354=1),M354-D354,0)</f>
        <v>30.71105517468</v>
      </c>
      <c r="O354" s="16" t="n">
        <v>337</v>
      </c>
      <c r="P354" s="41" t="n">
        <f aca="false">IF((Arterial=0),P353+1,P353)</f>
        <v>154</v>
      </c>
      <c r="Q354" s="41" t="n">
        <f aca="false">IF((Arterial=1),Q353+1,Q353)</f>
        <v>183</v>
      </c>
      <c r="R354" s="42" t="n">
        <f aca="false">IF((RESET=1),0,R354+K354)</f>
        <v>618.66183055818</v>
      </c>
      <c r="S354" s="14" t="e">
        <f aca="false">IF(RESET=1,0,S354+N354)</f>
        <v>#N/A</v>
      </c>
      <c r="T354" s="2" t="n">
        <f aca="false">IF(RESET=1,0,T354+IF(H354=0,1,0))</f>
        <v>35</v>
      </c>
      <c r="U354" s="2" t="e">
        <f aca="false">IF(RESET=1,0,U354+H354)</f>
        <v>#N/A</v>
      </c>
      <c r="V354" s="14" t="n">
        <f aca="false">R354/(T354+0.00001)</f>
        <v>17.6760472513631</v>
      </c>
      <c r="W354" s="14" t="e">
        <f aca="false">S354/(U354+0.0001)</f>
        <v>#N/A</v>
      </c>
      <c r="X354" s="39" t="n">
        <f aca="false">IF(Informed=1,K354,0)</f>
        <v>0</v>
      </c>
      <c r="Y354" s="39" t="n">
        <f aca="false">IF(Informed=0,K354,0)</f>
        <v>0</v>
      </c>
      <c r="Z354" s="39" t="n">
        <f aca="false">IF(Informed=1,N354,0)</f>
        <v>0</v>
      </c>
      <c r="AA354" s="39" t="n">
        <f aca="false">IF(Informed=0,N354,0)</f>
        <v>30.71105517468</v>
      </c>
      <c r="AB354" s="43" t="n">
        <f aca="false">IF(Arterial=0,IF(Informed=1,1,0),0)</f>
        <v>0</v>
      </c>
      <c r="AC354" s="43" t="n">
        <f aca="false">IF(Arterial=0,IF(Informed=0,1,0),0)</f>
        <v>0</v>
      </c>
      <c r="AD354" s="43" t="n">
        <f aca="false">IF(Arterial=1,IF(Informed=1,1,0),0)</f>
        <v>0</v>
      </c>
      <c r="AE354" s="43" t="n">
        <f aca="false">IF(Arterial=1,IF(Informed=0,1,0),0)</f>
        <v>1</v>
      </c>
      <c r="AF354" s="35" t="n">
        <f aca="false">IF(AB354=1,(X354-G$1030)^2,0)</f>
        <v>0</v>
      </c>
      <c r="AG354" s="35" t="n">
        <f aca="false">IF(AC354=1,(Y354-H$1030)^2,0)</f>
        <v>0</v>
      </c>
      <c r="AH354" s="35" t="n">
        <f aca="false">IF(AD354=1,(Z354-I$1030)^2,0)</f>
        <v>0</v>
      </c>
      <c r="AI354" s="35" t="n">
        <f aca="false">IF(AE354=1,(AA354-J$1030)^2,0)</f>
        <v>1.31510479148021</v>
      </c>
      <c r="AJ354" s="37" t="n">
        <f aca="true">IF(RAND()&lt;$D$6,1,0)</f>
        <v>0</v>
      </c>
      <c r="AK354" s="14" t="n">
        <f aca="false">AK353+IF((AJ354=1),IF((H354=0),1,0),0)</f>
        <v>0</v>
      </c>
      <c r="AL354" s="14" t="n">
        <f aca="false">AL353+IF((AJ354=1),IF((H354=1),1,0),0)</f>
        <v>0</v>
      </c>
      <c r="AM354" s="37" t="n">
        <f aca="false">IF(AK354=0,9999,IF($H354=0,IF($AJ354&lt;1,AM353+1,0),AM353))</f>
        <v>9999</v>
      </c>
      <c r="AN354" s="37" t="n">
        <f aca="false">IF(AL354=0,9999,IF($H354=1,IF($AJ354&lt;1,AN353+1,0),AN353))</f>
        <v>9999</v>
      </c>
      <c r="AO354" s="37" t="n">
        <f aca="false">IF($A354-AM354&gt;0,1/(1+AM354),0)</f>
        <v>0</v>
      </c>
      <c r="AP354" s="37" t="n">
        <f aca="false">IF($A354-AN354&gt;0,1/(1+AN354),0)</f>
        <v>0</v>
      </c>
      <c r="AQ354" s="7" t="n">
        <f aca="false">IF(AK354=0,0,MAX(MIN(1,AO354^Power),0))</f>
        <v>0</v>
      </c>
      <c r="AR354" s="7" t="n">
        <f aca="false">IF(AL354=0,0,MAX(MIN(1,AP354^Power),0))</f>
        <v>0</v>
      </c>
      <c r="AS354" s="7" t="n">
        <f aca="false">IF($AJ354=1,IF($H354=0,K354,AS353),AS353)</f>
        <v>0</v>
      </c>
      <c r="AT354" s="7" t="n">
        <f aca="false">IF($AJ354=1,IF($H354=1,N354,AT353),AT353)</f>
        <v>0</v>
      </c>
    </row>
    <row r="355" customFormat="false" ht="13" hidden="false" customHeight="false" outlineLevel="0" collapsed="false">
      <c r="A355" s="16" t="n">
        <v>338</v>
      </c>
      <c r="B355" s="37" t="n">
        <f aca="true">IF(RAND()&lt;$D$8,1,0)</f>
        <v>1</v>
      </c>
      <c r="C355" s="20" t="n">
        <f aca="true">-LN(RAND())/$D$2</f>
        <v>0.309020176946377</v>
      </c>
      <c r="D355" s="38" t="n">
        <f aca="false">D354+C355</f>
        <v>362.942582382259</v>
      </c>
      <c r="E355" s="39" t="n">
        <f aca="false">MAX($E$3,AS354)</f>
        <v>0</v>
      </c>
      <c r="F355" s="39" t="n">
        <f aca="false">MAX($E$3,AT354)</f>
        <v>0</v>
      </c>
      <c r="G355" s="40" t="n">
        <v>0.5</v>
      </c>
      <c r="H355" s="38" t="n">
        <f aca="true">IF((B355=1),(IF((F355&lt;E355),1,(IF((F355=E355),(IF(RAND()&lt;G355,1,0)),0)))),(IF((RAND()&lt;G355),1,0)))</f>
        <v>0</v>
      </c>
      <c r="I355" s="38" t="n">
        <f aca="true">IF((H355=1),0,$D$3+$D$5*(RAND()-0.5))</f>
        <v>1.83345827748133</v>
      </c>
      <c r="J355" s="38" t="n">
        <f aca="false">I355+MAX(D355,J354)</f>
        <v>364.776040659741</v>
      </c>
      <c r="K355" s="38" t="n">
        <f aca="false">IF((H355=0),J355-D355,0)</f>
        <v>1.83345827748133</v>
      </c>
      <c r="L355" s="38" t="n">
        <f aca="true">IF(($H355=0),0,$D$4+$D$5*(RAND()-0.5))</f>
        <v>0</v>
      </c>
      <c r="M355" s="38" t="n">
        <f aca="false">L355+MAX(D355,M354)</f>
        <v>393.344617379993</v>
      </c>
      <c r="N355" s="38" t="n">
        <f aca="false">IF((H355=1),M355-D355,0)</f>
        <v>0</v>
      </c>
      <c r="O355" s="16" t="n">
        <v>338</v>
      </c>
      <c r="P355" s="41" t="n">
        <f aca="false">IF((Arterial=0),P354+1,P354)</f>
        <v>155</v>
      </c>
      <c r="Q355" s="41" t="n">
        <f aca="false">IF((Arterial=1),Q354+1,Q354)</f>
        <v>183</v>
      </c>
      <c r="R355" s="42" t="e">
        <f aca="false">IF((RESET=1),0,R355+K355)</f>
        <v>#N/A</v>
      </c>
      <c r="S355" s="14" t="n">
        <f aca="false">IF(RESET=1,0,S355+N355)</f>
        <v>643.474442427219</v>
      </c>
      <c r="T355" s="2" t="e">
        <f aca="false">IF(RESET=1,0,T355+IF(H355=0,1,0))</f>
        <v>#N/A</v>
      </c>
      <c r="U355" s="2" t="n">
        <f aca="false">IF(RESET=1,0,U355+H355)</f>
        <v>43</v>
      </c>
      <c r="V355" s="14" t="e">
        <f aca="false">R355/(T355+0.00001)</f>
        <v>#N/A</v>
      </c>
      <c r="W355" s="14" t="n">
        <f aca="false">S355/(U355+0.0001)</f>
        <v>14.9644871157792</v>
      </c>
      <c r="X355" s="39" t="n">
        <f aca="false">IF(Informed=1,K355,0)</f>
        <v>1.83345827748133</v>
      </c>
      <c r="Y355" s="39" t="n">
        <f aca="false">IF(Informed=0,K355,0)</f>
        <v>0</v>
      </c>
      <c r="Z355" s="39" t="n">
        <f aca="false">IF(Informed=1,N355,0)</f>
        <v>0</v>
      </c>
      <c r="AA355" s="39" t="n">
        <f aca="false">IF(Informed=0,N355,0)</f>
        <v>0</v>
      </c>
      <c r="AB355" s="43" t="n">
        <f aca="false">IF(Arterial=0,IF(Informed=1,1,0),0)</f>
        <v>1</v>
      </c>
      <c r="AC355" s="43" t="n">
        <f aca="false">IF(Arterial=0,IF(Informed=0,1,0),0)</f>
        <v>0</v>
      </c>
      <c r="AD355" s="43" t="n">
        <f aca="false">IF(Arterial=1,IF(Informed=1,1,0),0)</f>
        <v>0</v>
      </c>
      <c r="AE355" s="43" t="n">
        <f aca="false">IF(Arterial=1,IF(Informed=0,1,0),0)</f>
        <v>0</v>
      </c>
      <c r="AF355" s="35" t="n">
        <f aca="false">IF(AB355=1,(X355-G$1030)^2,0)</f>
        <v>78.787280854583</v>
      </c>
      <c r="AG355" s="35" t="n">
        <f aca="false">IF(AC355=1,(Y355-H$1030)^2,0)</f>
        <v>0</v>
      </c>
      <c r="AH355" s="35" t="n">
        <f aca="false">IF(AD355=1,(Z355-I$1030)^2,0)</f>
        <v>0</v>
      </c>
      <c r="AI355" s="35" t="n">
        <f aca="false">IF(AE355=1,(AA355-J$1030)^2,0)</f>
        <v>0</v>
      </c>
      <c r="AJ355" s="37" t="n">
        <f aca="true">IF(RAND()&lt;$D$6,1,0)</f>
        <v>0</v>
      </c>
      <c r="AK355" s="14" t="n">
        <f aca="false">AK354+IF((AJ355=1),IF((H355=0),1,0),0)</f>
        <v>0</v>
      </c>
      <c r="AL355" s="14" t="n">
        <f aca="false">AL354+IF((AJ355=1),IF((H355=1),1,0),0)</f>
        <v>0</v>
      </c>
      <c r="AM355" s="37" t="n">
        <f aca="false">IF(AK355=0,9999,IF($H355=0,IF($AJ355&lt;1,AM354+1,0),AM354))</f>
        <v>9999</v>
      </c>
      <c r="AN355" s="37" t="n">
        <f aca="false">IF(AL355=0,9999,IF($H355=1,IF($AJ355&lt;1,AN354+1,0),AN354))</f>
        <v>9999</v>
      </c>
      <c r="AO355" s="37" t="n">
        <f aca="false">IF($A355-AM355&gt;0,1/(1+AM355),0)</f>
        <v>0</v>
      </c>
      <c r="AP355" s="37" t="n">
        <f aca="false">IF($A355-AN355&gt;0,1/(1+AN355),0)</f>
        <v>0</v>
      </c>
      <c r="AQ355" s="7" t="n">
        <f aca="false">IF(AK355=0,0,MAX(MIN(1,AO355^Power),0))</f>
        <v>0</v>
      </c>
      <c r="AR355" s="7" t="n">
        <f aca="false">IF(AL355=0,0,MAX(MIN(1,AP355^Power),0))</f>
        <v>0</v>
      </c>
      <c r="AS355" s="7" t="n">
        <f aca="false">IF($AJ355=1,IF($H355=0,K355,AS354),AS354)</f>
        <v>0</v>
      </c>
      <c r="AT355" s="7" t="n">
        <f aca="false">IF($AJ355=1,IF($H355=1,N355,AT354),AT354)</f>
        <v>0</v>
      </c>
    </row>
    <row r="356" customFormat="false" ht="13" hidden="false" customHeight="false" outlineLevel="0" collapsed="false">
      <c r="A356" s="16" t="n">
        <v>339</v>
      </c>
      <c r="B356" s="37" t="n">
        <f aca="true">IF(RAND()&lt;$D$8,1,0)</f>
        <v>0</v>
      </c>
      <c r="C356" s="20" t="n">
        <f aca="true">-LN(RAND())/$D$2</f>
        <v>0.479394098563488</v>
      </c>
      <c r="D356" s="38" t="n">
        <f aca="false">D355+C356</f>
        <v>363.421976480823</v>
      </c>
      <c r="E356" s="39" t="n">
        <f aca="false">MAX($E$3,AS355)</f>
        <v>0</v>
      </c>
      <c r="F356" s="39" t="n">
        <f aca="false">MAX($E$3,AT355)</f>
        <v>0</v>
      </c>
      <c r="G356" s="40" t="n">
        <v>0.5</v>
      </c>
      <c r="H356" s="38" t="n">
        <f aca="true">IF((B356=1),(IF((F356&lt;E356),1,(IF((F356=E356),(IF(RAND()&lt;G356,1,0)),0)))),(IF((RAND()&lt;G356),1,0)))</f>
        <v>0</v>
      </c>
      <c r="I356" s="38" t="n">
        <f aca="true">IF((H356=1),0,$D$3+$D$5*(RAND()-0.5))</f>
        <v>1.90145579147447</v>
      </c>
      <c r="J356" s="38" t="n">
        <f aca="false">I356+MAX(D356,J355)</f>
        <v>366.677496451215</v>
      </c>
      <c r="K356" s="38" t="n">
        <f aca="false">IF((H356=0),J356-D356,0)</f>
        <v>3.2555199703923</v>
      </c>
      <c r="L356" s="38" t="n">
        <f aca="true">IF(($H356=0),0,$D$4+$D$5*(RAND()-0.5))</f>
        <v>0</v>
      </c>
      <c r="M356" s="38" t="n">
        <f aca="false">L356+MAX(D356,M355)</f>
        <v>393.344617379993</v>
      </c>
      <c r="N356" s="38" t="n">
        <f aca="false">IF((H356=1),M356-D356,0)</f>
        <v>0</v>
      </c>
      <c r="O356" s="16" t="n">
        <v>339</v>
      </c>
      <c r="P356" s="41" t="n">
        <f aca="false">IF((Arterial=0),P355+1,P355)</f>
        <v>156</v>
      </c>
      <c r="Q356" s="41" t="n">
        <f aca="false">IF((Arterial=1),Q355+1,Q355)</f>
        <v>183</v>
      </c>
      <c r="R356" s="42" t="e">
        <f aca="false">IF((RESET=1),0,R356+K356)</f>
        <v>#N/A</v>
      </c>
      <c r="S356" s="14" t="n">
        <f aca="false">IF(RESET=1,0,S356+N356)</f>
        <v>607.995887706506</v>
      </c>
      <c r="T356" s="2" t="e">
        <f aca="false">IF(RESET=1,0,T356+IF(H356=0,1,0))</f>
        <v>#N/A</v>
      </c>
      <c r="U356" s="2" t="n">
        <f aca="false">IF(RESET=1,0,U356+H356)</f>
        <v>39</v>
      </c>
      <c r="V356" s="14" t="e">
        <f aca="false">R356/(T356+0.00001)</f>
        <v>#N/A</v>
      </c>
      <c r="W356" s="14" t="n">
        <f aca="false">S356/(U356+0.0001)</f>
        <v>15.589598172992</v>
      </c>
      <c r="X356" s="39" t="n">
        <f aca="false">IF(Informed=1,K356,0)</f>
        <v>0</v>
      </c>
      <c r="Y356" s="39" t="n">
        <f aca="false">IF(Informed=0,K356,0)</f>
        <v>3.2555199703923</v>
      </c>
      <c r="Z356" s="39" t="n">
        <f aca="false">IF(Informed=1,N356,0)</f>
        <v>0</v>
      </c>
      <c r="AA356" s="39" t="n">
        <f aca="false">IF(Informed=0,N356,0)</f>
        <v>0</v>
      </c>
      <c r="AB356" s="43" t="n">
        <f aca="false">IF(Arterial=0,IF(Informed=1,1,0),0)</f>
        <v>0</v>
      </c>
      <c r="AC356" s="43" t="n">
        <f aca="false">IF(Arterial=0,IF(Informed=0,1,0),0)</f>
        <v>1</v>
      </c>
      <c r="AD356" s="43" t="n">
        <f aca="false">IF(Arterial=1,IF(Informed=1,1,0),0)</f>
        <v>0</v>
      </c>
      <c r="AE356" s="43" t="n">
        <f aca="false">IF(Arterial=1,IF(Informed=0,1,0),0)</f>
        <v>0</v>
      </c>
      <c r="AF356" s="35" t="n">
        <f aca="false">IF(AB356=1,(X356-G$1030)^2,0)</f>
        <v>0</v>
      </c>
      <c r="AG356" s="35" t="n">
        <f aca="false">IF(AC356=1,(Y356-H$1030)^2,0)</f>
        <v>58.8022924094774</v>
      </c>
      <c r="AH356" s="35" t="n">
        <f aca="false">IF(AD356=1,(Z356-I$1030)^2,0)</f>
        <v>0</v>
      </c>
      <c r="AI356" s="35" t="n">
        <f aca="false">IF(AE356=1,(AA356-J$1030)^2,0)</f>
        <v>0</v>
      </c>
      <c r="AJ356" s="37" t="n">
        <f aca="true">IF(RAND()&lt;$D$6,1,0)</f>
        <v>0</v>
      </c>
      <c r="AK356" s="14" t="n">
        <f aca="false">AK355+IF((AJ356=1),IF((H356=0),1,0),0)</f>
        <v>0</v>
      </c>
      <c r="AL356" s="14" t="n">
        <f aca="false">AL355+IF((AJ356=1),IF((H356=1),1,0),0)</f>
        <v>0</v>
      </c>
      <c r="AM356" s="37" t="n">
        <f aca="false">IF(AK356=0,9999,IF($H356=0,IF($AJ356&lt;1,AM355+1,0),AM355))</f>
        <v>9999</v>
      </c>
      <c r="AN356" s="37" t="n">
        <f aca="false">IF(AL356=0,9999,IF($H356=1,IF($AJ356&lt;1,AN355+1,0),AN355))</f>
        <v>9999</v>
      </c>
      <c r="AO356" s="37" t="n">
        <f aca="false">IF($A356-AM356&gt;0,1/(1+AM356),0)</f>
        <v>0</v>
      </c>
      <c r="AP356" s="37" t="n">
        <f aca="false">IF($A356-AN356&gt;0,1/(1+AN356),0)</f>
        <v>0</v>
      </c>
      <c r="AQ356" s="7" t="n">
        <f aca="false">IF(AK356=0,0,MAX(MIN(1,AO356^Power),0))</f>
        <v>0</v>
      </c>
      <c r="AR356" s="7" t="n">
        <f aca="false">IF(AL356=0,0,MAX(MIN(1,AP356^Power),0))</f>
        <v>0</v>
      </c>
      <c r="AS356" s="7" t="n">
        <f aca="false">IF($AJ356=1,IF($H356=0,K356,AS355),AS355)</f>
        <v>0</v>
      </c>
      <c r="AT356" s="7" t="n">
        <f aca="false">IF($AJ356=1,IF($H356=1,N356,AT355),AT355)</f>
        <v>0</v>
      </c>
    </row>
    <row r="357" customFormat="false" ht="13" hidden="false" customHeight="false" outlineLevel="0" collapsed="false">
      <c r="A357" s="16" t="n">
        <v>340</v>
      </c>
      <c r="B357" s="37" t="n">
        <f aca="true">IF(RAND()&lt;$D$8,1,0)</f>
        <v>1</v>
      </c>
      <c r="C357" s="20" t="n">
        <f aca="true">-LN(RAND())/$D$2</f>
        <v>0.482415979994859</v>
      </c>
      <c r="D357" s="38" t="n">
        <f aca="false">D356+C357</f>
        <v>363.904392460818</v>
      </c>
      <c r="E357" s="39" t="n">
        <f aca="false">MAX($E$3,AS356)</f>
        <v>0</v>
      </c>
      <c r="F357" s="39" t="n">
        <f aca="false">MAX($E$3,AT356)</f>
        <v>0</v>
      </c>
      <c r="G357" s="40" t="n">
        <v>0.5</v>
      </c>
      <c r="H357" s="38" t="n">
        <f aca="true">IF((B357=1),(IF((F357&lt;E357),1,(IF((F357=E357),(IF(RAND()&lt;G357,1,0)),0)))),(IF((RAND()&lt;G357),1,0)))</f>
        <v>1</v>
      </c>
      <c r="I357" s="38" t="n">
        <f aca="true">IF((H357=1),0,$D$3+$D$5*(RAND()-0.5))</f>
        <v>0</v>
      </c>
      <c r="J357" s="38" t="n">
        <f aca="false">I357+MAX(D357,J356)</f>
        <v>366.677496451215</v>
      </c>
      <c r="K357" s="38" t="n">
        <f aca="false">IF((H357=0),J357-D357,0)</f>
        <v>0</v>
      </c>
      <c r="L357" s="38" t="n">
        <f aca="true">IF(($H357=0),0,$D$4+$D$5*(RAND()-0.5))</f>
        <v>2.01518726103682</v>
      </c>
      <c r="M357" s="38" t="n">
        <f aca="false">L357+MAX(D357,M356)</f>
        <v>395.35980464103</v>
      </c>
      <c r="N357" s="38" t="n">
        <f aca="false">IF((H357=1),M357-D357,0)</f>
        <v>31.4554121802121</v>
      </c>
      <c r="O357" s="16" t="n">
        <v>340</v>
      </c>
      <c r="P357" s="41" t="n">
        <f aca="false">IF((Arterial=0),P356+1,P356)</f>
        <v>156</v>
      </c>
      <c r="Q357" s="41" t="n">
        <f aca="false">IF((Arterial=1),Q356+1,Q356)</f>
        <v>184</v>
      </c>
      <c r="R357" s="42" t="n">
        <f aca="false">IF((RESET=1),0,R357+K357)</f>
        <v>785.397363069445</v>
      </c>
      <c r="S357" s="14" t="e">
        <f aca="false">IF(RESET=1,0,S357+N357)</f>
        <v>#N/A</v>
      </c>
      <c r="T357" s="2" t="n">
        <f aca="false">IF(RESET=1,0,T357+IF(H357=0,1,0))</f>
        <v>42</v>
      </c>
      <c r="U357" s="2" t="e">
        <f aca="false">IF(RESET=1,0,U357+H357)</f>
        <v>#N/A</v>
      </c>
      <c r="V357" s="14" t="n">
        <f aca="false">R357/(T357+0.00001)</f>
        <v>18.6999327635742</v>
      </c>
      <c r="W357" s="14" t="e">
        <f aca="false">S357/(U357+0.0001)</f>
        <v>#N/A</v>
      </c>
      <c r="X357" s="39" t="n">
        <f aca="false">IF(Informed=1,K357,0)</f>
        <v>0</v>
      </c>
      <c r="Y357" s="39" t="n">
        <f aca="false">IF(Informed=0,K357,0)</f>
        <v>0</v>
      </c>
      <c r="Z357" s="39" t="n">
        <f aca="false">IF(Informed=1,N357,0)</f>
        <v>31.4554121802121</v>
      </c>
      <c r="AA357" s="39" t="n">
        <f aca="false">IF(Informed=0,N357,0)</f>
        <v>0</v>
      </c>
      <c r="AB357" s="43" t="n">
        <f aca="false">IF(Arterial=0,IF(Informed=1,1,0),0)</f>
        <v>0</v>
      </c>
      <c r="AC357" s="43" t="n">
        <f aca="false">IF(Arterial=0,IF(Informed=0,1,0),0)</f>
        <v>0</v>
      </c>
      <c r="AD357" s="43" t="n">
        <f aca="false">IF(Arterial=1,IF(Informed=1,1,0),0)</f>
        <v>1</v>
      </c>
      <c r="AE357" s="43" t="n">
        <f aca="false">IF(Arterial=1,IF(Informed=0,1,0),0)</f>
        <v>0</v>
      </c>
      <c r="AF357" s="35" t="n">
        <f aca="false">IF(AB357=1,(X357-G$1030)^2,0)</f>
        <v>0</v>
      </c>
      <c r="AG357" s="35" t="n">
        <f aca="false">IF(AC357=1,(Y357-H$1030)^2,0)</f>
        <v>0</v>
      </c>
      <c r="AH357" s="35" t="n">
        <f aca="false">IF(AD357=1,(Z357-I$1030)^2,0)</f>
        <v>9.48995703714814</v>
      </c>
      <c r="AI357" s="35" t="n">
        <f aca="false">IF(AE357=1,(AA357-J$1030)^2,0)</f>
        <v>0</v>
      </c>
      <c r="AJ357" s="37" t="n">
        <f aca="true">IF(RAND()&lt;$D$6,1,0)</f>
        <v>0</v>
      </c>
      <c r="AK357" s="14" t="n">
        <f aca="false">AK356+IF((AJ357=1),IF((H357=0),1,0),0)</f>
        <v>0</v>
      </c>
      <c r="AL357" s="14" t="n">
        <f aca="false">AL356+IF((AJ357=1),IF((H357=1),1,0),0)</f>
        <v>0</v>
      </c>
      <c r="AM357" s="37" t="n">
        <f aca="false">IF(AK357=0,9999,IF($H357=0,IF($AJ357&lt;1,AM356+1,0),AM356))</f>
        <v>9999</v>
      </c>
      <c r="AN357" s="37" t="n">
        <f aca="false">IF(AL357=0,9999,IF($H357=1,IF($AJ357&lt;1,AN356+1,0),AN356))</f>
        <v>9999</v>
      </c>
      <c r="AO357" s="37" t="n">
        <f aca="false">IF($A357-AM357&gt;0,1/(1+AM357),0)</f>
        <v>0</v>
      </c>
      <c r="AP357" s="37" t="n">
        <f aca="false">IF($A357-AN357&gt;0,1/(1+AN357),0)</f>
        <v>0</v>
      </c>
      <c r="AQ357" s="7" t="n">
        <f aca="false">IF(AK357=0,0,MAX(MIN(1,AO357^Power),0))</f>
        <v>0</v>
      </c>
      <c r="AR357" s="7" t="n">
        <f aca="false">IF(AL357=0,0,MAX(MIN(1,AP357^Power),0))</f>
        <v>0</v>
      </c>
      <c r="AS357" s="7" t="n">
        <f aca="false">IF($AJ357=1,IF($H357=0,K357,AS356),AS356)</f>
        <v>0</v>
      </c>
      <c r="AT357" s="7" t="n">
        <f aca="false">IF($AJ357=1,IF($H357=1,N357,AT356),AT356)</f>
        <v>0</v>
      </c>
    </row>
    <row r="358" customFormat="false" ht="13" hidden="false" customHeight="false" outlineLevel="0" collapsed="false">
      <c r="A358" s="16" t="n">
        <v>341</v>
      </c>
      <c r="B358" s="37" t="n">
        <f aca="true">IF(RAND()&lt;$D$8,1,0)</f>
        <v>0</v>
      </c>
      <c r="C358" s="20" t="n">
        <f aca="true">-LN(RAND())/$D$2</f>
        <v>0.308583790851107</v>
      </c>
      <c r="D358" s="38" t="n">
        <f aca="false">D357+C358</f>
        <v>364.212976251669</v>
      </c>
      <c r="E358" s="39" t="n">
        <f aca="false">MAX($E$3,AS357)</f>
        <v>0</v>
      </c>
      <c r="F358" s="39" t="n">
        <f aca="false">MAX($E$3,AT357)</f>
        <v>0</v>
      </c>
      <c r="G358" s="40" t="n">
        <v>0.5</v>
      </c>
      <c r="H358" s="38" t="n">
        <f aca="true">IF((B358=1),(IF((F358&lt;E358),1,(IF((F358=E358),(IF(RAND()&lt;G358,1,0)),0)))),(IF((RAND()&lt;G358),1,0)))</f>
        <v>0</v>
      </c>
      <c r="I358" s="38" t="n">
        <f aca="true">IF((H358=1),0,$D$3+$D$5*(RAND()-0.5))</f>
        <v>2.16563106493098</v>
      </c>
      <c r="J358" s="38" t="n">
        <f aca="false">I358+MAX(D358,J357)</f>
        <v>368.843127516146</v>
      </c>
      <c r="K358" s="38" t="n">
        <f aca="false">IF((H358=0),J358-D358,0)</f>
        <v>4.63015126447732</v>
      </c>
      <c r="L358" s="38" t="n">
        <f aca="true">IF(($H358=0),0,$D$4+$D$5*(RAND()-0.5))</f>
        <v>0</v>
      </c>
      <c r="M358" s="38" t="n">
        <f aca="false">L358+MAX(D358,M357)</f>
        <v>395.35980464103</v>
      </c>
      <c r="N358" s="38" t="n">
        <f aca="false">IF((H358=1),M358-D358,0)</f>
        <v>0</v>
      </c>
      <c r="O358" s="16" t="n">
        <v>341</v>
      </c>
      <c r="P358" s="41" t="n">
        <f aca="false">IF((Arterial=0),P357+1,P357)</f>
        <v>157</v>
      </c>
      <c r="Q358" s="41" t="n">
        <f aca="false">IF((Arterial=1),Q357+1,Q357)</f>
        <v>184</v>
      </c>
      <c r="R358" s="42" t="e">
        <f aca="false">IF((RESET=1),0,R358+K358)</f>
        <v>#N/A</v>
      </c>
      <c r="S358" s="14" t="n">
        <f aca="false">IF(RESET=1,0,S358+N358)</f>
        <v>453.631306105605</v>
      </c>
      <c r="T358" s="2" t="e">
        <f aca="false">IF(RESET=1,0,T358+IF(H358=0,1,0))</f>
        <v>#N/A</v>
      </c>
      <c r="U358" s="2" t="n">
        <f aca="false">IF(RESET=1,0,U358+H358)</f>
        <v>37</v>
      </c>
      <c r="V358" s="14" t="e">
        <f aca="false">R358/(T358+0.00001)</f>
        <v>#N/A</v>
      </c>
      <c r="W358" s="14" t="n">
        <f aca="false">S358/(U358+0.0001)</f>
        <v>12.2602724345503</v>
      </c>
      <c r="X358" s="39" t="n">
        <f aca="false">IF(Informed=1,K358,0)</f>
        <v>0</v>
      </c>
      <c r="Y358" s="39" t="n">
        <f aca="false">IF(Informed=0,K358,0)</f>
        <v>4.63015126447732</v>
      </c>
      <c r="Z358" s="39" t="n">
        <f aca="false">IF(Informed=1,N358,0)</f>
        <v>0</v>
      </c>
      <c r="AA358" s="39" t="n">
        <f aca="false">IF(Informed=0,N358,0)</f>
        <v>0</v>
      </c>
      <c r="AB358" s="43" t="n">
        <f aca="false">IF(Arterial=0,IF(Informed=1,1,0),0)</f>
        <v>0</v>
      </c>
      <c r="AC358" s="43" t="n">
        <f aca="false">IF(Arterial=0,IF(Informed=0,1,0),0)</f>
        <v>1</v>
      </c>
      <c r="AD358" s="43" t="n">
        <f aca="false">IF(Arterial=1,IF(Informed=1,1,0),0)</f>
        <v>0</v>
      </c>
      <c r="AE358" s="43" t="n">
        <f aca="false">IF(Arterial=1,IF(Informed=0,1,0),0)</f>
        <v>0</v>
      </c>
      <c r="AF358" s="35" t="n">
        <f aca="false">IF(AB358=1,(X358-G$1030)^2,0)</f>
        <v>0</v>
      </c>
      <c r="AG358" s="35" t="n">
        <f aca="false">IF(AC358=1,(Y358-H$1030)^2,0)</f>
        <v>39.6098287527874</v>
      </c>
      <c r="AH358" s="35" t="n">
        <f aca="false">IF(AD358=1,(Z358-I$1030)^2,0)</f>
        <v>0</v>
      </c>
      <c r="AI358" s="35" t="n">
        <f aca="false">IF(AE358=1,(AA358-J$1030)^2,0)</f>
        <v>0</v>
      </c>
      <c r="AJ358" s="37" t="n">
        <f aca="true">IF(RAND()&lt;$D$6,1,0)</f>
        <v>0</v>
      </c>
      <c r="AK358" s="14" t="n">
        <f aca="false">AK357+IF((AJ358=1),IF((H358=0),1,0),0)</f>
        <v>0</v>
      </c>
      <c r="AL358" s="14" t="n">
        <f aca="false">AL357+IF((AJ358=1),IF((H358=1),1,0),0)</f>
        <v>0</v>
      </c>
      <c r="AM358" s="37" t="n">
        <f aca="false">IF(AK358=0,9999,IF($H358=0,IF($AJ358&lt;1,AM357+1,0),AM357))</f>
        <v>9999</v>
      </c>
      <c r="AN358" s="37" t="n">
        <f aca="false">IF(AL358=0,9999,IF($H358=1,IF($AJ358&lt;1,AN357+1,0),AN357))</f>
        <v>9999</v>
      </c>
      <c r="AO358" s="37" t="n">
        <f aca="false">IF($A358-AM358&gt;0,1/(1+AM358),0)</f>
        <v>0</v>
      </c>
      <c r="AP358" s="37" t="n">
        <f aca="false">IF($A358-AN358&gt;0,1/(1+AN358),0)</f>
        <v>0</v>
      </c>
      <c r="AQ358" s="7" t="n">
        <f aca="false">IF(AK358=0,0,MAX(MIN(1,AO358^Power),0))</f>
        <v>0</v>
      </c>
      <c r="AR358" s="7" t="n">
        <f aca="false">IF(AL358=0,0,MAX(MIN(1,AP358^Power),0))</f>
        <v>0</v>
      </c>
      <c r="AS358" s="7" t="n">
        <f aca="false">IF($AJ358=1,IF($H358=0,K358,AS357),AS357)</f>
        <v>0</v>
      </c>
      <c r="AT358" s="7" t="n">
        <f aca="false">IF($AJ358=1,IF($H358=1,N358,AT357),AT357)</f>
        <v>0</v>
      </c>
    </row>
    <row r="359" customFormat="false" ht="13" hidden="false" customHeight="false" outlineLevel="0" collapsed="false">
      <c r="A359" s="16" t="n">
        <v>342</v>
      </c>
      <c r="B359" s="37" t="n">
        <f aca="true">IF(RAND()&lt;$D$8,1,0)</f>
        <v>0</v>
      </c>
      <c r="C359" s="20" t="n">
        <f aca="true">-LN(RAND())/$D$2</f>
        <v>0.162326501732925</v>
      </c>
      <c r="D359" s="38" t="n">
        <f aca="false">D358+C359</f>
        <v>364.375302753402</v>
      </c>
      <c r="E359" s="39" t="n">
        <f aca="false">MAX($E$3,AS358)</f>
        <v>0</v>
      </c>
      <c r="F359" s="39" t="n">
        <f aca="false">MAX($E$3,AT358)</f>
        <v>0</v>
      </c>
      <c r="G359" s="40" t="n">
        <v>0.5</v>
      </c>
      <c r="H359" s="38" t="n">
        <f aca="true">IF((B359=1),(IF((F359&lt;E359),1,(IF((F359=E359),(IF(RAND()&lt;G359,1,0)),0)))),(IF((RAND()&lt;G359),1,0)))</f>
        <v>1</v>
      </c>
      <c r="I359" s="38" t="n">
        <f aca="true">IF((H359=1),0,$D$3+$D$5*(RAND()-0.5))</f>
        <v>0</v>
      </c>
      <c r="J359" s="38" t="n">
        <f aca="false">I359+MAX(D359,J358)</f>
        <v>368.843127516146</v>
      </c>
      <c r="K359" s="38" t="n">
        <f aca="false">IF((H359=0),J359-D359,0)</f>
        <v>0</v>
      </c>
      <c r="L359" s="38" t="n">
        <f aca="true">IF(($H359=0),0,$D$4+$D$5*(RAND()-0.5))</f>
        <v>1.82417749043752</v>
      </c>
      <c r="M359" s="38" t="n">
        <f aca="false">L359+MAX(D359,M358)</f>
        <v>397.183982131467</v>
      </c>
      <c r="N359" s="38" t="n">
        <f aca="false">IF((H359=1),M359-D359,0)</f>
        <v>32.8086793780656</v>
      </c>
      <c r="O359" s="16" t="n">
        <v>342</v>
      </c>
      <c r="P359" s="41" t="n">
        <f aca="false">IF((Arterial=0),P358+1,P358)</f>
        <v>157</v>
      </c>
      <c r="Q359" s="41" t="n">
        <f aca="false">IF((Arterial=1),Q358+1,Q358)</f>
        <v>185</v>
      </c>
      <c r="R359" s="42" t="n">
        <f aca="false">IF((RESET=1),0,R359+K359)</f>
        <v>321.695767861315</v>
      </c>
      <c r="S359" s="14" t="e">
        <f aca="false">IF(RESET=1,0,S359+N359)</f>
        <v>#N/A</v>
      </c>
      <c r="T359" s="2" t="n">
        <f aca="false">IF(RESET=1,0,T359+IF(H359=0,1,0))</f>
        <v>24</v>
      </c>
      <c r="U359" s="2" t="e">
        <f aca="false">IF(RESET=1,0,U359+H359)</f>
        <v>#N/A</v>
      </c>
      <c r="V359" s="14" t="n">
        <f aca="false">R359/(T359+0.00001)</f>
        <v>13.4039847425612</v>
      </c>
      <c r="W359" s="14" t="e">
        <f aca="false">S359/(U359+0.0001)</f>
        <v>#N/A</v>
      </c>
      <c r="X359" s="39" t="n">
        <f aca="false">IF(Informed=1,K359,0)</f>
        <v>0</v>
      </c>
      <c r="Y359" s="39" t="n">
        <f aca="false">IF(Informed=0,K359,0)</f>
        <v>0</v>
      </c>
      <c r="Z359" s="39" t="n">
        <f aca="false">IF(Informed=1,N359,0)</f>
        <v>0</v>
      </c>
      <c r="AA359" s="39" t="n">
        <f aca="false">IF(Informed=0,N359,0)</f>
        <v>32.8086793780656</v>
      </c>
      <c r="AB359" s="43" t="n">
        <f aca="false">IF(Arterial=0,IF(Informed=1,1,0),0)</f>
        <v>0</v>
      </c>
      <c r="AC359" s="43" t="n">
        <f aca="false">IF(Arterial=0,IF(Informed=0,1,0),0)</f>
        <v>0</v>
      </c>
      <c r="AD359" s="43" t="n">
        <f aca="false">IF(Arterial=1,IF(Informed=1,1,0),0)</f>
        <v>0</v>
      </c>
      <c r="AE359" s="43" t="n">
        <f aca="false">IF(Arterial=1,IF(Informed=0,1,0),0)</f>
        <v>1</v>
      </c>
      <c r="AF359" s="35" t="n">
        <f aca="false">IF(AB359=1,(X359-G$1030)^2,0)</f>
        <v>0</v>
      </c>
      <c r="AG359" s="35" t="n">
        <f aca="false">IF(AC359=1,(Y359-H$1030)^2,0)</f>
        <v>0</v>
      </c>
      <c r="AH359" s="35" t="n">
        <f aca="false">IF(AD359=1,(Z359-I$1030)^2,0)</f>
        <v>0</v>
      </c>
      <c r="AI359" s="35" t="n">
        <f aca="false">IF(AE359=1,(AA359-J$1030)^2,0)</f>
        <v>10.5261598319002</v>
      </c>
      <c r="AJ359" s="37" t="n">
        <f aca="true">IF(RAND()&lt;$D$6,1,0)</f>
        <v>0</v>
      </c>
      <c r="AK359" s="14" t="n">
        <f aca="false">AK358+IF((AJ359=1),IF((H359=0),1,0),0)</f>
        <v>0</v>
      </c>
      <c r="AL359" s="14" t="n">
        <f aca="false">AL358+IF((AJ359=1),IF((H359=1),1,0),0)</f>
        <v>0</v>
      </c>
      <c r="AM359" s="37" t="n">
        <f aca="false">IF(AK359=0,9999,IF($H359=0,IF($AJ359&lt;1,AM358+1,0),AM358))</f>
        <v>9999</v>
      </c>
      <c r="AN359" s="37" t="n">
        <f aca="false">IF(AL359=0,9999,IF($H359=1,IF($AJ359&lt;1,AN358+1,0),AN358))</f>
        <v>9999</v>
      </c>
      <c r="AO359" s="37" t="n">
        <f aca="false">IF($A359-AM359&gt;0,1/(1+AM359),0)</f>
        <v>0</v>
      </c>
      <c r="AP359" s="37" t="n">
        <f aca="false">IF($A359-AN359&gt;0,1/(1+AN359),0)</f>
        <v>0</v>
      </c>
      <c r="AQ359" s="7" t="n">
        <f aca="false">IF(AK359=0,0,MAX(MIN(1,AO359^Power),0))</f>
        <v>0</v>
      </c>
      <c r="AR359" s="7" t="n">
        <f aca="false">IF(AL359=0,0,MAX(MIN(1,AP359^Power),0))</f>
        <v>0</v>
      </c>
      <c r="AS359" s="7" t="n">
        <f aca="false">IF($AJ359=1,IF($H359=0,K359,AS358),AS358)</f>
        <v>0</v>
      </c>
      <c r="AT359" s="7" t="n">
        <f aca="false">IF($AJ359=1,IF($H359=1,N359,AT358),AT358)</f>
        <v>0</v>
      </c>
    </row>
    <row r="360" customFormat="false" ht="13" hidden="false" customHeight="false" outlineLevel="0" collapsed="false">
      <c r="A360" s="16" t="n">
        <v>343</v>
      </c>
      <c r="B360" s="37" t="n">
        <f aca="true">IF(RAND()&lt;$D$8,1,0)</f>
        <v>1</v>
      </c>
      <c r="C360" s="20" t="n">
        <f aca="true">-LN(RAND())/$D$2</f>
        <v>1.52040858325175</v>
      </c>
      <c r="D360" s="38" t="n">
        <f aca="false">D359+C360</f>
        <v>365.895711336654</v>
      </c>
      <c r="E360" s="39" t="n">
        <f aca="false">MAX($E$3,AS359)</f>
        <v>0</v>
      </c>
      <c r="F360" s="39" t="n">
        <f aca="false">MAX($E$3,AT359)</f>
        <v>0</v>
      </c>
      <c r="G360" s="40" t="n">
        <v>0.5</v>
      </c>
      <c r="H360" s="38" t="n">
        <f aca="true">IF((B360=1),(IF((F360&lt;E360),1,(IF((F360=E360),(IF(RAND()&lt;G360,1,0)),0)))),(IF((RAND()&lt;G360),1,0)))</f>
        <v>1</v>
      </c>
      <c r="I360" s="38" t="n">
        <f aca="true">IF((H360=1),0,$D$3+$D$5*(RAND()-0.5))</f>
        <v>0</v>
      </c>
      <c r="J360" s="38" t="n">
        <f aca="false">I360+MAX(D360,J359)</f>
        <v>368.843127516146</v>
      </c>
      <c r="K360" s="38" t="n">
        <f aca="false">IF((H360=0),J360-D360,0)</f>
        <v>0</v>
      </c>
      <c r="L360" s="38" t="n">
        <f aca="true">IF(($H360=0),0,$D$4+$D$5*(RAND()-0.5))</f>
        <v>1.83506933283809</v>
      </c>
      <c r="M360" s="38" t="n">
        <f aca="false">L360+MAX(D360,M359)</f>
        <v>399.019051464305</v>
      </c>
      <c r="N360" s="38" t="n">
        <f aca="false">IF((H360=1),M360-D360,0)</f>
        <v>33.1233401276519</v>
      </c>
      <c r="O360" s="16" t="n">
        <v>343</v>
      </c>
      <c r="P360" s="41" t="n">
        <f aca="false">IF((Arterial=0),P359+1,P359)</f>
        <v>157</v>
      </c>
      <c r="Q360" s="41" t="n">
        <f aca="false">IF((Arterial=1),Q359+1,Q359)</f>
        <v>186</v>
      </c>
      <c r="R360" s="42" t="n">
        <f aca="false">IF((RESET=1),0,R360+K360)</f>
        <v>828.167222867593</v>
      </c>
      <c r="S360" s="14" t="e">
        <f aca="false">IF(RESET=1,0,S360+N360)</f>
        <v>#N/A</v>
      </c>
      <c r="T360" s="2" t="n">
        <f aca="false">IF(RESET=1,0,T360+IF(H360=0,1,0))</f>
        <v>44</v>
      </c>
      <c r="U360" s="2" t="e">
        <f aca="false">IF(RESET=1,0,U360+H360)</f>
        <v>#N/A</v>
      </c>
      <c r="V360" s="14" t="n">
        <f aca="false">R360/(T360+0.00001)</f>
        <v>18.8219780601776</v>
      </c>
      <c r="W360" s="14" t="e">
        <f aca="false">S360/(U360+0.0001)</f>
        <v>#N/A</v>
      </c>
      <c r="X360" s="39" t="n">
        <f aca="false">IF(Informed=1,K360,0)</f>
        <v>0</v>
      </c>
      <c r="Y360" s="39" t="n">
        <f aca="false">IF(Informed=0,K360,0)</f>
        <v>0</v>
      </c>
      <c r="Z360" s="39" t="n">
        <f aca="false">IF(Informed=1,N360,0)</f>
        <v>33.1233401276519</v>
      </c>
      <c r="AA360" s="39" t="n">
        <f aca="false">IF(Informed=0,N360,0)</f>
        <v>0</v>
      </c>
      <c r="AB360" s="43" t="n">
        <f aca="false">IF(Arterial=0,IF(Informed=1,1,0),0)</f>
        <v>0</v>
      </c>
      <c r="AC360" s="43" t="n">
        <f aca="false">IF(Arterial=0,IF(Informed=0,1,0),0)</f>
        <v>0</v>
      </c>
      <c r="AD360" s="43" t="n">
        <f aca="false">IF(Arterial=1,IF(Informed=1,1,0),0)</f>
        <v>1</v>
      </c>
      <c r="AE360" s="43" t="n">
        <f aca="false">IF(Arterial=1,IF(Informed=0,1,0),0)</f>
        <v>0</v>
      </c>
      <c r="AF360" s="35" t="n">
        <f aca="false">IF(AB360=1,(X360-G$1030)^2,0)</f>
        <v>0</v>
      </c>
      <c r="AG360" s="35" t="n">
        <f aca="false">IF(AC360=1,(Y360-H$1030)^2,0)</f>
        <v>0</v>
      </c>
      <c r="AH360" s="35" t="n">
        <f aca="false">IF(AD360=1,(Z360-I$1030)^2,0)</f>
        <v>22.5483029109758</v>
      </c>
      <c r="AI360" s="35" t="n">
        <f aca="false">IF(AE360=1,(AA360-J$1030)^2,0)</f>
        <v>0</v>
      </c>
      <c r="AJ360" s="37" t="n">
        <f aca="true">IF(RAND()&lt;$D$6,1,0)</f>
        <v>0</v>
      </c>
      <c r="AK360" s="14" t="n">
        <f aca="false">AK359+IF((AJ360=1),IF((H360=0),1,0),0)</f>
        <v>0</v>
      </c>
      <c r="AL360" s="14" t="n">
        <f aca="false">AL359+IF((AJ360=1),IF((H360=1),1,0),0)</f>
        <v>0</v>
      </c>
      <c r="AM360" s="37" t="n">
        <f aca="false">IF(AK360=0,9999,IF($H360=0,IF($AJ360&lt;1,AM359+1,0),AM359))</f>
        <v>9999</v>
      </c>
      <c r="AN360" s="37" t="n">
        <f aca="false">IF(AL360=0,9999,IF($H360=1,IF($AJ360&lt;1,AN359+1,0),AN359))</f>
        <v>9999</v>
      </c>
      <c r="AO360" s="37" t="n">
        <f aca="false">IF($A360-AM360&gt;0,1/(1+AM360),0)</f>
        <v>0</v>
      </c>
      <c r="AP360" s="37" t="n">
        <f aca="false">IF($A360-AN360&gt;0,1/(1+AN360),0)</f>
        <v>0</v>
      </c>
      <c r="AQ360" s="7" t="n">
        <f aca="false">IF(AK360=0,0,MAX(MIN(1,AO360^Power),0))</f>
        <v>0</v>
      </c>
      <c r="AR360" s="7" t="n">
        <f aca="false">IF(AL360=0,0,MAX(MIN(1,AP360^Power),0))</f>
        <v>0</v>
      </c>
      <c r="AS360" s="7" t="n">
        <f aca="false">IF($AJ360=1,IF($H360=0,K360,AS359),AS359)</f>
        <v>0</v>
      </c>
      <c r="AT360" s="7" t="n">
        <f aca="false">IF($AJ360=1,IF($H360=1,N360,AT359),AT359)</f>
        <v>0</v>
      </c>
    </row>
    <row r="361" customFormat="false" ht="13" hidden="false" customHeight="false" outlineLevel="0" collapsed="false">
      <c r="A361" s="16" t="n">
        <v>344</v>
      </c>
      <c r="B361" s="37" t="n">
        <f aca="true">IF(RAND()&lt;$D$8,1,0)</f>
        <v>1</v>
      </c>
      <c r="C361" s="20" t="n">
        <f aca="true">-LN(RAND())/$D$2</f>
        <v>0.749440748427316</v>
      </c>
      <c r="D361" s="38" t="n">
        <f aca="false">D360+C361</f>
        <v>366.645152085081</v>
      </c>
      <c r="E361" s="39" t="n">
        <f aca="false">MAX($E$3,AS360)</f>
        <v>0</v>
      </c>
      <c r="F361" s="39" t="n">
        <f aca="false">MAX($E$3,AT360)</f>
        <v>0</v>
      </c>
      <c r="G361" s="40" t="n">
        <v>0.5</v>
      </c>
      <c r="H361" s="38" t="n">
        <f aca="true">IF((B361=1),(IF((F361&lt;E361),1,(IF((F361=E361),(IF(RAND()&lt;G361,1,0)),0)))),(IF((RAND()&lt;G361),1,0)))</f>
        <v>0</v>
      </c>
      <c r="I361" s="38" t="n">
        <f aca="true">IF((H361=1),0,$D$3+$D$5*(RAND()-0.5))</f>
        <v>2.15735424885833</v>
      </c>
      <c r="J361" s="38" t="n">
        <f aca="false">I361+MAX(D361,J360)</f>
        <v>371.000481765005</v>
      </c>
      <c r="K361" s="38" t="n">
        <f aca="false">IF((H361=0),J361-D361,0)</f>
        <v>4.35532967992361</v>
      </c>
      <c r="L361" s="38" t="n">
        <f aca="true">IF(($H361=0),0,$D$4+$D$5*(RAND()-0.5))</f>
        <v>0</v>
      </c>
      <c r="M361" s="38" t="n">
        <f aca="false">L361+MAX(D361,M360)</f>
        <v>399.019051464305</v>
      </c>
      <c r="N361" s="38" t="n">
        <f aca="false">IF((H361=1),M361-D361,0)</f>
        <v>0</v>
      </c>
      <c r="O361" s="16" t="n">
        <v>344</v>
      </c>
      <c r="P361" s="41" t="n">
        <f aca="false">IF((Arterial=0),P360+1,P360)</f>
        <v>158</v>
      </c>
      <c r="Q361" s="41" t="n">
        <f aca="false">IF((Arterial=1),Q360+1,Q360)</f>
        <v>186</v>
      </c>
      <c r="R361" s="42" t="e">
        <f aca="false">IF((RESET=1),0,R361+K361)</f>
        <v>#N/A</v>
      </c>
      <c r="S361" s="14" t="n">
        <f aca="false">IF(RESET=1,0,S361+N361)</f>
        <v>527.204163661013</v>
      </c>
      <c r="T361" s="2" t="e">
        <f aca="false">IF(RESET=1,0,T361+IF(H361=0,1,0))</f>
        <v>#N/A</v>
      </c>
      <c r="U361" s="2" t="n">
        <f aca="false">IF(RESET=1,0,U361+H361)</f>
        <v>39</v>
      </c>
      <c r="V361" s="14" t="e">
        <f aca="false">R361/(T361+0.00001)</f>
        <v>#N/A</v>
      </c>
      <c r="W361" s="14" t="n">
        <f aca="false">S361/(U361+0.0001)</f>
        <v>13.5180208168957</v>
      </c>
      <c r="X361" s="39" t="n">
        <f aca="false">IF(Informed=1,K361,0)</f>
        <v>4.35532967992361</v>
      </c>
      <c r="Y361" s="39" t="n">
        <f aca="false">IF(Informed=0,K361,0)</f>
        <v>0</v>
      </c>
      <c r="Z361" s="39" t="n">
        <f aca="false">IF(Informed=1,N361,0)</f>
        <v>0</v>
      </c>
      <c r="AA361" s="39" t="n">
        <f aca="false">IF(Informed=0,N361,0)</f>
        <v>0</v>
      </c>
      <c r="AB361" s="43" t="n">
        <f aca="false">IF(Arterial=0,IF(Informed=1,1,0),0)</f>
        <v>1</v>
      </c>
      <c r="AC361" s="43" t="n">
        <f aca="false">IF(Arterial=0,IF(Informed=0,1,0),0)</f>
        <v>0</v>
      </c>
      <c r="AD361" s="43" t="n">
        <f aca="false">IF(Arterial=1,IF(Informed=1,1,0),0)</f>
        <v>0</v>
      </c>
      <c r="AE361" s="43" t="n">
        <f aca="false">IF(Arterial=1,IF(Informed=0,1,0),0)</f>
        <v>0</v>
      </c>
      <c r="AF361" s="35" t="n">
        <f aca="false">IF(AB361=1,(X361-G$1030)^2,0)</f>
        <v>40.3777456455439</v>
      </c>
      <c r="AG361" s="35" t="n">
        <f aca="false">IF(AC361=1,(Y361-H$1030)^2,0)</f>
        <v>0</v>
      </c>
      <c r="AH361" s="35" t="n">
        <f aca="false">IF(AD361=1,(Z361-I$1030)^2,0)</f>
        <v>0</v>
      </c>
      <c r="AI361" s="35" t="n">
        <f aca="false">IF(AE361=1,(AA361-J$1030)^2,0)</f>
        <v>0</v>
      </c>
      <c r="AJ361" s="37" t="n">
        <f aca="true">IF(RAND()&lt;$D$6,1,0)</f>
        <v>0</v>
      </c>
      <c r="AK361" s="14" t="n">
        <f aca="false">AK360+IF((AJ361=1),IF((H361=0),1,0),0)</f>
        <v>0</v>
      </c>
      <c r="AL361" s="14" t="n">
        <f aca="false">AL360+IF((AJ361=1),IF((H361=1),1,0),0)</f>
        <v>0</v>
      </c>
      <c r="AM361" s="37" t="n">
        <f aca="false">IF(AK361=0,9999,IF($H361=0,IF($AJ361&lt;1,AM360+1,0),AM360))</f>
        <v>9999</v>
      </c>
      <c r="AN361" s="37" t="n">
        <f aca="false">IF(AL361=0,9999,IF($H361=1,IF($AJ361&lt;1,AN360+1,0),AN360))</f>
        <v>9999</v>
      </c>
      <c r="AO361" s="37" t="n">
        <f aca="false">IF($A361-AM361&gt;0,1/(1+AM361),0)</f>
        <v>0</v>
      </c>
      <c r="AP361" s="37" t="n">
        <f aca="false">IF($A361-AN361&gt;0,1/(1+AN361),0)</f>
        <v>0</v>
      </c>
      <c r="AQ361" s="7" t="n">
        <f aca="false">IF(AK361=0,0,MAX(MIN(1,AO361^Power),0))</f>
        <v>0</v>
      </c>
      <c r="AR361" s="7" t="n">
        <f aca="false">IF(AL361=0,0,MAX(MIN(1,AP361^Power),0))</f>
        <v>0</v>
      </c>
      <c r="AS361" s="7" t="n">
        <f aca="false">IF($AJ361=1,IF($H361=0,K361,AS360),AS360)</f>
        <v>0</v>
      </c>
      <c r="AT361" s="7" t="n">
        <f aca="false">IF($AJ361=1,IF($H361=1,N361,AT360),AT360)</f>
        <v>0</v>
      </c>
    </row>
    <row r="362" customFormat="false" ht="13" hidden="false" customHeight="false" outlineLevel="0" collapsed="false">
      <c r="A362" s="16" t="n">
        <v>345</v>
      </c>
      <c r="B362" s="37" t="n">
        <f aca="true">IF(RAND()&lt;$D$8,1,0)</f>
        <v>1</v>
      </c>
      <c r="C362" s="20" t="n">
        <f aca="true">-LN(RAND())/$D$2</f>
        <v>0.196474163613318</v>
      </c>
      <c r="D362" s="38" t="n">
        <f aca="false">D361+C362</f>
        <v>366.841626248694</v>
      </c>
      <c r="E362" s="39" t="n">
        <f aca="false">MAX($E$3,AS361)</f>
        <v>0</v>
      </c>
      <c r="F362" s="39" t="n">
        <f aca="false">MAX($E$3,AT361)</f>
        <v>0</v>
      </c>
      <c r="G362" s="40" t="n">
        <v>0.5</v>
      </c>
      <c r="H362" s="38" t="n">
        <f aca="true">IF((B362=1),(IF((F362&lt;E362),1,(IF((F362=E362),(IF(RAND()&lt;G362,1,0)),0)))),(IF((RAND()&lt;G362),1,0)))</f>
        <v>1</v>
      </c>
      <c r="I362" s="38" t="n">
        <f aca="true">IF((H362=1),0,$D$3+$D$5*(RAND()-0.5))</f>
        <v>0</v>
      </c>
      <c r="J362" s="38" t="n">
        <f aca="false">I362+MAX(D362,J361)</f>
        <v>371.000481765005</v>
      </c>
      <c r="K362" s="38" t="n">
        <f aca="false">IF((H362=0),J362-D362,0)</f>
        <v>0</v>
      </c>
      <c r="L362" s="38" t="n">
        <f aca="true">IF(($H362=0),0,$D$4+$D$5*(RAND()-0.5))</f>
        <v>2.07141497709957</v>
      </c>
      <c r="M362" s="38" t="n">
        <f aca="false">L362+MAX(D362,M361)</f>
        <v>401.090466441405</v>
      </c>
      <c r="N362" s="38" t="n">
        <f aca="false">IF((H362=1),M362-D362,0)</f>
        <v>34.2488401927108</v>
      </c>
      <c r="O362" s="16" t="n">
        <v>345</v>
      </c>
      <c r="P362" s="41" t="n">
        <f aca="false">IF((Arterial=0),P361+1,P361)</f>
        <v>158</v>
      </c>
      <c r="Q362" s="41" t="n">
        <f aca="false">IF((Arterial=1),Q361+1,Q361)</f>
        <v>187</v>
      </c>
      <c r="R362" s="42" t="n">
        <f aca="false">IF((RESET=1),0,R362+K362)</f>
        <v>562.016550660782</v>
      </c>
      <c r="S362" s="14" t="e">
        <f aca="false">IF(RESET=1,0,S362+N362)</f>
        <v>#N/A</v>
      </c>
      <c r="T362" s="2" t="n">
        <f aca="false">IF(RESET=1,0,T362+IF(H362=0,1,0))</f>
        <v>40</v>
      </c>
      <c r="U362" s="2" t="e">
        <f aca="false">IF(RESET=1,0,U362+H362)</f>
        <v>#N/A</v>
      </c>
      <c r="V362" s="14" t="n">
        <f aca="false">R362/(T362+0.00001)</f>
        <v>14.050410253917</v>
      </c>
      <c r="W362" s="14" t="e">
        <f aca="false">S362/(U362+0.0001)</f>
        <v>#N/A</v>
      </c>
      <c r="X362" s="39" t="n">
        <f aca="false">IF(Informed=1,K362,0)</f>
        <v>0</v>
      </c>
      <c r="Y362" s="39" t="n">
        <f aca="false">IF(Informed=0,K362,0)</f>
        <v>0</v>
      </c>
      <c r="Z362" s="39" t="n">
        <f aca="false">IF(Informed=1,N362,0)</f>
        <v>34.2488401927108</v>
      </c>
      <c r="AA362" s="39" t="n">
        <f aca="false">IF(Informed=0,N362,0)</f>
        <v>0</v>
      </c>
      <c r="AB362" s="43" t="n">
        <f aca="false">IF(Arterial=0,IF(Informed=1,1,0),0)</f>
        <v>0</v>
      </c>
      <c r="AC362" s="43" t="n">
        <f aca="false">IF(Arterial=0,IF(Informed=0,1,0),0)</f>
        <v>0</v>
      </c>
      <c r="AD362" s="43" t="n">
        <f aca="false">IF(Arterial=1,IF(Informed=1,1,0),0)</f>
        <v>1</v>
      </c>
      <c r="AE362" s="43" t="n">
        <f aca="false">IF(Arterial=1,IF(Informed=0,1,0),0)</f>
        <v>0</v>
      </c>
      <c r="AF362" s="35" t="n">
        <f aca="false">IF(AB362=1,(X362-G$1030)^2,0)</f>
        <v>0</v>
      </c>
      <c r="AG362" s="35" t="n">
        <f aca="false">IF(AC362=1,(Y362-H$1030)^2,0)</f>
        <v>0</v>
      </c>
      <c r="AH362" s="35" t="n">
        <f aca="false">IF(AD362=1,(Z362-I$1030)^2,0)</f>
        <v>34.5039394330582</v>
      </c>
      <c r="AI362" s="35" t="n">
        <f aca="false">IF(AE362=1,(AA362-J$1030)^2,0)</f>
        <v>0</v>
      </c>
      <c r="AJ362" s="37" t="n">
        <f aca="true">IF(RAND()&lt;$D$6,1,0)</f>
        <v>0</v>
      </c>
      <c r="AK362" s="14" t="n">
        <f aca="false">AK361+IF((AJ362=1),IF((H362=0),1,0),0)</f>
        <v>0</v>
      </c>
      <c r="AL362" s="14" t="n">
        <f aca="false">AL361+IF((AJ362=1),IF((H362=1),1,0),0)</f>
        <v>0</v>
      </c>
      <c r="AM362" s="37" t="n">
        <f aca="false">IF(AK362=0,9999,IF($H362=0,IF($AJ362&lt;1,AM361+1,0),AM361))</f>
        <v>9999</v>
      </c>
      <c r="AN362" s="37" t="n">
        <f aca="false">IF(AL362=0,9999,IF($H362=1,IF($AJ362&lt;1,AN361+1,0),AN361))</f>
        <v>9999</v>
      </c>
      <c r="AO362" s="37" t="n">
        <f aca="false">IF($A362-AM362&gt;0,1/(1+AM362),0)</f>
        <v>0</v>
      </c>
      <c r="AP362" s="37" t="n">
        <f aca="false">IF($A362-AN362&gt;0,1/(1+AN362),0)</f>
        <v>0</v>
      </c>
      <c r="AQ362" s="7" t="n">
        <f aca="false">IF(AK362=0,0,MAX(MIN(1,AO362^Power),0))</f>
        <v>0</v>
      </c>
      <c r="AR362" s="7" t="n">
        <f aca="false">IF(AL362=0,0,MAX(MIN(1,AP362^Power),0))</f>
        <v>0</v>
      </c>
      <c r="AS362" s="7" t="n">
        <f aca="false">IF($AJ362=1,IF($H362=0,K362,AS361),AS361)</f>
        <v>0</v>
      </c>
      <c r="AT362" s="7" t="n">
        <f aca="false">IF($AJ362=1,IF($H362=1,N362,AT361),AT361)</f>
        <v>0</v>
      </c>
    </row>
    <row r="363" customFormat="false" ht="13" hidden="false" customHeight="false" outlineLevel="0" collapsed="false">
      <c r="A363" s="16" t="n">
        <v>346</v>
      </c>
      <c r="B363" s="37" t="n">
        <f aca="true">IF(RAND()&lt;$D$8,1,0)</f>
        <v>0</v>
      </c>
      <c r="C363" s="20" t="n">
        <f aca="true">-LN(RAND())/$D$2</f>
        <v>1.48544229774717</v>
      </c>
      <c r="D363" s="38" t="n">
        <f aca="false">D362+C363</f>
        <v>368.327068546441</v>
      </c>
      <c r="E363" s="39" t="n">
        <f aca="false">MAX($E$3,AS362)</f>
        <v>0</v>
      </c>
      <c r="F363" s="39" t="n">
        <f aca="false">MAX($E$3,AT362)</f>
        <v>0</v>
      </c>
      <c r="G363" s="40" t="n">
        <v>0.5</v>
      </c>
      <c r="H363" s="38" t="n">
        <f aca="true">IF((B363=1),(IF((F363&lt;E363),1,(IF((F363=E363),(IF(RAND()&lt;G363,1,0)),0)))),(IF((RAND()&lt;G363),1,0)))</f>
        <v>1</v>
      </c>
      <c r="I363" s="38" t="n">
        <f aca="true">IF((H363=1),0,$D$3+$D$5*(RAND()-0.5))</f>
        <v>0</v>
      </c>
      <c r="J363" s="38" t="n">
        <f aca="false">I363+MAX(D363,J362)</f>
        <v>371.000481765005</v>
      </c>
      <c r="K363" s="38" t="n">
        <f aca="false">IF((H363=0),J363-D363,0)</f>
        <v>0</v>
      </c>
      <c r="L363" s="38" t="n">
        <f aca="true">IF(($H363=0),0,$D$4+$D$5*(RAND()-0.5))</f>
        <v>2.20221512769874</v>
      </c>
      <c r="M363" s="38" t="n">
        <f aca="false">L363+MAX(D363,M362)</f>
        <v>403.292681569104</v>
      </c>
      <c r="N363" s="38" t="n">
        <f aca="false">IF((H363=1),M363-D363,0)</f>
        <v>34.9656130226624</v>
      </c>
      <c r="O363" s="16" t="n">
        <v>346</v>
      </c>
      <c r="P363" s="41" t="n">
        <f aca="false">IF((Arterial=0),P362+1,P362)</f>
        <v>158</v>
      </c>
      <c r="Q363" s="41" t="n">
        <f aca="false">IF((Arterial=1),Q362+1,Q362)</f>
        <v>188</v>
      </c>
      <c r="R363" s="42" t="n">
        <f aca="false">IF((RESET=1),0,R363+K363)</f>
        <v>598.5762714198</v>
      </c>
      <c r="S363" s="14" t="e">
        <f aca="false">IF(RESET=1,0,S363+N363)</f>
        <v>#N/A</v>
      </c>
      <c r="T363" s="2" t="n">
        <f aca="false">IF(RESET=1,0,T363+IF(H363=0,1,0))</f>
        <v>39</v>
      </c>
      <c r="U363" s="2" t="e">
        <f aca="false">IF(RESET=1,0,U363+H363)</f>
        <v>#N/A</v>
      </c>
      <c r="V363" s="14" t="n">
        <f aca="false">R363/(T363+0.00001)</f>
        <v>15.3481055881729</v>
      </c>
      <c r="W363" s="14" t="e">
        <f aca="false">S363/(U363+0.0001)</f>
        <v>#N/A</v>
      </c>
      <c r="X363" s="39" t="n">
        <f aca="false">IF(Informed=1,K363,0)</f>
        <v>0</v>
      </c>
      <c r="Y363" s="39" t="n">
        <f aca="false">IF(Informed=0,K363,0)</f>
        <v>0</v>
      </c>
      <c r="Z363" s="39" t="n">
        <f aca="false">IF(Informed=1,N363,0)</f>
        <v>0</v>
      </c>
      <c r="AA363" s="39" t="n">
        <f aca="false">IF(Informed=0,N363,0)</f>
        <v>34.9656130226624</v>
      </c>
      <c r="AB363" s="43" t="n">
        <f aca="false">IF(Arterial=0,IF(Informed=1,1,0),0)</f>
        <v>0</v>
      </c>
      <c r="AC363" s="43" t="n">
        <f aca="false">IF(Arterial=0,IF(Informed=0,1,0),0)</f>
        <v>0</v>
      </c>
      <c r="AD363" s="43" t="n">
        <f aca="false">IF(Arterial=1,IF(Informed=1,1,0),0)</f>
        <v>0</v>
      </c>
      <c r="AE363" s="43" t="n">
        <f aca="false">IF(Arterial=1,IF(Informed=0,1,0),0)</f>
        <v>1</v>
      </c>
      <c r="AF363" s="35" t="n">
        <f aca="false">IF(AB363=1,(X363-G$1030)^2,0)</f>
        <v>0</v>
      </c>
      <c r="AG363" s="35" t="n">
        <f aca="false">IF(AC363=1,(Y363-H$1030)^2,0)</f>
        <v>0</v>
      </c>
      <c r="AH363" s="35" t="n">
        <f aca="false">IF(AD363=1,(Z363-I$1030)^2,0)</f>
        <v>0</v>
      </c>
      <c r="AI363" s="35" t="n">
        <f aca="false">IF(AE363=1,(AA363-J$1030)^2,0)</f>
        <v>29.174452540756</v>
      </c>
      <c r="AJ363" s="37" t="n">
        <f aca="true">IF(RAND()&lt;$D$6,1,0)</f>
        <v>0</v>
      </c>
      <c r="AK363" s="14" t="n">
        <f aca="false">AK362+IF((AJ363=1),IF((H363=0),1,0),0)</f>
        <v>0</v>
      </c>
      <c r="AL363" s="14" t="n">
        <f aca="false">AL362+IF((AJ363=1),IF((H363=1),1,0),0)</f>
        <v>0</v>
      </c>
      <c r="AM363" s="37" t="n">
        <f aca="false">IF(AK363=0,9999,IF($H363=0,IF($AJ363&lt;1,AM362+1,0),AM362))</f>
        <v>9999</v>
      </c>
      <c r="AN363" s="37" t="n">
        <f aca="false">IF(AL363=0,9999,IF($H363=1,IF($AJ363&lt;1,AN362+1,0),AN362))</f>
        <v>9999</v>
      </c>
      <c r="AO363" s="37" t="n">
        <f aca="false">IF($A363-AM363&gt;0,1/(1+AM363),0)</f>
        <v>0</v>
      </c>
      <c r="AP363" s="37" t="n">
        <f aca="false">IF($A363-AN363&gt;0,1/(1+AN363),0)</f>
        <v>0</v>
      </c>
      <c r="AQ363" s="7" t="n">
        <f aca="false">IF(AK363=0,0,MAX(MIN(1,AO363^Power),0))</f>
        <v>0</v>
      </c>
      <c r="AR363" s="7" t="n">
        <f aca="false">IF(AL363=0,0,MAX(MIN(1,AP363^Power),0))</f>
        <v>0</v>
      </c>
      <c r="AS363" s="7" t="n">
        <f aca="false">IF($AJ363=1,IF($H363=0,K363,AS362),AS362)</f>
        <v>0</v>
      </c>
      <c r="AT363" s="7" t="n">
        <f aca="false">IF($AJ363=1,IF($H363=1,N363,AT362),AT362)</f>
        <v>0</v>
      </c>
    </row>
    <row r="364" customFormat="false" ht="13" hidden="false" customHeight="false" outlineLevel="0" collapsed="false">
      <c r="A364" s="16" t="n">
        <v>347</v>
      </c>
      <c r="B364" s="37" t="n">
        <f aca="true">IF(RAND()&lt;$D$8,1,0)</f>
        <v>1</v>
      </c>
      <c r="C364" s="20" t="n">
        <f aca="true">-LN(RAND())/$D$2</f>
        <v>0.677623985263288</v>
      </c>
      <c r="D364" s="38" t="n">
        <f aca="false">D363+C364</f>
        <v>369.004692531705</v>
      </c>
      <c r="E364" s="39" t="n">
        <f aca="false">MAX($E$3,AS363)</f>
        <v>0</v>
      </c>
      <c r="F364" s="39" t="n">
        <f aca="false">MAX($E$3,AT363)</f>
        <v>0</v>
      </c>
      <c r="G364" s="40" t="n">
        <v>0.5</v>
      </c>
      <c r="H364" s="38" t="n">
        <f aca="true">IF((B364=1),(IF((F364&lt;E364),1,(IF((F364=E364),(IF(RAND()&lt;G364,1,0)),0)))),(IF((RAND()&lt;G364),1,0)))</f>
        <v>1</v>
      </c>
      <c r="I364" s="38" t="n">
        <f aca="true">IF((H364=1),0,$D$3+$D$5*(RAND()-0.5))</f>
        <v>0</v>
      </c>
      <c r="J364" s="38" t="n">
        <f aca="false">I364+MAX(D364,J363)</f>
        <v>371.000481765005</v>
      </c>
      <c r="K364" s="38" t="n">
        <f aca="false">IF((H364=0),J364-D364,0)</f>
        <v>0</v>
      </c>
      <c r="L364" s="38" t="n">
        <f aca="true">IF(($H364=0),0,$D$4+$D$5*(RAND()-0.5))</f>
        <v>2.0561935108979</v>
      </c>
      <c r="M364" s="38" t="n">
        <f aca="false">L364+MAX(D364,M363)</f>
        <v>405.348875080002</v>
      </c>
      <c r="N364" s="38" t="n">
        <f aca="false">IF((H364=1),M364-D364,0)</f>
        <v>36.344182548297</v>
      </c>
      <c r="O364" s="16" t="n">
        <v>347</v>
      </c>
      <c r="P364" s="41" t="n">
        <f aca="false">IF((Arterial=0),P363+1,P363)</f>
        <v>158</v>
      </c>
      <c r="Q364" s="41" t="n">
        <f aca="false">IF((Arterial=1),Q363+1,Q363)</f>
        <v>189</v>
      </c>
      <c r="R364" s="42" t="n">
        <f aca="false">IF((RESET=1),0,R364+K364)</f>
        <v>609.532672536516</v>
      </c>
      <c r="S364" s="14" t="e">
        <f aca="false">IF(RESET=1,0,S364+N364)</f>
        <v>#N/A</v>
      </c>
      <c r="T364" s="2" t="n">
        <f aca="false">IF(RESET=1,0,T364+IF(H364=0,1,0))</f>
        <v>33</v>
      </c>
      <c r="U364" s="2" t="e">
        <f aca="false">IF(RESET=1,0,U364+H364)</f>
        <v>#N/A</v>
      </c>
      <c r="V364" s="14" t="n">
        <f aca="false">R364/(T364+0.00001)</f>
        <v>18.4706814493849</v>
      </c>
      <c r="W364" s="14" t="e">
        <f aca="false">S364/(U364+0.0001)</f>
        <v>#N/A</v>
      </c>
      <c r="X364" s="39" t="n">
        <f aca="false">IF(Informed=1,K364,0)</f>
        <v>0</v>
      </c>
      <c r="Y364" s="39" t="n">
        <f aca="false">IF(Informed=0,K364,0)</f>
        <v>0</v>
      </c>
      <c r="Z364" s="39" t="n">
        <f aca="false">IF(Informed=1,N364,0)</f>
        <v>36.344182548297</v>
      </c>
      <c r="AA364" s="39" t="n">
        <f aca="false">IF(Informed=0,N364,0)</f>
        <v>0</v>
      </c>
      <c r="AB364" s="43" t="n">
        <f aca="false">IF(Arterial=0,IF(Informed=1,1,0),0)</f>
        <v>0</v>
      </c>
      <c r="AC364" s="43" t="n">
        <f aca="false">IF(Arterial=0,IF(Informed=0,1,0),0)</f>
        <v>0</v>
      </c>
      <c r="AD364" s="43" t="n">
        <f aca="false">IF(Arterial=1,IF(Informed=1,1,0),0)</f>
        <v>1</v>
      </c>
      <c r="AE364" s="43" t="n">
        <f aca="false">IF(Arterial=1,IF(Informed=0,1,0),0)</f>
        <v>0</v>
      </c>
      <c r="AF364" s="35" t="n">
        <f aca="false">IF(AB364=1,(X364-G$1030)^2,0)</f>
        <v>0</v>
      </c>
      <c r="AG364" s="35" t="n">
        <f aca="false">IF(AC364=1,(Y364-H$1030)^2,0)</f>
        <v>0</v>
      </c>
      <c r="AH364" s="35" t="n">
        <f aca="false">IF(AD364=1,(Z364-I$1030)^2,0)</f>
        <v>63.5105036410952</v>
      </c>
      <c r="AI364" s="35" t="n">
        <f aca="false">IF(AE364=1,(AA364-J$1030)^2,0)</f>
        <v>0</v>
      </c>
      <c r="AJ364" s="37" t="n">
        <f aca="true">IF(RAND()&lt;$D$6,1,0)</f>
        <v>0</v>
      </c>
      <c r="AK364" s="14" t="n">
        <f aca="false">AK363+IF((AJ364=1),IF((H364=0),1,0),0)</f>
        <v>0</v>
      </c>
      <c r="AL364" s="14" t="n">
        <f aca="false">AL363+IF((AJ364=1),IF((H364=1),1,0),0)</f>
        <v>0</v>
      </c>
      <c r="AM364" s="37" t="n">
        <f aca="false">IF(AK364=0,9999,IF($H364=0,IF($AJ364&lt;1,AM363+1,0),AM363))</f>
        <v>9999</v>
      </c>
      <c r="AN364" s="37" t="n">
        <f aca="false">IF(AL364=0,9999,IF($H364=1,IF($AJ364&lt;1,AN363+1,0),AN363))</f>
        <v>9999</v>
      </c>
      <c r="AO364" s="37" t="n">
        <f aca="false">IF($A364-AM364&gt;0,1/(1+AM364),0)</f>
        <v>0</v>
      </c>
      <c r="AP364" s="37" t="n">
        <f aca="false">IF($A364-AN364&gt;0,1/(1+AN364),0)</f>
        <v>0</v>
      </c>
      <c r="AQ364" s="7" t="n">
        <f aca="false">IF(AK364=0,0,MAX(MIN(1,AO364^Power),0))</f>
        <v>0</v>
      </c>
      <c r="AR364" s="7" t="n">
        <f aca="false">IF(AL364=0,0,MAX(MIN(1,AP364^Power),0))</f>
        <v>0</v>
      </c>
      <c r="AS364" s="7" t="n">
        <f aca="false">IF($AJ364=1,IF($H364=0,K364,AS363),AS363)</f>
        <v>0</v>
      </c>
      <c r="AT364" s="7" t="n">
        <f aca="false">IF($AJ364=1,IF($H364=1,N364,AT363),AT363)</f>
        <v>0</v>
      </c>
    </row>
    <row r="365" customFormat="false" ht="13" hidden="false" customHeight="false" outlineLevel="0" collapsed="false">
      <c r="A365" s="16" t="n">
        <v>348</v>
      </c>
      <c r="B365" s="37" t="n">
        <f aca="true">IF(RAND()&lt;$D$8,1,0)</f>
        <v>0</v>
      </c>
      <c r="C365" s="20" t="n">
        <f aca="true">-LN(RAND())/$D$2</f>
        <v>4.45437124355559</v>
      </c>
      <c r="D365" s="38" t="n">
        <f aca="false">D364+C365</f>
        <v>373.45906377526</v>
      </c>
      <c r="E365" s="39" t="n">
        <f aca="false">MAX($E$3,AS364)</f>
        <v>0</v>
      </c>
      <c r="F365" s="39" t="n">
        <f aca="false">MAX($E$3,AT364)</f>
        <v>0</v>
      </c>
      <c r="G365" s="40" t="n">
        <v>0.5</v>
      </c>
      <c r="H365" s="38" t="n">
        <f aca="true">IF((B365=1),(IF((F365&lt;E365),1,(IF((F365=E365),(IF(RAND()&lt;G365,1,0)),0)))),(IF((RAND()&lt;G365),1,0)))</f>
        <v>1</v>
      </c>
      <c r="I365" s="38" t="n">
        <f aca="true">IF((H365=1),0,$D$3+$D$5*(RAND()-0.5))</f>
        <v>0</v>
      </c>
      <c r="J365" s="38" t="n">
        <f aca="false">I365+MAX(D365,J364)</f>
        <v>373.45906377526</v>
      </c>
      <c r="K365" s="38" t="n">
        <f aca="false">IF((H365=0),J365-D365,0)</f>
        <v>0</v>
      </c>
      <c r="L365" s="38" t="n">
        <f aca="true">IF(($H365=0),0,$D$4+$D$5*(RAND()-0.5))</f>
        <v>1.88391264257494</v>
      </c>
      <c r="M365" s="38" t="n">
        <f aca="false">L365+MAX(D365,M364)</f>
        <v>407.232787722577</v>
      </c>
      <c r="N365" s="38" t="n">
        <f aca="false">IF((H365=1),M365-D365,0)</f>
        <v>33.7737239473163</v>
      </c>
      <c r="O365" s="16" t="n">
        <v>348</v>
      </c>
      <c r="P365" s="41" t="n">
        <f aca="false">IF((Arterial=0),P364+1,P364)</f>
        <v>158</v>
      </c>
      <c r="Q365" s="41" t="n">
        <f aca="false">IF((Arterial=1),Q364+1,Q364)</f>
        <v>190</v>
      </c>
      <c r="R365" s="42" t="n">
        <f aca="false">IF((RESET=1),0,R365+K365)</f>
        <v>738.808085564496</v>
      </c>
      <c r="S365" s="14" t="e">
        <f aca="false">IF(RESET=1,0,S365+N365)</f>
        <v>#N/A</v>
      </c>
      <c r="T365" s="2" t="n">
        <f aca="false">IF(RESET=1,0,T365+IF(H365=0,1,0))</f>
        <v>38</v>
      </c>
      <c r="U365" s="2" t="e">
        <f aca="false">IF(RESET=1,0,U365+H365)</f>
        <v>#N/A</v>
      </c>
      <c r="V365" s="14" t="n">
        <f aca="false">R365/(T365+0.00001)</f>
        <v>19.4423129247728</v>
      </c>
      <c r="W365" s="14" t="e">
        <f aca="false">S365/(U365+0.0001)</f>
        <v>#N/A</v>
      </c>
      <c r="X365" s="39" t="n">
        <f aca="false">IF(Informed=1,K365,0)</f>
        <v>0</v>
      </c>
      <c r="Y365" s="39" t="n">
        <f aca="false">IF(Informed=0,K365,0)</f>
        <v>0</v>
      </c>
      <c r="Z365" s="39" t="n">
        <f aca="false">IF(Informed=1,N365,0)</f>
        <v>0</v>
      </c>
      <c r="AA365" s="39" t="n">
        <f aca="false">IF(Informed=0,N365,0)</f>
        <v>33.7737239473163</v>
      </c>
      <c r="AB365" s="43" t="n">
        <f aca="false">IF(Arterial=0,IF(Informed=1,1,0),0)</f>
        <v>0</v>
      </c>
      <c r="AC365" s="43" t="n">
        <f aca="false">IF(Arterial=0,IF(Informed=0,1,0),0)</f>
        <v>0</v>
      </c>
      <c r="AD365" s="43" t="n">
        <f aca="false">IF(Arterial=1,IF(Informed=1,1,0),0)</f>
        <v>0</v>
      </c>
      <c r="AE365" s="43" t="n">
        <f aca="false">IF(Arterial=1,IF(Informed=0,1,0),0)</f>
        <v>1</v>
      </c>
      <c r="AF365" s="35" t="n">
        <f aca="false">IF(AB365=1,(X365-G$1030)^2,0)</f>
        <v>0</v>
      </c>
      <c r="AG365" s="35" t="n">
        <f aca="false">IF(AC365=1,(Y365-H$1030)^2,0)</f>
        <v>0</v>
      </c>
      <c r="AH365" s="35" t="n">
        <f aca="false">IF(AD365=1,(Z365-I$1030)^2,0)</f>
        <v>0</v>
      </c>
      <c r="AI365" s="35" t="n">
        <f aca="false">IF(AE365=1,(AA365-J$1030)^2,0)</f>
        <v>17.7194605224367</v>
      </c>
      <c r="AJ365" s="37" t="n">
        <f aca="true">IF(RAND()&lt;$D$6,1,0)</f>
        <v>0</v>
      </c>
      <c r="AK365" s="14" t="n">
        <f aca="false">AK364+IF((AJ365=1),IF((H365=0),1,0),0)</f>
        <v>0</v>
      </c>
      <c r="AL365" s="14" t="n">
        <f aca="false">AL364+IF((AJ365=1),IF((H365=1),1,0),0)</f>
        <v>0</v>
      </c>
      <c r="AM365" s="37" t="n">
        <f aca="false">IF(AK365=0,9999,IF($H365=0,IF($AJ365&lt;1,AM364+1,0),AM364))</f>
        <v>9999</v>
      </c>
      <c r="AN365" s="37" t="n">
        <f aca="false">IF(AL365=0,9999,IF($H365=1,IF($AJ365&lt;1,AN364+1,0),AN364))</f>
        <v>9999</v>
      </c>
      <c r="AO365" s="37" t="n">
        <f aca="false">IF($A365-AM365&gt;0,1/(1+AM365),0)</f>
        <v>0</v>
      </c>
      <c r="AP365" s="37" t="n">
        <f aca="false">IF($A365-AN365&gt;0,1/(1+AN365),0)</f>
        <v>0</v>
      </c>
      <c r="AQ365" s="7" t="n">
        <f aca="false">IF(AK365=0,0,MAX(MIN(1,AO365^Power),0))</f>
        <v>0</v>
      </c>
      <c r="AR365" s="7" t="n">
        <f aca="false">IF(AL365=0,0,MAX(MIN(1,AP365^Power),0))</f>
        <v>0</v>
      </c>
      <c r="AS365" s="7" t="n">
        <f aca="false">IF($AJ365=1,IF($H365=0,K365,AS364),AS364)</f>
        <v>0</v>
      </c>
      <c r="AT365" s="7" t="n">
        <f aca="false">IF($AJ365=1,IF($H365=1,N365,AT364),AT364)</f>
        <v>0</v>
      </c>
    </row>
    <row r="366" customFormat="false" ht="13" hidden="false" customHeight="false" outlineLevel="0" collapsed="false">
      <c r="A366" s="16" t="n">
        <v>349</v>
      </c>
      <c r="B366" s="37" t="n">
        <f aca="true">IF(RAND()&lt;$D$8,1,0)</f>
        <v>0</v>
      </c>
      <c r="C366" s="20" t="n">
        <f aca="true">-LN(RAND())/$D$2</f>
        <v>0.39826717752994</v>
      </c>
      <c r="D366" s="38" t="n">
        <f aca="false">D365+C366</f>
        <v>373.85733095279</v>
      </c>
      <c r="E366" s="39" t="n">
        <f aca="false">MAX($E$3,AS365)</f>
        <v>0</v>
      </c>
      <c r="F366" s="39" t="n">
        <f aca="false">MAX($E$3,AT365)</f>
        <v>0</v>
      </c>
      <c r="G366" s="40" t="n">
        <v>0.5</v>
      </c>
      <c r="H366" s="38" t="n">
        <f aca="true">IF((B366=1),(IF((F366&lt;E366),1,(IF((F366=E366),(IF(RAND()&lt;G366,1,0)),0)))),(IF((RAND()&lt;G366),1,0)))</f>
        <v>1</v>
      </c>
      <c r="I366" s="38" t="n">
        <f aca="true">IF((H366=1),0,$D$3+$D$5*(RAND()-0.5))</f>
        <v>0</v>
      </c>
      <c r="J366" s="38" t="n">
        <f aca="false">I366+MAX(D366,J365)</f>
        <v>373.85733095279</v>
      </c>
      <c r="K366" s="38" t="n">
        <f aca="false">IF((H366=0),J366-D366,0)</f>
        <v>0</v>
      </c>
      <c r="L366" s="38" t="n">
        <f aca="true">IF(($H366=0),0,$D$4+$D$5*(RAND()-0.5))</f>
        <v>2.23190785131258</v>
      </c>
      <c r="M366" s="38" t="n">
        <f aca="false">L366+MAX(D366,M365)</f>
        <v>409.464695573889</v>
      </c>
      <c r="N366" s="38" t="n">
        <f aca="false">IF((H366=1),M366-D366,0)</f>
        <v>35.607364621099</v>
      </c>
      <c r="O366" s="16" t="n">
        <v>349</v>
      </c>
      <c r="P366" s="41" t="n">
        <f aca="false">IF((Arterial=0),P365+1,P365)</f>
        <v>158</v>
      </c>
      <c r="Q366" s="41" t="n">
        <f aca="false">IF((Arterial=1),Q365+1,Q365)</f>
        <v>191</v>
      </c>
      <c r="R366" s="42" t="n">
        <f aca="false">IF((RESET=1),0,R366+K366)</f>
        <v>579.550097954014</v>
      </c>
      <c r="S366" s="14" t="e">
        <f aca="false">IF(RESET=1,0,S366+N366)</f>
        <v>#N/A</v>
      </c>
      <c r="T366" s="2" t="n">
        <f aca="false">IF(RESET=1,0,T366+IF(H366=0,1,0))</f>
        <v>40</v>
      </c>
      <c r="U366" s="2" t="e">
        <f aca="false">IF(RESET=1,0,U366+H366)</f>
        <v>#N/A</v>
      </c>
      <c r="V366" s="14" t="n">
        <f aca="false">R366/(T366+0.00001)</f>
        <v>14.4887488266632</v>
      </c>
      <c r="W366" s="14" t="e">
        <f aca="false">S366/(U366+0.0001)</f>
        <v>#N/A</v>
      </c>
      <c r="X366" s="39" t="n">
        <f aca="false">IF(Informed=1,K366,0)</f>
        <v>0</v>
      </c>
      <c r="Y366" s="39" t="n">
        <f aca="false">IF(Informed=0,K366,0)</f>
        <v>0</v>
      </c>
      <c r="Z366" s="39" t="n">
        <f aca="false">IF(Informed=1,N366,0)</f>
        <v>0</v>
      </c>
      <c r="AA366" s="39" t="n">
        <f aca="false">IF(Informed=0,N366,0)</f>
        <v>35.607364621099</v>
      </c>
      <c r="AB366" s="43" t="n">
        <f aca="false">IF(Arterial=0,IF(Informed=1,1,0),0)</f>
        <v>0</v>
      </c>
      <c r="AC366" s="43" t="n">
        <f aca="false">IF(Arterial=0,IF(Informed=0,1,0),0)</f>
        <v>0</v>
      </c>
      <c r="AD366" s="43" t="n">
        <f aca="false">IF(Arterial=1,IF(Informed=1,1,0),0)</f>
        <v>0</v>
      </c>
      <c r="AE366" s="43" t="n">
        <f aca="false">IF(Arterial=1,IF(Informed=0,1,0),0)</f>
        <v>1</v>
      </c>
      <c r="AF366" s="35" t="n">
        <f aca="false">IF(AB366=1,(X366-G$1030)^2,0)</f>
        <v>0</v>
      </c>
      <c r="AG366" s="35" t="n">
        <f aca="false">IF(AC366=1,(Y366-H$1030)^2,0)</f>
        <v>0</v>
      </c>
      <c r="AH366" s="35" t="n">
        <f aca="false">IF(AD366=1,(Z366-I$1030)^2,0)</f>
        <v>0</v>
      </c>
      <c r="AI366" s="35" t="n">
        <f aca="false">IF(AE366=1,(AA366-J$1030)^2,0)</f>
        <v>36.5189322868908</v>
      </c>
      <c r="AJ366" s="37" t="n">
        <f aca="true">IF(RAND()&lt;$D$6,1,0)</f>
        <v>0</v>
      </c>
      <c r="AK366" s="14" t="n">
        <f aca="false">AK365+IF((AJ366=1),IF((H366=0),1,0),0)</f>
        <v>0</v>
      </c>
      <c r="AL366" s="14" t="n">
        <f aca="false">AL365+IF((AJ366=1),IF((H366=1),1,0),0)</f>
        <v>0</v>
      </c>
      <c r="AM366" s="37" t="n">
        <f aca="false">IF(AK366=0,9999,IF($H366=0,IF($AJ366&lt;1,AM365+1,0),AM365))</f>
        <v>9999</v>
      </c>
      <c r="AN366" s="37" t="n">
        <f aca="false">IF(AL366=0,9999,IF($H366=1,IF($AJ366&lt;1,AN365+1,0),AN365))</f>
        <v>9999</v>
      </c>
      <c r="AO366" s="37" t="n">
        <f aca="false">IF($A366-AM366&gt;0,1/(1+AM366),0)</f>
        <v>0</v>
      </c>
      <c r="AP366" s="37" t="n">
        <f aca="false">IF($A366-AN366&gt;0,1/(1+AN366),0)</f>
        <v>0</v>
      </c>
      <c r="AQ366" s="7" t="n">
        <f aca="false">IF(AK366=0,0,MAX(MIN(1,AO366^Power),0))</f>
        <v>0</v>
      </c>
      <c r="AR366" s="7" t="n">
        <f aca="false">IF(AL366=0,0,MAX(MIN(1,AP366^Power),0))</f>
        <v>0</v>
      </c>
      <c r="AS366" s="7" t="n">
        <f aca="false">IF($AJ366=1,IF($H366=0,K366,AS365),AS365)</f>
        <v>0</v>
      </c>
      <c r="AT366" s="7" t="n">
        <f aca="false">IF($AJ366=1,IF($H366=1,N366,AT365),AT365)</f>
        <v>0</v>
      </c>
    </row>
    <row r="367" customFormat="false" ht="13" hidden="false" customHeight="false" outlineLevel="0" collapsed="false">
      <c r="A367" s="16" t="n">
        <v>350</v>
      </c>
      <c r="B367" s="37" t="n">
        <f aca="true">IF(RAND()&lt;$D$8,1,0)</f>
        <v>1</v>
      </c>
      <c r="C367" s="20" t="n">
        <f aca="true">-LN(RAND())/$D$2</f>
        <v>0.90789071413</v>
      </c>
      <c r="D367" s="38" t="n">
        <f aca="false">D366+C367</f>
        <v>374.76522166692</v>
      </c>
      <c r="E367" s="39" t="n">
        <f aca="false">MAX($E$3,AS366)</f>
        <v>0</v>
      </c>
      <c r="F367" s="39" t="n">
        <f aca="false">MAX($E$3,AT366)</f>
        <v>0</v>
      </c>
      <c r="G367" s="40" t="n">
        <v>0.5</v>
      </c>
      <c r="H367" s="38" t="n">
        <f aca="true">IF((B367=1),(IF((F367&lt;E367),1,(IF((F367=E367),(IF(RAND()&lt;G367,1,0)),0)))),(IF((RAND()&lt;G367),1,0)))</f>
        <v>0</v>
      </c>
      <c r="I367" s="38" t="n">
        <f aca="true">IF((H367=1),0,$D$3+$D$5*(RAND()-0.5))</f>
        <v>2.23450384309186</v>
      </c>
      <c r="J367" s="38" t="n">
        <f aca="false">I367+MAX(D367,J366)</f>
        <v>376.999725510012</v>
      </c>
      <c r="K367" s="38" t="n">
        <f aca="false">IF((H367=0),J367-D367,0)</f>
        <v>2.23450384309189</v>
      </c>
      <c r="L367" s="38" t="n">
        <f aca="true">IF(($H367=0),0,$D$4+$D$5*(RAND()-0.5))</f>
        <v>0</v>
      </c>
      <c r="M367" s="38" t="n">
        <f aca="false">L367+MAX(D367,M366)</f>
        <v>409.464695573889</v>
      </c>
      <c r="N367" s="38" t="n">
        <f aca="false">IF((H367=1),M367-D367,0)</f>
        <v>0</v>
      </c>
      <c r="O367" s="16" t="n">
        <v>350</v>
      </c>
      <c r="P367" s="41" t="n">
        <f aca="false">IF((Arterial=0),P366+1,P366)</f>
        <v>159</v>
      </c>
      <c r="Q367" s="41" t="n">
        <f aca="false">IF((Arterial=1),Q366+1,Q366)</f>
        <v>191</v>
      </c>
      <c r="R367" s="42" t="e">
        <f aca="false">IF((RESET=1),0,R367+K367)</f>
        <v>#N/A</v>
      </c>
      <c r="S367" s="14" t="n">
        <f aca="false">IF(RESET=1,0,S367+N367)</f>
        <v>543.903766093153</v>
      </c>
      <c r="T367" s="2" t="e">
        <f aca="false">IF(RESET=1,0,T367+IF(H367=0,1,0))</f>
        <v>#N/A</v>
      </c>
      <c r="U367" s="2" t="n">
        <f aca="false">IF(RESET=1,0,U367+H367)</f>
        <v>38</v>
      </c>
      <c r="V367" s="14" t="e">
        <f aca="false">R367/(T367+0.00001)</f>
        <v>#N/A</v>
      </c>
      <c r="W367" s="14" t="n">
        <f aca="false">S367/(U367+0.0001)</f>
        <v>14.3132193360847</v>
      </c>
      <c r="X367" s="39" t="n">
        <f aca="false">IF(Informed=1,K367,0)</f>
        <v>2.23450384309189</v>
      </c>
      <c r="Y367" s="39" t="n">
        <f aca="false">IF(Informed=0,K367,0)</f>
        <v>0</v>
      </c>
      <c r="Z367" s="39" t="n">
        <f aca="false">IF(Informed=1,N367,0)</f>
        <v>0</v>
      </c>
      <c r="AA367" s="39" t="n">
        <f aca="false">IF(Informed=0,N367,0)</f>
        <v>0</v>
      </c>
      <c r="AB367" s="43" t="n">
        <f aca="false">IF(Arterial=0,IF(Informed=1,1,0),0)</f>
        <v>1</v>
      </c>
      <c r="AC367" s="43" t="n">
        <f aca="false">IF(Arterial=0,IF(Informed=0,1,0),0)</f>
        <v>0</v>
      </c>
      <c r="AD367" s="43" t="n">
        <f aca="false">IF(Arterial=1,IF(Informed=1,1,0),0)</f>
        <v>0</v>
      </c>
      <c r="AE367" s="43" t="n">
        <f aca="false">IF(Arterial=1,IF(Informed=0,1,0),0)</f>
        <v>0</v>
      </c>
      <c r="AF367" s="35" t="n">
        <f aca="false">IF(AB367=1,(X367-G$1030)^2,0)</f>
        <v>71.8285810881485</v>
      </c>
      <c r="AG367" s="35" t="n">
        <f aca="false">IF(AC367=1,(Y367-H$1030)^2,0)</f>
        <v>0</v>
      </c>
      <c r="AH367" s="35" t="n">
        <f aca="false">IF(AD367=1,(Z367-I$1030)^2,0)</f>
        <v>0</v>
      </c>
      <c r="AI367" s="35" t="n">
        <f aca="false">IF(AE367=1,(AA367-J$1030)^2,0)</f>
        <v>0</v>
      </c>
      <c r="AJ367" s="37" t="n">
        <f aca="true">IF(RAND()&lt;$D$6,1,0)</f>
        <v>0</v>
      </c>
      <c r="AK367" s="14" t="n">
        <f aca="false">AK366+IF((AJ367=1),IF((H367=0),1,0),0)</f>
        <v>0</v>
      </c>
      <c r="AL367" s="14" t="n">
        <f aca="false">AL366+IF((AJ367=1),IF((H367=1),1,0),0)</f>
        <v>0</v>
      </c>
      <c r="AM367" s="37" t="n">
        <f aca="false">IF(AK367=0,9999,IF($H367=0,IF($AJ367&lt;1,AM366+1,0),AM366))</f>
        <v>9999</v>
      </c>
      <c r="AN367" s="37" t="n">
        <f aca="false">IF(AL367=0,9999,IF($H367=1,IF($AJ367&lt;1,AN366+1,0),AN366))</f>
        <v>9999</v>
      </c>
      <c r="AO367" s="37" t="n">
        <f aca="false">IF($A367-AM367&gt;0,1/(1+AM367),0)</f>
        <v>0</v>
      </c>
      <c r="AP367" s="37" t="n">
        <f aca="false">IF($A367-AN367&gt;0,1/(1+AN367),0)</f>
        <v>0</v>
      </c>
      <c r="AQ367" s="7" t="n">
        <f aca="false">IF(AK367=0,0,MAX(MIN(1,AO367^Power),0))</f>
        <v>0</v>
      </c>
      <c r="AR367" s="7" t="n">
        <f aca="false">IF(AL367=0,0,MAX(MIN(1,AP367^Power),0))</f>
        <v>0</v>
      </c>
      <c r="AS367" s="7" t="n">
        <f aca="false">IF($AJ367=1,IF($H367=0,K367,AS366),AS366)</f>
        <v>0</v>
      </c>
      <c r="AT367" s="7" t="n">
        <f aca="false">IF($AJ367=1,IF($H367=1,N367,AT366),AT366)</f>
        <v>0</v>
      </c>
    </row>
    <row r="368" customFormat="false" ht="13" hidden="false" customHeight="false" outlineLevel="0" collapsed="false">
      <c r="A368" s="16" t="n">
        <v>351</v>
      </c>
      <c r="B368" s="37" t="n">
        <f aca="true">IF(RAND()&lt;$D$8,1,0)</f>
        <v>0</v>
      </c>
      <c r="C368" s="20" t="n">
        <f aca="true">-LN(RAND())/$D$2</f>
        <v>0.197312860548798</v>
      </c>
      <c r="D368" s="38" t="n">
        <f aca="false">D367+C368</f>
        <v>374.962534527469</v>
      </c>
      <c r="E368" s="39" t="n">
        <f aca="false">MAX($E$3,AS367)</f>
        <v>0</v>
      </c>
      <c r="F368" s="39" t="n">
        <f aca="false">MAX($E$3,AT367)</f>
        <v>0</v>
      </c>
      <c r="G368" s="40" t="n">
        <v>0.5</v>
      </c>
      <c r="H368" s="38" t="n">
        <f aca="true">IF((B368=1),(IF((F368&lt;E368),1,(IF((F368=E368),(IF(RAND()&lt;G368,1,0)),0)))),(IF((RAND()&lt;G368),1,0)))</f>
        <v>0</v>
      </c>
      <c r="I368" s="38" t="n">
        <f aca="true">IF((H368=1),0,$D$3+$D$5*(RAND()-0.5))</f>
        <v>2.17852607462881</v>
      </c>
      <c r="J368" s="38" t="n">
        <f aca="false">I368+MAX(D368,J367)</f>
        <v>379.178251584641</v>
      </c>
      <c r="K368" s="38" t="n">
        <f aca="false">IF((H368=0),J368-D368,0)</f>
        <v>4.2157170571719</v>
      </c>
      <c r="L368" s="38" t="n">
        <f aca="true">IF(($H368=0),0,$D$4+$D$5*(RAND()-0.5))</f>
        <v>0</v>
      </c>
      <c r="M368" s="38" t="n">
        <f aca="false">L368+MAX(D368,M367)</f>
        <v>409.464695573889</v>
      </c>
      <c r="N368" s="38" t="n">
        <f aca="false">IF((H368=1),M368-D368,0)</f>
        <v>0</v>
      </c>
      <c r="O368" s="16" t="n">
        <v>351</v>
      </c>
      <c r="P368" s="41" t="n">
        <f aca="false">IF((Arterial=0),P367+1,P367)</f>
        <v>160</v>
      </c>
      <c r="Q368" s="41" t="n">
        <f aca="false">IF((Arterial=1),Q367+1,Q367)</f>
        <v>191</v>
      </c>
      <c r="R368" s="42" t="e">
        <f aca="false">IF((RESET=1),0,R368+K368)</f>
        <v>#N/A</v>
      </c>
      <c r="S368" s="14" t="n">
        <f aca="false">IF(RESET=1,0,S368+N368)</f>
        <v>552.979292025301</v>
      </c>
      <c r="T368" s="2" t="e">
        <f aca="false">IF(RESET=1,0,T368+IF(H368=0,1,0))</f>
        <v>#N/A</v>
      </c>
      <c r="U368" s="2" t="n">
        <f aca="false">IF(RESET=1,0,U368+H368)</f>
        <v>43</v>
      </c>
      <c r="V368" s="14" t="e">
        <f aca="false">R368/(T368+0.00001)</f>
        <v>#N/A</v>
      </c>
      <c r="W368" s="14" t="n">
        <f aca="false">S368/(U368+0.0001)</f>
        <v>12.8599536286032</v>
      </c>
      <c r="X368" s="39" t="n">
        <f aca="false">IF(Informed=1,K368,0)</f>
        <v>0</v>
      </c>
      <c r="Y368" s="39" t="n">
        <f aca="false">IF(Informed=0,K368,0)</f>
        <v>4.2157170571719</v>
      </c>
      <c r="Z368" s="39" t="n">
        <f aca="false">IF(Informed=1,N368,0)</f>
        <v>0</v>
      </c>
      <c r="AA368" s="39" t="n">
        <f aca="false">IF(Informed=0,N368,0)</f>
        <v>0</v>
      </c>
      <c r="AB368" s="43" t="n">
        <f aca="false">IF(Arterial=0,IF(Informed=1,1,0),0)</f>
        <v>0</v>
      </c>
      <c r="AC368" s="43" t="n">
        <f aca="false">IF(Arterial=0,IF(Informed=0,1,0),0)</f>
        <v>1</v>
      </c>
      <c r="AD368" s="43" t="n">
        <f aca="false">IF(Arterial=1,IF(Informed=1,1,0),0)</f>
        <v>0</v>
      </c>
      <c r="AE368" s="43" t="n">
        <f aca="false">IF(Arterial=1,IF(Informed=0,1,0),0)</f>
        <v>0</v>
      </c>
      <c r="AF368" s="35" t="n">
        <f aca="false">IF(AB368=1,(X368-G$1030)^2,0)</f>
        <v>0</v>
      </c>
      <c r="AG368" s="35" t="n">
        <f aca="false">IF(AC368=1,(Y368-H$1030)^2,0)</f>
        <v>44.9981788892901</v>
      </c>
      <c r="AH368" s="35" t="n">
        <f aca="false">IF(AD368=1,(Z368-I$1030)^2,0)</f>
        <v>0</v>
      </c>
      <c r="AI368" s="35" t="n">
        <f aca="false">IF(AE368=1,(AA368-J$1030)^2,0)</f>
        <v>0</v>
      </c>
      <c r="AJ368" s="37" t="n">
        <f aca="true">IF(RAND()&lt;$D$6,1,0)</f>
        <v>0</v>
      </c>
      <c r="AK368" s="14" t="n">
        <f aca="false">AK367+IF((AJ368=1),IF((H368=0),1,0),0)</f>
        <v>0</v>
      </c>
      <c r="AL368" s="14" t="n">
        <f aca="false">AL367+IF((AJ368=1),IF((H368=1),1,0),0)</f>
        <v>0</v>
      </c>
      <c r="AM368" s="37" t="n">
        <f aca="false">IF(AK368=0,9999,IF($H368=0,IF($AJ368&lt;1,AM367+1,0),AM367))</f>
        <v>9999</v>
      </c>
      <c r="AN368" s="37" t="n">
        <f aca="false">IF(AL368=0,9999,IF($H368=1,IF($AJ368&lt;1,AN367+1,0),AN367))</f>
        <v>9999</v>
      </c>
      <c r="AO368" s="37" t="n">
        <f aca="false">IF($A368-AM368&gt;0,1/(1+AM368),0)</f>
        <v>0</v>
      </c>
      <c r="AP368" s="37" t="n">
        <f aca="false">IF($A368-AN368&gt;0,1/(1+AN368),0)</f>
        <v>0</v>
      </c>
      <c r="AQ368" s="7" t="n">
        <f aca="false">IF(AK368=0,0,MAX(MIN(1,AO368^Power),0))</f>
        <v>0</v>
      </c>
      <c r="AR368" s="7" t="n">
        <f aca="false">IF(AL368=0,0,MAX(MIN(1,AP368^Power),0))</f>
        <v>0</v>
      </c>
      <c r="AS368" s="7" t="n">
        <f aca="false">IF($AJ368=1,IF($H368=0,K368,AS367),AS367)</f>
        <v>0</v>
      </c>
      <c r="AT368" s="7" t="n">
        <f aca="false">IF($AJ368=1,IF($H368=1,N368,AT367),AT367)</f>
        <v>0</v>
      </c>
    </row>
    <row r="369" customFormat="false" ht="13" hidden="false" customHeight="false" outlineLevel="0" collapsed="false">
      <c r="A369" s="16" t="n">
        <v>352</v>
      </c>
      <c r="B369" s="37" t="n">
        <f aca="true">IF(RAND()&lt;$D$8,1,0)</f>
        <v>0</v>
      </c>
      <c r="C369" s="20" t="n">
        <f aca="true">-LN(RAND())/$D$2</f>
        <v>1.83444616027577</v>
      </c>
      <c r="D369" s="38" t="n">
        <f aca="false">D368+C369</f>
        <v>376.796980687745</v>
      </c>
      <c r="E369" s="39" t="n">
        <f aca="false">MAX($E$3,AS368)</f>
        <v>0</v>
      </c>
      <c r="F369" s="39" t="n">
        <f aca="false">MAX($E$3,AT368)</f>
        <v>0</v>
      </c>
      <c r="G369" s="40" t="n">
        <v>0.5</v>
      </c>
      <c r="H369" s="38" t="n">
        <f aca="true">IF((B369=1),(IF((F369&lt;E369),1,(IF((F369=E369),(IF(RAND()&lt;G369,1,0)),0)))),(IF((RAND()&lt;G369),1,0)))</f>
        <v>0</v>
      </c>
      <c r="I369" s="38" t="n">
        <f aca="true">IF((H369=1),0,$D$3+$D$5*(RAND()-0.5))</f>
        <v>1.8073853944006</v>
      </c>
      <c r="J369" s="38" t="n">
        <f aca="false">I369+MAX(D369,J368)</f>
        <v>380.985636979042</v>
      </c>
      <c r="K369" s="38" t="n">
        <f aca="false">IF((H369=0),J369-D369,0)</f>
        <v>4.1886562912967</v>
      </c>
      <c r="L369" s="38" t="n">
        <f aca="true">IF(($H369=0),0,$D$4+$D$5*(RAND()-0.5))</f>
        <v>0</v>
      </c>
      <c r="M369" s="38" t="n">
        <f aca="false">L369+MAX(D369,M368)</f>
        <v>409.464695573889</v>
      </c>
      <c r="N369" s="38" t="n">
        <f aca="false">IF((H369=1),M369-D369,0)</f>
        <v>0</v>
      </c>
      <c r="O369" s="16" t="n">
        <v>352</v>
      </c>
      <c r="P369" s="41" t="n">
        <f aca="false">IF((Arterial=0),P368+1,P368)</f>
        <v>161</v>
      </c>
      <c r="Q369" s="41" t="n">
        <f aca="false">IF((Arterial=1),Q368+1,Q368)</f>
        <v>191</v>
      </c>
      <c r="R369" s="42" t="e">
        <f aca="false">IF((RESET=1),0,R369+K369)</f>
        <v>#N/A</v>
      </c>
      <c r="S369" s="14" t="n">
        <f aca="false">IF(RESET=1,0,S369+N369)</f>
        <v>616.511181115371</v>
      </c>
      <c r="T369" s="2" t="e">
        <f aca="false">IF(RESET=1,0,T369+IF(H369=0,1,0))</f>
        <v>#N/A</v>
      </c>
      <c r="U369" s="2" t="n">
        <f aca="false">IF(RESET=1,0,U369+H369)</f>
        <v>40</v>
      </c>
      <c r="V369" s="14" t="e">
        <f aca="false">R369/(T369+0.00001)</f>
        <v>#N/A</v>
      </c>
      <c r="W369" s="14" t="n">
        <f aca="false">S369/(U369+0.0001)</f>
        <v>15.4127409960318</v>
      </c>
      <c r="X369" s="39" t="n">
        <f aca="false">IF(Informed=1,K369,0)</f>
        <v>0</v>
      </c>
      <c r="Y369" s="39" t="n">
        <f aca="false">IF(Informed=0,K369,0)</f>
        <v>4.1886562912967</v>
      </c>
      <c r="Z369" s="39" t="n">
        <f aca="false">IF(Informed=1,N369,0)</f>
        <v>0</v>
      </c>
      <c r="AA369" s="39" t="n">
        <f aca="false">IF(Informed=0,N369,0)</f>
        <v>0</v>
      </c>
      <c r="AB369" s="43" t="n">
        <f aca="false">IF(Arterial=0,IF(Informed=1,1,0),0)</f>
        <v>0</v>
      </c>
      <c r="AC369" s="43" t="n">
        <f aca="false">IF(Arterial=0,IF(Informed=0,1,0),0)</f>
        <v>1</v>
      </c>
      <c r="AD369" s="43" t="n">
        <f aca="false">IF(Arterial=1,IF(Informed=1,1,0),0)</f>
        <v>0</v>
      </c>
      <c r="AE369" s="43" t="n">
        <f aca="false">IF(Arterial=1,IF(Informed=0,1,0),0)</f>
        <v>0</v>
      </c>
      <c r="AF369" s="35" t="n">
        <f aca="false">IF(AB369=1,(X369-G$1030)^2,0)</f>
        <v>0</v>
      </c>
      <c r="AG369" s="35" t="n">
        <f aca="false">IF(AC369=1,(Y369-H$1030)^2,0)</f>
        <v>45.3619621000608</v>
      </c>
      <c r="AH369" s="35" t="n">
        <f aca="false">IF(AD369=1,(Z369-I$1030)^2,0)</f>
        <v>0</v>
      </c>
      <c r="AI369" s="35" t="n">
        <f aca="false">IF(AE369=1,(AA369-J$1030)^2,0)</f>
        <v>0</v>
      </c>
      <c r="AJ369" s="37" t="n">
        <f aca="true">IF(RAND()&lt;$D$6,1,0)</f>
        <v>0</v>
      </c>
      <c r="AK369" s="14" t="n">
        <f aca="false">AK368+IF((AJ369=1),IF((H369=0),1,0),0)</f>
        <v>0</v>
      </c>
      <c r="AL369" s="14" t="n">
        <f aca="false">AL368+IF((AJ369=1),IF((H369=1),1,0),0)</f>
        <v>0</v>
      </c>
      <c r="AM369" s="37" t="n">
        <f aca="false">IF(AK369=0,9999,IF($H369=0,IF($AJ369&lt;1,AM368+1,0),AM368))</f>
        <v>9999</v>
      </c>
      <c r="AN369" s="37" t="n">
        <f aca="false">IF(AL369=0,9999,IF($H369=1,IF($AJ369&lt;1,AN368+1,0),AN368))</f>
        <v>9999</v>
      </c>
      <c r="AO369" s="37" t="n">
        <f aca="false">IF($A369-AM369&gt;0,1/(1+AM369),0)</f>
        <v>0</v>
      </c>
      <c r="AP369" s="37" t="n">
        <f aca="false">IF($A369-AN369&gt;0,1/(1+AN369),0)</f>
        <v>0</v>
      </c>
      <c r="AQ369" s="7" t="n">
        <f aca="false">IF(AK369=0,0,MAX(MIN(1,AO369^Power),0))</f>
        <v>0</v>
      </c>
      <c r="AR369" s="7" t="n">
        <f aca="false">IF(AL369=0,0,MAX(MIN(1,AP369^Power),0))</f>
        <v>0</v>
      </c>
      <c r="AS369" s="7" t="n">
        <f aca="false">IF($AJ369=1,IF($H369=0,K369,AS368),AS368)</f>
        <v>0</v>
      </c>
      <c r="AT369" s="7" t="n">
        <f aca="false">IF($AJ369=1,IF($H369=1,N369,AT368),AT368)</f>
        <v>0</v>
      </c>
    </row>
    <row r="370" customFormat="false" ht="13" hidden="false" customHeight="false" outlineLevel="0" collapsed="false">
      <c r="A370" s="16" t="n">
        <v>353</v>
      </c>
      <c r="B370" s="37" t="n">
        <f aca="true">IF(RAND()&lt;$D$8,1,0)</f>
        <v>1</v>
      </c>
      <c r="C370" s="20" t="n">
        <f aca="true">-LN(RAND())/$D$2</f>
        <v>0.0540006271475911</v>
      </c>
      <c r="D370" s="38" t="n">
        <f aca="false">D369+C370</f>
        <v>376.850981314892</v>
      </c>
      <c r="E370" s="39" t="n">
        <f aca="false">MAX($E$3,AS369)</f>
        <v>0</v>
      </c>
      <c r="F370" s="39" t="n">
        <f aca="false">MAX($E$3,AT369)</f>
        <v>0</v>
      </c>
      <c r="G370" s="40" t="n">
        <v>0.5</v>
      </c>
      <c r="H370" s="38" t="n">
        <f aca="true">IF((B370=1),(IF((F370&lt;E370),1,(IF((F370=E370),(IF(RAND()&lt;G370,1,0)),0)))),(IF((RAND()&lt;G370),1,0)))</f>
        <v>0</v>
      </c>
      <c r="I370" s="38" t="n">
        <f aca="true">IF((H370=1),0,$D$3+$D$5*(RAND()-0.5))</f>
        <v>2.12993064342734</v>
      </c>
      <c r="J370" s="38" t="n">
        <f aca="false">I370+MAX(D370,J369)</f>
        <v>383.115567622469</v>
      </c>
      <c r="K370" s="38" t="n">
        <f aca="false">IF((H370=0),J370-D370,0)</f>
        <v>6.26458630757639</v>
      </c>
      <c r="L370" s="38" t="n">
        <f aca="true">IF(($H370=0),0,$D$4+$D$5*(RAND()-0.5))</f>
        <v>0</v>
      </c>
      <c r="M370" s="38" t="n">
        <f aca="false">L370+MAX(D370,M369)</f>
        <v>409.464695573889</v>
      </c>
      <c r="N370" s="38" t="n">
        <f aca="false">IF((H370=1),M370-D370,0)</f>
        <v>0</v>
      </c>
      <c r="O370" s="16" t="n">
        <v>353</v>
      </c>
      <c r="P370" s="41" t="n">
        <f aca="false">IF((Arterial=0),P369+1,P369)</f>
        <v>162</v>
      </c>
      <c r="Q370" s="41" t="n">
        <f aca="false">IF((Arterial=1),Q369+1,Q369)</f>
        <v>191</v>
      </c>
      <c r="R370" s="42" t="e">
        <f aca="false">IF((RESET=1),0,R370+K370)</f>
        <v>#N/A</v>
      </c>
      <c r="S370" s="14" t="n">
        <f aca="false">IF(RESET=1,0,S370+N370)</f>
        <v>337.830409108329</v>
      </c>
      <c r="T370" s="2" t="e">
        <f aca="false">IF(RESET=1,0,T370+IF(H370=0,1,0))</f>
        <v>#N/A</v>
      </c>
      <c r="U370" s="2" t="n">
        <f aca="false">IF(RESET=1,0,U370+H370)</f>
        <v>32</v>
      </c>
      <c r="V370" s="14" t="e">
        <f aca="false">R370/(T370+0.00001)</f>
        <v>#N/A</v>
      </c>
      <c r="W370" s="14" t="n">
        <f aca="false">S370/(U370+0.0001)</f>
        <v>10.5571672934875</v>
      </c>
      <c r="X370" s="39" t="n">
        <f aca="false">IF(Informed=1,K370,0)</f>
        <v>6.26458630757639</v>
      </c>
      <c r="Y370" s="39" t="n">
        <f aca="false">IF(Informed=0,K370,0)</f>
        <v>0</v>
      </c>
      <c r="Z370" s="39" t="n">
        <f aca="false">IF(Informed=1,N370,0)</f>
        <v>0</v>
      </c>
      <c r="AA370" s="39" t="n">
        <f aca="false">IF(Informed=0,N370,0)</f>
        <v>0</v>
      </c>
      <c r="AB370" s="43" t="n">
        <f aca="false">IF(Arterial=0,IF(Informed=1,1,0),0)</f>
        <v>1</v>
      </c>
      <c r="AC370" s="43" t="n">
        <f aca="false">IF(Arterial=0,IF(Informed=0,1,0),0)</f>
        <v>0</v>
      </c>
      <c r="AD370" s="43" t="n">
        <f aca="false">IF(Arterial=1,IF(Informed=1,1,0),0)</f>
        <v>0</v>
      </c>
      <c r="AE370" s="43" t="n">
        <f aca="false">IF(Arterial=1,IF(Informed=0,1,0),0)</f>
        <v>0</v>
      </c>
      <c r="AF370" s="35" t="n">
        <f aca="false">IF(AB370=1,(X370-G$1030)^2,0)</f>
        <v>19.7588423035063</v>
      </c>
      <c r="AG370" s="35" t="n">
        <f aca="false">IF(AC370=1,(Y370-H$1030)^2,0)</f>
        <v>0</v>
      </c>
      <c r="AH370" s="35" t="n">
        <f aca="false">IF(AD370=1,(Z370-I$1030)^2,0)</f>
        <v>0</v>
      </c>
      <c r="AI370" s="35" t="n">
        <f aca="false">IF(AE370=1,(AA370-J$1030)^2,0)</f>
        <v>0</v>
      </c>
      <c r="AJ370" s="37" t="n">
        <f aca="true">IF(RAND()&lt;$D$6,1,0)</f>
        <v>0</v>
      </c>
      <c r="AK370" s="14" t="n">
        <f aca="false">AK369+IF((AJ370=1),IF((H370=0),1,0),0)</f>
        <v>0</v>
      </c>
      <c r="AL370" s="14" t="n">
        <f aca="false">AL369+IF((AJ370=1),IF((H370=1),1,0),0)</f>
        <v>0</v>
      </c>
      <c r="AM370" s="37" t="n">
        <f aca="false">IF(AK370=0,9999,IF($H370=0,IF($AJ370&lt;1,AM369+1,0),AM369))</f>
        <v>9999</v>
      </c>
      <c r="AN370" s="37" t="n">
        <f aca="false">IF(AL370=0,9999,IF($H370=1,IF($AJ370&lt;1,AN369+1,0),AN369))</f>
        <v>9999</v>
      </c>
      <c r="AO370" s="37" t="n">
        <f aca="false">IF($A370-AM370&gt;0,1/(1+AM370),0)</f>
        <v>0</v>
      </c>
      <c r="AP370" s="37" t="n">
        <f aca="false">IF($A370-AN370&gt;0,1/(1+AN370),0)</f>
        <v>0</v>
      </c>
      <c r="AQ370" s="7" t="n">
        <f aca="false">IF(AK370=0,0,MAX(MIN(1,AO370^Power),0))</f>
        <v>0</v>
      </c>
      <c r="AR370" s="7" t="n">
        <f aca="false">IF(AL370=0,0,MAX(MIN(1,AP370^Power),0))</f>
        <v>0</v>
      </c>
      <c r="AS370" s="7" t="n">
        <f aca="false">IF($AJ370=1,IF($H370=0,K370,AS369),AS369)</f>
        <v>0</v>
      </c>
      <c r="AT370" s="7" t="n">
        <f aca="false">IF($AJ370=1,IF($H370=1,N370,AT369),AT369)</f>
        <v>0</v>
      </c>
    </row>
    <row r="371" customFormat="false" ht="13" hidden="false" customHeight="false" outlineLevel="0" collapsed="false">
      <c r="A371" s="16" t="n">
        <v>354</v>
      </c>
      <c r="B371" s="37" t="n">
        <f aca="true">IF(RAND()&lt;$D$8,1,0)</f>
        <v>1</v>
      </c>
      <c r="C371" s="20" t="n">
        <f aca="true">-LN(RAND())/$D$2</f>
        <v>2.75375525371503</v>
      </c>
      <c r="D371" s="38" t="n">
        <f aca="false">D370+C371</f>
        <v>379.604736568607</v>
      </c>
      <c r="E371" s="39" t="n">
        <f aca="false">MAX($E$3,AS370)</f>
        <v>0</v>
      </c>
      <c r="F371" s="39" t="n">
        <f aca="false">MAX($E$3,AT370)</f>
        <v>0</v>
      </c>
      <c r="G371" s="40" t="n">
        <v>0.5</v>
      </c>
      <c r="H371" s="38" t="n">
        <f aca="true">IF((B371=1),(IF((F371&lt;E371),1,(IF((F371=E371),(IF(RAND()&lt;G371,1,0)),0)))),(IF((RAND()&lt;G371),1,0)))</f>
        <v>0</v>
      </c>
      <c r="I371" s="38" t="n">
        <f aca="true">IF((H371=1),0,$D$3+$D$5*(RAND()-0.5))</f>
        <v>1.92464969658341</v>
      </c>
      <c r="J371" s="38" t="n">
        <f aca="false">I371+MAX(D371,J370)</f>
        <v>385.040217319052</v>
      </c>
      <c r="K371" s="38" t="n">
        <f aca="false">IF((H371=0),J371-D371,0)</f>
        <v>5.43548075044475</v>
      </c>
      <c r="L371" s="38" t="n">
        <f aca="true">IF(($H371=0),0,$D$4+$D$5*(RAND()-0.5))</f>
        <v>0</v>
      </c>
      <c r="M371" s="38" t="n">
        <f aca="false">L371+MAX(D371,M370)</f>
        <v>409.464695573889</v>
      </c>
      <c r="N371" s="38" t="n">
        <f aca="false">IF((H371=1),M371-D371,0)</f>
        <v>0</v>
      </c>
      <c r="O371" s="16" t="n">
        <v>354</v>
      </c>
      <c r="P371" s="41" t="n">
        <f aca="false">IF((Arterial=0),P370+1,P370)</f>
        <v>163</v>
      </c>
      <c r="Q371" s="41" t="n">
        <f aca="false">IF((Arterial=1),Q370+1,Q370)</f>
        <v>191</v>
      </c>
      <c r="R371" s="42" t="e">
        <f aca="false">IF((RESET=1),0,R371+K371)</f>
        <v>#N/A</v>
      </c>
      <c r="S371" s="14" t="n">
        <f aca="false">IF(RESET=1,0,S371+N371)</f>
        <v>555.466026643572</v>
      </c>
      <c r="T371" s="2" t="e">
        <f aca="false">IF(RESET=1,0,T371+IF(H371=0,1,0))</f>
        <v>#N/A</v>
      </c>
      <c r="U371" s="2" t="n">
        <f aca="false">IF(RESET=1,0,U371+H371)</f>
        <v>43</v>
      </c>
      <c r="V371" s="14" t="e">
        <f aca="false">R371/(T371+0.00001)</f>
        <v>#N/A</v>
      </c>
      <c r="W371" s="14" t="n">
        <f aca="false">S371/(U371+0.0001)</f>
        <v>12.9177845317469</v>
      </c>
      <c r="X371" s="39" t="n">
        <f aca="false">IF(Informed=1,K371,0)</f>
        <v>5.43548075044475</v>
      </c>
      <c r="Y371" s="39" t="n">
        <f aca="false">IF(Informed=0,K371,0)</f>
        <v>0</v>
      </c>
      <c r="Z371" s="39" t="n">
        <f aca="false">IF(Informed=1,N371,0)</f>
        <v>0</v>
      </c>
      <c r="AA371" s="39" t="n">
        <f aca="false">IF(Informed=0,N371,0)</f>
        <v>0</v>
      </c>
      <c r="AB371" s="43" t="n">
        <f aca="false">IF(Arterial=0,IF(Informed=1,1,0),0)</f>
        <v>1</v>
      </c>
      <c r="AC371" s="43" t="n">
        <f aca="false">IF(Arterial=0,IF(Informed=0,1,0),0)</f>
        <v>0</v>
      </c>
      <c r="AD371" s="43" t="n">
        <f aca="false">IF(Arterial=1,IF(Informed=1,1,0),0)</f>
        <v>0</v>
      </c>
      <c r="AE371" s="43" t="n">
        <f aca="false">IF(Arterial=1,IF(Informed=0,1,0),0)</f>
        <v>0</v>
      </c>
      <c r="AF371" s="35" t="n">
        <f aca="false">IF(AB371=1,(X371-G$1030)^2,0)</f>
        <v>27.8171591775884</v>
      </c>
      <c r="AG371" s="35" t="n">
        <f aca="false">IF(AC371=1,(Y371-H$1030)^2,0)</f>
        <v>0</v>
      </c>
      <c r="AH371" s="35" t="n">
        <f aca="false">IF(AD371=1,(Z371-I$1030)^2,0)</f>
        <v>0</v>
      </c>
      <c r="AI371" s="35" t="n">
        <f aca="false">IF(AE371=1,(AA371-J$1030)^2,0)</f>
        <v>0</v>
      </c>
      <c r="AJ371" s="37" t="n">
        <f aca="true">IF(RAND()&lt;$D$6,1,0)</f>
        <v>0</v>
      </c>
      <c r="AK371" s="14" t="n">
        <f aca="false">AK370+IF((AJ371=1),IF((H371=0),1,0),0)</f>
        <v>0</v>
      </c>
      <c r="AL371" s="14" t="n">
        <f aca="false">AL370+IF((AJ371=1),IF((H371=1),1,0),0)</f>
        <v>0</v>
      </c>
      <c r="AM371" s="37" t="n">
        <f aca="false">IF(AK371=0,9999,IF($H371=0,IF($AJ371&lt;1,AM370+1,0),AM370))</f>
        <v>9999</v>
      </c>
      <c r="AN371" s="37" t="n">
        <f aca="false">IF(AL371=0,9999,IF($H371=1,IF($AJ371&lt;1,AN370+1,0),AN370))</f>
        <v>9999</v>
      </c>
      <c r="AO371" s="37" t="n">
        <f aca="false">IF($A371-AM371&gt;0,1/(1+AM371),0)</f>
        <v>0</v>
      </c>
      <c r="AP371" s="37" t="n">
        <f aca="false">IF($A371-AN371&gt;0,1/(1+AN371),0)</f>
        <v>0</v>
      </c>
      <c r="AQ371" s="7" t="n">
        <f aca="false">IF(AK371=0,0,MAX(MIN(1,AO371^Power),0))</f>
        <v>0</v>
      </c>
      <c r="AR371" s="7" t="n">
        <f aca="false">IF(AL371=0,0,MAX(MIN(1,AP371^Power),0))</f>
        <v>0</v>
      </c>
      <c r="AS371" s="7" t="n">
        <f aca="false">IF($AJ371=1,IF($H371=0,K371,AS370),AS370)</f>
        <v>0</v>
      </c>
      <c r="AT371" s="7" t="n">
        <f aca="false">IF($AJ371=1,IF($H371=1,N371,AT370),AT370)</f>
        <v>0</v>
      </c>
    </row>
    <row r="372" customFormat="false" ht="13" hidden="false" customHeight="false" outlineLevel="0" collapsed="false">
      <c r="A372" s="16" t="n">
        <v>355</v>
      </c>
      <c r="B372" s="37" t="n">
        <f aca="true">IF(RAND()&lt;$D$8,1,0)</f>
        <v>0</v>
      </c>
      <c r="C372" s="20" t="n">
        <f aca="true">-LN(RAND())/$D$2</f>
        <v>0.294190189436128</v>
      </c>
      <c r="D372" s="38" t="n">
        <f aca="false">D371+C372</f>
        <v>379.898926758044</v>
      </c>
      <c r="E372" s="39" t="n">
        <f aca="false">MAX($E$3,AS371)</f>
        <v>0</v>
      </c>
      <c r="F372" s="39" t="n">
        <f aca="false">MAX($E$3,AT371)</f>
        <v>0</v>
      </c>
      <c r="G372" s="40" t="n">
        <v>0.5</v>
      </c>
      <c r="H372" s="38" t="n">
        <f aca="true">IF((B372=1),(IF((F372&lt;E372),1,(IF((F372=E372),(IF(RAND()&lt;G372,1,0)),0)))),(IF((RAND()&lt;G372),1,0)))</f>
        <v>1</v>
      </c>
      <c r="I372" s="38" t="n">
        <f aca="true">IF((H372=1),0,$D$3+$D$5*(RAND()-0.5))</f>
        <v>0</v>
      </c>
      <c r="J372" s="38" t="n">
        <f aca="false">I372+MAX(D372,J371)</f>
        <v>385.040217319052</v>
      </c>
      <c r="K372" s="38" t="n">
        <f aca="false">IF((H372=0),J372-D372,0)</f>
        <v>0</v>
      </c>
      <c r="L372" s="38" t="n">
        <f aca="true">IF(($H372=0),0,$D$4+$D$5*(RAND()-0.5))</f>
        <v>1.85427482060673</v>
      </c>
      <c r="M372" s="38" t="n">
        <f aca="false">L372+MAX(D372,M371)</f>
        <v>411.318970394496</v>
      </c>
      <c r="N372" s="38" t="n">
        <f aca="false">IF((H372=1),M372-D372,0)</f>
        <v>31.4200436364524</v>
      </c>
      <c r="O372" s="16" t="n">
        <v>355</v>
      </c>
      <c r="P372" s="41" t="n">
        <f aca="false">IF((Arterial=0),P371+1,P371)</f>
        <v>163</v>
      </c>
      <c r="Q372" s="41" t="n">
        <f aca="false">IF((Arterial=1),Q371+1,Q371)</f>
        <v>192</v>
      </c>
      <c r="R372" s="42" t="n">
        <f aca="false">IF((RESET=1),0,R372+K372)</f>
        <v>667.776226468532</v>
      </c>
      <c r="S372" s="14" t="e">
        <f aca="false">IF(RESET=1,0,S372+N372)</f>
        <v>#N/A</v>
      </c>
      <c r="T372" s="2" t="n">
        <f aca="false">IF(RESET=1,0,T372+IF(H372=0,1,0))</f>
        <v>39</v>
      </c>
      <c r="U372" s="2" t="e">
        <f aca="false">IF(RESET=1,0,U372+H372)</f>
        <v>#N/A</v>
      </c>
      <c r="V372" s="14" t="n">
        <f aca="false">R372/(T372+0.00001)</f>
        <v>17.1224629549719</v>
      </c>
      <c r="W372" s="14" t="e">
        <f aca="false">S372/(U372+0.0001)</f>
        <v>#N/A</v>
      </c>
      <c r="X372" s="39" t="n">
        <f aca="false">IF(Informed=1,K372,0)</f>
        <v>0</v>
      </c>
      <c r="Y372" s="39" t="n">
        <f aca="false">IF(Informed=0,K372,0)</f>
        <v>0</v>
      </c>
      <c r="Z372" s="39" t="n">
        <f aca="false">IF(Informed=1,N372,0)</f>
        <v>0</v>
      </c>
      <c r="AA372" s="39" t="n">
        <f aca="false">IF(Informed=0,N372,0)</f>
        <v>31.4200436364524</v>
      </c>
      <c r="AB372" s="43" t="n">
        <f aca="false">IF(Arterial=0,IF(Informed=1,1,0),0)</f>
        <v>0</v>
      </c>
      <c r="AC372" s="43" t="n">
        <f aca="false">IF(Arterial=0,IF(Informed=0,1,0),0)</f>
        <v>0</v>
      </c>
      <c r="AD372" s="43" t="n">
        <f aca="false">IF(Arterial=1,IF(Informed=1,1,0),0)</f>
        <v>0</v>
      </c>
      <c r="AE372" s="43" t="n">
        <f aca="false">IF(Arterial=1,IF(Informed=0,1,0),0)</f>
        <v>1</v>
      </c>
      <c r="AF372" s="35" t="n">
        <f aca="false">IF(AB372=1,(X372-G$1030)^2,0)</f>
        <v>0</v>
      </c>
      <c r="AG372" s="35" t="n">
        <f aca="false">IF(AC372=1,(Y372-H$1030)^2,0)</f>
        <v>0</v>
      </c>
      <c r="AH372" s="35" t="n">
        <f aca="false">IF(AD372=1,(Z372-I$1030)^2,0)</f>
        <v>0</v>
      </c>
      <c r="AI372" s="35" t="n">
        <f aca="false">IF(AE372=1,(AA372-J$1030)^2,0)</f>
        <v>3.44387726835571</v>
      </c>
      <c r="AJ372" s="37" t="n">
        <f aca="true">IF(RAND()&lt;$D$6,1,0)</f>
        <v>0</v>
      </c>
      <c r="AK372" s="14" t="n">
        <f aca="false">AK371+IF((AJ372=1),IF((H372=0),1,0),0)</f>
        <v>0</v>
      </c>
      <c r="AL372" s="14" t="n">
        <f aca="false">AL371+IF((AJ372=1),IF((H372=1),1,0),0)</f>
        <v>0</v>
      </c>
      <c r="AM372" s="37" t="n">
        <f aca="false">IF(AK372=0,9999,IF($H372=0,IF($AJ372&lt;1,AM371+1,0),AM371))</f>
        <v>9999</v>
      </c>
      <c r="AN372" s="37" t="n">
        <f aca="false">IF(AL372=0,9999,IF($H372=1,IF($AJ372&lt;1,AN371+1,0),AN371))</f>
        <v>9999</v>
      </c>
      <c r="AO372" s="37" t="n">
        <f aca="false">IF($A372-AM372&gt;0,1/(1+AM372),0)</f>
        <v>0</v>
      </c>
      <c r="AP372" s="37" t="n">
        <f aca="false">IF($A372-AN372&gt;0,1/(1+AN372),0)</f>
        <v>0</v>
      </c>
      <c r="AQ372" s="7" t="n">
        <f aca="false">IF(AK372=0,0,MAX(MIN(1,AO372^Power),0))</f>
        <v>0</v>
      </c>
      <c r="AR372" s="7" t="n">
        <f aca="false">IF(AL372=0,0,MAX(MIN(1,AP372^Power),0))</f>
        <v>0</v>
      </c>
      <c r="AS372" s="7" t="n">
        <f aca="false">IF($AJ372=1,IF($H372=0,K372,AS371),AS371)</f>
        <v>0</v>
      </c>
      <c r="AT372" s="7" t="n">
        <f aca="false">IF($AJ372=1,IF($H372=1,N372,AT371),AT371)</f>
        <v>0</v>
      </c>
    </row>
    <row r="373" customFormat="false" ht="13" hidden="false" customHeight="false" outlineLevel="0" collapsed="false">
      <c r="A373" s="16" t="n">
        <v>356</v>
      </c>
      <c r="B373" s="37" t="n">
        <f aca="true">IF(RAND()&lt;$D$8,1,0)</f>
        <v>1</v>
      </c>
      <c r="C373" s="20" t="n">
        <f aca="true">-LN(RAND())/$D$2</f>
        <v>2.00576499103066</v>
      </c>
      <c r="D373" s="38" t="n">
        <f aca="false">D372+C373</f>
        <v>381.904691749074</v>
      </c>
      <c r="E373" s="39" t="n">
        <f aca="false">MAX($E$3,AS372)</f>
        <v>0</v>
      </c>
      <c r="F373" s="39" t="n">
        <f aca="false">MAX($E$3,AT372)</f>
        <v>0</v>
      </c>
      <c r="G373" s="40" t="n">
        <v>0.5</v>
      </c>
      <c r="H373" s="38" t="n">
        <f aca="true">IF((B373=1),(IF((F373&lt;E373),1,(IF((F373=E373),(IF(RAND()&lt;G373,1,0)),0)))),(IF((RAND()&lt;G373),1,0)))</f>
        <v>1</v>
      </c>
      <c r="I373" s="38" t="n">
        <f aca="true">IF((H373=1),0,$D$3+$D$5*(RAND()-0.5))</f>
        <v>0</v>
      </c>
      <c r="J373" s="38" t="n">
        <f aca="false">I373+MAX(D373,J372)</f>
        <v>385.040217319052</v>
      </c>
      <c r="K373" s="38" t="n">
        <f aca="false">IF((H373=0),J373-D373,0)</f>
        <v>0</v>
      </c>
      <c r="L373" s="38" t="n">
        <f aca="true">IF(($H373=0),0,$D$4+$D$5*(RAND()-0.5))</f>
        <v>2.21761996129199</v>
      </c>
      <c r="M373" s="38" t="n">
        <f aca="false">L373+MAX(D373,M372)</f>
        <v>413.536590355788</v>
      </c>
      <c r="N373" s="38" t="n">
        <f aca="false">IF((H373=1),M373-D373,0)</f>
        <v>31.6318986067137</v>
      </c>
      <c r="O373" s="16" t="n">
        <v>356</v>
      </c>
      <c r="P373" s="41" t="n">
        <f aca="false">IF((Arterial=0),P372+1,P372)</f>
        <v>163</v>
      </c>
      <c r="Q373" s="41" t="n">
        <f aca="false">IF((Arterial=1),Q372+1,Q372)</f>
        <v>193</v>
      </c>
      <c r="R373" s="42" t="n">
        <f aca="false">IF((RESET=1),0,R373+K373)</f>
        <v>601.191331560572</v>
      </c>
      <c r="S373" s="14" t="e">
        <f aca="false">IF(RESET=1,0,S373+N373)</f>
        <v>#N/A</v>
      </c>
      <c r="T373" s="2" t="n">
        <f aca="false">IF(RESET=1,0,T373+IF(H373=0,1,0))</f>
        <v>45</v>
      </c>
      <c r="U373" s="2" t="e">
        <f aca="false">IF(RESET=1,0,U373+H373)</f>
        <v>#N/A</v>
      </c>
      <c r="V373" s="14" t="n">
        <f aca="false">R373/(T373+0.00001)</f>
        <v>13.3598043991673</v>
      </c>
      <c r="W373" s="14" t="e">
        <f aca="false">S373/(U373+0.0001)</f>
        <v>#N/A</v>
      </c>
      <c r="X373" s="39" t="n">
        <f aca="false">IF(Informed=1,K373,0)</f>
        <v>0</v>
      </c>
      <c r="Y373" s="39" t="n">
        <f aca="false">IF(Informed=0,K373,0)</f>
        <v>0</v>
      </c>
      <c r="Z373" s="39" t="n">
        <f aca="false">IF(Informed=1,N373,0)</f>
        <v>31.6318986067137</v>
      </c>
      <c r="AA373" s="39" t="n">
        <f aca="false">IF(Informed=0,N373,0)</f>
        <v>0</v>
      </c>
      <c r="AB373" s="43" t="n">
        <f aca="false">IF(Arterial=0,IF(Informed=1,1,0),0)</f>
        <v>0</v>
      </c>
      <c r="AC373" s="43" t="n">
        <f aca="false">IF(Arterial=0,IF(Informed=0,1,0),0)</f>
        <v>0</v>
      </c>
      <c r="AD373" s="43" t="n">
        <f aca="false">IF(Arterial=1,IF(Informed=1,1,0),0)</f>
        <v>1</v>
      </c>
      <c r="AE373" s="43" t="n">
        <f aca="false">IF(Arterial=1,IF(Informed=0,1,0),0)</f>
        <v>0</v>
      </c>
      <c r="AF373" s="35" t="n">
        <f aca="false">IF(AB373=1,(X373-G$1030)^2,0)</f>
        <v>0</v>
      </c>
      <c r="AG373" s="35" t="n">
        <f aca="false">IF(AC373=1,(Y373-H$1030)^2,0)</f>
        <v>0</v>
      </c>
      <c r="AH373" s="35" t="n">
        <f aca="false">IF(AD373=1,(Z373-I$1030)^2,0)</f>
        <v>10.6084646850658</v>
      </c>
      <c r="AI373" s="35" t="n">
        <f aca="false">IF(AE373=1,(AA373-J$1030)^2,0)</f>
        <v>0</v>
      </c>
      <c r="AJ373" s="37" t="n">
        <f aca="true">IF(RAND()&lt;$D$6,1,0)</f>
        <v>0</v>
      </c>
      <c r="AK373" s="14" t="n">
        <f aca="false">AK372+IF((AJ373=1),IF((H373=0),1,0),0)</f>
        <v>0</v>
      </c>
      <c r="AL373" s="14" t="n">
        <f aca="false">AL372+IF((AJ373=1),IF((H373=1),1,0),0)</f>
        <v>0</v>
      </c>
      <c r="AM373" s="37" t="n">
        <f aca="false">IF(AK373=0,9999,IF($H373=0,IF($AJ373&lt;1,AM372+1,0),AM372))</f>
        <v>9999</v>
      </c>
      <c r="AN373" s="37" t="n">
        <f aca="false">IF(AL373=0,9999,IF($H373=1,IF($AJ373&lt;1,AN372+1,0),AN372))</f>
        <v>9999</v>
      </c>
      <c r="AO373" s="37" t="n">
        <f aca="false">IF($A373-AM373&gt;0,1/(1+AM373),0)</f>
        <v>0</v>
      </c>
      <c r="AP373" s="37" t="n">
        <f aca="false">IF($A373-AN373&gt;0,1/(1+AN373),0)</f>
        <v>0</v>
      </c>
      <c r="AQ373" s="7" t="n">
        <f aca="false">IF(AK373=0,0,MAX(MIN(1,AO373^Power),0))</f>
        <v>0</v>
      </c>
      <c r="AR373" s="7" t="n">
        <f aca="false">IF(AL373=0,0,MAX(MIN(1,AP373^Power),0))</f>
        <v>0</v>
      </c>
      <c r="AS373" s="7" t="n">
        <f aca="false">IF($AJ373=1,IF($H373=0,K373,AS372),AS372)</f>
        <v>0</v>
      </c>
      <c r="AT373" s="7" t="n">
        <f aca="false">IF($AJ373=1,IF($H373=1,N373,AT372),AT372)</f>
        <v>0</v>
      </c>
    </row>
    <row r="374" customFormat="false" ht="13" hidden="false" customHeight="false" outlineLevel="0" collapsed="false">
      <c r="A374" s="16" t="n">
        <v>357</v>
      </c>
      <c r="B374" s="37" t="n">
        <f aca="true">IF(RAND()&lt;$D$8,1,0)</f>
        <v>0</v>
      </c>
      <c r="C374" s="20" t="n">
        <f aca="true">-LN(RAND())/$D$2</f>
        <v>5.23628994083845</v>
      </c>
      <c r="D374" s="38" t="n">
        <f aca="false">D373+C374</f>
        <v>387.140981689913</v>
      </c>
      <c r="E374" s="39" t="n">
        <f aca="false">MAX($E$3,AS373)</f>
        <v>0</v>
      </c>
      <c r="F374" s="39" t="n">
        <f aca="false">MAX($E$3,AT373)</f>
        <v>0</v>
      </c>
      <c r="G374" s="40" t="n">
        <v>0.5</v>
      </c>
      <c r="H374" s="38" t="n">
        <f aca="true">IF((B374=1),(IF((F374&lt;E374),1,(IF((F374=E374),(IF(RAND()&lt;G374,1,0)),0)))),(IF((RAND()&lt;G374),1,0)))</f>
        <v>0</v>
      </c>
      <c r="I374" s="38" t="n">
        <f aca="true">IF((H374=1),0,$D$3+$D$5*(RAND()-0.5))</f>
        <v>1.9642916264622</v>
      </c>
      <c r="J374" s="38" t="n">
        <f aca="false">I374+MAX(D374,J373)</f>
        <v>389.105273316375</v>
      </c>
      <c r="K374" s="38" t="n">
        <f aca="false">IF((H374=0),J374-D374,0)</f>
        <v>1.96429162646217</v>
      </c>
      <c r="L374" s="38" t="n">
        <f aca="true">IF(($H374=0),0,$D$4+$D$5*(RAND()-0.5))</f>
        <v>0</v>
      </c>
      <c r="M374" s="38" t="n">
        <f aca="false">L374+MAX(D374,M373)</f>
        <v>413.536590355788</v>
      </c>
      <c r="N374" s="38" t="n">
        <f aca="false">IF((H374=1),M374-D374,0)</f>
        <v>0</v>
      </c>
      <c r="O374" s="16" t="n">
        <v>357</v>
      </c>
      <c r="P374" s="41" t="n">
        <f aca="false">IF((Arterial=0),P373+1,P373)</f>
        <v>164</v>
      </c>
      <c r="Q374" s="41" t="n">
        <f aca="false">IF((Arterial=1),Q373+1,Q373)</f>
        <v>193</v>
      </c>
      <c r="R374" s="42" t="e">
        <f aca="false">IF((RESET=1),0,R374+K374)</f>
        <v>#N/A</v>
      </c>
      <c r="S374" s="14" t="n">
        <f aca="false">IF(RESET=1,0,S374+N374)</f>
        <v>446.220558544076</v>
      </c>
      <c r="T374" s="2" t="e">
        <f aca="false">IF(RESET=1,0,T374+IF(H374=0,1,0))</f>
        <v>#N/A</v>
      </c>
      <c r="U374" s="2" t="n">
        <f aca="false">IF(RESET=1,0,U374+H374)</f>
        <v>38</v>
      </c>
      <c r="V374" s="14" t="e">
        <f aca="false">R374/(T374+0.00001)</f>
        <v>#N/A</v>
      </c>
      <c r="W374" s="14" t="n">
        <f aca="false">S374/(U374+0.0001)</f>
        <v>11.7426153758563</v>
      </c>
      <c r="X374" s="39" t="n">
        <f aca="false">IF(Informed=1,K374,0)</f>
        <v>0</v>
      </c>
      <c r="Y374" s="39" t="n">
        <f aca="false">IF(Informed=0,K374,0)</f>
        <v>1.96429162646217</v>
      </c>
      <c r="Z374" s="39" t="n">
        <f aca="false">IF(Informed=1,N374,0)</f>
        <v>0</v>
      </c>
      <c r="AA374" s="39" t="n">
        <f aca="false">IF(Informed=0,N374,0)</f>
        <v>0</v>
      </c>
      <c r="AB374" s="43" t="n">
        <f aca="false">IF(Arterial=0,IF(Informed=1,1,0),0)</f>
        <v>0</v>
      </c>
      <c r="AC374" s="43" t="n">
        <f aca="false">IF(Arterial=0,IF(Informed=0,1,0),0)</f>
        <v>1</v>
      </c>
      <c r="AD374" s="43" t="n">
        <f aca="false">IF(Arterial=1,IF(Informed=1,1,0),0)</f>
        <v>0</v>
      </c>
      <c r="AE374" s="43" t="n">
        <f aca="false">IF(Arterial=1,IF(Informed=0,1,0),0)</f>
        <v>0</v>
      </c>
      <c r="AF374" s="35" t="n">
        <f aca="false">IF(AB374=1,(X374-G$1030)^2,0)</f>
        <v>0</v>
      </c>
      <c r="AG374" s="35" t="n">
        <f aca="false">IF(AC374=1,(Y374-H$1030)^2,0)</f>
        <v>80.2725260031146</v>
      </c>
      <c r="AH374" s="35" t="n">
        <f aca="false">IF(AD374=1,(Z374-I$1030)^2,0)</f>
        <v>0</v>
      </c>
      <c r="AI374" s="35" t="n">
        <f aca="false">IF(AE374=1,(AA374-J$1030)^2,0)</f>
        <v>0</v>
      </c>
      <c r="AJ374" s="37" t="n">
        <f aca="true">IF(RAND()&lt;$D$6,1,0)</f>
        <v>0</v>
      </c>
      <c r="AK374" s="14" t="n">
        <f aca="false">AK373+IF((AJ374=1),IF((H374=0),1,0),0)</f>
        <v>0</v>
      </c>
      <c r="AL374" s="14" t="n">
        <f aca="false">AL373+IF((AJ374=1),IF((H374=1),1,0),0)</f>
        <v>0</v>
      </c>
      <c r="AM374" s="37" t="n">
        <f aca="false">IF(AK374=0,9999,IF($H374=0,IF($AJ374&lt;1,AM373+1,0),AM373))</f>
        <v>9999</v>
      </c>
      <c r="AN374" s="37" t="n">
        <f aca="false">IF(AL374=0,9999,IF($H374=1,IF($AJ374&lt;1,AN373+1,0),AN373))</f>
        <v>9999</v>
      </c>
      <c r="AO374" s="37" t="n">
        <f aca="false">IF($A374-AM374&gt;0,1/(1+AM374),0)</f>
        <v>0</v>
      </c>
      <c r="AP374" s="37" t="n">
        <f aca="false">IF($A374-AN374&gt;0,1/(1+AN374),0)</f>
        <v>0</v>
      </c>
      <c r="AQ374" s="7" t="n">
        <f aca="false">IF(AK374=0,0,MAX(MIN(1,AO374^Power),0))</f>
        <v>0</v>
      </c>
      <c r="AR374" s="7" t="n">
        <f aca="false">IF(AL374=0,0,MAX(MIN(1,AP374^Power),0))</f>
        <v>0</v>
      </c>
      <c r="AS374" s="7" t="n">
        <f aca="false">IF($AJ374=1,IF($H374=0,K374,AS373),AS373)</f>
        <v>0</v>
      </c>
      <c r="AT374" s="7" t="n">
        <f aca="false">IF($AJ374=1,IF($H374=1,N374,AT373),AT373)</f>
        <v>0</v>
      </c>
    </row>
    <row r="375" customFormat="false" ht="13" hidden="false" customHeight="false" outlineLevel="0" collapsed="false">
      <c r="A375" s="16" t="n">
        <v>358</v>
      </c>
      <c r="B375" s="37" t="n">
        <f aca="true">IF(RAND()&lt;$D$8,1,0)</f>
        <v>0</v>
      </c>
      <c r="C375" s="20" t="n">
        <f aca="true">-LN(RAND())/$D$2</f>
        <v>0.811483941771245</v>
      </c>
      <c r="D375" s="38" t="n">
        <f aca="false">D374+C375</f>
        <v>387.952465631684</v>
      </c>
      <c r="E375" s="39" t="n">
        <f aca="false">MAX($E$3,AS374)</f>
        <v>0</v>
      </c>
      <c r="F375" s="39" t="n">
        <f aca="false">MAX($E$3,AT374)</f>
        <v>0</v>
      </c>
      <c r="G375" s="40" t="n">
        <v>0.5</v>
      </c>
      <c r="H375" s="38" t="n">
        <f aca="true">IF((B375=1),(IF((F375&lt;E375),1,(IF((F375=E375),(IF(RAND()&lt;G375,1,0)),0)))),(IF((RAND()&lt;G375),1,0)))</f>
        <v>0</v>
      </c>
      <c r="I375" s="38" t="n">
        <f aca="true">IF((H375=1),0,$D$3+$D$5*(RAND()-0.5))</f>
        <v>1.99296233754473</v>
      </c>
      <c r="J375" s="38" t="n">
        <f aca="false">I375+MAX(D375,J374)</f>
        <v>391.09823565392</v>
      </c>
      <c r="K375" s="38" t="n">
        <f aca="false">IF((H375=0),J375-D375,0)</f>
        <v>3.14577002223564</v>
      </c>
      <c r="L375" s="38" t="n">
        <f aca="true">IF(($H375=0),0,$D$4+$D$5*(RAND()-0.5))</f>
        <v>0</v>
      </c>
      <c r="M375" s="38" t="n">
        <f aca="false">L375+MAX(D375,M374)</f>
        <v>413.536590355788</v>
      </c>
      <c r="N375" s="38" t="n">
        <f aca="false">IF((H375=1),M375-D375,0)</f>
        <v>0</v>
      </c>
      <c r="O375" s="16" t="n">
        <v>358</v>
      </c>
      <c r="P375" s="41" t="n">
        <f aca="false">IF((Arterial=0),P374+1,P374)</f>
        <v>165</v>
      </c>
      <c r="Q375" s="41" t="n">
        <f aca="false">IF((Arterial=1),Q374+1,Q374)</f>
        <v>193</v>
      </c>
      <c r="R375" s="42" t="e">
        <f aca="false">IF((RESET=1),0,R375+K375)</f>
        <v>#N/A</v>
      </c>
      <c r="S375" s="14" t="n">
        <f aca="false">IF(RESET=1,0,S375+N375)</f>
        <v>565.553761351345</v>
      </c>
      <c r="T375" s="2" t="e">
        <f aca="false">IF(RESET=1,0,T375+IF(H375=0,1,0))</f>
        <v>#N/A</v>
      </c>
      <c r="U375" s="2" t="n">
        <f aca="false">IF(RESET=1,0,U375+H375)</f>
        <v>41</v>
      </c>
      <c r="V375" s="14" t="e">
        <f aca="false">R375/(T375+0.00001)</f>
        <v>#N/A</v>
      </c>
      <c r="W375" s="14" t="n">
        <f aca="false">S375/(U375+0.0001)</f>
        <v>13.7939605354949</v>
      </c>
      <c r="X375" s="39" t="n">
        <f aca="false">IF(Informed=1,K375,0)</f>
        <v>0</v>
      </c>
      <c r="Y375" s="39" t="n">
        <f aca="false">IF(Informed=0,K375,0)</f>
        <v>3.14577002223564</v>
      </c>
      <c r="Z375" s="39" t="n">
        <f aca="false">IF(Informed=1,N375,0)</f>
        <v>0</v>
      </c>
      <c r="AA375" s="39" t="n">
        <f aca="false">IF(Informed=0,N375,0)</f>
        <v>0</v>
      </c>
      <c r="AB375" s="43" t="n">
        <f aca="false">IF(Arterial=0,IF(Informed=1,1,0),0)</f>
        <v>0</v>
      </c>
      <c r="AC375" s="43" t="n">
        <f aca="false">IF(Arterial=0,IF(Informed=0,1,0),0)</f>
        <v>1</v>
      </c>
      <c r="AD375" s="43" t="n">
        <f aca="false">IF(Arterial=1,IF(Informed=1,1,0),0)</f>
        <v>0</v>
      </c>
      <c r="AE375" s="43" t="n">
        <f aca="false">IF(Arterial=1,IF(Informed=0,1,0),0)</f>
        <v>0</v>
      </c>
      <c r="AF375" s="35" t="n">
        <f aca="false">IF(AB375=1,(X375-G$1030)^2,0)</f>
        <v>0</v>
      </c>
      <c r="AG375" s="35" t="n">
        <f aca="false">IF(AC375=1,(Y375-H$1030)^2,0)</f>
        <v>60.4975208945328</v>
      </c>
      <c r="AH375" s="35" t="n">
        <f aca="false">IF(AD375=1,(Z375-I$1030)^2,0)</f>
        <v>0</v>
      </c>
      <c r="AI375" s="35" t="n">
        <f aca="false">IF(AE375=1,(AA375-J$1030)^2,0)</f>
        <v>0</v>
      </c>
      <c r="AJ375" s="37" t="n">
        <f aca="true">IF(RAND()&lt;$D$6,1,0)</f>
        <v>0</v>
      </c>
      <c r="AK375" s="14" t="n">
        <f aca="false">AK374+IF((AJ375=1),IF((H375=0),1,0),0)</f>
        <v>0</v>
      </c>
      <c r="AL375" s="14" t="n">
        <f aca="false">AL374+IF((AJ375=1),IF((H375=1),1,0),0)</f>
        <v>0</v>
      </c>
      <c r="AM375" s="37" t="n">
        <f aca="false">IF(AK375=0,9999,IF($H375=0,IF($AJ375&lt;1,AM374+1,0),AM374))</f>
        <v>9999</v>
      </c>
      <c r="AN375" s="37" t="n">
        <f aca="false">IF(AL375=0,9999,IF($H375=1,IF($AJ375&lt;1,AN374+1,0),AN374))</f>
        <v>9999</v>
      </c>
      <c r="AO375" s="37" t="n">
        <f aca="false">IF($A375-AM375&gt;0,1/(1+AM375),0)</f>
        <v>0</v>
      </c>
      <c r="AP375" s="37" t="n">
        <f aca="false">IF($A375-AN375&gt;0,1/(1+AN375),0)</f>
        <v>0</v>
      </c>
      <c r="AQ375" s="7" t="n">
        <f aca="false">IF(AK375=0,0,MAX(MIN(1,AO375^Power),0))</f>
        <v>0</v>
      </c>
      <c r="AR375" s="7" t="n">
        <f aca="false">IF(AL375=0,0,MAX(MIN(1,AP375^Power),0))</f>
        <v>0</v>
      </c>
      <c r="AS375" s="7" t="n">
        <f aca="false">IF($AJ375=1,IF($H375=0,K375,AS374),AS374)</f>
        <v>0</v>
      </c>
      <c r="AT375" s="7" t="n">
        <f aca="false">IF($AJ375=1,IF($H375=1,N375,AT374),AT374)</f>
        <v>0</v>
      </c>
    </row>
    <row r="376" customFormat="false" ht="13" hidden="false" customHeight="false" outlineLevel="0" collapsed="false">
      <c r="A376" s="16" t="n">
        <v>359</v>
      </c>
      <c r="B376" s="37" t="n">
        <f aca="true">IF(RAND()&lt;$D$8,1,0)</f>
        <v>1</v>
      </c>
      <c r="C376" s="20" t="n">
        <f aca="true">-LN(RAND())/$D$2</f>
        <v>2.21975340097185</v>
      </c>
      <c r="D376" s="38" t="n">
        <f aca="false">D375+C376</f>
        <v>390.172219032656</v>
      </c>
      <c r="E376" s="39" t="n">
        <f aca="false">MAX($E$3,AS375)</f>
        <v>0</v>
      </c>
      <c r="F376" s="39" t="n">
        <f aca="false">MAX($E$3,AT375)</f>
        <v>0</v>
      </c>
      <c r="G376" s="40" t="n">
        <v>0.5</v>
      </c>
      <c r="H376" s="38" t="n">
        <f aca="true">IF((B376=1),(IF((F376&lt;E376),1,(IF((F376=E376),(IF(RAND()&lt;G376,1,0)),0)))),(IF((RAND()&lt;G376),1,0)))</f>
        <v>0</v>
      </c>
      <c r="I376" s="38" t="n">
        <f aca="true">IF((H376=1),0,$D$3+$D$5*(RAND()-0.5))</f>
        <v>2.19955412894175</v>
      </c>
      <c r="J376" s="38" t="n">
        <f aca="false">I376+MAX(D376,J375)</f>
        <v>393.297789782861</v>
      </c>
      <c r="K376" s="38" t="n">
        <f aca="false">IF((H376=0),J376-D376,0)</f>
        <v>3.12557075020555</v>
      </c>
      <c r="L376" s="38" t="n">
        <f aca="true">IF(($H376=0),0,$D$4+$D$5*(RAND()-0.5))</f>
        <v>0</v>
      </c>
      <c r="M376" s="38" t="n">
        <f aca="false">L376+MAX(D376,M375)</f>
        <v>413.536590355788</v>
      </c>
      <c r="N376" s="38" t="n">
        <f aca="false">IF((H376=1),M376-D376,0)</f>
        <v>0</v>
      </c>
      <c r="O376" s="16" t="n">
        <v>359</v>
      </c>
      <c r="P376" s="41" t="n">
        <f aca="false">IF((Arterial=0),P375+1,P375)</f>
        <v>166</v>
      </c>
      <c r="Q376" s="41" t="n">
        <f aca="false">IF((Arterial=1),Q375+1,Q375)</f>
        <v>193</v>
      </c>
      <c r="R376" s="42" t="e">
        <f aca="false">IF((RESET=1),0,R376+K376)</f>
        <v>#N/A</v>
      </c>
      <c r="S376" s="14" t="n">
        <f aca="false">IF(RESET=1,0,S376+N376)</f>
        <v>513.435059562215</v>
      </c>
      <c r="T376" s="2" t="e">
        <f aca="false">IF(RESET=1,0,T376+IF(H376=0,1,0))</f>
        <v>#N/A</v>
      </c>
      <c r="U376" s="2" t="n">
        <f aca="false">IF(RESET=1,0,U376+H376)</f>
        <v>44</v>
      </c>
      <c r="V376" s="14" t="e">
        <f aca="false">R376/(T376+0.00001)</f>
        <v>#N/A</v>
      </c>
      <c r="W376" s="14" t="n">
        <f aca="false">S376/(U376+0.0001)</f>
        <v>11.6689521060683</v>
      </c>
      <c r="X376" s="39" t="n">
        <f aca="false">IF(Informed=1,K376,0)</f>
        <v>3.12557075020555</v>
      </c>
      <c r="Y376" s="39" t="n">
        <f aca="false">IF(Informed=0,K376,0)</f>
        <v>0</v>
      </c>
      <c r="Z376" s="39" t="n">
        <f aca="false">IF(Informed=1,N376,0)</f>
        <v>0</v>
      </c>
      <c r="AA376" s="39" t="n">
        <f aca="false">IF(Informed=0,N376,0)</f>
        <v>0</v>
      </c>
      <c r="AB376" s="43" t="n">
        <f aca="false">IF(Arterial=0,IF(Informed=1,1,0),0)</f>
        <v>1</v>
      </c>
      <c r="AC376" s="43" t="n">
        <f aca="false">IF(Arterial=0,IF(Informed=0,1,0),0)</f>
        <v>0</v>
      </c>
      <c r="AD376" s="43" t="n">
        <f aca="false">IF(Arterial=1,IF(Informed=1,1,0),0)</f>
        <v>0</v>
      </c>
      <c r="AE376" s="43" t="n">
        <f aca="false">IF(Arterial=1,IF(Informed=0,1,0),0)</f>
        <v>0</v>
      </c>
      <c r="AF376" s="35" t="n">
        <f aca="false">IF(AB376=1,(X376-G$1030)^2,0)</f>
        <v>57.5186864437288</v>
      </c>
      <c r="AG376" s="35" t="n">
        <f aca="false">IF(AC376=1,(Y376-H$1030)^2,0)</f>
        <v>0</v>
      </c>
      <c r="AH376" s="35" t="n">
        <f aca="false">IF(AD376=1,(Z376-I$1030)^2,0)</f>
        <v>0</v>
      </c>
      <c r="AI376" s="35" t="n">
        <f aca="false">IF(AE376=1,(AA376-J$1030)^2,0)</f>
        <v>0</v>
      </c>
      <c r="AJ376" s="37" t="n">
        <f aca="true">IF(RAND()&lt;$D$6,1,0)</f>
        <v>0</v>
      </c>
      <c r="AK376" s="14" t="n">
        <f aca="false">AK375+IF((AJ376=1),IF((H376=0),1,0),0)</f>
        <v>0</v>
      </c>
      <c r="AL376" s="14" t="n">
        <f aca="false">AL375+IF((AJ376=1),IF((H376=1),1,0),0)</f>
        <v>0</v>
      </c>
      <c r="AM376" s="37" t="n">
        <f aca="false">IF(AK376=0,9999,IF($H376=0,IF($AJ376&lt;1,AM375+1,0),AM375))</f>
        <v>9999</v>
      </c>
      <c r="AN376" s="37" t="n">
        <f aca="false">IF(AL376=0,9999,IF($H376=1,IF($AJ376&lt;1,AN375+1,0),AN375))</f>
        <v>9999</v>
      </c>
      <c r="AO376" s="37" t="n">
        <f aca="false">IF($A376-AM376&gt;0,1/(1+AM376),0)</f>
        <v>0</v>
      </c>
      <c r="AP376" s="37" t="n">
        <f aca="false">IF($A376-AN376&gt;0,1/(1+AN376),0)</f>
        <v>0</v>
      </c>
      <c r="AQ376" s="7" t="n">
        <f aca="false">IF(AK376=0,0,MAX(MIN(1,AO376^Power),0))</f>
        <v>0</v>
      </c>
      <c r="AR376" s="7" t="n">
        <f aca="false">IF(AL376=0,0,MAX(MIN(1,AP376^Power),0))</f>
        <v>0</v>
      </c>
      <c r="AS376" s="7" t="n">
        <f aca="false">IF($AJ376=1,IF($H376=0,K376,AS375),AS375)</f>
        <v>0</v>
      </c>
      <c r="AT376" s="7" t="n">
        <f aca="false">IF($AJ376=1,IF($H376=1,N376,AT375),AT375)</f>
        <v>0</v>
      </c>
    </row>
    <row r="377" customFormat="false" ht="13" hidden="false" customHeight="false" outlineLevel="0" collapsed="false">
      <c r="A377" s="16" t="n">
        <v>360</v>
      </c>
      <c r="B377" s="37" t="n">
        <f aca="true">IF(RAND()&lt;$D$8,1,0)</f>
        <v>1</v>
      </c>
      <c r="C377" s="20" t="n">
        <f aca="true">-LN(RAND())/$D$2</f>
        <v>0.784520803806128</v>
      </c>
      <c r="D377" s="38" t="n">
        <f aca="false">D376+C377</f>
        <v>390.956739836462</v>
      </c>
      <c r="E377" s="39" t="n">
        <f aca="false">MAX($E$3,AS376)</f>
        <v>0</v>
      </c>
      <c r="F377" s="39" t="n">
        <f aca="false">MAX($E$3,AT376)</f>
        <v>0</v>
      </c>
      <c r="G377" s="40" t="n">
        <v>0.5</v>
      </c>
      <c r="H377" s="38" t="n">
        <f aca="true">IF((B377=1),(IF((F377&lt;E377),1,(IF((F377=E377),(IF(RAND()&lt;G377,1,0)),0)))),(IF((RAND()&lt;G377),1,0)))</f>
        <v>0</v>
      </c>
      <c r="I377" s="38" t="n">
        <f aca="true">IF((H377=1),0,$D$3+$D$5*(RAND()-0.5))</f>
        <v>2.07689430822503</v>
      </c>
      <c r="J377" s="38" t="n">
        <f aca="false">I377+MAX(D377,J376)</f>
        <v>395.374684091086</v>
      </c>
      <c r="K377" s="38" t="n">
        <f aca="false">IF((H377=0),J377-D377,0)</f>
        <v>4.41794425462444</v>
      </c>
      <c r="L377" s="38" t="n">
        <f aca="true">IF(($H377=0),0,$D$4+$D$5*(RAND()-0.5))</f>
        <v>0</v>
      </c>
      <c r="M377" s="38" t="n">
        <f aca="false">L377+MAX(D377,M376)</f>
        <v>413.536590355788</v>
      </c>
      <c r="N377" s="38" t="n">
        <f aca="false">IF((H377=1),M377-D377,0)</f>
        <v>0</v>
      </c>
      <c r="O377" s="16" t="n">
        <v>360</v>
      </c>
      <c r="P377" s="41" t="n">
        <f aca="false">IF((Arterial=0),P376+1,P376)</f>
        <v>167</v>
      </c>
      <c r="Q377" s="41" t="n">
        <f aca="false">IF((Arterial=1),Q376+1,Q376)</f>
        <v>193</v>
      </c>
      <c r="R377" s="42" t="e">
        <f aca="false">IF((RESET=1),0,R377+K377)</f>
        <v>#N/A</v>
      </c>
      <c r="S377" s="14" t="n">
        <f aca="false">IF(RESET=1,0,S377+N377)</f>
        <v>555.275174176515</v>
      </c>
      <c r="T377" s="2" t="e">
        <f aca="false">IF(RESET=1,0,T377+IF(H377=0,1,0))</f>
        <v>#N/A</v>
      </c>
      <c r="U377" s="2" t="n">
        <f aca="false">IF(RESET=1,0,U377+H377)</f>
        <v>44</v>
      </c>
      <c r="V377" s="14" t="e">
        <f aca="false">R377/(T377+0.00001)</f>
        <v>#N/A</v>
      </c>
      <c r="W377" s="14" t="n">
        <f aca="false">S377/(U377+0.0001)</f>
        <v>12.6198616406898</v>
      </c>
      <c r="X377" s="39" t="n">
        <f aca="false">IF(Informed=1,K377,0)</f>
        <v>4.41794425462444</v>
      </c>
      <c r="Y377" s="39" t="n">
        <f aca="false">IF(Informed=0,K377,0)</f>
        <v>0</v>
      </c>
      <c r="Z377" s="39" t="n">
        <f aca="false">IF(Informed=1,N377,0)</f>
        <v>0</v>
      </c>
      <c r="AA377" s="39" t="n">
        <f aca="false">IF(Informed=0,N377,0)</f>
        <v>0</v>
      </c>
      <c r="AB377" s="43" t="n">
        <f aca="false">IF(Arterial=0,IF(Informed=1,1,0),0)</f>
        <v>1</v>
      </c>
      <c r="AC377" s="43" t="n">
        <f aca="false">IF(Arterial=0,IF(Informed=0,1,0),0)</f>
        <v>0</v>
      </c>
      <c r="AD377" s="43" t="n">
        <f aca="false">IF(Arterial=1,IF(Informed=1,1,0),0)</f>
        <v>0</v>
      </c>
      <c r="AE377" s="43" t="n">
        <f aca="false">IF(Arterial=1,IF(Informed=0,1,0),0)</f>
        <v>0</v>
      </c>
      <c r="AF377" s="35" t="n">
        <f aca="false">IF(AB377=1,(X377-G$1030)^2,0)</f>
        <v>39.5859165651061</v>
      </c>
      <c r="AG377" s="35" t="n">
        <f aca="false">IF(AC377=1,(Y377-H$1030)^2,0)</f>
        <v>0</v>
      </c>
      <c r="AH377" s="35" t="n">
        <f aca="false">IF(AD377=1,(Z377-I$1030)^2,0)</f>
        <v>0</v>
      </c>
      <c r="AI377" s="35" t="n">
        <f aca="false">IF(AE377=1,(AA377-J$1030)^2,0)</f>
        <v>0</v>
      </c>
      <c r="AJ377" s="37" t="n">
        <f aca="true">IF(RAND()&lt;$D$6,1,0)</f>
        <v>0</v>
      </c>
      <c r="AK377" s="14" t="n">
        <f aca="false">AK376+IF((AJ377=1),IF((H377=0),1,0),0)</f>
        <v>0</v>
      </c>
      <c r="AL377" s="14" t="n">
        <f aca="false">AL376+IF((AJ377=1),IF((H377=1),1,0),0)</f>
        <v>0</v>
      </c>
      <c r="AM377" s="37" t="n">
        <f aca="false">IF(AK377=0,9999,IF($H377=0,IF($AJ377&lt;1,AM376+1,0),AM376))</f>
        <v>9999</v>
      </c>
      <c r="AN377" s="37" t="n">
        <f aca="false">IF(AL377=0,9999,IF($H377=1,IF($AJ377&lt;1,AN376+1,0),AN376))</f>
        <v>9999</v>
      </c>
      <c r="AO377" s="37" t="n">
        <f aca="false">IF($A377-AM377&gt;0,1/(1+AM377),0)</f>
        <v>0</v>
      </c>
      <c r="AP377" s="37" t="n">
        <f aca="false">IF($A377-AN377&gt;0,1/(1+AN377),0)</f>
        <v>0</v>
      </c>
      <c r="AQ377" s="7" t="n">
        <f aca="false">IF(AK377=0,0,MAX(MIN(1,AO377^Power),0))</f>
        <v>0</v>
      </c>
      <c r="AR377" s="7" t="n">
        <f aca="false">IF(AL377=0,0,MAX(MIN(1,AP377^Power),0))</f>
        <v>0</v>
      </c>
      <c r="AS377" s="7" t="n">
        <f aca="false">IF($AJ377=1,IF($H377=0,K377,AS376),AS376)</f>
        <v>0</v>
      </c>
      <c r="AT377" s="7" t="n">
        <f aca="false">IF($AJ377=1,IF($H377=1,N377,AT376),AT376)</f>
        <v>0</v>
      </c>
    </row>
    <row r="378" customFormat="false" ht="13" hidden="false" customHeight="false" outlineLevel="0" collapsed="false">
      <c r="A378" s="16" t="n">
        <v>361</v>
      </c>
      <c r="B378" s="37" t="n">
        <f aca="true">IF(RAND()&lt;$D$8,1,0)</f>
        <v>0</v>
      </c>
      <c r="C378" s="20" t="n">
        <f aca="true">-LN(RAND())/$D$2</f>
        <v>1.36046787335187</v>
      </c>
      <c r="D378" s="38" t="n">
        <f aca="false">D377+C378</f>
        <v>392.317207709814</v>
      </c>
      <c r="E378" s="39" t="n">
        <f aca="false">MAX($E$3,AS377)</f>
        <v>0</v>
      </c>
      <c r="F378" s="39" t="n">
        <f aca="false">MAX($E$3,AT377)</f>
        <v>0</v>
      </c>
      <c r="G378" s="40" t="n">
        <v>0.5</v>
      </c>
      <c r="H378" s="38" t="n">
        <f aca="true">IF((B378=1),(IF((F378&lt;E378),1,(IF((F378=E378),(IF(RAND()&lt;G378,1,0)),0)))),(IF((RAND()&lt;G378),1,0)))</f>
        <v>0</v>
      </c>
      <c r="I378" s="38" t="n">
        <f aca="true">IF((H378=1),0,$D$3+$D$5*(RAND()-0.5))</f>
        <v>1.89861850587832</v>
      </c>
      <c r="J378" s="38" t="n">
        <f aca="false">I378+MAX(D378,J377)</f>
        <v>397.273302596965</v>
      </c>
      <c r="K378" s="38" t="n">
        <f aca="false">IF((H378=0),J378-D378,0)</f>
        <v>4.95609488715093</v>
      </c>
      <c r="L378" s="38" t="n">
        <f aca="true">IF(($H378=0),0,$D$4+$D$5*(RAND()-0.5))</f>
        <v>0</v>
      </c>
      <c r="M378" s="38" t="n">
        <f aca="false">L378+MAX(D378,M377)</f>
        <v>413.536590355788</v>
      </c>
      <c r="N378" s="38" t="n">
        <f aca="false">IF((H378=1),M378-D378,0)</f>
        <v>0</v>
      </c>
      <c r="O378" s="16" t="n">
        <v>361</v>
      </c>
      <c r="P378" s="41" t="n">
        <f aca="false">IF((Arterial=0),P377+1,P377)</f>
        <v>168</v>
      </c>
      <c r="Q378" s="41" t="n">
        <f aca="false">IF((Arterial=1),Q377+1,Q377)</f>
        <v>193</v>
      </c>
      <c r="R378" s="42" t="e">
        <f aca="false">IF((RESET=1),0,R378+K378)</f>
        <v>#N/A</v>
      </c>
      <c r="S378" s="14" t="n">
        <f aca="false">IF(RESET=1,0,S378+N378)</f>
        <v>577.583774285274</v>
      </c>
      <c r="T378" s="2" t="e">
        <f aca="false">IF(RESET=1,0,T378+IF(H378=0,1,0))</f>
        <v>#N/A</v>
      </c>
      <c r="U378" s="2" t="n">
        <f aca="false">IF(RESET=1,0,U378+H378)</f>
        <v>41</v>
      </c>
      <c r="V378" s="14" t="e">
        <f aca="false">R378/(T378+0.00001)</f>
        <v>#N/A</v>
      </c>
      <c r="W378" s="14" t="n">
        <f aca="false">S378/(U378+0.0001)</f>
        <v>14.0873747694585</v>
      </c>
      <c r="X378" s="39" t="n">
        <f aca="false">IF(Informed=1,K378,0)</f>
        <v>0</v>
      </c>
      <c r="Y378" s="39" t="n">
        <f aca="false">IF(Informed=0,K378,0)</f>
        <v>4.95609488715093</v>
      </c>
      <c r="Z378" s="39" t="n">
        <f aca="false">IF(Informed=1,N378,0)</f>
        <v>0</v>
      </c>
      <c r="AA378" s="39" t="n">
        <f aca="false">IF(Informed=0,N378,0)</f>
        <v>0</v>
      </c>
      <c r="AB378" s="43" t="n">
        <f aca="false">IF(Arterial=0,IF(Informed=1,1,0),0)</f>
        <v>0</v>
      </c>
      <c r="AC378" s="43" t="n">
        <f aca="false">IF(Arterial=0,IF(Informed=0,1,0),0)</f>
        <v>1</v>
      </c>
      <c r="AD378" s="43" t="n">
        <f aca="false">IF(Arterial=1,IF(Informed=1,1,0),0)</f>
        <v>0</v>
      </c>
      <c r="AE378" s="43" t="n">
        <f aca="false">IF(Arterial=1,IF(Informed=0,1,0),0)</f>
        <v>0</v>
      </c>
      <c r="AF378" s="35" t="n">
        <f aca="false">IF(AB378=1,(X378-G$1030)^2,0)</f>
        <v>0</v>
      </c>
      <c r="AG378" s="35" t="n">
        <f aca="false">IF(AC378=1,(Y378-H$1030)^2,0)</f>
        <v>35.6133282754338</v>
      </c>
      <c r="AH378" s="35" t="n">
        <f aca="false">IF(AD378=1,(Z378-I$1030)^2,0)</f>
        <v>0</v>
      </c>
      <c r="AI378" s="35" t="n">
        <f aca="false">IF(AE378=1,(AA378-J$1030)^2,0)</f>
        <v>0</v>
      </c>
      <c r="AJ378" s="37" t="n">
        <f aca="true">IF(RAND()&lt;$D$6,1,0)</f>
        <v>0</v>
      </c>
      <c r="AK378" s="14" t="n">
        <f aca="false">AK377+IF((AJ378=1),IF((H378=0),1,0),0)</f>
        <v>0</v>
      </c>
      <c r="AL378" s="14" t="n">
        <f aca="false">AL377+IF((AJ378=1),IF((H378=1),1,0),0)</f>
        <v>0</v>
      </c>
      <c r="AM378" s="37" t="n">
        <f aca="false">IF(AK378=0,9999,IF($H378=0,IF($AJ378&lt;1,AM377+1,0),AM377))</f>
        <v>9999</v>
      </c>
      <c r="AN378" s="37" t="n">
        <f aca="false">IF(AL378=0,9999,IF($H378=1,IF($AJ378&lt;1,AN377+1,0),AN377))</f>
        <v>9999</v>
      </c>
      <c r="AO378" s="37" t="n">
        <f aca="false">IF($A378-AM378&gt;0,1/(1+AM378),0)</f>
        <v>0</v>
      </c>
      <c r="AP378" s="37" t="n">
        <f aca="false">IF($A378-AN378&gt;0,1/(1+AN378),0)</f>
        <v>0</v>
      </c>
      <c r="AQ378" s="7" t="n">
        <f aca="false">IF(AK378=0,0,MAX(MIN(1,AO378^Power),0))</f>
        <v>0</v>
      </c>
      <c r="AR378" s="7" t="n">
        <f aca="false">IF(AL378=0,0,MAX(MIN(1,AP378^Power),0))</f>
        <v>0</v>
      </c>
      <c r="AS378" s="7" t="n">
        <f aca="false">IF($AJ378=1,IF($H378=0,K378,AS377),AS377)</f>
        <v>0</v>
      </c>
      <c r="AT378" s="7" t="n">
        <f aca="false">IF($AJ378=1,IF($H378=1,N378,AT377),AT377)</f>
        <v>0</v>
      </c>
    </row>
    <row r="379" customFormat="false" ht="13" hidden="false" customHeight="false" outlineLevel="0" collapsed="false">
      <c r="A379" s="16" t="n">
        <v>362</v>
      </c>
      <c r="B379" s="37" t="n">
        <f aca="true">IF(RAND()&lt;$D$8,1,0)</f>
        <v>0</v>
      </c>
      <c r="C379" s="20" t="n">
        <f aca="true">-LN(RAND())/$D$2</f>
        <v>0.932974827163954</v>
      </c>
      <c r="D379" s="38" t="n">
        <f aca="false">D378+C379</f>
        <v>393.250182536978</v>
      </c>
      <c r="E379" s="39" t="n">
        <f aca="false">MAX($E$3,AS378)</f>
        <v>0</v>
      </c>
      <c r="F379" s="39" t="n">
        <f aca="false">MAX($E$3,AT378)</f>
        <v>0</v>
      </c>
      <c r="G379" s="40" t="n">
        <v>0.5</v>
      </c>
      <c r="H379" s="38" t="n">
        <f aca="true">IF((B379=1),(IF((F379&lt;E379),1,(IF((F379=E379),(IF(RAND()&lt;G379,1,0)),0)))),(IF((RAND()&lt;G379),1,0)))</f>
        <v>1</v>
      </c>
      <c r="I379" s="38" t="n">
        <f aca="true">IF((H379=1),0,$D$3+$D$5*(RAND()-0.5))</f>
        <v>0</v>
      </c>
      <c r="J379" s="38" t="n">
        <f aca="false">I379+MAX(D379,J378)</f>
        <v>397.273302596965</v>
      </c>
      <c r="K379" s="38" t="n">
        <f aca="false">IF((H379=0),J379-D379,0)</f>
        <v>0</v>
      </c>
      <c r="L379" s="38" t="n">
        <f aca="true">IF(($H379=0),0,$D$4+$D$5*(RAND()-0.5))</f>
        <v>2.06262281767856</v>
      </c>
      <c r="M379" s="38" t="n">
        <f aca="false">L379+MAX(D379,M378)</f>
        <v>415.599213173467</v>
      </c>
      <c r="N379" s="38" t="n">
        <f aca="false">IF((H379=1),M379-D379,0)</f>
        <v>22.3490306364888</v>
      </c>
      <c r="O379" s="16" t="n">
        <v>362</v>
      </c>
      <c r="P379" s="41" t="n">
        <f aca="false">IF((Arterial=0),P378+1,P378)</f>
        <v>168</v>
      </c>
      <c r="Q379" s="41" t="n">
        <f aca="false">IF((Arterial=1),Q378+1,Q378)</f>
        <v>194</v>
      </c>
      <c r="R379" s="42" t="n">
        <f aca="false">IF((RESET=1),0,R379+K379)</f>
        <v>580.357429461341</v>
      </c>
      <c r="S379" s="14" t="e">
        <f aca="false">IF(RESET=1,0,S379+N379)</f>
        <v>#N/A</v>
      </c>
      <c r="T379" s="2" t="n">
        <f aca="false">IF(RESET=1,0,T379+IF(H379=0,1,0))</f>
        <v>38</v>
      </c>
      <c r="U379" s="2" t="e">
        <f aca="false">IF(RESET=1,0,U379+H379)</f>
        <v>#N/A</v>
      </c>
      <c r="V379" s="14" t="n">
        <f aca="false">R379/(T379+0.00001)</f>
        <v>15.2725599140985</v>
      </c>
      <c r="W379" s="14" t="e">
        <f aca="false">S379/(U379+0.0001)</f>
        <v>#N/A</v>
      </c>
      <c r="X379" s="39" t="n">
        <f aca="false">IF(Informed=1,K379,0)</f>
        <v>0</v>
      </c>
      <c r="Y379" s="39" t="n">
        <f aca="false">IF(Informed=0,K379,0)</f>
        <v>0</v>
      </c>
      <c r="Z379" s="39" t="n">
        <f aca="false">IF(Informed=1,N379,0)</f>
        <v>0</v>
      </c>
      <c r="AA379" s="39" t="n">
        <f aca="false">IF(Informed=0,N379,0)</f>
        <v>22.3490306364888</v>
      </c>
      <c r="AB379" s="43" t="n">
        <f aca="false">IF(Arterial=0,IF(Informed=1,1,0),0)</f>
        <v>0</v>
      </c>
      <c r="AC379" s="43" t="n">
        <f aca="false">IF(Arterial=0,IF(Informed=0,1,0),0)</f>
        <v>0</v>
      </c>
      <c r="AD379" s="43" t="n">
        <f aca="false">IF(Arterial=1,IF(Informed=1,1,0),0)</f>
        <v>0</v>
      </c>
      <c r="AE379" s="43" t="n">
        <f aca="false">IF(Arterial=1,IF(Informed=0,1,0),0)</f>
        <v>1</v>
      </c>
      <c r="AF379" s="35" t="n">
        <f aca="false">IF(AB379=1,(X379-G$1030)^2,0)</f>
        <v>0</v>
      </c>
      <c r="AG379" s="35" t="n">
        <f aca="false">IF(AC379=1,(Y379-H$1030)^2,0)</f>
        <v>0</v>
      </c>
      <c r="AH379" s="35" t="n">
        <f aca="false">IF(AD379=1,(Z379-I$1030)^2,0)</f>
        <v>0</v>
      </c>
      <c r="AI379" s="35" t="n">
        <f aca="false">IF(AE379=1,(AA379-J$1030)^2,0)</f>
        <v>52.0597510839861</v>
      </c>
      <c r="AJ379" s="37" t="n">
        <f aca="true">IF(RAND()&lt;$D$6,1,0)</f>
        <v>0</v>
      </c>
      <c r="AK379" s="14" t="n">
        <f aca="false">AK378+IF((AJ379=1),IF((H379=0),1,0),0)</f>
        <v>0</v>
      </c>
      <c r="AL379" s="14" t="n">
        <f aca="false">AL378+IF((AJ379=1),IF((H379=1),1,0),0)</f>
        <v>0</v>
      </c>
      <c r="AM379" s="37" t="n">
        <f aca="false">IF(AK379=0,9999,IF($H379=0,IF($AJ379&lt;1,AM378+1,0),AM378))</f>
        <v>9999</v>
      </c>
      <c r="AN379" s="37" t="n">
        <f aca="false">IF(AL379=0,9999,IF($H379=1,IF($AJ379&lt;1,AN378+1,0),AN378))</f>
        <v>9999</v>
      </c>
      <c r="AO379" s="37" t="n">
        <f aca="false">IF($A379-AM379&gt;0,1/(1+AM379),0)</f>
        <v>0</v>
      </c>
      <c r="AP379" s="37" t="n">
        <f aca="false">IF($A379-AN379&gt;0,1/(1+AN379),0)</f>
        <v>0</v>
      </c>
      <c r="AQ379" s="7" t="n">
        <f aca="false">IF(AK379=0,0,MAX(MIN(1,AO379^Power),0))</f>
        <v>0</v>
      </c>
      <c r="AR379" s="7" t="n">
        <f aca="false">IF(AL379=0,0,MAX(MIN(1,AP379^Power),0))</f>
        <v>0</v>
      </c>
      <c r="AS379" s="7" t="n">
        <f aca="false">IF($AJ379=1,IF($H379=0,K379,AS378),AS378)</f>
        <v>0</v>
      </c>
      <c r="AT379" s="7" t="n">
        <f aca="false">IF($AJ379=1,IF($H379=1,N379,AT378),AT378)</f>
        <v>0</v>
      </c>
    </row>
    <row r="380" customFormat="false" ht="13" hidden="false" customHeight="false" outlineLevel="0" collapsed="false">
      <c r="A380" s="16" t="n">
        <v>363</v>
      </c>
      <c r="B380" s="37" t="n">
        <f aca="true">IF(RAND()&lt;$D$8,1,0)</f>
        <v>0</v>
      </c>
      <c r="C380" s="20" t="n">
        <f aca="true">-LN(RAND())/$D$2</f>
        <v>1.71726230238292</v>
      </c>
      <c r="D380" s="38" t="n">
        <f aca="false">D379+C380</f>
        <v>394.967444839361</v>
      </c>
      <c r="E380" s="39" t="n">
        <f aca="false">MAX($E$3,AS379)</f>
        <v>0</v>
      </c>
      <c r="F380" s="39" t="n">
        <f aca="false">MAX($E$3,AT379)</f>
        <v>0</v>
      </c>
      <c r="G380" s="40" t="n">
        <v>0.5</v>
      </c>
      <c r="H380" s="38" t="n">
        <f aca="true">IF((B380=1),(IF((F380&lt;E380),1,(IF((F380=E380),(IF(RAND()&lt;G380,1,0)),0)))),(IF((RAND()&lt;G380),1,0)))</f>
        <v>0</v>
      </c>
      <c r="I380" s="38" t="n">
        <f aca="true">IF((H380=1),0,$D$3+$D$5*(RAND()-0.5))</f>
        <v>1.95921262678847</v>
      </c>
      <c r="J380" s="38" t="n">
        <f aca="false">I380+MAX(D380,J379)</f>
        <v>399.232515223753</v>
      </c>
      <c r="K380" s="38" t="n">
        <f aca="false">IF((H380=0),J380-D380,0)</f>
        <v>4.26507038439252</v>
      </c>
      <c r="L380" s="38" t="n">
        <f aca="true">IF(($H380=0),0,$D$4+$D$5*(RAND()-0.5))</f>
        <v>0</v>
      </c>
      <c r="M380" s="38" t="n">
        <f aca="false">L380+MAX(D380,M379)</f>
        <v>415.599213173467</v>
      </c>
      <c r="N380" s="38" t="n">
        <f aca="false">IF((H380=1),M380-D380,0)</f>
        <v>0</v>
      </c>
      <c r="O380" s="16" t="n">
        <v>363</v>
      </c>
      <c r="P380" s="41" t="n">
        <f aca="false">IF((Arterial=0),P379+1,P379)</f>
        <v>169</v>
      </c>
      <c r="Q380" s="41" t="n">
        <f aca="false">IF((Arterial=1),Q379+1,Q379)</f>
        <v>194</v>
      </c>
      <c r="R380" s="42" t="e">
        <f aca="false">IF((RESET=1),0,R380+K380)</f>
        <v>#N/A</v>
      </c>
      <c r="S380" s="14" t="n">
        <f aca="false">IF(RESET=1,0,S380+N380)</f>
        <v>614.196590613963</v>
      </c>
      <c r="T380" s="2" t="e">
        <f aca="false">IF(RESET=1,0,T380+IF(H380=0,1,0))</f>
        <v>#N/A</v>
      </c>
      <c r="U380" s="2" t="n">
        <f aca="false">IF(RESET=1,0,U380+H380)</f>
        <v>41</v>
      </c>
      <c r="V380" s="14" t="e">
        <f aca="false">R380/(T380+0.00001)</f>
        <v>#N/A</v>
      </c>
      <c r="W380" s="14" t="n">
        <f aca="false">S380/(U380+0.0001)</f>
        <v>14.9803681116379</v>
      </c>
      <c r="X380" s="39" t="n">
        <f aca="false">IF(Informed=1,K380,0)</f>
        <v>0</v>
      </c>
      <c r="Y380" s="39" t="n">
        <f aca="false">IF(Informed=0,K380,0)</f>
        <v>4.26507038439252</v>
      </c>
      <c r="Z380" s="39" t="n">
        <f aca="false">IF(Informed=1,N380,0)</f>
        <v>0</v>
      </c>
      <c r="AA380" s="39" t="n">
        <f aca="false">IF(Informed=0,N380,0)</f>
        <v>0</v>
      </c>
      <c r="AB380" s="43" t="n">
        <f aca="false">IF(Arterial=0,IF(Informed=1,1,0),0)</f>
        <v>0</v>
      </c>
      <c r="AC380" s="43" t="n">
        <f aca="false">IF(Arterial=0,IF(Informed=0,1,0),0)</f>
        <v>1</v>
      </c>
      <c r="AD380" s="43" t="n">
        <f aca="false">IF(Arterial=1,IF(Informed=1,1,0),0)</f>
        <v>0</v>
      </c>
      <c r="AE380" s="43" t="n">
        <f aca="false">IF(Arterial=1,IF(Informed=0,1,0),0)</f>
        <v>0</v>
      </c>
      <c r="AF380" s="35" t="n">
        <f aca="false">IF(AB380=1,(X380-G$1030)^2,0)</f>
        <v>0</v>
      </c>
      <c r="AG380" s="35" t="n">
        <f aca="false">IF(AC380=1,(Y380-H$1030)^2,0)</f>
        <v>44.3384836710491</v>
      </c>
      <c r="AH380" s="35" t="n">
        <f aca="false">IF(AD380=1,(Z380-I$1030)^2,0)</f>
        <v>0</v>
      </c>
      <c r="AI380" s="35" t="n">
        <f aca="false">IF(AE380=1,(AA380-J$1030)^2,0)</f>
        <v>0</v>
      </c>
      <c r="AJ380" s="37" t="n">
        <f aca="true">IF(RAND()&lt;$D$6,1,0)</f>
        <v>0</v>
      </c>
      <c r="AK380" s="14" t="n">
        <f aca="false">AK379+IF((AJ380=1),IF((H380=0),1,0),0)</f>
        <v>0</v>
      </c>
      <c r="AL380" s="14" t="n">
        <f aca="false">AL379+IF((AJ380=1),IF((H380=1),1,0),0)</f>
        <v>0</v>
      </c>
      <c r="AM380" s="37" t="n">
        <f aca="false">IF(AK380=0,9999,IF($H380=0,IF($AJ380&lt;1,AM379+1,0),AM379))</f>
        <v>9999</v>
      </c>
      <c r="AN380" s="37" t="n">
        <f aca="false">IF(AL380=0,9999,IF($H380=1,IF($AJ380&lt;1,AN379+1,0),AN379))</f>
        <v>9999</v>
      </c>
      <c r="AO380" s="37" t="n">
        <f aca="false">IF($A380-AM380&gt;0,1/(1+AM380),0)</f>
        <v>0</v>
      </c>
      <c r="AP380" s="37" t="n">
        <f aca="false">IF($A380-AN380&gt;0,1/(1+AN380),0)</f>
        <v>0</v>
      </c>
      <c r="AQ380" s="7" t="n">
        <f aca="false">IF(AK380=0,0,MAX(MIN(1,AO380^Power),0))</f>
        <v>0</v>
      </c>
      <c r="AR380" s="7" t="n">
        <f aca="false">IF(AL380=0,0,MAX(MIN(1,AP380^Power),0))</f>
        <v>0</v>
      </c>
      <c r="AS380" s="7" t="n">
        <f aca="false">IF($AJ380=1,IF($H380=0,K380,AS379),AS379)</f>
        <v>0</v>
      </c>
      <c r="AT380" s="7" t="n">
        <f aca="false">IF($AJ380=1,IF($H380=1,N380,AT379),AT379)</f>
        <v>0</v>
      </c>
    </row>
    <row r="381" customFormat="false" ht="13" hidden="false" customHeight="false" outlineLevel="0" collapsed="false">
      <c r="A381" s="16" t="n">
        <v>364</v>
      </c>
      <c r="B381" s="37" t="n">
        <f aca="true">IF(RAND()&lt;$D$8,1,0)</f>
        <v>0</v>
      </c>
      <c r="C381" s="20" t="n">
        <f aca="true">-LN(RAND())/$D$2</f>
        <v>0.593389172319043</v>
      </c>
      <c r="D381" s="38" t="n">
        <f aca="false">D380+C381</f>
        <v>395.56083401168</v>
      </c>
      <c r="E381" s="39" t="n">
        <f aca="false">MAX($E$3,AS380)</f>
        <v>0</v>
      </c>
      <c r="F381" s="39" t="n">
        <f aca="false">MAX($E$3,AT380)</f>
        <v>0</v>
      </c>
      <c r="G381" s="40" t="n">
        <v>0.5</v>
      </c>
      <c r="H381" s="38" t="n">
        <f aca="true">IF((B381=1),(IF((F381&lt;E381),1,(IF((F381=E381),(IF(RAND()&lt;G381,1,0)),0)))),(IF((RAND()&lt;G381),1,0)))</f>
        <v>1</v>
      </c>
      <c r="I381" s="38" t="n">
        <f aca="true">IF((H381=1),0,$D$3+$D$5*(RAND()-0.5))</f>
        <v>0</v>
      </c>
      <c r="J381" s="38" t="n">
        <f aca="false">I381+MAX(D381,J380)</f>
        <v>399.232515223753</v>
      </c>
      <c r="K381" s="38" t="n">
        <f aca="false">IF((H381=0),J381-D381,0)</f>
        <v>0</v>
      </c>
      <c r="L381" s="38" t="n">
        <f aca="true">IF(($H381=0),0,$D$4+$D$5*(RAND()-0.5))</f>
        <v>2.22923864164635</v>
      </c>
      <c r="M381" s="38" t="n">
        <f aca="false">L381+MAX(D381,M380)</f>
        <v>417.828451815113</v>
      </c>
      <c r="N381" s="38" t="n">
        <f aca="false">IF((H381=1),M381-D381,0)</f>
        <v>22.2676178034332</v>
      </c>
      <c r="O381" s="16" t="n">
        <v>364</v>
      </c>
      <c r="P381" s="41" t="n">
        <f aca="false">IF((Arterial=0),P380+1,P380)</f>
        <v>169</v>
      </c>
      <c r="Q381" s="41" t="n">
        <f aca="false">IF((Arterial=1),Q380+1,Q380)</f>
        <v>195</v>
      </c>
      <c r="R381" s="42" t="n">
        <f aca="false">IF((RESET=1),0,R381+K381)</f>
        <v>706.991091122655</v>
      </c>
      <c r="S381" s="14" t="e">
        <f aca="false">IF(RESET=1,0,S381+N381)</f>
        <v>#N/A</v>
      </c>
      <c r="T381" s="2" t="n">
        <f aca="false">IF(RESET=1,0,T381+IF(H381=0,1,0))</f>
        <v>43</v>
      </c>
      <c r="U381" s="2" t="e">
        <f aca="false">IF(RESET=1,0,U381+H381)</f>
        <v>#N/A</v>
      </c>
      <c r="V381" s="14" t="n">
        <f aca="false">R381/(T381+0.00001)</f>
        <v>16.4416494582828</v>
      </c>
      <c r="W381" s="14" t="e">
        <f aca="false">S381/(U381+0.0001)</f>
        <v>#N/A</v>
      </c>
      <c r="X381" s="39" t="n">
        <f aca="false">IF(Informed=1,K381,0)</f>
        <v>0</v>
      </c>
      <c r="Y381" s="39" t="n">
        <f aca="false">IF(Informed=0,K381,0)</f>
        <v>0</v>
      </c>
      <c r="Z381" s="39" t="n">
        <f aca="false">IF(Informed=1,N381,0)</f>
        <v>0</v>
      </c>
      <c r="AA381" s="39" t="n">
        <f aca="false">IF(Informed=0,N381,0)</f>
        <v>22.2676178034332</v>
      </c>
      <c r="AB381" s="43" t="n">
        <f aca="false">IF(Arterial=0,IF(Informed=1,1,0),0)</f>
        <v>0</v>
      </c>
      <c r="AC381" s="43" t="n">
        <f aca="false">IF(Arterial=0,IF(Informed=0,1,0),0)</f>
        <v>0</v>
      </c>
      <c r="AD381" s="43" t="n">
        <f aca="false">IF(Arterial=1,IF(Informed=1,1,0),0)</f>
        <v>0</v>
      </c>
      <c r="AE381" s="43" t="n">
        <f aca="false">IF(Arterial=1,IF(Informed=0,1,0),0)</f>
        <v>1</v>
      </c>
      <c r="AF381" s="35" t="n">
        <f aca="false">IF(AB381=1,(X381-G$1030)^2,0)</f>
        <v>0</v>
      </c>
      <c r="AG381" s="35" t="n">
        <f aca="false">IF(AC381=1,(Y381-H$1030)^2,0)</f>
        <v>0</v>
      </c>
      <c r="AH381" s="35" t="n">
        <f aca="false">IF(AD381=1,(Z381-I$1030)^2,0)</f>
        <v>0</v>
      </c>
      <c r="AI381" s="35" t="n">
        <f aca="false">IF(AE381=1,(AA381-J$1030)^2,0)</f>
        <v>53.2412061014236</v>
      </c>
      <c r="AJ381" s="37" t="n">
        <f aca="true">IF(RAND()&lt;$D$6,1,0)</f>
        <v>0</v>
      </c>
      <c r="AK381" s="14" t="n">
        <f aca="false">AK380+IF((AJ381=1),IF((H381=0),1,0),0)</f>
        <v>0</v>
      </c>
      <c r="AL381" s="14" t="n">
        <f aca="false">AL380+IF((AJ381=1),IF((H381=1),1,0),0)</f>
        <v>0</v>
      </c>
      <c r="AM381" s="37" t="n">
        <f aca="false">IF(AK381=0,9999,IF($H381=0,IF($AJ381&lt;1,AM380+1,0),AM380))</f>
        <v>9999</v>
      </c>
      <c r="AN381" s="37" t="n">
        <f aca="false">IF(AL381=0,9999,IF($H381=1,IF($AJ381&lt;1,AN380+1,0),AN380))</f>
        <v>9999</v>
      </c>
      <c r="AO381" s="37" t="n">
        <f aca="false">IF($A381-AM381&gt;0,1/(1+AM381),0)</f>
        <v>0</v>
      </c>
      <c r="AP381" s="37" t="n">
        <f aca="false">IF($A381-AN381&gt;0,1/(1+AN381),0)</f>
        <v>0</v>
      </c>
      <c r="AQ381" s="7" t="n">
        <f aca="false">IF(AK381=0,0,MAX(MIN(1,AO381^Power),0))</f>
        <v>0</v>
      </c>
      <c r="AR381" s="7" t="n">
        <f aca="false">IF(AL381=0,0,MAX(MIN(1,AP381^Power),0))</f>
        <v>0</v>
      </c>
      <c r="AS381" s="7" t="n">
        <f aca="false">IF($AJ381=1,IF($H381=0,K381,AS380),AS380)</f>
        <v>0</v>
      </c>
      <c r="AT381" s="7" t="n">
        <f aca="false">IF($AJ381=1,IF($H381=1,N381,AT380),AT380)</f>
        <v>0</v>
      </c>
    </row>
    <row r="382" customFormat="false" ht="13" hidden="false" customHeight="false" outlineLevel="0" collapsed="false">
      <c r="A382" s="16" t="n">
        <v>365</v>
      </c>
      <c r="B382" s="37" t="n">
        <f aca="true">IF(RAND()&lt;$D$8,1,0)</f>
        <v>1</v>
      </c>
      <c r="C382" s="20" t="n">
        <f aca="true">-LN(RAND())/$D$2</f>
        <v>1.00655973781626</v>
      </c>
      <c r="D382" s="38" t="n">
        <f aca="false">D381+C382</f>
        <v>396.567393749496</v>
      </c>
      <c r="E382" s="39" t="n">
        <f aca="false">MAX($E$3,AS381)</f>
        <v>0</v>
      </c>
      <c r="F382" s="39" t="n">
        <f aca="false">MAX($E$3,AT381)</f>
        <v>0</v>
      </c>
      <c r="G382" s="40" t="n">
        <v>0.5</v>
      </c>
      <c r="H382" s="38" t="n">
        <f aca="true">IF((B382=1),(IF((F382&lt;E382),1,(IF((F382=E382),(IF(RAND()&lt;G382,1,0)),0)))),(IF((RAND()&lt;G382),1,0)))</f>
        <v>1</v>
      </c>
      <c r="I382" s="38" t="n">
        <f aca="true">IF((H382=1),0,$D$3+$D$5*(RAND()-0.5))</f>
        <v>0</v>
      </c>
      <c r="J382" s="38" t="n">
        <f aca="false">I382+MAX(D382,J381)</f>
        <v>399.232515223753</v>
      </c>
      <c r="K382" s="38" t="n">
        <f aca="false">IF((H382=0),J382-D382,0)</f>
        <v>0</v>
      </c>
      <c r="L382" s="38" t="n">
        <f aca="true">IF(($H382=0),0,$D$4+$D$5*(RAND()-0.5))</f>
        <v>2.23847376857438</v>
      </c>
      <c r="M382" s="38" t="n">
        <f aca="false">L382+MAX(D382,M381)</f>
        <v>420.066925583687</v>
      </c>
      <c r="N382" s="38" t="n">
        <f aca="false">IF((H382=1),M382-D382,0)</f>
        <v>23.4995318341913</v>
      </c>
      <c r="O382" s="16" t="n">
        <v>365</v>
      </c>
      <c r="P382" s="41" t="n">
        <f aca="false">IF((Arterial=0),P381+1,P381)</f>
        <v>169</v>
      </c>
      <c r="Q382" s="41" t="n">
        <f aca="false">IF((Arterial=1),Q381+1,Q381)</f>
        <v>196</v>
      </c>
      <c r="R382" s="42" t="n">
        <f aca="false">IF((RESET=1),0,R382+K382)</f>
        <v>713.697829404013</v>
      </c>
      <c r="S382" s="14" t="e">
        <f aca="false">IF(RESET=1,0,S382+N382)</f>
        <v>#N/A</v>
      </c>
      <c r="T382" s="2" t="n">
        <f aca="false">IF(RESET=1,0,T382+IF(H382=0,1,0))</f>
        <v>39</v>
      </c>
      <c r="U382" s="2" t="e">
        <f aca="false">IF(RESET=1,0,U382+H382)</f>
        <v>#N/A</v>
      </c>
      <c r="V382" s="14" t="n">
        <f aca="false">R382/(T382+0.00001)</f>
        <v>18.2999396514004</v>
      </c>
      <c r="W382" s="14" t="e">
        <f aca="false">S382/(U382+0.0001)</f>
        <v>#N/A</v>
      </c>
      <c r="X382" s="39" t="n">
        <f aca="false">IF(Informed=1,K382,0)</f>
        <v>0</v>
      </c>
      <c r="Y382" s="39" t="n">
        <f aca="false">IF(Informed=0,K382,0)</f>
        <v>0</v>
      </c>
      <c r="Z382" s="39" t="n">
        <f aca="false">IF(Informed=1,N382,0)</f>
        <v>23.4995318341913</v>
      </c>
      <c r="AA382" s="39" t="n">
        <f aca="false">IF(Informed=0,N382,0)</f>
        <v>0</v>
      </c>
      <c r="AB382" s="43" t="n">
        <f aca="false">IF(Arterial=0,IF(Informed=1,1,0),0)</f>
        <v>0</v>
      </c>
      <c r="AC382" s="43" t="n">
        <f aca="false">IF(Arterial=0,IF(Informed=0,1,0),0)</f>
        <v>0</v>
      </c>
      <c r="AD382" s="43" t="n">
        <f aca="false">IF(Arterial=1,IF(Informed=1,1,0),0)</f>
        <v>1</v>
      </c>
      <c r="AE382" s="43" t="n">
        <f aca="false">IF(Arterial=1,IF(Informed=0,1,0),0)</f>
        <v>0</v>
      </c>
      <c r="AF382" s="35" t="n">
        <f aca="false">IF(AB382=1,(X382-G$1030)^2,0)</f>
        <v>0</v>
      </c>
      <c r="AG382" s="35" t="n">
        <f aca="false">IF(AC382=1,(Y382-H$1030)^2,0)</f>
        <v>0</v>
      </c>
      <c r="AH382" s="35" t="n">
        <f aca="false">IF(AD382=1,(Z382-I$1030)^2,0)</f>
        <v>23.7685789424702</v>
      </c>
      <c r="AI382" s="35" t="n">
        <f aca="false">IF(AE382=1,(AA382-J$1030)^2,0)</f>
        <v>0</v>
      </c>
      <c r="AJ382" s="37" t="n">
        <f aca="true">IF(RAND()&lt;$D$6,1,0)</f>
        <v>0</v>
      </c>
      <c r="AK382" s="14" t="n">
        <f aca="false">AK381+IF((AJ382=1),IF((H382=0),1,0),0)</f>
        <v>0</v>
      </c>
      <c r="AL382" s="14" t="n">
        <f aca="false">AL381+IF((AJ382=1),IF((H382=1),1,0),0)</f>
        <v>0</v>
      </c>
      <c r="AM382" s="37" t="n">
        <f aca="false">IF(AK382=0,9999,IF($H382=0,IF($AJ382&lt;1,AM381+1,0),AM381))</f>
        <v>9999</v>
      </c>
      <c r="AN382" s="37" t="n">
        <f aca="false">IF(AL382=0,9999,IF($H382=1,IF($AJ382&lt;1,AN381+1,0),AN381))</f>
        <v>9999</v>
      </c>
      <c r="AO382" s="37" t="n">
        <f aca="false">IF($A382-AM382&gt;0,1/(1+AM382),0)</f>
        <v>0</v>
      </c>
      <c r="AP382" s="37" t="n">
        <f aca="false">IF($A382-AN382&gt;0,1/(1+AN382),0)</f>
        <v>0</v>
      </c>
      <c r="AQ382" s="7" t="n">
        <f aca="false">IF(AK382=0,0,MAX(MIN(1,AO382^Power),0))</f>
        <v>0</v>
      </c>
      <c r="AR382" s="7" t="n">
        <f aca="false">IF(AL382=0,0,MAX(MIN(1,AP382^Power),0))</f>
        <v>0</v>
      </c>
      <c r="AS382" s="7" t="n">
        <f aca="false">IF($AJ382=1,IF($H382=0,K382,AS381),AS381)</f>
        <v>0</v>
      </c>
      <c r="AT382" s="7" t="n">
        <f aca="false">IF($AJ382=1,IF($H382=1,N382,AT381),AT381)</f>
        <v>0</v>
      </c>
    </row>
    <row r="383" customFormat="false" ht="13" hidden="false" customHeight="false" outlineLevel="0" collapsed="false">
      <c r="A383" s="16" t="n">
        <v>366</v>
      </c>
      <c r="B383" s="37" t="n">
        <f aca="true">IF(RAND()&lt;$D$8,1,0)</f>
        <v>0</v>
      </c>
      <c r="C383" s="20" t="n">
        <f aca="true">-LN(RAND())/$D$2</f>
        <v>0.0361403853588918</v>
      </c>
      <c r="D383" s="38" t="n">
        <f aca="false">D382+C383</f>
        <v>396.603534134855</v>
      </c>
      <c r="E383" s="39" t="n">
        <f aca="false">MAX($E$3,AS382)</f>
        <v>0</v>
      </c>
      <c r="F383" s="39" t="n">
        <f aca="false">MAX($E$3,AT382)</f>
        <v>0</v>
      </c>
      <c r="G383" s="40" t="n">
        <v>0.5</v>
      </c>
      <c r="H383" s="38" t="n">
        <f aca="true">IF((B383=1),(IF((F383&lt;E383),1,(IF((F383=E383),(IF(RAND()&lt;G383,1,0)),0)))),(IF((RAND()&lt;G383),1,0)))</f>
        <v>1</v>
      </c>
      <c r="I383" s="38" t="n">
        <f aca="true">IF((H383=1),0,$D$3+$D$5*(RAND()-0.5))</f>
        <v>0</v>
      </c>
      <c r="J383" s="38" t="n">
        <f aca="false">I383+MAX(D383,J382)</f>
        <v>399.232515223753</v>
      </c>
      <c r="K383" s="38" t="n">
        <f aca="false">IF((H383=0),J383-D383,0)</f>
        <v>0</v>
      </c>
      <c r="L383" s="38" t="n">
        <f aca="true">IF(($H383=0),0,$D$4+$D$5*(RAND()-0.5))</f>
        <v>2.10695198058143</v>
      </c>
      <c r="M383" s="38" t="n">
        <f aca="false">L383+MAX(D383,M382)</f>
        <v>422.173877564269</v>
      </c>
      <c r="N383" s="38" t="n">
        <f aca="false">IF((H383=1),M383-D383,0)</f>
        <v>25.5703434294138</v>
      </c>
      <c r="O383" s="16" t="n">
        <v>366</v>
      </c>
      <c r="P383" s="41" t="n">
        <f aca="false">IF((Arterial=0),P382+1,P382)</f>
        <v>169</v>
      </c>
      <c r="Q383" s="41" t="n">
        <f aca="false">IF((Arterial=1),Q382+1,Q382)</f>
        <v>197</v>
      </c>
      <c r="R383" s="42" t="n">
        <f aca="false">IF((RESET=1),0,R383+K383)</f>
        <v>570.408499319633</v>
      </c>
      <c r="S383" s="14" t="e">
        <f aca="false">IF(RESET=1,0,S383+N383)</f>
        <v>#N/A</v>
      </c>
      <c r="T383" s="2" t="n">
        <f aca="false">IF(RESET=1,0,T383+IF(H383=0,1,0))</f>
        <v>36</v>
      </c>
      <c r="U383" s="2" t="e">
        <f aca="false">IF(RESET=1,0,U383+H383)</f>
        <v>#N/A</v>
      </c>
      <c r="V383" s="14" t="n">
        <f aca="false">R383/(T383+0.00001)</f>
        <v>15.8446761353575</v>
      </c>
      <c r="W383" s="14" t="e">
        <f aca="false">S383/(U383+0.0001)</f>
        <v>#N/A</v>
      </c>
      <c r="X383" s="39" t="n">
        <f aca="false">IF(Informed=1,K383,0)</f>
        <v>0</v>
      </c>
      <c r="Y383" s="39" t="n">
        <f aca="false">IF(Informed=0,K383,0)</f>
        <v>0</v>
      </c>
      <c r="Z383" s="39" t="n">
        <f aca="false">IF(Informed=1,N383,0)</f>
        <v>0</v>
      </c>
      <c r="AA383" s="39" t="n">
        <f aca="false">IF(Informed=0,N383,0)</f>
        <v>25.5703434294138</v>
      </c>
      <c r="AB383" s="43" t="n">
        <f aca="false">IF(Arterial=0,IF(Informed=1,1,0),0)</f>
        <v>0</v>
      </c>
      <c r="AC383" s="43" t="n">
        <f aca="false">IF(Arterial=0,IF(Informed=0,1,0),0)</f>
        <v>0</v>
      </c>
      <c r="AD383" s="43" t="n">
        <f aca="false">IF(Arterial=1,IF(Informed=1,1,0),0)</f>
        <v>0</v>
      </c>
      <c r="AE383" s="43" t="n">
        <f aca="false">IF(Arterial=1,IF(Informed=0,1,0),0)</f>
        <v>1</v>
      </c>
      <c r="AF383" s="35" t="n">
        <f aca="false">IF(AB383=1,(X383-G$1030)^2,0)</f>
        <v>0</v>
      </c>
      <c r="AG383" s="35" t="n">
        <f aca="false">IF(AC383=1,(Y383-H$1030)^2,0)</f>
        <v>0</v>
      </c>
      <c r="AH383" s="35" t="n">
        <f aca="false">IF(AD383=1,(Z383-I$1030)^2,0)</f>
        <v>0</v>
      </c>
      <c r="AI383" s="35" t="n">
        <f aca="false">IF(AE383=1,(AA383-J$1030)^2,0)</f>
        <v>15.9514893123685</v>
      </c>
      <c r="AJ383" s="37" t="n">
        <f aca="true">IF(RAND()&lt;$D$6,1,0)</f>
        <v>0</v>
      </c>
      <c r="AK383" s="14" t="n">
        <f aca="false">AK382+IF((AJ383=1),IF((H383=0),1,0),0)</f>
        <v>0</v>
      </c>
      <c r="AL383" s="14" t="n">
        <f aca="false">AL382+IF((AJ383=1),IF((H383=1),1,0),0)</f>
        <v>0</v>
      </c>
      <c r="AM383" s="37" t="n">
        <f aca="false">IF(AK383=0,9999,IF($H383=0,IF($AJ383&lt;1,AM382+1,0),AM382))</f>
        <v>9999</v>
      </c>
      <c r="AN383" s="37" t="n">
        <f aca="false">IF(AL383=0,9999,IF($H383=1,IF($AJ383&lt;1,AN382+1,0),AN382))</f>
        <v>9999</v>
      </c>
      <c r="AO383" s="37" t="n">
        <f aca="false">IF($A383-AM383&gt;0,1/(1+AM383),0)</f>
        <v>0</v>
      </c>
      <c r="AP383" s="37" t="n">
        <f aca="false">IF($A383-AN383&gt;0,1/(1+AN383),0)</f>
        <v>0</v>
      </c>
      <c r="AQ383" s="7" t="n">
        <f aca="false">IF(AK383=0,0,MAX(MIN(1,AO383^Power),0))</f>
        <v>0</v>
      </c>
      <c r="AR383" s="7" t="n">
        <f aca="false">IF(AL383=0,0,MAX(MIN(1,AP383^Power),0))</f>
        <v>0</v>
      </c>
      <c r="AS383" s="7" t="n">
        <f aca="false">IF($AJ383=1,IF($H383=0,K383,AS382),AS382)</f>
        <v>0</v>
      </c>
      <c r="AT383" s="7" t="n">
        <f aca="false">IF($AJ383=1,IF($H383=1,N383,AT382),AT382)</f>
        <v>0</v>
      </c>
    </row>
    <row r="384" customFormat="false" ht="13" hidden="false" customHeight="false" outlineLevel="0" collapsed="false">
      <c r="A384" s="16" t="n">
        <v>367</v>
      </c>
      <c r="B384" s="37" t="n">
        <f aca="true">IF(RAND()&lt;$D$8,1,0)</f>
        <v>1</v>
      </c>
      <c r="C384" s="20" t="n">
        <f aca="true">-LN(RAND())/$D$2</f>
        <v>0.179478301597479</v>
      </c>
      <c r="D384" s="38" t="n">
        <f aca="false">D383+C384</f>
        <v>396.783012436452</v>
      </c>
      <c r="E384" s="39" t="n">
        <f aca="false">MAX($E$3,AS383)</f>
        <v>0</v>
      </c>
      <c r="F384" s="39" t="n">
        <f aca="false">MAX($E$3,AT383)</f>
        <v>0</v>
      </c>
      <c r="G384" s="40" t="n">
        <v>0.5</v>
      </c>
      <c r="H384" s="38" t="n">
        <f aca="true">IF((B384=1),(IF((F384&lt;E384),1,(IF((F384=E384),(IF(RAND()&lt;G384,1,0)),0)))),(IF((RAND()&lt;G384),1,0)))</f>
        <v>1</v>
      </c>
      <c r="I384" s="38" t="n">
        <f aca="true">IF((H384=1),0,$D$3+$D$5*(RAND()-0.5))</f>
        <v>0</v>
      </c>
      <c r="J384" s="38" t="n">
        <f aca="false">I384+MAX(D384,J383)</f>
        <v>399.232515223753</v>
      </c>
      <c r="K384" s="38" t="n">
        <f aca="false">IF((H384=0),J384-D384,0)</f>
        <v>0</v>
      </c>
      <c r="L384" s="38" t="n">
        <f aca="true">IF(($H384=0),0,$D$4+$D$5*(RAND()-0.5))</f>
        <v>2.06458525067639</v>
      </c>
      <c r="M384" s="38" t="n">
        <f aca="false">L384+MAX(D384,M383)</f>
        <v>424.238462814945</v>
      </c>
      <c r="N384" s="38" t="n">
        <f aca="false">IF((H384=1),M384-D384,0)</f>
        <v>27.4554503784927</v>
      </c>
      <c r="O384" s="16" t="n">
        <v>367</v>
      </c>
      <c r="P384" s="41" t="n">
        <f aca="false">IF((Arterial=0),P383+1,P383)</f>
        <v>169</v>
      </c>
      <c r="Q384" s="41" t="n">
        <f aca="false">IF((Arterial=1),Q383+1,Q383)</f>
        <v>198</v>
      </c>
      <c r="R384" s="42" t="n">
        <f aca="false">IF((RESET=1),0,R384+K384)</f>
        <v>866.347398085596</v>
      </c>
      <c r="S384" s="14" t="e">
        <f aca="false">IF(RESET=1,0,S384+N384)</f>
        <v>#N/A</v>
      </c>
      <c r="T384" s="2" t="n">
        <f aca="false">IF(RESET=1,0,T384+IF(H384=0,1,0))</f>
        <v>49</v>
      </c>
      <c r="U384" s="2" t="e">
        <f aca="false">IF(RESET=1,0,U384+H384)</f>
        <v>#N/A</v>
      </c>
      <c r="V384" s="14" t="n">
        <f aca="false">R384/(T384+0.00001)</f>
        <v>17.6805555363274</v>
      </c>
      <c r="W384" s="14" t="e">
        <f aca="false">S384/(U384+0.0001)</f>
        <v>#N/A</v>
      </c>
      <c r="X384" s="39" t="n">
        <f aca="false">IF(Informed=1,K384,0)</f>
        <v>0</v>
      </c>
      <c r="Y384" s="39" t="n">
        <f aca="false">IF(Informed=0,K384,0)</f>
        <v>0</v>
      </c>
      <c r="Z384" s="39" t="n">
        <f aca="false">IF(Informed=1,N384,0)</f>
        <v>27.4554503784927</v>
      </c>
      <c r="AA384" s="39" t="n">
        <f aca="false">IF(Informed=0,N384,0)</f>
        <v>0</v>
      </c>
      <c r="AB384" s="43" t="n">
        <f aca="false">IF(Arterial=0,IF(Informed=1,1,0),0)</f>
        <v>0</v>
      </c>
      <c r="AC384" s="43" t="n">
        <f aca="false">IF(Arterial=0,IF(Informed=0,1,0),0)</f>
        <v>0</v>
      </c>
      <c r="AD384" s="43" t="n">
        <f aca="false">IF(Arterial=1,IF(Informed=1,1,0),0)</f>
        <v>1</v>
      </c>
      <c r="AE384" s="43" t="n">
        <f aca="false">IF(Arterial=1,IF(Informed=0,1,0),0)</f>
        <v>0</v>
      </c>
      <c r="AF384" s="35" t="n">
        <f aca="false">IF(AB384=1,(X384-G$1030)^2,0)</f>
        <v>0</v>
      </c>
      <c r="AG384" s="35" t="n">
        <f aca="false">IF(AC384=1,(Y384-H$1030)^2,0)</f>
        <v>0</v>
      </c>
      <c r="AH384" s="35" t="n">
        <f aca="false">IF(AD384=1,(Z384-I$1030)^2,0)</f>
        <v>0.845267702072975</v>
      </c>
      <c r="AI384" s="35" t="n">
        <f aca="false">IF(AE384=1,(AA384-J$1030)^2,0)</f>
        <v>0</v>
      </c>
      <c r="AJ384" s="37" t="n">
        <f aca="true">IF(RAND()&lt;$D$6,1,0)</f>
        <v>0</v>
      </c>
      <c r="AK384" s="14" t="n">
        <f aca="false">AK383+IF((AJ384=1),IF((H384=0),1,0),0)</f>
        <v>0</v>
      </c>
      <c r="AL384" s="14" t="n">
        <f aca="false">AL383+IF((AJ384=1),IF((H384=1),1,0),0)</f>
        <v>0</v>
      </c>
      <c r="AM384" s="37" t="n">
        <f aca="false">IF(AK384=0,9999,IF($H384=0,IF($AJ384&lt;1,AM383+1,0),AM383))</f>
        <v>9999</v>
      </c>
      <c r="AN384" s="37" t="n">
        <f aca="false">IF(AL384=0,9999,IF($H384=1,IF($AJ384&lt;1,AN383+1,0),AN383))</f>
        <v>9999</v>
      </c>
      <c r="AO384" s="37" t="n">
        <f aca="false">IF($A384-AM384&gt;0,1/(1+AM384),0)</f>
        <v>0</v>
      </c>
      <c r="AP384" s="37" t="n">
        <f aca="false">IF($A384-AN384&gt;0,1/(1+AN384),0)</f>
        <v>0</v>
      </c>
      <c r="AQ384" s="7" t="n">
        <f aca="false">IF(AK384=0,0,MAX(MIN(1,AO384^Power),0))</f>
        <v>0</v>
      </c>
      <c r="AR384" s="7" t="n">
        <f aca="false">IF(AL384=0,0,MAX(MIN(1,AP384^Power),0))</f>
        <v>0</v>
      </c>
      <c r="AS384" s="7" t="n">
        <f aca="false">IF($AJ384=1,IF($H384=0,K384,AS383),AS383)</f>
        <v>0</v>
      </c>
      <c r="AT384" s="7" t="n">
        <f aca="false">IF($AJ384=1,IF($H384=1,N384,AT383),AT383)</f>
        <v>0</v>
      </c>
    </row>
    <row r="385" customFormat="false" ht="13" hidden="false" customHeight="false" outlineLevel="0" collapsed="false">
      <c r="A385" s="16" t="n">
        <v>368</v>
      </c>
      <c r="B385" s="37" t="n">
        <f aca="true">IF(RAND()&lt;$D$8,1,0)</f>
        <v>1</v>
      </c>
      <c r="C385" s="20" t="n">
        <f aca="true">-LN(RAND())/$D$2</f>
        <v>1.32992464232371</v>
      </c>
      <c r="D385" s="38" t="n">
        <f aca="false">D384+C385</f>
        <v>398.112937078776</v>
      </c>
      <c r="E385" s="39" t="n">
        <f aca="false">MAX($E$3,AS384)</f>
        <v>0</v>
      </c>
      <c r="F385" s="39" t="n">
        <f aca="false">MAX($E$3,AT384)</f>
        <v>0</v>
      </c>
      <c r="G385" s="40" t="n">
        <v>0.5</v>
      </c>
      <c r="H385" s="38" t="n">
        <f aca="true">IF((B385=1),(IF((F385&lt;E385),1,(IF((F385=E385),(IF(RAND()&lt;G385,1,0)),0)))),(IF((RAND()&lt;G385),1,0)))</f>
        <v>1</v>
      </c>
      <c r="I385" s="38" t="n">
        <f aca="true">IF((H385=1),0,$D$3+$D$5*(RAND()-0.5))</f>
        <v>0</v>
      </c>
      <c r="J385" s="38" t="n">
        <f aca="false">I385+MAX(D385,J384)</f>
        <v>399.232515223753</v>
      </c>
      <c r="K385" s="38" t="n">
        <f aca="false">IF((H385=0),J385-D385,0)</f>
        <v>0</v>
      </c>
      <c r="L385" s="38" t="n">
        <f aca="true">IF(($H385=0),0,$D$4+$D$5*(RAND()-0.5))</f>
        <v>2.17335078905704</v>
      </c>
      <c r="M385" s="38" t="n">
        <f aca="false">L385+MAX(D385,M384)</f>
        <v>426.411813604002</v>
      </c>
      <c r="N385" s="38" t="n">
        <f aca="false">IF((H385=1),M385-D385,0)</f>
        <v>28.298876525226</v>
      </c>
      <c r="O385" s="16" t="n">
        <v>368</v>
      </c>
      <c r="P385" s="41" t="n">
        <f aca="false">IF((Arterial=0),P384+1,P384)</f>
        <v>169</v>
      </c>
      <c r="Q385" s="41" t="n">
        <f aca="false">IF((Arterial=1),Q384+1,Q384)</f>
        <v>199</v>
      </c>
      <c r="R385" s="42" t="n">
        <f aca="false">IF((RESET=1),0,R385+K385)</f>
        <v>555.1337162777</v>
      </c>
      <c r="S385" s="14" t="e">
        <f aca="false">IF(RESET=1,0,S385+N385)</f>
        <v>#N/A</v>
      </c>
      <c r="T385" s="2" t="n">
        <f aca="false">IF(RESET=1,0,T385+IF(H385=0,1,0))</f>
        <v>34</v>
      </c>
      <c r="U385" s="2" t="e">
        <f aca="false">IF(RESET=1,0,U385+H385)</f>
        <v>#N/A</v>
      </c>
      <c r="V385" s="14" t="n">
        <f aca="false">R385/(T385+0.00001)</f>
        <v>16.3274574412684</v>
      </c>
      <c r="W385" s="14" t="e">
        <f aca="false">S385/(U385+0.0001)</f>
        <v>#N/A</v>
      </c>
      <c r="X385" s="39" t="n">
        <f aca="false">IF(Informed=1,K385,0)</f>
        <v>0</v>
      </c>
      <c r="Y385" s="39" t="n">
        <f aca="false">IF(Informed=0,K385,0)</f>
        <v>0</v>
      </c>
      <c r="Z385" s="39" t="n">
        <f aca="false">IF(Informed=1,N385,0)</f>
        <v>28.298876525226</v>
      </c>
      <c r="AA385" s="39" t="n">
        <f aca="false">IF(Informed=0,N385,0)</f>
        <v>0</v>
      </c>
      <c r="AB385" s="43" t="n">
        <f aca="false">IF(Arterial=0,IF(Informed=1,1,0),0)</f>
        <v>0</v>
      </c>
      <c r="AC385" s="43" t="n">
        <f aca="false">IF(Arterial=0,IF(Informed=0,1,0),0)</f>
        <v>0</v>
      </c>
      <c r="AD385" s="43" t="n">
        <f aca="false">IF(Arterial=1,IF(Informed=1,1,0),0)</f>
        <v>1</v>
      </c>
      <c r="AE385" s="43" t="n">
        <f aca="false">IF(Arterial=1,IF(Informed=0,1,0),0)</f>
        <v>0</v>
      </c>
      <c r="AF385" s="35" t="n">
        <f aca="false">IF(AB385=1,(X385-G$1030)^2,0)</f>
        <v>0</v>
      </c>
      <c r="AG385" s="35" t="n">
        <f aca="false">IF(AC385=1,(Y385-H$1030)^2,0)</f>
        <v>0</v>
      </c>
      <c r="AH385" s="35" t="n">
        <f aca="false">IF(AD385=1,(Z385-I$1030)^2,0)</f>
        <v>0.00576965847907925</v>
      </c>
      <c r="AI385" s="35" t="n">
        <f aca="false">IF(AE385=1,(AA385-J$1030)^2,0)</f>
        <v>0</v>
      </c>
      <c r="AJ385" s="37" t="n">
        <f aca="true">IF(RAND()&lt;$D$6,1,0)</f>
        <v>0</v>
      </c>
      <c r="AK385" s="14" t="n">
        <f aca="false">AK384+IF((AJ385=1),IF((H385=0),1,0),0)</f>
        <v>0</v>
      </c>
      <c r="AL385" s="14" t="n">
        <f aca="false">AL384+IF((AJ385=1),IF((H385=1),1,0),0)</f>
        <v>0</v>
      </c>
      <c r="AM385" s="37" t="n">
        <f aca="false">IF(AK385=0,9999,IF($H385=0,IF($AJ385&lt;1,AM384+1,0),AM384))</f>
        <v>9999</v>
      </c>
      <c r="AN385" s="37" t="n">
        <f aca="false">IF(AL385=0,9999,IF($H385=1,IF($AJ385&lt;1,AN384+1,0),AN384))</f>
        <v>9999</v>
      </c>
      <c r="AO385" s="37" t="n">
        <f aca="false">IF($A385-AM385&gt;0,1/(1+AM385),0)</f>
        <v>0</v>
      </c>
      <c r="AP385" s="37" t="n">
        <f aca="false">IF($A385-AN385&gt;0,1/(1+AN385),0)</f>
        <v>0</v>
      </c>
      <c r="AQ385" s="7" t="n">
        <f aca="false">IF(AK385=0,0,MAX(MIN(1,AO385^Power),0))</f>
        <v>0</v>
      </c>
      <c r="AR385" s="7" t="n">
        <f aca="false">IF(AL385=0,0,MAX(MIN(1,AP385^Power),0))</f>
        <v>0</v>
      </c>
      <c r="AS385" s="7" t="n">
        <f aca="false">IF($AJ385=1,IF($H385=0,K385,AS384),AS384)</f>
        <v>0</v>
      </c>
      <c r="AT385" s="7" t="n">
        <f aca="false">IF($AJ385=1,IF($H385=1,N385,AT384),AT384)</f>
        <v>0</v>
      </c>
    </row>
    <row r="386" customFormat="false" ht="13" hidden="false" customHeight="false" outlineLevel="0" collapsed="false">
      <c r="A386" s="16" t="n">
        <v>369</v>
      </c>
      <c r="B386" s="37" t="n">
        <f aca="true">IF(RAND()&lt;$D$8,1,0)</f>
        <v>0</v>
      </c>
      <c r="C386" s="20" t="n">
        <f aca="true">-LN(RAND())/$D$2</f>
        <v>1.32576724800469</v>
      </c>
      <c r="D386" s="38" t="n">
        <f aca="false">D385+C386</f>
        <v>399.438704326781</v>
      </c>
      <c r="E386" s="39" t="n">
        <f aca="false">MAX($E$3,AS385)</f>
        <v>0</v>
      </c>
      <c r="F386" s="39" t="n">
        <f aca="false">MAX($E$3,AT385)</f>
        <v>0</v>
      </c>
      <c r="G386" s="40" t="n">
        <v>0.5</v>
      </c>
      <c r="H386" s="38" t="n">
        <f aca="true">IF((B386=1),(IF((F386&lt;E386),1,(IF((F386=E386),(IF(RAND()&lt;G386,1,0)),0)))),(IF((RAND()&lt;G386),1,0)))</f>
        <v>1</v>
      </c>
      <c r="I386" s="38" t="n">
        <f aca="true">IF((H386=1),0,$D$3+$D$5*(RAND()-0.5))</f>
        <v>0</v>
      </c>
      <c r="J386" s="38" t="n">
        <f aca="false">I386+MAX(D386,J385)</f>
        <v>399.438704326781</v>
      </c>
      <c r="K386" s="38" t="n">
        <f aca="false">IF((H386=0),J386-D386,0)</f>
        <v>0</v>
      </c>
      <c r="L386" s="38" t="n">
        <f aca="true">IF(($H386=0),0,$D$4+$D$5*(RAND()-0.5))</f>
        <v>1.97636368747973</v>
      </c>
      <c r="M386" s="38" t="n">
        <f aca="false">L386+MAX(D386,M385)</f>
        <v>428.388177291482</v>
      </c>
      <c r="N386" s="38" t="n">
        <f aca="false">IF((H386=1),M386-D386,0)</f>
        <v>28.949472964701</v>
      </c>
      <c r="O386" s="16" t="n">
        <v>369</v>
      </c>
      <c r="P386" s="41" t="n">
        <f aca="false">IF((Arterial=0),P385+1,P385)</f>
        <v>169</v>
      </c>
      <c r="Q386" s="41" t="n">
        <f aca="false">IF((Arterial=1),Q385+1,Q385)</f>
        <v>200</v>
      </c>
      <c r="R386" s="42" t="n">
        <f aca="false">IF((RESET=1),0,R386+K386)</f>
        <v>621.348286879176</v>
      </c>
      <c r="S386" s="14" t="e">
        <f aca="false">IF(RESET=1,0,S386+N386)</f>
        <v>#N/A</v>
      </c>
      <c r="T386" s="2" t="n">
        <f aca="false">IF(RESET=1,0,T386+IF(H386=0,1,0))</f>
        <v>38</v>
      </c>
      <c r="U386" s="2" t="e">
        <f aca="false">IF(RESET=1,0,U386+H386)</f>
        <v>#N/A</v>
      </c>
      <c r="V386" s="14" t="n">
        <f aca="false">R386/(T386+0.00001)</f>
        <v>16.3512664043819</v>
      </c>
      <c r="W386" s="14" t="e">
        <f aca="false">S386/(U386+0.0001)</f>
        <v>#N/A</v>
      </c>
      <c r="X386" s="39" t="n">
        <f aca="false">IF(Informed=1,K386,0)</f>
        <v>0</v>
      </c>
      <c r="Y386" s="39" t="n">
        <f aca="false">IF(Informed=0,K386,0)</f>
        <v>0</v>
      </c>
      <c r="Z386" s="39" t="n">
        <f aca="false">IF(Informed=1,N386,0)</f>
        <v>0</v>
      </c>
      <c r="AA386" s="39" t="n">
        <f aca="false">IF(Informed=0,N386,0)</f>
        <v>28.949472964701</v>
      </c>
      <c r="AB386" s="43" t="n">
        <f aca="false">IF(Arterial=0,IF(Informed=1,1,0),0)</f>
        <v>0</v>
      </c>
      <c r="AC386" s="43" t="n">
        <f aca="false">IF(Arterial=0,IF(Informed=0,1,0),0)</f>
        <v>0</v>
      </c>
      <c r="AD386" s="43" t="n">
        <f aca="false">IF(Arterial=1,IF(Informed=1,1,0),0)</f>
        <v>0</v>
      </c>
      <c r="AE386" s="43" t="n">
        <f aca="false">IF(Arterial=1,IF(Informed=0,1,0),0)</f>
        <v>1</v>
      </c>
      <c r="AF386" s="35" t="n">
        <f aca="false">IF(AB386=1,(X386-G$1030)^2,0)</f>
        <v>0</v>
      </c>
      <c r="AG386" s="35" t="n">
        <f aca="false">IF(AC386=1,(Y386-H$1030)^2,0)</f>
        <v>0</v>
      </c>
      <c r="AH386" s="35" t="n">
        <f aca="false">IF(AD386=1,(Z386-I$1030)^2,0)</f>
        <v>0</v>
      </c>
      <c r="AI386" s="35" t="n">
        <f aca="false">IF(AE386=1,(AA386-J$1030)^2,0)</f>
        <v>0.377981530576775</v>
      </c>
      <c r="AJ386" s="37" t="n">
        <f aca="true">IF(RAND()&lt;$D$6,1,0)</f>
        <v>0</v>
      </c>
      <c r="AK386" s="14" t="n">
        <f aca="false">AK385+IF((AJ386=1),IF((H386=0),1,0),0)</f>
        <v>0</v>
      </c>
      <c r="AL386" s="14" t="n">
        <f aca="false">AL385+IF((AJ386=1),IF((H386=1),1,0),0)</f>
        <v>0</v>
      </c>
      <c r="AM386" s="37" t="n">
        <f aca="false">IF(AK386=0,9999,IF($H386=0,IF($AJ386&lt;1,AM385+1,0),AM385))</f>
        <v>9999</v>
      </c>
      <c r="AN386" s="37" t="n">
        <f aca="false">IF(AL386=0,9999,IF($H386=1,IF($AJ386&lt;1,AN385+1,0),AN385))</f>
        <v>9999</v>
      </c>
      <c r="AO386" s="37" t="n">
        <f aca="false">IF($A386-AM386&gt;0,1/(1+AM386),0)</f>
        <v>0</v>
      </c>
      <c r="AP386" s="37" t="n">
        <f aca="false">IF($A386-AN386&gt;0,1/(1+AN386),0)</f>
        <v>0</v>
      </c>
      <c r="AQ386" s="7" t="n">
        <f aca="false">IF(AK386=0,0,MAX(MIN(1,AO386^Power),0))</f>
        <v>0</v>
      </c>
      <c r="AR386" s="7" t="n">
        <f aca="false">IF(AL386=0,0,MAX(MIN(1,AP386^Power),0))</f>
        <v>0</v>
      </c>
      <c r="AS386" s="7" t="n">
        <f aca="false">IF($AJ386=1,IF($H386=0,K386,AS385),AS385)</f>
        <v>0</v>
      </c>
      <c r="AT386" s="7" t="n">
        <f aca="false">IF($AJ386=1,IF($H386=1,N386,AT385),AT385)</f>
        <v>0</v>
      </c>
    </row>
    <row r="387" customFormat="false" ht="13" hidden="false" customHeight="false" outlineLevel="0" collapsed="false">
      <c r="A387" s="16" t="n">
        <v>370</v>
      </c>
      <c r="B387" s="37" t="n">
        <f aca="true">IF(RAND()&lt;$D$8,1,0)</f>
        <v>1</v>
      </c>
      <c r="C387" s="20" t="n">
        <f aca="true">-LN(RAND())/$D$2</f>
        <v>2.29388534642936</v>
      </c>
      <c r="D387" s="38" t="n">
        <f aca="false">D386+C387</f>
        <v>401.73258967321</v>
      </c>
      <c r="E387" s="39" t="n">
        <f aca="false">MAX($E$3,AS386)</f>
        <v>0</v>
      </c>
      <c r="F387" s="39" t="n">
        <f aca="false">MAX($E$3,AT386)</f>
        <v>0</v>
      </c>
      <c r="G387" s="40" t="n">
        <v>0.5</v>
      </c>
      <c r="H387" s="38" t="n">
        <f aca="true">IF((B387=1),(IF((F387&lt;E387),1,(IF((F387=E387),(IF(RAND()&lt;G387,1,0)),0)))),(IF((RAND()&lt;G387),1,0)))</f>
        <v>0</v>
      </c>
      <c r="I387" s="38" t="n">
        <f aca="true">IF((H387=1),0,$D$3+$D$5*(RAND()-0.5))</f>
        <v>1.84730828231365</v>
      </c>
      <c r="J387" s="38" t="n">
        <f aca="false">I387+MAX(D387,J386)</f>
        <v>403.579897955524</v>
      </c>
      <c r="K387" s="38" t="n">
        <f aca="false">IF((H387=0),J387-D387,0)</f>
        <v>1.84730828231363</v>
      </c>
      <c r="L387" s="38" t="n">
        <f aca="true">IF(($H387=0),0,$D$4+$D$5*(RAND()-0.5))</f>
        <v>0</v>
      </c>
      <c r="M387" s="38" t="n">
        <f aca="false">L387+MAX(D387,M386)</f>
        <v>428.388177291482</v>
      </c>
      <c r="N387" s="38" t="n">
        <f aca="false">IF((H387=1),M387-D387,0)</f>
        <v>0</v>
      </c>
      <c r="O387" s="16" t="n">
        <v>370</v>
      </c>
      <c r="P387" s="41" t="n">
        <f aca="false">IF((Arterial=0),P386+1,P386)</f>
        <v>170</v>
      </c>
      <c r="Q387" s="41" t="n">
        <f aca="false">IF((Arterial=1),Q386+1,Q386)</f>
        <v>200</v>
      </c>
      <c r="R387" s="42" t="e">
        <f aca="false">IF((RESET=1),0,R387+K387)</f>
        <v>#N/A</v>
      </c>
      <c r="S387" s="14" t="n">
        <f aca="false">IF(RESET=1,0,S387+N387)</f>
        <v>527.757657178371</v>
      </c>
      <c r="T387" s="2" t="e">
        <f aca="false">IF(RESET=1,0,T387+IF(H387=0,1,0))</f>
        <v>#N/A</v>
      </c>
      <c r="U387" s="2" t="n">
        <f aca="false">IF(RESET=1,0,U387+H387)</f>
        <v>35</v>
      </c>
      <c r="V387" s="14" t="e">
        <f aca="false">R387/(T387+0.00001)</f>
        <v>#N/A</v>
      </c>
      <c r="W387" s="14" t="n">
        <f aca="false">S387/(U387+0.0001)</f>
        <v>15.0787471229617</v>
      </c>
      <c r="X387" s="39" t="n">
        <f aca="false">IF(Informed=1,K387,0)</f>
        <v>1.84730828231363</v>
      </c>
      <c r="Y387" s="39" t="n">
        <f aca="false">IF(Informed=0,K387,0)</f>
        <v>0</v>
      </c>
      <c r="Z387" s="39" t="n">
        <f aca="false">IF(Informed=1,N387,0)</f>
        <v>0</v>
      </c>
      <c r="AA387" s="39" t="n">
        <f aca="false">IF(Informed=0,N387,0)</f>
        <v>0</v>
      </c>
      <c r="AB387" s="43" t="n">
        <f aca="false">IF(Arterial=0,IF(Informed=1,1,0),0)</f>
        <v>1</v>
      </c>
      <c r="AC387" s="43" t="n">
        <f aca="false">IF(Arterial=0,IF(Informed=0,1,0),0)</f>
        <v>0</v>
      </c>
      <c r="AD387" s="43" t="n">
        <f aca="false">IF(Arterial=1,IF(Informed=1,1,0),0)</f>
        <v>0</v>
      </c>
      <c r="AE387" s="43" t="n">
        <f aca="false">IF(Arterial=1,IF(Informed=0,1,0),0)</f>
        <v>0</v>
      </c>
      <c r="AF387" s="35" t="n">
        <f aca="false">IF(AB387=1,(X387-G$1030)^2,0)</f>
        <v>78.5416012984206</v>
      </c>
      <c r="AG387" s="35" t="n">
        <f aca="false">IF(AC387=1,(Y387-H$1030)^2,0)</f>
        <v>0</v>
      </c>
      <c r="AH387" s="35" t="n">
        <f aca="false">IF(AD387=1,(Z387-I$1030)^2,0)</f>
        <v>0</v>
      </c>
      <c r="AI387" s="35" t="n">
        <f aca="false">IF(AE387=1,(AA387-J$1030)^2,0)</f>
        <v>0</v>
      </c>
      <c r="AJ387" s="37" t="n">
        <f aca="true">IF(RAND()&lt;$D$6,1,0)</f>
        <v>0</v>
      </c>
      <c r="AK387" s="14" t="n">
        <f aca="false">AK386+IF((AJ387=1),IF((H387=0),1,0),0)</f>
        <v>0</v>
      </c>
      <c r="AL387" s="14" t="n">
        <f aca="false">AL386+IF((AJ387=1),IF((H387=1),1,0),0)</f>
        <v>0</v>
      </c>
      <c r="AM387" s="37" t="n">
        <f aca="false">IF(AK387=0,9999,IF($H387=0,IF($AJ387&lt;1,AM386+1,0),AM386))</f>
        <v>9999</v>
      </c>
      <c r="AN387" s="37" t="n">
        <f aca="false">IF(AL387=0,9999,IF($H387=1,IF($AJ387&lt;1,AN386+1,0),AN386))</f>
        <v>9999</v>
      </c>
      <c r="AO387" s="37" t="n">
        <f aca="false">IF($A387-AM387&gt;0,1/(1+AM387),0)</f>
        <v>0</v>
      </c>
      <c r="AP387" s="37" t="n">
        <f aca="false">IF($A387-AN387&gt;0,1/(1+AN387),0)</f>
        <v>0</v>
      </c>
      <c r="AQ387" s="7" t="n">
        <f aca="false">IF(AK387=0,0,MAX(MIN(1,AO387^Power),0))</f>
        <v>0</v>
      </c>
      <c r="AR387" s="7" t="n">
        <f aca="false">IF(AL387=0,0,MAX(MIN(1,AP387^Power),0))</f>
        <v>0</v>
      </c>
      <c r="AS387" s="7" t="n">
        <f aca="false">IF($AJ387=1,IF($H387=0,K387,AS386),AS386)</f>
        <v>0</v>
      </c>
      <c r="AT387" s="7" t="n">
        <f aca="false">IF($AJ387=1,IF($H387=1,N387,AT386),AT386)</f>
        <v>0</v>
      </c>
    </row>
    <row r="388" customFormat="false" ht="13" hidden="false" customHeight="false" outlineLevel="0" collapsed="false">
      <c r="A388" s="16" t="n">
        <v>371</v>
      </c>
      <c r="B388" s="37" t="n">
        <f aca="true">IF(RAND()&lt;$D$8,1,0)</f>
        <v>0</v>
      </c>
      <c r="C388" s="20" t="n">
        <f aca="true">-LN(RAND())/$D$2</f>
        <v>0.345144876100425</v>
      </c>
      <c r="D388" s="38" t="n">
        <f aca="false">D387+C388</f>
        <v>402.077734549311</v>
      </c>
      <c r="E388" s="39" t="n">
        <f aca="false">MAX($E$3,AS387)</f>
        <v>0</v>
      </c>
      <c r="F388" s="39" t="n">
        <f aca="false">MAX($E$3,AT387)</f>
        <v>0</v>
      </c>
      <c r="G388" s="40" t="n">
        <v>0.5</v>
      </c>
      <c r="H388" s="38" t="n">
        <f aca="true">IF((B388=1),(IF((F388&lt;E388),1,(IF((F388=E388),(IF(RAND()&lt;G388,1,0)),0)))),(IF((RAND()&lt;G388),1,0)))</f>
        <v>1</v>
      </c>
      <c r="I388" s="38" t="n">
        <f aca="true">IF((H388=1),0,$D$3+$D$5*(RAND()-0.5))</f>
        <v>0</v>
      </c>
      <c r="J388" s="38" t="n">
        <f aca="false">I388+MAX(D388,J387)</f>
        <v>403.579897955524</v>
      </c>
      <c r="K388" s="38" t="n">
        <f aca="false">IF((H388=0),J388-D388,0)</f>
        <v>0</v>
      </c>
      <c r="L388" s="38" t="n">
        <f aca="true">IF(($H388=0),0,$D$4+$D$5*(RAND()-0.5))</f>
        <v>2.16313859782691</v>
      </c>
      <c r="M388" s="38" t="n">
        <f aca="false">L388+MAX(D388,M387)</f>
        <v>430.551315889309</v>
      </c>
      <c r="N388" s="38" t="n">
        <f aca="false">IF((H388=1),M388-D388,0)</f>
        <v>28.4735813399981</v>
      </c>
      <c r="O388" s="16" t="n">
        <v>371</v>
      </c>
      <c r="P388" s="41" t="n">
        <f aca="false">IF((Arterial=0),P387+1,P387)</f>
        <v>170</v>
      </c>
      <c r="Q388" s="41" t="n">
        <f aca="false">IF((Arterial=1),Q387+1,Q387)</f>
        <v>201</v>
      </c>
      <c r="R388" s="42" t="n">
        <f aca="false">IF((RESET=1),0,R388+K388)</f>
        <v>733.979564317414</v>
      </c>
      <c r="S388" s="14" t="e">
        <f aca="false">IF(RESET=1,0,S388+N388)</f>
        <v>#N/A</v>
      </c>
      <c r="T388" s="2" t="n">
        <f aca="false">IF(RESET=1,0,T388+IF(H388=0,1,0))</f>
        <v>43</v>
      </c>
      <c r="U388" s="2" t="e">
        <f aca="false">IF(RESET=1,0,U388+H388)</f>
        <v>#N/A</v>
      </c>
      <c r="V388" s="14" t="n">
        <f aca="false">R388/(T388+0.00001)</f>
        <v>17.0692882238263</v>
      </c>
      <c r="W388" s="14" t="e">
        <f aca="false">S388/(U388+0.0001)</f>
        <v>#N/A</v>
      </c>
      <c r="X388" s="39" t="n">
        <f aca="false">IF(Informed=1,K388,0)</f>
        <v>0</v>
      </c>
      <c r="Y388" s="39" t="n">
        <f aca="false">IF(Informed=0,K388,0)</f>
        <v>0</v>
      </c>
      <c r="Z388" s="39" t="n">
        <f aca="false">IF(Informed=1,N388,0)</f>
        <v>0</v>
      </c>
      <c r="AA388" s="39" t="n">
        <f aca="false">IF(Informed=0,N388,0)</f>
        <v>28.4735813399981</v>
      </c>
      <c r="AB388" s="43" t="n">
        <f aca="false">IF(Arterial=0,IF(Informed=1,1,0),0)</f>
        <v>0</v>
      </c>
      <c r="AC388" s="43" t="n">
        <f aca="false">IF(Arterial=0,IF(Informed=0,1,0),0)</f>
        <v>0</v>
      </c>
      <c r="AD388" s="43" t="n">
        <f aca="false">IF(Arterial=1,IF(Informed=1,1,0),0)</f>
        <v>0</v>
      </c>
      <c r="AE388" s="43" t="n">
        <f aca="false">IF(Arterial=1,IF(Informed=0,1,0),0)</f>
        <v>1</v>
      </c>
      <c r="AF388" s="35" t="n">
        <f aca="false">IF(AB388=1,(X388-G$1030)^2,0)</f>
        <v>0</v>
      </c>
      <c r="AG388" s="35" t="n">
        <f aca="false">IF(AC388=1,(Y388-H$1030)^2,0)</f>
        <v>0</v>
      </c>
      <c r="AH388" s="35" t="n">
        <f aca="false">IF(AD388=1,(Z388-I$1030)^2,0)</f>
        <v>0</v>
      </c>
      <c r="AI388" s="35" t="n">
        <f aca="false">IF(AE388=1,(AA388-J$1030)^2,0)</f>
        <v>1.18961263862466</v>
      </c>
      <c r="AJ388" s="37" t="n">
        <f aca="true">IF(RAND()&lt;$D$6,1,0)</f>
        <v>0</v>
      </c>
      <c r="AK388" s="14" t="n">
        <f aca="false">AK387+IF((AJ388=1),IF((H388=0),1,0),0)</f>
        <v>0</v>
      </c>
      <c r="AL388" s="14" t="n">
        <f aca="false">AL387+IF((AJ388=1),IF((H388=1),1,0),0)</f>
        <v>0</v>
      </c>
      <c r="AM388" s="37" t="n">
        <f aca="false">IF(AK388=0,9999,IF($H388=0,IF($AJ388&lt;1,AM387+1,0),AM387))</f>
        <v>9999</v>
      </c>
      <c r="AN388" s="37" t="n">
        <f aca="false">IF(AL388=0,9999,IF($H388=1,IF($AJ388&lt;1,AN387+1,0),AN387))</f>
        <v>9999</v>
      </c>
      <c r="AO388" s="37" t="n">
        <f aca="false">IF($A388-AM388&gt;0,1/(1+AM388),0)</f>
        <v>0</v>
      </c>
      <c r="AP388" s="37" t="n">
        <f aca="false">IF($A388-AN388&gt;0,1/(1+AN388),0)</f>
        <v>0</v>
      </c>
      <c r="AQ388" s="7" t="n">
        <f aca="false">IF(AK388=0,0,MAX(MIN(1,AO388^Power),0))</f>
        <v>0</v>
      </c>
      <c r="AR388" s="7" t="n">
        <f aca="false">IF(AL388=0,0,MAX(MIN(1,AP388^Power),0))</f>
        <v>0</v>
      </c>
      <c r="AS388" s="7" t="n">
        <f aca="false">IF($AJ388=1,IF($H388=0,K388,AS387),AS387)</f>
        <v>0</v>
      </c>
      <c r="AT388" s="7" t="n">
        <f aca="false">IF($AJ388=1,IF($H388=1,N388,AT387),AT387)</f>
        <v>0</v>
      </c>
    </row>
    <row r="389" customFormat="false" ht="13" hidden="false" customHeight="false" outlineLevel="0" collapsed="false">
      <c r="A389" s="16" t="n">
        <v>372</v>
      </c>
      <c r="B389" s="37" t="n">
        <f aca="true">IF(RAND()&lt;$D$8,1,0)</f>
        <v>0</v>
      </c>
      <c r="C389" s="20" t="n">
        <f aca="true">-LN(RAND())/$D$2</f>
        <v>0.0648302080816096</v>
      </c>
      <c r="D389" s="38" t="n">
        <f aca="false">D388+C389</f>
        <v>402.142564757392</v>
      </c>
      <c r="E389" s="39" t="n">
        <f aca="false">MAX($E$3,AS388)</f>
        <v>0</v>
      </c>
      <c r="F389" s="39" t="n">
        <f aca="false">MAX($E$3,AT388)</f>
        <v>0</v>
      </c>
      <c r="G389" s="40" t="n">
        <v>0.5</v>
      </c>
      <c r="H389" s="38" t="n">
        <f aca="true">IF((B389=1),(IF((F389&lt;E389),1,(IF((F389=E389),(IF(RAND()&lt;G389,1,0)),0)))),(IF((RAND()&lt;G389),1,0)))</f>
        <v>0</v>
      </c>
      <c r="I389" s="38" t="n">
        <f aca="true">IF((H389=1),0,$D$3+$D$5*(RAND()-0.5))</f>
        <v>2.19013292118469</v>
      </c>
      <c r="J389" s="38" t="n">
        <f aca="false">I389+MAX(D389,J388)</f>
        <v>405.770030876708</v>
      </c>
      <c r="K389" s="38" t="n">
        <f aca="false">IF((H389=0),J389-D389,0)</f>
        <v>3.62746611931624</v>
      </c>
      <c r="L389" s="38" t="n">
        <f aca="true">IF(($H389=0),0,$D$4+$D$5*(RAND()-0.5))</f>
        <v>0</v>
      </c>
      <c r="M389" s="38" t="n">
        <f aca="false">L389+MAX(D389,M388)</f>
        <v>430.551315889309</v>
      </c>
      <c r="N389" s="38" t="n">
        <f aca="false">IF((H389=1),M389-D389,0)</f>
        <v>0</v>
      </c>
      <c r="O389" s="16" t="n">
        <v>372</v>
      </c>
      <c r="P389" s="41" t="n">
        <f aca="false">IF((Arterial=0),P388+1,P388)</f>
        <v>171</v>
      </c>
      <c r="Q389" s="41" t="n">
        <f aca="false">IF((Arterial=1),Q388+1,Q388)</f>
        <v>201</v>
      </c>
      <c r="R389" s="42" t="e">
        <f aca="false">IF((RESET=1),0,R389+K389)</f>
        <v>#N/A</v>
      </c>
      <c r="S389" s="14" t="n">
        <f aca="false">IF(RESET=1,0,S389+N389)</f>
        <v>477.689453924526</v>
      </c>
      <c r="T389" s="2" t="e">
        <f aca="false">IF(RESET=1,0,T389+IF(H389=0,1,0))</f>
        <v>#N/A</v>
      </c>
      <c r="U389" s="2" t="n">
        <f aca="false">IF(RESET=1,0,U389+H389)</f>
        <v>32</v>
      </c>
      <c r="V389" s="14" t="e">
        <f aca="false">R389/(T389+0.00001)</f>
        <v>#N/A</v>
      </c>
      <c r="W389" s="14" t="n">
        <f aca="false">S389/(U389+0.0001)</f>
        <v>14.9277487859265</v>
      </c>
      <c r="X389" s="39" t="n">
        <f aca="false">IF(Informed=1,K389,0)</f>
        <v>0</v>
      </c>
      <c r="Y389" s="39" t="n">
        <f aca="false">IF(Informed=0,K389,0)</f>
        <v>3.62746611931624</v>
      </c>
      <c r="Z389" s="39" t="n">
        <f aca="false">IF(Informed=1,N389,0)</f>
        <v>0</v>
      </c>
      <c r="AA389" s="39" t="n">
        <f aca="false">IF(Informed=0,N389,0)</f>
        <v>0</v>
      </c>
      <c r="AB389" s="43" t="n">
        <f aca="false">IF(Arterial=0,IF(Informed=1,1,0),0)</f>
        <v>0</v>
      </c>
      <c r="AC389" s="43" t="n">
        <f aca="false">IF(Arterial=0,IF(Informed=0,1,0),0)</f>
        <v>1</v>
      </c>
      <c r="AD389" s="43" t="n">
        <f aca="false">IF(Arterial=1,IF(Informed=1,1,0),0)</f>
        <v>0</v>
      </c>
      <c r="AE389" s="43" t="n">
        <f aca="false">IF(Arterial=1,IF(Informed=0,1,0),0)</f>
        <v>0</v>
      </c>
      <c r="AF389" s="35" t="n">
        <f aca="false">IF(AB389=1,(X389-G$1030)^2,0)</f>
        <v>0</v>
      </c>
      <c r="AG389" s="35" t="n">
        <f aca="false">IF(AC389=1,(Y389-H$1030)^2,0)</f>
        <v>53.2362728672868</v>
      </c>
      <c r="AH389" s="35" t="n">
        <f aca="false">IF(AD389=1,(Z389-I$1030)^2,0)</f>
        <v>0</v>
      </c>
      <c r="AI389" s="35" t="n">
        <f aca="false">IF(AE389=1,(AA389-J$1030)^2,0)</f>
        <v>0</v>
      </c>
      <c r="AJ389" s="37" t="n">
        <f aca="true">IF(RAND()&lt;$D$6,1,0)</f>
        <v>0</v>
      </c>
      <c r="AK389" s="14" t="n">
        <f aca="false">AK388+IF((AJ389=1),IF((H389=0),1,0),0)</f>
        <v>0</v>
      </c>
      <c r="AL389" s="14" t="n">
        <f aca="false">AL388+IF((AJ389=1),IF((H389=1),1,0),0)</f>
        <v>0</v>
      </c>
      <c r="AM389" s="37" t="n">
        <f aca="false">IF(AK389=0,9999,IF($H389=0,IF($AJ389&lt;1,AM388+1,0),AM388))</f>
        <v>9999</v>
      </c>
      <c r="AN389" s="37" t="n">
        <f aca="false">IF(AL389=0,9999,IF($H389=1,IF($AJ389&lt;1,AN388+1,0),AN388))</f>
        <v>9999</v>
      </c>
      <c r="AO389" s="37" t="n">
        <f aca="false">IF($A389-AM389&gt;0,1/(1+AM389),0)</f>
        <v>0</v>
      </c>
      <c r="AP389" s="37" t="n">
        <f aca="false">IF($A389-AN389&gt;0,1/(1+AN389),0)</f>
        <v>0</v>
      </c>
      <c r="AQ389" s="7" t="n">
        <f aca="false">IF(AK389=0,0,MAX(MIN(1,AO389^Power),0))</f>
        <v>0</v>
      </c>
      <c r="AR389" s="7" t="n">
        <f aca="false">IF(AL389=0,0,MAX(MIN(1,AP389^Power),0))</f>
        <v>0</v>
      </c>
      <c r="AS389" s="7" t="n">
        <f aca="false">IF($AJ389=1,IF($H389=0,K389,AS388),AS388)</f>
        <v>0</v>
      </c>
      <c r="AT389" s="7" t="n">
        <f aca="false">IF($AJ389=1,IF($H389=1,N389,AT388),AT388)</f>
        <v>0</v>
      </c>
    </row>
    <row r="390" customFormat="false" ht="13" hidden="false" customHeight="false" outlineLevel="0" collapsed="false">
      <c r="A390" s="16" t="n">
        <v>373</v>
      </c>
      <c r="B390" s="37" t="n">
        <f aca="true">IF(RAND()&lt;$D$8,1,0)</f>
        <v>0</v>
      </c>
      <c r="C390" s="20" t="n">
        <f aca="true">-LN(RAND())/$D$2</f>
        <v>0.0752023746812143</v>
      </c>
      <c r="D390" s="38" t="n">
        <f aca="false">D389+C390</f>
        <v>402.217767132073</v>
      </c>
      <c r="E390" s="39" t="n">
        <f aca="false">MAX($E$3,AS389)</f>
        <v>0</v>
      </c>
      <c r="F390" s="39" t="n">
        <f aca="false">MAX($E$3,AT389)</f>
        <v>0</v>
      </c>
      <c r="G390" s="40" t="n">
        <v>0.5</v>
      </c>
      <c r="H390" s="38" t="n">
        <f aca="true">IF((B390=1),(IF((F390&lt;E390),1,(IF((F390=E390),(IF(RAND()&lt;G390,1,0)),0)))),(IF((RAND()&lt;G390),1,0)))</f>
        <v>0</v>
      </c>
      <c r="I390" s="38" t="n">
        <f aca="true">IF((H390=1),0,$D$3+$D$5*(RAND()-0.5))</f>
        <v>2.00220835583547</v>
      </c>
      <c r="J390" s="38" t="n">
        <f aca="false">I390+MAX(D390,J389)</f>
        <v>407.772239232544</v>
      </c>
      <c r="K390" s="38" t="n">
        <f aca="false">IF((H390=0),J390-D390,0)</f>
        <v>5.55447210047049</v>
      </c>
      <c r="L390" s="38" t="n">
        <f aca="true">IF(($H390=0),0,$D$4+$D$5*(RAND()-0.5))</f>
        <v>0</v>
      </c>
      <c r="M390" s="38" t="n">
        <f aca="false">L390+MAX(D390,M389)</f>
        <v>430.551315889309</v>
      </c>
      <c r="N390" s="38" t="n">
        <f aca="false">IF((H390=1),M390-D390,0)</f>
        <v>0</v>
      </c>
      <c r="O390" s="16" t="n">
        <v>373</v>
      </c>
      <c r="P390" s="41" t="n">
        <f aca="false">IF((Arterial=0),P389+1,P389)</f>
        <v>172</v>
      </c>
      <c r="Q390" s="41" t="n">
        <f aca="false">IF((Arterial=1),Q389+1,Q389)</f>
        <v>201</v>
      </c>
      <c r="R390" s="42" t="e">
        <f aca="false">IF((RESET=1),0,R390+K390)</f>
        <v>#N/A</v>
      </c>
      <c r="S390" s="14" t="n">
        <f aca="false">IF(RESET=1,0,S390+N390)</f>
        <v>642.317521691145</v>
      </c>
      <c r="T390" s="2" t="e">
        <f aca="false">IF(RESET=1,0,T390+IF(H390=0,1,0))</f>
        <v>#N/A</v>
      </c>
      <c r="U390" s="2" t="n">
        <f aca="false">IF(RESET=1,0,U390+H390)</f>
        <v>44</v>
      </c>
      <c r="V390" s="14" t="e">
        <f aca="false">R390/(T390+0.00001)</f>
        <v>#N/A</v>
      </c>
      <c r="W390" s="14" t="n">
        <f aca="false">S390/(U390+0.0001)</f>
        <v>14.598092315498</v>
      </c>
      <c r="X390" s="39" t="n">
        <f aca="false">IF(Informed=1,K390,0)</f>
        <v>0</v>
      </c>
      <c r="Y390" s="39" t="n">
        <f aca="false">IF(Informed=0,K390,0)</f>
        <v>5.55447210047049</v>
      </c>
      <c r="Z390" s="39" t="n">
        <f aca="false">IF(Informed=1,N390,0)</f>
        <v>0</v>
      </c>
      <c r="AA390" s="39" t="n">
        <f aca="false">IF(Informed=0,N390,0)</f>
        <v>0</v>
      </c>
      <c r="AB390" s="43" t="n">
        <f aca="false">IF(Arterial=0,IF(Informed=1,1,0),0)</f>
        <v>0</v>
      </c>
      <c r="AC390" s="43" t="n">
        <f aca="false">IF(Arterial=0,IF(Informed=0,1,0),0)</f>
        <v>1</v>
      </c>
      <c r="AD390" s="43" t="n">
        <f aca="false">IF(Arterial=1,IF(Informed=1,1,0),0)</f>
        <v>0</v>
      </c>
      <c r="AE390" s="43" t="n">
        <f aca="false">IF(Arterial=1,IF(Informed=0,1,0),0)</f>
        <v>0</v>
      </c>
      <c r="AF390" s="35" t="n">
        <f aca="false">IF(AB390=1,(X390-G$1030)^2,0)</f>
        <v>0</v>
      </c>
      <c r="AG390" s="35" t="n">
        <f aca="false">IF(AC390=1,(Y390-H$1030)^2,0)</f>
        <v>28.829523705441</v>
      </c>
      <c r="AH390" s="35" t="n">
        <f aca="false">IF(AD390=1,(Z390-I$1030)^2,0)</f>
        <v>0</v>
      </c>
      <c r="AI390" s="35" t="n">
        <f aca="false">IF(AE390=1,(AA390-J$1030)^2,0)</f>
        <v>0</v>
      </c>
      <c r="AJ390" s="37" t="n">
        <f aca="true">IF(RAND()&lt;$D$6,1,0)</f>
        <v>0</v>
      </c>
      <c r="AK390" s="14" t="n">
        <f aca="false">AK389+IF((AJ390=1),IF((H390=0),1,0),0)</f>
        <v>0</v>
      </c>
      <c r="AL390" s="14" t="n">
        <f aca="false">AL389+IF((AJ390=1),IF((H390=1),1,0),0)</f>
        <v>0</v>
      </c>
      <c r="AM390" s="37" t="n">
        <f aca="false">IF(AK390=0,9999,IF($H390=0,IF($AJ390&lt;1,AM389+1,0),AM389))</f>
        <v>9999</v>
      </c>
      <c r="AN390" s="37" t="n">
        <f aca="false">IF(AL390=0,9999,IF($H390=1,IF($AJ390&lt;1,AN389+1,0),AN389))</f>
        <v>9999</v>
      </c>
      <c r="AO390" s="37" t="n">
        <f aca="false">IF($A390-AM390&gt;0,1/(1+AM390),0)</f>
        <v>0</v>
      </c>
      <c r="AP390" s="37" t="n">
        <f aca="false">IF($A390-AN390&gt;0,1/(1+AN390),0)</f>
        <v>0</v>
      </c>
      <c r="AQ390" s="7" t="n">
        <f aca="false">IF(AK390=0,0,MAX(MIN(1,AO390^Power),0))</f>
        <v>0</v>
      </c>
      <c r="AR390" s="7" t="n">
        <f aca="false">IF(AL390=0,0,MAX(MIN(1,AP390^Power),0))</f>
        <v>0</v>
      </c>
      <c r="AS390" s="7" t="n">
        <f aca="false">IF($AJ390=1,IF($H390=0,K390,AS389),AS389)</f>
        <v>0</v>
      </c>
      <c r="AT390" s="7" t="n">
        <f aca="false">IF($AJ390=1,IF($H390=1,N390,AT389),AT389)</f>
        <v>0</v>
      </c>
    </row>
    <row r="391" customFormat="false" ht="13" hidden="false" customHeight="false" outlineLevel="0" collapsed="false">
      <c r="A391" s="16" t="n">
        <v>374</v>
      </c>
      <c r="B391" s="37" t="n">
        <f aca="true">IF(RAND()&lt;$D$8,1,0)</f>
        <v>1</v>
      </c>
      <c r="C391" s="20" t="n">
        <f aca="true">-LN(RAND())/$D$2</f>
        <v>0.881888074675097</v>
      </c>
      <c r="D391" s="38" t="n">
        <f aca="false">D390+C391</f>
        <v>403.099655206749</v>
      </c>
      <c r="E391" s="39" t="n">
        <f aca="false">MAX($E$3,AS390)</f>
        <v>0</v>
      </c>
      <c r="F391" s="39" t="n">
        <f aca="false">MAX($E$3,AT390)</f>
        <v>0</v>
      </c>
      <c r="G391" s="40" t="n">
        <v>0.5</v>
      </c>
      <c r="H391" s="38" t="n">
        <f aca="true">IF((B391=1),(IF((F391&lt;E391),1,(IF((F391=E391),(IF(RAND()&lt;G391,1,0)),0)))),(IF((RAND()&lt;G391),1,0)))</f>
        <v>1</v>
      </c>
      <c r="I391" s="38" t="n">
        <f aca="true">IF((H391=1),0,$D$3+$D$5*(RAND()-0.5))</f>
        <v>0</v>
      </c>
      <c r="J391" s="38" t="n">
        <f aca="false">I391+MAX(D391,J390)</f>
        <v>407.772239232544</v>
      </c>
      <c r="K391" s="38" t="n">
        <f aca="false">IF((H391=0),J391-D391,0)</f>
        <v>0</v>
      </c>
      <c r="L391" s="38" t="n">
        <f aca="true">IF(($H391=0),0,$D$4+$D$5*(RAND()-0.5))</f>
        <v>2.21911762364062</v>
      </c>
      <c r="M391" s="38" t="n">
        <f aca="false">L391+MAX(D391,M390)</f>
        <v>432.770433512949</v>
      </c>
      <c r="N391" s="38" t="n">
        <f aca="false">IF((H391=1),M391-D391,0)</f>
        <v>29.6707783062008</v>
      </c>
      <c r="O391" s="16" t="n">
        <v>374</v>
      </c>
      <c r="P391" s="41" t="n">
        <f aca="false">IF((Arterial=0),P390+1,P390)</f>
        <v>172</v>
      </c>
      <c r="Q391" s="41" t="n">
        <f aca="false">IF((Arterial=1),Q390+1,Q390)</f>
        <v>202</v>
      </c>
      <c r="R391" s="42" t="n">
        <f aca="false">IF((RESET=1),0,R391+K391)</f>
        <v>657.668937563535</v>
      </c>
      <c r="S391" s="14" t="e">
        <f aca="false">IF(RESET=1,0,S391+N391)</f>
        <v>#N/A</v>
      </c>
      <c r="T391" s="2" t="n">
        <f aca="false">IF(RESET=1,0,T391+IF(H391=0,1,0))</f>
        <v>39</v>
      </c>
      <c r="U391" s="2" t="e">
        <f aca="false">IF(RESET=1,0,U391+H391)</f>
        <v>#N/A</v>
      </c>
      <c r="V391" s="14" t="n">
        <f aca="false">R391/(T391+0.00001)</f>
        <v>16.8633017674492</v>
      </c>
      <c r="W391" s="14" t="e">
        <f aca="false">S391/(U391+0.0001)</f>
        <v>#N/A</v>
      </c>
      <c r="X391" s="39" t="n">
        <f aca="false">IF(Informed=1,K391,0)</f>
        <v>0</v>
      </c>
      <c r="Y391" s="39" t="n">
        <f aca="false">IF(Informed=0,K391,0)</f>
        <v>0</v>
      </c>
      <c r="Z391" s="39" t="n">
        <f aca="false">IF(Informed=1,N391,0)</f>
        <v>29.6707783062008</v>
      </c>
      <c r="AA391" s="39" t="n">
        <f aca="false">IF(Informed=0,N391,0)</f>
        <v>0</v>
      </c>
      <c r="AB391" s="43" t="n">
        <f aca="false">IF(Arterial=0,IF(Informed=1,1,0),0)</f>
        <v>0</v>
      </c>
      <c r="AC391" s="43" t="n">
        <f aca="false">IF(Arterial=0,IF(Informed=0,1,0),0)</f>
        <v>0</v>
      </c>
      <c r="AD391" s="43" t="n">
        <f aca="false">IF(Arterial=1,IF(Informed=1,1,0),0)</f>
        <v>1</v>
      </c>
      <c r="AE391" s="43" t="n">
        <f aca="false">IF(Arterial=1,IF(Informed=0,1,0),0)</f>
        <v>0</v>
      </c>
      <c r="AF391" s="35" t="n">
        <f aca="false">IF(AB391=1,(X391-G$1030)^2,0)</f>
        <v>0</v>
      </c>
      <c r="AG391" s="35" t="n">
        <f aca="false">IF(AC391=1,(Y391-H$1030)^2,0)</f>
        <v>0</v>
      </c>
      <c r="AH391" s="35" t="n">
        <f aca="false">IF(AD391=1,(Z391-I$1030)^2,0)</f>
        <v>1.67946958879549</v>
      </c>
      <c r="AI391" s="35" t="n">
        <f aca="false">IF(AE391=1,(AA391-J$1030)^2,0)</f>
        <v>0</v>
      </c>
      <c r="AJ391" s="37" t="n">
        <f aca="true">IF(RAND()&lt;$D$6,1,0)</f>
        <v>0</v>
      </c>
      <c r="AK391" s="14" t="n">
        <f aca="false">AK390+IF((AJ391=1),IF((H391=0),1,0),0)</f>
        <v>0</v>
      </c>
      <c r="AL391" s="14" t="n">
        <f aca="false">AL390+IF((AJ391=1),IF((H391=1),1,0),0)</f>
        <v>0</v>
      </c>
      <c r="AM391" s="37" t="n">
        <f aca="false">IF(AK391=0,9999,IF($H391=0,IF($AJ391&lt;1,AM390+1,0),AM390))</f>
        <v>9999</v>
      </c>
      <c r="AN391" s="37" t="n">
        <f aca="false">IF(AL391=0,9999,IF($H391=1,IF($AJ391&lt;1,AN390+1,0),AN390))</f>
        <v>9999</v>
      </c>
      <c r="AO391" s="37" t="n">
        <f aca="false">IF($A391-AM391&gt;0,1/(1+AM391),0)</f>
        <v>0</v>
      </c>
      <c r="AP391" s="37" t="n">
        <f aca="false">IF($A391-AN391&gt;0,1/(1+AN391),0)</f>
        <v>0</v>
      </c>
      <c r="AQ391" s="7" t="n">
        <f aca="false">IF(AK391=0,0,MAX(MIN(1,AO391^Power),0))</f>
        <v>0</v>
      </c>
      <c r="AR391" s="7" t="n">
        <f aca="false">IF(AL391=0,0,MAX(MIN(1,AP391^Power),0))</f>
        <v>0</v>
      </c>
      <c r="AS391" s="7" t="n">
        <f aca="false">IF($AJ391=1,IF($H391=0,K391,AS390),AS390)</f>
        <v>0</v>
      </c>
      <c r="AT391" s="7" t="n">
        <f aca="false">IF($AJ391=1,IF($H391=1,N391,AT390),AT390)</f>
        <v>0</v>
      </c>
    </row>
    <row r="392" customFormat="false" ht="13" hidden="false" customHeight="false" outlineLevel="0" collapsed="false">
      <c r="A392" s="16" t="n">
        <v>375</v>
      </c>
      <c r="B392" s="37" t="n">
        <f aca="true">IF(RAND()&lt;$D$8,1,0)</f>
        <v>1</v>
      </c>
      <c r="C392" s="20" t="n">
        <f aca="true">-LN(RAND())/$D$2</f>
        <v>2.06217500503218</v>
      </c>
      <c r="D392" s="38" t="n">
        <f aca="false">D391+C392</f>
        <v>405.161830211781</v>
      </c>
      <c r="E392" s="39" t="n">
        <f aca="false">MAX($E$3,AS391)</f>
        <v>0</v>
      </c>
      <c r="F392" s="39" t="n">
        <f aca="false">MAX($E$3,AT391)</f>
        <v>0</v>
      </c>
      <c r="G392" s="40" t="n">
        <v>0.5</v>
      </c>
      <c r="H392" s="38" t="n">
        <f aca="true">IF((B392=1),(IF((F392&lt;E392),1,(IF((F392=E392),(IF(RAND()&lt;G392,1,0)),0)))),(IF((RAND()&lt;G392),1,0)))</f>
        <v>1</v>
      </c>
      <c r="I392" s="38" t="n">
        <f aca="true">IF((H392=1),0,$D$3+$D$5*(RAND()-0.5))</f>
        <v>0</v>
      </c>
      <c r="J392" s="38" t="n">
        <f aca="false">I392+MAX(D392,J391)</f>
        <v>407.772239232544</v>
      </c>
      <c r="K392" s="38" t="n">
        <f aca="false">IF((H392=0),J392-D392,0)</f>
        <v>0</v>
      </c>
      <c r="L392" s="38" t="n">
        <f aca="true">IF(($H392=0),0,$D$4+$D$5*(RAND()-0.5))</f>
        <v>1.91072446840377</v>
      </c>
      <c r="M392" s="38" t="n">
        <f aca="false">L392+MAX(D392,M391)</f>
        <v>434.681157981353</v>
      </c>
      <c r="N392" s="38" t="n">
        <f aca="false">IF((H392=1),M392-D392,0)</f>
        <v>29.5193277695724</v>
      </c>
      <c r="O392" s="16" t="n">
        <v>375</v>
      </c>
      <c r="P392" s="41" t="n">
        <f aca="false">IF((Arterial=0),P391+1,P391)</f>
        <v>172</v>
      </c>
      <c r="Q392" s="41" t="n">
        <f aca="false">IF((Arterial=1),Q391+1,Q391)</f>
        <v>203</v>
      </c>
      <c r="R392" s="42" t="n">
        <f aca="false">IF((RESET=1),0,R392+K392)</f>
        <v>734.450802413753</v>
      </c>
      <c r="S392" s="14" t="e">
        <f aca="false">IF(RESET=1,0,S392+N392)</f>
        <v>#N/A</v>
      </c>
      <c r="T392" s="2" t="n">
        <f aca="false">IF(RESET=1,0,T392+IF(H392=0,1,0))</f>
        <v>42</v>
      </c>
      <c r="U392" s="2" t="e">
        <f aca="false">IF(RESET=1,0,U392+H392)</f>
        <v>#N/A</v>
      </c>
      <c r="V392" s="14" t="n">
        <f aca="false">R392/(T392+0.00001)</f>
        <v>17.4869197034418</v>
      </c>
      <c r="W392" s="14" t="e">
        <f aca="false">S392/(U392+0.0001)</f>
        <v>#N/A</v>
      </c>
      <c r="X392" s="39" t="n">
        <f aca="false">IF(Informed=1,K392,0)</f>
        <v>0</v>
      </c>
      <c r="Y392" s="39" t="n">
        <f aca="false">IF(Informed=0,K392,0)</f>
        <v>0</v>
      </c>
      <c r="Z392" s="39" t="n">
        <f aca="false">IF(Informed=1,N392,0)</f>
        <v>29.5193277695724</v>
      </c>
      <c r="AA392" s="39" t="n">
        <f aca="false">IF(Informed=0,N392,0)</f>
        <v>0</v>
      </c>
      <c r="AB392" s="43" t="n">
        <f aca="false">IF(Arterial=0,IF(Informed=1,1,0),0)</f>
        <v>0</v>
      </c>
      <c r="AC392" s="43" t="n">
        <f aca="false">IF(Arterial=0,IF(Informed=0,1,0),0)</f>
        <v>0</v>
      </c>
      <c r="AD392" s="43" t="n">
        <f aca="false">IF(Arterial=1,IF(Informed=1,1,0),0)</f>
        <v>1</v>
      </c>
      <c r="AE392" s="43" t="n">
        <f aca="false">IF(Arterial=1,IF(Informed=0,1,0),0)</f>
        <v>0</v>
      </c>
      <c r="AF392" s="35" t="n">
        <f aca="false">IF(AB392=1,(X392-G$1030)^2,0)</f>
        <v>0</v>
      </c>
      <c r="AG392" s="35" t="n">
        <f aca="false">IF(AC392=1,(Y392-H$1030)^2,0)</f>
        <v>0</v>
      </c>
      <c r="AH392" s="35" t="n">
        <f aca="false">IF(AD392=1,(Z392-I$1030)^2,0)</f>
        <v>1.30986417288323</v>
      </c>
      <c r="AI392" s="35" t="n">
        <f aca="false">IF(AE392=1,(AA392-J$1030)^2,0)</f>
        <v>0</v>
      </c>
      <c r="AJ392" s="37" t="n">
        <f aca="true">IF(RAND()&lt;$D$6,1,0)</f>
        <v>0</v>
      </c>
      <c r="AK392" s="14" t="n">
        <f aca="false">AK391+IF((AJ392=1),IF((H392=0),1,0),0)</f>
        <v>0</v>
      </c>
      <c r="AL392" s="14" t="n">
        <f aca="false">AL391+IF((AJ392=1),IF((H392=1),1,0),0)</f>
        <v>0</v>
      </c>
      <c r="AM392" s="37" t="n">
        <f aca="false">IF(AK392=0,9999,IF($H392=0,IF($AJ392&lt;1,AM391+1,0),AM391))</f>
        <v>9999</v>
      </c>
      <c r="AN392" s="37" t="n">
        <f aca="false">IF(AL392=0,9999,IF($H392=1,IF($AJ392&lt;1,AN391+1,0),AN391))</f>
        <v>9999</v>
      </c>
      <c r="AO392" s="37" t="n">
        <f aca="false">IF($A392-AM392&gt;0,1/(1+AM392),0)</f>
        <v>0</v>
      </c>
      <c r="AP392" s="37" t="n">
        <f aca="false">IF($A392-AN392&gt;0,1/(1+AN392),0)</f>
        <v>0</v>
      </c>
      <c r="AQ392" s="7" t="n">
        <f aca="false">IF(AK392=0,0,MAX(MIN(1,AO392^Power),0))</f>
        <v>0</v>
      </c>
      <c r="AR392" s="7" t="n">
        <f aca="false">IF(AL392=0,0,MAX(MIN(1,AP392^Power),0))</f>
        <v>0</v>
      </c>
      <c r="AS392" s="7" t="n">
        <f aca="false">IF($AJ392=1,IF($H392=0,K392,AS391),AS391)</f>
        <v>0</v>
      </c>
      <c r="AT392" s="7" t="n">
        <f aca="false">IF($AJ392=1,IF($H392=1,N392,AT391),AT391)</f>
        <v>0</v>
      </c>
    </row>
    <row r="393" customFormat="false" ht="13" hidden="false" customHeight="false" outlineLevel="0" collapsed="false">
      <c r="A393" s="16" t="n">
        <v>376</v>
      </c>
      <c r="B393" s="37" t="n">
        <f aca="true">IF(RAND()&lt;$D$8,1,0)</f>
        <v>0</v>
      </c>
      <c r="C393" s="20" t="n">
        <f aca="true">-LN(RAND())/$D$2</f>
        <v>0.0443845430477042</v>
      </c>
      <c r="D393" s="38" t="n">
        <f aca="false">D392+C393</f>
        <v>405.206214754828</v>
      </c>
      <c r="E393" s="39" t="n">
        <f aca="false">MAX($E$3,AS392)</f>
        <v>0</v>
      </c>
      <c r="F393" s="39" t="n">
        <f aca="false">MAX($E$3,AT392)</f>
        <v>0</v>
      </c>
      <c r="G393" s="40" t="n">
        <v>0.5</v>
      </c>
      <c r="H393" s="38" t="n">
        <f aca="true">IF((B393=1),(IF((F393&lt;E393),1,(IF((F393=E393),(IF(RAND()&lt;G393,1,0)),0)))),(IF((RAND()&lt;G393),1,0)))</f>
        <v>0</v>
      </c>
      <c r="I393" s="38" t="n">
        <f aca="true">IF((H393=1),0,$D$3+$D$5*(RAND()-0.5))</f>
        <v>2.02416110004225</v>
      </c>
      <c r="J393" s="38" t="n">
        <f aca="false">I393+MAX(D393,J392)</f>
        <v>409.796400332586</v>
      </c>
      <c r="K393" s="38" t="n">
        <f aca="false">IF((H393=0),J393-D393,0)</f>
        <v>4.59018557775772</v>
      </c>
      <c r="L393" s="38" t="n">
        <f aca="true">IF(($H393=0),0,$D$4+$D$5*(RAND()-0.5))</f>
        <v>0</v>
      </c>
      <c r="M393" s="38" t="n">
        <f aca="false">L393+MAX(D393,M392)</f>
        <v>434.681157981353</v>
      </c>
      <c r="N393" s="38" t="n">
        <f aca="false">IF((H393=1),M393-D393,0)</f>
        <v>0</v>
      </c>
      <c r="O393" s="16" t="n">
        <v>376</v>
      </c>
      <c r="P393" s="41" t="n">
        <f aca="false">IF((Arterial=0),P392+1,P392)</f>
        <v>173</v>
      </c>
      <c r="Q393" s="41" t="n">
        <f aca="false">IF((Arterial=1),Q392+1,Q392)</f>
        <v>203</v>
      </c>
      <c r="R393" s="42" t="e">
        <f aca="false">IF((RESET=1),0,R393+K393)</f>
        <v>#N/A</v>
      </c>
      <c r="S393" s="14" t="n">
        <f aca="false">IF(RESET=1,0,S393+N393)</f>
        <v>632.627658458018</v>
      </c>
      <c r="T393" s="2" t="e">
        <f aca="false">IF(RESET=1,0,T393+IF(H393=0,1,0))</f>
        <v>#N/A</v>
      </c>
      <c r="U393" s="2" t="n">
        <f aca="false">IF(RESET=1,0,U393+H393)</f>
        <v>45</v>
      </c>
      <c r="V393" s="14" t="e">
        <f aca="false">R393/(T393+0.00001)</f>
        <v>#N/A</v>
      </c>
      <c r="W393" s="14" t="n">
        <f aca="false">S393/(U393+0.0001)</f>
        <v>14.0583611693756</v>
      </c>
      <c r="X393" s="39" t="n">
        <f aca="false">IF(Informed=1,K393,0)</f>
        <v>0</v>
      </c>
      <c r="Y393" s="39" t="n">
        <f aca="false">IF(Informed=0,K393,0)</f>
        <v>4.59018557775772</v>
      </c>
      <c r="Z393" s="39" t="n">
        <f aca="false">IF(Informed=1,N393,0)</f>
        <v>0</v>
      </c>
      <c r="AA393" s="39" t="n">
        <f aca="false">IF(Informed=0,N393,0)</f>
        <v>0</v>
      </c>
      <c r="AB393" s="43" t="n">
        <f aca="false">IF(Arterial=0,IF(Informed=1,1,0),0)</f>
        <v>0</v>
      </c>
      <c r="AC393" s="43" t="n">
        <f aca="false">IF(Arterial=0,IF(Informed=0,1,0),0)</f>
        <v>1</v>
      </c>
      <c r="AD393" s="43" t="n">
        <f aca="false">IF(Arterial=1,IF(Informed=1,1,0),0)</f>
        <v>0</v>
      </c>
      <c r="AE393" s="43" t="n">
        <f aca="false">IF(Arterial=1,IF(Informed=0,1,0),0)</f>
        <v>0</v>
      </c>
      <c r="AF393" s="35" t="n">
        <f aca="false">IF(AB393=1,(X393-G$1030)^2,0)</f>
        <v>0</v>
      </c>
      <c r="AG393" s="35" t="n">
        <f aca="false">IF(AC393=1,(Y393-H$1030)^2,0)</f>
        <v>40.1144848173464</v>
      </c>
      <c r="AH393" s="35" t="n">
        <f aca="false">IF(AD393=1,(Z393-I$1030)^2,0)</f>
        <v>0</v>
      </c>
      <c r="AI393" s="35" t="n">
        <f aca="false">IF(AE393=1,(AA393-J$1030)^2,0)</f>
        <v>0</v>
      </c>
      <c r="AJ393" s="37" t="n">
        <f aca="true">IF(RAND()&lt;$D$6,1,0)</f>
        <v>0</v>
      </c>
      <c r="AK393" s="14" t="n">
        <f aca="false">AK392+IF((AJ393=1),IF((H393=0),1,0),0)</f>
        <v>0</v>
      </c>
      <c r="AL393" s="14" t="n">
        <f aca="false">AL392+IF((AJ393=1),IF((H393=1),1,0),0)</f>
        <v>0</v>
      </c>
      <c r="AM393" s="37" t="n">
        <f aca="false">IF(AK393=0,9999,IF($H393=0,IF($AJ393&lt;1,AM392+1,0),AM392))</f>
        <v>9999</v>
      </c>
      <c r="AN393" s="37" t="n">
        <f aca="false">IF(AL393=0,9999,IF($H393=1,IF($AJ393&lt;1,AN392+1,0),AN392))</f>
        <v>9999</v>
      </c>
      <c r="AO393" s="37" t="n">
        <f aca="false">IF($A393-AM393&gt;0,1/(1+AM393),0)</f>
        <v>0</v>
      </c>
      <c r="AP393" s="37" t="n">
        <f aca="false">IF($A393-AN393&gt;0,1/(1+AN393),0)</f>
        <v>0</v>
      </c>
      <c r="AQ393" s="7" t="n">
        <f aca="false">IF(AK393=0,0,MAX(MIN(1,AO393^Power),0))</f>
        <v>0</v>
      </c>
      <c r="AR393" s="7" t="n">
        <f aca="false">IF(AL393=0,0,MAX(MIN(1,AP393^Power),0))</f>
        <v>0</v>
      </c>
      <c r="AS393" s="7" t="n">
        <f aca="false">IF($AJ393=1,IF($H393=0,K393,AS392),AS392)</f>
        <v>0</v>
      </c>
      <c r="AT393" s="7" t="n">
        <f aca="false">IF($AJ393=1,IF($H393=1,N393,AT392),AT392)</f>
        <v>0</v>
      </c>
    </row>
    <row r="394" customFormat="false" ht="13" hidden="false" customHeight="false" outlineLevel="0" collapsed="false">
      <c r="A394" s="16" t="n">
        <v>377</v>
      </c>
      <c r="B394" s="37" t="n">
        <f aca="true">IF(RAND()&lt;$D$8,1,0)</f>
        <v>0</v>
      </c>
      <c r="C394" s="20" t="n">
        <f aca="true">-LN(RAND())/$D$2</f>
        <v>0.0961331974937248</v>
      </c>
      <c r="D394" s="38" t="n">
        <f aca="false">D393+C394</f>
        <v>405.302347952322</v>
      </c>
      <c r="E394" s="39" t="n">
        <f aca="false">MAX($E$3,AS393)</f>
        <v>0</v>
      </c>
      <c r="F394" s="39" t="n">
        <f aca="false">MAX($E$3,AT393)</f>
        <v>0</v>
      </c>
      <c r="G394" s="40" t="n">
        <v>0.5</v>
      </c>
      <c r="H394" s="38" t="n">
        <f aca="true">IF((B394=1),(IF((F394&lt;E394),1,(IF((F394=E394),(IF(RAND()&lt;G394,1,0)),0)))),(IF((RAND()&lt;G394),1,0)))</f>
        <v>1</v>
      </c>
      <c r="I394" s="38" t="n">
        <f aca="true">IF((H394=1),0,$D$3+$D$5*(RAND()-0.5))</f>
        <v>0</v>
      </c>
      <c r="J394" s="38" t="n">
        <f aca="false">I394+MAX(D394,J393)</f>
        <v>409.796400332586</v>
      </c>
      <c r="K394" s="38" t="n">
        <f aca="false">IF((H394=0),J394-D394,0)</f>
        <v>0</v>
      </c>
      <c r="L394" s="38" t="n">
        <f aca="true">IF(($H394=0),0,$D$4+$D$5*(RAND()-0.5))</f>
        <v>2.12682101791434</v>
      </c>
      <c r="M394" s="38" t="n">
        <f aca="false">L394+MAX(D394,M393)</f>
        <v>436.807978999267</v>
      </c>
      <c r="N394" s="38" t="n">
        <f aca="false">IF((H394=1),M394-D394,0)</f>
        <v>31.5056310469453</v>
      </c>
      <c r="O394" s="16" t="n">
        <v>377</v>
      </c>
      <c r="P394" s="41" t="n">
        <f aca="false">IF((Arterial=0),P393+1,P393)</f>
        <v>173</v>
      </c>
      <c r="Q394" s="41" t="n">
        <f aca="false">IF((Arterial=1),Q393+1,Q393)</f>
        <v>204</v>
      </c>
      <c r="R394" s="42" t="n">
        <f aca="false">IF((RESET=1),0,R394+K394)</f>
        <v>717.74818703153</v>
      </c>
      <c r="S394" s="14" t="e">
        <f aca="false">IF(RESET=1,0,S394+N394)</f>
        <v>#N/A</v>
      </c>
      <c r="T394" s="2" t="n">
        <f aca="false">IF(RESET=1,0,T394+IF(H394=0,1,0))</f>
        <v>40</v>
      </c>
      <c r="U394" s="2" t="e">
        <f aca="false">IF(RESET=1,0,U394+H394)</f>
        <v>#N/A</v>
      </c>
      <c r="V394" s="14" t="n">
        <f aca="false">R394/(T394+0.00001)</f>
        <v>17.9437001898632</v>
      </c>
      <c r="W394" s="14" t="e">
        <f aca="false">S394/(U394+0.0001)</f>
        <v>#N/A</v>
      </c>
      <c r="X394" s="39" t="n">
        <f aca="false">IF(Informed=1,K394,0)</f>
        <v>0</v>
      </c>
      <c r="Y394" s="39" t="n">
        <f aca="false">IF(Informed=0,K394,0)</f>
        <v>0</v>
      </c>
      <c r="Z394" s="39" t="n">
        <f aca="false">IF(Informed=1,N394,0)</f>
        <v>0</v>
      </c>
      <c r="AA394" s="39" t="n">
        <f aca="false">IF(Informed=0,N394,0)</f>
        <v>31.5056310469453</v>
      </c>
      <c r="AB394" s="43" t="n">
        <f aca="false">IF(Arterial=0,IF(Informed=1,1,0),0)</f>
        <v>0</v>
      </c>
      <c r="AC394" s="43" t="n">
        <f aca="false">IF(Arterial=0,IF(Informed=0,1,0),0)</f>
        <v>0</v>
      </c>
      <c r="AD394" s="43" t="n">
        <f aca="false">IF(Arterial=1,IF(Informed=1,1,0),0)</f>
        <v>0</v>
      </c>
      <c r="AE394" s="43" t="n">
        <f aca="false">IF(Arterial=1,IF(Informed=0,1,0),0)</f>
        <v>1</v>
      </c>
      <c r="AF394" s="35" t="n">
        <f aca="false">IF(AB394=1,(X394-G$1030)^2,0)</f>
        <v>0</v>
      </c>
      <c r="AG394" s="35" t="n">
        <f aca="false">IF(AC394=1,(Y394-H$1030)^2,0)</f>
        <v>0</v>
      </c>
      <c r="AH394" s="35" t="n">
        <f aca="false">IF(AD394=1,(Z394-I$1030)^2,0)</f>
        <v>0</v>
      </c>
      <c r="AI394" s="35" t="n">
        <f aca="false">IF(AE394=1,(AA394-J$1030)^2,0)</f>
        <v>3.76886333900105</v>
      </c>
      <c r="AJ394" s="37" t="n">
        <f aca="true">IF(RAND()&lt;$D$6,1,0)</f>
        <v>0</v>
      </c>
      <c r="AK394" s="14" t="n">
        <f aca="false">AK393+IF((AJ394=1),IF((H394=0),1,0),0)</f>
        <v>0</v>
      </c>
      <c r="AL394" s="14" t="n">
        <f aca="false">AL393+IF((AJ394=1),IF((H394=1),1,0),0)</f>
        <v>0</v>
      </c>
      <c r="AM394" s="37" t="n">
        <f aca="false">IF(AK394=0,9999,IF($H394=0,IF($AJ394&lt;1,AM393+1,0),AM393))</f>
        <v>9999</v>
      </c>
      <c r="AN394" s="37" t="n">
        <f aca="false">IF(AL394=0,9999,IF($H394=1,IF($AJ394&lt;1,AN393+1,0),AN393))</f>
        <v>9999</v>
      </c>
      <c r="AO394" s="37" t="n">
        <f aca="false">IF($A394-AM394&gt;0,1/(1+AM394),0)</f>
        <v>0</v>
      </c>
      <c r="AP394" s="37" t="n">
        <f aca="false">IF($A394-AN394&gt;0,1/(1+AN394),0)</f>
        <v>0</v>
      </c>
      <c r="AQ394" s="7" t="n">
        <f aca="false">IF(AK394=0,0,MAX(MIN(1,AO394^Power),0))</f>
        <v>0</v>
      </c>
      <c r="AR394" s="7" t="n">
        <f aca="false">IF(AL394=0,0,MAX(MIN(1,AP394^Power),0))</f>
        <v>0</v>
      </c>
      <c r="AS394" s="7" t="n">
        <f aca="false">IF($AJ394=1,IF($H394=0,K394,AS393),AS393)</f>
        <v>0</v>
      </c>
      <c r="AT394" s="7" t="n">
        <f aca="false">IF($AJ394=1,IF($H394=1,N394,AT393),AT393)</f>
        <v>0</v>
      </c>
    </row>
    <row r="395" customFormat="false" ht="13" hidden="false" customHeight="false" outlineLevel="0" collapsed="false">
      <c r="A395" s="16" t="n">
        <v>378</v>
      </c>
      <c r="B395" s="37" t="n">
        <f aca="true">IF(RAND()&lt;$D$8,1,0)</f>
        <v>1</v>
      </c>
      <c r="C395" s="20" t="n">
        <f aca="true">-LN(RAND())/$D$2</f>
        <v>0.624355098711645</v>
      </c>
      <c r="D395" s="38" t="n">
        <f aca="false">D394+C395</f>
        <v>405.926703051034</v>
      </c>
      <c r="E395" s="39" t="n">
        <f aca="false">MAX($E$3,AS394)</f>
        <v>0</v>
      </c>
      <c r="F395" s="39" t="n">
        <f aca="false">MAX($E$3,AT394)</f>
        <v>0</v>
      </c>
      <c r="G395" s="40" t="n">
        <v>0.5</v>
      </c>
      <c r="H395" s="38" t="n">
        <f aca="true">IF((B395=1),(IF((F395&lt;E395),1,(IF((F395=E395),(IF(RAND()&lt;G395,1,0)),0)))),(IF((RAND()&lt;G395),1,0)))</f>
        <v>1</v>
      </c>
      <c r="I395" s="38" t="n">
        <f aca="true">IF((H395=1),0,$D$3+$D$5*(RAND()-0.5))</f>
        <v>0</v>
      </c>
      <c r="J395" s="38" t="n">
        <f aca="false">I395+MAX(D395,J394)</f>
        <v>409.796400332586</v>
      </c>
      <c r="K395" s="38" t="n">
        <f aca="false">IF((H395=0),J395-D395,0)</f>
        <v>0</v>
      </c>
      <c r="L395" s="38" t="n">
        <f aca="true">IF(($H395=0),0,$D$4+$D$5*(RAND()-0.5))</f>
        <v>2.15715739142254</v>
      </c>
      <c r="M395" s="38" t="n">
        <f aca="false">L395+MAX(D395,M394)</f>
        <v>438.96513639069</v>
      </c>
      <c r="N395" s="38" t="n">
        <f aca="false">IF((H395=1),M395-D395,0)</f>
        <v>33.0384333396561</v>
      </c>
      <c r="O395" s="16" t="n">
        <v>378</v>
      </c>
      <c r="P395" s="41" t="n">
        <f aca="false">IF((Arterial=0),P394+1,P394)</f>
        <v>173</v>
      </c>
      <c r="Q395" s="41" t="n">
        <f aca="false">IF((Arterial=1),Q394+1,Q394)</f>
        <v>205</v>
      </c>
      <c r="R395" s="42" t="n">
        <f aca="false">IF((RESET=1),0,R395+K395)</f>
        <v>665.725384781811</v>
      </c>
      <c r="S395" s="14" t="e">
        <f aca="false">IF(RESET=1,0,S395+N395)</f>
        <v>#N/A</v>
      </c>
      <c r="T395" s="2" t="n">
        <f aca="false">IF(RESET=1,0,T395+IF(H395=0,1,0))</f>
        <v>33</v>
      </c>
      <c r="U395" s="2" t="e">
        <f aca="false">IF(RESET=1,0,U395+H395)</f>
        <v>#N/A</v>
      </c>
      <c r="V395" s="14" t="n">
        <f aca="false">R395/(T395+0.00001)</f>
        <v>20.1734903953608</v>
      </c>
      <c r="W395" s="14" t="e">
        <f aca="false">S395/(U395+0.0001)</f>
        <v>#N/A</v>
      </c>
      <c r="X395" s="39" t="n">
        <f aca="false">IF(Informed=1,K395,0)</f>
        <v>0</v>
      </c>
      <c r="Y395" s="39" t="n">
        <f aca="false">IF(Informed=0,K395,0)</f>
        <v>0</v>
      </c>
      <c r="Z395" s="39" t="n">
        <f aca="false">IF(Informed=1,N395,0)</f>
        <v>33.0384333396561</v>
      </c>
      <c r="AA395" s="39" t="n">
        <f aca="false">IF(Informed=0,N395,0)</f>
        <v>0</v>
      </c>
      <c r="AB395" s="43" t="n">
        <f aca="false">IF(Arterial=0,IF(Informed=1,1,0),0)</f>
        <v>0</v>
      </c>
      <c r="AC395" s="43" t="n">
        <f aca="false">IF(Arterial=0,IF(Informed=0,1,0),0)</f>
        <v>0</v>
      </c>
      <c r="AD395" s="43" t="n">
        <f aca="false">IF(Arterial=1,IF(Informed=1,1,0),0)</f>
        <v>1</v>
      </c>
      <c r="AE395" s="43" t="n">
        <f aca="false">IF(Arterial=1,IF(Informed=0,1,0),0)</f>
        <v>0</v>
      </c>
      <c r="AF395" s="35" t="n">
        <f aca="false">IF(AB395=1,(X395-G$1030)^2,0)</f>
        <v>0</v>
      </c>
      <c r="AG395" s="35" t="n">
        <f aca="false">IF(AC395=1,(Y395-H$1030)^2,0)</f>
        <v>0</v>
      </c>
      <c r="AH395" s="35" t="n">
        <f aca="false">IF(AD395=1,(Z395-I$1030)^2,0)</f>
        <v>21.7491514021717</v>
      </c>
      <c r="AI395" s="35" t="n">
        <f aca="false">IF(AE395=1,(AA395-J$1030)^2,0)</f>
        <v>0</v>
      </c>
      <c r="AJ395" s="37" t="n">
        <f aca="true">IF(RAND()&lt;$D$6,1,0)</f>
        <v>0</v>
      </c>
      <c r="AK395" s="14" t="n">
        <f aca="false">AK394+IF((AJ395=1),IF((H395=0),1,0),0)</f>
        <v>0</v>
      </c>
      <c r="AL395" s="14" t="n">
        <f aca="false">AL394+IF((AJ395=1),IF((H395=1),1,0),0)</f>
        <v>0</v>
      </c>
      <c r="AM395" s="37" t="n">
        <f aca="false">IF(AK395=0,9999,IF($H395=0,IF($AJ395&lt;1,AM394+1,0),AM394))</f>
        <v>9999</v>
      </c>
      <c r="AN395" s="37" t="n">
        <f aca="false">IF(AL395=0,9999,IF($H395=1,IF($AJ395&lt;1,AN394+1,0),AN394))</f>
        <v>9999</v>
      </c>
      <c r="AO395" s="37" t="n">
        <f aca="false">IF($A395-AM395&gt;0,1/(1+AM395),0)</f>
        <v>0</v>
      </c>
      <c r="AP395" s="37" t="n">
        <f aca="false">IF($A395-AN395&gt;0,1/(1+AN395),0)</f>
        <v>0</v>
      </c>
      <c r="AQ395" s="7" t="n">
        <f aca="false">IF(AK395=0,0,MAX(MIN(1,AO395^Power),0))</f>
        <v>0</v>
      </c>
      <c r="AR395" s="7" t="n">
        <f aca="false">IF(AL395=0,0,MAX(MIN(1,AP395^Power),0))</f>
        <v>0</v>
      </c>
      <c r="AS395" s="7" t="n">
        <f aca="false">IF($AJ395=1,IF($H395=0,K395,AS394),AS394)</f>
        <v>0</v>
      </c>
      <c r="AT395" s="7" t="n">
        <f aca="false">IF($AJ395=1,IF($H395=1,N395,AT394),AT394)</f>
        <v>0</v>
      </c>
    </row>
    <row r="396" customFormat="false" ht="13" hidden="false" customHeight="false" outlineLevel="0" collapsed="false">
      <c r="A396" s="16" t="n">
        <v>379</v>
      </c>
      <c r="B396" s="37" t="n">
        <f aca="true">IF(RAND()&lt;$D$8,1,0)</f>
        <v>1</v>
      </c>
      <c r="C396" s="20" t="n">
        <f aca="true">-LN(RAND())/$D$2</f>
        <v>1.24319954330214</v>
      </c>
      <c r="D396" s="38" t="n">
        <f aca="false">D395+C396</f>
        <v>407.169902594336</v>
      </c>
      <c r="E396" s="39" t="n">
        <f aca="false">MAX($E$3,AS395)</f>
        <v>0</v>
      </c>
      <c r="F396" s="39" t="n">
        <f aca="false">MAX($E$3,AT395)</f>
        <v>0</v>
      </c>
      <c r="G396" s="40" t="n">
        <v>0.5</v>
      </c>
      <c r="H396" s="38" t="n">
        <f aca="true">IF((B396=1),(IF((F396&lt;E396),1,(IF((F396=E396),(IF(RAND()&lt;G396,1,0)),0)))),(IF((RAND()&lt;G396),1,0)))</f>
        <v>0</v>
      </c>
      <c r="I396" s="38" t="n">
        <f aca="true">IF((H396=1),0,$D$3+$D$5*(RAND()-0.5))</f>
        <v>2.07242507362588</v>
      </c>
      <c r="J396" s="38" t="n">
        <f aca="false">I396+MAX(D396,J395)</f>
        <v>411.868825406212</v>
      </c>
      <c r="K396" s="38" t="n">
        <f aca="false">IF((H396=0),J396-D396,0)</f>
        <v>4.69892281187612</v>
      </c>
      <c r="L396" s="38" t="n">
        <f aca="true">IF(($H396=0),0,$D$4+$D$5*(RAND()-0.5))</f>
        <v>0</v>
      </c>
      <c r="M396" s="38" t="n">
        <f aca="false">L396+MAX(D396,M395)</f>
        <v>438.96513639069</v>
      </c>
      <c r="N396" s="38" t="n">
        <f aca="false">IF((H396=1),M396-D396,0)</f>
        <v>0</v>
      </c>
      <c r="O396" s="16" t="n">
        <v>379</v>
      </c>
      <c r="P396" s="41" t="n">
        <f aca="false">IF((Arterial=0),P395+1,P395)</f>
        <v>174</v>
      </c>
      <c r="Q396" s="41" t="n">
        <f aca="false">IF((Arterial=1),Q395+1,Q395)</f>
        <v>205</v>
      </c>
      <c r="R396" s="42" t="e">
        <f aca="false">IF((RESET=1),0,R396+K396)</f>
        <v>#N/A</v>
      </c>
      <c r="S396" s="14" t="n">
        <f aca="false">IF(RESET=1,0,S396+N396)</f>
        <v>548.799541117147</v>
      </c>
      <c r="T396" s="2" t="e">
        <f aca="false">IF(RESET=1,0,T396+IF(H396=0,1,0))</f>
        <v>#N/A</v>
      </c>
      <c r="U396" s="2" t="n">
        <f aca="false">IF(RESET=1,0,U396+H396)</f>
        <v>35</v>
      </c>
      <c r="V396" s="14" t="e">
        <f aca="false">R396/(T396+0.00001)</f>
        <v>#N/A</v>
      </c>
      <c r="W396" s="14" t="n">
        <f aca="false">S396/(U396+0.0001)</f>
        <v>15.6799420892268</v>
      </c>
      <c r="X396" s="39" t="n">
        <f aca="false">IF(Informed=1,K396,0)</f>
        <v>4.69892281187612</v>
      </c>
      <c r="Y396" s="39" t="n">
        <f aca="false">IF(Informed=0,K396,0)</f>
        <v>0</v>
      </c>
      <c r="Z396" s="39" t="n">
        <f aca="false">IF(Informed=1,N396,0)</f>
        <v>0</v>
      </c>
      <c r="AA396" s="39" t="n">
        <f aca="false">IF(Informed=0,N396,0)</f>
        <v>0</v>
      </c>
      <c r="AB396" s="43" t="n">
        <f aca="false">IF(Arterial=0,IF(Informed=1,1,0),0)</f>
        <v>1</v>
      </c>
      <c r="AC396" s="43" t="n">
        <f aca="false">IF(Arterial=0,IF(Informed=0,1,0),0)</f>
        <v>0</v>
      </c>
      <c r="AD396" s="43" t="n">
        <f aca="false">IF(Arterial=1,IF(Informed=1,1,0),0)</f>
        <v>0</v>
      </c>
      <c r="AE396" s="43" t="n">
        <f aca="false">IF(Arterial=1,IF(Informed=0,1,0),0)</f>
        <v>0</v>
      </c>
      <c r="AF396" s="35" t="n">
        <f aca="false">IF(AB396=1,(X396-G$1030)^2,0)</f>
        <v>36.1291808380978</v>
      </c>
      <c r="AG396" s="35" t="n">
        <f aca="false">IF(AC396=1,(Y396-H$1030)^2,0)</f>
        <v>0</v>
      </c>
      <c r="AH396" s="35" t="n">
        <f aca="false">IF(AD396=1,(Z396-I$1030)^2,0)</f>
        <v>0</v>
      </c>
      <c r="AI396" s="35" t="n">
        <f aca="false">IF(AE396=1,(AA396-J$1030)^2,0)</f>
        <v>0</v>
      </c>
      <c r="AJ396" s="37" t="n">
        <f aca="true">IF(RAND()&lt;$D$6,1,0)</f>
        <v>0</v>
      </c>
      <c r="AK396" s="14" t="n">
        <f aca="false">AK395+IF((AJ396=1),IF((H396=0),1,0),0)</f>
        <v>0</v>
      </c>
      <c r="AL396" s="14" t="n">
        <f aca="false">AL395+IF((AJ396=1),IF((H396=1),1,0),0)</f>
        <v>0</v>
      </c>
      <c r="AM396" s="37" t="n">
        <f aca="false">IF(AK396=0,9999,IF($H396=0,IF($AJ396&lt;1,AM395+1,0),AM395))</f>
        <v>9999</v>
      </c>
      <c r="AN396" s="37" t="n">
        <f aca="false">IF(AL396=0,9999,IF($H396=1,IF($AJ396&lt;1,AN395+1,0),AN395))</f>
        <v>9999</v>
      </c>
      <c r="AO396" s="37" t="n">
        <f aca="false">IF($A396-AM396&gt;0,1/(1+AM396),0)</f>
        <v>0</v>
      </c>
      <c r="AP396" s="37" t="n">
        <f aca="false">IF($A396-AN396&gt;0,1/(1+AN396),0)</f>
        <v>0</v>
      </c>
      <c r="AQ396" s="7" t="n">
        <f aca="false">IF(AK396=0,0,MAX(MIN(1,AO396^Power),0))</f>
        <v>0</v>
      </c>
      <c r="AR396" s="7" t="n">
        <f aca="false">IF(AL396=0,0,MAX(MIN(1,AP396^Power),0))</f>
        <v>0</v>
      </c>
      <c r="AS396" s="7" t="n">
        <f aca="false">IF($AJ396=1,IF($H396=0,K396,AS395),AS395)</f>
        <v>0</v>
      </c>
      <c r="AT396" s="7" t="n">
        <f aca="false">IF($AJ396=1,IF($H396=1,N396,AT395),AT395)</f>
        <v>0</v>
      </c>
    </row>
    <row r="397" customFormat="false" ht="13" hidden="false" customHeight="false" outlineLevel="0" collapsed="false">
      <c r="A397" s="16" t="n">
        <v>380</v>
      </c>
      <c r="B397" s="37" t="n">
        <f aca="true">IF(RAND()&lt;$D$8,1,0)</f>
        <v>1</v>
      </c>
      <c r="C397" s="20" t="n">
        <f aca="true">-LN(RAND())/$D$2</f>
        <v>0.233442255905763</v>
      </c>
      <c r="D397" s="38" t="n">
        <f aca="false">D396+C397</f>
        <v>407.403344850242</v>
      </c>
      <c r="E397" s="39" t="n">
        <f aca="false">MAX($E$3,AS396)</f>
        <v>0</v>
      </c>
      <c r="F397" s="39" t="n">
        <f aca="false">MAX($E$3,AT396)</f>
        <v>0</v>
      </c>
      <c r="G397" s="40" t="n">
        <v>0.5</v>
      </c>
      <c r="H397" s="38" t="n">
        <f aca="true">IF((B397=1),(IF((F397&lt;E397),1,(IF((F397=E397),(IF(RAND()&lt;G397,1,0)),0)))),(IF((RAND()&lt;G397),1,0)))</f>
        <v>1</v>
      </c>
      <c r="I397" s="38" t="n">
        <f aca="true">IF((H397=1),0,$D$3+$D$5*(RAND()-0.5))</f>
        <v>0</v>
      </c>
      <c r="J397" s="38" t="n">
        <f aca="false">I397+MAX(D397,J396)</f>
        <v>411.868825406212</v>
      </c>
      <c r="K397" s="38" t="n">
        <f aca="false">IF((H397=0),J397-D397,0)</f>
        <v>0</v>
      </c>
      <c r="L397" s="38" t="n">
        <f aca="true">IF(($H397=0),0,$D$4+$D$5*(RAND()-0.5))</f>
        <v>1.95516549971266</v>
      </c>
      <c r="M397" s="38" t="n">
        <f aca="false">L397+MAX(D397,M396)</f>
        <v>440.920301890403</v>
      </c>
      <c r="N397" s="38" t="n">
        <f aca="false">IF((H397=1),M397-D397,0)</f>
        <v>33.5169570401609</v>
      </c>
      <c r="O397" s="16" t="n">
        <v>380</v>
      </c>
      <c r="P397" s="41" t="n">
        <f aca="false">IF((Arterial=0),P396+1,P396)</f>
        <v>174</v>
      </c>
      <c r="Q397" s="41" t="n">
        <f aca="false">IF((Arterial=1),Q396+1,Q396)</f>
        <v>206</v>
      </c>
      <c r="R397" s="42" t="n">
        <f aca="false">IF((RESET=1),0,R397+K397)</f>
        <v>553.005884226469</v>
      </c>
      <c r="S397" s="14" t="e">
        <f aca="false">IF(RESET=1,0,S397+N397)</f>
        <v>#N/A</v>
      </c>
      <c r="T397" s="2" t="n">
        <f aca="false">IF(RESET=1,0,T397+IF(H397=0,1,0))</f>
        <v>36</v>
      </c>
      <c r="U397" s="2" t="e">
        <f aca="false">IF(RESET=1,0,U397+H397)</f>
        <v>#N/A</v>
      </c>
      <c r="V397" s="14" t="n">
        <f aca="false">R397/(T397+0.00001)</f>
        <v>15.3612702948268</v>
      </c>
      <c r="W397" s="14" t="e">
        <f aca="false">S397/(U397+0.0001)</f>
        <v>#N/A</v>
      </c>
      <c r="X397" s="39" t="n">
        <f aca="false">IF(Informed=1,K397,0)</f>
        <v>0</v>
      </c>
      <c r="Y397" s="39" t="n">
        <f aca="false">IF(Informed=0,K397,0)</f>
        <v>0</v>
      </c>
      <c r="Z397" s="39" t="n">
        <f aca="false">IF(Informed=1,N397,0)</f>
        <v>33.5169570401609</v>
      </c>
      <c r="AA397" s="39" t="n">
        <f aca="false">IF(Informed=0,N397,0)</f>
        <v>0</v>
      </c>
      <c r="AB397" s="43" t="n">
        <f aca="false">IF(Arterial=0,IF(Informed=1,1,0),0)</f>
        <v>0</v>
      </c>
      <c r="AC397" s="43" t="n">
        <f aca="false">IF(Arterial=0,IF(Informed=0,1,0),0)</f>
        <v>0</v>
      </c>
      <c r="AD397" s="43" t="n">
        <f aca="false">IF(Arterial=1,IF(Informed=1,1,0),0)</f>
        <v>1</v>
      </c>
      <c r="AE397" s="43" t="n">
        <f aca="false">IF(Arterial=1,IF(Informed=0,1,0),0)</f>
        <v>0</v>
      </c>
      <c r="AF397" s="35" t="n">
        <f aca="false">IF(AB397=1,(X397-G$1030)^2,0)</f>
        <v>0</v>
      </c>
      <c r="AG397" s="35" t="n">
        <f aca="false">IF(AC397=1,(Y397-H$1030)^2,0)</f>
        <v>0</v>
      </c>
      <c r="AH397" s="35" t="n">
        <f aca="false">IF(AD397=1,(Z397-I$1030)^2,0)</f>
        <v>26.4414212023201</v>
      </c>
      <c r="AI397" s="35" t="n">
        <f aca="false">IF(AE397=1,(AA397-J$1030)^2,0)</f>
        <v>0</v>
      </c>
      <c r="AJ397" s="37" t="n">
        <f aca="true">IF(RAND()&lt;$D$6,1,0)</f>
        <v>0</v>
      </c>
      <c r="AK397" s="14" t="n">
        <f aca="false">AK396+IF((AJ397=1),IF((H397=0),1,0),0)</f>
        <v>0</v>
      </c>
      <c r="AL397" s="14" t="n">
        <f aca="false">AL396+IF((AJ397=1),IF((H397=1),1,0),0)</f>
        <v>0</v>
      </c>
      <c r="AM397" s="37" t="n">
        <f aca="false">IF(AK397=0,9999,IF($H397=0,IF($AJ397&lt;1,AM396+1,0),AM396))</f>
        <v>9999</v>
      </c>
      <c r="AN397" s="37" t="n">
        <f aca="false">IF(AL397=0,9999,IF($H397=1,IF($AJ397&lt;1,AN396+1,0),AN396))</f>
        <v>9999</v>
      </c>
      <c r="AO397" s="37" t="n">
        <f aca="false">IF($A397-AM397&gt;0,1/(1+AM397),0)</f>
        <v>0</v>
      </c>
      <c r="AP397" s="37" t="n">
        <f aca="false">IF($A397-AN397&gt;0,1/(1+AN397),0)</f>
        <v>0</v>
      </c>
      <c r="AQ397" s="7" t="n">
        <f aca="false">IF(AK397=0,0,MAX(MIN(1,AO397^Power),0))</f>
        <v>0</v>
      </c>
      <c r="AR397" s="7" t="n">
        <f aca="false">IF(AL397=0,0,MAX(MIN(1,AP397^Power),0))</f>
        <v>0</v>
      </c>
      <c r="AS397" s="7" t="n">
        <f aca="false">IF($AJ397=1,IF($H397=0,K397,AS396),AS396)</f>
        <v>0</v>
      </c>
      <c r="AT397" s="7" t="n">
        <f aca="false">IF($AJ397=1,IF($H397=1,N397,AT396),AT396)</f>
        <v>0</v>
      </c>
    </row>
    <row r="398" customFormat="false" ht="13" hidden="false" customHeight="false" outlineLevel="0" collapsed="false">
      <c r="A398" s="16" t="n">
        <v>381</v>
      </c>
      <c r="B398" s="37" t="n">
        <f aca="true">IF(RAND()&lt;$D$8,1,0)</f>
        <v>1</v>
      </c>
      <c r="C398" s="20" t="n">
        <f aca="true">-LN(RAND())/$D$2</f>
        <v>0.744888930964681</v>
      </c>
      <c r="D398" s="38" t="n">
        <f aca="false">D397+C398</f>
        <v>408.148233781206</v>
      </c>
      <c r="E398" s="39" t="n">
        <f aca="false">MAX($E$3,AS397)</f>
        <v>0</v>
      </c>
      <c r="F398" s="39" t="n">
        <f aca="false">MAX($E$3,AT397)</f>
        <v>0</v>
      </c>
      <c r="G398" s="40" t="n">
        <v>0.5</v>
      </c>
      <c r="H398" s="38" t="n">
        <f aca="true">IF((B398=1),(IF((F398&lt;E398),1,(IF((F398=E398),(IF(RAND()&lt;G398,1,0)),0)))),(IF((RAND()&lt;G398),1,0)))</f>
        <v>1</v>
      </c>
      <c r="I398" s="38" t="n">
        <f aca="true">IF((H398=1),0,$D$3+$D$5*(RAND()-0.5))</f>
        <v>0</v>
      </c>
      <c r="J398" s="38" t="n">
        <f aca="false">I398+MAX(D398,J397)</f>
        <v>411.868825406212</v>
      </c>
      <c r="K398" s="38" t="n">
        <f aca="false">IF((H398=0),J398-D398,0)</f>
        <v>0</v>
      </c>
      <c r="L398" s="38" t="n">
        <f aca="true">IF(($H398=0),0,$D$4+$D$5*(RAND()-0.5))</f>
        <v>1.80181643920263</v>
      </c>
      <c r="M398" s="38" t="n">
        <f aca="false">L398+MAX(D398,M397)</f>
        <v>442.722118329605</v>
      </c>
      <c r="N398" s="38" t="n">
        <f aca="false">IF((H398=1),M398-D398,0)</f>
        <v>34.5738845483989</v>
      </c>
      <c r="O398" s="16" t="n">
        <v>381</v>
      </c>
      <c r="P398" s="41" t="n">
        <f aca="false">IF((Arterial=0),P397+1,P397)</f>
        <v>174</v>
      </c>
      <c r="Q398" s="41" t="n">
        <f aca="false">IF((Arterial=1),Q397+1,Q397)</f>
        <v>207</v>
      </c>
      <c r="R398" s="42" t="n">
        <f aca="false">IF((RESET=1),0,R398+K398)</f>
        <v>770.217608264061</v>
      </c>
      <c r="S398" s="14" t="e">
        <f aca="false">IF(RESET=1,0,S398+N398)</f>
        <v>#N/A</v>
      </c>
      <c r="T398" s="2" t="n">
        <f aca="false">IF(RESET=1,0,T398+IF(H398=0,1,0))</f>
        <v>42</v>
      </c>
      <c r="U398" s="2" t="e">
        <f aca="false">IF(RESET=1,0,U398+H398)</f>
        <v>#N/A</v>
      </c>
      <c r="V398" s="14" t="n">
        <f aca="false">R398/(T398+0.00001)</f>
        <v>18.3385101161657</v>
      </c>
      <c r="W398" s="14" t="e">
        <f aca="false">S398/(U398+0.0001)</f>
        <v>#N/A</v>
      </c>
      <c r="X398" s="39" t="n">
        <f aca="false">IF(Informed=1,K398,0)</f>
        <v>0</v>
      </c>
      <c r="Y398" s="39" t="n">
        <f aca="false">IF(Informed=0,K398,0)</f>
        <v>0</v>
      </c>
      <c r="Z398" s="39" t="n">
        <f aca="false">IF(Informed=1,N398,0)</f>
        <v>34.5738845483989</v>
      </c>
      <c r="AA398" s="39" t="n">
        <f aca="false">IF(Informed=0,N398,0)</f>
        <v>0</v>
      </c>
      <c r="AB398" s="43" t="n">
        <f aca="false">IF(Arterial=0,IF(Informed=1,1,0),0)</f>
        <v>0</v>
      </c>
      <c r="AC398" s="43" t="n">
        <f aca="false">IF(Arterial=0,IF(Informed=0,1,0),0)</f>
        <v>0</v>
      </c>
      <c r="AD398" s="43" t="n">
        <f aca="false">IF(Arterial=1,IF(Informed=1,1,0),0)</f>
        <v>1</v>
      </c>
      <c r="AE398" s="43" t="n">
        <f aca="false">IF(Arterial=1,IF(Informed=0,1,0),0)</f>
        <v>0</v>
      </c>
      <c r="AF398" s="35" t="n">
        <f aca="false">IF(AB398=1,(X398-G$1030)^2,0)</f>
        <v>0</v>
      </c>
      <c r="AG398" s="35" t="n">
        <f aca="false">IF(AC398=1,(Y398-H$1030)^2,0)</f>
        <v>0</v>
      </c>
      <c r="AH398" s="35" t="n">
        <f aca="false">IF(AD398=1,(Z398-I$1030)^2,0)</f>
        <v>38.4282178669847</v>
      </c>
      <c r="AI398" s="35" t="n">
        <f aca="false">IF(AE398=1,(AA398-J$1030)^2,0)</f>
        <v>0</v>
      </c>
      <c r="AJ398" s="37" t="n">
        <f aca="true">IF(RAND()&lt;$D$6,1,0)</f>
        <v>0</v>
      </c>
      <c r="AK398" s="14" t="n">
        <f aca="false">AK397+IF((AJ398=1),IF((H398=0),1,0),0)</f>
        <v>0</v>
      </c>
      <c r="AL398" s="14" t="n">
        <f aca="false">AL397+IF((AJ398=1),IF((H398=1),1,0),0)</f>
        <v>0</v>
      </c>
      <c r="AM398" s="37" t="n">
        <f aca="false">IF(AK398=0,9999,IF($H398=0,IF($AJ398&lt;1,AM397+1,0),AM397))</f>
        <v>9999</v>
      </c>
      <c r="AN398" s="37" t="n">
        <f aca="false">IF(AL398=0,9999,IF($H398=1,IF($AJ398&lt;1,AN397+1,0),AN397))</f>
        <v>9999</v>
      </c>
      <c r="AO398" s="37" t="n">
        <f aca="false">IF($A398-AM398&gt;0,1/(1+AM398),0)</f>
        <v>0</v>
      </c>
      <c r="AP398" s="37" t="n">
        <f aca="false">IF($A398-AN398&gt;0,1/(1+AN398),0)</f>
        <v>0</v>
      </c>
      <c r="AQ398" s="7" t="n">
        <f aca="false">IF(AK398=0,0,MAX(MIN(1,AO398^Power),0))</f>
        <v>0</v>
      </c>
      <c r="AR398" s="7" t="n">
        <f aca="false">IF(AL398=0,0,MAX(MIN(1,AP398^Power),0))</f>
        <v>0</v>
      </c>
      <c r="AS398" s="7" t="n">
        <f aca="false">IF($AJ398=1,IF($H398=0,K398,AS397),AS397)</f>
        <v>0</v>
      </c>
      <c r="AT398" s="7" t="n">
        <f aca="false">IF($AJ398=1,IF($H398=1,N398,AT397),AT397)</f>
        <v>0</v>
      </c>
    </row>
    <row r="399" customFormat="false" ht="13" hidden="false" customHeight="false" outlineLevel="0" collapsed="false">
      <c r="A399" s="16" t="n">
        <v>382</v>
      </c>
      <c r="B399" s="37" t="n">
        <f aca="true">IF(RAND()&lt;$D$8,1,0)</f>
        <v>0</v>
      </c>
      <c r="C399" s="20" t="n">
        <f aca="true">-LN(RAND())/$D$2</f>
        <v>0.310574707928255</v>
      </c>
      <c r="D399" s="38" t="n">
        <f aca="false">D398+C399</f>
        <v>408.458808489135</v>
      </c>
      <c r="E399" s="39" t="n">
        <f aca="false">MAX($E$3,AS398)</f>
        <v>0</v>
      </c>
      <c r="F399" s="39" t="n">
        <f aca="false">MAX($E$3,AT398)</f>
        <v>0</v>
      </c>
      <c r="G399" s="40" t="n">
        <v>0.5</v>
      </c>
      <c r="H399" s="38" t="n">
        <f aca="true">IF((B399=1),(IF((F399&lt;E399),1,(IF((F399=E399),(IF(RAND()&lt;G399,1,0)),0)))),(IF((RAND()&lt;G399),1,0)))</f>
        <v>1</v>
      </c>
      <c r="I399" s="38" t="n">
        <f aca="true">IF((H399=1),0,$D$3+$D$5*(RAND()-0.5))</f>
        <v>0</v>
      </c>
      <c r="J399" s="38" t="n">
        <f aca="false">I399+MAX(D399,J398)</f>
        <v>411.868825406212</v>
      </c>
      <c r="K399" s="38" t="n">
        <f aca="false">IF((H399=0),J399-D399,0)</f>
        <v>0</v>
      </c>
      <c r="L399" s="38" t="n">
        <f aca="true">IF(($H399=0),0,$D$4+$D$5*(RAND()-0.5))</f>
        <v>1.81339955536545</v>
      </c>
      <c r="M399" s="38" t="n">
        <f aca="false">L399+MAX(D399,M398)</f>
        <v>444.535517884971</v>
      </c>
      <c r="N399" s="38" t="n">
        <f aca="false">IF((H399=1),M399-D399,0)</f>
        <v>36.0767093958361</v>
      </c>
      <c r="O399" s="16" t="n">
        <v>382</v>
      </c>
      <c r="P399" s="41" t="n">
        <f aca="false">IF((Arterial=0),P398+1,P398)</f>
        <v>174</v>
      </c>
      <c r="Q399" s="41" t="n">
        <f aca="false">IF((Arterial=1),Q398+1,Q398)</f>
        <v>208</v>
      </c>
      <c r="R399" s="42" t="n">
        <f aca="false">IF((RESET=1),0,R399+K399)</f>
        <v>778.331355404957</v>
      </c>
      <c r="S399" s="14" t="e">
        <f aca="false">IF(RESET=1,0,S399+N399)</f>
        <v>#N/A</v>
      </c>
      <c r="T399" s="2" t="n">
        <f aca="false">IF(RESET=1,0,T399+IF(H399=0,1,0))</f>
        <v>49</v>
      </c>
      <c r="U399" s="2" t="e">
        <f aca="false">IF(RESET=1,0,U399+H399)</f>
        <v>#N/A</v>
      </c>
      <c r="V399" s="14" t="n">
        <f aca="false">R399/(T399+0.00001)</f>
        <v>15.8843101339154</v>
      </c>
      <c r="W399" s="14" t="e">
        <f aca="false">S399/(U399+0.0001)</f>
        <v>#N/A</v>
      </c>
      <c r="X399" s="39" t="n">
        <f aca="false">IF(Informed=1,K399,0)</f>
        <v>0</v>
      </c>
      <c r="Y399" s="39" t="n">
        <f aca="false">IF(Informed=0,K399,0)</f>
        <v>0</v>
      </c>
      <c r="Z399" s="39" t="n">
        <f aca="false">IF(Informed=1,N399,0)</f>
        <v>0</v>
      </c>
      <c r="AA399" s="39" t="n">
        <f aca="false">IF(Informed=0,N399,0)</f>
        <v>36.0767093958361</v>
      </c>
      <c r="AB399" s="43" t="n">
        <f aca="false">IF(Arterial=0,IF(Informed=1,1,0),0)</f>
        <v>0</v>
      </c>
      <c r="AC399" s="43" t="n">
        <f aca="false">IF(Arterial=0,IF(Informed=0,1,0),0)</f>
        <v>0</v>
      </c>
      <c r="AD399" s="43" t="n">
        <f aca="false">IF(Arterial=1,IF(Informed=1,1,0),0)</f>
        <v>0</v>
      </c>
      <c r="AE399" s="43" t="n">
        <f aca="false">IF(Arterial=1,IF(Informed=0,1,0),0)</f>
        <v>1</v>
      </c>
      <c r="AF399" s="35" t="n">
        <f aca="false">IF(AB399=1,(X399-G$1030)^2,0)</f>
        <v>0</v>
      </c>
      <c r="AG399" s="35" t="n">
        <f aca="false">IF(AC399=1,(Y399-H$1030)^2,0)</f>
        <v>0</v>
      </c>
      <c r="AH399" s="35" t="n">
        <f aca="false">IF(AD399=1,(Z399-I$1030)^2,0)</f>
        <v>0</v>
      </c>
      <c r="AI399" s="35" t="n">
        <f aca="false">IF(AE399=1,(AA399-J$1030)^2,0)</f>
        <v>42.4118018875096</v>
      </c>
      <c r="AJ399" s="37" t="n">
        <f aca="true">IF(RAND()&lt;$D$6,1,0)</f>
        <v>0</v>
      </c>
      <c r="AK399" s="14" t="n">
        <f aca="false">AK398+IF((AJ399=1),IF((H399=0),1,0),0)</f>
        <v>0</v>
      </c>
      <c r="AL399" s="14" t="n">
        <f aca="false">AL398+IF((AJ399=1),IF((H399=1),1,0),0)</f>
        <v>0</v>
      </c>
      <c r="AM399" s="37" t="n">
        <f aca="false">IF(AK399=0,9999,IF($H399=0,IF($AJ399&lt;1,AM398+1,0),AM398))</f>
        <v>9999</v>
      </c>
      <c r="AN399" s="37" t="n">
        <f aca="false">IF(AL399=0,9999,IF($H399=1,IF($AJ399&lt;1,AN398+1,0),AN398))</f>
        <v>9999</v>
      </c>
      <c r="AO399" s="37" t="n">
        <f aca="false">IF($A399-AM399&gt;0,1/(1+AM399),0)</f>
        <v>0</v>
      </c>
      <c r="AP399" s="37" t="n">
        <f aca="false">IF($A399-AN399&gt;0,1/(1+AN399),0)</f>
        <v>0</v>
      </c>
      <c r="AQ399" s="7" t="n">
        <f aca="false">IF(AK399=0,0,MAX(MIN(1,AO399^Power),0))</f>
        <v>0</v>
      </c>
      <c r="AR399" s="7" t="n">
        <f aca="false">IF(AL399=0,0,MAX(MIN(1,AP399^Power),0))</f>
        <v>0</v>
      </c>
      <c r="AS399" s="7" t="n">
        <f aca="false">IF($AJ399=1,IF($H399=0,K399,AS398),AS398)</f>
        <v>0</v>
      </c>
      <c r="AT399" s="7" t="n">
        <f aca="false">IF($AJ399=1,IF($H399=1,N399,AT398),AT398)</f>
        <v>0</v>
      </c>
    </row>
    <row r="400" customFormat="false" ht="13" hidden="false" customHeight="false" outlineLevel="0" collapsed="false">
      <c r="A400" s="16" t="n">
        <v>383</v>
      </c>
      <c r="B400" s="37" t="n">
        <f aca="true">IF(RAND()&lt;$D$8,1,0)</f>
        <v>1</v>
      </c>
      <c r="C400" s="20" t="n">
        <f aca="true">-LN(RAND())/$D$2</f>
        <v>2.82242011254224</v>
      </c>
      <c r="D400" s="38" t="n">
        <f aca="false">D399+C400</f>
        <v>411.281228601677</v>
      </c>
      <c r="E400" s="39" t="n">
        <f aca="false">MAX($E$3,AS399)</f>
        <v>0</v>
      </c>
      <c r="F400" s="39" t="n">
        <f aca="false">MAX($E$3,AT399)</f>
        <v>0</v>
      </c>
      <c r="G400" s="40" t="n">
        <v>0.5</v>
      </c>
      <c r="H400" s="38" t="n">
        <f aca="true">IF((B400=1),(IF((F400&lt;E400),1,(IF((F400=E400),(IF(RAND()&lt;G400,1,0)),0)))),(IF((RAND()&lt;G400),1,0)))</f>
        <v>1</v>
      </c>
      <c r="I400" s="38" t="n">
        <f aca="true">IF((H400=1),0,$D$3+$D$5*(RAND()-0.5))</f>
        <v>0</v>
      </c>
      <c r="J400" s="38" t="n">
        <f aca="false">I400+MAX(D400,J399)</f>
        <v>411.868825406212</v>
      </c>
      <c r="K400" s="38" t="n">
        <f aca="false">IF((H400=0),J400-D400,0)</f>
        <v>0</v>
      </c>
      <c r="L400" s="38" t="n">
        <f aca="true">IF(($H400=0),0,$D$4+$D$5*(RAND()-0.5))</f>
        <v>1.79574689784174</v>
      </c>
      <c r="M400" s="38" t="n">
        <f aca="false">L400+MAX(D400,M399)</f>
        <v>446.331264782812</v>
      </c>
      <c r="N400" s="38" t="n">
        <f aca="false">IF((H400=1),M400-D400,0)</f>
        <v>35.0500361811356</v>
      </c>
      <c r="O400" s="16" t="n">
        <v>383</v>
      </c>
      <c r="P400" s="41" t="n">
        <f aca="false">IF((Arterial=0),P399+1,P399)</f>
        <v>174</v>
      </c>
      <c r="Q400" s="41" t="n">
        <f aca="false">IF((Arterial=1),Q399+1,Q399)</f>
        <v>209</v>
      </c>
      <c r="R400" s="42" t="n">
        <f aca="false">IF((RESET=1),0,R400+K400)</f>
        <v>715.267933094875</v>
      </c>
      <c r="S400" s="14" t="e">
        <f aca="false">IF(RESET=1,0,S400+N400)</f>
        <v>#N/A</v>
      </c>
      <c r="T400" s="2" t="n">
        <f aca="false">IF(RESET=1,0,T400+IF(H400=0,1,0))</f>
        <v>38</v>
      </c>
      <c r="U400" s="2" t="e">
        <f aca="false">IF(RESET=1,0,U400+H400)</f>
        <v>#N/A</v>
      </c>
      <c r="V400" s="14" t="n">
        <f aca="false">R400/(T400+0.00001)</f>
        <v>18.8228353912242</v>
      </c>
      <c r="W400" s="14" t="e">
        <f aca="false">S400/(U400+0.0001)</f>
        <v>#N/A</v>
      </c>
      <c r="X400" s="39" t="n">
        <f aca="false">IF(Informed=1,K400,0)</f>
        <v>0</v>
      </c>
      <c r="Y400" s="39" t="n">
        <f aca="false">IF(Informed=0,K400,0)</f>
        <v>0</v>
      </c>
      <c r="Z400" s="39" t="n">
        <f aca="false">IF(Informed=1,N400,0)</f>
        <v>35.0500361811356</v>
      </c>
      <c r="AA400" s="39" t="n">
        <f aca="false">IF(Informed=0,N400,0)</f>
        <v>0</v>
      </c>
      <c r="AB400" s="43" t="n">
        <f aca="false">IF(Arterial=0,IF(Informed=1,1,0),0)</f>
        <v>0</v>
      </c>
      <c r="AC400" s="43" t="n">
        <f aca="false">IF(Arterial=0,IF(Informed=0,1,0),0)</f>
        <v>0</v>
      </c>
      <c r="AD400" s="43" t="n">
        <f aca="false">IF(Arterial=1,IF(Informed=1,1,0),0)</f>
        <v>1</v>
      </c>
      <c r="AE400" s="43" t="n">
        <f aca="false">IF(Arterial=1,IF(Informed=0,1,0),0)</f>
        <v>0</v>
      </c>
      <c r="AF400" s="35" t="n">
        <f aca="false">IF(AB400=1,(X400-G$1030)^2,0)</f>
        <v>0</v>
      </c>
      <c r="AG400" s="35" t="n">
        <f aca="false">IF(AC400=1,(Y400-H$1030)^2,0)</f>
        <v>0</v>
      </c>
      <c r="AH400" s="35" t="n">
        <f aca="false">IF(AD400=1,(Z400-I$1030)^2,0)</f>
        <v>44.5583135690158</v>
      </c>
      <c r="AI400" s="35" t="n">
        <f aca="false">IF(AE400=1,(AA400-J$1030)^2,0)</f>
        <v>0</v>
      </c>
      <c r="AJ400" s="37" t="n">
        <f aca="true">IF(RAND()&lt;$D$6,1,0)</f>
        <v>0</v>
      </c>
      <c r="AK400" s="14" t="n">
        <f aca="false">AK399+IF((AJ400=1),IF((H400=0),1,0),0)</f>
        <v>0</v>
      </c>
      <c r="AL400" s="14" t="n">
        <f aca="false">AL399+IF((AJ400=1),IF((H400=1),1,0),0)</f>
        <v>0</v>
      </c>
      <c r="AM400" s="37" t="n">
        <f aca="false">IF(AK400=0,9999,IF($H400=0,IF($AJ400&lt;1,AM399+1,0),AM399))</f>
        <v>9999</v>
      </c>
      <c r="AN400" s="37" t="n">
        <f aca="false">IF(AL400=0,9999,IF($H400=1,IF($AJ400&lt;1,AN399+1,0),AN399))</f>
        <v>9999</v>
      </c>
      <c r="AO400" s="37" t="n">
        <f aca="false">IF($A400-AM400&gt;0,1/(1+AM400),0)</f>
        <v>0</v>
      </c>
      <c r="AP400" s="37" t="n">
        <f aca="false">IF($A400-AN400&gt;0,1/(1+AN400),0)</f>
        <v>0</v>
      </c>
      <c r="AQ400" s="7" t="n">
        <f aca="false">IF(AK400=0,0,MAX(MIN(1,AO400^Power),0))</f>
        <v>0</v>
      </c>
      <c r="AR400" s="7" t="n">
        <f aca="false">IF(AL400=0,0,MAX(MIN(1,AP400^Power),0))</f>
        <v>0</v>
      </c>
      <c r="AS400" s="7" t="n">
        <f aca="false">IF($AJ400=1,IF($H400=0,K400,AS399),AS399)</f>
        <v>0</v>
      </c>
      <c r="AT400" s="7" t="n">
        <f aca="false">IF($AJ400=1,IF($H400=1,N400,AT399),AT399)</f>
        <v>0</v>
      </c>
    </row>
    <row r="401" customFormat="false" ht="13" hidden="false" customHeight="false" outlineLevel="0" collapsed="false">
      <c r="A401" s="16" t="n">
        <v>384</v>
      </c>
      <c r="B401" s="37" t="n">
        <f aca="true">IF(RAND()&lt;$D$8,1,0)</f>
        <v>1</v>
      </c>
      <c r="C401" s="20" t="n">
        <f aca="true">-LN(RAND())/$D$2</f>
        <v>0.15172706149206</v>
      </c>
      <c r="D401" s="38" t="n">
        <f aca="false">D400+C401</f>
        <v>411.432955663169</v>
      </c>
      <c r="E401" s="39" t="n">
        <f aca="false">MAX($E$3,AS400)</f>
        <v>0</v>
      </c>
      <c r="F401" s="39" t="n">
        <f aca="false">MAX($E$3,AT400)</f>
        <v>0</v>
      </c>
      <c r="G401" s="40" t="n">
        <v>0.5</v>
      </c>
      <c r="H401" s="38" t="n">
        <f aca="true">IF((B401=1),(IF((F401&lt;E401),1,(IF((F401=E401),(IF(RAND()&lt;G401,1,0)),0)))),(IF((RAND()&lt;G401),1,0)))</f>
        <v>1</v>
      </c>
      <c r="I401" s="38" t="n">
        <f aca="true">IF((H401=1),0,$D$3+$D$5*(RAND()-0.5))</f>
        <v>0</v>
      </c>
      <c r="J401" s="38" t="n">
        <f aca="false">I401+MAX(D401,J400)</f>
        <v>411.868825406212</v>
      </c>
      <c r="K401" s="38" t="n">
        <f aca="false">IF((H401=0),J401-D401,0)</f>
        <v>0</v>
      </c>
      <c r="L401" s="38" t="n">
        <f aca="true">IF(($H401=0),0,$D$4+$D$5*(RAND()-0.5))</f>
        <v>2.05545350579801</v>
      </c>
      <c r="M401" s="38" t="n">
        <f aca="false">L401+MAX(D401,M400)</f>
        <v>448.386718288611</v>
      </c>
      <c r="N401" s="38" t="n">
        <f aca="false">IF((H401=1),M401-D401,0)</f>
        <v>36.9537626254415</v>
      </c>
      <c r="O401" s="16" t="n">
        <v>384</v>
      </c>
      <c r="P401" s="41" t="n">
        <f aca="false">IF((Arterial=0),P400+1,P400)</f>
        <v>174</v>
      </c>
      <c r="Q401" s="41" t="n">
        <f aca="false">IF((Arterial=1),Q400+1,Q400)</f>
        <v>210</v>
      </c>
      <c r="R401" s="42" t="n">
        <f aca="false">IF((RESET=1),0,R401+K401)</f>
        <v>988.066321697428</v>
      </c>
      <c r="S401" s="14" t="e">
        <f aca="false">IF(RESET=1,0,S401+N401)</f>
        <v>#N/A</v>
      </c>
      <c r="T401" s="2" t="n">
        <f aca="false">IF(RESET=1,0,T401+IF(H401=0,1,0))</f>
        <v>49</v>
      </c>
      <c r="U401" s="2" t="e">
        <f aca="false">IF(RESET=1,0,U401+H401)</f>
        <v>#N/A</v>
      </c>
      <c r="V401" s="14" t="n">
        <f aca="false">R401/(T401+0.00001)</f>
        <v>20.1646146949241</v>
      </c>
      <c r="W401" s="14" t="e">
        <f aca="false">S401/(U401+0.0001)</f>
        <v>#N/A</v>
      </c>
      <c r="X401" s="39" t="n">
        <f aca="false">IF(Informed=1,K401,0)</f>
        <v>0</v>
      </c>
      <c r="Y401" s="39" t="n">
        <f aca="false">IF(Informed=0,K401,0)</f>
        <v>0</v>
      </c>
      <c r="Z401" s="39" t="n">
        <f aca="false">IF(Informed=1,N401,0)</f>
        <v>36.9537626254415</v>
      </c>
      <c r="AA401" s="39" t="n">
        <f aca="false">IF(Informed=0,N401,0)</f>
        <v>0</v>
      </c>
      <c r="AB401" s="43" t="n">
        <f aca="false">IF(Arterial=0,IF(Informed=1,1,0),0)</f>
        <v>0</v>
      </c>
      <c r="AC401" s="43" t="n">
        <f aca="false">IF(Arterial=0,IF(Informed=0,1,0),0)</f>
        <v>0</v>
      </c>
      <c r="AD401" s="43" t="n">
        <f aca="false">IF(Arterial=1,IF(Informed=1,1,0),0)</f>
        <v>1</v>
      </c>
      <c r="AE401" s="43" t="n">
        <f aca="false">IF(Arterial=1,IF(Informed=0,1,0),0)</f>
        <v>0</v>
      </c>
      <c r="AF401" s="35" t="n">
        <f aca="false">IF(AB401=1,(X401-G$1030)^2,0)</f>
        <v>0</v>
      </c>
      <c r="AG401" s="35" t="n">
        <f aca="false">IF(AC401=1,(Y401-H$1030)^2,0)</f>
        <v>0</v>
      </c>
      <c r="AH401" s="35" t="n">
        <f aca="false">IF(AD401=1,(Z401-I$1030)^2,0)</f>
        <v>73.59800275019</v>
      </c>
      <c r="AI401" s="35" t="n">
        <f aca="false">IF(AE401=1,(AA401-J$1030)^2,0)</f>
        <v>0</v>
      </c>
      <c r="AJ401" s="37" t="n">
        <f aca="true">IF(RAND()&lt;$D$6,1,0)</f>
        <v>0</v>
      </c>
      <c r="AK401" s="14" t="n">
        <f aca="false">AK400+IF((AJ401=1),IF((H401=0),1,0),0)</f>
        <v>0</v>
      </c>
      <c r="AL401" s="14" t="n">
        <f aca="false">AL400+IF((AJ401=1),IF((H401=1),1,0),0)</f>
        <v>0</v>
      </c>
      <c r="AM401" s="37" t="n">
        <f aca="false">IF(AK401=0,9999,IF($H401=0,IF($AJ401&lt;1,AM400+1,0),AM400))</f>
        <v>9999</v>
      </c>
      <c r="AN401" s="37" t="n">
        <f aca="false">IF(AL401=0,9999,IF($H401=1,IF($AJ401&lt;1,AN400+1,0),AN400))</f>
        <v>9999</v>
      </c>
      <c r="AO401" s="37" t="n">
        <f aca="false">IF($A401-AM401&gt;0,1/(1+AM401),0)</f>
        <v>0</v>
      </c>
      <c r="AP401" s="37" t="n">
        <f aca="false">IF($A401-AN401&gt;0,1/(1+AN401),0)</f>
        <v>0</v>
      </c>
      <c r="AQ401" s="7" t="n">
        <f aca="false">IF(AK401=0,0,MAX(MIN(1,AO401^Power),0))</f>
        <v>0</v>
      </c>
      <c r="AR401" s="7" t="n">
        <f aca="false">IF(AL401=0,0,MAX(MIN(1,AP401^Power),0))</f>
        <v>0</v>
      </c>
      <c r="AS401" s="7" t="n">
        <f aca="false">IF($AJ401=1,IF($H401=0,K401,AS400),AS400)</f>
        <v>0</v>
      </c>
      <c r="AT401" s="7" t="n">
        <f aca="false">IF($AJ401=1,IF($H401=1,N401,AT400),AT400)</f>
        <v>0</v>
      </c>
    </row>
    <row r="402" customFormat="false" ht="13" hidden="false" customHeight="false" outlineLevel="0" collapsed="false">
      <c r="A402" s="16" t="n">
        <v>385</v>
      </c>
      <c r="B402" s="37" t="n">
        <f aca="true">IF(RAND()&lt;$D$8,1,0)</f>
        <v>1</v>
      </c>
      <c r="C402" s="20" t="n">
        <f aca="true">-LN(RAND())/$D$2</f>
        <v>2.01591084163493</v>
      </c>
      <c r="D402" s="38" t="n">
        <f aca="false">D401+C402</f>
        <v>413.448866504804</v>
      </c>
      <c r="E402" s="39" t="n">
        <f aca="false">MAX($E$3,AS401)</f>
        <v>0</v>
      </c>
      <c r="F402" s="39" t="n">
        <f aca="false">MAX($E$3,AT401)</f>
        <v>0</v>
      </c>
      <c r="G402" s="40" t="n">
        <v>0.5</v>
      </c>
      <c r="H402" s="38" t="n">
        <f aca="true">IF((B402=1),(IF((F402&lt;E402),1,(IF((F402=E402),(IF(RAND()&lt;G402,1,0)),0)))),(IF((RAND()&lt;G402),1,0)))</f>
        <v>0</v>
      </c>
      <c r="I402" s="38" t="n">
        <f aca="true">IF((H402=1),0,$D$3+$D$5*(RAND()-0.5))</f>
        <v>2.07513314033531</v>
      </c>
      <c r="J402" s="38" t="n">
        <f aca="false">I402+MAX(D402,J401)</f>
        <v>415.523999645139</v>
      </c>
      <c r="K402" s="38" t="n">
        <f aca="false">IF((H402=0),J402-D402,0)</f>
        <v>2.07513314033531</v>
      </c>
      <c r="L402" s="38" t="n">
        <f aca="true">IF(($H402=0),0,$D$4+$D$5*(RAND()-0.5))</f>
        <v>0</v>
      </c>
      <c r="M402" s="38" t="n">
        <f aca="false">L402+MAX(D402,M401)</f>
        <v>448.386718288611</v>
      </c>
      <c r="N402" s="38" t="n">
        <f aca="false">IF((H402=1),M402-D402,0)</f>
        <v>0</v>
      </c>
      <c r="O402" s="16" t="n">
        <v>385</v>
      </c>
      <c r="P402" s="41" t="n">
        <f aca="false">IF((Arterial=0),P401+1,P401)</f>
        <v>175</v>
      </c>
      <c r="Q402" s="41" t="n">
        <f aca="false">IF((Arterial=1),Q401+1,Q401)</f>
        <v>210</v>
      </c>
      <c r="R402" s="42" t="e">
        <f aca="false">IF((RESET=1),0,R402+K402)</f>
        <v>#N/A</v>
      </c>
      <c r="S402" s="14" t="n">
        <f aca="false">IF(RESET=1,0,S402+N402)</f>
        <v>543.607868081894</v>
      </c>
      <c r="T402" s="2" t="e">
        <f aca="false">IF(RESET=1,0,T402+IF(H402=0,1,0))</f>
        <v>#N/A</v>
      </c>
      <c r="U402" s="2" t="n">
        <f aca="false">IF(RESET=1,0,U402+H402)</f>
        <v>39</v>
      </c>
      <c r="V402" s="14" t="e">
        <f aca="false">R402/(T402+0.00001)</f>
        <v>#N/A</v>
      </c>
      <c r="W402" s="14" t="n">
        <f aca="false">S402/(U402+0.0001)</f>
        <v>13.9386275440805</v>
      </c>
      <c r="X402" s="39" t="n">
        <f aca="false">IF(Informed=1,K402,0)</f>
        <v>2.07513314033531</v>
      </c>
      <c r="Y402" s="39" t="n">
        <f aca="false">IF(Informed=0,K402,0)</f>
        <v>0</v>
      </c>
      <c r="Z402" s="39" t="n">
        <f aca="false">IF(Informed=1,N402,0)</f>
        <v>0</v>
      </c>
      <c r="AA402" s="39" t="n">
        <f aca="false">IF(Informed=0,N402,0)</f>
        <v>0</v>
      </c>
      <c r="AB402" s="43" t="n">
        <f aca="false">IF(Arterial=0,IF(Informed=1,1,0),0)</f>
        <v>1</v>
      </c>
      <c r="AC402" s="43" t="n">
        <f aca="false">IF(Arterial=0,IF(Informed=0,1,0),0)</f>
        <v>0</v>
      </c>
      <c r="AD402" s="43" t="n">
        <f aca="false">IF(Arterial=1,IF(Informed=1,1,0),0)</f>
        <v>0</v>
      </c>
      <c r="AE402" s="43" t="n">
        <f aca="false">IF(Arterial=1,IF(Informed=0,1,0),0)</f>
        <v>0</v>
      </c>
      <c r="AF402" s="35" t="n">
        <f aca="false">IF(AB402=1,(X402-G$1030)^2,0)</f>
        <v>74.555369108852</v>
      </c>
      <c r="AG402" s="35" t="n">
        <f aca="false">IF(AC402=1,(Y402-H$1030)^2,0)</f>
        <v>0</v>
      </c>
      <c r="AH402" s="35" t="n">
        <f aca="false">IF(AD402=1,(Z402-I$1030)^2,0)</f>
        <v>0</v>
      </c>
      <c r="AI402" s="35" t="n">
        <f aca="false">IF(AE402=1,(AA402-J$1030)^2,0)</f>
        <v>0</v>
      </c>
      <c r="AJ402" s="37" t="n">
        <f aca="true">IF(RAND()&lt;$D$6,1,0)</f>
        <v>0</v>
      </c>
      <c r="AK402" s="14" t="n">
        <f aca="false">AK401+IF((AJ402=1),IF((H402=0),1,0),0)</f>
        <v>0</v>
      </c>
      <c r="AL402" s="14" t="n">
        <f aca="false">AL401+IF((AJ402=1),IF((H402=1),1,0),0)</f>
        <v>0</v>
      </c>
      <c r="AM402" s="37" t="n">
        <f aca="false">IF(AK402=0,9999,IF($H402=0,IF($AJ402&lt;1,AM401+1,0),AM401))</f>
        <v>9999</v>
      </c>
      <c r="AN402" s="37" t="n">
        <f aca="false">IF(AL402=0,9999,IF($H402=1,IF($AJ402&lt;1,AN401+1,0),AN401))</f>
        <v>9999</v>
      </c>
      <c r="AO402" s="37" t="n">
        <f aca="false">IF($A402-AM402&gt;0,1/(1+AM402),0)</f>
        <v>0</v>
      </c>
      <c r="AP402" s="37" t="n">
        <f aca="false">IF($A402-AN402&gt;0,1/(1+AN402),0)</f>
        <v>0</v>
      </c>
      <c r="AQ402" s="7" t="n">
        <f aca="false">IF(AK402=0,0,MAX(MIN(1,AO402^Power),0))</f>
        <v>0</v>
      </c>
      <c r="AR402" s="7" t="n">
        <f aca="false">IF(AL402=0,0,MAX(MIN(1,AP402^Power),0))</f>
        <v>0</v>
      </c>
      <c r="AS402" s="7" t="n">
        <f aca="false">IF($AJ402=1,IF($H402=0,K402,AS401),AS401)</f>
        <v>0</v>
      </c>
      <c r="AT402" s="7" t="n">
        <f aca="false">IF($AJ402=1,IF($H402=1,N402,AT401),AT401)</f>
        <v>0</v>
      </c>
    </row>
    <row r="403" customFormat="false" ht="13" hidden="false" customHeight="false" outlineLevel="0" collapsed="false">
      <c r="A403" s="16" t="n">
        <v>386</v>
      </c>
      <c r="B403" s="37" t="n">
        <f aca="true">IF(RAND()&lt;$D$8,1,0)</f>
        <v>1</v>
      </c>
      <c r="C403" s="20" t="n">
        <f aca="true">-LN(RAND())/$D$2</f>
        <v>1.28329127448878</v>
      </c>
      <c r="D403" s="38" t="n">
        <f aca="false">D402+C403</f>
        <v>414.732157779293</v>
      </c>
      <c r="E403" s="39" t="n">
        <f aca="false">MAX($E$3,AS402)</f>
        <v>0</v>
      </c>
      <c r="F403" s="39" t="n">
        <f aca="false">MAX($E$3,AT402)</f>
        <v>0</v>
      </c>
      <c r="G403" s="40" t="n">
        <v>0.5</v>
      </c>
      <c r="H403" s="38" t="n">
        <f aca="true">IF((B403=1),(IF((F403&lt;E403),1,(IF((F403=E403),(IF(RAND()&lt;G403,1,0)),0)))),(IF((RAND()&lt;G403),1,0)))</f>
        <v>0</v>
      </c>
      <c r="I403" s="38" t="n">
        <f aca="true">IF((H403=1),0,$D$3+$D$5*(RAND()-0.5))</f>
        <v>2.20186084685437</v>
      </c>
      <c r="J403" s="38" t="n">
        <f aca="false">I403+MAX(D403,J402)</f>
        <v>417.725860491994</v>
      </c>
      <c r="K403" s="38" t="n">
        <f aca="false">IF((H403=0),J403-D403,0)</f>
        <v>2.99370271270089</v>
      </c>
      <c r="L403" s="38" t="n">
        <f aca="true">IF(($H403=0),0,$D$4+$D$5*(RAND()-0.5))</f>
        <v>0</v>
      </c>
      <c r="M403" s="38" t="n">
        <f aca="false">L403+MAX(D403,M402)</f>
        <v>448.386718288611</v>
      </c>
      <c r="N403" s="38" t="n">
        <f aca="false">IF((H403=1),M403-D403,0)</f>
        <v>0</v>
      </c>
      <c r="O403" s="16" t="n">
        <v>386</v>
      </c>
      <c r="P403" s="41" t="n">
        <f aca="false">IF((Arterial=0),P402+1,P402)</f>
        <v>176</v>
      </c>
      <c r="Q403" s="41" t="n">
        <f aca="false">IF((Arterial=1),Q402+1,Q402)</f>
        <v>210</v>
      </c>
      <c r="R403" s="42" t="e">
        <f aca="false">IF((RESET=1),0,R403+K403)</f>
        <v>#N/A</v>
      </c>
      <c r="S403" s="14" t="n">
        <f aca="false">IF(RESET=1,0,S403+N403)</f>
        <v>532.112584870847</v>
      </c>
      <c r="T403" s="2" t="e">
        <f aca="false">IF(RESET=1,0,T403+IF(H403=0,1,0))</f>
        <v>#N/A</v>
      </c>
      <c r="U403" s="2" t="n">
        <f aca="false">IF(RESET=1,0,U403+H403)</f>
        <v>35</v>
      </c>
      <c r="V403" s="14" t="e">
        <f aca="false">R403/(T403+0.00001)</f>
        <v>#N/A</v>
      </c>
      <c r="W403" s="14" t="n">
        <f aca="false">S403/(U403+0.0001)</f>
        <v>15.2031732729577</v>
      </c>
      <c r="X403" s="39" t="n">
        <f aca="false">IF(Informed=1,K403,0)</f>
        <v>2.99370271270089</v>
      </c>
      <c r="Y403" s="39" t="n">
        <f aca="false">IF(Informed=0,K403,0)</f>
        <v>0</v>
      </c>
      <c r="Z403" s="39" t="n">
        <f aca="false">IF(Informed=1,N403,0)</f>
        <v>0</v>
      </c>
      <c r="AA403" s="39" t="n">
        <f aca="false">IF(Informed=0,N403,0)</f>
        <v>0</v>
      </c>
      <c r="AB403" s="43" t="n">
        <f aca="false">IF(Arterial=0,IF(Informed=1,1,0),0)</f>
        <v>1</v>
      </c>
      <c r="AC403" s="43" t="n">
        <f aca="false">IF(Arterial=0,IF(Informed=0,1,0),0)</f>
        <v>0</v>
      </c>
      <c r="AD403" s="43" t="n">
        <f aca="false">IF(Arterial=1,IF(Informed=1,1,0),0)</f>
        <v>0</v>
      </c>
      <c r="AE403" s="43" t="n">
        <f aca="false">IF(Arterial=1,IF(Informed=0,1,0),0)</f>
        <v>0</v>
      </c>
      <c r="AF403" s="35" t="n">
        <f aca="false">IF(AB403=1,(X403-G$1030)^2,0)</f>
        <v>59.5362783653203</v>
      </c>
      <c r="AG403" s="35" t="n">
        <f aca="false">IF(AC403=1,(Y403-H$1030)^2,0)</f>
        <v>0</v>
      </c>
      <c r="AH403" s="35" t="n">
        <f aca="false">IF(AD403=1,(Z403-I$1030)^2,0)</f>
        <v>0</v>
      </c>
      <c r="AI403" s="35" t="n">
        <f aca="false">IF(AE403=1,(AA403-J$1030)^2,0)</f>
        <v>0</v>
      </c>
      <c r="AJ403" s="37" t="n">
        <f aca="true">IF(RAND()&lt;$D$6,1,0)</f>
        <v>0</v>
      </c>
      <c r="AK403" s="14" t="n">
        <f aca="false">AK402+IF((AJ403=1),IF((H403=0),1,0),0)</f>
        <v>0</v>
      </c>
      <c r="AL403" s="14" t="n">
        <f aca="false">AL402+IF((AJ403=1),IF((H403=1),1,0),0)</f>
        <v>0</v>
      </c>
      <c r="AM403" s="37" t="n">
        <f aca="false">IF(AK403=0,9999,IF($H403=0,IF($AJ403&lt;1,AM402+1,0),AM402))</f>
        <v>9999</v>
      </c>
      <c r="AN403" s="37" t="n">
        <f aca="false">IF(AL403=0,9999,IF($H403=1,IF($AJ403&lt;1,AN402+1,0),AN402))</f>
        <v>9999</v>
      </c>
      <c r="AO403" s="37" t="n">
        <f aca="false">IF($A403-AM403&gt;0,1/(1+AM403),0)</f>
        <v>0</v>
      </c>
      <c r="AP403" s="37" t="n">
        <f aca="false">IF($A403-AN403&gt;0,1/(1+AN403),0)</f>
        <v>0</v>
      </c>
      <c r="AQ403" s="7" t="n">
        <f aca="false">IF(AK403=0,0,MAX(MIN(1,AO403^Power),0))</f>
        <v>0</v>
      </c>
      <c r="AR403" s="7" t="n">
        <f aca="false">IF(AL403=0,0,MAX(MIN(1,AP403^Power),0))</f>
        <v>0</v>
      </c>
      <c r="AS403" s="7" t="n">
        <f aca="false">IF($AJ403=1,IF($H403=0,K403,AS402),AS402)</f>
        <v>0</v>
      </c>
      <c r="AT403" s="7" t="n">
        <f aca="false">IF($AJ403=1,IF($H403=1,N403,AT402),AT402)</f>
        <v>0</v>
      </c>
    </row>
    <row r="404" customFormat="false" ht="13" hidden="false" customHeight="false" outlineLevel="0" collapsed="false">
      <c r="A404" s="16" t="n">
        <v>387</v>
      </c>
      <c r="B404" s="37" t="n">
        <f aca="true">IF(RAND()&lt;$D$8,1,0)</f>
        <v>0</v>
      </c>
      <c r="C404" s="20" t="n">
        <f aca="true">-LN(RAND())/$D$2</f>
        <v>4.23998167406685</v>
      </c>
      <c r="D404" s="38" t="n">
        <f aca="false">D403+C404</f>
        <v>418.97213945336</v>
      </c>
      <c r="E404" s="39" t="n">
        <f aca="false">MAX($E$3,AS403)</f>
        <v>0</v>
      </c>
      <c r="F404" s="39" t="n">
        <f aca="false">MAX($E$3,AT403)</f>
        <v>0</v>
      </c>
      <c r="G404" s="40" t="n">
        <v>0.5</v>
      </c>
      <c r="H404" s="38" t="n">
        <f aca="true">IF((B404=1),(IF((F404&lt;E404),1,(IF((F404=E404),(IF(RAND()&lt;G404,1,0)),0)))),(IF((RAND()&lt;G404),1,0)))</f>
        <v>1</v>
      </c>
      <c r="I404" s="38" t="n">
        <f aca="true">IF((H404=1),0,$D$3+$D$5*(RAND()-0.5))</f>
        <v>0</v>
      </c>
      <c r="J404" s="38" t="n">
        <f aca="false">I404+MAX(D404,J403)</f>
        <v>418.97213945336</v>
      </c>
      <c r="K404" s="38" t="n">
        <f aca="false">IF((H404=0),J404-D404,0)</f>
        <v>0</v>
      </c>
      <c r="L404" s="38" t="n">
        <f aca="true">IF(($H404=0),0,$D$4+$D$5*(RAND()-0.5))</f>
        <v>2.14683856489116</v>
      </c>
      <c r="M404" s="38" t="n">
        <f aca="false">L404+MAX(D404,M403)</f>
        <v>450.533556853502</v>
      </c>
      <c r="N404" s="38" t="n">
        <f aca="false">IF((H404=1),M404-D404,0)</f>
        <v>31.5614174001421</v>
      </c>
      <c r="O404" s="16" t="n">
        <v>387</v>
      </c>
      <c r="P404" s="41" t="n">
        <f aca="false">IF((Arterial=0),P403+1,P403)</f>
        <v>176</v>
      </c>
      <c r="Q404" s="41" t="n">
        <f aca="false">IF((Arterial=1),Q403+1,Q403)</f>
        <v>211</v>
      </c>
      <c r="R404" s="42" t="n">
        <f aca="false">IF((RESET=1),0,R404+K404)</f>
        <v>546.463208194563</v>
      </c>
      <c r="S404" s="14" t="e">
        <f aca="false">IF(RESET=1,0,S404+N404)</f>
        <v>#N/A</v>
      </c>
      <c r="T404" s="2" t="n">
        <f aca="false">IF(RESET=1,0,T404+IF(H404=0,1,0))</f>
        <v>34</v>
      </c>
      <c r="U404" s="2" t="e">
        <f aca="false">IF(RESET=1,0,U404+H404)</f>
        <v>#N/A</v>
      </c>
      <c r="V404" s="14" t="n">
        <f aca="false">R404/(T404+0.00001)</f>
        <v>16.0724425726511</v>
      </c>
      <c r="W404" s="14" t="e">
        <f aca="false">S404/(U404+0.0001)</f>
        <v>#N/A</v>
      </c>
      <c r="X404" s="39" t="n">
        <f aca="false">IF(Informed=1,K404,0)</f>
        <v>0</v>
      </c>
      <c r="Y404" s="39" t="n">
        <f aca="false">IF(Informed=0,K404,0)</f>
        <v>0</v>
      </c>
      <c r="Z404" s="39" t="n">
        <f aca="false">IF(Informed=1,N404,0)</f>
        <v>0</v>
      </c>
      <c r="AA404" s="39" t="n">
        <f aca="false">IF(Informed=0,N404,0)</f>
        <v>31.5614174001421</v>
      </c>
      <c r="AB404" s="43" t="n">
        <f aca="false">IF(Arterial=0,IF(Informed=1,1,0),0)</f>
        <v>0</v>
      </c>
      <c r="AC404" s="43" t="n">
        <f aca="false">IF(Arterial=0,IF(Informed=0,1,0),0)</f>
        <v>0</v>
      </c>
      <c r="AD404" s="43" t="n">
        <f aca="false">IF(Arterial=1,IF(Informed=1,1,0),0)</f>
        <v>0</v>
      </c>
      <c r="AE404" s="43" t="n">
        <f aca="false">IF(Arterial=1,IF(Informed=0,1,0),0)</f>
        <v>1</v>
      </c>
      <c r="AF404" s="35" t="n">
        <f aca="false">IF(AB404=1,(X404-G$1030)^2,0)</f>
        <v>0</v>
      </c>
      <c r="AG404" s="35" t="n">
        <f aca="false">IF(AC404=1,(Y404-H$1030)^2,0)</f>
        <v>0</v>
      </c>
      <c r="AH404" s="35" t="n">
        <f aca="false">IF(AD404=1,(Z404-I$1030)^2,0)</f>
        <v>0</v>
      </c>
      <c r="AI404" s="35" t="n">
        <f aca="false">IF(AE404=1,(AA404-J$1030)^2,0)</f>
        <v>3.9885778055273</v>
      </c>
      <c r="AJ404" s="37" t="n">
        <f aca="true">IF(RAND()&lt;$D$6,1,0)</f>
        <v>0</v>
      </c>
      <c r="AK404" s="14" t="n">
        <f aca="false">AK403+IF((AJ404=1),IF((H404=0),1,0),0)</f>
        <v>0</v>
      </c>
      <c r="AL404" s="14" t="n">
        <f aca="false">AL403+IF((AJ404=1),IF((H404=1),1,0),0)</f>
        <v>0</v>
      </c>
      <c r="AM404" s="37" t="n">
        <f aca="false">IF(AK404=0,9999,IF($H404=0,IF($AJ404&lt;1,AM403+1,0),AM403))</f>
        <v>9999</v>
      </c>
      <c r="AN404" s="37" t="n">
        <f aca="false">IF(AL404=0,9999,IF($H404=1,IF($AJ404&lt;1,AN403+1,0),AN403))</f>
        <v>9999</v>
      </c>
      <c r="AO404" s="37" t="n">
        <f aca="false">IF($A404-AM404&gt;0,1/(1+AM404),0)</f>
        <v>0</v>
      </c>
      <c r="AP404" s="37" t="n">
        <f aca="false">IF($A404-AN404&gt;0,1/(1+AN404),0)</f>
        <v>0</v>
      </c>
      <c r="AQ404" s="7" t="n">
        <f aca="false">IF(AK404=0,0,MAX(MIN(1,AO404^Power),0))</f>
        <v>0</v>
      </c>
      <c r="AR404" s="7" t="n">
        <f aca="false">IF(AL404=0,0,MAX(MIN(1,AP404^Power),0))</f>
        <v>0</v>
      </c>
      <c r="AS404" s="7" t="n">
        <f aca="false">IF($AJ404=1,IF($H404=0,K404,AS403),AS403)</f>
        <v>0</v>
      </c>
      <c r="AT404" s="7" t="n">
        <f aca="false">IF($AJ404=1,IF($H404=1,N404,AT403),AT403)</f>
        <v>0</v>
      </c>
    </row>
    <row r="405" customFormat="false" ht="13" hidden="false" customHeight="false" outlineLevel="0" collapsed="false">
      <c r="A405" s="16" t="n">
        <v>388</v>
      </c>
      <c r="B405" s="37" t="n">
        <f aca="true">IF(RAND()&lt;$D$8,1,0)</f>
        <v>1</v>
      </c>
      <c r="C405" s="20" t="n">
        <f aca="true">-LN(RAND())/$D$2</f>
        <v>0.966231774459459</v>
      </c>
      <c r="D405" s="38" t="n">
        <f aca="false">D404+C405</f>
        <v>419.938371227819</v>
      </c>
      <c r="E405" s="39" t="n">
        <f aca="false">MAX($E$3,AS404)</f>
        <v>0</v>
      </c>
      <c r="F405" s="39" t="n">
        <f aca="false">MAX($E$3,AT404)</f>
        <v>0</v>
      </c>
      <c r="G405" s="40" t="n">
        <v>0.5</v>
      </c>
      <c r="H405" s="38" t="n">
        <f aca="true">IF((B405=1),(IF((F405&lt;E405),1,(IF((F405=E405),(IF(RAND()&lt;G405,1,0)),0)))),(IF((RAND()&lt;G405),1,0)))</f>
        <v>0</v>
      </c>
      <c r="I405" s="38" t="n">
        <f aca="true">IF((H405=1),0,$D$3+$D$5*(RAND()-0.5))</f>
        <v>2.05866872089584</v>
      </c>
      <c r="J405" s="38" t="n">
        <f aca="false">I405+MAX(D405,J404)</f>
        <v>421.997039948715</v>
      </c>
      <c r="K405" s="38" t="n">
        <f aca="false">IF((H405=0),J405-D405,0)</f>
        <v>2.05866872089587</v>
      </c>
      <c r="L405" s="38" t="n">
        <f aca="true">IF(($H405=0),0,$D$4+$D$5*(RAND()-0.5))</f>
        <v>0</v>
      </c>
      <c r="M405" s="38" t="n">
        <f aca="false">L405+MAX(D405,M404)</f>
        <v>450.533556853502</v>
      </c>
      <c r="N405" s="38" t="n">
        <f aca="false">IF((H405=1),M405-D405,0)</f>
        <v>0</v>
      </c>
      <c r="O405" s="16" t="n">
        <v>388</v>
      </c>
      <c r="P405" s="41" t="n">
        <f aca="false">IF((Arterial=0),P404+1,P404)</f>
        <v>177</v>
      </c>
      <c r="Q405" s="41" t="n">
        <f aca="false">IF((Arterial=1),Q404+1,Q404)</f>
        <v>211</v>
      </c>
      <c r="R405" s="42" t="e">
        <f aca="false">IF((RESET=1),0,R405+K405)</f>
        <v>#N/A</v>
      </c>
      <c r="S405" s="14" t="n">
        <f aca="false">IF(RESET=1,0,S405+N405)</f>
        <v>315.220255607886</v>
      </c>
      <c r="T405" s="2" t="e">
        <f aca="false">IF(RESET=1,0,T405+IF(H405=0,1,0))</f>
        <v>#N/A</v>
      </c>
      <c r="U405" s="2" t="n">
        <f aca="false">IF(RESET=1,0,U405+H405)</f>
        <v>31</v>
      </c>
      <c r="V405" s="14" t="e">
        <f aca="false">R405/(T405+0.00001)</f>
        <v>#N/A</v>
      </c>
      <c r="W405" s="14" t="n">
        <f aca="false">S405/(U405+0.0001)</f>
        <v>10.1683625410204</v>
      </c>
      <c r="X405" s="39" t="n">
        <f aca="false">IF(Informed=1,K405,0)</f>
        <v>2.05866872089587</v>
      </c>
      <c r="Y405" s="39" t="n">
        <f aca="false">IF(Informed=0,K405,0)</f>
        <v>0</v>
      </c>
      <c r="Z405" s="39" t="n">
        <f aca="false">IF(Informed=1,N405,0)</f>
        <v>0</v>
      </c>
      <c r="AA405" s="39" t="n">
        <f aca="false">IF(Informed=0,N405,0)</f>
        <v>0</v>
      </c>
      <c r="AB405" s="43" t="n">
        <f aca="false">IF(Arterial=0,IF(Informed=1,1,0),0)</f>
        <v>1</v>
      </c>
      <c r="AC405" s="43" t="n">
        <f aca="false">IF(Arterial=0,IF(Informed=0,1,0),0)</f>
        <v>0</v>
      </c>
      <c r="AD405" s="43" t="n">
        <f aca="false">IF(Arterial=1,IF(Informed=1,1,0),0)</f>
        <v>0</v>
      </c>
      <c r="AE405" s="43" t="n">
        <f aca="false">IF(Arterial=1,IF(Informed=0,1,0),0)</f>
        <v>0</v>
      </c>
      <c r="AF405" s="35" t="n">
        <f aca="false">IF(AB405=1,(X405-G$1030)^2,0)</f>
        <v>74.8399657303974</v>
      </c>
      <c r="AG405" s="35" t="n">
        <f aca="false">IF(AC405=1,(Y405-H$1030)^2,0)</f>
        <v>0</v>
      </c>
      <c r="AH405" s="35" t="n">
        <f aca="false">IF(AD405=1,(Z405-I$1030)^2,0)</f>
        <v>0</v>
      </c>
      <c r="AI405" s="35" t="n">
        <f aca="false">IF(AE405=1,(AA405-J$1030)^2,0)</f>
        <v>0</v>
      </c>
      <c r="AJ405" s="37" t="n">
        <f aca="true">IF(RAND()&lt;$D$6,1,0)</f>
        <v>0</v>
      </c>
      <c r="AK405" s="14" t="n">
        <f aca="false">AK404+IF((AJ405=1),IF((H405=0),1,0),0)</f>
        <v>0</v>
      </c>
      <c r="AL405" s="14" t="n">
        <f aca="false">AL404+IF((AJ405=1),IF((H405=1),1,0),0)</f>
        <v>0</v>
      </c>
      <c r="AM405" s="37" t="n">
        <f aca="false">IF(AK405=0,9999,IF($H405=0,IF($AJ405&lt;1,AM404+1,0),AM404))</f>
        <v>9999</v>
      </c>
      <c r="AN405" s="37" t="n">
        <f aca="false">IF(AL405=0,9999,IF($H405=1,IF($AJ405&lt;1,AN404+1,0),AN404))</f>
        <v>9999</v>
      </c>
      <c r="AO405" s="37" t="n">
        <f aca="false">IF($A405-AM405&gt;0,1/(1+AM405),0)</f>
        <v>0</v>
      </c>
      <c r="AP405" s="37" t="n">
        <f aca="false">IF($A405-AN405&gt;0,1/(1+AN405),0)</f>
        <v>0</v>
      </c>
      <c r="AQ405" s="7" t="n">
        <f aca="false">IF(AK405=0,0,MAX(MIN(1,AO405^Power),0))</f>
        <v>0</v>
      </c>
      <c r="AR405" s="7" t="n">
        <f aca="false">IF(AL405=0,0,MAX(MIN(1,AP405^Power),0))</f>
        <v>0</v>
      </c>
      <c r="AS405" s="7" t="n">
        <f aca="false">IF($AJ405=1,IF($H405=0,K405,AS404),AS404)</f>
        <v>0</v>
      </c>
      <c r="AT405" s="7" t="n">
        <f aca="false">IF($AJ405=1,IF($H405=1,N405,AT404),AT404)</f>
        <v>0</v>
      </c>
    </row>
    <row r="406" customFormat="false" ht="13" hidden="false" customHeight="false" outlineLevel="0" collapsed="false">
      <c r="A406" s="16" t="n">
        <v>389</v>
      </c>
      <c r="B406" s="37" t="n">
        <f aca="true">IF(RAND()&lt;$D$8,1,0)</f>
        <v>0</v>
      </c>
      <c r="C406" s="20" t="n">
        <f aca="true">-LN(RAND())/$D$2</f>
        <v>1.4146190057687</v>
      </c>
      <c r="D406" s="38" t="n">
        <f aca="false">D405+C406</f>
        <v>421.352990233588</v>
      </c>
      <c r="E406" s="39" t="n">
        <f aca="false">MAX($E$3,AS405)</f>
        <v>0</v>
      </c>
      <c r="F406" s="39" t="n">
        <f aca="false">MAX($E$3,AT405)</f>
        <v>0</v>
      </c>
      <c r="G406" s="40" t="n">
        <v>0.5</v>
      </c>
      <c r="H406" s="38" t="n">
        <f aca="true">IF((B406=1),(IF((F406&lt;E406),1,(IF((F406=E406),(IF(RAND()&lt;G406,1,0)),0)))),(IF((RAND()&lt;G406),1,0)))</f>
        <v>0</v>
      </c>
      <c r="I406" s="38" t="n">
        <f aca="true">IF((H406=1),0,$D$3+$D$5*(RAND()-0.5))</f>
        <v>2.06025009583021</v>
      </c>
      <c r="J406" s="38" t="n">
        <f aca="false">I406+MAX(D406,J405)</f>
        <v>424.057290044545</v>
      </c>
      <c r="K406" s="38" t="n">
        <f aca="false">IF((H406=0),J406-D406,0)</f>
        <v>2.70429981095737</v>
      </c>
      <c r="L406" s="38" t="n">
        <f aca="true">IF(($H406=0),0,$D$4+$D$5*(RAND()-0.5))</f>
        <v>0</v>
      </c>
      <c r="M406" s="38" t="n">
        <f aca="false">L406+MAX(D406,M405)</f>
        <v>450.533556853502</v>
      </c>
      <c r="N406" s="38" t="n">
        <f aca="false">IF((H406=1),M406-D406,0)</f>
        <v>0</v>
      </c>
      <c r="O406" s="16" t="n">
        <v>389</v>
      </c>
      <c r="P406" s="41" t="n">
        <f aca="false">IF((Arterial=0),P405+1,P405)</f>
        <v>178</v>
      </c>
      <c r="Q406" s="41" t="n">
        <f aca="false">IF((Arterial=1),Q405+1,Q405)</f>
        <v>211</v>
      </c>
      <c r="R406" s="42" t="e">
        <f aca="false">IF((RESET=1),0,R406+K406)</f>
        <v>#N/A</v>
      </c>
      <c r="S406" s="14" t="n">
        <f aca="false">IF(RESET=1,0,S406+N406)</f>
        <v>563.316237646865</v>
      </c>
      <c r="T406" s="2" t="e">
        <f aca="false">IF(RESET=1,0,T406+IF(H406=0,1,0))</f>
        <v>#N/A</v>
      </c>
      <c r="U406" s="2" t="n">
        <f aca="false">IF(RESET=1,0,U406+H406)</f>
        <v>44</v>
      </c>
      <c r="V406" s="14" t="e">
        <f aca="false">R406/(T406+0.00001)</f>
        <v>#N/A</v>
      </c>
      <c r="W406" s="14" t="n">
        <f aca="false">S406/(U406+0.0001)</f>
        <v>12.8026126678545</v>
      </c>
      <c r="X406" s="39" t="n">
        <f aca="false">IF(Informed=1,K406,0)</f>
        <v>0</v>
      </c>
      <c r="Y406" s="39" t="n">
        <f aca="false">IF(Informed=0,K406,0)</f>
        <v>2.70429981095737</v>
      </c>
      <c r="Z406" s="39" t="n">
        <f aca="false">IF(Informed=1,N406,0)</f>
        <v>0</v>
      </c>
      <c r="AA406" s="39" t="n">
        <f aca="false">IF(Informed=0,N406,0)</f>
        <v>0</v>
      </c>
      <c r="AB406" s="43" t="n">
        <f aca="false">IF(Arterial=0,IF(Informed=1,1,0),0)</f>
        <v>0</v>
      </c>
      <c r="AC406" s="43" t="n">
        <f aca="false">IF(Arterial=0,IF(Informed=0,1,0),0)</f>
        <v>1</v>
      </c>
      <c r="AD406" s="43" t="n">
        <f aca="false">IF(Arterial=1,IF(Informed=1,1,0),0)</f>
        <v>0</v>
      </c>
      <c r="AE406" s="43" t="n">
        <f aca="false">IF(Arterial=1,IF(Informed=0,1,0),0)</f>
        <v>0</v>
      </c>
      <c r="AF406" s="35" t="n">
        <f aca="false">IF(AB406=1,(X406-G$1030)^2,0)</f>
        <v>0</v>
      </c>
      <c r="AG406" s="35" t="n">
        <f aca="false">IF(AC406=1,(Y406-H$1030)^2,0)</f>
        <v>67.559940894468</v>
      </c>
      <c r="AH406" s="35" t="n">
        <f aca="false">IF(AD406=1,(Z406-I$1030)^2,0)</f>
        <v>0</v>
      </c>
      <c r="AI406" s="35" t="n">
        <f aca="false">IF(AE406=1,(AA406-J$1030)^2,0)</f>
        <v>0</v>
      </c>
      <c r="AJ406" s="37" t="n">
        <f aca="true">IF(RAND()&lt;$D$6,1,0)</f>
        <v>0</v>
      </c>
      <c r="AK406" s="14" t="n">
        <f aca="false">AK405+IF((AJ406=1),IF((H406=0),1,0),0)</f>
        <v>0</v>
      </c>
      <c r="AL406" s="14" t="n">
        <f aca="false">AL405+IF((AJ406=1),IF((H406=1),1,0),0)</f>
        <v>0</v>
      </c>
      <c r="AM406" s="37" t="n">
        <f aca="false">IF(AK406=0,9999,IF($H406=0,IF($AJ406&lt;1,AM405+1,0),AM405))</f>
        <v>9999</v>
      </c>
      <c r="AN406" s="37" t="n">
        <f aca="false">IF(AL406=0,9999,IF($H406=1,IF($AJ406&lt;1,AN405+1,0),AN405))</f>
        <v>9999</v>
      </c>
      <c r="AO406" s="37" t="n">
        <f aca="false">IF($A406-AM406&gt;0,1/(1+AM406),0)</f>
        <v>0</v>
      </c>
      <c r="AP406" s="37" t="n">
        <f aca="false">IF($A406-AN406&gt;0,1/(1+AN406),0)</f>
        <v>0</v>
      </c>
      <c r="AQ406" s="7" t="n">
        <f aca="false">IF(AK406=0,0,MAX(MIN(1,AO406^Power),0))</f>
        <v>0</v>
      </c>
      <c r="AR406" s="7" t="n">
        <f aca="false">IF(AL406=0,0,MAX(MIN(1,AP406^Power),0))</f>
        <v>0</v>
      </c>
      <c r="AS406" s="7" t="n">
        <f aca="false">IF($AJ406=1,IF($H406=0,K406,AS405),AS405)</f>
        <v>0</v>
      </c>
      <c r="AT406" s="7" t="n">
        <f aca="false">IF($AJ406=1,IF($H406=1,N406,AT405),AT405)</f>
        <v>0</v>
      </c>
    </row>
    <row r="407" customFormat="false" ht="13" hidden="false" customHeight="false" outlineLevel="0" collapsed="false">
      <c r="A407" s="16" t="n">
        <v>390</v>
      </c>
      <c r="B407" s="37" t="n">
        <f aca="true">IF(RAND()&lt;$D$8,1,0)</f>
        <v>0</v>
      </c>
      <c r="C407" s="20" t="n">
        <f aca="true">-LN(RAND())/$D$2</f>
        <v>0.0962285815104493</v>
      </c>
      <c r="D407" s="38" t="n">
        <f aca="false">D406+C407</f>
        <v>421.449218815098</v>
      </c>
      <c r="E407" s="39" t="n">
        <f aca="false">MAX($E$3,AS406)</f>
        <v>0</v>
      </c>
      <c r="F407" s="39" t="n">
        <f aca="false">MAX($E$3,AT406)</f>
        <v>0</v>
      </c>
      <c r="G407" s="40" t="n">
        <v>0.5</v>
      </c>
      <c r="H407" s="38" t="n">
        <f aca="true">IF((B407=1),(IF((F407&lt;E407),1,(IF((F407=E407),(IF(RAND()&lt;G407,1,0)),0)))),(IF((RAND()&lt;G407),1,0)))</f>
        <v>0</v>
      </c>
      <c r="I407" s="38" t="n">
        <f aca="true">IF((H407=1),0,$D$3+$D$5*(RAND()-0.5))</f>
        <v>1.92497358867635</v>
      </c>
      <c r="J407" s="38" t="n">
        <f aca="false">I407+MAX(D407,J406)</f>
        <v>425.982263633221</v>
      </c>
      <c r="K407" s="38" t="n">
        <f aca="false">IF((H407=0),J407-D407,0)</f>
        <v>4.53304481812324</v>
      </c>
      <c r="L407" s="38" t="n">
        <f aca="true">IF(($H407=0),0,$D$4+$D$5*(RAND()-0.5))</f>
        <v>0</v>
      </c>
      <c r="M407" s="38" t="n">
        <f aca="false">L407+MAX(D407,M406)</f>
        <v>450.533556853502</v>
      </c>
      <c r="N407" s="38" t="n">
        <f aca="false">IF((H407=1),M407-D407,0)</f>
        <v>0</v>
      </c>
      <c r="O407" s="16" t="n">
        <v>390</v>
      </c>
      <c r="P407" s="41" t="n">
        <f aca="false">IF((Arterial=0),P406+1,P406)</f>
        <v>179</v>
      </c>
      <c r="Q407" s="41" t="n">
        <f aca="false">IF((Arterial=1),Q406+1,Q406)</f>
        <v>211</v>
      </c>
      <c r="R407" s="42" t="e">
        <f aca="false">IF((RESET=1),0,R407+K407)</f>
        <v>#N/A</v>
      </c>
      <c r="S407" s="14" t="n">
        <f aca="false">IF(RESET=1,0,S407+N407)</f>
        <v>572.378560675013</v>
      </c>
      <c r="T407" s="2" t="e">
        <f aca="false">IF(RESET=1,0,T407+IF(H407=0,1,0))</f>
        <v>#N/A</v>
      </c>
      <c r="U407" s="2" t="n">
        <f aca="false">IF(RESET=1,0,U407+H407)</f>
        <v>43</v>
      </c>
      <c r="V407" s="14" t="e">
        <f aca="false">R407/(T407+0.00001)</f>
        <v>#N/A</v>
      </c>
      <c r="W407" s="14" t="n">
        <f aca="false">S407/(U407+0.0001)</f>
        <v>13.3110983619809</v>
      </c>
      <c r="X407" s="39" t="n">
        <f aca="false">IF(Informed=1,K407,0)</f>
        <v>0</v>
      </c>
      <c r="Y407" s="39" t="n">
        <f aca="false">IF(Informed=0,K407,0)</f>
        <v>4.53304481812324</v>
      </c>
      <c r="Z407" s="39" t="n">
        <f aca="false">IF(Informed=1,N407,0)</f>
        <v>0</v>
      </c>
      <c r="AA407" s="39" t="n">
        <f aca="false">IF(Informed=0,N407,0)</f>
        <v>0</v>
      </c>
      <c r="AB407" s="43" t="n">
        <f aca="false">IF(Arterial=0,IF(Informed=1,1,0),0)</f>
        <v>0</v>
      </c>
      <c r="AC407" s="43" t="n">
        <f aca="false">IF(Arterial=0,IF(Informed=0,1,0),0)</f>
        <v>1</v>
      </c>
      <c r="AD407" s="43" t="n">
        <f aca="false">IF(Arterial=1,IF(Informed=1,1,0),0)</f>
        <v>0</v>
      </c>
      <c r="AE407" s="43" t="n">
        <f aca="false">IF(Arterial=1,IF(Informed=0,1,0),0)</f>
        <v>0</v>
      </c>
      <c r="AF407" s="35" t="n">
        <f aca="false">IF(AB407=1,(X407-G$1030)^2,0)</f>
        <v>0</v>
      </c>
      <c r="AG407" s="35" t="n">
        <f aca="false">IF(AC407=1,(Y407-H$1030)^2,0)</f>
        <v>40.8415632768255</v>
      </c>
      <c r="AH407" s="35" t="n">
        <f aca="false">IF(AD407=1,(Z407-I$1030)^2,0)</f>
        <v>0</v>
      </c>
      <c r="AI407" s="35" t="n">
        <f aca="false">IF(AE407=1,(AA407-J$1030)^2,0)</f>
        <v>0</v>
      </c>
      <c r="AJ407" s="37" t="n">
        <f aca="true">IF(RAND()&lt;$D$6,1,0)</f>
        <v>0</v>
      </c>
      <c r="AK407" s="14" t="n">
        <f aca="false">AK406+IF((AJ407=1),IF((H407=0),1,0),0)</f>
        <v>0</v>
      </c>
      <c r="AL407" s="14" t="n">
        <f aca="false">AL406+IF((AJ407=1),IF((H407=1),1,0),0)</f>
        <v>0</v>
      </c>
      <c r="AM407" s="37" t="n">
        <f aca="false">IF(AK407=0,9999,IF($H407=0,IF($AJ407&lt;1,AM406+1,0),AM406))</f>
        <v>9999</v>
      </c>
      <c r="AN407" s="37" t="n">
        <f aca="false">IF(AL407=0,9999,IF($H407=1,IF($AJ407&lt;1,AN406+1,0),AN406))</f>
        <v>9999</v>
      </c>
      <c r="AO407" s="37" t="n">
        <f aca="false">IF($A407-AM407&gt;0,1/(1+AM407),0)</f>
        <v>0</v>
      </c>
      <c r="AP407" s="37" t="n">
        <f aca="false">IF($A407-AN407&gt;0,1/(1+AN407),0)</f>
        <v>0</v>
      </c>
      <c r="AQ407" s="7" t="n">
        <f aca="false">IF(AK407=0,0,MAX(MIN(1,AO407^Power),0))</f>
        <v>0</v>
      </c>
      <c r="AR407" s="7" t="n">
        <f aca="false">IF(AL407=0,0,MAX(MIN(1,AP407^Power),0))</f>
        <v>0</v>
      </c>
      <c r="AS407" s="7" t="n">
        <f aca="false">IF($AJ407=1,IF($H407=0,K407,AS406),AS406)</f>
        <v>0</v>
      </c>
      <c r="AT407" s="7" t="n">
        <f aca="false">IF($AJ407=1,IF($H407=1,N407,AT406),AT406)</f>
        <v>0</v>
      </c>
    </row>
    <row r="408" customFormat="false" ht="13" hidden="false" customHeight="false" outlineLevel="0" collapsed="false">
      <c r="A408" s="16" t="n">
        <v>391</v>
      </c>
      <c r="B408" s="37" t="n">
        <f aca="true">IF(RAND()&lt;$D$8,1,0)</f>
        <v>1</v>
      </c>
      <c r="C408" s="20" t="n">
        <f aca="true">-LN(RAND())/$D$2</f>
        <v>1.08850809836019</v>
      </c>
      <c r="D408" s="38" t="n">
        <f aca="false">D407+C408</f>
        <v>422.537726913458</v>
      </c>
      <c r="E408" s="39" t="n">
        <f aca="false">MAX($E$3,AS407)</f>
        <v>0</v>
      </c>
      <c r="F408" s="39" t="n">
        <f aca="false">MAX($E$3,AT407)</f>
        <v>0</v>
      </c>
      <c r="G408" s="40" t="n">
        <v>0.5</v>
      </c>
      <c r="H408" s="38" t="n">
        <f aca="true">IF((B408=1),(IF((F408&lt;E408),1,(IF((F408=E408),(IF(RAND()&lt;G408,1,0)),0)))),(IF((RAND()&lt;G408),1,0)))</f>
        <v>0</v>
      </c>
      <c r="I408" s="38" t="n">
        <f aca="true">IF((H408=1),0,$D$3+$D$5*(RAND()-0.5))</f>
        <v>1.96672182485452</v>
      </c>
      <c r="J408" s="38" t="n">
        <f aca="false">I408+MAX(D408,J407)</f>
        <v>427.948985458076</v>
      </c>
      <c r="K408" s="38" t="n">
        <f aca="false">IF((H408=0),J408-D408,0)</f>
        <v>5.41125854461757</v>
      </c>
      <c r="L408" s="38" t="n">
        <f aca="true">IF(($H408=0),0,$D$4+$D$5*(RAND()-0.5))</f>
        <v>0</v>
      </c>
      <c r="M408" s="38" t="n">
        <f aca="false">L408+MAX(D408,M407)</f>
        <v>450.533556853502</v>
      </c>
      <c r="N408" s="38" t="n">
        <f aca="false">IF((H408=1),M408-D408,0)</f>
        <v>0</v>
      </c>
      <c r="O408" s="16" t="n">
        <v>391</v>
      </c>
      <c r="P408" s="41" t="n">
        <f aca="false">IF((Arterial=0),P407+1,P407)</f>
        <v>180</v>
      </c>
      <c r="Q408" s="41" t="n">
        <f aca="false">IF((Arterial=1),Q407+1,Q407)</f>
        <v>211</v>
      </c>
      <c r="R408" s="42" t="e">
        <f aca="false">IF((RESET=1),0,R408+K408)</f>
        <v>#N/A</v>
      </c>
      <c r="S408" s="14" t="n">
        <f aca="false">IF(RESET=1,0,S408+N408)</f>
        <v>422.500634228426</v>
      </c>
      <c r="T408" s="2" t="e">
        <f aca="false">IF(RESET=1,0,T408+IF(H408=0,1,0))</f>
        <v>#N/A</v>
      </c>
      <c r="U408" s="2" t="n">
        <f aca="false">IF(RESET=1,0,U408+H408)</f>
        <v>30</v>
      </c>
      <c r="V408" s="14" t="e">
        <f aca="false">R408/(T408+0.00001)</f>
        <v>#N/A</v>
      </c>
      <c r="W408" s="14" t="n">
        <f aca="false">S408/(U408+0.0001)</f>
        <v>14.0833075299224</v>
      </c>
      <c r="X408" s="39" t="n">
        <f aca="false">IF(Informed=1,K408,0)</f>
        <v>5.41125854461757</v>
      </c>
      <c r="Y408" s="39" t="n">
        <f aca="false">IF(Informed=0,K408,0)</f>
        <v>0</v>
      </c>
      <c r="Z408" s="39" t="n">
        <f aca="false">IF(Informed=1,N408,0)</f>
        <v>0</v>
      </c>
      <c r="AA408" s="39" t="n">
        <f aca="false">IF(Informed=0,N408,0)</f>
        <v>0</v>
      </c>
      <c r="AB408" s="43" t="n">
        <f aca="false">IF(Arterial=0,IF(Informed=1,1,0),0)</f>
        <v>1</v>
      </c>
      <c r="AC408" s="43" t="n">
        <f aca="false">IF(Arterial=0,IF(Informed=0,1,0),0)</f>
        <v>0</v>
      </c>
      <c r="AD408" s="43" t="n">
        <f aca="false">IF(Arterial=1,IF(Informed=1,1,0),0)</f>
        <v>0</v>
      </c>
      <c r="AE408" s="43" t="n">
        <f aca="false">IF(Arterial=1,IF(Informed=0,1,0),0)</f>
        <v>0</v>
      </c>
      <c r="AF408" s="35" t="n">
        <f aca="false">IF(AB408=1,(X408-G$1030)^2,0)</f>
        <v>28.0732512872601</v>
      </c>
      <c r="AG408" s="35" t="n">
        <f aca="false">IF(AC408=1,(Y408-H$1030)^2,0)</f>
        <v>0</v>
      </c>
      <c r="AH408" s="35" t="n">
        <f aca="false">IF(AD408=1,(Z408-I$1030)^2,0)</f>
        <v>0</v>
      </c>
      <c r="AI408" s="35" t="n">
        <f aca="false">IF(AE408=1,(AA408-J$1030)^2,0)</f>
        <v>0</v>
      </c>
      <c r="AJ408" s="37" t="n">
        <f aca="true">IF(RAND()&lt;$D$6,1,0)</f>
        <v>0</v>
      </c>
      <c r="AK408" s="14" t="n">
        <f aca="false">AK407+IF((AJ408=1),IF((H408=0),1,0),0)</f>
        <v>0</v>
      </c>
      <c r="AL408" s="14" t="n">
        <f aca="false">AL407+IF((AJ408=1),IF((H408=1),1,0),0)</f>
        <v>0</v>
      </c>
      <c r="AM408" s="37" t="n">
        <f aca="false">IF(AK408=0,9999,IF($H408=0,IF($AJ408&lt;1,AM407+1,0),AM407))</f>
        <v>9999</v>
      </c>
      <c r="AN408" s="37" t="n">
        <f aca="false">IF(AL408=0,9999,IF($H408=1,IF($AJ408&lt;1,AN407+1,0),AN407))</f>
        <v>9999</v>
      </c>
      <c r="AO408" s="37" t="n">
        <f aca="false">IF($A408-AM408&gt;0,1/(1+AM408),0)</f>
        <v>0</v>
      </c>
      <c r="AP408" s="37" t="n">
        <f aca="false">IF($A408-AN408&gt;0,1/(1+AN408),0)</f>
        <v>0</v>
      </c>
      <c r="AQ408" s="7" t="n">
        <f aca="false">IF(AK408=0,0,MAX(MIN(1,AO408^Power),0))</f>
        <v>0</v>
      </c>
      <c r="AR408" s="7" t="n">
        <f aca="false">IF(AL408=0,0,MAX(MIN(1,AP408^Power),0))</f>
        <v>0</v>
      </c>
      <c r="AS408" s="7" t="n">
        <f aca="false">IF($AJ408=1,IF($H408=0,K408,AS407),AS407)</f>
        <v>0</v>
      </c>
      <c r="AT408" s="7" t="n">
        <f aca="false">IF($AJ408=1,IF($H408=1,N408,AT407),AT407)</f>
        <v>0</v>
      </c>
    </row>
    <row r="409" customFormat="false" ht="13" hidden="false" customHeight="false" outlineLevel="0" collapsed="false">
      <c r="A409" s="16" t="n">
        <v>392</v>
      </c>
      <c r="B409" s="37" t="n">
        <f aca="true">IF(RAND()&lt;$D$8,1,0)</f>
        <v>1</v>
      </c>
      <c r="C409" s="20" t="n">
        <f aca="true">-LN(RAND())/$D$2</f>
        <v>0.230371911016392</v>
      </c>
      <c r="D409" s="38" t="n">
        <f aca="false">D408+C409</f>
        <v>422.768098824475</v>
      </c>
      <c r="E409" s="39" t="n">
        <f aca="false">MAX($E$3,AS408)</f>
        <v>0</v>
      </c>
      <c r="F409" s="39" t="n">
        <f aca="false">MAX($E$3,AT408)</f>
        <v>0</v>
      </c>
      <c r="G409" s="40" t="n">
        <v>0.5</v>
      </c>
      <c r="H409" s="38" t="n">
        <f aca="true">IF((B409=1),(IF((F409&lt;E409),1,(IF((F409=E409),(IF(RAND()&lt;G409,1,0)),0)))),(IF((RAND()&lt;G409),1,0)))</f>
        <v>0</v>
      </c>
      <c r="I409" s="38" t="n">
        <f aca="true">IF((H409=1),0,$D$3+$D$5*(RAND()-0.5))</f>
        <v>1.9633073415543</v>
      </c>
      <c r="J409" s="38" t="n">
        <f aca="false">I409+MAX(D409,J408)</f>
        <v>429.91229279963</v>
      </c>
      <c r="K409" s="38" t="n">
        <f aca="false">IF((H409=0),J409-D409,0)</f>
        <v>7.14419397515547</v>
      </c>
      <c r="L409" s="38" t="n">
        <f aca="true">IF(($H409=0),0,$D$4+$D$5*(RAND()-0.5))</f>
        <v>0</v>
      </c>
      <c r="M409" s="38" t="n">
        <f aca="false">L409+MAX(D409,M408)</f>
        <v>450.533556853502</v>
      </c>
      <c r="N409" s="38" t="n">
        <f aca="false">IF((H409=1),M409-D409,0)</f>
        <v>0</v>
      </c>
      <c r="O409" s="16" t="n">
        <v>392</v>
      </c>
      <c r="P409" s="41" t="n">
        <f aca="false">IF((Arterial=0),P408+1,P408)</f>
        <v>181</v>
      </c>
      <c r="Q409" s="41" t="n">
        <f aca="false">IF((Arterial=1),Q408+1,Q408)</f>
        <v>211</v>
      </c>
      <c r="R409" s="42" t="e">
        <f aca="false">IF((RESET=1),0,R409+K409)</f>
        <v>#N/A</v>
      </c>
      <c r="S409" s="14" t="n">
        <f aca="false">IF(RESET=1,0,S409+N409)</f>
        <v>569.786552739883</v>
      </c>
      <c r="T409" s="2" t="e">
        <f aca="false">IF(RESET=1,0,T409+IF(H409=0,1,0))</f>
        <v>#N/A</v>
      </c>
      <c r="U409" s="2" t="n">
        <f aca="false">IF(RESET=1,0,U409+H409)</f>
        <v>33</v>
      </c>
      <c r="V409" s="14" t="e">
        <f aca="false">R409/(T409+0.00001)</f>
        <v>#N/A</v>
      </c>
      <c r="W409" s="14" t="n">
        <f aca="false">S409/(U409+0.0001)</f>
        <v>17.2662068520969</v>
      </c>
      <c r="X409" s="39" t="n">
        <f aca="false">IF(Informed=1,K409,0)</f>
        <v>7.14419397515547</v>
      </c>
      <c r="Y409" s="39" t="n">
        <f aca="false">IF(Informed=0,K409,0)</f>
        <v>0</v>
      </c>
      <c r="Z409" s="39" t="n">
        <f aca="false">IF(Informed=1,N409,0)</f>
        <v>0</v>
      </c>
      <c r="AA409" s="39" t="n">
        <f aca="false">IF(Informed=0,N409,0)</f>
        <v>0</v>
      </c>
      <c r="AB409" s="43" t="n">
        <f aca="false">IF(Arterial=0,IF(Informed=1,1,0),0)</f>
        <v>1</v>
      </c>
      <c r="AC409" s="43" t="n">
        <f aca="false">IF(Arterial=0,IF(Informed=0,1,0),0)</f>
        <v>0</v>
      </c>
      <c r="AD409" s="43" t="n">
        <f aca="false">IF(Arterial=1,IF(Informed=1,1,0),0)</f>
        <v>0</v>
      </c>
      <c r="AE409" s="43" t="n">
        <f aca="false">IF(Arterial=1,IF(Informed=0,1,0),0)</f>
        <v>0</v>
      </c>
      <c r="AF409" s="35" t="n">
        <f aca="false">IF(AB409=1,(X409-G$1030)^2,0)</f>
        <v>12.7126780555344</v>
      </c>
      <c r="AG409" s="35" t="n">
        <f aca="false">IF(AC409=1,(Y409-H$1030)^2,0)</f>
        <v>0</v>
      </c>
      <c r="AH409" s="35" t="n">
        <f aca="false">IF(AD409=1,(Z409-I$1030)^2,0)</f>
        <v>0</v>
      </c>
      <c r="AI409" s="35" t="n">
        <f aca="false">IF(AE409=1,(AA409-J$1030)^2,0)</f>
        <v>0</v>
      </c>
      <c r="AJ409" s="37" t="n">
        <f aca="true">IF(RAND()&lt;$D$6,1,0)</f>
        <v>0</v>
      </c>
      <c r="AK409" s="14" t="n">
        <f aca="false">AK408+IF((AJ409=1),IF((H409=0),1,0),0)</f>
        <v>0</v>
      </c>
      <c r="AL409" s="14" t="n">
        <f aca="false">AL408+IF((AJ409=1),IF((H409=1),1,0),0)</f>
        <v>0</v>
      </c>
      <c r="AM409" s="37" t="n">
        <f aca="false">IF(AK409=0,9999,IF($H409=0,IF($AJ409&lt;1,AM408+1,0),AM408))</f>
        <v>9999</v>
      </c>
      <c r="AN409" s="37" t="n">
        <f aca="false">IF(AL409=0,9999,IF($H409=1,IF($AJ409&lt;1,AN408+1,0),AN408))</f>
        <v>9999</v>
      </c>
      <c r="AO409" s="37" t="n">
        <f aca="false">IF($A409-AM409&gt;0,1/(1+AM409),0)</f>
        <v>0</v>
      </c>
      <c r="AP409" s="37" t="n">
        <f aca="false">IF($A409-AN409&gt;0,1/(1+AN409),0)</f>
        <v>0</v>
      </c>
      <c r="AQ409" s="7" t="n">
        <f aca="false">IF(AK409=0,0,MAX(MIN(1,AO409^Power),0))</f>
        <v>0</v>
      </c>
      <c r="AR409" s="7" t="n">
        <f aca="false">IF(AL409=0,0,MAX(MIN(1,AP409^Power),0))</f>
        <v>0</v>
      </c>
      <c r="AS409" s="7" t="n">
        <f aca="false">IF($AJ409=1,IF($H409=0,K409,AS408),AS408)</f>
        <v>0</v>
      </c>
      <c r="AT409" s="7" t="n">
        <f aca="false">IF($AJ409=1,IF($H409=1,N409,AT408),AT408)</f>
        <v>0</v>
      </c>
    </row>
    <row r="410" customFormat="false" ht="13" hidden="false" customHeight="false" outlineLevel="0" collapsed="false">
      <c r="A410" s="16" t="n">
        <v>393</v>
      </c>
      <c r="B410" s="37" t="n">
        <f aca="true">IF(RAND()&lt;$D$8,1,0)</f>
        <v>1</v>
      </c>
      <c r="C410" s="20" t="n">
        <f aca="true">-LN(RAND())/$D$2</f>
        <v>3.38751619751432</v>
      </c>
      <c r="D410" s="38" t="n">
        <f aca="false">D409+C410</f>
        <v>426.155615021989</v>
      </c>
      <c r="E410" s="39" t="n">
        <f aca="false">MAX($E$3,AS409)</f>
        <v>0</v>
      </c>
      <c r="F410" s="39" t="n">
        <f aca="false">MAX($E$3,AT409)</f>
        <v>0</v>
      </c>
      <c r="G410" s="40" t="n">
        <v>0.5</v>
      </c>
      <c r="H410" s="38" t="n">
        <f aca="true">IF((B410=1),(IF((F410&lt;E410),1,(IF((F410=E410),(IF(RAND()&lt;G410,1,0)),0)))),(IF((RAND()&lt;G410),1,0)))</f>
        <v>1</v>
      </c>
      <c r="I410" s="38" t="n">
        <f aca="true">IF((H410=1),0,$D$3+$D$5*(RAND()-0.5))</f>
        <v>0</v>
      </c>
      <c r="J410" s="38" t="n">
        <f aca="false">I410+MAX(D410,J409)</f>
        <v>429.91229279963</v>
      </c>
      <c r="K410" s="38" t="n">
        <f aca="false">IF((H410=0),J410-D410,0)</f>
        <v>0</v>
      </c>
      <c r="L410" s="38" t="n">
        <f aca="true">IF(($H410=0),0,$D$4+$D$5*(RAND()-0.5))</f>
        <v>2.11343953142007</v>
      </c>
      <c r="M410" s="38" t="n">
        <f aca="false">L410+MAX(D410,M409)</f>
        <v>452.646996384922</v>
      </c>
      <c r="N410" s="38" t="n">
        <f aca="false">IF((H410=1),M410-D410,0)</f>
        <v>26.4913813629327</v>
      </c>
      <c r="O410" s="16" t="n">
        <v>393</v>
      </c>
      <c r="P410" s="41" t="n">
        <f aca="false">IF((Arterial=0),P409+1,P409)</f>
        <v>181</v>
      </c>
      <c r="Q410" s="41" t="n">
        <f aca="false">IF((Arterial=1),Q409+1,Q409)</f>
        <v>212</v>
      </c>
      <c r="R410" s="42" t="n">
        <f aca="false">IF((RESET=1),0,R410+K410)</f>
        <v>518.266999880494</v>
      </c>
      <c r="S410" s="14" t="e">
        <f aca="false">IF(RESET=1,0,S410+N410)</f>
        <v>#N/A</v>
      </c>
      <c r="T410" s="2" t="n">
        <f aca="false">IF(RESET=1,0,T410+IF(H410=0,1,0))</f>
        <v>36</v>
      </c>
      <c r="U410" s="2" t="e">
        <f aca="false">IF(RESET=1,0,U410+H410)</f>
        <v>#N/A</v>
      </c>
      <c r="V410" s="14" t="n">
        <f aca="false">R410/(T410+0.00001)</f>
        <v>14.3963015532633</v>
      </c>
      <c r="W410" s="14" t="e">
        <f aca="false">S410/(U410+0.0001)</f>
        <v>#N/A</v>
      </c>
      <c r="X410" s="39" t="n">
        <f aca="false">IF(Informed=1,K410,0)</f>
        <v>0</v>
      </c>
      <c r="Y410" s="39" t="n">
        <f aca="false">IF(Informed=0,K410,0)</f>
        <v>0</v>
      </c>
      <c r="Z410" s="39" t="n">
        <f aca="false">IF(Informed=1,N410,0)</f>
        <v>26.4913813629327</v>
      </c>
      <c r="AA410" s="39" t="n">
        <f aca="false">IF(Informed=0,N410,0)</f>
        <v>0</v>
      </c>
      <c r="AB410" s="43" t="n">
        <f aca="false">IF(Arterial=0,IF(Informed=1,1,0),0)</f>
        <v>0</v>
      </c>
      <c r="AC410" s="43" t="n">
        <f aca="false">IF(Arterial=0,IF(Informed=0,1,0),0)</f>
        <v>0</v>
      </c>
      <c r="AD410" s="43" t="n">
        <f aca="false">IF(Arterial=1,IF(Informed=1,1,0),0)</f>
        <v>1</v>
      </c>
      <c r="AE410" s="43" t="n">
        <f aca="false">IF(Arterial=1,IF(Informed=0,1,0),0)</f>
        <v>0</v>
      </c>
      <c r="AF410" s="35" t="n">
        <f aca="false">IF(AB410=1,(X410-G$1030)^2,0)</f>
        <v>0</v>
      </c>
      <c r="AG410" s="35" t="n">
        <f aca="false">IF(AC410=1,(Y410-H$1030)^2,0)</f>
        <v>0</v>
      </c>
      <c r="AH410" s="35" t="n">
        <f aca="false">IF(AD410=1,(Z410-I$1030)^2,0)</f>
        <v>3.54739682412135</v>
      </c>
      <c r="AI410" s="35" t="n">
        <f aca="false">IF(AE410=1,(AA410-J$1030)^2,0)</f>
        <v>0</v>
      </c>
      <c r="AJ410" s="37" t="n">
        <f aca="true">IF(RAND()&lt;$D$6,1,0)</f>
        <v>0</v>
      </c>
      <c r="AK410" s="14" t="n">
        <f aca="false">AK409+IF((AJ410=1),IF((H410=0),1,0),0)</f>
        <v>0</v>
      </c>
      <c r="AL410" s="14" t="n">
        <f aca="false">AL409+IF((AJ410=1),IF((H410=1),1,0),0)</f>
        <v>0</v>
      </c>
      <c r="AM410" s="37" t="n">
        <f aca="false">IF(AK410=0,9999,IF($H410=0,IF($AJ410&lt;1,AM409+1,0),AM409))</f>
        <v>9999</v>
      </c>
      <c r="AN410" s="37" t="n">
        <f aca="false">IF(AL410=0,9999,IF($H410=1,IF($AJ410&lt;1,AN409+1,0),AN409))</f>
        <v>9999</v>
      </c>
      <c r="AO410" s="37" t="n">
        <f aca="false">IF($A410-AM410&gt;0,1/(1+AM410),0)</f>
        <v>0</v>
      </c>
      <c r="AP410" s="37" t="n">
        <f aca="false">IF($A410-AN410&gt;0,1/(1+AN410),0)</f>
        <v>0</v>
      </c>
      <c r="AQ410" s="7" t="n">
        <f aca="false">IF(AK410=0,0,MAX(MIN(1,AO410^Power),0))</f>
        <v>0</v>
      </c>
      <c r="AR410" s="7" t="n">
        <f aca="false">IF(AL410=0,0,MAX(MIN(1,AP410^Power),0))</f>
        <v>0</v>
      </c>
      <c r="AS410" s="7" t="n">
        <f aca="false">IF($AJ410=1,IF($H410=0,K410,AS409),AS409)</f>
        <v>0</v>
      </c>
      <c r="AT410" s="7" t="n">
        <f aca="false">IF($AJ410=1,IF($H410=1,N410,AT409),AT409)</f>
        <v>0</v>
      </c>
    </row>
    <row r="411" customFormat="false" ht="13" hidden="false" customHeight="false" outlineLevel="0" collapsed="false">
      <c r="A411" s="16" t="n">
        <v>394</v>
      </c>
      <c r="B411" s="37" t="n">
        <f aca="true">IF(RAND()&lt;$D$8,1,0)</f>
        <v>0</v>
      </c>
      <c r="C411" s="20" t="n">
        <f aca="true">-LN(RAND())/$D$2</f>
        <v>2.31926280347343</v>
      </c>
      <c r="D411" s="38" t="n">
        <f aca="false">D410+C411</f>
        <v>428.474877825462</v>
      </c>
      <c r="E411" s="39" t="n">
        <f aca="false">MAX($E$3,AS410)</f>
        <v>0</v>
      </c>
      <c r="F411" s="39" t="n">
        <f aca="false">MAX($E$3,AT410)</f>
        <v>0</v>
      </c>
      <c r="G411" s="40" t="n">
        <v>0.5</v>
      </c>
      <c r="H411" s="38" t="n">
        <f aca="true">IF((B411=1),(IF((F411&lt;E411),1,(IF((F411=E411),(IF(RAND()&lt;G411,1,0)),0)))),(IF((RAND()&lt;G411),1,0)))</f>
        <v>1</v>
      </c>
      <c r="I411" s="38" t="n">
        <f aca="true">IF((H411=1),0,$D$3+$D$5*(RAND()-0.5))</f>
        <v>0</v>
      </c>
      <c r="J411" s="38" t="n">
        <f aca="false">I411+MAX(D411,J410)</f>
        <v>429.91229279963</v>
      </c>
      <c r="K411" s="38" t="n">
        <f aca="false">IF((H411=0),J411-D411,0)</f>
        <v>0</v>
      </c>
      <c r="L411" s="38" t="n">
        <f aca="true">IF(($H411=0),0,$D$4+$D$5*(RAND()-0.5))</f>
        <v>1.90356586640663</v>
      </c>
      <c r="M411" s="38" t="n">
        <f aca="false">L411+MAX(D411,M410)</f>
        <v>454.550562251328</v>
      </c>
      <c r="N411" s="38" t="n">
        <f aca="false">IF((H411=1),M411-D411,0)</f>
        <v>26.0756844258659</v>
      </c>
      <c r="O411" s="16" t="n">
        <v>394</v>
      </c>
      <c r="P411" s="41" t="n">
        <f aca="false">IF((Arterial=0),P410+1,P410)</f>
        <v>181</v>
      </c>
      <c r="Q411" s="41" t="n">
        <f aca="false">IF((Arterial=1),Q410+1,Q410)</f>
        <v>213</v>
      </c>
      <c r="R411" s="42" t="n">
        <f aca="false">IF((RESET=1),0,R411+K411)</f>
        <v>766.286213156458</v>
      </c>
      <c r="S411" s="14" t="e">
        <f aca="false">IF(RESET=1,0,S411+N411)</f>
        <v>#N/A</v>
      </c>
      <c r="T411" s="2" t="n">
        <f aca="false">IF(RESET=1,0,T411+IF(H411=0,1,0))</f>
        <v>40</v>
      </c>
      <c r="U411" s="2" t="e">
        <f aca="false">IF(RESET=1,0,U411+H411)</f>
        <v>#N/A</v>
      </c>
      <c r="V411" s="14" t="n">
        <f aca="false">R411/(T411+0.00001)</f>
        <v>19.1571505396238</v>
      </c>
      <c r="W411" s="14" t="e">
        <f aca="false">S411/(U411+0.0001)</f>
        <v>#N/A</v>
      </c>
      <c r="X411" s="39" t="n">
        <f aca="false">IF(Informed=1,K411,0)</f>
        <v>0</v>
      </c>
      <c r="Y411" s="39" t="n">
        <f aca="false">IF(Informed=0,K411,0)</f>
        <v>0</v>
      </c>
      <c r="Z411" s="39" t="n">
        <f aca="false">IF(Informed=1,N411,0)</f>
        <v>0</v>
      </c>
      <c r="AA411" s="39" t="n">
        <f aca="false">IF(Informed=0,N411,0)</f>
        <v>26.0756844258659</v>
      </c>
      <c r="AB411" s="43" t="n">
        <f aca="false">IF(Arterial=0,IF(Informed=1,1,0),0)</f>
        <v>0</v>
      </c>
      <c r="AC411" s="43" t="n">
        <f aca="false">IF(Arterial=0,IF(Informed=0,1,0),0)</f>
        <v>0</v>
      </c>
      <c r="AD411" s="43" t="n">
        <f aca="false">IF(Arterial=1,IF(Informed=1,1,0),0)</f>
        <v>0</v>
      </c>
      <c r="AE411" s="43" t="n">
        <f aca="false">IF(Arterial=1,IF(Informed=0,1,0),0)</f>
        <v>1</v>
      </c>
      <c r="AF411" s="35" t="n">
        <f aca="false">IF(AB411=1,(X411-G$1030)^2,0)</f>
        <v>0</v>
      </c>
      <c r="AG411" s="35" t="n">
        <f aca="false">IF(AC411=1,(Y411-H$1030)^2,0)</f>
        <v>0</v>
      </c>
      <c r="AH411" s="35" t="n">
        <f aca="false">IF(AD411=1,(Z411-I$1030)^2,0)</f>
        <v>0</v>
      </c>
      <c r="AI411" s="35" t="n">
        <f aca="false">IF(AE411=1,(AA411-J$1030)^2,0)</f>
        <v>12.1702641256695</v>
      </c>
      <c r="AJ411" s="37" t="n">
        <f aca="true">IF(RAND()&lt;$D$6,1,0)</f>
        <v>0</v>
      </c>
      <c r="AK411" s="14" t="n">
        <f aca="false">AK410+IF((AJ411=1),IF((H411=0),1,0),0)</f>
        <v>0</v>
      </c>
      <c r="AL411" s="14" t="n">
        <f aca="false">AL410+IF((AJ411=1),IF((H411=1),1,0),0)</f>
        <v>0</v>
      </c>
      <c r="AM411" s="37" t="n">
        <f aca="false">IF(AK411=0,9999,IF($H411=0,IF($AJ411&lt;1,AM410+1,0),AM410))</f>
        <v>9999</v>
      </c>
      <c r="AN411" s="37" t="n">
        <f aca="false">IF(AL411=0,9999,IF($H411=1,IF($AJ411&lt;1,AN410+1,0),AN410))</f>
        <v>9999</v>
      </c>
      <c r="AO411" s="37" t="n">
        <f aca="false">IF($A411-AM411&gt;0,1/(1+AM411),0)</f>
        <v>0</v>
      </c>
      <c r="AP411" s="37" t="n">
        <f aca="false">IF($A411-AN411&gt;0,1/(1+AN411),0)</f>
        <v>0</v>
      </c>
      <c r="AQ411" s="7" t="n">
        <f aca="false">IF(AK411=0,0,MAX(MIN(1,AO411^Power),0))</f>
        <v>0</v>
      </c>
      <c r="AR411" s="7" t="n">
        <f aca="false">IF(AL411=0,0,MAX(MIN(1,AP411^Power),0))</f>
        <v>0</v>
      </c>
      <c r="AS411" s="7" t="n">
        <f aca="false">IF($AJ411=1,IF($H411=0,K411,AS410),AS410)</f>
        <v>0</v>
      </c>
      <c r="AT411" s="7" t="n">
        <f aca="false">IF($AJ411=1,IF($H411=1,N411,AT410),AT410)</f>
        <v>0</v>
      </c>
    </row>
    <row r="412" customFormat="false" ht="13" hidden="false" customHeight="false" outlineLevel="0" collapsed="false">
      <c r="A412" s="16" t="n">
        <v>395</v>
      </c>
      <c r="B412" s="37" t="n">
        <f aca="true">IF(RAND()&lt;$D$8,1,0)</f>
        <v>0</v>
      </c>
      <c r="C412" s="20" t="n">
        <f aca="true">-LN(RAND())/$D$2</f>
        <v>1.05746901285571</v>
      </c>
      <c r="D412" s="38" t="n">
        <f aca="false">D411+C412</f>
        <v>429.532346838318</v>
      </c>
      <c r="E412" s="39" t="n">
        <f aca="false">MAX($E$3,AS411)</f>
        <v>0</v>
      </c>
      <c r="F412" s="39" t="n">
        <f aca="false">MAX($E$3,AT411)</f>
        <v>0</v>
      </c>
      <c r="G412" s="40" t="n">
        <v>0.5</v>
      </c>
      <c r="H412" s="38" t="n">
        <f aca="true">IF((B412=1),(IF((F412&lt;E412),1,(IF((F412=E412),(IF(RAND()&lt;G412,1,0)),0)))),(IF((RAND()&lt;G412),1,0)))</f>
        <v>0</v>
      </c>
      <c r="I412" s="38" t="n">
        <f aca="true">IF((H412=1),0,$D$3+$D$5*(RAND()-0.5))</f>
        <v>1.96124361999421</v>
      </c>
      <c r="J412" s="38" t="n">
        <f aca="false">I412+MAX(D412,J411)</f>
        <v>431.873536419624</v>
      </c>
      <c r="K412" s="38" t="n">
        <f aca="false">IF((H412=0),J412-D412,0)</f>
        <v>2.34118958130625</v>
      </c>
      <c r="L412" s="38" t="n">
        <f aca="true">IF(($H412=0),0,$D$4+$D$5*(RAND()-0.5))</f>
        <v>0</v>
      </c>
      <c r="M412" s="38" t="n">
        <f aca="false">L412+MAX(D412,M411)</f>
        <v>454.550562251328</v>
      </c>
      <c r="N412" s="38" t="n">
        <f aca="false">IF((H412=1),M412-D412,0)</f>
        <v>0</v>
      </c>
      <c r="O412" s="16" t="n">
        <v>395</v>
      </c>
      <c r="P412" s="41" t="n">
        <f aca="false">IF((Arterial=0),P411+1,P411)</f>
        <v>182</v>
      </c>
      <c r="Q412" s="41" t="n">
        <f aca="false">IF((Arterial=1),Q411+1,Q411)</f>
        <v>213</v>
      </c>
      <c r="R412" s="42" t="e">
        <f aca="false">IF((RESET=1),0,R412+K412)</f>
        <v>#N/A</v>
      </c>
      <c r="S412" s="14" t="n">
        <f aca="false">IF(RESET=1,0,S412+N412)</f>
        <v>574.261493145554</v>
      </c>
      <c r="T412" s="2" t="e">
        <f aca="false">IF(RESET=1,0,T412+IF(H412=0,1,0))</f>
        <v>#N/A</v>
      </c>
      <c r="U412" s="2" t="n">
        <f aca="false">IF(RESET=1,0,U412+H412)</f>
        <v>32</v>
      </c>
      <c r="V412" s="14" t="e">
        <f aca="false">R412/(T412+0.00001)</f>
        <v>#N/A</v>
      </c>
      <c r="W412" s="14" t="n">
        <f aca="false">S412/(U412+0.0001)</f>
        <v>17.9456155807499</v>
      </c>
      <c r="X412" s="39" t="n">
        <f aca="false">IF(Informed=1,K412,0)</f>
        <v>0</v>
      </c>
      <c r="Y412" s="39" t="n">
        <f aca="false">IF(Informed=0,K412,0)</f>
        <v>2.34118958130625</v>
      </c>
      <c r="Z412" s="39" t="n">
        <f aca="false">IF(Informed=1,N412,0)</f>
        <v>0</v>
      </c>
      <c r="AA412" s="39" t="n">
        <f aca="false">IF(Informed=0,N412,0)</f>
        <v>0</v>
      </c>
      <c r="AB412" s="43" t="n">
        <f aca="false">IF(Arterial=0,IF(Informed=1,1,0),0)</f>
        <v>0</v>
      </c>
      <c r="AC412" s="43" t="n">
        <f aca="false">IF(Arterial=0,IF(Informed=0,1,0),0)</f>
        <v>1</v>
      </c>
      <c r="AD412" s="43" t="n">
        <f aca="false">IF(Arterial=1,IF(Informed=1,1,0),0)</f>
        <v>0</v>
      </c>
      <c r="AE412" s="43" t="n">
        <f aca="false">IF(Arterial=1,IF(Informed=0,1,0),0)</f>
        <v>0</v>
      </c>
      <c r="AF412" s="35" t="n">
        <f aca="false">IF(AB412=1,(X412-G$1030)^2,0)</f>
        <v>0</v>
      </c>
      <c r="AG412" s="35" t="n">
        <f aca="false">IF(AC412=1,(Y412-H$1030)^2,0)</f>
        <v>73.6609484246376</v>
      </c>
      <c r="AH412" s="35" t="n">
        <f aca="false">IF(AD412=1,(Z412-I$1030)^2,0)</f>
        <v>0</v>
      </c>
      <c r="AI412" s="35" t="n">
        <f aca="false">IF(AE412=1,(AA412-J$1030)^2,0)</f>
        <v>0</v>
      </c>
      <c r="AJ412" s="37" t="n">
        <f aca="true">IF(RAND()&lt;$D$6,1,0)</f>
        <v>0</v>
      </c>
      <c r="AK412" s="14" t="n">
        <f aca="false">AK411+IF((AJ412=1),IF((H412=0),1,0),0)</f>
        <v>0</v>
      </c>
      <c r="AL412" s="14" t="n">
        <f aca="false">AL411+IF((AJ412=1),IF((H412=1),1,0),0)</f>
        <v>0</v>
      </c>
      <c r="AM412" s="37" t="n">
        <f aca="false">IF(AK412=0,9999,IF($H412=0,IF($AJ412&lt;1,AM411+1,0),AM411))</f>
        <v>9999</v>
      </c>
      <c r="AN412" s="37" t="n">
        <f aca="false">IF(AL412=0,9999,IF($H412=1,IF($AJ412&lt;1,AN411+1,0),AN411))</f>
        <v>9999</v>
      </c>
      <c r="AO412" s="37" t="n">
        <f aca="false">IF($A412-AM412&gt;0,1/(1+AM412),0)</f>
        <v>0</v>
      </c>
      <c r="AP412" s="37" t="n">
        <f aca="false">IF($A412-AN412&gt;0,1/(1+AN412),0)</f>
        <v>0</v>
      </c>
      <c r="AQ412" s="7" t="n">
        <f aca="false">IF(AK412=0,0,MAX(MIN(1,AO412^Power),0))</f>
        <v>0</v>
      </c>
      <c r="AR412" s="7" t="n">
        <f aca="false">IF(AL412=0,0,MAX(MIN(1,AP412^Power),0))</f>
        <v>0</v>
      </c>
      <c r="AS412" s="7" t="n">
        <f aca="false">IF($AJ412=1,IF($H412=0,K412,AS411),AS411)</f>
        <v>0</v>
      </c>
      <c r="AT412" s="7" t="n">
        <f aca="false">IF($AJ412=1,IF($H412=1,N412,AT411),AT411)</f>
        <v>0</v>
      </c>
    </row>
    <row r="413" customFormat="false" ht="13" hidden="false" customHeight="false" outlineLevel="0" collapsed="false">
      <c r="A413" s="16" t="n">
        <v>396</v>
      </c>
      <c r="B413" s="37" t="n">
        <f aca="true">IF(RAND()&lt;$D$8,1,0)</f>
        <v>1</v>
      </c>
      <c r="C413" s="20" t="n">
        <f aca="true">-LN(RAND())/$D$2</f>
        <v>1.3549768632378</v>
      </c>
      <c r="D413" s="38" t="n">
        <f aca="false">D412+C413</f>
        <v>430.887323701556</v>
      </c>
      <c r="E413" s="39" t="n">
        <f aca="false">MAX($E$3,AS412)</f>
        <v>0</v>
      </c>
      <c r="F413" s="39" t="n">
        <f aca="false">MAX($E$3,AT412)</f>
        <v>0</v>
      </c>
      <c r="G413" s="40" t="n">
        <v>0.5</v>
      </c>
      <c r="H413" s="38" t="n">
        <f aca="true">IF((B413=1),(IF((F413&lt;E413),1,(IF((F413=E413),(IF(RAND()&lt;G413,1,0)),0)))),(IF((RAND()&lt;G413),1,0)))</f>
        <v>0</v>
      </c>
      <c r="I413" s="38" t="n">
        <f aca="true">IF((H413=1),0,$D$3+$D$5*(RAND()-0.5))</f>
        <v>1.77180109027003</v>
      </c>
      <c r="J413" s="38" t="n">
        <f aca="false">I413+MAX(D413,J412)</f>
        <v>433.645337509894</v>
      </c>
      <c r="K413" s="38" t="n">
        <f aca="false">IF((H413=0),J413-D413,0)</f>
        <v>2.75801380833849</v>
      </c>
      <c r="L413" s="38" t="n">
        <f aca="true">IF(($H413=0),0,$D$4+$D$5*(RAND()-0.5))</f>
        <v>0</v>
      </c>
      <c r="M413" s="38" t="n">
        <f aca="false">L413+MAX(D413,M412)</f>
        <v>454.550562251328</v>
      </c>
      <c r="N413" s="38" t="n">
        <f aca="false">IF((H413=1),M413-D413,0)</f>
        <v>0</v>
      </c>
      <c r="O413" s="16" t="n">
        <v>396</v>
      </c>
      <c r="P413" s="41" t="n">
        <f aca="false">IF((Arterial=0),P412+1,P412)</f>
        <v>183</v>
      </c>
      <c r="Q413" s="41" t="n">
        <f aca="false">IF((Arterial=1),Q412+1,Q412)</f>
        <v>213</v>
      </c>
      <c r="R413" s="42" t="e">
        <f aca="false">IF((RESET=1),0,R413+K413)</f>
        <v>#N/A</v>
      </c>
      <c r="S413" s="14" t="n">
        <f aca="false">IF(RESET=1,0,S413+N413)</f>
        <v>521.989090397349</v>
      </c>
      <c r="T413" s="2" t="e">
        <f aca="false">IF(RESET=1,0,T413+IF(H413=0,1,0))</f>
        <v>#N/A</v>
      </c>
      <c r="U413" s="2" t="n">
        <f aca="false">IF(RESET=1,0,U413+H413)</f>
        <v>40</v>
      </c>
      <c r="V413" s="14" t="e">
        <f aca="false">R413/(T413+0.00001)</f>
        <v>#N/A</v>
      </c>
      <c r="W413" s="14" t="n">
        <f aca="false">S413/(U413+0.0001)</f>
        <v>13.0496946356971</v>
      </c>
      <c r="X413" s="39" t="n">
        <f aca="false">IF(Informed=1,K413,0)</f>
        <v>2.75801380833849</v>
      </c>
      <c r="Y413" s="39" t="n">
        <f aca="false">IF(Informed=0,K413,0)</f>
        <v>0</v>
      </c>
      <c r="Z413" s="39" t="n">
        <f aca="false">IF(Informed=1,N413,0)</f>
        <v>0</v>
      </c>
      <c r="AA413" s="39" t="n">
        <f aca="false">IF(Informed=0,N413,0)</f>
        <v>0</v>
      </c>
      <c r="AB413" s="43" t="n">
        <f aca="false">IF(Arterial=0,IF(Informed=1,1,0),0)</f>
        <v>1</v>
      </c>
      <c r="AC413" s="43" t="n">
        <f aca="false">IF(Arterial=0,IF(Informed=0,1,0),0)</f>
        <v>0</v>
      </c>
      <c r="AD413" s="43" t="n">
        <f aca="false">IF(Arterial=1,IF(Informed=1,1,0),0)</f>
        <v>0</v>
      </c>
      <c r="AE413" s="43" t="n">
        <f aca="false">IF(Arterial=1,IF(Informed=0,1,0),0)</f>
        <v>0</v>
      </c>
      <c r="AF413" s="35" t="n">
        <f aca="false">IF(AB413=1,(X413-G$1030)^2,0)</f>
        <v>63.2289672620306</v>
      </c>
      <c r="AG413" s="35" t="n">
        <f aca="false">IF(AC413=1,(Y413-H$1030)^2,0)</f>
        <v>0</v>
      </c>
      <c r="AH413" s="35" t="n">
        <f aca="false">IF(AD413=1,(Z413-I$1030)^2,0)</f>
        <v>0</v>
      </c>
      <c r="AI413" s="35" t="n">
        <f aca="false">IF(AE413=1,(AA413-J$1030)^2,0)</f>
        <v>0</v>
      </c>
      <c r="AJ413" s="37" t="n">
        <f aca="true">IF(RAND()&lt;$D$6,1,0)</f>
        <v>0</v>
      </c>
      <c r="AK413" s="14" t="n">
        <f aca="false">AK412+IF((AJ413=1),IF((H413=0),1,0),0)</f>
        <v>0</v>
      </c>
      <c r="AL413" s="14" t="n">
        <f aca="false">AL412+IF((AJ413=1),IF((H413=1),1,0),0)</f>
        <v>0</v>
      </c>
      <c r="AM413" s="37" t="n">
        <f aca="false">IF(AK413=0,9999,IF($H413=0,IF($AJ413&lt;1,AM412+1,0),AM412))</f>
        <v>9999</v>
      </c>
      <c r="AN413" s="37" t="n">
        <f aca="false">IF(AL413=0,9999,IF($H413=1,IF($AJ413&lt;1,AN412+1,0),AN412))</f>
        <v>9999</v>
      </c>
      <c r="AO413" s="37" t="n">
        <f aca="false">IF($A413-AM413&gt;0,1/(1+AM413),0)</f>
        <v>0</v>
      </c>
      <c r="AP413" s="37" t="n">
        <f aca="false">IF($A413-AN413&gt;0,1/(1+AN413),0)</f>
        <v>0</v>
      </c>
      <c r="AQ413" s="7" t="n">
        <f aca="false">IF(AK413=0,0,MAX(MIN(1,AO413^Power),0))</f>
        <v>0</v>
      </c>
      <c r="AR413" s="7" t="n">
        <f aca="false">IF(AL413=0,0,MAX(MIN(1,AP413^Power),0))</f>
        <v>0</v>
      </c>
      <c r="AS413" s="7" t="n">
        <f aca="false">IF($AJ413=1,IF($H413=0,K413,AS412),AS412)</f>
        <v>0</v>
      </c>
      <c r="AT413" s="7" t="n">
        <f aca="false">IF($AJ413=1,IF($H413=1,N413,AT412),AT412)</f>
        <v>0</v>
      </c>
    </row>
    <row r="414" customFormat="false" ht="13" hidden="false" customHeight="false" outlineLevel="0" collapsed="false">
      <c r="A414" s="16" t="n">
        <v>397</v>
      </c>
      <c r="B414" s="37" t="n">
        <f aca="true">IF(RAND()&lt;$D$8,1,0)</f>
        <v>0</v>
      </c>
      <c r="C414" s="20" t="n">
        <f aca="true">-LN(RAND())/$D$2</f>
        <v>2.75101419978081</v>
      </c>
      <c r="D414" s="38" t="n">
        <f aca="false">D413+C414</f>
        <v>433.638337901337</v>
      </c>
      <c r="E414" s="39" t="n">
        <f aca="false">MAX($E$3,AS413)</f>
        <v>0</v>
      </c>
      <c r="F414" s="39" t="n">
        <f aca="false">MAX($E$3,AT413)</f>
        <v>0</v>
      </c>
      <c r="G414" s="40" t="n">
        <v>0.5</v>
      </c>
      <c r="H414" s="38" t="n">
        <f aca="true">IF((B414=1),(IF((F414&lt;E414),1,(IF((F414=E414),(IF(RAND()&lt;G414,1,0)),0)))),(IF((RAND()&lt;G414),1,0)))</f>
        <v>1</v>
      </c>
      <c r="I414" s="38" t="n">
        <f aca="true">IF((H414=1),0,$D$3+$D$5*(RAND()-0.5))</f>
        <v>0</v>
      </c>
      <c r="J414" s="38" t="n">
        <f aca="false">I414+MAX(D414,J413)</f>
        <v>433.645337509894</v>
      </c>
      <c r="K414" s="38" t="n">
        <f aca="false">IF((H414=0),J414-D414,0)</f>
        <v>0</v>
      </c>
      <c r="L414" s="38" t="n">
        <f aca="true">IF(($H414=0),0,$D$4+$D$5*(RAND()-0.5))</f>
        <v>2.00095374201821</v>
      </c>
      <c r="M414" s="38" t="n">
        <f aca="false">L414+MAX(D414,M413)</f>
        <v>456.551515993347</v>
      </c>
      <c r="N414" s="38" t="n">
        <f aca="false">IF((H414=1),M414-D414,0)</f>
        <v>22.9131780920098</v>
      </c>
      <c r="O414" s="16" t="n">
        <v>397</v>
      </c>
      <c r="P414" s="41" t="n">
        <f aca="false">IF((Arterial=0),P413+1,P413)</f>
        <v>183</v>
      </c>
      <c r="Q414" s="41" t="n">
        <f aca="false">IF((Arterial=1),Q413+1,Q413)</f>
        <v>214</v>
      </c>
      <c r="R414" s="42" t="n">
        <f aca="false">IF((RESET=1),0,R414+K414)</f>
        <v>823.865287823357</v>
      </c>
      <c r="S414" s="14" t="e">
        <f aca="false">IF(RESET=1,0,S414+N414)</f>
        <v>#N/A</v>
      </c>
      <c r="T414" s="2" t="n">
        <f aca="false">IF(RESET=1,0,T414+IF(H414=0,1,0))</f>
        <v>40</v>
      </c>
      <c r="U414" s="2" t="e">
        <f aca="false">IF(RESET=1,0,U414+H414)</f>
        <v>#N/A</v>
      </c>
      <c r="V414" s="14" t="n">
        <f aca="false">R414/(T414+0.00001)</f>
        <v>20.5966270464272</v>
      </c>
      <c r="W414" s="14" t="e">
        <f aca="false">S414/(U414+0.0001)</f>
        <v>#N/A</v>
      </c>
      <c r="X414" s="39" t="n">
        <f aca="false">IF(Informed=1,K414,0)</f>
        <v>0</v>
      </c>
      <c r="Y414" s="39" t="n">
        <f aca="false">IF(Informed=0,K414,0)</f>
        <v>0</v>
      </c>
      <c r="Z414" s="39" t="n">
        <f aca="false">IF(Informed=1,N414,0)</f>
        <v>0</v>
      </c>
      <c r="AA414" s="39" t="n">
        <f aca="false">IF(Informed=0,N414,0)</f>
        <v>22.9131780920098</v>
      </c>
      <c r="AB414" s="43" t="n">
        <f aca="false">IF(Arterial=0,IF(Informed=1,1,0),0)</f>
        <v>0</v>
      </c>
      <c r="AC414" s="43" t="n">
        <f aca="false">IF(Arterial=0,IF(Informed=0,1,0),0)</f>
        <v>0</v>
      </c>
      <c r="AD414" s="43" t="n">
        <f aca="false">IF(Arterial=1,IF(Informed=1,1,0),0)</f>
        <v>0</v>
      </c>
      <c r="AE414" s="43" t="n">
        <f aca="false">IF(Arterial=1,IF(Informed=0,1,0),0)</f>
        <v>1</v>
      </c>
      <c r="AF414" s="35" t="n">
        <f aca="false">IF(AB414=1,(X414-G$1030)^2,0)</f>
        <v>0</v>
      </c>
      <c r="AG414" s="35" t="n">
        <f aca="false">IF(AC414=1,(Y414-H$1030)^2,0)</f>
        <v>0</v>
      </c>
      <c r="AH414" s="35" t="n">
        <f aca="false">IF(AD414=1,(Z414-I$1030)^2,0)</f>
        <v>0</v>
      </c>
      <c r="AI414" s="35" t="n">
        <f aca="false">IF(AE414=1,(AA414-J$1030)^2,0)</f>
        <v>44.2370899493227</v>
      </c>
      <c r="AJ414" s="37" t="n">
        <f aca="true">IF(RAND()&lt;$D$6,1,0)</f>
        <v>0</v>
      </c>
      <c r="AK414" s="14" t="n">
        <f aca="false">AK413+IF((AJ414=1),IF((H414=0),1,0),0)</f>
        <v>0</v>
      </c>
      <c r="AL414" s="14" t="n">
        <f aca="false">AL413+IF((AJ414=1),IF((H414=1),1,0),0)</f>
        <v>0</v>
      </c>
      <c r="AM414" s="37" t="n">
        <f aca="false">IF(AK414=0,9999,IF($H414=0,IF($AJ414&lt;1,AM413+1,0),AM413))</f>
        <v>9999</v>
      </c>
      <c r="AN414" s="37" t="n">
        <f aca="false">IF(AL414=0,9999,IF($H414=1,IF($AJ414&lt;1,AN413+1,0),AN413))</f>
        <v>9999</v>
      </c>
      <c r="AO414" s="37" t="n">
        <f aca="false">IF($A414-AM414&gt;0,1/(1+AM414),0)</f>
        <v>0</v>
      </c>
      <c r="AP414" s="37" t="n">
        <f aca="false">IF($A414-AN414&gt;0,1/(1+AN414),0)</f>
        <v>0</v>
      </c>
      <c r="AQ414" s="7" t="n">
        <f aca="false">IF(AK414=0,0,MAX(MIN(1,AO414^Power),0))</f>
        <v>0</v>
      </c>
      <c r="AR414" s="7" t="n">
        <f aca="false">IF(AL414=0,0,MAX(MIN(1,AP414^Power),0))</f>
        <v>0</v>
      </c>
      <c r="AS414" s="7" t="n">
        <f aca="false">IF($AJ414=1,IF($H414=0,K414,AS413),AS413)</f>
        <v>0</v>
      </c>
      <c r="AT414" s="7" t="n">
        <f aca="false">IF($AJ414=1,IF($H414=1,N414,AT413),AT413)</f>
        <v>0</v>
      </c>
    </row>
    <row r="415" customFormat="false" ht="13" hidden="false" customHeight="false" outlineLevel="0" collapsed="false">
      <c r="A415" s="16" t="n">
        <v>398</v>
      </c>
      <c r="B415" s="37" t="n">
        <f aca="true">IF(RAND()&lt;$D$8,1,0)</f>
        <v>1</v>
      </c>
      <c r="C415" s="20" t="n">
        <f aca="true">-LN(RAND())/$D$2</f>
        <v>0.760102549128827</v>
      </c>
      <c r="D415" s="38" t="n">
        <f aca="false">D414+C415</f>
        <v>434.398440450466</v>
      </c>
      <c r="E415" s="39" t="n">
        <f aca="false">MAX($E$3,AS414)</f>
        <v>0</v>
      </c>
      <c r="F415" s="39" t="n">
        <f aca="false">MAX($E$3,AT414)</f>
        <v>0</v>
      </c>
      <c r="G415" s="40" t="n">
        <v>0.5</v>
      </c>
      <c r="H415" s="38" t="n">
        <f aca="true">IF((B415=1),(IF((F415&lt;E415),1,(IF((F415=E415),(IF(RAND()&lt;G415,1,0)),0)))),(IF((RAND()&lt;G415),1,0)))</f>
        <v>1</v>
      </c>
      <c r="I415" s="38" t="n">
        <f aca="true">IF((H415=1),0,$D$3+$D$5*(RAND()-0.5))</f>
        <v>0</v>
      </c>
      <c r="J415" s="38" t="n">
        <f aca="false">I415+MAX(D415,J414)</f>
        <v>434.398440450466</v>
      </c>
      <c r="K415" s="38" t="n">
        <f aca="false">IF((H415=0),J415-D415,0)</f>
        <v>0</v>
      </c>
      <c r="L415" s="38" t="n">
        <f aca="true">IF(($H415=0),0,$D$4+$D$5*(RAND()-0.5))</f>
        <v>1.97166507315807</v>
      </c>
      <c r="M415" s="38" t="n">
        <f aca="false">L415+MAX(D415,M414)</f>
        <v>458.523181066505</v>
      </c>
      <c r="N415" s="38" t="n">
        <f aca="false">IF((H415=1),M415-D415,0)</f>
        <v>24.1247406160391</v>
      </c>
      <c r="O415" s="16" t="n">
        <v>398</v>
      </c>
      <c r="P415" s="41" t="n">
        <f aca="false">IF((Arterial=0),P414+1,P414)</f>
        <v>183</v>
      </c>
      <c r="Q415" s="41" t="n">
        <f aca="false">IF((Arterial=1),Q414+1,Q414)</f>
        <v>215</v>
      </c>
      <c r="R415" s="42" t="n">
        <f aca="false">IF((RESET=1),0,R415+K415)</f>
        <v>648.189005334105</v>
      </c>
      <c r="S415" s="14" t="e">
        <f aca="false">IF(RESET=1,0,S415+N415)</f>
        <v>#N/A</v>
      </c>
      <c r="T415" s="2" t="n">
        <f aca="false">IF(RESET=1,0,T415+IF(H415=0,1,0))</f>
        <v>34</v>
      </c>
      <c r="U415" s="2" t="e">
        <f aca="false">IF(RESET=1,0,U415+H415)</f>
        <v>#N/A</v>
      </c>
      <c r="V415" s="14" t="n">
        <f aca="false">R415/(T415+0.00001)</f>
        <v>19.0643769026569</v>
      </c>
      <c r="W415" s="14" t="e">
        <f aca="false">S415/(U415+0.0001)</f>
        <v>#N/A</v>
      </c>
      <c r="X415" s="39" t="n">
        <f aca="false">IF(Informed=1,K415,0)</f>
        <v>0</v>
      </c>
      <c r="Y415" s="39" t="n">
        <f aca="false">IF(Informed=0,K415,0)</f>
        <v>0</v>
      </c>
      <c r="Z415" s="39" t="n">
        <f aca="false">IF(Informed=1,N415,0)</f>
        <v>24.1247406160391</v>
      </c>
      <c r="AA415" s="39" t="n">
        <f aca="false">IF(Informed=0,N415,0)</f>
        <v>0</v>
      </c>
      <c r="AB415" s="43" t="n">
        <f aca="false">IF(Arterial=0,IF(Informed=1,1,0),0)</f>
        <v>0</v>
      </c>
      <c r="AC415" s="43" t="n">
        <f aca="false">IF(Arterial=0,IF(Informed=0,1,0),0)</f>
        <v>0</v>
      </c>
      <c r="AD415" s="43" t="n">
        <f aca="false">IF(Arterial=1,IF(Informed=1,1,0),0)</f>
        <v>1</v>
      </c>
      <c r="AE415" s="43" t="n">
        <f aca="false">IF(Arterial=1,IF(Informed=0,1,0),0)</f>
        <v>0</v>
      </c>
      <c r="AF415" s="35" t="n">
        <f aca="false">IF(AB415=1,(X415-G$1030)^2,0)</f>
        <v>0</v>
      </c>
      <c r="AG415" s="35" t="n">
        <f aca="false">IF(AC415=1,(Y415-H$1030)^2,0)</f>
        <v>0</v>
      </c>
      <c r="AH415" s="35" t="n">
        <f aca="false">IF(AD415=1,(Z415-I$1030)^2,0)</f>
        <v>18.0633005150437</v>
      </c>
      <c r="AI415" s="35" t="n">
        <f aca="false">IF(AE415=1,(AA415-J$1030)^2,0)</f>
        <v>0</v>
      </c>
      <c r="AJ415" s="37" t="n">
        <f aca="true">IF(RAND()&lt;$D$6,1,0)</f>
        <v>0</v>
      </c>
      <c r="AK415" s="14" t="n">
        <f aca="false">AK414+IF((AJ415=1),IF((H415=0),1,0),0)</f>
        <v>0</v>
      </c>
      <c r="AL415" s="14" t="n">
        <f aca="false">AL414+IF((AJ415=1),IF((H415=1),1,0),0)</f>
        <v>0</v>
      </c>
      <c r="AM415" s="37" t="n">
        <f aca="false">IF(AK415=0,9999,IF($H415=0,IF($AJ415&lt;1,AM414+1,0),AM414))</f>
        <v>9999</v>
      </c>
      <c r="AN415" s="37" t="n">
        <f aca="false">IF(AL415=0,9999,IF($H415=1,IF($AJ415&lt;1,AN414+1,0),AN414))</f>
        <v>9999</v>
      </c>
      <c r="AO415" s="37" t="n">
        <f aca="false">IF($A415-AM415&gt;0,1/(1+AM415),0)</f>
        <v>0</v>
      </c>
      <c r="AP415" s="37" t="n">
        <f aca="false">IF($A415-AN415&gt;0,1/(1+AN415),0)</f>
        <v>0</v>
      </c>
      <c r="AQ415" s="7" t="n">
        <f aca="false">IF(AK415=0,0,MAX(MIN(1,AO415^Power),0))</f>
        <v>0</v>
      </c>
      <c r="AR415" s="7" t="n">
        <f aca="false">IF(AL415=0,0,MAX(MIN(1,AP415^Power),0))</f>
        <v>0</v>
      </c>
      <c r="AS415" s="7" t="n">
        <f aca="false">IF($AJ415=1,IF($H415=0,K415,AS414),AS414)</f>
        <v>0</v>
      </c>
      <c r="AT415" s="7" t="n">
        <f aca="false">IF($AJ415=1,IF($H415=1,N415,AT414),AT414)</f>
        <v>0</v>
      </c>
    </row>
    <row r="416" customFormat="false" ht="13" hidden="false" customHeight="false" outlineLevel="0" collapsed="false">
      <c r="A416" s="16" t="n">
        <v>399</v>
      </c>
      <c r="B416" s="37" t="n">
        <f aca="true">IF(RAND()&lt;$D$8,1,0)</f>
        <v>0</v>
      </c>
      <c r="C416" s="20" t="n">
        <f aca="true">-LN(RAND())/$D$2</f>
        <v>2.16436497189618</v>
      </c>
      <c r="D416" s="38" t="n">
        <f aca="false">D415+C416</f>
        <v>436.562805422362</v>
      </c>
      <c r="E416" s="39" t="n">
        <f aca="false">MAX($E$3,AS415)</f>
        <v>0</v>
      </c>
      <c r="F416" s="39" t="n">
        <f aca="false">MAX($E$3,AT415)</f>
        <v>0</v>
      </c>
      <c r="G416" s="40" t="n">
        <v>0.5</v>
      </c>
      <c r="H416" s="38" t="n">
        <f aca="true">IF((B416=1),(IF((F416&lt;E416),1,(IF((F416=E416),(IF(RAND()&lt;G416,1,0)),0)))),(IF((RAND()&lt;G416),1,0)))</f>
        <v>0</v>
      </c>
      <c r="I416" s="38" t="n">
        <f aca="true">IF((H416=1),0,$D$3+$D$5*(RAND()-0.5))</f>
        <v>1.9163441724767</v>
      </c>
      <c r="J416" s="38" t="n">
        <f aca="false">I416+MAX(D416,J415)</f>
        <v>438.479149594839</v>
      </c>
      <c r="K416" s="38" t="n">
        <f aca="false">IF((H416=0),J416-D416,0)</f>
        <v>1.91634417247673</v>
      </c>
      <c r="L416" s="38" t="n">
        <f aca="true">IF(($H416=0),0,$D$4+$D$5*(RAND()-0.5))</f>
        <v>0</v>
      </c>
      <c r="M416" s="38" t="n">
        <f aca="false">L416+MAX(D416,M415)</f>
        <v>458.523181066505</v>
      </c>
      <c r="N416" s="38" t="n">
        <f aca="false">IF((H416=1),M416-D416,0)</f>
        <v>0</v>
      </c>
      <c r="O416" s="16" t="n">
        <v>399</v>
      </c>
      <c r="P416" s="41" t="n">
        <f aca="false">IF((Arterial=0),P415+1,P415)</f>
        <v>184</v>
      </c>
      <c r="Q416" s="41" t="n">
        <f aca="false">IF((Arterial=1),Q415+1,Q415)</f>
        <v>215</v>
      </c>
      <c r="R416" s="42" t="e">
        <f aca="false">IF((RESET=1),0,R416+K416)</f>
        <v>#N/A</v>
      </c>
      <c r="S416" s="14" t="n">
        <f aca="false">IF(RESET=1,0,S416+N416)</f>
        <v>700.138873051026</v>
      </c>
      <c r="T416" s="2" t="e">
        <f aca="false">IF(RESET=1,0,T416+IF(H416=0,1,0))</f>
        <v>#N/A</v>
      </c>
      <c r="U416" s="2" t="n">
        <f aca="false">IF(RESET=1,0,U416+H416)</f>
        <v>42</v>
      </c>
      <c r="V416" s="14" t="e">
        <f aca="false">R416/(T416+0.00001)</f>
        <v>#N/A</v>
      </c>
      <c r="W416" s="14" t="n">
        <f aca="false">S416/(U416+0.0001)</f>
        <v>16.6699334775638</v>
      </c>
      <c r="X416" s="39" t="n">
        <f aca="false">IF(Informed=1,K416,0)</f>
        <v>0</v>
      </c>
      <c r="Y416" s="39" t="n">
        <f aca="false">IF(Informed=0,K416,0)</f>
        <v>1.91634417247673</v>
      </c>
      <c r="Z416" s="39" t="n">
        <f aca="false">IF(Informed=1,N416,0)</f>
        <v>0</v>
      </c>
      <c r="AA416" s="39" t="n">
        <f aca="false">IF(Informed=0,N416,0)</f>
        <v>0</v>
      </c>
      <c r="AB416" s="43" t="n">
        <f aca="false">IF(Arterial=0,IF(Informed=1,1,0),0)</f>
        <v>0</v>
      </c>
      <c r="AC416" s="43" t="n">
        <f aca="false">IF(Arterial=0,IF(Informed=0,1,0),0)</f>
        <v>1</v>
      </c>
      <c r="AD416" s="43" t="n">
        <f aca="false">IF(Arterial=1,IF(Informed=1,1,0),0)</f>
        <v>0</v>
      </c>
      <c r="AE416" s="43" t="n">
        <f aca="false">IF(Arterial=1,IF(Informed=0,1,0),0)</f>
        <v>0</v>
      </c>
      <c r="AF416" s="35" t="n">
        <f aca="false">IF(AB416=1,(X416-G$1030)^2,0)</f>
        <v>0</v>
      </c>
      <c r="AG416" s="35" t="n">
        <f aca="false">IF(AC416=1,(Y416-H$1030)^2,0)</f>
        <v>81.1339947780222</v>
      </c>
      <c r="AH416" s="35" t="n">
        <f aca="false">IF(AD416=1,(Z416-I$1030)^2,0)</f>
        <v>0</v>
      </c>
      <c r="AI416" s="35" t="n">
        <f aca="false">IF(AE416=1,(AA416-J$1030)^2,0)</f>
        <v>0</v>
      </c>
      <c r="AJ416" s="37" t="n">
        <f aca="true">IF(RAND()&lt;$D$6,1,0)</f>
        <v>0</v>
      </c>
      <c r="AK416" s="14" t="n">
        <f aca="false">AK415+IF((AJ416=1),IF((H416=0),1,0),0)</f>
        <v>0</v>
      </c>
      <c r="AL416" s="14" t="n">
        <f aca="false">AL415+IF((AJ416=1),IF((H416=1),1,0),0)</f>
        <v>0</v>
      </c>
      <c r="AM416" s="37" t="n">
        <f aca="false">IF(AK416=0,9999,IF($H416=0,IF($AJ416&lt;1,AM415+1,0),AM415))</f>
        <v>9999</v>
      </c>
      <c r="AN416" s="37" t="n">
        <f aca="false">IF(AL416=0,9999,IF($H416=1,IF($AJ416&lt;1,AN415+1,0),AN415))</f>
        <v>9999</v>
      </c>
      <c r="AO416" s="37" t="n">
        <f aca="false">IF($A416-AM416&gt;0,1/(1+AM416),0)</f>
        <v>0</v>
      </c>
      <c r="AP416" s="37" t="n">
        <f aca="false">IF($A416-AN416&gt;0,1/(1+AN416),0)</f>
        <v>0</v>
      </c>
      <c r="AQ416" s="7" t="n">
        <f aca="false">IF(AK416=0,0,MAX(MIN(1,AO416^Power),0))</f>
        <v>0</v>
      </c>
      <c r="AR416" s="7" t="n">
        <f aca="false">IF(AL416=0,0,MAX(MIN(1,AP416^Power),0))</f>
        <v>0</v>
      </c>
      <c r="AS416" s="7" t="n">
        <f aca="false">IF($AJ416=1,IF($H416=0,K416,AS415),AS415)</f>
        <v>0</v>
      </c>
      <c r="AT416" s="7" t="n">
        <f aca="false">IF($AJ416=1,IF($H416=1,N416,AT415),AT415)</f>
        <v>0</v>
      </c>
    </row>
    <row r="417" customFormat="false" ht="13" hidden="false" customHeight="false" outlineLevel="0" collapsed="false">
      <c r="A417" s="16" t="n">
        <v>400</v>
      </c>
      <c r="B417" s="37" t="n">
        <f aca="true">IF(RAND()&lt;$D$8,1,0)</f>
        <v>0</v>
      </c>
      <c r="C417" s="20" t="n">
        <f aca="true">-LN(RAND())/$D$2</f>
        <v>0.803120991151042</v>
      </c>
      <c r="D417" s="38" t="n">
        <f aca="false">D416+C417</f>
        <v>437.365926413513</v>
      </c>
      <c r="E417" s="39" t="n">
        <f aca="false">MAX($E$3,AS416)</f>
        <v>0</v>
      </c>
      <c r="F417" s="39" t="n">
        <f aca="false">MAX($E$3,AT416)</f>
        <v>0</v>
      </c>
      <c r="G417" s="40" t="n">
        <v>0.5</v>
      </c>
      <c r="H417" s="38" t="n">
        <f aca="true">IF((B417=1),(IF((F417&lt;E417),1,(IF((F417=E417),(IF(RAND()&lt;G417,1,0)),0)))),(IF((RAND()&lt;G417),1,0)))</f>
        <v>0</v>
      </c>
      <c r="I417" s="38" t="n">
        <f aca="true">IF((H417=1),0,$D$3+$D$5*(RAND()-0.5))</f>
        <v>2.08834574848843</v>
      </c>
      <c r="J417" s="38" t="n">
        <f aca="false">I417+MAX(D417,J416)</f>
        <v>440.567495343327</v>
      </c>
      <c r="K417" s="38" t="n">
        <f aca="false">IF((H417=0),J417-D417,0)</f>
        <v>3.20156892981413</v>
      </c>
      <c r="L417" s="38" t="n">
        <f aca="true">IF(($H417=0),0,$D$4+$D$5*(RAND()-0.5))</f>
        <v>0</v>
      </c>
      <c r="M417" s="38" t="n">
        <f aca="false">L417+MAX(D417,M416)</f>
        <v>458.523181066505</v>
      </c>
      <c r="N417" s="38" t="n">
        <f aca="false">IF((H417=1),M417-D417,0)</f>
        <v>0</v>
      </c>
      <c r="O417" s="16" t="n">
        <v>400</v>
      </c>
      <c r="P417" s="41" t="n">
        <f aca="false">IF((Arterial=0),P416+1,P416)</f>
        <v>185</v>
      </c>
      <c r="Q417" s="41" t="n">
        <f aca="false">IF((Arterial=1),Q416+1,Q416)</f>
        <v>215</v>
      </c>
      <c r="R417" s="42" t="e">
        <f aca="false">IF((RESET=1),0,R417+K417)</f>
        <v>#N/A</v>
      </c>
      <c r="S417" s="14" t="n">
        <f aca="false">IF(RESET=1,0,S417+N417)</f>
        <v>771.757632548732</v>
      </c>
      <c r="T417" s="2" t="e">
        <f aca="false">IF(RESET=1,0,T417+IF(H417=0,1,0))</f>
        <v>#N/A</v>
      </c>
      <c r="U417" s="2" t="n">
        <f aca="false">IF(RESET=1,0,U417+H417)</f>
        <v>48</v>
      </c>
      <c r="V417" s="14" t="e">
        <f aca="false">R417/(T417+0.00001)</f>
        <v>#N/A</v>
      </c>
      <c r="W417" s="14" t="n">
        <f aca="false">S417/(U417+0.0001)</f>
        <v>16.0782505150767</v>
      </c>
      <c r="X417" s="39" t="n">
        <f aca="false">IF(Informed=1,K417,0)</f>
        <v>0</v>
      </c>
      <c r="Y417" s="39" t="n">
        <f aca="false">IF(Informed=0,K417,0)</f>
        <v>3.20156892981413</v>
      </c>
      <c r="Z417" s="39" t="n">
        <f aca="false">IF(Informed=1,N417,0)</f>
        <v>0</v>
      </c>
      <c r="AA417" s="39" t="n">
        <f aca="false">IF(Informed=0,N417,0)</f>
        <v>0</v>
      </c>
      <c r="AB417" s="43" t="n">
        <f aca="false">IF(Arterial=0,IF(Informed=1,1,0),0)</f>
        <v>0</v>
      </c>
      <c r="AC417" s="43" t="n">
        <f aca="false">IF(Arterial=0,IF(Informed=0,1,0),0)</f>
        <v>1</v>
      </c>
      <c r="AD417" s="43" t="n">
        <f aca="false">IF(Arterial=1,IF(Informed=1,1,0),0)</f>
        <v>0</v>
      </c>
      <c r="AE417" s="43" t="n">
        <f aca="false">IF(Arterial=1,IF(Informed=0,1,0),0)</f>
        <v>0</v>
      </c>
      <c r="AF417" s="35" t="n">
        <f aca="false">IF(AB417=1,(X417-G$1030)^2,0)</f>
        <v>0</v>
      </c>
      <c r="AG417" s="35" t="n">
        <f aca="false">IF(AC417=1,(Y417-H$1030)^2,0)</f>
        <v>59.6326249068632</v>
      </c>
      <c r="AH417" s="35" t="n">
        <f aca="false">IF(AD417=1,(Z417-I$1030)^2,0)</f>
        <v>0</v>
      </c>
      <c r="AI417" s="35" t="n">
        <f aca="false">IF(AE417=1,(AA417-J$1030)^2,0)</f>
        <v>0</v>
      </c>
      <c r="AJ417" s="37" t="n">
        <f aca="true">IF(RAND()&lt;$D$6,1,0)</f>
        <v>0</v>
      </c>
      <c r="AK417" s="14" t="n">
        <f aca="false">AK416+IF((AJ417=1),IF((H417=0),1,0),0)</f>
        <v>0</v>
      </c>
      <c r="AL417" s="14" t="n">
        <f aca="false">AL416+IF((AJ417=1),IF((H417=1),1,0),0)</f>
        <v>0</v>
      </c>
      <c r="AM417" s="37" t="n">
        <f aca="false">IF(AK417=0,9999,IF($H417=0,IF($AJ417&lt;1,AM416+1,0),AM416))</f>
        <v>9999</v>
      </c>
      <c r="AN417" s="37" t="n">
        <f aca="false">IF(AL417=0,9999,IF($H417=1,IF($AJ417&lt;1,AN416+1,0),AN416))</f>
        <v>9999</v>
      </c>
      <c r="AO417" s="37" t="n">
        <f aca="false">IF($A417-AM417&gt;0,1/(1+AM417),0)</f>
        <v>0</v>
      </c>
      <c r="AP417" s="37" t="n">
        <f aca="false">IF($A417-AN417&gt;0,1/(1+AN417),0)</f>
        <v>0</v>
      </c>
      <c r="AQ417" s="7" t="n">
        <f aca="false">IF(AK417=0,0,MAX(MIN(1,AO417^Power),0))</f>
        <v>0</v>
      </c>
      <c r="AR417" s="7" t="n">
        <f aca="false">IF(AL417=0,0,MAX(MIN(1,AP417^Power),0))</f>
        <v>0</v>
      </c>
      <c r="AS417" s="7" t="n">
        <f aca="false">IF($AJ417=1,IF($H417=0,K417,AS416),AS416)</f>
        <v>0</v>
      </c>
      <c r="AT417" s="7" t="n">
        <f aca="false">IF($AJ417=1,IF($H417=1,N417,AT416),AT416)</f>
        <v>0</v>
      </c>
    </row>
    <row r="418" customFormat="false" ht="13" hidden="false" customHeight="false" outlineLevel="0" collapsed="false">
      <c r="A418" s="16" t="n">
        <v>401</v>
      </c>
      <c r="B418" s="37" t="n">
        <f aca="true">IF(RAND()&lt;$D$8,1,0)</f>
        <v>0</v>
      </c>
      <c r="C418" s="20" t="n">
        <f aca="true">-LN(RAND())/$D$2</f>
        <v>1.81735797453273</v>
      </c>
      <c r="D418" s="38" t="n">
        <f aca="false">D417+C418</f>
        <v>439.183284388046</v>
      </c>
      <c r="E418" s="39" t="n">
        <f aca="false">MAX($E$3,AS417)</f>
        <v>0</v>
      </c>
      <c r="F418" s="39" t="n">
        <f aca="false">MAX($E$3,AT417)</f>
        <v>0</v>
      </c>
      <c r="G418" s="40" t="n">
        <v>0.5</v>
      </c>
      <c r="H418" s="38" t="n">
        <f aca="true">IF((B418=1),(IF((F418&lt;E418),1,(IF((F418=E418),(IF(RAND()&lt;G418,1,0)),0)))),(IF((RAND()&lt;G418),1,0)))</f>
        <v>0</v>
      </c>
      <c r="I418" s="38" t="n">
        <f aca="true">IF((H418=1),0,$D$3+$D$5*(RAND()-0.5))</f>
        <v>1.88001371687245</v>
      </c>
      <c r="J418" s="38" t="n">
        <f aca="false">I418+MAX(D418,J417)</f>
        <v>442.447509060199</v>
      </c>
      <c r="K418" s="38" t="n">
        <f aca="false">IF((H418=0),J418-D418,0)</f>
        <v>3.26422467215383</v>
      </c>
      <c r="L418" s="38" t="n">
        <f aca="true">IF(($H418=0),0,$D$4+$D$5*(RAND()-0.5))</f>
        <v>0</v>
      </c>
      <c r="M418" s="38" t="n">
        <f aca="false">L418+MAX(D418,M417)</f>
        <v>458.523181066505</v>
      </c>
      <c r="N418" s="38" t="n">
        <f aca="false">IF((H418=1),M418-D418,0)</f>
        <v>0</v>
      </c>
      <c r="O418" s="16" t="n">
        <v>401</v>
      </c>
      <c r="P418" s="41" t="n">
        <f aca="false">IF((Arterial=0),P417+1,P417)</f>
        <v>186</v>
      </c>
      <c r="Q418" s="41" t="n">
        <f aca="false">IF((Arterial=1),Q417+1,Q417)</f>
        <v>215</v>
      </c>
      <c r="R418" s="42" t="e">
        <f aca="false">IF((RESET=1),0,R418+K418)</f>
        <v>#N/A</v>
      </c>
      <c r="S418" s="14" t="n">
        <f aca="false">IF(RESET=1,0,S418+N418)</f>
        <v>419.16125424919</v>
      </c>
      <c r="T418" s="2" t="e">
        <f aca="false">IF(RESET=1,0,T418+IF(H418=0,1,0))</f>
        <v>#N/A</v>
      </c>
      <c r="U418" s="2" t="n">
        <f aca="false">IF(RESET=1,0,U418+H418)</f>
        <v>29</v>
      </c>
      <c r="V418" s="14" t="e">
        <f aca="false">R418/(T418+0.00001)</f>
        <v>#N/A</v>
      </c>
      <c r="W418" s="14" t="n">
        <f aca="false">S418/(U418+0.0001)</f>
        <v>14.4537865127772</v>
      </c>
      <c r="X418" s="39" t="n">
        <f aca="false">IF(Informed=1,K418,0)</f>
        <v>0</v>
      </c>
      <c r="Y418" s="39" t="n">
        <f aca="false">IF(Informed=0,K418,0)</f>
        <v>3.26422467215383</v>
      </c>
      <c r="Z418" s="39" t="n">
        <f aca="false">IF(Informed=1,N418,0)</f>
        <v>0</v>
      </c>
      <c r="AA418" s="39" t="n">
        <f aca="false">IF(Informed=0,N418,0)</f>
        <v>0</v>
      </c>
      <c r="AB418" s="43" t="n">
        <f aca="false">IF(Arterial=0,IF(Informed=1,1,0),0)</f>
        <v>0</v>
      </c>
      <c r="AC418" s="43" t="n">
        <f aca="false">IF(Arterial=0,IF(Informed=0,1,0),0)</f>
        <v>1</v>
      </c>
      <c r="AD418" s="43" t="n">
        <f aca="false">IF(Arterial=1,IF(Informed=1,1,0),0)</f>
        <v>0</v>
      </c>
      <c r="AE418" s="43" t="n">
        <f aca="false">IF(Arterial=1,IF(Informed=0,1,0),0)</f>
        <v>0</v>
      </c>
      <c r="AF418" s="35" t="n">
        <f aca="false">IF(AB418=1,(X418-G$1030)^2,0)</f>
        <v>0</v>
      </c>
      <c r="AG418" s="35" t="n">
        <f aca="false">IF(AC418=1,(Y418-H$1030)^2,0)</f>
        <v>58.6688682567231</v>
      </c>
      <c r="AH418" s="35" t="n">
        <f aca="false">IF(AD418=1,(Z418-I$1030)^2,0)</f>
        <v>0</v>
      </c>
      <c r="AI418" s="35" t="n">
        <f aca="false">IF(AE418=1,(AA418-J$1030)^2,0)</f>
        <v>0</v>
      </c>
      <c r="AJ418" s="37" t="n">
        <f aca="true">IF(RAND()&lt;$D$6,1,0)</f>
        <v>0</v>
      </c>
      <c r="AK418" s="14" t="n">
        <f aca="false">AK417+IF((AJ418=1),IF((H418=0),1,0),0)</f>
        <v>0</v>
      </c>
      <c r="AL418" s="14" t="n">
        <f aca="false">AL417+IF((AJ418=1),IF((H418=1),1,0),0)</f>
        <v>0</v>
      </c>
      <c r="AM418" s="37" t="n">
        <f aca="false">IF(AK418=0,9999,IF($H418=0,IF($AJ418&lt;1,AM417+1,0),AM417))</f>
        <v>9999</v>
      </c>
      <c r="AN418" s="37" t="n">
        <f aca="false">IF(AL418=0,9999,IF($H418=1,IF($AJ418&lt;1,AN417+1,0),AN417))</f>
        <v>9999</v>
      </c>
      <c r="AO418" s="37" t="n">
        <f aca="false">IF($A418-AM418&gt;0,1/(1+AM418),0)</f>
        <v>0</v>
      </c>
      <c r="AP418" s="37" t="n">
        <f aca="false">IF($A418-AN418&gt;0,1/(1+AN418),0)</f>
        <v>0</v>
      </c>
      <c r="AQ418" s="7" t="n">
        <f aca="false">IF(AK418=0,0,MAX(MIN(1,AO418^Power),0))</f>
        <v>0</v>
      </c>
      <c r="AR418" s="7" t="n">
        <f aca="false">IF(AL418=0,0,MAX(MIN(1,AP418^Power),0))</f>
        <v>0</v>
      </c>
      <c r="AS418" s="7" t="n">
        <f aca="false">IF($AJ418=1,IF($H418=0,K418,AS417),AS417)</f>
        <v>0</v>
      </c>
      <c r="AT418" s="7" t="n">
        <f aca="false">IF($AJ418=1,IF($H418=1,N418,AT417),AT417)</f>
        <v>0</v>
      </c>
    </row>
    <row r="419" customFormat="false" ht="13" hidden="false" customHeight="false" outlineLevel="0" collapsed="false">
      <c r="A419" s="16" t="n">
        <v>402</v>
      </c>
      <c r="B419" s="37" t="n">
        <f aca="true">IF(RAND()&lt;$D$8,1,0)</f>
        <v>0</v>
      </c>
      <c r="C419" s="20" t="n">
        <f aca="true">-LN(RAND())/$D$2</f>
        <v>0.0282955651090429</v>
      </c>
      <c r="D419" s="38" t="n">
        <f aca="false">D418+C419</f>
        <v>439.211579953155</v>
      </c>
      <c r="E419" s="39" t="n">
        <f aca="false">MAX($E$3,AS418)</f>
        <v>0</v>
      </c>
      <c r="F419" s="39" t="n">
        <f aca="false">MAX($E$3,AT418)</f>
        <v>0</v>
      </c>
      <c r="G419" s="40" t="n">
        <v>0.5</v>
      </c>
      <c r="H419" s="38" t="n">
        <f aca="true">IF((B419=1),(IF((F419&lt;E419),1,(IF((F419=E419),(IF(RAND()&lt;G419,1,0)),0)))),(IF((RAND()&lt;G419),1,0)))</f>
        <v>1</v>
      </c>
      <c r="I419" s="38" t="n">
        <f aca="true">IF((H419=1),0,$D$3+$D$5*(RAND()-0.5))</f>
        <v>0</v>
      </c>
      <c r="J419" s="38" t="n">
        <f aca="false">I419+MAX(D419,J418)</f>
        <v>442.447509060199</v>
      </c>
      <c r="K419" s="38" t="n">
        <f aca="false">IF((H419=0),J419-D419,0)</f>
        <v>0</v>
      </c>
      <c r="L419" s="38" t="n">
        <f aca="true">IF(($H419=0),0,$D$4+$D$5*(RAND()-0.5))</f>
        <v>2.13713195571405</v>
      </c>
      <c r="M419" s="38" t="n">
        <f aca="false">L419+MAX(D419,M418)</f>
        <v>460.660313022219</v>
      </c>
      <c r="N419" s="38" t="n">
        <f aca="false">IF((H419=1),M419-D419,0)</f>
        <v>21.4487330690641</v>
      </c>
      <c r="O419" s="16" t="n">
        <v>402</v>
      </c>
      <c r="P419" s="41" t="n">
        <f aca="false">IF((Arterial=0),P418+1,P418)</f>
        <v>186</v>
      </c>
      <c r="Q419" s="41" t="n">
        <f aca="false">IF((Arterial=1),Q418+1,Q418)</f>
        <v>216</v>
      </c>
      <c r="R419" s="42" t="n">
        <f aca="false">IF((RESET=1),0,R419+K419)</f>
        <v>515.285757160812</v>
      </c>
      <c r="S419" s="14" t="e">
        <f aca="false">IF(RESET=1,0,S419+N419)</f>
        <v>#N/A</v>
      </c>
      <c r="T419" s="2" t="n">
        <f aca="false">IF(RESET=1,0,T419+IF(H419=0,1,0))</f>
        <v>29</v>
      </c>
      <c r="U419" s="2" t="e">
        <f aca="false">IF(RESET=1,0,U419+H419)</f>
        <v>#N/A</v>
      </c>
      <c r="V419" s="14" t="n">
        <f aca="false">R419/(T419+0.00001)</f>
        <v>17.7684682577976</v>
      </c>
      <c r="W419" s="14" t="e">
        <f aca="false">S419/(U419+0.0001)</f>
        <v>#N/A</v>
      </c>
      <c r="X419" s="39" t="n">
        <f aca="false">IF(Informed=1,K419,0)</f>
        <v>0</v>
      </c>
      <c r="Y419" s="39" t="n">
        <f aca="false">IF(Informed=0,K419,0)</f>
        <v>0</v>
      </c>
      <c r="Z419" s="39" t="n">
        <f aca="false">IF(Informed=1,N419,0)</f>
        <v>0</v>
      </c>
      <c r="AA419" s="39" t="n">
        <f aca="false">IF(Informed=0,N419,0)</f>
        <v>21.4487330690641</v>
      </c>
      <c r="AB419" s="43" t="n">
        <f aca="false">IF(Arterial=0,IF(Informed=1,1,0),0)</f>
        <v>0</v>
      </c>
      <c r="AC419" s="43" t="n">
        <f aca="false">IF(Arterial=0,IF(Informed=0,1,0),0)</f>
        <v>0</v>
      </c>
      <c r="AD419" s="43" t="n">
        <f aca="false">IF(Arterial=1,IF(Informed=1,1,0),0)</f>
        <v>0</v>
      </c>
      <c r="AE419" s="43" t="n">
        <f aca="false">IF(Arterial=1,IF(Informed=0,1,0),0)</f>
        <v>1</v>
      </c>
      <c r="AF419" s="35" t="n">
        <f aca="false">IF(AB419=1,(X419-G$1030)^2,0)</f>
        <v>0</v>
      </c>
      <c r="AG419" s="35" t="n">
        <f aca="false">IF(AC419=1,(Y419-H$1030)^2,0)</f>
        <v>0</v>
      </c>
      <c r="AH419" s="35" t="n">
        <f aca="false">IF(AD419=1,(Z419-I$1030)^2,0)</f>
        <v>0</v>
      </c>
      <c r="AI419" s="35" t="n">
        <f aca="false">IF(AE419=1,(AA419-J$1030)^2,0)</f>
        <v>65.8620206739674</v>
      </c>
      <c r="AJ419" s="37" t="n">
        <f aca="true">IF(RAND()&lt;$D$6,1,0)</f>
        <v>0</v>
      </c>
      <c r="AK419" s="14" t="n">
        <f aca="false">AK418+IF((AJ419=1),IF((H419=0),1,0),0)</f>
        <v>0</v>
      </c>
      <c r="AL419" s="14" t="n">
        <f aca="false">AL418+IF((AJ419=1),IF((H419=1),1,0),0)</f>
        <v>0</v>
      </c>
      <c r="AM419" s="37" t="n">
        <f aca="false">IF(AK419=0,9999,IF($H419=0,IF($AJ419&lt;1,AM418+1,0),AM418))</f>
        <v>9999</v>
      </c>
      <c r="AN419" s="37" t="n">
        <f aca="false">IF(AL419=0,9999,IF($H419=1,IF($AJ419&lt;1,AN418+1,0),AN418))</f>
        <v>9999</v>
      </c>
      <c r="AO419" s="37" t="n">
        <f aca="false">IF($A419-AM419&gt;0,1/(1+AM419),0)</f>
        <v>0</v>
      </c>
      <c r="AP419" s="37" t="n">
        <f aca="false">IF($A419-AN419&gt;0,1/(1+AN419),0)</f>
        <v>0</v>
      </c>
      <c r="AQ419" s="7" t="n">
        <f aca="false">IF(AK419=0,0,MAX(MIN(1,AO419^Power),0))</f>
        <v>0</v>
      </c>
      <c r="AR419" s="7" t="n">
        <f aca="false">IF(AL419=0,0,MAX(MIN(1,AP419^Power),0))</f>
        <v>0</v>
      </c>
      <c r="AS419" s="7" t="n">
        <f aca="false">IF($AJ419=1,IF($H419=0,K419,AS418),AS418)</f>
        <v>0</v>
      </c>
      <c r="AT419" s="7" t="n">
        <f aca="false">IF($AJ419=1,IF($H419=1,N419,AT418),AT418)</f>
        <v>0</v>
      </c>
    </row>
    <row r="420" customFormat="false" ht="13" hidden="false" customHeight="false" outlineLevel="0" collapsed="false">
      <c r="A420" s="16" t="n">
        <v>403</v>
      </c>
      <c r="B420" s="37" t="n">
        <f aca="true">IF(RAND()&lt;$D$8,1,0)</f>
        <v>1</v>
      </c>
      <c r="C420" s="20" t="n">
        <f aca="true">-LN(RAND())/$D$2</f>
        <v>0.0939933801885628</v>
      </c>
      <c r="D420" s="38" t="n">
        <f aca="false">D419+C420</f>
        <v>439.305573333343</v>
      </c>
      <c r="E420" s="39" t="n">
        <f aca="false">MAX($E$3,AS419)</f>
        <v>0</v>
      </c>
      <c r="F420" s="39" t="n">
        <f aca="false">MAX($E$3,AT419)</f>
        <v>0</v>
      </c>
      <c r="G420" s="40" t="n">
        <v>0.5</v>
      </c>
      <c r="H420" s="38" t="n">
        <f aca="true">IF((B420=1),(IF((F420&lt;E420),1,(IF((F420=E420),(IF(RAND()&lt;G420,1,0)),0)))),(IF((RAND()&lt;G420),1,0)))</f>
        <v>1</v>
      </c>
      <c r="I420" s="38" t="n">
        <f aca="true">IF((H420=1),0,$D$3+$D$5*(RAND()-0.5))</f>
        <v>0</v>
      </c>
      <c r="J420" s="38" t="n">
        <f aca="false">I420+MAX(D420,J419)</f>
        <v>442.447509060199</v>
      </c>
      <c r="K420" s="38" t="n">
        <f aca="false">IF((H420=0),J420-D420,0)</f>
        <v>0</v>
      </c>
      <c r="L420" s="38" t="n">
        <f aca="true">IF(($H420=0),0,$D$4+$D$5*(RAND()-0.5))</f>
        <v>2.21441711798352</v>
      </c>
      <c r="M420" s="38" t="n">
        <f aca="false">L420+MAX(D420,M419)</f>
        <v>462.874730140202</v>
      </c>
      <c r="N420" s="38" t="n">
        <f aca="false">IF((H420=1),M420-D420,0)</f>
        <v>23.569156806859</v>
      </c>
      <c r="O420" s="16" t="n">
        <v>403</v>
      </c>
      <c r="P420" s="41" t="n">
        <f aca="false">IF((Arterial=0),P419+1,P419)</f>
        <v>186</v>
      </c>
      <c r="Q420" s="41" t="n">
        <f aca="false">IF((Arterial=1),Q419+1,Q419)</f>
        <v>217</v>
      </c>
      <c r="R420" s="42" t="n">
        <f aca="false">IF((RESET=1),0,R420+K420)</f>
        <v>627.331253415864</v>
      </c>
      <c r="S420" s="14" t="e">
        <f aca="false">IF(RESET=1,0,S420+N420)</f>
        <v>#N/A</v>
      </c>
      <c r="T420" s="2" t="n">
        <f aca="false">IF(RESET=1,0,T420+IF(H420=0,1,0))</f>
        <v>34</v>
      </c>
      <c r="U420" s="2" t="e">
        <f aca="false">IF(RESET=1,0,U420+H420)</f>
        <v>#N/A</v>
      </c>
      <c r="V420" s="14" t="n">
        <f aca="false">R420/(T420+0.00001)</f>
        <v>18.4509137913743</v>
      </c>
      <c r="W420" s="14" t="e">
        <f aca="false">S420/(U420+0.0001)</f>
        <v>#N/A</v>
      </c>
      <c r="X420" s="39" t="n">
        <f aca="false">IF(Informed=1,K420,0)</f>
        <v>0</v>
      </c>
      <c r="Y420" s="39" t="n">
        <f aca="false">IF(Informed=0,K420,0)</f>
        <v>0</v>
      </c>
      <c r="Z420" s="39" t="n">
        <f aca="false">IF(Informed=1,N420,0)</f>
        <v>23.569156806859</v>
      </c>
      <c r="AA420" s="39" t="n">
        <f aca="false">IF(Informed=0,N420,0)</f>
        <v>0</v>
      </c>
      <c r="AB420" s="43" t="n">
        <f aca="false">IF(Arterial=0,IF(Informed=1,1,0),0)</f>
        <v>0</v>
      </c>
      <c r="AC420" s="43" t="n">
        <f aca="false">IF(Arterial=0,IF(Informed=0,1,0),0)</f>
        <v>0</v>
      </c>
      <c r="AD420" s="43" t="n">
        <f aca="false">IF(Arterial=1,IF(Informed=1,1,0),0)</f>
        <v>1</v>
      </c>
      <c r="AE420" s="43" t="n">
        <f aca="false">IF(Arterial=1,IF(Informed=0,1,0),0)</f>
        <v>0</v>
      </c>
      <c r="AF420" s="35" t="n">
        <f aca="false">IF(AB420=1,(X420-G$1030)^2,0)</f>
        <v>0</v>
      </c>
      <c r="AG420" s="35" t="n">
        <f aca="false">IF(AC420=1,(Y420-H$1030)^2,0)</f>
        <v>0</v>
      </c>
      <c r="AH420" s="35" t="n">
        <f aca="false">IF(AD420=1,(Z420-I$1030)^2,0)</f>
        <v>23.0945409087485</v>
      </c>
      <c r="AI420" s="35" t="n">
        <f aca="false">IF(AE420=1,(AA420-J$1030)^2,0)</f>
        <v>0</v>
      </c>
      <c r="AJ420" s="37" t="n">
        <f aca="true">IF(RAND()&lt;$D$6,1,0)</f>
        <v>0</v>
      </c>
      <c r="AK420" s="14" t="n">
        <f aca="false">AK419+IF((AJ420=1),IF((H420=0),1,0),0)</f>
        <v>0</v>
      </c>
      <c r="AL420" s="14" t="n">
        <f aca="false">AL419+IF((AJ420=1),IF((H420=1),1,0),0)</f>
        <v>0</v>
      </c>
      <c r="AM420" s="37" t="n">
        <f aca="false">IF(AK420=0,9999,IF($H420=0,IF($AJ420&lt;1,AM419+1,0),AM419))</f>
        <v>9999</v>
      </c>
      <c r="AN420" s="37" t="n">
        <f aca="false">IF(AL420=0,9999,IF($H420=1,IF($AJ420&lt;1,AN419+1,0),AN419))</f>
        <v>9999</v>
      </c>
      <c r="AO420" s="37" t="n">
        <f aca="false">IF($A420-AM420&gt;0,1/(1+AM420),0)</f>
        <v>0</v>
      </c>
      <c r="AP420" s="37" t="n">
        <f aca="false">IF($A420-AN420&gt;0,1/(1+AN420),0)</f>
        <v>0</v>
      </c>
      <c r="AQ420" s="7" t="n">
        <f aca="false">IF(AK420=0,0,MAX(MIN(1,AO420^Power),0))</f>
        <v>0</v>
      </c>
      <c r="AR420" s="7" t="n">
        <f aca="false">IF(AL420=0,0,MAX(MIN(1,AP420^Power),0))</f>
        <v>0</v>
      </c>
      <c r="AS420" s="7" t="n">
        <f aca="false">IF($AJ420=1,IF($H420=0,K420,AS419),AS419)</f>
        <v>0</v>
      </c>
      <c r="AT420" s="7" t="n">
        <f aca="false">IF($AJ420=1,IF($H420=1,N420,AT419),AT419)</f>
        <v>0</v>
      </c>
    </row>
    <row r="421" customFormat="false" ht="13" hidden="false" customHeight="false" outlineLevel="0" collapsed="false">
      <c r="A421" s="16" t="n">
        <v>404</v>
      </c>
      <c r="B421" s="37" t="n">
        <f aca="true">IF(RAND()&lt;$D$8,1,0)</f>
        <v>1</v>
      </c>
      <c r="C421" s="20" t="n">
        <f aca="true">-LN(RAND())/$D$2</f>
        <v>0.965033966817561</v>
      </c>
      <c r="D421" s="38" t="n">
        <f aca="false">D420+C421</f>
        <v>440.270607300161</v>
      </c>
      <c r="E421" s="39" t="n">
        <f aca="false">MAX($E$3,AS420)</f>
        <v>0</v>
      </c>
      <c r="F421" s="39" t="n">
        <f aca="false">MAX($E$3,AT420)</f>
        <v>0</v>
      </c>
      <c r="G421" s="40" t="n">
        <v>0.5</v>
      </c>
      <c r="H421" s="38" t="n">
        <f aca="true">IF((B421=1),(IF((F421&lt;E421),1,(IF((F421=E421),(IF(RAND()&lt;G421,1,0)),0)))),(IF((RAND()&lt;G421),1,0)))</f>
        <v>0</v>
      </c>
      <c r="I421" s="38" t="n">
        <f aca="true">IF((H421=1),0,$D$3+$D$5*(RAND()-0.5))</f>
        <v>2.17513145564182</v>
      </c>
      <c r="J421" s="38" t="n">
        <f aca="false">I421+MAX(D421,J420)</f>
        <v>444.622640515841</v>
      </c>
      <c r="K421" s="38" t="n">
        <f aca="false">IF((H421=0),J421-D421,0)</f>
        <v>4.35203321568048</v>
      </c>
      <c r="L421" s="38" t="n">
        <f aca="true">IF(($H421=0),0,$D$4+$D$5*(RAND()-0.5))</f>
        <v>0</v>
      </c>
      <c r="M421" s="38" t="n">
        <f aca="false">L421+MAX(D421,M420)</f>
        <v>462.874730140202</v>
      </c>
      <c r="N421" s="38" t="n">
        <f aca="false">IF((H421=1),M421-D421,0)</f>
        <v>0</v>
      </c>
      <c r="O421" s="16" t="n">
        <v>404</v>
      </c>
      <c r="P421" s="41" t="n">
        <f aca="false">IF((Arterial=0),P420+1,P420)</f>
        <v>187</v>
      </c>
      <c r="Q421" s="41" t="n">
        <f aca="false">IF((Arterial=1),Q420+1,Q420)</f>
        <v>217</v>
      </c>
      <c r="R421" s="42" t="e">
        <f aca="false">IF((RESET=1),0,R421+K421)</f>
        <v>#N/A</v>
      </c>
      <c r="S421" s="14" t="n">
        <f aca="false">IF(RESET=1,0,S421+N421)</f>
        <v>402.917108805033</v>
      </c>
      <c r="T421" s="2" t="e">
        <f aca="false">IF(RESET=1,0,T421+IF(H421=0,1,0))</f>
        <v>#N/A</v>
      </c>
      <c r="U421" s="2" t="n">
        <f aca="false">IF(RESET=1,0,U421+H421)</f>
        <v>28</v>
      </c>
      <c r="V421" s="14" t="e">
        <f aca="false">R421/(T421+0.00001)</f>
        <v>#N/A</v>
      </c>
      <c r="W421" s="14" t="n">
        <f aca="false">S421/(U421+0.0001)</f>
        <v>14.3898453507321</v>
      </c>
      <c r="X421" s="39" t="n">
        <f aca="false">IF(Informed=1,K421,0)</f>
        <v>4.35203321568048</v>
      </c>
      <c r="Y421" s="39" t="n">
        <f aca="false">IF(Informed=0,K421,0)</f>
        <v>0</v>
      </c>
      <c r="Z421" s="39" t="n">
        <f aca="false">IF(Informed=1,N421,0)</f>
        <v>0</v>
      </c>
      <c r="AA421" s="39" t="n">
        <f aca="false">IF(Informed=0,N421,0)</f>
        <v>0</v>
      </c>
      <c r="AB421" s="43" t="n">
        <f aca="false">IF(Arterial=0,IF(Informed=1,1,0),0)</f>
        <v>1</v>
      </c>
      <c r="AC421" s="43" t="n">
        <f aca="false">IF(Arterial=0,IF(Informed=0,1,0),0)</f>
        <v>0</v>
      </c>
      <c r="AD421" s="43" t="n">
        <f aca="false">IF(Arterial=1,IF(Informed=1,1,0),0)</f>
        <v>0</v>
      </c>
      <c r="AE421" s="43" t="n">
        <f aca="false">IF(Arterial=1,IF(Informed=0,1,0),0)</f>
        <v>0</v>
      </c>
      <c r="AF421" s="35" t="n">
        <f aca="false">IF(AB421=1,(X421-G$1030)^2,0)</f>
        <v>40.4196502778655</v>
      </c>
      <c r="AG421" s="35" t="n">
        <f aca="false">IF(AC421=1,(Y421-H$1030)^2,0)</f>
        <v>0</v>
      </c>
      <c r="AH421" s="35" t="n">
        <f aca="false">IF(AD421=1,(Z421-I$1030)^2,0)</f>
        <v>0</v>
      </c>
      <c r="AI421" s="35" t="n">
        <f aca="false">IF(AE421=1,(AA421-J$1030)^2,0)</f>
        <v>0</v>
      </c>
      <c r="AJ421" s="37" t="n">
        <f aca="true">IF(RAND()&lt;$D$6,1,0)</f>
        <v>0</v>
      </c>
      <c r="AK421" s="14" t="n">
        <f aca="false">AK420+IF((AJ421=1),IF((H421=0),1,0),0)</f>
        <v>0</v>
      </c>
      <c r="AL421" s="14" t="n">
        <f aca="false">AL420+IF((AJ421=1),IF((H421=1),1,0),0)</f>
        <v>0</v>
      </c>
      <c r="AM421" s="37" t="n">
        <f aca="false">IF(AK421=0,9999,IF($H421=0,IF($AJ421&lt;1,AM420+1,0),AM420))</f>
        <v>9999</v>
      </c>
      <c r="AN421" s="37" t="n">
        <f aca="false">IF(AL421=0,9999,IF($H421=1,IF($AJ421&lt;1,AN420+1,0),AN420))</f>
        <v>9999</v>
      </c>
      <c r="AO421" s="37" t="n">
        <f aca="false">IF($A421-AM421&gt;0,1/(1+AM421),0)</f>
        <v>0</v>
      </c>
      <c r="AP421" s="37" t="n">
        <f aca="false">IF($A421-AN421&gt;0,1/(1+AN421),0)</f>
        <v>0</v>
      </c>
      <c r="AQ421" s="7" t="n">
        <f aca="false">IF(AK421=0,0,MAX(MIN(1,AO421^Power),0))</f>
        <v>0</v>
      </c>
      <c r="AR421" s="7" t="n">
        <f aca="false">IF(AL421=0,0,MAX(MIN(1,AP421^Power),0))</f>
        <v>0</v>
      </c>
      <c r="AS421" s="7" t="n">
        <f aca="false">IF($AJ421=1,IF($H421=0,K421,AS420),AS420)</f>
        <v>0</v>
      </c>
      <c r="AT421" s="7" t="n">
        <f aca="false">IF($AJ421=1,IF($H421=1,N421,AT420),AT420)</f>
        <v>0</v>
      </c>
    </row>
    <row r="422" customFormat="false" ht="13" hidden="false" customHeight="false" outlineLevel="0" collapsed="false">
      <c r="A422" s="16" t="n">
        <v>405</v>
      </c>
      <c r="B422" s="37" t="n">
        <f aca="true">IF(RAND()&lt;$D$8,1,0)</f>
        <v>1</v>
      </c>
      <c r="C422" s="20" t="n">
        <f aca="true">-LN(RAND())/$D$2</f>
        <v>0.993578268048804</v>
      </c>
      <c r="D422" s="38" t="n">
        <f aca="false">D421+C422</f>
        <v>441.26418556821</v>
      </c>
      <c r="E422" s="39" t="n">
        <f aca="false">MAX($E$3,AS421)</f>
        <v>0</v>
      </c>
      <c r="F422" s="39" t="n">
        <f aca="false">MAX($E$3,AT421)</f>
        <v>0</v>
      </c>
      <c r="G422" s="40" t="n">
        <v>0.5</v>
      </c>
      <c r="H422" s="38" t="n">
        <f aca="true">IF((B422=1),(IF((F422&lt;E422),1,(IF((F422=E422),(IF(RAND()&lt;G422,1,0)),0)))),(IF((RAND()&lt;G422),1,0)))</f>
        <v>0</v>
      </c>
      <c r="I422" s="38" t="n">
        <f aca="true">IF((H422=1),0,$D$3+$D$5*(RAND()-0.5))</f>
        <v>1.97487520475811</v>
      </c>
      <c r="J422" s="38" t="n">
        <f aca="false">I422+MAX(D422,J421)</f>
        <v>446.597515720599</v>
      </c>
      <c r="K422" s="38" t="n">
        <f aca="false">IF((H422=0),J422-D422,0)</f>
        <v>5.33333015238981</v>
      </c>
      <c r="L422" s="38" t="n">
        <f aca="true">IF(($H422=0),0,$D$4+$D$5*(RAND()-0.5))</f>
        <v>0</v>
      </c>
      <c r="M422" s="38" t="n">
        <f aca="false">L422+MAX(D422,M421)</f>
        <v>462.874730140202</v>
      </c>
      <c r="N422" s="38" t="n">
        <f aca="false">IF((H422=1),M422-D422,0)</f>
        <v>0</v>
      </c>
      <c r="O422" s="16" t="n">
        <v>405</v>
      </c>
      <c r="P422" s="41" t="n">
        <f aca="false">IF((Arterial=0),P421+1,P421)</f>
        <v>188</v>
      </c>
      <c r="Q422" s="41" t="n">
        <f aca="false">IF((Arterial=1),Q421+1,Q421)</f>
        <v>217</v>
      </c>
      <c r="R422" s="42" t="e">
        <f aca="false">IF((RESET=1),0,R422+K422)</f>
        <v>#N/A</v>
      </c>
      <c r="S422" s="14" t="n">
        <f aca="false">IF(RESET=1,0,S422+N422)</f>
        <v>738.106391282153</v>
      </c>
      <c r="T422" s="2" t="e">
        <f aca="false">IF(RESET=1,0,T422+IF(H422=0,1,0))</f>
        <v>#N/A</v>
      </c>
      <c r="U422" s="2" t="n">
        <f aca="false">IF(RESET=1,0,U422+H422)</f>
        <v>49</v>
      </c>
      <c r="V422" s="14" t="e">
        <f aca="false">R422/(T422+0.00001)</f>
        <v>#N/A</v>
      </c>
      <c r="W422" s="14" t="n">
        <f aca="false">S422/(U422+0.0001)</f>
        <v>15.0633649988909</v>
      </c>
      <c r="X422" s="39" t="n">
        <f aca="false">IF(Informed=1,K422,0)</f>
        <v>5.33333015238981</v>
      </c>
      <c r="Y422" s="39" t="n">
        <f aca="false">IF(Informed=0,K422,0)</f>
        <v>0</v>
      </c>
      <c r="Z422" s="39" t="n">
        <f aca="false">IF(Informed=1,N422,0)</f>
        <v>0</v>
      </c>
      <c r="AA422" s="39" t="n">
        <f aca="false">IF(Informed=0,N422,0)</f>
        <v>0</v>
      </c>
      <c r="AB422" s="43" t="n">
        <f aca="false">IF(Arterial=0,IF(Informed=1,1,0),0)</f>
        <v>1</v>
      </c>
      <c r="AC422" s="43" t="n">
        <f aca="false">IF(Arterial=0,IF(Informed=0,1,0),0)</f>
        <v>0</v>
      </c>
      <c r="AD422" s="43" t="n">
        <f aca="false">IF(Arterial=1,IF(Informed=1,1,0),0)</f>
        <v>0</v>
      </c>
      <c r="AE422" s="43" t="n">
        <f aca="false">IF(Arterial=1,IF(Informed=0,1,0),0)</f>
        <v>0</v>
      </c>
      <c r="AF422" s="35" t="n">
        <f aca="false">IF(AB422=1,(X422-G$1030)^2,0)</f>
        <v>28.9051187782706</v>
      </c>
      <c r="AG422" s="35" t="n">
        <f aca="false">IF(AC422=1,(Y422-H$1030)^2,0)</f>
        <v>0</v>
      </c>
      <c r="AH422" s="35" t="n">
        <f aca="false">IF(AD422=1,(Z422-I$1030)^2,0)</f>
        <v>0</v>
      </c>
      <c r="AI422" s="35" t="n">
        <f aca="false">IF(AE422=1,(AA422-J$1030)^2,0)</f>
        <v>0</v>
      </c>
      <c r="AJ422" s="37" t="n">
        <f aca="true">IF(RAND()&lt;$D$6,1,0)</f>
        <v>0</v>
      </c>
      <c r="AK422" s="14" t="n">
        <f aca="false">AK421+IF((AJ422=1),IF((H422=0),1,0),0)</f>
        <v>0</v>
      </c>
      <c r="AL422" s="14" t="n">
        <f aca="false">AL421+IF((AJ422=1),IF((H422=1),1,0),0)</f>
        <v>0</v>
      </c>
      <c r="AM422" s="37" t="n">
        <f aca="false">IF(AK422=0,9999,IF($H422=0,IF($AJ422&lt;1,AM421+1,0),AM421))</f>
        <v>9999</v>
      </c>
      <c r="AN422" s="37" t="n">
        <f aca="false">IF(AL422=0,9999,IF($H422=1,IF($AJ422&lt;1,AN421+1,0),AN421))</f>
        <v>9999</v>
      </c>
      <c r="AO422" s="37" t="n">
        <f aca="false">IF($A422-AM422&gt;0,1/(1+AM422),0)</f>
        <v>0</v>
      </c>
      <c r="AP422" s="37" t="n">
        <f aca="false">IF($A422-AN422&gt;0,1/(1+AN422),0)</f>
        <v>0</v>
      </c>
      <c r="AQ422" s="7" t="n">
        <f aca="false">IF(AK422=0,0,MAX(MIN(1,AO422^Power),0))</f>
        <v>0</v>
      </c>
      <c r="AR422" s="7" t="n">
        <f aca="false">IF(AL422=0,0,MAX(MIN(1,AP422^Power),0))</f>
        <v>0</v>
      </c>
      <c r="AS422" s="7" t="n">
        <f aca="false">IF($AJ422=1,IF($H422=0,K422,AS421),AS421)</f>
        <v>0</v>
      </c>
      <c r="AT422" s="7" t="n">
        <f aca="false">IF($AJ422=1,IF($H422=1,N422,AT421),AT421)</f>
        <v>0</v>
      </c>
    </row>
    <row r="423" customFormat="false" ht="13" hidden="false" customHeight="false" outlineLevel="0" collapsed="false">
      <c r="A423" s="16" t="n">
        <v>406</v>
      </c>
      <c r="B423" s="37" t="n">
        <f aca="true">IF(RAND()&lt;$D$8,1,0)</f>
        <v>0</v>
      </c>
      <c r="C423" s="20" t="n">
        <f aca="true">-LN(RAND())/$D$2</f>
        <v>0.51021985756435</v>
      </c>
      <c r="D423" s="38" t="n">
        <f aca="false">D422+C423</f>
        <v>441.774405425774</v>
      </c>
      <c r="E423" s="39" t="n">
        <f aca="false">MAX($E$3,AS422)</f>
        <v>0</v>
      </c>
      <c r="F423" s="39" t="n">
        <f aca="false">MAX($E$3,AT422)</f>
        <v>0</v>
      </c>
      <c r="G423" s="40" t="n">
        <v>0.5</v>
      </c>
      <c r="H423" s="38" t="n">
        <f aca="true">IF((B423=1),(IF((F423&lt;E423),1,(IF((F423=E423),(IF(RAND()&lt;G423,1,0)),0)))),(IF((RAND()&lt;G423),1,0)))</f>
        <v>0</v>
      </c>
      <c r="I423" s="38" t="n">
        <f aca="true">IF((H423=1),0,$D$3+$D$5*(RAND()-0.5))</f>
        <v>1.76462965424682</v>
      </c>
      <c r="J423" s="38" t="n">
        <f aca="false">I423+MAX(D423,J422)</f>
        <v>448.362145374846</v>
      </c>
      <c r="K423" s="38" t="n">
        <f aca="false">IF((H423=0),J423-D423,0)</f>
        <v>6.58773994907227</v>
      </c>
      <c r="L423" s="38" t="n">
        <f aca="true">IF(($H423=0),0,$D$4+$D$5*(RAND()-0.5))</f>
        <v>0</v>
      </c>
      <c r="M423" s="38" t="n">
        <f aca="false">L423+MAX(D423,M422)</f>
        <v>462.874730140202</v>
      </c>
      <c r="N423" s="38" t="n">
        <f aca="false">IF((H423=1),M423-D423,0)</f>
        <v>0</v>
      </c>
      <c r="O423" s="16" t="n">
        <v>406</v>
      </c>
      <c r="P423" s="41" t="n">
        <f aca="false">IF((Arterial=0),P422+1,P422)</f>
        <v>189</v>
      </c>
      <c r="Q423" s="41" t="n">
        <f aca="false">IF((Arterial=1),Q422+1,Q422)</f>
        <v>217</v>
      </c>
      <c r="R423" s="42" t="e">
        <f aca="false">IF((RESET=1),0,R423+K423)</f>
        <v>#N/A</v>
      </c>
      <c r="S423" s="14" t="n">
        <f aca="false">IF(RESET=1,0,S423+N423)</f>
        <v>542.192750526926</v>
      </c>
      <c r="T423" s="2" t="e">
        <f aca="false">IF(RESET=1,0,T423+IF(H423=0,1,0))</f>
        <v>#N/A</v>
      </c>
      <c r="U423" s="2" t="n">
        <f aca="false">IF(RESET=1,0,U423+H423)</f>
        <v>39</v>
      </c>
      <c r="V423" s="14" t="e">
        <f aca="false">R423/(T423+0.00001)</f>
        <v>#N/A</v>
      </c>
      <c r="W423" s="14" t="n">
        <f aca="false">S423/(U423+0.0001)</f>
        <v>13.9023425716069</v>
      </c>
      <c r="X423" s="39" t="n">
        <f aca="false">IF(Informed=1,K423,0)</f>
        <v>0</v>
      </c>
      <c r="Y423" s="39" t="n">
        <f aca="false">IF(Informed=0,K423,0)</f>
        <v>6.58773994907227</v>
      </c>
      <c r="Z423" s="39" t="n">
        <f aca="false">IF(Informed=1,N423,0)</f>
        <v>0</v>
      </c>
      <c r="AA423" s="39" t="n">
        <f aca="false">IF(Informed=0,N423,0)</f>
        <v>0</v>
      </c>
      <c r="AB423" s="43" t="n">
        <f aca="false">IF(Arterial=0,IF(Informed=1,1,0),0)</f>
        <v>0</v>
      </c>
      <c r="AC423" s="43" t="n">
        <f aca="false">IF(Arterial=0,IF(Informed=0,1,0),0)</f>
        <v>1</v>
      </c>
      <c r="AD423" s="43" t="n">
        <f aca="false">IF(Arterial=1,IF(Informed=1,1,0),0)</f>
        <v>0</v>
      </c>
      <c r="AE423" s="43" t="n">
        <f aca="false">IF(Arterial=1,IF(Informed=0,1,0),0)</f>
        <v>0</v>
      </c>
      <c r="AF423" s="35" t="n">
        <f aca="false">IF(AB423=1,(X423-G$1030)^2,0)</f>
        <v>0</v>
      </c>
      <c r="AG423" s="35" t="n">
        <f aca="false">IF(AC423=1,(Y423-H$1030)^2,0)</f>
        <v>18.8012888579403</v>
      </c>
      <c r="AH423" s="35" t="n">
        <f aca="false">IF(AD423=1,(Z423-I$1030)^2,0)</f>
        <v>0</v>
      </c>
      <c r="AI423" s="35" t="n">
        <f aca="false">IF(AE423=1,(AA423-J$1030)^2,0)</f>
        <v>0</v>
      </c>
      <c r="AJ423" s="37" t="n">
        <f aca="true">IF(RAND()&lt;$D$6,1,0)</f>
        <v>0</v>
      </c>
      <c r="AK423" s="14" t="n">
        <f aca="false">AK422+IF((AJ423=1),IF((H423=0),1,0),0)</f>
        <v>0</v>
      </c>
      <c r="AL423" s="14" t="n">
        <f aca="false">AL422+IF((AJ423=1),IF((H423=1),1,0),0)</f>
        <v>0</v>
      </c>
      <c r="AM423" s="37" t="n">
        <f aca="false">IF(AK423=0,9999,IF($H423=0,IF($AJ423&lt;1,AM422+1,0),AM422))</f>
        <v>9999</v>
      </c>
      <c r="AN423" s="37" t="n">
        <f aca="false">IF(AL423=0,9999,IF($H423=1,IF($AJ423&lt;1,AN422+1,0),AN422))</f>
        <v>9999</v>
      </c>
      <c r="AO423" s="37" t="n">
        <f aca="false">IF($A423-AM423&gt;0,1/(1+AM423),0)</f>
        <v>0</v>
      </c>
      <c r="AP423" s="37" t="n">
        <f aca="false">IF($A423-AN423&gt;0,1/(1+AN423),0)</f>
        <v>0</v>
      </c>
      <c r="AQ423" s="7" t="n">
        <f aca="false">IF(AK423=0,0,MAX(MIN(1,AO423^Power),0))</f>
        <v>0</v>
      </c>
      <c r="AR423" s="7" t="n">
        <f aca="false">IF(AL423=0,0,MAX(MIN(1,AP423^Power),0))</f>
        <v>0</v>
      </c>
      <c r="AS423" s="7" t="n">
        <f aca="false">IF($AJ423=1,IF($H423=0,K423,AS422),AS422)</f>
        <v>0</v>
      </c>
      <c r="AT423" s="7" t="n">
        <f aca="false">IF($AJ423=1,IF($H423=1,N423,AT422),AT422)</f>
        <v>0</v>
      </c>
    </row>
    <row r="424" customFormat="false" ht="13" hidden="false" customHeight="false" outlineLevel="0" collapsed="false">
      <c r="A424" s="16" t="n">
        <v>407</v>
      </c>
      <c r="B424" s="37" t="n">
        <f aca="true">IF(RAND()&lt;$D$8,1,0)</f>
        <v>1</v>
      </c>
      <c r="C424" s="20" t="n">
        <f aca="true">-LN(RAND())/$D$2</f>
        <v>0.750984818075538</v>
      </c>
      <c r="D424" s="38" t="n">
        <f aca="false">D423+C424</f>
        <v>442.525390243849</v>
      </c>
      <c r="E424" s="39" t="n">
        <f aca="false">MAX($E$3,AS423)</f>
        <v>0</v>
      </c>
      <c r="F424" s="39" t="n">
        <f aca="false">MAX($E$3,AT423)</f>
        <v>0</v>
      </c>
      <c r="G424" s="40" t="n">
        <v>0.5</v>
      </c>
      <c r="H424" s="38" t="n">
        <f aca="true">IF((B424=1),(IF((F424&lt;E424),1,(IF((F424=E424),(IF(RAND()&lt;G424,1,0)),0)))),(IF((RAND()&lt;G424),1,0)))</f>
        <v>1</v>
      </c>
      <c r="I424" s="38" t="n">
        <f aca="true">IF((H424=1),0,$D$3+$D$5*(RAND()-0.5))</f>
        <v>0</v>
      </c>
      <c r="J424" s="38" t="n">
        <f aca="false">I424+MAX(D424,J423)</f>
        <v>448.362145374846</v>
      </c>
      <c r="K424" s="38" t="n">
        <f aca="false">IF((H424=0),J424-D424,0)</f>
        <v>0</v>
      </c>
      <c r="L424" s="38" t="n">
        <f aca="true">IF(($H424=0),0,$D$4+$D$5*(RAND()-0.5))</f>
        <v>2.16477199441839</v>
      </c>
      <c r="M424" s="38" t="n">
        <f aca="false">L424+MAX(D424,M423)</f>
        <v>465.039502134621</v>
      </c>
      <c r="N424" s="38" t="n">
        <f aca="false">IF((H424=1),M424-D424,0)</f>
        <v>22.5141118907712</v>
      </c>
      <c r="O424" s="16" t="n">
        <v>407</v>
      </c>
      <c r="P424" s="41" t="n">
        <f aca="false">IF((Arterial=0),P423+1,P423)</f>
        <v>189</v>
      </c>
      <c r="Q424" s="41" t="n">
        <f aca="false">IF((Arterial=1),Q423+1,Q423)</f>
        <v>218</v>
      </c>
      <c r="R424" s="42" t="n">
        <f aca="false">IF((RESET=1),0,R424+K424)</f>
        <v>597.104242231073</v>
      </c>
      <c r="S424" s="14" t="e">
        <f aca="false">IF(RESET=1,0,S424+N424)</f>
        <v>#N/A</v>
      </c>
      <c r="T424" s="2" t="n">
        <f aca="false">IF(RESET=1,0,T424+IF(H424=0,1,0))</f>
        <v>39</v>
      </c>
      <c r="U424" s="2" t="e">
        <f aca="false">IF(RESET=1,0,U424+H424)</f>
        <v>#N/A</v>
      </c>
      <c r="V424" s="14" t="n">
        <f aca="false">R424/(T424+0.00001)</f>
        <v>15.3103612596785</v>
      </c>
      <c r="W424" s="14" t="e">
        <f aca="false">S424/(U424+0.0001)</f>
        <v>#N/A</v>
      </c>
      <c r="X424" s="39" t="n">
        <f aca="false">IF(Informed=1,K424,0)</f>
        <v>0</v>
      </c>
      <c r="Y424" s="39" t="n">
        <f aca="false">IF(Informed=0,K424,0)</f>
        <v>0</v>
      </c>
      <c r="Z424" s="39" t="n">
        <f aca="false">IF(Informed=1,N424,0)</f>
        <v>22.5141118907712</v>
      </c>
      <c r="AA424" s="39" t="n">
        <f aca="false">IF(Informed=0,N424,0)</f>
        <v>0</v>
      </c>
      <c r="AB424" s="43" t="n">
        <f aca="false">IF(Arterial=0,IF(Informed=1,1,0),0)</f>
        <v>0</v>
      </c>
      <c r="AC424" s="43" t="n">
        <f aca="false">IF(Arterial=0,IF(Informed=0,1,0),0)</f>
        <v>0</v>
      </c>
      <c r="AD424" s="43" t="n">
        <f aca="false">IF(Arterial=1,IF(Informed=1,1,0),0)</f>
        <v>1</v>
      </c>
      <c r="AE424" s="43" t="n">
        <f aca="false">IF(Arterial=1,IF(Informed=0,1,0),0)</f>
        <v>0</v>
      </c>
      <c r="AF424" s="35" t="n">
        <f aca="false">IF(AB424=1,(X424-G$1030)^2,0)</f>
        <v>0</v>
      </c>
      <c r="AG424" s="35" t="n">
        <f aca="false">IF(AC424=1,(Y424-H$1030)^2,0)</f>
        <v>0</v>
      </c>
      <c r="AH424" s="35" t="n">
        <f aca="false">IF(AD424=1,(Z424-I$1030)^2,0)</f>
        <v>34.3480729394755</v>
      </c>
      <c r="AI424" s="35" t="n">
        <f aca="false">IF(AE424=1,(AA424-J$1030)^2,0)</f>
        <v>0</v>
      </c>
      <c r="AJ424" s="37" t="n">
        <f aca="true">IF(RAND()&lt;$D$6,1,0)</f>
        <v>0</v>
      </c>
      <c r="AK424" s="14" t="n">
        <f aca="false">AK423+IF((AJ424=1),IF((H424=0),1,0),0)</f>
        <v>0</v>
      </c>
      <c r="AL424" s="14" t="n">
        <f aca="false">AL423+IF((AJ424=1),IF((H424=1),1,0),0)</f>
        <v>0</v>
      </c>
      <c r="AM424" s="37" t="n">
        <f aca="false">IF(AK424=0,9999,IF($H424=0,IF($AJ424&lt;1,AM423+1,0),AM423))</f>
        <v>9999</v>
      </c>
      <c r="AN424" s="37" t="n">
        <f aca="false">IF(AL424=0,9999,IF($H424=1,IF($AJ424&lt;1,AN423+1,0),AN423))</f>
        <v>9999</v>
      </c>
      <c r="AO424" s="37" t="n">
        <f aca="false">IF($A424-AM424&gt;0,1/(1+AM424),0)</f>
        <v>0</v>
      </c>
      <c r="AP424" s="37" t="n">
        <f aca="false">IF($A424-AN424&gt;0,1/(1+AN424),0)</f>
        <v>0</v>
      </c>
      <c r="AQ424" s="7" t="n">
        <f aca="false">IF(AK424=0,0,MAX(MIN(1,AO424^Power),0))</f>
        <v>0</v>
      </c>
      <c r="AR424" s="7" t="n">
        <f aca="false">IF(AL424=0,0,MAX(MIN(1,AP424^Power),0))</f>
        <v>0</v>
      </c>
      <c r="AS424" s="7" t="n">
        <f aca="false">IF($AJ424=1,IF($H424=0,K424,AS423),AS423)</f>
        <v>0</v>
      </c>
      <c r="AT424" s="7" t="n">
        <f aca="false">IF($AJ424=1,IF($H424=1,N424,AT423),AT423)</f>
        <v>0</v>
      </c>
    </row>
    <row r="425" customFormat="false" ht="13" hidden="false" customHeight="false" outlineLevel="0" collapsed="false">
      <c r="A425" s="16" t="n">
        <v>408</v>
      </c>
      <c r="B425" s="37" t="n">
        <f aca="true">IF(RAND()&lt;$D$8,1,0)</f>
        <v>0</v>
      </c>
      <c r="C425" s="20" t="n">
        <f aca="true">-LN(RAND())/$D$2</f>
        <v>0.190463312172268</v>
      </c>
      <c r="D425" s="38" t="n">
        <f aca="false">D424+C425</f>
        <v>442.715853556022</v>
      </c>
      <c r="E425" s="39" t="n">
        <f aca="false">MAX($E$3,AS424)</f>
        <v>0</v>
      </c>
      <c r="F425" s="39" t="n">
        <f aca="false">MAX($E$3,AT424)</f>
        <v>0</v>
      </c>
      <c r="G425" s="40" t="n">
        <v>0.5</v>
      </c>
      <c r="H425" s="38" t="n">
        <f aca="true">IF((B425=1),(IF((F425&lt;E425),1,(IF((F425=E425),(IF(RAND()&lt;G425,1,0)),0)))),(IF((RAND()&lt;G425),1,0)))</f>
        <v>1</v>
      </c>
      <c r="I425" s="38" t="n">
        <f aca="true">IF((H425=1),0,$D$3+$D$5*(RAND()-0.5))</f>
        <v>0</v>
      </c>
      <c r="J425" s="38" t="n">
        <f aca="false">I425+MAX(D425,J424)</f>
        <v>448.362145374846</v>
      </c>
      <c r="K425" s="38" t="n">
        <f aca="false">IF((H425=0),J425-D425,0)</f>
        <v>0</v>
      </c>
      <c r="L425" s="38" t="n">
        <f aca="true">IF(($H425=0),0,$D$4+$D$5*(RAND()-0.5))</f>
        <v>1.92929540853403</v>
      </c>
      <c r="M425" s="38" t="n">
        <f aca="false">L425+MAX(D425,M424)</f>
        <v>466.968797543155</v>
      </c>
      <c r="N425" s="38" t="n">
        <f aca="false">IF((H425=1),M425-D425,0)</f>
        <v>24.252943987133</v>
      </c>
      <c r="O425" s="16" t="n">
        <v>408</v>
      </c>
      <c r="P425" s="41" t="n">
        <f aca="false">IF((Arterial=0),P424+1,P424)</f>
        <v>189</v>
      </c>
      <c r="Q425" s="41" t="n">
        <f aca="false">IF((Arterial=1),Q424+1,Q424)</f>
        <v>219</v>
      </c>
      <c r="R425" s="42" t="n">
        <f aca="false">IF((RESET=1),0,R425+K425)</f>
        <v>829.34208485094</v>
      </c>
      <c r="S425" s="14" t="e">
        <f aca="false">IF(RESET=1,0,S425+N425)</f>
        <v>#N/A</v>
      </c>
      <c r="T425" s="2" t="n">
        <f aca="false">IF(RESET=1,0,T425+IF(H425=0,1,0))</f>
        <v>42</v>
      </c>
      <c r="U425" s="2" t="e">
        <f aca="false">IF(RESET=1,0,U425+H425)</f>
        <v>#N/A</v>
      </c>
      <c r="V425" s="14" t="n">
        <f aca="false">R425/(T425+0.00001)</f>
        <v>19.746235414014</v>
      </c>
      <c r="W425" s="14" t="e">
        <f aca="false">S425/(U425+0.0001)</f>
        <v>#N/A</v>
      </c>
      <c r="X425" s="39" t="n">
        <f aca="false">IF(Informed=1,K425,0)</f>
        <v>0</v>
      </c>
      <c r="Y425" s="39" t="n">
        <f aca="false">IF(Informed=0,K425,0)</f>
        <v>0</v>
      </c>
      <c r="Z425" s="39" t="n">
        <f aca="false">IF(Informed=1,N425,0)</f>
        <v>0</v>
      </c>
      <c r="AA425" s="39" t="n">
        <f aca="false">IF(Informed=0,N425,0)</f>
        <v>24.252943987133</v>
      </c>
      <c r="AB425" s="43" t="n">
        <f aca="false">IF(Arterial=0,IF(Informed=1,1,0),0)</f>
        <v>0</v>
      </c>
      <c r="AC425" s="43" t="n">
        <f aca="false">IF(Arterial=0,IF(Informed=0,1,0),0)</f>
        <v>0</v>
      </c>
      <c r="AD425" s="43" t="n">
        <f aca="false">IF(Arterial=1,IF(Informed=1,1,0),0)</f>
        <v>0</v>
      </c>
      <c r="AE425" s="43" t="n">
        <f aca="false">IF(Arterial=1,IF(Informed=0,1,0),0)</f>
        <v>1</v>
      </c>
      <c r="AF425" s="35" t="n">
        <f aca="false">IF(AB425=1,(X425-G$1030)^2,0)</f>
        <v>0</v>
      </c>
      <c r="AG425" s="35" t="n">
        <f aca="false">IF(AC425=1,(Y425-H$1030)^2,0)</f>
        <v>0</v>
      </c>
      <c r="AH425" s="35" t="n">
        <f aca="false">IF(AD425=1,(Z425-I$1030)^2,0)</f>
        <v>0</v>
      </c>
      <c r="AI425" s="35" t="n">
        <f aca="false">IF(AE425=1,(AA425-J$1030)^2,0)</f>
        <v>28.2102370243063</v>
      </c>
      <c r="AJ425" s="37" t="n">
        <f aca="true">IF(RAND()&lt;$D$6,1,0)</f>
        <v>0</v>
      </c>
      <c r="AK425" s="14" t="n">
        <f aca="false">AK424+IF((AJ425=1),IF((H425=0),1,0),0)</f>
        <v>0</v>
      </c>
      <c r="AL425" s="14" t="n">
        <f aca="false">AL424+IF((AJ425=1),IF((H425=1),1,0),0)</f>
        <v>0</v>
      </c>
      <c r="AM425" s="37" t="n">
        <f aca="false">IF(AK425=0,9999,IF($H425=0,IF($AJ425&lt;1,AM424+1,0),AM424))</f>
        <v>9999</v>
      </c>
      <c r="AN425" s="37" t="n">
        <f aca="false">IF(AL425=0,9999,IF($H425=1,IF($AJ425&lt;1,AN424+1,0),AN424))</f>
        <v>9999</v>
      </c>
      <c r="AO425" s="37" t="n">
        <f aca="false">IF($A425-AM425&gt;0,1/(1+AM425),0)</f>
        <v>0</v>
      </c>
      <c r="AP425" s="37" t="n">
        <f aca="false">IF($A425-AN425&gt;0,1/(1+AN425),0)</f>
        <v>0</v>
      </c>
      <c r="AQ425" s="7" t="n">
        <f aca="false">IF(AK425=0,0,MAX(MIN(1,AO425^Power),0))</f>
        <v>0</v>
      </c>
      <c r="AR425" s="7" t="n">
        <f aca="false">IF(AL425=0,0,MAX(MIN(1,AP425^Power),0))</f>
        <v>0</v>
      </c>
      <c r="AS425" s="7" t="n">
        <f aca="false">IF($AJ425=1,IF($H425=0,K425,AS424),AS424)</f>
        <v>0</v>
      </c>
      <c r="AT425" s="7" t="n">
        <f aca="false">IF($AJ425=1,IF($H425=1,N425,AT424),AT424)</f>
        <v>0</v>
      </c>
    </row>
    <row r="426" customFormat="false" ht="13" hidden="false" customHeight="false" outlineLevel="0" collapsed="false">
      <c r="A426" s="16" t="n">
        <v>409</v>
      </c>
      <c r="B426" s="37" t="n">
        <f aca="true">IF(RAND()&lt;$D$8,1,0)</f>
        <v>0</v>
      </c>
      <c r="C426" s="20" t="n">
        <f aca="true">-LN(RAND())/$D$2</f>
        <v>1.80338235573052</v>
      </c>
      <c r="D426" s="38" t="n">
        <f aca="false">D425+C426</f>
        <v>444.519235911752</v>
      </c>
      <c r="E426" s="39" t="n">
        <f aca="false">MAX($E$3,AS425)</f>
        <v>0</v>
      </c>
      <c r="F426" s="39" t="n">
        <f aca="false">MAX($E$3,AT425)</f>
        <v>0</v>
      </c>
      <c r="G426" s="40" t="n">
        <v>0.5</v>
      </c>
      <c r="H426" s="38" t="n">
        <f aca="true">IF((B426=1),(IF((F426&lt;E426),1,(IF((F426=E426),(IF(RAND()&lt;G426,1,0)),0)))),(IF((RAND()&lt;G426),1,0)))</f>
        <v>1</v>
      </c>
      <c r="I426" s="38" t="n">
        <f aca="true">IF((H426=1),0,$D$3+$D$5*(RAND()-0.5))</f>
        <v>0</v>
      </c>
      <c r="J426" s="38" t="n">
        <f aca="false">I426+MAX(D426,J425)</f>
        <v>448.362145374846</v>
      </c>
      <c r="K426" s="38" t="n">
        <f aca="false">IF((H426=0),J426-D426,0)</f>
        <v>0</v>
      </c>
      <c r="L426" s="38" t="n">
        <f aca="true">IF(($H426=0),0,$D$4+$D$5*(RAND()-0.5))</f>
        <v>1.99698993300436</v>
      </c>
      <c r="M426" s="38" t="n">
        <f aca="false">L426+MAX(D426,M425)</f>
        <v>468.965787476159</v>
      </c>
      <c r="N426" s="38" t="n">
        <f aca="false">IF((H426=1),M426-D426,0)</f>
        <v>24.4465515644069</v>
      </c>
      <c r="O426" s="16" t="n">
        <v>409</v>
      </c>
      <c r="P426" s="41" t="n">
        <f aca="false">IF((Arterial=0),P425+1,P425)</f>
        <v>189</v>
      </c>
      <c r="Q426" s="41" t="n">
        <f aca="false">IF((Arterial=1),Q425+1,Q425)</f>
        <v>220</v>
      </c>
      <c r="R426" s="42" t="n">
        <f aca="false">IF((RESET=1),0,R426+K426)</f>
        <v>837.351728595903</v>
      </c>
      <c r="S426" s="14" t="e">
        <f aca="false">IF(RESET=1,0,S426+N426)</f>
        <v>#N/A</v>
      </c>
      <c r="T426" s="2" t="n">
        <f aca="false">IF(RESET=1,0,T426+IF(H426=0,1,0))</f>
        <v>44</v>
      </c>
      <c r="U426" s="2" t="e">
        <f aca="false">IF(RESET=1,0,U426+H426)</f>
        <v>#N/A</v>
      </c>
      <c r="V426" s="14" t="n">
        <f aca="false">R426/(T426+0.00001)</f>
        <v>19.0307167792894</v>
      </c>
      <c r="W426" s="14" t="e">
        <f aca="false">S426/(U426+0.0001)</f>
        <v>#N/A</v>
      </c>
      <c r="X426" s="39" t="n">
        <f aca="false">IF(Informed=1,K426,0)</f>
        <v>0</v>
      </c>
      <c r="Y426" s="39" t="n">
        <f aca="false">IF(Informed=0,K426,0)</f>
        <v>0</v>
      </c>
      <c r="Z426" s="39" t="n">
        <f aca="false">IF(Informed=1,N426,0)</f>
        <v>0</v>
      </c>
      <c r="AA426" s="39" t="n">
        <f aca="false">IF(Informed=0,N426,0)</f>
        <v>24.4465515644069</v>
      </c>
      <c r="AB426" s="43" t="n">
        <f aca="false">IF(Arterial=0,IF(Informed=1,1,0),0)</f>
        <v>0</v>
      </c>
      <c r="AC426" s="43" t="n">
        <f aca="false">IF(Arterial=0,IF(Informed=0,1,0),0)</f>
        <v>0</v>
      </c>
      <c r="AD426" s="43" t="n">
        <f aca="false">IF(Arterial=1,IF(Informed=1,1,0),0)</f>
        <v>0</v>
      </c>
      <c r="AE426" s="43" t="n">
        <f aca="false">IF(Arterial=1,IF(Informed=0,1,0),0)</f>
        <v>1</v>
      </c>
      <c r="AF426" s="35" t="n">
        <f aca="false">IF(AB426=1,(X426-G$1030)^2,0)</f>
        <v>0</v>
      </c>
      <c r="AG426" s="35" t="n">
        <f aca="false">IF(AC426=1,(Y426-H$1030)^2,0)</f>
        <v>0</v>
      </c>
      <c r="AH426" s="35" t="n">
        <f aca="false">IF(AD426=1,(Z426-I$1030)^2,0)</f>
        <v>0</v>
      </c>
      <c r="AI426" s="35" t="n">
        <f aca="false">IF(AE426=1,(AA426-J$1030)^2,0)</f>
        <v>26.191093063071</v>
      </c>
      <c r="AJ426" s="37" t="n">
        <f aca="true">IF(RAND()&lt;$D$6,1,0)</f>
        <v>0</v>
      </c>
      <c r="AK426" s="14" t="n">
        <f aca="false">AK425+IF((AJ426=1),IF((H426=0),1,0),0)</f>
        <v>0</v>
      </c>
      <c r="AL426" s="14" t="n">
        <f aca="false">AL425+IF((AJ426=1),IF((H426=1),1,0),0)</f>
        <v>0</v>
      </c>
      <c r="AM426" s="37" t="n">
        <f aca="false">IF(AK426=0,9999,IF($H426=0,IF($AJ426&lt;1,AM425+1,0),AM425))</f>
        <v>9999</v>
      </c>
      <c r="AN426" s="37" t="n">
        <f aca="false">IF(AL426=0,9999,IF($H426=1,IF($AJ426&lt;1,AN425+1,0),AN425))</f>
        <v>9999</v>
      </c>
      <c r="AO426" s="37" t="n">
        <f aca="false">IF($A426-AM426&gt;0,1/(1+AM426),0)</f>
        <v>0</v>
      </c>
      <c r="AP426" s="37" t="n">
        <f aca="false">IF($A426-AN426&gt;0,1/(1+AN426),0)</f>
        <v>0</v>
      </c>
      <c r="AQ426" s="7" t="n">
        <f aca="false">IF(AK426=0,0,MAX(MIN(1,AO426^Power),0))</f>
        <v>0</v>
      </c>
      <c r="AR426" s="7" t="n">
        <f aca="false">IF(AL426=0,0,MAX(MIN(1,AP426^Power),0))</f>
        <v>0</v>
      </c>
      <c r="AS426" s="7" t="n">
        <f aca="false">IF($AJ426=1,IF($H426=0,K426,AS425),AS425)</f>
        <v>0</v>
      </c>
      <c r="AT426" s="7" t="n">
        <f aca="false">IF($AJ426=1,IF($H426=1,N426,AT425),AT425)</f>
        <v>0</v>
      </c>
    </row>
    <row r="427" customFormat="false" ht="13" hidden="false" customHeight="false" outlineLevel="0" collapsed="false">
      <c r="A427" s="16" t="n">
        <v>410</v>
      </c>
      <c r="B427" s="37" t="n">
        <f aca="true">IF(RAND()&lt;$D$8,1,0)</f>
        <v>0</v>
      </c>
      <c r="C427" s="20" t="n">
        <f aca="true">-LN(RAND())/$D$2</f>
        <v>0.825230555054749</v>
      </c>
      <c r="D427" s="38" t="n">
        <f aca="false">D426+C427</f>
        <v>445.344466466807</v>
      </c>
      <c r="E427" s="39" t="n">
        <f aca="false">MAX($E$3,AS426)</f>
        <v>0</v>
      </c>
      <c r="F427" s="39" t="n">
        <f aca="false">MAX($E$3,AT426)</f>
        <v>0</v>
      </c>
      <c r="G427" s="40" t="n">
        <v>0.5</v>
      </c>
      <c r="H427" s="38" t="n">
        <f aca="true">IF((B427=1),(IF((F427&lt;E427),1,(IF((F427=E427),(IF(RAND()&lt;G427,1,0)),0)))),(IF((RAND()&lt;G427),1,0)))</f>
        <v>0</v>
      </c>
      <c r="I427" s="38" t="n">
        <f aca="true">IF((H427=1),0,$D$3+$D$5*(RAND()-0.5))</f>
        <v>1.82348836043799</v>
      </c>
      <c r="J427" s="38" t="n">
        <f aca="false">I427+MAX(D427,J426)</f>
        <v>450.185633735284</v>
      </c>
      <c r="K427" s="38" t="n">
        <f aca="false">IF((H427=0),J427-D427,0)</f>
        <v>4.84116726847719</v>
      </c>
      <c r="L427" s="38" t="n">
        <f aca="true">IF(($H427=0),0,$D$4+$D$5*(RAND()-0.5))</f>
        <v>0</v>
      </c>
      <c r="M427" s="38" t="n">
        <f aca="false">L427+MAX(D427,M426)</f>
        <v>468.965787476159</v>
      </c>
      <c r="N427" s="38" t="n">
        <f aca="false">IF((H427=1),M427-D427,0)</f>
        <v>0</v>
      </c>
      <c r="O427" s="16" t="n">
        <v>410</v>
      </c>
      <c r="P427" s="41" t="n">
        <f aca="false">IF((Arterial=0),P426+1,P426)</f>
        <v>190</v>
      </c>
      <c r="Q427" s="41" t="n">
        <f aca="false">IF((Arterial=1),Q426+1,Q426)</f>
        <v>220</v>
      </c>
      <c r="R427" s="42" t="e">
        <f aca="false">IF((RESET=1),0,R427+K427)</f>
        <v>#N/A</v>
      </c>
      <c r="S427" s="14" t="n">
        <f aca="false">IF(RESET=1,0,S427+N427)</f>
        <v>595.127631476926</v>
      </c>
      <c r="T427" s="2" t="e">
        <f aca="false">IF(RESET=1,0,T427+IF(H427=0,1,0))</f>
        <v>#N/A</v>
      </c>
      <c r="U427" s="2" t="n">
        <f aca="false">IF(RESET=1,0,U427+H427)</f>
        <v>42</v>
      </c>
      <c r="V427" s="14" t="e">
        <f aca="false">R427/(T427+0.00001)</f>
        <v>#N/A</v>
      </c>
      <c r="W427" s="14" t="n">
        <f aca="false">S427/(U427+0.0001)</f>
        <v>14.1696717740416</v>
      </c>
      <c r="X427" s="39" t="n">
        <f aca="false">IF(Informed=1,K427,0)</f>
        <v>0</v>
      </c>
      <c r="Y427" s="39" t="n">
        <f aca="false">IF(Informed=0,K427,0)</f>
        <v>4.84116726847719</v>
      </c>
      <c r="Z427" s="39" t="n">
        <f aca="false">IF(Informed=1,N427,0)</f>
        <v>0</v>
      </c>
      <c r="AA427" s="39" t="n">
        <f aca="false">IF(Informed=0,N427,0)</f>
        <v>0</v>
      </c>
      <c r="AB427" s="43" t="n">
        <f aca="false">IF(Arterial=0,IF(Informed=1,1,0),0)</f>
        <v>0</v>
      </c>
      <c r="AC427" s="43" t="n">
        <f aca="false">IF(Arterial=0,IF(Informed=0,1,0),0)</f>
        <v>1</v>
      </c>
      <c r="AD427" s="43" t="n">
        <f aca="false">IF(Arterial=1,IF(Informed=1,1,0),0)</f>
        <v>0</v>
      </c>
      <c r="AE427" s="43" t="n">
        <f aca="false">IF(Arterial=1,IF(Informed=0,1,0),0)</f>
        <v>0</v>
      </c>
      <c r="AF427" s="35" t="n">
        <f aca="false">IF(AB427=1,(X427-G$1030)^2,0)</f>
        <v>0</v>
      </c>
      <c r="AG427" s="35" t="n">
        <f aca="false">IF(AC427=1,(Y427-H$1030)^2,0)</f>
        <v>36.9982415179021</v>
      </c>
      <c r="AH427" s="35" t="n">
        <f aca="false">IF(AD427=1,(Z427-I$1030)^2,0)</f>
        <v>0</v>
      </c>
      <c r="AI427" s="35" t="n">
        <f aca="false">IF(AE427=1,(AA427-J$1030)^2,0)</f>
        <v>0</v>
      </c>
      <c r="AJ427" s="37" t="n">
        <f aca="true">IF(RAND()&lt;$D$6,1,0)</f>
        <v>0</v>
      </c>
      <c r="AK427" s="14" t="n">
        <f aca="false">AK426+IF((AJ427=1),IF((H427=0),1,0),0)</f>
        <v>0</v>
      </c>
      <c r="AL427" s="14" t="n">
        <f aca="false">AL426+IF((AJ427=1),IF((H427=1),1,0),0)</f>
        <v>0</v>
      </c>
      <c r="AM427" s="37" t="n">
        <f aca="false">IF(AK427=0,9999,IF($H427=0,IF($AJ427&lt;1,AM426+1,0),AM426))</f>
        <v>9999</v>
      </c>
      <c r="AN427" s="37" t="n">
        <f aca="false">IF(AL427=0,9999,IF($H427=1,IF($AJ427&lt;1,AN426+1,0),AN426))</f>
        <v>9999</v>
      </c>
      <c r="AO427" s="37" t="n">
        <f aca="false">IF($A427-AM427&gt;0,1/(1+AM427),0)</f>
        <v>0</v>
      </c>
      <c r="AP427" s="37" t="n">
        <f aca="false">IF($A427-AN427&gt;0,1/(1+AN427),0)</f>
        <v>0</v>
      </c>
      <c r="AQ427" s="7" t="n">
        <f aca="false">IF(AK427=0,0,MAX(MIN(1,AO427^Power),0))</f>
        <v>0</v>
      </c>
      <c r="AR427" s="7" t="n">
        <f aca="false">IF(AL427=0,0,MAX(MIN(1,AP427^Power),0))</f>
        <v>0</v>
      </c>
      <c r="AS427" s="7" t="n">
        <f aca="false">IF($AJ427=1,IF($H427=0,K427,AS426),AS426)</f>
        <v>0</v>
      </c>
      <c r="AT427" s="7" t="n">
        <f aca="false">IF($AJ427=1,IF($H427=1,N427,AT426),AT426)</f>
        <v>0</v>
      </c>
    </row>
    <row r="428" customFormat="false" ht="13" hidden="false" customHeight="false" outlineLevel="0" collapsed="false">
      <c r="A428" s="16" t="n">
        <v>411</v>
      </c>
      <c r="B428" s="37" t="n">
        <f aca="true">IF(RAND()&lt;$D$8,1,0)</f>
        <v>0</v>
      </c>
      <c r="C428" s="20" t="n">
        <f aca="true">-LN(RAND())/$D$2</f>
        <v>2.90256907682074</v>
      </c>
      <c r="D428" s="38" t="n">
        <f aca="false">D427+C428</f>
        <v>448.247035543628</v>
      </c>
      <c r="E428" s="39" t="n">
        <f aca="false">MAX($E$3,AS427)</f>
        <v>0</v>
      </c>
      <c r="F428" s="39" t="n">
        <f aca="false">MAX($E$3,AT427)</f>
        <v>0</v>
      </c>
      <c r="G428" s="40" t="n">
        <v>0.5</v>
      </c>
      <c r="H428" s="38" t="n">
        <f aca="true">IF((B428=1),(IF((F428&lt;E428),1,(IF((F428=E428),(IF(RAND()&lt;G428,1,0)),0)))),(IF((RAND()&lt;G428),1,0)))</f>
        <v>1</v>
      </c>
      <c r="I428" s="38" t="n">
        <f aca="true">IF((H428=1),0,$D$3+$D$5*(RAND()-0.5))</f>
        <v>0</v>
      </c>
      <c r="J428" s="38" t="n">
        <f aca="false">I428+MAX(D428,J427)</f>
        <v>450.185633735284</v>
      </c>
      <c r="K428" s="38" t="n">
        <f aca="false">IF((H428=0),J428-D428,0)</f>
        <v>0</v>
      </c>
      <c r="L428" s="38" t="n">
        <f aca="true">IF(($H428=0),0,$D$4+$D$5*(RAND()-0.5))</f>
        <v>2.03049968011528</v>
      </c>
      <c r="M428" s="38" t="n">
        <f aca="false">L428+MAX(D428,M427)</f>
        <v>470.996287156274</v>
      </c>
      <c r="N428" s="38" t="n">
        <f aca="false">IF((H428=1),M428-D428,0)</f>
        <v>22.7492516126467</v>
      </c>
      <c r="O428" s="16" t="n">
        <v>411</v>
      </c>
      <c r="P428" s="41" t="n">
        <f aca="false">IF((Arterial=0),P427+1,P427)</f>
        <v>190</v>
      </c>
      <c r="Q428" s="41" t="n">
        <f aca="false">IF((Arterial=1),Q427+1,Q427)</f>
        <v>221</v>
      </c>
      <c r="R428" s="42" t="n">
        <f aca="false">IF((RESET=1),0,R428+K428)</f>
        <v>883.911139511237</v>
      </c>
      <c r="S428" s="14" t="e">
        <f aca="false">IF(RESET=1,0,S428+N428)</f>
        <v>#N/A</v>
      </c>
      <c r="T428" s="2" t="n">
        <f aca="false">IF(RESET=1,0,T428+IF(H428=0,1,0))</f>
        <v>49</v>
      </c>
      <c r="U428" s="2" t="e">
        <f aca="false">IF(RESET=1,0,U428+H428)</f>
        <v>#N/A</v>
      </c>
      <c r="V428" s="14" t="n">
        <f aca="false">R428/(T428+0.00001)</f>
        <v>18.0389991657397</v>
      </c>
      <c r="W428" s="14" t="e">
        <f aca="false">S428/(U428+0.0001)</f>
        <v>#N/A</v>
      </c>
      <c r="X428" s="39" t="n">
        <f aca="false">IF(Informed=1,K428,0)</f>
        <v>0</v>
      </c>
      <c r="Y428" s="39" t="n">
        <f aca="false">IF(Informed=0,K428,0)</f>
        <v>0</v>
      </c>
      <c r="Z428" s="39" t="n">
        <f aca="false">IF(Informed=1,N428,0)</f>
        <v>0</v>
      </c>
      <c r="AA428" s="39" t="n">
        <f aca="false">IF(Informed=0,N428,0)</f>
        <v>22.7492516126467</v>
      </c>
      <c r="AB428" s="43" t="n">
        <f aca="false">IF(Arterial=0,IF(Informed=1,1,0),0)</f>
        <v>0</v>
      </c>
      <c r="AC428" s="43" t="n">
        <f aca="false">IF(Arterial=0,IF(Informed=0,1,0),0)</f>
        <v>0</v>
      </c>
      <c r="AD428" s="43" t="n">
        <f aca="false">IF(Arterial=1,IF(Informed=1,1,0),0)</f>
        <v>0</v>
      </c>
      <c r="AE428" s="43" t="n">
        <f aca="false">IF(Arterial=1,IF(Informed=0,1,0),0)</f>
        <v>1</v>
      </c>
      <c r="AF428" s="35" t="n">
        <f aca="false">IF(AB428=1,(X428-G$1030)^2,0)</f>
        <v>0</v>
      </c>
      <c r="AG428" s="35" t="n">
        <f aca="false">IF(AC428=1,(Y428-H$1030)^2,0)</f>
        <v>0</v>
      </c>
      <c r="AH428" s="35" t="n">
        <f aca="false">IF(AD428=1,(Z428-I$1030)^2,0)</f>
        <v>0</v>
      </c>
      <c r="AI428" s="35" t="n">
        <f aca="false">IF(AE428=1,(AA428-J$1030)^2,0)</f>
        <v>46.4445436368107</v>
      </c>
      <c r="AJ428" s="37" t="n">
        <f aca="true">IF(RAND()&lt;$D$6,1,0)</f>
        <v>0</v>
      </c>
      <c r="AK428" s="14" t="n">
        <f aca="false">AK427+IF((AJ428=1),IF((H428=0),1,0),0)</f>
        <v>0</v>
      </c>
      <c r="AL428" s="14" t="n">
        <f aca="false">AL427+IF((AJ428=1),IF((H428=1),1,0),0)</f>
        <v>0</v>
      </c>
      <c r="AM428" s="37" t="n">
        <f aca="false">IF(AK428=0,9999,IF($H428=0,IF($AJ428&lt;1,AM427+1,0),AM427))</f>
        <v>9999</v>
      </c>
      <c r="AN428" s="37" t="n">
        <f aca="false">IF(AL428=0,9999,IF($H428=1,IF($AJ428&lt;1,AN427+1,0),AN427))</f>
        <v>9999</v>
      </c>
      <c r="AO428" s="37" t="n">
        <f aca="false">IF($A428-AM428&gt;0,1/(1+AM428),0)</f>
        <v>0</v>
      </c>
      <c r="AP428" s="37" t="n">
        <f aca="false">IF($A428-AN428&gt;0,1/(1+AN428),0)</f>
        <v>0</v>
      </c>
      <c r="AQ428" s="7" t="n">
        <f aca="false">IF(AK428=0,0,MAX(MIN(1,AO428^Power),0))</f>
        <v>0</v>
      </c>
      <c r="AR428" s="7" t="n">
        <f aca="false">IF(AL428=0,0,MAX(MIN(1,AP428^Power),0))</f>
        <v>0</v>
      </c>
      <c r="AS428" s="7" t="n">
        <f aca="false">IF($AJ428=1,IF($H428=0,K428,AS427),AS427)</f>
        <v>0</v>
      </c>
      <c r="AT428" s="7" t="n">
        <f aca="false">IF($AJ428=1,IF($H428=1,N428,AT427),AT427)</f>
        <v>0</v>
      </c>
    </row>
    <row r="429" customFormat="false" ht="13" hidden="false" customHeight="false" outlineLevel="0" collapsed="false">
      <c r="A429" s="16" t="n">
        <v>412</v>
      </c>
      <c r="B429" s="37" t="n">
        <f aca="true">IF(RAND()&lt;$D$8,1,0)</f>
        <v>1</v>
      </c>
      <c r="C429" s="20" t="n">
        <f aca="true">-LN(RAND())/$D$2</f>
        <v>0.238740363217768</v>
      </c>
      <c r="D429" s="38" t="n">
        <f aca="false">D428+C429</f>
        <v>448.485775906845</v>
      </c>
      <c r="E429" s="39" t="n">
        <f aca="false">MAX($E$3,AS428)</f>
        <v>0</v>
      </c>
      <c r="F429" s="39" t="n">
        <f aca="false">MAX($E$3,AT428)</f>
        <v>0</v>
      </c>
      <c r="G429" s="40" t="n">
        <v>0.5</v>
      </c>
      <c r="H429" s="38" t="n">
        <f aca="true">IF((B429=1),(IF((F429&lt;E429),1,(IF((F429=E429),(IF(RAND()&lt;G429,1,0)),0)))),(IF((RAND()&lt;G429),1,0)))</f>
        <v>0</v>
      </c>
      <c r="I429" s="38" t="n">
        <f aca="true">IF((H429=1),0,$D$3+$D$5*(RAND()-0.5))</f>
        <v>1.82628126462355</v>
      </c>
      <c r="J429" s="38" t="n">
        <f aca="false">I429+MAX(D429,J428)</f>
        <v>452.011914999908</v>
      </c>
      <c r="K429" s="38" t="n">
        <f aca="false">IF((H429=0),J429-D429,0)</f>
        <v>3.52613909306228</v>
      </c>
      <c r="L429" s="38" t="n">
        <f aca="true">IF(($H429=0),0,$D$4+$D$5*(RAND()-0.5))</f>
        <v>0</v>
      </c>
      <c r="M429" s="38" t="n">
        <f aca="false">L429+MAX(D429,M428)</f>
        <v>470.996287156274</v>
      </c>
      <c r="N429" s="38" t="n">
        <f aca="false">IF((H429=1),M429-D429,0)</f>
        <v>0</v>
      </c>
      <c r="O429" s="16" t="n">
        <v>412</v>
      </c>
      <c r="P429" s="41" t="n">
        <f aca="false">IF((Arterial=0),P428+1,P428)</f>
        <v>191</v>
      </c>
      <c r="Q429" s="41" t="n">
        <f aca="false">IF((Arterial=1),Q428+1,Q428)</f>
        <v>221</v>
      </c>
      <c r="R429" s="42" t="e">
        <f aca="false">IF((RESET=1),0,R429+K429)</f>
        <v>#N/A</v>
      </c>
      <c r="S429" s="14" t="n">
        <f aca="false">IF(RESET=1,0,S429+N429)</f>
        <v>640.545373382654</v>
      </c>
      <c r="T429" s="2" t="e">
        <f aca="false">IF(RESET=1,0,T429+IF(H429=0,1,0))</f>
        <v>#N/A</v>
      </c>
      <c r="U429" s="2" t="n">
        <f aca="false">IF(RESET=1,0,U429+H429)</f>
        <v>47</v>
      </c>
      <c r="V429" s="14" t="e">
        <f aca="false">R429/(T429+0.00001)</f>
        <v>#N/A</v>
      </c>
      <c r="W429" s="14" t="n">
        <f aca="false">S429/(U429+0.0001)</f>
        <v>13.6285959685757</v>
      </c>
      <c r="X429" s="39" t="n">
        <f aca="false">IF(Informed=1,K429,0)</f>
        <v>3.52613909306228</v>
      </c>
      <c r="Y429" s="39" t="n">
        <f aca="false">IF(Informed=0,K429,0)</f>
        <v>0</v>
      </c>
      <c r="Z429" s="39" t="n">
        <f aca="false">IF(Informed=1,N429,0)</f>
        <v>0</v>
      </c>
      <c r="AA429" s="39" t="n">
        <f aca="false">IF(Informed=0,N429,0)</f>
        <v>0</v>
      </c>
      <c r="AB429" s="43" t="n">
        <f aca="false">IF(Arterial=0,IF(Informed=1,1,0),0)</f>
        <v>1</v>
      </c>
      <c r="AC429" s="43" t="n">
        <f aca="false">IF(Arterial=0,IF(Informed=0,1,0),0)</f>
        <v>0</v>
      </c>
      <c r="AD429" s="43" t="n">
        <f aca="false">IF(Arterial=1,IF(Informed=1,1,0),0)</f>
        <v>0</v>
      </c>
      <c r="AE429" s="43" t="n">
        <f aca="false">IF(Arterial=1,IF(Informed=0,1,0),0)</f>
        <v>0</v>
      </c>
      <c r="AF429" s="35" t="n">
        <f aca="false">IF(AB429=1,(X429-G$1030)^2,0)</f>
        <v>51.6032347011347</v>
      </c>
      <c r="AG429" s="35" t="n">
        <f aca="false">IF(AC429=1,(Y429-H$1030)^2,0)</f>
        <v>0</v>
      </c>
      <c r="AH429" s="35" t="n">
        <f aca="false">IF(AD429=1,(Z429-I$1030)^2,0)</f>
        <v>0</v>
      </c>
      <c r="AI429" s="35" t="n">
        <f aca="false">IF(AE429=1,(AA429-J$1030)^2,0)</f>
        <v>0</v>
      </c>
      <c r="AJ429" s="37" t="n">
        <f aca="true">IF(RAND()&lt;$D$6,1,0)</f>
        <v>0</v>
      </c>
      <c r="AK429" s="14" t="n">
        <f aca="false">AK428+IF((AJ429=1),IF((H429=0),1,0),0)</f>
        <v>0</v>
      </c>
      <c r="AL429" s="14" t="n">
        <f aca="false">AL428+IF((AJ429=1),IF((H429=1),1,0),0)</f>
        <v>0</v>
      </c>
      <c r="AM429" s="37" t="n">
        <f aca="false">IF(AK429=0,9999,IF($H429=0,IF($AJ429&lt;1,AM428+1,0),AM428))</f>
        <v>9999</v>
      </c>
      <c r="AN429" s="37" t="n">
        <f aca="false">IF(AL429=0,9999,IF($H429=1,IF($AJ429&lt;1,AN428+1,0),AN428))</f>
        <v>9999</v>
      </c>
      <c r="AO429" s="37" t="n">
        <f aca="false">IF($A429-AM429&gt;0,1/(1+AM429),0)</f>
        <v>0</v>
      </c>
      <c r="AP429" s="37" t="n">
        <f aca="false">IF($A429-AN429&gt;0,1/(1+AN429),0)</f>
        <v>0</v>
      </c>
      <c r="AQ429" s="7" t="n">
        <f aca="false">IF(AK429=0,0,MAX(MIN(1,AO429^Power),0))</f>
        <v>0</v>
      </c>
      <c r="AR429" s="7" t="n">
        <f aca="false">IF(AL429=0,0,MAX(MIN(1,AP429^Power),0))</f>
        <v>0</v>
      </c>
      <c r="AS429" s="7" t="n">
        <f aca="false">IF($AJ429=1,IF($H429=0,K429,AS428),AS428)</f>
        <v>0</v>
      </c>
      <c r="AT429" s="7" t="n">
        <f aca="false">IF($AJ429=1,IF($H429=1,N429,AT428),AT428)</f>
        <v>0</v>
      </c>
    </row>
    <row r="430" customFormat="false" ht="13" hidden="false" customHeight="false" outlineLevel="0" collapsed="false">
      <c r="A430" s="16" t="n">
        <v>413</v>
      </c>
      <c r="B430" s="37" t="n">
        <f aca="true">IF(RAND()&lt;$D$8,1,0)</f>
        <v>1</v>
      </c>
      <c r="C430" s="20" t="n">
        <f aca="true">-LN(RAND())/$D$2</f>
        <v>0.636418874401936</v>
      </c>
      <c r="D430" s="38" t="n">
        <f aca="false">D429+C430</f>
        <v>449.122194781247</v>
      </c>
      <c r="E430" s="39" t="n">
        <f aca="false">MAX($E$3,AS429)</f>
        <v>0</v>
      </c>
      <c r="F430" s="39" t="n">
        <f aca="false">MAX($E$3,AT429)</f>
        <v>0</v>
      </c>
      <c r="G430" s="40" t="n">
        <v>0.5</v>
      </c>
      <c r="H430" s="38" t="n">
        <f aca="true">IF((B430=1),(IF((F430&lt;E430),1,(IF((F430=E430),(IF(RAND()&lt;G430,1,0)),0)))),(IF((RAND()&lt;G430),1,0)))</f>
        <v>0</v>
      </c>
      <c r="I430" s="38" t="n">
        <f aca="true">IF((H430=1),0,$D$3+$D$5*(RAND()-0.5))</f>
        <v>1.91371329103081</v>
      </c>
      <c r="J430" s="38" t="n">
        <f aca="false">I430+MAX(D430,J429)</f>
        <v>453.925628290938</v>
      </c>
      <c r="K430" s="38" t="n">
        <f aca="false">IF((H430=0),J430-D430,0)</f>
        <v>4.80343350969116</v>
      </c>
      <c r="L430" s="38" t="n">
        <f aca="true">IF(($H430=0),0,$D$4+$D$5*(RAND()-0.5))</f>
        <v>0</v>
      </c>
      <c r="M430" s="38" t="n">
        <f aca="false">L430+MAX(D430,M429)</f>
        <v>470.996287156274</v>
      </c>
      <c r="N430" s="38" t="n">
        <f aca="false">IF((H430=1),M430-D430,0)</f>
        <v>0</v>
      </c>
      <c r="O430" s="16" t="n">
        <v>413</v>
      </c>
      <c r="P430" s="41" t="n">
        <f aca="false">IF((Arterial=0),P429+1,P429)</f>
        <v>192</v>
      </c>
      <c r="Q430" s="41" t="n">
        <f aca="false">IF((Arterial=1),Q429+1,Q429)</f>
        <v>221</v>
      </c>
      <c r="R430" s="42" t="e">
        <f aca="false">IF((RESET=1),0,R430+K430)</f>
        <v>#N/A</v>
      </c>
      <c r="S430" s="14" t="n">
        <f aca="false">IF(RESET=1,0,S430+N430)</f>
        <v>510.212991052824</v>
      </c>
      <c r="T430" s="2" t="e">
        <f aca="false">IF(RESET=1,0,T430+IF(H430=0,1,0))</f>
        <v>#N/A</v>
      </c>
      <c r="U430" s="2" t="n">
        <f aca="false">IF(RESET=1,0,U430+H430)</f>
        <v>40</v>
      </c>
      <c r="V430" s="14" t="e">
        <f aca="false">R430/(T430+0.00001)</f>
        <v>#N/A</v>
      </c>
      <c r="W430" s="14" t="n">
        <f aca="false">S430/(U430+0.0001)</f>
        <v>12.7552928880884</v>
      </c>
      <c r="X430" s="39" t="n">
        <f aca="false">IF(Informed=1,K430,0)</f>
        <v>4.80343350969116</v>
      </c>
      <c r="Y430" s="39" t="n">
        <f aca="false">IF(Informed=0,K430,0)</f>
        <v>0</v>
      </c>
      <c r="Z430" s="39" t="n">
        <f aca="false">IF(Informed=1,N430,0)</f>
        <v>0</v>
      </c>
      <c r="AA430" s="39" t="n">
        <f aca="false">IF(Informed=0,N430,0)</f>
        <v>0</v>
      </c>
      <c r="AB430" s="43" t="n">
        <f aca="false">IF(Arterial=0,IF(Informed=1,1,0),0)</f>
        <v>1</v>
      </c>
      <c r="AC430" s="43" t="n">
        <f aca="false">IF(Arterial=0,IF(Informed=0,1,0),0)</f>
        <v>0</v>
      </c>
      <c r="AD430" s="43" t="n">
        <f aca="false">IF(Arterial=1,IF(Informed=1,1,0),0)</f>
        <v>0</v>
      </c>
      <c r="AE430" s="43" t="n">
        <f aca="false">IF(Arterial=1,IF(Informed=0,1,0),0)</f>
        <v>0</v>
      </c>
      <c r="AF430" s="35" t="n">
        <f aca="false">IF(AB430=1,(X430-G$1030)^2,0)</f>
        <v>34.8837268353063</v>
      </c>
      <c r="AG430" s="35" t="n">
        <f aca="false">IF(AC430=1,(Y430-H$1030)^2,0)</f>
        <v>0</v>
      </c>
      <c r="AH430" s="35" t="n">
        <f aca="false">IF(AD430=1,(Z430-I$1030)^2,0)</f>
        <v>0</v>
      </c>
      <c r="AI430" s="35" t="n">
        <f aca="false">IF(AE430=1,(AA430-J$1030)^2,0)</f>
        <v>0</v>
      </c>
      <c r="AJ430" s="37" t="n">
        <f aca="true">IF(RAND()&lt;$D$6,1,0)</f>
        <v>0</v>
      </c>
      <c r="AK430" s="14" t="n">
        <f aca="false">AK429+IF((AJ430=1),IF((H430=0),1,0),0)</f>
        <v>0</v>
      </c>
      <c r="AL430" s="14" t="n">
        <f aca="false">AL429+IF((AJ430=1),IF((H430=1),1,0),0)</f>
        <v>0</v>
      </c>
      <c r="AM430" s="37" t="n">
        <f aca="false">IF(AK430=0,9999,IF($H430=0,IF($AJ430&lt;1,AM429+1,0),AM429))</f>
        <v>9999</v>
      </c>
      <c r="AN430" s="37" t="n">
        <f aca="false">IF(AL430=0,9999,IF($H430=1,IF($AJ430&lt;1,AN429+1,0),AN429))</f>
        <v>9999</v>
      </c>
      <c r="AO430" s="37" t="n">
        <f aca="false">IF($A430-AM430&gt;0,1/(1+AM430),0)</f>
        <v>0</v>
      </c>
      <c r="AP430" s="37" t="n">
        <f aca="false">IF($A430-AN430&gt;0,1/(1+AN430),0)</f>
        <v>0</v>
      </c>
      <c r="AQ430" s="7" t="n">
        <f aca="false">IF(AK430=0,0,MAX(MIN(1,AO430^Power),0))</f>
        <v>0</v>
      </c>
      <c r="AR430" s="7" t="n">
        <f aca="false">IF(AL430=0,0,MAX(MIN(1,AP430^Power),0))</f>
        <v>0</v>
      </c>
      <c r="AS430" s="7" t="n">
        <f aca="false">IF($AJ430=1,IF($H430=0,K430,AS429),AS429)</f>
        <v>0</v>
      </c>
      <c r="AT430" s="7" t="n">
        <f aca="false">IF($AJ430=1,IF($H430=1,N430,AT429),AT429)</f>
        <v>0</v>
      </c>
    </row>
    <row r="431" customFormat="false" ht="13" hidden="false" customHeight="false" outlineLevel="0" collapsed="false">
      <c r="A431" s="16" t="n">
        <v>414</v>
      </c>
      <c r="B431" s="37" t="n">
        <f aca="true">IF(RAND()&lt;$D$8,1,0)</f>
        <v>1</v>
      </c>
      <c r="C431" s="20" t="n">
        <f aca="true">-LN(RAND())/$D$2</f>
        <v>0.648766161096498</v>
      </c>
      <c r="D431" s="38" t="n">
        <f aca="false">D430+C431</f>
        <v>449.770960942344</v>
      </c>
      <c r="E431" s="39" t="n">
        <f aca="false">MAX($E$3,AS430)</f>
        <v>0</v>
      </c>
      <c r="F431" s="39" t="n">
        <f aca="false">MAX($E$3,AT430)</f>
        <v>0</v>
      </c>
      <c r="G431" s="40" t="n">
        <v>0.5</v>
      </c>
      <c r="H431" s="38" t="n">
        <f aca="true">IF((B431=1),(IF((F431&lt;E431),1,(IF((F431=E431),(IF(RAND()&lt;G431,1,0)),0)))),(IF((RAND()&lt;G431),1,0)))</f>
        <v>0</v>
      </c>
      <c r="I431" s="38" t="n">
        <f aca="true">IF((H431=1),0,$D$3+$D$5*(RAND()-0.5))</f>
        <v>2.17409436512315</v>
      </c>
      <c r="J431" s="38" t="n">
        <f aca="false">I431+MAX(D431,J430)</f>
        <v>456.099722656062</v>
      </c>
      <c r="K431" s="38" t="n">
        <f aca="false">IF((H431=0),J431-D431,0)</f>
        <v>6.32876171371782</v>
      </c>
      <c r="L431" s="38" t="n">
        <f aca="true">IF(($H431=0),0,$D$4+$D$5*(RAND()-0.5))</f>
        <v>0</v>
      </c>
      <c r="M431" s="38" t="n">
        <f aca="false">L431+MAX(D431,M430)</f>
        <v>470.996287156274</v>
      </c>
      <c r="N431" s="38" t="n">
        <f aca="false">IF((H431=1),M431-D431,0)</f>
        <v>0</v>
      </c>
      <c r="O431" s="16" t="n">
        <v>414</v>
      </c>
      <c r="P431" s="41" t="n">
        <f aca="false">IF((Arterial=0),P430+1,P430)</f>
        <v>193</v>
      </c>
      <c r="Q431" s="41" t="n">
        <f aca="false">IF((Arterial=1),Q430+1,Q430)</f>
        <v>221</v>
      </c>
      <c r="R431" s="42" t="e">
        <f aca="false">IF((RESET=1),0,R431+K431)</f>
        <v>#N/A</v>
      </c>
      <c r="S431" s="14" t="n">
        <f aca="false">IF(RESET=1,0,S431+N431)</f>
        <v>492.976347826053</v>
      </c>
      <c r="T431" s="2" t="e">
        <f aca="false">IF(RESET=1,0,T431+IF(H431=0,1,0))</f>
        <v>#N/A</v>
      </c>
      <c r="U431" s="2" t="n">
        <f aca="false">IF(RESET=1,0,U431+H431)</f>
        <v>38</v>
      </c>
      <c r="V431" s="14" t="e">
        <f aca="false">R431/(T431+0.00001)</f>
        <v>#N/A</v>
      </c>
      <c r="W431" s="14" t="n">
        <f aca="false">S431/(U431+0.0001)</f>
        <v>12.9730276453497</v>
      </c>
      <c r="X431" s="39" t="n">
        <f aca="false">IF(Informed=1,K431,0)</f>
        <v>6.32876171371782</v>
      </c>
      <c r="Y431" s="39" t="n">
        <f aca="false">IF(Informed=0,K431,0)</f>
        <v>0</v>
      </c>
      <c r="Z431" s="39" t="n">
        <f aca="false">IF(Informed=1,N431,0)</f>
        <v>0</v>
      </c>
      <c r="AA431" s="39" t="n">
        <f aca="false">IF(Informed=0,N431,0)</f>
        <v>0</v>
      </c>
      <c r="AB431" s="43" t="n">
        <f aca="false">IF(Arterial=0,IF(Informed=1,1,0),0)</f>
        <v>1</v>
      </c>
      <c r="AC431" s="43" t="n">
        <f aca="false">IF(Arterial=0,IF(Informed=0,1,0),0)</f>
        <v>0</v>
      </c>
      <c r="AD431" s="43" t="n">
        <f aca="false">IF(Arterial=1,IF(Informed=1,1,0),0)</f>
        <v>0</v>
      </c>
      <c r="AE431" s="43" t="n">
        <f aca="false">IF(Arterial=1,IF(Informed=0,1,0),0)</f>
        <v>0</v>
      </c>
      <c r="AF431" s="35" t="n">
        <f aca="false">IF(AB431=1,(X431-G$1030)^2,0)</f>
        <v>19.1924296258329</v>
      </c>
      <c r="AG431" s="35" t="n">
        <f aca="false">IF(AC431=1,(Y431-H$1030)^2,0)</f>
        <v>0</v>
      </c>
      <c r="AH431" s="35" t="n">
        <f aca="false">IF(AD431=1,(Z431-I$1030)^2,0)</f>
        <v>0</v>
      </c>
      <c r="AI431" s="35" t="n">
        <f aca="false">IF(AE431=1,(AA431-J$1030)^2,0)</f>
        <v>0</v>
      </c>
      <c r="AJ431" s="37" t="n">
        <f aca="true">IF(RAND()&lt;$D$6,1,0)</f>
        <v>0</v>
      </c>
      <c r="AK431" s="14" t="n">
        <f aca="false">AK430+IF((AJ431=1),IF((H431=0),1,0),0)</f>
        <v>0</v>
      </c>
      <c r="AL431" s="14" t="n">
        <f aca="false">AL430+IF((AJ431=1),IF((H431=1),1,0),0)</f>
        <v>0</v>
      </c>
      <c r="AM431" s="37" t="n">
        <f aca="false">IF(AK431=0,9999,IF($H431=0,IF($AJ431&lt;1,AM430+1,0),AM430))</f>
        <v>9999</v>
      </c>
      <c r="AN431" s="37" t="n">
        <f aca="false">IF(AL431=0,9999,IF($H431=1,IF($AJ431&lt;1,AN430+1,0),AN430))</f>
        <v>9999</v>
      </c>
      <c r="AO431" s="37" t="n">
        <f aca="false">IF($A431-AM431&gt;0,1/(1+AM431),0)</f>
        <v>0</v>
      </c>
      <c r="AP431" s="37" t="n">
        <f aca="false">IF($A431-AN431&gt;0,1/(1+AN431),0)</f>
        <v>0</v>
      </c>
      <c r="AQ431" s="7" t="n">
        <f aca="false">IF(AK431=0,0,MAX(MIN(1,AO431^Power),0))</f>
        <v>0</v>
      </c>
      <c r="AR431" s="7" t="n">
        <f aca="false">IF(AL431=0,0,MAX(MIN(1,AP431^Power),0))</f>
        <v>0</v>
      </c>
      <c r="AS431" s="7" t="n">
        <f aca="false">IF($AJ431=1,IF($H431=0,K431,AS430),AS430)</f>
        <v>0</v>
      </c>
      <c r="AT431" s="7" t="n">
        <f aca="false">IF($AJ431=1,IF($H431=1,N431,AT430),AT430)</f>
        <v>0</v>
      </c>
    </row>
    <row r="432" customFormat="false" ht="13" hidden="false" customHeight="false" outlineLevel="0" collapsed="false">
      <c r="A432" s="16" t="n">
        <v>415</v>
      </c>
      <c r="B432" s="37" t="n">
        <f aca="true">IF(RAND()&lt;$D$8,1,0)</f>
        <v>1</v>
      </c>
      <c r="C432" s="20" t="n">
        <f aca="true">-LN(RAND())/$D$2</f>
        <v>0.987882096092282</v>
      </c>
      <c r="D432" s="38" t="n">
        <f aca="false">D431+C432</f>
        <v>450.758843038436</v>
      </c>
      <c r="E432" s="39" t="n">
        <f aca="false">MAX($E$3,AS431)</f>
        <v>0</v>
      </c>
      <c r="F432" s="39" t="n">
        <f aca="false">MAX($E$3,AT431)</f>
        <v>0</v>
      </c>
      <c r="G432" s="40" t="n">
        <v>0.5</v>
      </c>
      <c r="H432" s="38" t="n">
        <f aca="true">IF((B432=1),(IF((F432&lt;E432),1,(IF((F432=E432),(IF(RAND()&lt;G432,1,0)),0)))),(IF((RAND()&lt;G432),1,0)))</f>
        <v>1</v>
      </c>
      <c r="I432" s="38" t="n">
        <f aca="true">IF((H432=1),0,$D$3+$D$5*(RAND()-0.5))</f>
        <v>0</v>
      </c>
      <c r="J432" s="38" t="n">
        <f aca="false">I432+MAX(D432,J431)</f>
        <v>456.099722656062</v>
      </c>
      <c r="K432" s="38" t="n">
        <f aca="false">IF((H432=0),J432-D432,0)</f>
        <v>0</v>
      </c>
      <c r="L432" s="38" t="n">
        <f aca="true">IF(($H432=0),0,$D$4+$D$5*(RAND()-0.5))</f>
        <v>2.19032153911014</v>
      </c>
      <c r="M432" s="38" t="n">
        <f aca="false">L432+MAX(D432,M431)</f>
        <v>473.186608695384</v>
      </c>
      <c r="N432" s="38" t="n">
        <f aca="false">IF((H432=1),M432-D432,0)</f>
        <v>22.4277656569483</v>
      </c>
      <c r="O432" s="16" t="n">
        <v>415</v>
      </c>
      <c r="P432" s="41" t="n">
        <f aca="false">IF((Arterial=0),P431+1,P431)</f>
        <v>193</v>
      </c>
      <c r="Q432" s="41" t="n">
        <f aca="false">IF((Arterial=1),Q431+1,Q431)</f>
        <v>222</v>
      </c>
      <c r="R432" s="42" t="n">
        <f aca="false">IF((RESET=1),0,R432+K432)</f>
        <v>539.126041599271</v>
      </c>
      <c r="S432" s="14" t="e">
        <f aca="false">IF(RESET=1,0,S432+N432)</f>
        <v>#N/A</v>
      </c>
      <c r="T432" s="2" t="n">
        <f aca="false">IF(RESET=1,0,T432+IF(H432=0,1,0))</f>
        <v>34</v>
      </c>
      <c r="U432" s="2" t="e">
        <f aca="false">IF(RESET=1,0,U432+H432)</f>
        <v>#N/A</v>
      </c>
      <c r="V432" s="14" t="n">
        <f aca="false">R432/(T432+0.00001)</f>
        <v>15.8566436186128</v>
      </c>
      <c r="W432" s="14" t="e">
        <f aca="false">S432/(U432+0.0001)</f>
        <v>#N/A</v>
      </c>
      <c r="X432" s="39" t="n">
        <f aca="false">IF(Informed=1,K432,0)</f>
        <v>0</v>
      </c>
      <c r="Y432" s="39" t="n">
        <f aca="false">IF(Informed=0,K432,0)</f>
        <v>0</v>
      </c>
      <c r="Z432" s="39" t="n">
        <f aca="false">IF(Informed=1,N432,0)</f>
        <v>22.4277656569483</v>
      </c>
      <c r="AA432" s="39" t="n">
        <f aca="false">IF(Informed=0,N432,0)</f>
        <v>0</v>
      </c>
      <c r="AB432" s="43" t="n">
        <f aca="false">IF(Arterial=0,IF(Informed=1,1,0),0)</f>
        <v>0</v>
      </c>
      <c r="AC432" s="43" t="n">
        <f aca="false">IF(Arterial=0,IF(Informed=0,1,0),0)</f>
        <v>0</v>
      </c>
      <c r="AD432" s="43" t="n">
        <f aca="false">IF(Arterial=1,IF(Informed=1,1,0),0)</f>
        <v>1</v>
      </c>
      <c r="AE432" s="43" t="n">
        <f aca="false">IF(Arterial=1,IF(Informed=0,1,0),0)</f>
        <v>0</v>
      </c>
      <c r="AF432" s="35" t="n">
        <f aca="false">IF(AB432=1,(X432-G$1030)^2,0)</f>
        <v>0</v>
      </c>
      <c r="AG432" s="35" t="n">
        <f aca="false">IF(AC432=1,(Y432-H$1030)^2,0)</f>
        <v>0</v>
      </c>
      <c r="AH432" s="35" t="n">
        <f aca="false">IF(AD432=1,(Z432-I$1030)^2,0)</f>
        <v>35.3676313117857</v>
      </c>
      <c r="AI432" s="35" t="n">
        <f aca="false">IF(AE432=1,(AA432-J$1030)^2,0)</f>
        <v>0</v>
      </c>
      <c r="AJ432" s="37" t="n">
        <f aca="true">IF(RAND()&lt;$D$6,1,0)</f>
        <v>0</v>
      </c>
      <c r="AK432" s="14" t="n">
        <f aca="false">AK431+IF((AJ432=1),IF((H432=0),1,0),0)</f>
        <v>0</v>
      </c>
      <c r="AL432" s="14" t="n">
        <f aca="false">AL431+IF((AJ432=1),IF((H432=1),1,0),0)</f>
        <v>0</v>
      </c>
      <c r="AM432" s="37" t="n">
        <f aca="false">IF(AK432=0,9999,IF($H432=0,IF($AJ432&lt;1,AM431+1,0),AM431))</f>
        <v>9999</v>
      </c>
      <c r="AN432" s="37" t="n">
        <f aca="false">IF(AL432=0,9999,IF($H432=1,IF($AJ432&lt;1,AN431+1,0),AN431))</f>
        <v>9999</v>
      </c>
      <c r="AO432" s="37" t="n">
        <f aca="false">IF($A432-AM432&gt;0,1/(1+AM432),0)</f>
        <v>0</v>
      </c>
      <c r="AP432" s="37" t="n">
        <f aca="false">IF($A432-AN432&gt;0,1/(1+AN432),0)</f>
        <v>0</v>
      </c>
      <c r="AQ432" s="7" t="n">
        <f aca="false">IF(AK432=0,0,MAX(MIN(1,AO432^Power),0))</f>
        <v>0</v>
      </c>
      <c r="AR432" s="7" t="n">
        <f aca="false">IF(AL432=0,0,MAX(MIN(1,AP432^Power),0))</f>
        <v>0</v>
      </c>
      <c r="AS432" s="7" t="n">
        <f aca="false">IF($AJ432=1,IF($H432=0,K432,AS431),AS431)</f>
        <v>0</v>
      </c>
      <c r="AT432" s="7" t="n">
        <f aca="false">IF($AJ432=1,IF($H432=1,N432,AT431),AT431)</f>
        <v>0</v>
      </c>
    </row>
    <row r="433" customFormat="false" ht="13" hidden="false" customHeight="false" outlineLevel="0" collapsed="false">
      <c r="A433" s="16" t="n">
        <v>416</v>
      </c>
      <c r="B433" s="37" t="n">
        <f aca="true">IF(RAND()&lt;$D$8,1,0)</f>
        <v>1</v>
      </c>
      <c r="C433" s="20" t="n">
        <f aca="true">-LN(RAND())/$D$2</f>
        <v>0.439200226310388</v>
      </c>
      <c r="D433" s="38" t="n">
        <f aca="false">D432+C433</f>
        <v>451.198043264746</v>
      </c>
      <c r="E433" s="39" t="n">
        <f aca="false">MAX($E$3,AS432)</f>
        <v>0</v>
      </c>
      <c r="F433" s="39" t="n">
        <f aca="false">MAX($E$3,AT432)</f>
        <v>0</v>
      </c>
      <c r="G433" s="40" t="n">
        <v>0.5</v>
      </c>
      <c r="H433" s="38" t="n">
        <f aca="true">IF((B433=1),(IF((F433&lt;E433),1,(IF((F433=E433),(IF(RAND()&lt;G433,1,0)),0)))),(IF((RAND()&lt;G433),1,0)))</f>
        <v>1</v>
      </c>
      <c r="I433" s="38" t="n">
        <f aca="true">IF((H433=1),0,$D$3+$D$5*(RAND()-0.5))</f>
        <v>0</v>
      </c>
      <c r="J433" s="38" t="n">
        <f aca="false">I433+MAX(D433,J432)</f>
        <v>456.099722656062</v>
      </c>
      <c r="K433" s="38" t="n">
        <f aca="false">IF((H433=0),J433-D433,0)</f>
        <v>0</v>
      </c>
      <c r="L433" s="38" t="n">
        <f aca="true">IF(($H433=0),0,$D$4+$D$5*(RAND()-0.5))</f>
        <v>2.19566603498395</v>
      </c>
      <c r="M433" s="38" t="n">
        <f aca="false">L433+MAX(D433,M432)</f>
        <v>475.382274730368</v>
      </c>
      <c r="N433" s="38" t="n">
        <f aca="false">IF((H433=1),M433-D433,0)</f>
        <v>24.1842314656219</v>
      </c>
      <c r="O433" s="16" t="n">
        <v>416</v>
      </c>
      <c r="P433" s="41" t="n">
        <f aca="false">IF((Arterial=0),P432+1,P432)</f>
        <v>193</v>
      </c>
      <c r="Q433" s="41" t="n">
        <f aca="false">IF((Arterial=1),Q432+1,Q432)</f>
        <v>223</v>
      </c>
      <c r="R433" s="42" t="n">
        <f aca="false">IF((RESET=1),0,R433+K433)</f>
        <v>871.88657957256</v>
      </c>
      <c r="S433" s="14" t="e">
        <f aca="false">IF(RESET=1,0,S433+N433)</f>
        <v>#N/A</v>
      </c>
      <c r="T433" s="2" t="n">
        <f aca="false">IF(RESET=1,0,T433+IF(H433=0,1,0))</f>
        <v>47</v>
      </c>
      <c r="U433" s="2" t="e">
        <f aca="false">IF(RESET=1,0,U433+H433)</f>
        <v>#N/A</v>
      </c>
      <c r="V433" s="14" t="n">
        <f aca="false">R433/(T433+0.00001)</f>
        <v>18.5507743418046</v>
      </c>
      <c r="W433" s="14" t="e">
        <f aca="false">S433/(U433+0.0001)</f>
        <v>#N/A</v>
      </c>
      <c r="X433" s="39" t="n">
        <f aca="false">IF(Informed=1,K433,0)</f>
        <v>0</v>
      </c>
      <c r="Y433" s="39" t="n">
        <f aca="false">IF(Informed=0,K433,0)</f>
        <v>0</v>
      </c>
      <c r="Z433" s="39" t="n">
        <f aca="false">IF(Informed=1,N433,0)</f>
        <v>24.1842314656219</v>
      </c>
      <c r="AA433" s="39" t="n">
        <f aca="false">IF(Informed=0,N433,0)</f>
        <v>0</v>
      </c>
      <c r="AB433" s="43" t="n">
        <f aca="false">IF(Arterial=0,IF(Informed=1,1,0),0)</f>
        <v>0</v>
      </c>
      <c r="AC433" s="43" t="n">
        <f aca="false">IF(Arterial=0,IF(Informed=0,1,0),0)</f>
        <v>0</v>
      </c>
      <c r="AD433" s="43" t="n">
        <f aca="false">IF(Arterial=1,IF(Informed=1,1,0),0)</f>
        <v>1</v>
      </c>
      <c r="AE433" s="43" t="n">
        <f aca="false">IF(Arterial=1,IF(Informed=0,1,0),0)</f>
        <v>0</v>
      </c>
      <c r="AF433" s="35" t="n">
        <f aca="false">IF(AB433=1,(X433-G$1030)^2,0)</f>
        <v>0</v>
      </c>
      <c r="AG433" s="35" t="n">
        <f aca="false">IF(AC433=1,(Y433-H$1030)^2,0)</f>
        <v>0</v>
      </c>
      <c r="AH433" s="35" t="n">
        <f aca="false">IF(AD433=1,(Z433-I$1030)^2,0)</f>
        <v>17.5611562494106</v>
      </c>
      <c r="AI433" s="35" t="n">
        <f aca="false">IF(AE433=1,(AA433-J$1030)^2,0)</f>
        <v>0</v>
      </c>
      <c r="AJ433" s="37" t="n">
        <f aca="true">IF(RAND()&lt;$D$6,1,0)</f>
        <v>0</v>
      </c>
      <c r="AK433" s="14" t="n">
        <f aca="false">AK432+IF((AJ433=1),IF((H433=0),1,0),0)</f>
        <v>0</v>
      </c>
      <c r="AL433" s="14" t="n">
        <f aca="false">AL432+IF((AJ433=1),IF((H433=1),1,0),0)</f>
        <v>0</v>
      </c>
      <c r="AM433" s="37" t="n">
        <f aca="false">IF(AK433=0,9999,IF($H433=0,IF($AJ433&lt;1,AM432+1,0),AM432))</f>
        <v>9999</v>
      </c>
      <c r="AN433" s="37" t="n">
        <f aca="false">IF(AL433=0,9999,IF($H433=1,IF($AJ433&lt;1,AN432+1,0),AN432))</f>
        <v>9999</v>
      </c>
      <c r="AO433" s="37" t="n">
        <f aca="false">IF($A433-AM433&gt;0,1/(1+AM433),0)</f>
        <v>0</v>
      </c>
      <c r="AP433" s="37" t="n">
        <f aca="false">IF($A433-AN433&gt;0,1/(1+AN433),0)</f>
        <v>0</v>
      </c>
      <c r="AQ433" s="7" t="n">
        <f aca="false">IF(AK433=0,0,MAX(MIN(1,AO433^Power),0))</f>
        <v>0</v>
      </c>
      <c r="AR433" s="7" t="n">
        <f aca="false">IF(AL433=0,0,MAX(MIN(1,AP433^Power),0))</f>
        <v>0</v>
      </c>
      <c r="AS433" s="7" t="n">
        <f aca="false">IF($AJ433=1,IF($H433=0,K433,AS432),AS432)</f>
        <v>0</v>
      </c>
      <c r="AT433" s="7" t="n">
        <f aca="false">IF($AJ433=1,IF($H433=1,N433,AT432),AT432)</f>
        <v>0</v>
      </c>
    </row>
    <row r="434" customFormat="false" ht="13" hidden="false" customHeight="false" outlineLevel="0" collapsed="false">
      <c r="A434" s="16" t="n">
        <v>417</v>
      </c>
      <c r="B434" s="37" t="n">
        <f aca="true">IF(RAND()&lt;$D$8,1,0)</f>
        <v>0</v>
      </c>
      <c r="C434" s="20" t="n">
        <f aca="true">-LN(RAND())/$D$2</f>
        <v>4.19617814740397</v>
      </c>
      <c r="D434" s="38" t="n">
        <f aca="false">D433+C434</f>
        <v>455.39422141215</v>
      </c>
      <c r="E434" s="39" t="n">
        <f aca="false">MAX($E$3,AS433)</f>
        <v>0</v>
      </c>
      <c r="F434" s="39" t="n">
        <f aca="false">MAX($E$3,AT433)</f>
        <v>0</v>
      </c>
      <c r="G434" s="40" t="n">
        <v>0.5</v>
      </c>
      <c r="H434" s="38" t="n">
        <f aca="true">IF((B434=1),(IF((F434&lt;E434),1,(IF((F434=E434),(IF(RAND()&lt;G434,1,0)),0)))),(IF((RAND()&lt;G434),1,0)))</f>
        <v>1</v>
      </c>
      <c r="I434" s="38" t="n">
        <f aca="true">IF((H434=1),0,$D$3+$D$5*(RAND()-0.5))</f>
        <v>0</v>
      </c>
      <c r="J434" s="38" t="n">
        <f aca="false">I434+MAX(D434,J433)</f>
        <v>456.099722656062</v>
      </c>
      <c r="K434" s="38" t="n">
        <f aca="false">IF((H434=0),J434-D434,0)</f>
        <v>0</v>
      </c>
      <c r="L434" s="38" t="n">
        <f aca="true">IF(($H434=0),0,$D$4+$D$5*(RAND()-0.5))</f>
        <v>2.09034316130652</v>
      </c>
      <c r="M434" s="38" t="n">
        <f aca="false">L434+MAX(D434,M433)</f>
        <v>477.472617891675</v>
      </c>
      <c r="N434" s="38" t="n">
        <f aca="false">IF((H434=1),M434-D434,0)</f>
        <v>22.0783964795245</v>
      </c>
      <c r="O434" s="16" t="n">
        <v>417</v>
      </c>
      <c r="P434" s="41" t="n">
        <f aca="false">IF((Arterial=0),P433+1,P433)</f>
        <v>193</v>
      </c>
      <c r="Q434" s="41" t="n">
        <f aca="false">IF((Arterial=1),Q433+1,Q433)</f>
        <v>224</v>
      </c>
      <c r="R434" s="42" t="n">
        <f aca="false">IF((RESET=1),0,R434+K434)</f>
        <v>636.410483688225</v>
      </c>
      <c r="S434" s="14" t="e">
        <f aca="false">IF(RESET=1,0,S434+N434)</f>
        <v>#N/A</v>
      </c>
      <c r="T434" s="2" t="n">
        <f aca="false">IF(RESET=1,0,T434+IF(H434=0,1,0))</f>
        <v>32</v>
      </c>
      <c r="U434" s="2" t="e">
        <f aca="false">IF(RESET=1,0,U434+H434)</f>
        <v>#N/A</v>
      </c>
      <c r="V434" s="14" t="n">
        <f aca="false">R434/(T434+0.00001)</f>
        <v>19.8878214003129</v>
      </c>
      <c r="W434" s="14" t="e">
        <f aca="false">S434/(U434+0.0001)</f>
        <v>#N/A</v>
      </c>
      <c r="X434" s="39" t="n">
        <f aca="false">IF(Informed=1,K434,0)</f>
        <v>0</v>
      </c>
      <c r="Y434" s="39" t="n">
        <f aca="false">IF(Informed=0,K434,0)</f>
        <v>0</v>
      </c>
      <c r="Z434" s="39" t="n">
        <f aca="false">IF(Informed=1,N434,0)</f>
        <v>0</v>
      </c>
      <c r="AA434" s="39" t="n">
        <f aca="false">IF(Informed=0,N434,0)</f>
        <v>22.0783964795245</v>
      </c>
      <c r="AB434" s="43" t="n">
        <f aca="false">IF(Arterial=0,IF(Informed=1,1,0),0)</f>
        <v>0</v>
      </c>
      <c r="AC434" s="43" t="n">
        <f aca="false">IF(Arterial=0,IF(Informed=0,1,0),0)</f>
        <v>0</v>
      </c>
      <c r="AD434" s="43" t="n">
        <f aca="false">IF(Arterial=1,IF(Informed=1,1,0),0)</f>
        <v>0</v>
      </c>
      <c r="AE434" s="43" t="n">
        <f aca="false">IF(Arterial=1,IF(Informed=0,1,0),0)</f>
        <v>1</v>
      </c>
      <c r="AF434" s="35" t="n">
        <f aca="false">IF(AB434=1,(X434-G$1030)^2,0)</f>
        <v>0</v>
      </c>
      <c r="AG434" s="35" t="n">
        <f aca="false">IF(AC434=1,(Y434-H$1030)^2,0)</f>
        <v>0</v>
      </c>
      <c r="AH434" s="35" t="n">
        <f aca="false">IF(AD434=1,(Z434-I$1030)^2,0)</f>
        <v>0</v>
      </c>
      <c r="AI434" s="35" t="n">
        <f aca="false">IF(AE434=1,(AA434-J$1030)^2,0)</f>
        <v>56.0383770768267</v>
      </c>
      <c r="AJ434" s="37" t="n">
        <f aca="true">IF(RAND()&lt;$D$6,1,0)</f>
        <v>0</v>
      </c>
      <c r="AK434" s="14" t="n">
        <f aca="false">AK433+IF((AJ434=1),IF((H434=0),1,0),0)</f>
        <v>0</v>
      </c>
      <c r="AL434" s="14" t="n">
        <f aca="false">AL433+IF((AJ434=1),IF((H434=1),1,0),0)</f>
        <v>0</v>
      </c>
      <c r="AM434" s="37" t="n">
        <f aca="false">IF(AK434=0,9999,IF($H434=0,IF($AJ434&lt;1,AM433+1,0),AM433))</f>
        <v>9999</v>
      </c>
      <c r="AN434" s="37" t="n">
        <f aca="false">IF(AL434=0,9999,IF($H434=1,IF($AJ434&lt;1,AN433+1,0),AN433))</f>
        <v>9999</v>
      </c>
      <c r="AO434" s="37" t="n">
        <f aca="false">IF($A434-AM434&gt;0,1/(1+AM434),0)</f>
        <v>0</v>
      </c>
      <c r="AP434" s="37" t="n">
        <f aca="false">IF($A434-AN434&gt;0,1/(1+AN434),0)</f>
        <v>0</v>
      </c>
      <c r="AQ434" s="7" t="n">
        <f aca="false">IF(AK434=0,0,MAX(MIN(1,AO434^Power),0))</f>
        <v>0</v>
      </c>
      <c r="AR434" s="7" t="n">
        <f aca="false">IF(AL434=0,0,MAX(MIN(1,AP434^Power),0))</f>
        <v>0</v>
      </c>
      <c r="AS434" s="7" t="n">
        <f aca="false">IF($AJ434=1,IF($H434=0,K434,AS433),AS433)</f>
        <v>0</v>
      </c>
      <c r="AT434" s="7" t="n">
        <f aca="false">IF($AJ434=1,IF($H434=1,N434,AT433),AT433)</f>
        <v>0</v>
      </c>
    </row>
    <row r="435" customFormat="false" ht="13" hidden="false" customHeight="false" outlineLevel="0" collapsed="false">
      <c r="A435" s="16" t="n">
        <v>418</v>
      </c>
      <c r="B435" s="37" t="n">
        <f aca="true">IF(RAND()&lt;$D$8,1,0)</f>
        <v>0</v>
      </c>
      <c r="C435" s="20" t="n">
        <f aca="true">-LN(RAND())/$D$2</f>
        <v>0.301325499277027</v>
      </c>
      <c r="D435" s="38" t="n">
        <f aca="false">D434+C435</f>
        <v>455.695546911427</v>
      </c>
      <c r="E435" s="39" t="n">
        <f aca="false">MAX($E$3,AS434)</f>
        <v>0</v>
      </c>
      <c r="F435" s="39" t="n">
        <f aca="false">MAX($E$3,AT434)</f>
        <v>0</v>
      </c>
      <c r="G435" s="40" t="n">
        <v>0.5</v>
      </c>
      <c r="H435" s="38" t="n">
        <f aca="true">IF((B435=1),(IF((F435&lt;E435),1,(IF((F435=E435),(IF(RAND()&lt;G435,1,0)),0)))),(IF((RAND()&lt;G435),1,0)))</f>
        <v>0</v>
      </c>
      <c r="I435" s="38" t="n">
        <f aca="true">IF((H435=1),0,$D$3+$D$5*(RAND()-0.5))</f>
        <v>1.84669415038839</v>
      </c>
      <c r="J435" s="38" t="n">
        <f aca="false">I435+MAX(D435,J434)</f>
        <v>457.94641680645</v>
      </c>
      <c r="K435" s="38" t="n">
        <f aca="false">IF((H435=0),J435-D435,0)</f>
        <v>2.25086989502256</v>
      </c>
      <c r="L435" s="38" t="n">
        <f aca="true">IF(($H435=0),0,$D$4+$D$5*(RAND()-0.5))</f>
        <v>0</v>
      </c>
      <c r="M435" s="38" t="n">
        <f aca="false">L435+MAX(D435,M434)</f>
        <v>477.472617891675</v>
      </c>
      <c r="N435" s="38" t="n">
        <f aca="false">IF((H435=1),M435-D435,0)</f>
        <v>0</v>
      </c>
      <c r="O435" s="16" t="n">
        <v>418</v>
      </c>
      <c r="P435" s="41" t="n">
        <f aca="false">IF((Arterial=0),P434+1,P434)</f>
        <v>194</v>
      </c>
      <c r="Q435" s="41" t="n">
        <f aca="false">IF((Arterial=1),Q434+1,Q434)</f>
        <v>224</v>
      </c>
      <c r="R435" s="42" t="e">
        <f aca="false">IF((RESET=1),0,R435+K435)</f>
        <v>#N/A</v>
      </c>
      <c r="S435" s="14" t="n">
        <f aca="false">IF(RESET=1,0,S435+N435)</f>
        <v>533.159960467599</v>
      </c>
      <c r="T435" s="2" t="e">
        <f aca="false">IF(RESET=1,0,T435+IF(H435=0,1,0))</f>
        <v>#N/A</v>
      </c>
      <c r="U435" s="2" t="n">
        <f aca="false">IF(RESET=1,0,U435+H435)</f>
        <v>44</v>
      </c>
      <c r="V435" s="14" t="e">
        <f aca="false">R435/(T435+0.00001)</f>
        <v>#N/A</v>
      </c>
      <c r="W435" s="14" t="n">
        <f aca="false">S435/(U435+0.0001)</f>
        <v>12.1172442896175</v>
      </c>
      <c r="X435" s="39" t="n">
        <f aca="false">IF(Informed=1,K435,0)</f>
        <v>0</v>
      </c>
      <c r="Y435" s="39" t="n">
        <f aca="false">IF(Informed=0,K435,0)</f>
        <v>2.25086989502256</v>
      </c>
      <c r="Z435" s="39" t="n">
        <f aca="false">IF(Informed=1,N435,0)</f>
        <v>0</v>
      </c>
      <c r="AA435" s="39" t="n">
        <f aca="false">IF(Informed=0,N435,0)</f>
        <v>0</v>
      </c>
      <c r="AB435" s="43" t="n">
        <f aca="false">IF(Arterial=0,IF(Informed=1,1,0),0)</f>
        <v>0</v>
      </c>
      <c r="AC435" s="43" t="n">
        <f aca="false">IF(Arterial=0,IF(Informed=0,1,0),0)</f>
        <v>1</v>
      </c>
      <c r="AD435" s="43" t="n">
        <f aca="false">IF(Arterial=1,IF(Informed=1,1,0),0)</f>
        <v>0</v>
      </c>
      <c r="AE435" s="43" t="n">
        <f aca="false">IF(Arterial=1,IF(Informed=0,1,0),0)</f>
        <v>0</v>
      </c>
      <c r="AF435" s="35" t="n">
        <f aca="false">IF(AB435=1,(X435-G$1030)^2,0)</f>
        <v>0</v>
      </c>
      <c r="AG435" s="35" t="n">
        <f aca="false">IF(AC435=1,(Y435-H$1030)^2,0)</f>
        <v>75.2194607670904</v>
      </c>
      <c r="AH435" s="35" t="n">
        <f aca="false">IF(AD435=1,(Z435-I$1030)^2,0)</f>
        <v>0</v>
      </c>
      <c r="AI435" s="35" t="n">
        <f aca="false">IF(AE435=1,(AA435-J$1030)^2,0)</f>
        <v>0</v>
      </c>
      <c r="AJ435" s="37" t="n">
        <f aca="true">IF(RAND()&lt;$D$6,1,0)</f>
        <v>0</v>
      </c>
      <c r="AK435" s="14" t="n">
        <f aca="false">AK434+IF((AJ435=1),IF((H435=0),1,0),0)</f>
        <v>0</v>
      </c>
      <c r="AL435" s="14" t="n">
        <f aca="false">AL434+IF((AJ435=1),IF((H435=1),1,0),0)</f>
        <v>0</v>
      </c>
      <c r="AM435" s="37" t="n">
        <f aca="false">IF(AK435=0,9999,IF($H435=0,IF($AJ435&lt;1,AM434+1,0),AM434))</f>
        <v>9999</v>
      </c>
      <c r="AN435" s="37" t="n">
        <f aca="false">IF(AL435=0,9999,IF($H435=1,IF($AJ435&lt;1,AN434+1,0),AN434))</f>
        <v>9999</v>
      </c>
      <c r="AO435" s="37" t="n">
        <f aca="false">IF($A435-AM435&gt;0,1/(1+AM435),0)</f>
        <v>0</v>
      </c>
      <c r="AP435" s="37" t="n">
        <f aca="false">IF($A435-AN435&gt;0,1/(1+AN435),0)</f>
        <v>0</v>
      </c>
      <c r="AQ435" s="7" t="n">
        <f aca="false">IF(AK435=0,0,MAX(MIN(1,AO435^Power),0))</f>
        <v>0</v>
      </c>
      <c r="AR435" s="7" t="n">
        <f aca="false">IF(AL435=0,0,MAX(MIN(1,AP435^Power),0))</f>
        <v>0</v>
      </c>
      <c r="AS435" s="7" t="n">
        <f aca="false">IF($AJ435=1,IF($H435=0,K435,AS434),AS434)</f>
        <v>0</v>
      </c>
      <c r="AT435" s="7" t="n">
        <f aca="false">IF($AJ435=1,IF($H435=1,N435,AT434),AT434)</f>
        <v>0</v>
      </c>
    </row>
    <row r="436" customFormat="false" ht="13" hidden="false" customHeight="false" outlineLevel="0" collapsed="false">
      <c r="A436" s="16" t="n">
        <v>419</v>
      </c>
      <c r="B436" s="37" t="n">
        <f aca="true">IF(RAND()&lt;$D$8,1,0)</f>
        <v>0</v>
      </c>
      <c r="C436" s="20" t="n">
        <f aca="true">-LN(RAND())/$D$2</f>
        <v>0.168859691463725</v>
      </c>
      <c r="D436" s="38" t="n">
        <f aca="false">D435+C436</f>
        <v>455.864406602891</v>
      </c>
      <c r="E436" s="39" t="n">
        <f aca="false">MAX($E$3,AS435)</f>
        <v>0</v>
      </c>
      <c r="F436" s="39" t="n">
        <f aca="false">MAX($E$3,AT435)</f>
        <v>0</v>
      </c>
      <c r="G436" s="40" t="n">
        <v>0.5</v>
      </c>
      <c r="H436" s="38" t="n">
        <f aca="true">IF((B436=1),(IF((F436&lt;E436),1,(IF((F436=E436),(IF(RAND()&lt;G436,1,0)),0)))),(IF((RAND()&lt;G436),1,0)))</f>
        <v>1</v>
      </c>
      <c r="I436" s="38" t="n">
        <f aca="true">IF((H436=1),0,$D$3+$D$5*(RAND()-0.5))</f>
        <v>0</v>
      </c>
      <c r="J436" s="38" t="n">
        <f aca="false">I436+MAX(D436,J435)</f>
        <v>457.94641680645</v>
      </c>
      <c r="K436" s="38" t="n">
        <f aca="false">IF((H436=0),J436-D436,0)</f>
        <v>0</v>
      </c>
      <c r="L436" s="38" t="n">
        <f aca="true">IF(($H436=0),0,$D$4+$D$5*(RAND()-0.5))</f>
        <v>2.21283633548735</v>
      </c>
      <c r="M436" s="38" t="n">
        <f aca="false">L436+MAX(D436,M435)</f>
        <v>479.685454227162</v>
      </c>
      <c r="N436" s="38" t="n">
        <f aca="false">IF((H436=1),M436-D436,0)</f>
        <v>23.821047624271</v>
      </c>
      <c r="O436" s="16" t="n">
        <v>419</v>
      </c>
      <c r="P436" s="41" t="n">
        <f aca="false">IF((Arterial=0),P435+1,P435)</f>
        <v>194</v>
      </c>
      <c r="Q436" s="41" t="n">
        <f aca="false">IF((Arterial=1),Q435+1,Q435)</f>
        <v>225</v>
      </c>
      <c r="R436" s="42" t="n">
        <f aca="false">IF((RESET=1),0,R436+K436)</f>
        <v>707.79436763597</v>
      </c>
      <c r="S436" s="14" t="e">
        <f aca="false">IF(RESET=1,0,S436+N436)</f>
        <v>#N/A</v>
      </c>
      <c r="T436" s="2" t="n">
        <f aca="false">IF(RESET=1,0,T436+IF(H436=0,1,0))</f>
        <v>41</v>
      </c>
      <c r="U436" s="2" t="e">
        <f aca="false">IF(RESET=1,0,U436+H436)</f>
        <v>#N/A</v>
      </c>
      <c r="V436" s="14" t="n">
        <f aca="false">R436/(T436+0.00001)</f>
        <v>17.2632730488595</v>
      </c>
      <c r="W436" s="14" t="e">
        <f aca="false">S436/(U436+0.0001)</f>
        <v>#N/A</v>
      </c>
      <c r="X436" s="39" t="n">
        <f aca="false">IF(Informed=1,K436,0)</f>
        <v>0</v>
      </c>
      <c r="Y436" s="39" t="n">
        <f aca="false">IF(Informed=0,K436,0)</f>
        <v>0</v>
      </c>
      <c r="Z436" s="39" t="n">
        <f aca="false">IF(Informed=1,N436,0)</f>
        <v>0</v>
      </c>
      <c r="AA436" s="39" t="n">
        <f aca="false">IF(Informed=0,N436,0)</f>
        <v>23.821047624271</v>
      </c>
      <c r="AB436" s="43" t="n">
        <f aca="false">IF(Arterial=0,IF(Informed=1,1,0),0)</f>
        <v>0</v>
      </c>
      <c r="AC436" s="43" t="n">
        <f aca="false">IF(Arterial=0,IF(Informed=0,1,0),0)</f>
        <v>0</v>
      </c>
      <c r="AD436" s="43" t="n">
        <f aca="false">IF(Arterial=1,IF(Informed=1,1,0),0)</f>
        <v>0</v>
      </c>
      <c r="AE436" s="43" t="n">
        <f aca="false">IF(Arterial=1,IF(Informed=0,1,0),0)</f>
        <v>1</v>
      </c>
      <c r="AF436" s="35" t="n">
        <f aca="false">IF(AB436=1,(X436-G$1030)^2,0)</f>
        <v>0</v>
      </c>
      <c r="AG436" s="35" t="n">
        <f aca="false">IF(AC436=1,(Y436-H$1030)^2,0)</f>
        <v>0</v>
      </c>
      <c r="AH436" s="35" t="n">
        <f aca="false">IF(AD436=1,(Z436-I$1030)^2,0)</f>
        <v>0</v>
      </c>
      <c r="AI436" s="35" t="n">
        <f aca="false">IF(AE436=1,(AA436-J$1030)^2,0)</f>
        <v>32.9846605769342</v>
      </c>
      <c r="AJ436" s="37" t="n">
        <f aca="true">IF(RAND()&lt;$D$6,1,0)</f>
        <v>0</v>
      </c>
      <c r="AK436" s="14" t="n">
        <f aca="false">AK435+IF((AJ436=1),IF((H436=0),1,0),0)</f>
        <v>0</v>
      </c>
      <c r="AL436" s="14" t="n">
        <f aca="false">AL435+IF((AJ436=1),IF((H436=1),1,0),0)</f>
        <v>0</v>
      </c>
      <c r="AM436" s="37" t="n">
        <f aca="false">IF(AK436=0,9999,IF($H436=0,IF($AJ436&lt;1,AM435+1,0),AM435))</f>
        <v>9999</v>
      </c>
      <c r="AN436" s="37" t="n">
        <f aca="false">IF(AL436=0,9999,IF($H436=1,IF($AJ436&lt;1,AN435+1,0),AN435))</f>
        <v>9999</v>
      </c>
      <c r="AO436" s="37" t="n">
        <f aca="false">IF($A436-AM436&gt;0,1/(1+AM436),0)</f>
        <v>0</v>
      </c>
      <c r="AP436" s="37" t="n">
        <f aca="false">IF($A436-AN436&gt;0,1/(1+AN436),0)</f>
        <v>0</v>
      </c>
      <c r="AQ436" s="7" t="n">
        <f aca="false">IF(AK436=0,0,MAX(MIN(1,AO436^Power),0))</f>
        <v>0</v>
      </c>
      <c r="AR436" s="7" t="n">
        <f aca="false">IF(AL436=0,0,MAX(MIN(1,AP436^Power),0))</f>
        <v>0</v>
      </c>
      <c r="AS436" s="7" t="n">
        <f aca="false">IF($AJ436=1,IF($H436=0,K436,AS435),AS435)</f>
        <v>0</v>
      </c>
      <c r="AT436" s="7" t="n">
        <f aca="false">IF($AJ436=1,IF($H436=1,N436,AT435),AT435)</f>
        <v>0</v>
      </c>
    </row>
    <row r="437" customFormat="false" ht="13" hidden="false" customHeight="false" outlineLevel="0" collapsed="false">
      <c r="A437" s="16" t="n">
        <v>420</v>
      </c>
      <c r="B437" s="37" t="n">
        <f aca="true">IF(RAND()&lt;$D$8,1,0)</f>
        <v>0</v>
      </c>
      <c r="C437" s="20" t="n">
        <f aca="true">-LN(RAND())/$D$2</f>
        <v>0.71383032984388</v>
      </c>
      <c r="D437" s="38" t="n">
        <f aca="false">D436+C437</f>
        <v>456.578236932735</v>
      </c>
      <c r="E437" s="39" t="n">
        <f aca="false">MAX($E$3,AS436)</f>
        <v>0</v>
      </c>
      <c r="F437" s="39" t="n">
        <f aca="false">MAX($E$3,AT436)</f>
        <v>0</v>
      </c>
      <c r="G437" s="40" t="n">
        <v>0.5</v>
      </c>
      <c r="H437" s="38" t="n">
        <f aca="true">IF((B437=1),(IF((F437&lt;E437),1,(IF((F437=E437),(IF(RAND()&lt;G437,1,0)),0)))),(IF((RAND()&lt;G437),1,0)))</f>
        <v>0</v>
      </c>
      <c r="I437" s="38" t="n">
        <f aca="true">IF((H437=1),0,$D$3+$D$5*(RAND()-0.5))</f>
        <v>2.01115429064694</v>
      </c>
      <c r="J437" s="38" t="n">
        <f aca="false">I437+MAX(D437,J436)</f>
        <v>459.957571097097</v>
      </c>
      <c r="K437" s="38" t="n">
        <f aca="false">IF((H437=0),J437-D437,0)</f>
        <v>3.37933416436186</v>
      </c>
      <c r="L437" s="38" t="n">
        <f aca="true">IF(($H437=0),0,$D$4+$D$5*(RAND()-0.5))</f>
        <v>0</v>
      </c>
      <c r="M437" s="38" t="n">
        <f aca="false">L437+MAX(D437,M436)</f>
        <v>479.685454227162</v>
      </c>
      <c r="N437" s="38" t="n">
        <f aca="false">IF((H437=1),M437-D437,0)</f>
        <v>0</v>
      </c>
      <c r="O437" s="16" t="n">
        <v>420</v>
      </c>
      <c r="P437" s="41" t="n">
        <f aca="false">IF((Arterial=0),P436+1,P436)</f>
        <v>195</v>
      </c>
      <c r="Q437" s="41" t="n">
        <f aca="false">IF((Arterial=1),Q436+1,Q436)</f>
        <v>225</v>
      </c>
      <c r="R437" s="42" t="e">
        <f aca="false">IF((RESET=1),0,R437+K437)</f>
        <v>#N/A</v>
      </c>
      <c r="S437" s="14" t="n">
        <f aca="false">IF(RESET=1,0,S437+N437)</f>
        <v>587.039693160761</v>
      </c>
      <c r="T437" s="2" t="e">
        <f aca="false">IF(RESET=1,0,T437+IF(H437=0,1,0))</f>
        <v>#N/A</v>
      </c>
      <c r="U437" s="2" t="n">
        <f aca="false">IF(RESET=1,0,U437+H437)</f>
        <v>42</v>
      </c>
      <c r="V437" s="14" t="e">
        <f aca="false">R437/(T437+0.00001)</f>
        <v>#N/A</v>
      </c>
      <c r="W437" s="14" t="n">
        <f aca="false">S437/(U437+0.0001)</f>
        <v>13.9771022726318</v>
      </c>
      <c r="X437" s="39" t="n">
        <f aca="false">IF(Informed=1,K437,0)</f>
        <v>0</v>
      </c>
      <c r="Y437" s="39" t="n">
        <f aca="false">IF(Informed=0,K437,0)</f>
        <v>3.37933416436186</v>
      </c>
      <c r="Z437" s="39" t="n">
        <f aca="false">IF(Informed=1,N437,0)</f>
        <v>0</v>
      </c>
      <c r="AA437" s="39" t="n">
        <f aca="false">IF(Informed=0,N437,0)</f>
        <v>0</v>
      </c>
      <c r="AB437" s="43" t="n">
        <f aca="false">IF(Arterial=0,IF(Informed=1,1,0),0)</f>
        <v>0</v>
      </c>
      <c r="AC437" s="43" t="n">
        <f aca="false">IF(Arterial=0,IF(Informed=0,1,0),0)</f>
        <v>1</v>
      </c>
      <c r="AD437" s="43" t="n">
        <f aca="false">IF(Arterial=1,IF(Informed=1,1,0),0)</f>
        <v>0</v>
      </c>
      <c r="AE437" s="43" t="n">
        <f aca="false">IF(Arterial=1,IF(Informed=0,1,0),0)</f>
        <v>0</v>
      </c>
      <c r="AF437" s="35" t="n">
        <f aca="false">IF(AB437=1,(X437-G$1030)^2,0)</f>
        <v>0</v>
      </c>
      <c r="AG437" s="35" t="n">
        <f aca="false">IF(AC437=1,(Y437-H$1030)^2,0)</f>
        <v>56.9187421944487</v>
      </c>
      <c r="AH437" s="35" t="n">
        <f aca="false">IF(AD437=1,(Z437-I$1030)^2,0)</f>
        <v>0</v>
      </c>
      <c r="AI437" s="35" t="n">
        <f aca="false">IF(AE437=1,(AA437-J$1030)^2,0)</f>
        <v>0</v>
      </c>
      <c r="AJ437" s="37" t="n">
        <f aca="true">IF(RAND()&lt;$D$6,1,0)</f>
        <v>0</v>
      </c>
      <c r="AK437" s="14" t="n">
        <f aca="false">AK436+IF((AJ437=1),IF((H437=0),1,0),0)</f>
        <v>0</v>
      </c>
      <c r="AL437" s="14" t="n">
        <f aca="false">AL436+IF((AJ437=1),IF((H437=1),1,0),0)</f>
        <v>0</v>
      </c>
      <c r="AM437" s="37" t="n">
        <f aca="false">IF(AK437=0,9999,IF($H437=0,IF($AJ437&lt;1,AM436+1,0),AM436))</f>
        <v>9999</v>
      </c>
      <c r="AN437" s="37" t="n">
        <f aca="false">IF(AL437=0,9999,IF($H437=1,IF($AJ437&lt;1,AN436+1,0),AN436))</f>
        <v>9999</v>
      </c>
      <c r="AO437" s="37" t="n">
        <f aca="false">IF($A437-AM437&gt;0,1/(1+AM437),0)</f>
        <v>0</v>
      </c>
      <c r="AP437" s="37" t="n">
        <f aca="false">IF($A437-AN437&gt;0,1/(1+AN437),0)</f>
        <v>0</v>
      </c>
      <c r="AQ437" s="7" t="n">
        <f aca="false">IF(AK437=0,0,MAX(MIN(1,AO437^Power),0))</f>
        <v>0</v>
      </c>
      <c r="AR437" s="7" t="n">
        <f aca="false">IF(AL437=0,0,MAX(MIN(1,AP437^Power),0))</f>
        <v>0</v>
      </c>
      <c r="AS437" s="7" t="n">
        <f aca="false">IF($AJ437=1,IF($H437=0,K437,AS436),AS436)</f>
        <v>0</v>
      </c>
      <c r="AT437" s="7" t="n">
        <f aca="false">IF($AJ437=1,IF($H437=1,N437,AT436),AT436)</f>
        <v>0</v>
      </c>
    </row>
    <row r="438" customFormat="false" ht="13" hidden="false" customHeight="false" outlineLevel="0" collapsed="false">
      <c r="A438" s="16" t="n">
        <v>421</v>
      </c>
      <c r="B438" s="37" t="n">
        <f aca="true">IF(RAND()&lt;$D$8,1,0)</f>
        <v>0</v>
      </c>
      <c r="C438" s="20" t="n">
        <f aca="true">-LN(RAND())/$D$2</f>
        <v>0.126233649743536</v>
      </c>
      <c r="D438" s="38" t="n">
        <f aca="false">D437+C438</f>
        <v>456.704470582479</v>
      </c>
      <c r="E438" s="39" t="n">
        <f aca="false">MAX($E$3,AS437)</f>
        <v>0</v>
      </c>
      <c r="F438" s="39" t="n">
        <f aca="false">MAX($E$3,AT437)</f>
        <v>0</v>
      </c>
      <c r="G438" s="40" t="n">
        <v>0.5</v>
      </c>
      <c r="H438" s="38" t="n">
        <f aca="true">IF((B438=1),(IF((F438&lt;E438),1,(IF((F438=E438),(IF(RAND()&lt;G438,1,0)),0)))),(IF((RAND()&lt;G438),1,0)))</f>
        <v>1</v>
      </c>
      <c r="I438" s="38" t="n">
        <f aca="true">IF((H438=1),0,$D$3+$D$5*(RAND()-0.5))</f>
        <v>0</v>
      </c>
      <c r="J438" s="38" t="n">
        <f aca="false">I438+MAX(D438,J437)</f>
        <v>459.957571097097</v>
      </c>
      <c r="K438" s="38" t="n">
        <f aca="false">IF((H438=0),J438-D438,0)</f>
        <v>0</v>
      </c>
      <c r="L438" s="38" t="n">
        <f aca="true">IF(($H438=0),0,$D$4+$D$5*(RAND()-0.5))</f>
        <v>1.75602332868339</v>
      </c>
      <c r="M438" s="38" t="n">
        <f aca="false">L438+MAX(D438,M437)</f>
        <v>481.441477555846</v>
      </c>
      <c r="N438" s="38" t="n">
        <f aca="false">IF((H438=1),M438-D438,0)</f>
        <v>24.737006973367</v>
      </c>
      <c r="O438" s="16" t="n">
        <v>421</v>
      </c>
      <c r="P438" s="41" t="n">
        <f aca="false">IF((Arterial=0),P437+1,P437)</f>
        <v>195</v>
      </c>
      <c r="Q438" s="41" t="n">
        <f aca="false">IF((Arterial=1),Q437+1,Q437)</f>
        <v>226</v>
      </c>
      <c r="R438" s="42" t="n">
        <f aca="false">IF((RESET=1),0,R438+K438)</f>
        <v>638.192570104367</v>
      </c>
      <c r="S438" s="14" t="e">
        <f aca="false">IF(RESET=1,0,S438+N438)</f>
        <v>#N/A</v>
      </c>
      <c r="T438" s="2" t="n">
        <f aca="false">IF(RESET=1,0,T438+IF(H438=0,1,0))</f>
        <v>37</v>
      </c>
      <c r="U438" s="2" t="e">
        <f aca="false">IF(RESET=1,0,U438+H438)</f>
        <v>#N/A</v>
      </c>
      <c r="V438" s="14" t="n">
        <f aca="false">R438/(T438+0.00001)</f>
        <v>17.2484431789172</v>
      </c>
      <c r="W438" s="14" t="e">
        <f aca="false">S438/(U438+0.0001)</f>
        <v>#N/A</v>
      </c>
      <c r="X438" s="39" t="n">
        <f aca="false">IF(Informed=1,K438,0)</f>
        <v>0</v>
      </c>
      <c r="Y438" s="39" t="n">
        <f aca="false">IF(Informed=0,K438,0)</f>
        <v>0</v>
      </c>
      <c r="Z438" s="39" t="n">
        <f aca="false">IF(Informed=1,N438,0)</f>
        <v>0</v>
      </c>
      <c r="AA438" s="39" t="n">
        <f aca="false">IF(Informed=0,N438,0)</f>
        <v>24.737006973367</v>
      </c>
      <c r="AB438" s="43" t="n">
        <f aca="false">IF(Arterial=0,IF(Informed=1,1,0),0)</f>
        <v>0</v>
      </c>
      <c r="AC438" s="43" t="n">
        <f aca="false">IF(Arterial=0,IF(Informed=0,1,0),0)</f>
        <v>0</v>
      </c>
      <c r="AD438" s="43" t="n">
        <f aca="false">IF(Arterial=1,IF(Informed=1,1,0),0)</f>
        <v>0</v>
      </c>
      <c r="AE438" s="43" t="n">
        <f aca="false">IF(Arterial=1,IF(Informed=0,1,0),0)</f>
        <v>1</v>
      </c>
      <c r="AF438" s="35" t="n">
        <f aca="false">IF(AB438=1,(X438-G$1030)^2,0)</f>
        <v>0</v>
      </c>
      <c r="AG438" s="35" t="n">
        <f aca="false">IF(AC438=1,(Y438-H$1030)^2,0)</f>
        <v>0</v>
      </c>
      <c r="AH438" s="35" t="n">
        <f aca="false">IF(AD438=1,(Z438-I$1030)^2,0)</f>
        <v>0</v>
      </c>
      <c r="AI438" s="35" t="n">
        <f aca="false">IF(AE438=1,(AA438-J$1030)^2,0)</f>
        <v>23.3025165064888</v>
      </c>
      <c r="AJ438" s="37" t="n">
        <f aca="true">IF(RAND()&lt;$D$6,1,0)</f>
        <v>0</v>
      </c>
      <c r="AK438" s="14" t="n">
        <f aca="false">AK437+IF((AJ438=1),IF((H438=0),1,0),0)</f>
        <v>0</v>
      </c>
      <c r="AL438" s="14" t="n">
        <f aca="false">AL437+IF((AJ438=1),IF((H438=1),1,0),0)</f>
        <v>0</v>
      </c>
      <c r="AM438" s="37" t="n">
        <f aca="false">IF(AK438=0,9999,IF($H438=0,IF($AJ438&lt;1,AM437+1,0),AM437))</f>
        <v>9999</v>
      </c>
      <c r="AN438" s="37" t="n">
        <f aca="false">IF(AL438=0,9999,IF($H438=1,IF($AJ438&lt;1,AN437+1,0),AN437))</f>
        <v>9999</v>
      </c>
      <c r="AO438" s="37" t="n">
        <f aca="false">IF($A438-AM438&gt;0,1/(1+AM438),0)</f>
        <v>0</v>
      </c>
      <c r="AP438" s="37" t="n">
        <f aca="false">IF($A438-AN438&gt;0,1/(1+AN438),0)</f>
        <v>0</v>
      </c>
      <c r="AQ438" s="7" t="n">
        <f aca="false">IF(AK438=0,0,MAX(MIN(1,AO438^Power),0))</f>
        <v>0</v>
      </c>
      <c r="AR438" s="7" t="n">
        <f aca="false">IF(AL438=0,0,MAX(MIN(1,AP438^Power),0))</f>
        <v>0</v>
      </c>
      <c r="AS438" s="7" t="n">
        <f aca="false">IF($AJ438=1,IF($H438=0,K438,AS437),AS437)</f>
        <v>0</v>
      </c>
      <c r="AT438" s="7" t="n">
        <f aca="false">IF($AJ438=1,IF($H438=1,N438,AT437),AT437)</f>
        <v>0</v>
      </c>
    </row>
    <row r="439" customFormat="false" ht="13" hidden="false" customHeight="false" outlineLevel="0" collapsed="false">
      <c r="A439" s="16" t="n">
        <v>422</v>
      </c>
      <c r="B439" s="37" t="n">
        <f aca="true">IF(RAND()&lt;$D$8,1,0)</f>
        <v>1</v>
      </c>
      <c r="C439" s="20" t="n">
        <f aca="true">-LN(RAND())/$D$2</f>
        <v>0.259893412048573</v>
      </c>
      <c r="D439" s="38" t="n">
        <f aca="false">D438+C439</f>
        <v>456.964363994527</v>
      </c>
      <c r="E439" s="39" t="n">
        <f aca="false">MAX($E$3,AS438)</f>
        <v>0</v>
      </c>
      <c r="F439" s="39" t="n">
        <f aca="false">MAX($E$3,AT438)</f>
        <v>0</v>
      </c>
      <c r="G439" s="40" t="n">
        <v>0.5</v>
      </c>
      <c r="H439" s="38" t="n">
        <f aca="true">IF((B439=1),(IF((F439&lt;E439),1,(IF((F439=E439),(IF(RAND()&lt;G439,1,0)),0)))),(IF((RAND()&lt;G439),1,0)))</f>
        <v>1</v>
      </c>
      <c r="I439" s="38" t="n">
        <f aca="true">IF((H439=1),0,$D$3+$D$5*(RAND()-0.5))</f>
        <v>0</v>
      </c>
      <c r="J439" s="38" t="n">
        <f aca="false">I439+MAX(D439,J438)</f>
        <v>459.957571097097</v>
      </c>
      <c r="K439" s="38" t="n">
        <f aca="false">IF((H439=0),J439-D439,0)</f>
        <v>0</v>
      </c>
      <c r="L439" s="38" t="n">
        <f aca="true">IF(($H439=0),0,$D$4+$D$5*(RAND()-0.5))</f>
        <v>1.83844852317318</v>
      </c>
      <c r="M439" s="38" t="n">
        <f aca="false">L439+MAX(D439,M438)</f>
        <v>483.279926079019</v>
      </c>
      <c r="N439" s="38" t="n">
        <f aca="false">IF((H439=1),M439-D439,0)</f>
        <v>26.3155620844916</v>
      </c>
      <c r="O439" s="16" t="n">
        <v>422</v>
      </c>
      <c r="P439" s="41" t="n">
        <f aca="false">IF((Arterial=0),P438+1,P438)</f>
        <v>195</v>
      </c>
      <c r="Q439" s="41" t="n">
        <f aca="false">IF((Arterial=1),Q438+1,Q438)</f>
        <v>227</v>
      </c>
      <c r="R439" s="42" t="n">
        <f aca="false">IF((RESET=1),0,R439+K439)</f>
        <v>551.730639505149</v>
      </c>
      <c r="S439" s="14" t="e">
        <f aca="false">IF(RESET=1,0,S439+N439)</f>
        <v>#N/A</v>
      </c>
      <c r="T439" s="2" t="n">
        <f aca="false">IF(RESET=1,0,T439+IF(H439=0,1,0))</f>
        <v>32</v>
      </c>
      <c r="U439" s="2" t="e">
        <f aca="false">IF(RESET=1,0,U439+H439)</f>
        <v>#N/A</v>
      </c>
      <c r="V439" s="14" t="n">
        <f aca="false">R439/(T439+0.00001)</f>
        <v>17.2415770965431</v>
      </c>
      <c r="W439" s="14" t="e">
        <f aca="false">S439/(U439+0.0001)</f>
        <v>#N/A</v>
      </c>
      <c r="X439" s="39" t="n">
        <f aca="false">IF(Informed=1,K439,0)</f>
        <v>0</v>
      </c>
      <c r="Y439" s="39" t="n">
        <f aca="false">IF(Informed=0,K439,0)</f>
        <v>0</v>
      </c>
      <c r="Z439" s="39" t="n">
        <f aca="false">IF(Informed=1,N439,0)</f>
        <v>26.3155620844916</v>
      </c>
      <c r="AA439" s="39" t="n">
        <f aca="false">IF(Informed=0,N439,0)</f>
        <v>0</v>
      </c>
      <c r="AB439" s="43" t="n">
        <f aca="false">IF(Arterial=0,IF(Informed=1,1,0),0)</f>
        <v>0</v>
      </c>
      <c r="AC439" s="43" t="n">
        <f aca="false">IF(Arterial=0,IF(Informed=0,1,0),0)</f>
        <v>0</v>
      </c>
      <c r="AD439" s="43" t="n">
        <f aca="false">IF(Arterial=1,IF(Informed=1,1,0),0)</f>
        <v>1</v>
      </c>
      <c r="AE439" s="43" t="n">
        <f aca="false">IF(Arterial=1,IF(Informed=0,1,0),0)</f>
        <v>0</v>
      </c>
      <c r="AF439" s="35" t="n">
        <f aca="false">IF(AB439=1,(X439-G$1030)^2,0)</f>
        <v>0</v>
      </c>
      <c r="AG439" s="35" t="n">
        <f aca="false">IF(AC439=1,(Y439-H$1030)^2,0)</f>
        <v>0</v>
      </c>
      <c r="AH439" s="35" t="n">
        <f aca="false">IF(AD439=1,(Z439-I$1030)^2,0)</f>
        <v>4.24060408897964</v>
      </c>
      <c r="AI439" s="35" t="n">
        <f aca="false">IF(AE439=1,(AA439-J$1030)^2,0)</f>
        <v>0</v>
      </c>
      <c r="AJ439" s="37" t="n">
        <f aca="true">IF(RAND()&lt;$D$6,1,0)</f>
        <v>0</v>
      </c>
      <c r="AK439" s="14" t="n">
        <f aca="false">AK438+IF((AJ439=1),IF((H439=0),1,0),0)</f>
        <v>0</v>
      </c>
      <c r="AL439" s="14" t="n">
        <f aca="false">AL438+IF((AJ439=1),IF((H439=1),1,0),0)</f>
        <v>0</v>
      </c>
      <c r="AM439" s="37" t="n">
        <f aca="false">IF(AK439=0,9999,IF($H439=0,IF($AJ439&lt;1,AM438+1,0),AM438))</f>
        <v>9999</v>
      </c>
      <c r="AN439" s="37" t="n">
        <f aca="false">IF(AL439=0,9999,IF($H439=1,IF($AJ439&lt;1,AN438+1,0),AN438))</f>
        <v>9999</v>
      </c>
      <c r="AO439" s="37" t="n">
        <f aca="false">IF($A439-AM439&gt;0,1/(1+AM439),0)</f>
        <v>0</v>
      </c>
      <c r="AP439" s="37" t="n">
        <f aca="false">IF($A439-AN439&gt;0,1/(1+AN439),0)</f>
        <v>0</v>
      </c>
      <c r="AQ439" s="7" t="n">
        <f aca="false">IF(AK439=0,0,MAX(MIN(1,AO439^Power),0))</f>
        <v>0</v>
      </c>
      <c r="AR439" s="7" t="n">
        <f aca="false">IF(AL439=0,0,MAX(MIN(1,AP439^Power),0))</f>
        <v>0</v>
      </c>
      <c r="AS439" s="7" t="n">
        <f aca="false">IF($AJ439=1,IF($H439=0,K439,AS438),AS438)</f>
        <v>0</v>
      </c>
      <c r="AT439" s="7" t="n">
        <f aca="false">IF($AJ439=1,IF($H439=1,N439,AT438),AT438)</f>
        <v>0</v>
      </c>
    </row>
    <row r="440" customFormat="false" ht="13" hidden="false" customHeight="false" outlineLevel="0" collapsed="false">
      <c r="A440" s="16" t="n">
        <v>423</v>
      </c>
      <c r="B440" s="37" t="n">
        <f aca="true">IF(RAND()&lt;$D$8,1,0)</f>
        <v>1</v>
      </c>
      <c r="C440" s="20" t="n">
        <f aca="true">-LN(RAND())/$D$2</f>
        <v>0.792429889468038</v>
      </c>
      <c r="D440" s="38" t="n">
        <f aca="false">D439+C440</f>
        <v>457.756793883995</v>
      </c>
      <c r="E440" s="39" t="n">
        <f aca="false">MAX($E$3,AS439)</f>
        <v>0</v>
      </c>
      <c r="F440" s="39" t="n">
        <f aca="false">MAX($E$3,AT439)</f>
        <v>0</v>
      </c>
      <c r="G440" s="40" t="n">
        <v>0.5</v>
      </c>
      <c r="H440" s="38" t="n">
        <f aca="true">IF((B440=1),(IF((F440&lt;E440),1,(IF((F440=E440),(IF(RAND()&lt;G440,1,0)),0)))),(IF((RAND()&lt;G440),1,0)))</f>
        <v>0</v>
      </c>
      <c r="I440" s="38" t="n">
        <f aca="true">IF((H440=1),0,$D$3+$D$5*(RAND()-0.5))</f>
        <v>1.84297832459462</v>
      </c>
      <c r="J440" s="38" t="n">
        <f aca="false">I440+MAX(D440,J439)</f>
        <v>461.800549421692</v>
      </c>
      <c r="K440" s="38" t="n">
        <f aca="false">IF((H440=0),J440-D440,0)</f>
        <v>4.04375553769631</v>
      </c>
      <c r="L440" s="38" t="n">
        <f aca="true">IF(($H440=0),0,$D$4+$D$5*(RAND()-0.5))</f>
        <v>0</v>
      </c>
      <c r="M440" s="38" t="n">
        <f aca="false">L440+MAX(D440,M439)</f>
        <v>483.279926079019</v>
      </c>
      <c r="N440" s="38" t="n">
        <f aca="false">IF((H440=1),M440-D440,0)</f>
        <v>0</v>
      </c>
      <c r="O440" s="16" t="n">
        <v>423</v>
      </c>
      <c r="P440" s="41" t="n">
        <f aca="false">IF((Arterial=0),P439+1,P439)</f>
        <v>196</v>
      </c>
      <c r="Q440" s="41" t="n">
        <f aca="false">IF((Arterial=1),Q439+1,Q439)</f>
        <v>227</v>
      </c>
      <c r="R440" s="42" t="e">
        <f aca="false">IF((RESET=1),0,R440+K440)</f>
        <v>#N/A</v>
      </c>
      <c r="S440" s="14" t="n">
        <f aca="false">IF(RESET=1,0,S440+N440)</f>
        <v>623.886714989358</v>
      </c>
      <c r="T440" s="2" t="e">
        <f aca="false">IF(RESET=1,0,T440+IF(H440=0,1,0))</f>
        <v>#N/A</v>
      </c>
      <c r="U440" s="2" t="n">
        <f aca="false">IF(RESET=1,0,U440+H440)</f>
        <v>35</v>
      </c>
      <c r="V440" s="14" t="e">
        <f aca="false">R440/(T440+0.00001)</f>
        <v>#N/A</v>
      </c>
      <c r="W440" s="14" t="n">
        <f aca="false">S440/(U440+0.0001)</f>
        <v>17.8252837845994</v>
      </c>
      <c r="X440" s="39" t="n">
        <f aca="false">IF(Informed=1,K440,0)</f>
        <v>4.04375553769631</v>
      </c>
      <c r="Y440" s="39" t="n">
        <f aca="false">IF(Informed=0,K440,0)</f>
        <v>0</v>
      </c>
      <c r="Z440" s="39" t="n">
        <f aca="false">IF(Informed=1,N440,0)</f>
        <v>0</v>
      </c>
      <c r="AA440" s="39" t="n">
        <f aca="false">IF(Informed=0,N440,0)</f>
        <v>0</v>
      </c>
      <c r="AB440" s="43" t="n">
        <f aca="false">IF(Arterial=0,IF(Informed=1,1,0),0)</f>
        <v>1</v>
      </c>
      <c r="AC440" s="43" t="n">
        <f aca="false">IF(Arterial=0,IF(Informed=0,1,0),0)</f>
        <v>0</v>
      </c>
      <c r="AD440" s="43" t="n">
        <f aca="false">IF(Arterial=1,IF(Informed=1,1,0),0)</f>
        <v>0</v>
      </c>
      <c r="AE440" s="43" t="n">
        <f aca="false">IF(Arterial=1,IF(Informed=0,1,0),0)</f>
        <v>0</v>
      </c>
      <c r="AF440" s="35" t="n">
        <f aca="false">IF(AB440=1,(X440-G$1030)^2,0)</f>
        <v>44.4345254967948</v>
      </c>
      <c r="AG440" s="35" t="n">
        <f aca="false">IF(AC440=1,(Y440-H$1030)^2,0)</f>
        <v>0</v>
      </c>
      <c r="AH440" s="35" t="n">
        <f aca="false">IF(AD440=1,(Z440-I$1030)^2,0)</f>
        <v>0</v>
      </c>
      <c r="AI440" s="35" t="n">
        <f aca="false">IF(AE440=1,(AA440-J$1030)^2,0)</f>
        <v>0</v>
      </c>
      <c r="AJ440" s="37" t="n">
        <f aca="true">IF(RAND()&lt;$D$6,1,0)</f>
        <v>0</v>
      </c>
      <c r="AK440" s="14" t="n">
        <f aca="false">AK439+IF((AJ440=1),IF((H440=0),1,0),0)</f>
        <v>0</v>
      </c>
      <c r="AL440" s="14" t="n">
        <f aca="false">AL439+IF((AJ440=1),IF((H440=1),1,0),0)</f>
        <v>0</v>
      </c>
      <c r="AM440" s="37" t="n">
        <f aca="false">IF(AK440=0,9999,IF($H440=0,IF($AJ440&lt;1,AM439+1,0),AM439))</f>
        <v>9999</v>
      </c>
      <c r="AN440" s="37" t="n">
        <f aca="false">IF(AL440=0,9999,IF($H440=1,IF($AJ440&lt;1,AN439+1,0),AN439))</f>
        <v>9999</v>
      </c>
      <c r="AO440" s="37" t="n">
        <f aca="false">IF($A440-AM440&gt;0,1/(1+AM440),0)</f>
        <v>0</v>
      </c>
      <c r="AP440" s="37" t="n">
        <f aca="false">IF($A440-AN440&gt;0,1/(1+AN440),0)</f>
        <v>0</v>
      </c>
      <c r="AQ440" s="7" t="n">
        <f aca="false">IF(AK440=0,0,MAX(MIN(1,AO440^Power),0))</f>
        <v>0</v>
      </c>
      <c r="AR440" s="7" t="n">
        <f aca="false">IF(AL440=0,0,MAX(MIN(1,AP440^Power),0))</f>
        <v>0</v>
      </c>
      <c r="AS440" s="7" t="n">
        <f aca="false">IF($AJ440=1,IF($H440=0,K440,AS439),AS439)</f>
        <v>0</v>
      </c>
      <c r="AT440" s="7" t="n">
        <f aca="false">IF($AJ440=1,IF($H440=1,N440,AT439),AT439)</f>
        <v>0</v>
      </c>
    </row>
    <row r="441" customFormat="false" ht="13" hidden="false" customHeight="false" outlineLevel="0" collapsed="false">
      <c r="A441" s="16" t="n">
        <v>424</v>
      </c>
      <c r="B441" s="37" t="n">
        <f aca="true">IF(RAND()&lt;$D$8,1,0)</f>
        <v>0</v>
      </c>
      <c r="C441" s="20" t="n">
        <f aca="true">-LN(RAND())/$D$2</f>
        <v>0.331673328996857</v>
      </c>
      <c r="D441" s="38" t="n">
        <f aca="false">D440+C441</f>
        <v>458.088467212992</v>
      </c>
      <c r="E441" s="39" t="n">
        <f aca="false">MAX($E$3,AS440)</f>
        <v>0</v>
      </c>
      <c r="F441" s="39" t="n">
        <f aca="false">MAX($E$3,AT440)</f>
        <v>0</v>
      </c>
      <c r="G441" s="40" t="n">
        <v>0.5</v>
      </c>
      <c r="H441" s="38" t="n">
        <f aca="true">IF((B441=1),(IF((F441&lt;E441),1,(IF((F441=E441),(IF(RAND()&lt;G441,1,0)),0)))),(IF((RAND()&lt;G441),1,0)))</f>
        <v>1</v>
      </c>
      <c r="I441" s="38" t="n">
        <f aca="true">IF((H441=1),0,$D$3+$D$5*(RAND()-0.5))</f>
        <v>0</v>
      </c>
      <c r="J441" s="38" t="n">
        <f aca="false">I441+MAX(D441,J440)</f>
        <v>461.800549421692</v>
      </c>
      <c r="K441" s="38" t="n">
        <f aca="false">IF((H441=0),J441-D441,0)</f>
        <v>0</v>
      </c>
      <c r="L441" s="38" t="n">
        <f aca="true">IF(($H441=0),0,$D$4+$D$5*(RAND()-0.5))</f>
        <v>2.01071012537275</v>
      </c>
      <c r="M441" s="38" t="n">
        <f aca="false">L441+MAX(D441,M440)</f>
        <v>485.290636204392</v>
      </c>
      <c r="N441" s="38" t="n">
        <f aca="false">IF((H441=1),M441-D441,0)</f>
        <v>27.2021689913994</v>
      </c>
      <c r="O441" s="16" t="n">
        <v>424</v>
      </c>
      <c r="P441" s="41" t="n">
        <f aca="false">IF((Arterial=0),P440+1,P440)</f>
        <v>196</v>
      </c>
      <c r="Q441" s="41" t="n">
        <f aca="false">IF((Arterial=1),Q440+1,Q440)</f>
        <v>228</v>
      </c>
      <c r="R441" s="42" t="n">
        <f aca="false">IF((RESET=1),0,R441+K441)</f>
        <v>749.546818736044</v>
      </c>
      <c r="S441" s="14" t="e">
        <f aca="false">IF(RESET=1,0,S441+N441)</f>
        <v>#N/A</v>
      </c>
      <c r="T441" s="2" t="n">
        <f aca="false">IF(RESET=1,0,T441+IF(H441=0,1,0))</f>
        <v>43</v>
      </c>
      <c r="U441" s="2" t="e">
        <f aca="false">IF(RESET=1,0,U441+H441)</f>
        <v>#N/A</v>
      </c>
      <c r="V441" s="14" t="n">
        <f aca="false">R441/(T441+0.00001)</f>
        <v>17.4313173121598</v>
      </c>
      <c r="W441" s="14" t="e">
        <f aca="false">S441/(U441+0.0001)</f>
        <v>#N/A</v>
      </c>
      <c r="X441" s="39" t="n">
        <f aca="false">IF(Informed=1,K441,0)</f>
        <v>0</v>
      </c>
      <c r="Y441" s="39" t="n">
        <f aca="false">IF(Informed=0,K441,0)</f>
        <v>0</v>
      </c>
      <c r="Z441" s="39" t="n">
        <f aca="false">IF(Informed=1,N441,0)</f>
        <v>0</v>
      </c>
      <c r="AA441" s="39" t="n">
        <f aca="false">IF(Informed=0,N441,0)</f>
        <v>27.2021689913994</v>
      </c>
      <c r="AB441" s="43" t="n">
        <f aca="false">IF(Arterial=0,IF(Informed=1,1,0),0)</f>
        <v>0</v>
      </c>
      <c r="AC441" s="43" t="n">
        <f aca="false">IF(Arterial=0,IF(Informed=0,1,0),0)</f>
        <v>0</v>
      </c>
      <c r="AD441" s="43" t="n">
        <f aca="false">IF(Arterial=1,IF(Informed=1,1,0),0)</f>
        <v>0</v>
      </c>
      <c r="AE441" s="43" t="n">
        <f aca="false">IF(Arterial=1,IF(Informed=0,1,0),0)</f>
        <v>1</v>
      </c>
      <c r="AF441" s="35" t="n">
        <f aca="false">IF(AB441=1,(X441-G$1030)^2,0)</f>
        <v>0</v>
      </c>
      <c r="AG441" s="35" t="n">
        <f aca="false">IF(AC441=1,(Y441-H$1030)^2,0)</f>
        <v>0</v>
      </c>
      <c r="AH441" s="35" t="n">
        <f aca="false">IF(AD441=1,(Z441-I$1030)^2,0)</f>
        <v>0</v>
      </c>
      <c r="AI441" s="35" t="n">
        <f aca="false">IF(AE441=1,(AA441-J$1030)^2,0)</f>
        <v>5.57954474964343</v>
      </c>
      <c r="AJ441" s="37" t="n">
        <f aca="true">IF(RAND()&lt;$D$6,1,0)</f>
        <v>0</v>
      </c>
      <c r="AK441" s="14" t="n">
        <f aca="false">AK440+IF((AJ441=1),IF((H441=0),1,0),0)</f>
        <v>0</v>
      </c>
      <c r="AL441" s="14" t="n">
        <f aca="false">AL440+IF((AJ441=1),IF((H441=1),1,0),0)</f>
        <v>0</v>
      </c>
      <c r="AM441" s="37" t="n">
        <f aca="false">IF(AK441=0,9999,IF($H441=0,IF($AJ441&lt;1,AM440+1,0),AM440))</f>
        <v>9999</v>
      </c>
      <c r="AN441" s="37" t="n">
        <f aca="false">IF(AL441=0,9999,IF($H441=1,IF($AJ441&lt;1,AN440+1,0),AN440))</f>
        <v>9999</v>
      </c>
      <c r="AO441" s="37" t="n">
        <f aca="false">IF($A441-AM441&gt;0,1/(1+AM441),0)</f>
        <v>0</v>
      </c>
      <c r="AP441" s="37" t="n">
        <f aca="false">IF($A441-AN441&gt;0,1/(1+AN441),0)</f>
        <v>0</v>
      </c>
      <c r="AQ441" s="7" t="n">
        <f aca="false">IF(AK441=0,0,MAX(MIN(1,AO441^Power),0))</f>
        <v>0</v>
      </c>
      <c r="AR441" s="7" t="n">
        <f aca="false">IF(AL441=0,0,MAX(MIN(1,AP441^Power),0))</f>
        <v>0</v>
      </c>
      <c r="AS441" s="7" t="n">
        <f aca="false">IF($AJ441=1,IF($H441=0,K441,AS440),AS440)</f>
        <v>0</v>
      </c>
      <c r="AT441" s="7" t="n">
        <f aca="false">IF($AJ441=1,IF($H441=1,N441,AT440),AT440)</f>
        <v>0</v>
      </c>
    </row>
    <row r="442" customFormat="false" ht="13" hidden="false" customHeight="false" outlineLevel="0" collapsed="false">
      <c r="A442" s="16" t="n">
        <v>425</v>
      </c>
      <c r="B442" s="37" t="n">
        <f aca="true">IF(RAND()&lt;$D$8,1,0)</f>
        <v>1</v>
      </c>
      <c r="C442" s="20" t="n">
        <f aca="true">-LN(RAND())/$D$2</f>
        <v>0.678409735721868</v>
      </c>
      <c r="D442" s="38" t="n">
        <f aca="false">D441+C442</f>
        <v>458.766876948714</v>
      </c>
      <c r="E442" s="39" t="n">
        <f aca="false">MAX($E$3,AS441)</f>
        <v>0</v>
      </c>
      <c r="F442" s="39" t="n">
        <f aca="false">MAX($E$3,AT441)</f>
        <v>0</v>
      </c>
      <c r="G442" s="40" t="n">
        <v>0.5</v>
      </c>
      <c r="H442" s="38" t="n">
        <f aca="true">IF((B442=1),(IF((F442&lt;E442),1,(IF((F442=E442),(IF(RAND()&lt;G442,1,0)),0)))),(IF((RAND()&lt;G442),1,0)))</f>
        <v>0</v>
      </c>
      <c r="I442" s="38" t="n">
        <f aca="true">IF((H442=1),0,$D$3+$D$5*(RAND()-0.5))</f>
        <v>1.87843803488058</v>
      </c>
      <c r="J442" s="38" t="n">
        <f aca="false">I442+MAX(D442,J441)</f>
        <v>463.678987456572</v>
      </c>
      <c r="K442" s="38" t="n">
        <f aca="false">IF((H442=0),J442-D442,0)</f>
        <v>4.91211050785813</v>
      </c>
      <c r="L442" s="38" t="n">
        <f aca="true">IF(($H442=0),0,$D$4+$D$5*(RAND()-0.5))</f>
        <v>0</v>
      </c>
      <c r="M442" s="38" t="n">
        <f aca="false">L442+MAX(D442,M441)</f>
        <v>485.290636204392</v>
      </c>
      <c r="N442" s="38" t="n">
        <f aca="false">IF((H442=1),M442-D442,0)</f>
        <v>0</v>
      </c>
      <c r="O442" s="16" t="n">
        <v>425</v>
      </c>
      <c r="P442" s="41" t="n">
        <f aca="false">IF((Arterial=0),P441+1,P441)</f>
        <v>197</v>
      </c>
      <c r="Q442" s="41" t="n">
        <f aca="false">IF((Arterial=1),Q441+1,Q441)</f>
        <v>228</v>
      </c>
      <c r="R442" s="42" t="e">
        <f aca="false">IF((RESET=1),0,R442+K442)</f>
        <v>#N/A</v>
      </c>
      <c r="S442" s="14" t="n">
        <f aca="false">IF(RESET=1,0,S442+N442)</f>
        <v>459.201570148001</v>
      </c>
      <c r="T442" s="2" t="e">
        <f aca="false">IF(RESET=1,0,T442+IF(H442=0,1,0))</f>
        <v>#N/A</v>
      </c>
      <c r="U442" s="2" t="n">
        <f aca="false">IF(RESET=1,0,U442+H442)</f>
        <v>32</v>
      </c>
      <c r="V442" s="14" t="e">
        <f aca="false">R442/(T442+0.00001)</f>
        <v>#N/A</v>
      </c>
      <c r="W442" s="14" t="n">
        <f aca="false">S442/(U442+0.0001)</f>
        <v>14.3500042233618</v>
      </c>
      <c r="X442" s="39" t="n">
        <f aca="false">IF(Informed=1,K442,0)</f>
        <v>4.91211050785813</v>
      </c>
      <c r="Y442" s="39" t="n">
        <f aca="false">IF(Informed=0,K442,0)</f>
        <v>0</v>
      </c>
      <c r="Z442" s="39" t="n">
        <f aca="false">IF(Informed=1,N442,0)</f>
        <v>0</v>
      </c>
      <c r="AA442" s="39" t="n">
        <f aca="false">IF(Informed=0,N442,0)</f>
        <v>0</v>
      </c>
      <c r="AB442" s="43" t="n">
        <f aca="false">IF(Arterial=0,IF(Informed=1,1,0),0)</f>
        <v>1</v>
      </c>
      <c r="AC442" s="43" t="n">
        <f aca="false">IF(Arterial=0,IF(Informed=0,1,0),0)</f>
        <v>0</v>
      </c>
      <c r="AD442" s="43" t="n">
        <f aca="false">IF(Arterial=1,IF(Informed=1,1,0),0)</f>
        <v>0</v>
      </c>
      <c r="AE442" s="43" t="n">
        <f aca="false">IF(Arterial=1,IF(Informed=0,1,0),0)</f>
        <v>0</v>
      </c>
      <c r="AF442" s="35" t="n">
        <f aca="false">IF(AB442=1,(X442-G$1030)^2,0)</f>
        <v>33.6117916293915</v>
      </c>
      <c r="AG442" s="35" t="n">
        <f aca="false">IF(AC442=1,(Y442-H$1030)^2,0)</f>
        <v>0</v>
      </c>
      <c r="AH442" s="35" t="n">
        <f aca="false">IF(AD442=1,(Z442-I$1030)^2,0)</f>
        <v>0</v>
      </c>
      <c r="AI442" s="35" t="n">
        <f aca="false">IF(AE442=1,(AA442-J$1030)^2,0)</f>
        <v>0</v>
      </c>
      <c r="AJ442" s="37" t="n">
        <f aca="true">IF(RAND()&lt;$D$6,1,0)</f>
        <v>0</v>
      </c>
      <c r="AK442" s="14" t="n">
        <f aca="false">AK441+IF((AJ442=1),IF((H442=0),1,0),0)</f>
        <v>0</v>
      </c>
      <c r="AL442" s="14" t="n">
        <f aca="false">AL441+IF((AJ442=1),IF((H442=1),1,0),0)</f>
        <v>0</v>
      </c>
      <c r="AM442" s="37" t="n">
        <f aca="false">IF(AK442=0,9999,IF($H442=0,IF($AJ442&lt;1,AM441+1,0),AM441))</f>
        <v>9999</v>
      </c>
      <c r="AN442" s="37" t="n">
        <f aca="false">IF(AL442=0,9999,IF($H442=1,IF($AJ442&lt;1,AN441+1,0),AN441))</f>
        <v>9999</v>
      </c>
      <c r="AO442" s="37" t="n">
        <f aca="false">IF($A442-AM442&gt;0,1/(1+AM442),0)</f>
        <v>0</v>
      </c>
      <c r="AP442" s="37" t="n">
        <f aca="false">IF($A442-AN442&gt;0,1/(1+AN442),0)</f>
        <v>0</v>
      </c>
      <c r="AQ442" s="7" t="n">
        <f aca="false">IF(AK442=0,0,MAX(MIN(1,AO442^Power),0))</f>
        <v>0</v>
      </c>
      <c r="AR442" s="7" t="n">
        <f aca="false">IF(AL442=0,0,MAX(MIN(1,AP442^Power),0))</f>
        <v>0</v>
      </c>
      <c r="AS442" s="7" t="n">
        <f aca="false">IF($AJ442=1,IF($H442=0,K442,AS441),AS441)</f>
        <v>0</v>
      </c>
      <c r="AT442" s="7" t="n">
        <f aca="false">IF($AJ442=1,IF($H442=1,N442,AT441),AT441)</f>
        <v>0</v>
      </c>
    </row>
    <row r="443" customFormat="false" ht="13" hidden="false" customHeight="false" outlineLevel="0" collapsed="false">
      <c r="A443" s="16" t="n">
        <v>426</v>
      </c>
      <c r="B443" s="37" t="n">
        <f aca="true">IF(RAND()&lt;$D$8,1,0)</f>
        <v>1</v>
      </c>
      <c r="C443" s="20" t="n">
        <f aca="true">-LN(RAND())/$D$2</f>
        <v>0.385972988351629</v>
      </c>
      <c r="D443" s="38" t="n">
        <f aca="false">D442+C443</f>
        <v>459.152849937066</v>
      </c>
      <c r="E443" s="39" t="n">
        <f aca="false">MAX($E$3,AS442)</f>
        <v>0</v>
      </c>
      <c r="F443" s="39" t="n">
        <f aca="false">MAX($E$3,AT442)</f>
        <v>0</v>
      </c>
      <c r="G443" s="40" t="n">
        <v>0.5</v>
      </c>
      <c r="H443" s="38" t="n">
        <f aca="true">IF((B443=1),(IF((F443&lt;E443),1,(IF((F443=E443),(IF(RAND()&lt;G443,1,0)),0)))),(IF((RAND()&lt;G443),1,0)))</f>
        <v>1</v>
      </c>
      <c r="I443" s="38" t="n">
        <f aca="true">IF((H443=1),0,$D$3+$D$5*(RAND()-0.5))</f>
        <v>0</v>
      </c>
      <c r="J443" s="38" t="n">
        <f aca="false">I443+MAX(D443,J442)</f>
        <v>463.678987456572</v>
      </c>
      <c r="K443" s="38" t="n">
        <f aca="false">IF((H443=0),J443-D443,0)</f>
        <v>0</v>
      </c>
      <c r="L443" s="38" t="n">
        <f aca="true">IF(($H443=0),0,$D$4+$D$5*(RAND()-0.5))</f>
        <v>1.93829326299266</v>
      </c>
      <c r="M443" s="38" t="n">
        <f aca="false">L443+MAX(D443,M442)</f>
        <v>487.228929467384</v>
      </c>
      <c r="N443" s="38" t="n">
        <f aca="false">IF((H443=1),M443-D443,0)</f>
        <v>28.0760795303186</v>
      </c>
      <c r="O443" s="16" t="n">
        <v>426</v>
      </c>
      <c r="P443" s="41" t="n">
        <f aca="false">IF((Arterial=0),P442+1,P442)</f>
        <v>197</v>
      </c>
      <c r="Q443" s="41" t="n">
        <f aca="false">IF((Arterial=1),Q442+1,Q442)</f>
        <v>229</v>
      </c>
      <c r="R443" s="42" t="n">
        <f aca="false">IF((RESET=1),0,R443+K443)</f>
        <v>702.895076677799</v>
      </c>
      <c r="S443" s="14" t="e">
        <f aca="false">IF(RESET=1,0,S443+N443)</f>
        <v>#N/A</v>
      </c>
      <c r="T443" s="2" t="n">
        <f aca="false">IF(RESET=1,0,T443+IF(H443=0,1,0))</f>
        <v>34</v>
      </c>
      <c r="U443" s="2" t="e">
        <f aca="false">IF(RESET=1,0,U443+H443)</f>
        <v>#N/A</v>
      </c>
      <c r="V443" s="14" t="n">
        <f aca="false">R443/(T443+0.00001)</f>
        <v>20.6733785277651</v>
      </c>
      <c r="W443" s="14" t="e">
        <f aca="false">S443/(U443+0.0001)</f>
        <v>#N/A</v>
      </c>
      <c r="X443" s="39" t="n">
        <f aca="false">IF(Informed=1,K443,0)</f>
        <v>0</v>
      </c>
      <c r="Y443" s="39" t="n">
        <f aca="false">IF(Informed=0,K443,0)</f>
        <v>0</v>
      </c>
      <c r="Z443" s="39" t="n">
        <f aca="false">IF(Informed=1,N443,0)</f>
        <v>28.0760795303186</v>
      </c>
      <c r="AA443" s="39" t="n">
        <f aca="false">IF(Informed=0,N443,0)</f>
        <v>0</v>
      </c>
      <c r="AB443" s="43" t="n">
        <f aca="false">IF(Arterial=0,IF(Informed=1,1,0),0)</f>
        <v>0</v>
      </c>
      <c r="AC443" s="43" t="n">
        <f aca="false">IF(Arterial=0,IF(Informed=0,1,0),0)</f>
        <v>0</v>
      </c>
      <c r="AD443" s="43" t="n">
        <f aca="false">IF(Arterial=1,IF(Informed=1,1,0),0)</f>
        <v>1</v>
      </c>
      <c r="AE443" s="43" t="n">
        <f aca="false">IF(Arterial=1,IF(Informed=0,1,0),0)</f>
        <v>0</v>
      </c>
      <c r="AF443" s="35" t="n">
        <f aca="false">IF(AB443=1,(X443-G$1030)^2,0)</f>
        <v>0</v>
      </c>
      <c r="AG443" s="35" t="n">
        <f aca="false">IF(AC443=1,(Y443-H$1030)^2,0)</f>
        <v>0</v>
      </c>
      <c r="AH443" s="35" t="n">
        <f aca="false">IF(AD443=1,(Z443-I$1030)^2,0)</f>
        <v>0.0892547071208871</v>
      </c>
      <c r="AI443" s="35" t="n">
        <f aca="false">IF(AE443=1,(AA443-J$1030)^2,0)</f>
        <v>0</v>
      </c>
      <c r="AJ443" s="37" t="n">
        <f aca="true">IF(RAND()&lt;$D$6,1,0)</f>
        <v>0</v>
      </c>
      <c r="AK443" s="14" t="n">
        <f aca="false">AK442+IF((AJ443=1),IF((H443=0),1,0),0)</f>
        <v>0</v>
      </c>
      <c r="AL443" s="14" t="n">
        <f aca="false">AL442+IF((AJ443=1),IF((H443=1),1,0),0)</f>
        <v>0</v>
      </c>
      <c r="AM443" s="37" t="n">
        <f aca="false">IF(AK443=0,9999,IF($H443=0,IF($AJ443&lt;1,AM442+1,0),AM442))</f>
        <v>9999</v>
      </c>
      <c r="AN443" s="37" t="n">
        <f aca="false">IF(AL443=0,9999,IF($H443=1,IF($AJ443&lt;1,AN442+1,0),AN442))</f>
        <v>9999</v>
      </c>
      <c r="AO443" s="37" t="n">
        <f aca="false">IF($A443-AM443&gt;0,1/(1+AM443),0)</f>
        <v>0</v>
      </c>
      <c r="AP443" s="37" t="n">
        <f aca="false">IF($A443-AN443&gt;0,1/(1+AN443),0)</f>
        <v>0</v>
      </c>
      <c r="AQ443" s="7" t="n">
        <f aca="false">IF(AK443=0,0,MAX(MIN(1,AO443^Power),0))</f>
        <v>0</v>
      </c>
      <c r="AR443" s="7" t="n">
        <f aca="false">IF(AL443=0,0,MAX(MIN(1,AP443^Power),0))</f>
        <v>0</v>
      </c>
      <c r="AS443" s="7" t="n">
        <f aca="false">IF($AJ443=1,IF($H443=0,K443,AS442),AS442)</f>
        <v>0</v>
      </c>
      <c r="AT443" s="7" t="n">
        <f aca="false">IF($AJ443=1,IF($H443=1,N443,AT442),AT442)</f>
        <v>0</v>
      </c>
    </row>
    <row r="444" customFormat="false" ht="13" hidden="false" customHeight="false" outlineLevel="0" collapsed="false">
      <c r="A444" s="16" t="n">
        <v>427</v>
      </c>
      <c r="B444" s="37" t="n">
        <f aca="true">IF(RAND()&lt;$D$8,1,0)</f>
        <v>0</v>
      </c>
      <c r="C444" s="20" t="n">
        <f aca="true">-LN(RAND())/$D$2</f>
        <v>1.53359288685642</v>
      </c>
      <c r="D444" s="38" t="n">
        <f aca="false">D443+C444</f>
        <v>460.686442823922</v>
      </c>
      <c r="E444" s="39" t="n">
        <f aca="false">MAX($E$3,AS443)</f>
        <v>0</v>
      </c>
      <c r="F444" s="39" t="n">
        <f aca="false">MAX($E$3,AT443)</f>
        <v>0</v>
      </c>
      <c r="G444" s="40" t="n">
        <v>0.5</v>
      </c>
      <c r="H444" s="38" t="n">
        <f aca="true">IF((B444=1),(IF((F444&lt;E444),1,(IF((F444=E444),(IF(RAND()&lt;G444,1,0)),0)))),(IF((RAND()&lt;G444),1,0)))</f>
        <v>1</v>
      </c>
      <c r="I444" s="38" t="n">
        <f aca="true">IF((H444=1),0,$D$3+$D$5*(RAND()-0.5))</f>
        <v>0</v>
      </c>
      <c r="J444" s="38" t="n">
        <f aca="false">I444+MAX(D444,J443)</f>
        <v>463.678987456572</v>
      </c>
      <c r="K444" s="38" t="n">
        <f aca="false">IF((H444=0),J444-D444,0)</f>
        <v>0</v>
      </c>
      <c r="L444" s="38" t="n">
        <f aca="true">IF(($H444=0),0,$D$4+$D$5*(RAND()-0.5))</f>
        <v>1.9636656840898</v>
      </c>
      <c r="M444" s="38" t="n">
        <f aca="false">L444+MAX(D444,M443)</f>
        <v>489.192595151474</v>
      </c>
      <c r="N444" s="38" t="n">
        <f aca="false">IF((H444=1),M444-D444,0)</f>
        <v>28.5061523275519</v>
      </c>
      <c r="O444" s="16" t="n">
        <v>427</v>
      </c>
      <c r="P444" s="41" t="n">
        <f aca="false">IF((Arterial=0),P443+1,P443)</f>
        <v>197</v>
      </c>
      <c r="Q444" s="41" t="n">
        <f aca="false">IF((Arterial=1),Q443+1,Q443)</f>
        <v>230</v>
      </c>
      <c r="R444" s="42" t="n">
        <f aca="false">IF((RESET=1),0,R444+K444)</f>
        <v>763.211680766689</v>
      </c>
      <c r="S444" s="14" t="e">
        <f aca="false">IF(RESET=1,0,S444+N444)</f>
        <v>#N/A</v>
      </c>
      <c r="T444" s="2" t="n">
        <f aca="false">IF(RESET=1,0,T444+IF(H444=0,1,0))</f>
        <v>42</v>
      </c>
      <c r="U444" s="2" t="e">
        <f aca="false">IF(RESET=1,0,U444+H444)</f>
        <v>#N/A</v>
      </c>
      <c r="V444" s="14" t="n">
        <f aca="false">R444/(T444+0.00001)</f>
        <v>18.1717023583254</v>
      </c>
      <c r="W444" s="14" t="e">
        <f aca="false">S444/(U444+0.0001)</f>
        <v>#N/A</v>
      </c>
      <c r="X444" s="39" t="n">
        <f aca="false">IF(Informed=1,K444,0)</f>
        <v>0</v>
      </c>
      <c r="Y444" s="39" t="n">
        <f aca="false">IF(Informed=0,K444,0)</f>
        <v>0</v>
      </c>
      <c r="Z444" s="39" t="n">
        <f aca="false">IF(Informed=1,N444,0)</f>
        <v>0</v>
      </c>
      <c r="AA444" s="39" t="n">
        <f aca="false">IF(Informed=0,N444,0)</f>
        <v>28.5061523275519</v>
      </c>
      <c r="AB444" s="43" t="n">
        <f aca="false">IF(Arterial=0,IF(Informed=1,1,0),0)</f>
        <v>0</v>
      </c>
      <c r="AC444" s="43" t="n">
        <f aca="false">IF(Arterial=0,IF(Informed=0,1,0),0)</f>
        <v>0</v>
      </c>
      <c r="AD444" s="43" t="n">
        <f aca="false">IF(Arterial=1,IF(Informed=1,1,0),0)</f>
        <v>0</v>
      </c>
      <c r="AE444" s="43" t="n">
        <f aca="false">IF(Arterial=1,IF(Informed=0,1,0),0)</f>
        <v>1</v>
      </c>
      <c r="AF444" s="35" t="n">
        <f aca="false">IF(AB444=1,(X444-G$1030)^2,0)</f>
        <v>0</v>
      </c>
      <c r="AG444" s="35" t="n">
        <f aca="false">IF(AC444=1,(Y444-H$1030)^2,0)</f>
        <v>0</v>
      </c>
      <c r="AH444" s="35" t="n">
        <f aca="false">IF(AD444=1,(Z444-I$1030)^2,0)</f>
        <v>0</v>
      </c>
      <c r="AI444" s="35" t="n">
        <f aca="false">IF(AE444=1,(AA444-J$1030)^2,0)</f>
        <v>1.11962356924238</v>
      </c>
      <c r="AJ444" s="37" t="n">
        <f aca="true">IF(RAND()&lt;$D$6,1,0)</f>
        <v>0</v>
      </c>
      <c r="AK444" s="14" t="n">
        <f aca="false">AK443+IF((AJ444=1),IF((H444=0),1,0),0)</f>
        <v>0</v>
      </c>
      <c r="AL444" s="14" t="n">
        <f aca="false">AL443+IF((AJ444=1),IF((H444=1),1,0),0)</f>
        <v>0</v>
      </c>
      <c r="AM444" s="37" t="n">
        <f aca="false">IF(AK444=0,9999,IF($H444=0,IF($AJ444&lt;1,AM443+1,0),AM443))</f>
        <v>9999</v>
      </c>
      <c r="AN444" s="37" t="n">
        <f aca="false">IF(AL444=0,9999,IF($H444=1,IF($AJ444&lt;1,AN443+1,0),AN443))</f>
        <v>9999</v>
      </c>
      <c r="AO444" s="37" t="n">
        <f aca="false">IF($A444-AM444&gt;0,1/(1+AM444),0)</f>
        <v>0</v>
      </c>
      <c r="AP444" s="37" t="n">
        <f aca="false">IF($A444-AN444&gt;0,1/(1+AN444),0)</f>
        <v>0</v>
      </c>
      <c r="AQ444" s="7" t="n">
        <f aca="false">IF(AK444=0,0,MAX(MIN(1,AO444^Power),0))</f>
        <v>0</v>
      </c>
      <c r="AR444" s="7" t="n">
        <f aca="false">IF(AL444=0,0,MAX(MIN(1,AP444^Power),0))</f>
        <v>0</v>
      </c>
      <c r="AS444" s="7" t="n">
        <f aca="false">IF($AJ444=1,IF($H444=0,K444,AS443),AS443)</f>
        <v>0</v>
      </c>
      <c r="AT444" s="7" t="n">
        <f aca="false">IF($AJ444=1,IF($H444=1,N444,AT443),AT443)</f>
        <v>0</v>
      </c>
    </row>
    <row r="445" customFormat="false" ht="13" hidden="false" customHeight="false" outlineLevel="0" collapsed="false">
      <c r="A445" s="16" t="n">
        <v>428</v>
      </c>
      <c r="B445" s="37" t="n">
        <f aca="true">IF(RAND()&lt;$D$8,1,0)</f>
        <v>1</v>
      </c>
      <c r="C445" s="20" t="n">
        <f aca="true">-LN(RAND())/$D$2</f>
        <v>1.29581597473683</v>
      </c>
      <c r="D445" s="38" t="n">
        <f aca="false">D444+C445</f>
        <v>461.982258798659</v>
      </c>
      <c r="E445" s="39" t="n">
        <f aca="false">MAX($E$3,AS444)</f>
        <v>0</v>
      </c>
      <c r="F445" s="39" t="n">
        <f aca="false">MAX($E$3,AT444)</f>
        <v>0</v>
      </c>
      <c r="G445" s="40" t="n">
        <v>0.5</v>
      </c>
      <c r="H445" s="38" t="n">
        <f aca="true">IF((B445=1),(IF((F445&lt;E445),1,(IF((F445=E445),(IF(RAND()&lt;G445,1,0)),0)))),(IF((RAND()&lt;G445),1,0)))</f>
        <v>1</v>
      </c>
      <c r="I445" s="38" t="n">
        <f aca="true">IF((H445=1),0,$D$3+$D$5*(RAND()-0.5))</f>
        <v>0</v>
      </c>
      <c r="J445" s="38" t="n">
        <f aca="false">I445+MAX(D445,J444)</f>
        <v>463.678987456572</v>
      </c>
      <c r="K445" s="38" t="n">
        <f aca="false">IF((H445=0),J445-D445,0)</f>
        <v>0</v>
      </c>
      <c r="L445" s="38" t="n">
        <f aca="true">IF(($H445=0),0,$D$4+$D$5*(RAND()-0.5))</f>
        <v>1.93629506577402</v>
      </c>
      <c r="M445" s="38" t="n">
        <f aca="false">L445+MAX(D445,M444)</f>
        <v>491.128890217248</v>
      </c>
      <c r="N445" s="38" t="n">
        <f aca="false">IF((H445=1),M445-D445,0)</f>
        <v>29.1466314185891</v>
      </c>
      <c r="O445" s="16" t="n">
        <v>428</v>
      </c>
      <c r="P445" s="41" t="n">
        <f aca="false">IF((Arterial=0),P444+1,P444)</f>
        <v>197</v>
      </c>
      <c r="Q445" s="41" t="n">
        <f aca="false">IF((Arterial=1),Q444+1,Q444)</f>
        <v>231</v>
      </c>
      <c r="R445" s="42" t="n">
        <f aca="false">IF((RESET=1),0,R445+K445)</f>
        <v>849.013344394325</v>
      </c>
      <c r="S445" s="14" t="e">
        <f aca="false">IF(RESET=1,0,S445+N445)</f>
        <v>#N/A</v>
      </c>
      <c r="T445" s="2" t="n">
        <f aca="false">IF(RESET=1,0,T445+IF(H445=0,1,0))</f>
        <v>47</v>
      </c>
      <c r="U445" s="2" t="e">
        <f aca="false">IF(RESET=1,0,U445+H445)</f>
        <v>#N/A</v>
      </c>
      <c r="V445" s="14" t="n">
        <f aca="false">R445/(T445+0.00001)</f>
        <v>18.0641098670899</v>
      </c>
      <c r="W445" s="14" t="e">
        <f aca="false">S445/(U445+0.0001)</f>
        <v>#N/A</v>
      </c>
      <c r="X445" s="39" t="n">
        <f aca="false">IF(Informed=1,K445,0)</f>
        <v>0</v>
      </c>
      <c r="Y445" s="39" t="n">
        <f aca="false">IF(Informed=0,K445,0)</f>
        <v>0</v>
      </c>
      <c r="Z445" s="39" t="n">
        <f aca="false">IF(Informed=1,N445,0)</f>
        <v>29.1466314185891</v>
      </c>
      <c r="AA445" s="39" t="n">
        <f aca="false">IF(Informed=0,N445,0)</f>
        <v>0</v>
      </c>
      <c r="AB445" s="43" t="n">
        <f aca="false">IF(Arterial=0,IF(Informed=1,1,0),0)</f>
        <v>0</v>
      </c>
      <c r="AC445" s="43" t="n">
        <f aca="false">IF(Arterial=0,IF(Informed=0,1,0),0)</f>
        <v>0</v>
      </c>
      <c r="AD445" s="43" t="n">
        <f aca="false">IF(Arterial=1,IF(Informed=1,1,0),0)</f>
        <v>1</v>
      </c>
      <c r="AE445" s="43" t="n">
        <f aca="false">IF(Arterial=1,IF(Informed=0,1,0),0)</f>
        <v>0</v>
      </c>
      <c r="AF445" s="35" t="n">
        <f aca="false">IF(AB445=1,(X445-G$1030)^2,0)</f>
        <v>0</v>
      </c>
      <c r="AG445" s="35" t="n">
        <f aca="false">IF(AC445=1,(Y445-H$1030)^2,0)</f>
        <v>0</v>
      </c>
      <c r="AH445" s="35" t="n">
        <f aca="false">IF(AD445=1,(Z445-I$1030)^2,0)</f>
        <v>0.595670030906369</v>
      </c>
      <c r="AI445" s="35" t="n">
        <f aca="false">IF(AE445=1,(AA445-J$1030)^2,0)</f>
        <v>0</v>
      </c>
      <c r="AJ445" s="37" t="n">
        <f aca="true">IF(RAND()&lt;$D$6,1,0)</f>
        <v>0</v>
      </c>
      <c r="AK445" s="14" t="n">
        <f aca="false">AK444+IF((AJ445=1),IF((H445=0),1,0),0)</f>
        <v>0</v>
      </c>
      <c r="AL445" s="14" t="n">
        <f aca="false">AL444+IF((AJ445=1),IF((H445=1),1,0),0)</f>
        <v>0</v>
      </c>
      <c r="AM445" s="37" t="n">
        <f aca="false">IF(AK445=0,9999,IF($H445=0,IF($AJ445&lt;1,AM444+1,0),AM444))</f>
        <v>9999</v>
      </c>
      <c r="AN445" s="37" t="n">
        <f aca="false">IF(AL445=0,9999,IF($H445=1,IF($AJ445&lt;1,AN444+1,0),AN444))</f>
        <v>9999</v>
      </c>
      <c r="AO445" s="37" t="n">
        <f aca="false">IF($A445-AM445&gt;0,1/(1+AM445),0)</f>
        <v>0</v>
      </c>
      <c r="AP445" s="37" t="n">
        <f aca="false">IF($A445-AN445&gt;0,1/(1+AN445),0)</f>
        <v>0</v>
      </c>
      <c r="AQ445" s="7" t="n">
        <f aca="false">IF(AK445=0,0,MAX(MIN(1,AO445^Power),0))</f>
        <v>0</v>
      </c>
      <c r="AR445" s="7" t="n">
        <f aca="false">IF(AL445=0,0,MAX(MIN(1,AP445^Power),0))</f>
        <v>0</v>
      </c>
      <c r="AS445" s="7" t="n">
        <f aca="false">IF($AJ445=1,IF($H445=0,K445,AS444),AS444)</f>
        <v>0</v>
      </c>
      <c r="AT445" s="7" t="n">
        <f aca="false">IF($AJ445=1,IF($H445=1,N445,AT444),AT444)</f>
        <v>0</v>
      </c>
    </row>
    <row r="446" customFormat="false" ht="13" hidden="false" customHeight="false" outlineLevel="0" collapsed="false">
      <c r="A446" s="16" t="n">
        <v>429</v>
      </c>
      <c r="B446" s="37" t="n">
        <f aca="true">IF(RAND()&lt;$D$8,1,0)</f>
        <v>1</v>
      </c>
      <c r="C446" s="20" t="n">
        <f aca="true">-LN(RAND())/$D$2</f>
        <v>0.44369994254038</v>
      </c>
      <c r="D446" s="38" t="n">
        <f aca="false">D445+C446</f>
        <v>462.425958741199</v>
      </c>
      <c r="E446" s="39" t="n">
        <f aca="false">MAX($E$3,AS445)</f>
        <v>0</v>
      </c>
      <c r="F446" s="39" t="n">
        <f aca="false">MAX($E$3,AT445)</f>
        <v>0</v>
      </c>
      <c r="G446" s="40" t="n">
        <v>0.5</v>
      </c>
      <c r="H446" s="38" t="n">
        <f aca="true">IF((B446=1),(IF((F446&lt;E446),1,(IF((F446=E446),(IF(RAND()&lt;G446,1,0)),0)))),(IF((RAND()&lt;G446),1,0)))</f>
        <v>1</v>
      </c>
      <c r="I446" s="38" t="n">
        <f aca="true">IF((H446=1),0,$D$3+$D$5*(RAND()-0.5))</f>
        <v>0</v>
      </c>
      <c r="J446" s="38" t="n">
        <f aca="false">I446+MAX(D446,J445)</f>
        <v>463.678987456572</v>
      </c>
      <c r="K446" s="38" t="n">
        <f aca="false">IF((H446=0),J446-D446,0)</f>
        <v>0</v>
      </c>
      <c r="L446" s="38" t="n">
        <f aca="true">IF(($H446=0),0,$D$4+$D$5*(RAND()-0.5))</f>
        <v>2.15136218064235</v>
      </c>
      <c r="M446" s="38" t="n">
        <f aca="false">L446+MAX(D446,M445)</f>
        <v>493.28025239789</v>
      </c>
      <c r="N446" s="38" t="n">
        <f aca="false">IF((H446=1),M446-D446,0)</f>
        <v>30.8542936566911</v>
      </c>
      <c r="O446" s="16" t="n">
        <v>429</v>
      </c>
      <c r="P446" s="41" t="n">
        <f aca="false">IF((Arterial=0),P445+1,P445)</f>
        <v>197</v>
      </c>
      <c r="Q446" s="41" t="n">
        <f aca="false">IF((Arterial=1),Q445+1,Q445)</f>
        <v>232</v>
      </c>
      <c r="R446" s="42" t="n">
        <f aca="false">IF((RESET=1),0,R446+K446)</f>
        <v>758.471617158687</v>
      </c>
      <c r="S446" s="14" t="e">
        <f aca="false">IF(RESET=1,0,S446+N446)</f>
        <v>#N/A</v>
      </c>
      <c r="T446" s="2" t="n">
        <f aca="false">IF(RESET=1,0,T446+IF(H446=0,1,0))</f>
        <v>42</v>
      </c>
      <c r="U446" s="2" t="e">
        <f aca="false">IF(RESET=1,0,U446+H446)</f>
        <v>#N/A</v>
      </c>
      <c r="V446" s="14" t="n">
        <f aca="false">R446/(T446+0.00001)</f>
        <v>18.0588437278631</v>
      </c>
      <c r="W446" s="14" t="e">
        <f aca="false">S446/(U446+0.0001)</f>
        <v>#N/A</v>
      </c>
      <c r="X446" s="39" t="n">
        <f aca="false">IF(Informed=1,K446,0)</f>
        <v>0</v>
      </c>
      <c r="Y446" s="39" t="n">
        <f aca="false">IF(Informed=0,K446,0)</f>
        <v>0</v>
      </c>
      <c r="Z446" s="39" t="n">
        <f aca="false">IF(Informed=1,N446,0)</f>
        <v>30.8542936566911</v>
      </c>
      <c r="AA446" s="39" t="n">
        <f aca="false">IF(Informed=0,N446,0)</f>
        <v>0</v>
      </c>
      <c r="AB446" s="43" t="n">
        <f aca="false">IF(Arterial=0,IF(Informed=1,1,0),0)</f>
        <v>0</v>
      </c>
      <c r="AC446" s="43" t="n">
        <f aca="false">IF(Arterial=0,IF(Informed=0,1,0),0)</f>
        <v>0</v>
      </c>
      <c r="AD446" s="43" t="n">
        <f aca="false">IF(Arterial=1,IF(Informed=1,1,0),0)</f>
        <v>1</v>
      </c>
      <c r="AE446" s="43" t="n">
        <f aca="false">IF(Arterial=1,IF(Informed=0,1,0),0)</f>
        <v>0</v>
      </c>
      <c r="AF446" s="35" t="n">
        <f aca="false">IF(AB446=1,(X446-G$1030)^2,0)</f>
        <v>0</v>
      </c>
      <c r="AG446" s="35" t="n">
        <f aca="false">IF(AC446=1,(Y446-H$1030)^2,0)</f>
        <v>0</v>
      </c>
      <c r="AH446" s="35" t="n">
        <f aca="false">IF(AD446=1,(Z446-I$1030)^2,0)</f>
        <v>6.14771625556579</v>
      </c>
      <c r="AI446" s="35" t="n">
        <f aca="false">IF(AE446=1,(AA446-J$1030)^2,0)</f>
        <v>0</v>
      </c>
      <c r="AJ446" s="37" t="n">
        <f aca="true">IF(RAND()&lt;$D$6,1,0)</f>
        <v>0</v>
      </c>
      <c r="AK446" s="14" t="n">
        <f aca="false">AK445+IF((AJ446=1),IF((H446=0),1,0),0)</f>
        <v>0</v>
      </c>
      <c r="AL446" s="14" t="n">
        <f aca="false">AL445+IF((AJ446=1),IF((H446=1),1,0),0)</f>
        <v>0</v>
      </c>
      <c r="AM446" s="37" t="n">
        <f aca="false">IF(AK446=0,9999,IF($H446=0,IF($AJ446&lt;1,AM445+1,0),AM445))</f>
        <v>9999</v>
      </c>
      <c r="AN446" s="37" t="n">
        <f aca="false">IF(AL446=0,9999,IF($H446=1,IF($AJ446&lt;1,AN445+1,0),AN445))</f>
        <v>9999</v>
      </c>
      <c r="AO446" s="37" t="n">
        <f aca="false">IF($A446-AM446&gt;0,1/(1+AM446),0)</f>
        <v>0</v>
      </c>
      <c r="AP446" s="37" t="n">
        <f aca="false">IF($A446-AN446&gt;0,1/(1+AN446),0)</f>
        <v>0</v>
      </c>
      <c r="AQ446" s="7" t="n">
        <f aca="false">IF(AK446=0,0,MAX(MIN(1,AO446^Power),0))</f>
        <v>0</v>
      </c>
      <c r="AR446" s="7" t="n">
        <f aca="false">IF(AL446=0,0,MAX(MIN(1,AP446^Power),0))</f>
        <v>0</v>
      </c>
      <c r="AS446" s="7" t="n">
        <f aca="false">IF($AJ446=1,IF($H446=0,K446,AS445),AS445)</f>
        <v>0</v>
      </c>
      <c r="AT446" s="7" t="n">
        <f aca="false">IF($AJ446=1,IF($H446=1,N446,AT445),AT445)</f>
        <v>0</v>
      </c>
    </row>
    <row r="447" customFormat="false" ht="13" hidden="false" customHeight="false" outlineLevel="0" collapsed="false">
      <c r="A447" s="16" t="n">
        <v>430</v>
      </c>
      <c r="B447" s="37" t="n">
        <f aca="true">IF(RAND()&lt;$D$8,1,0)</f>
        <v>1</v>
      </c>
      <c r="C447" s="20" t="n">
        <f aca="true">-LN(RAND())/$D$2</f>
        <v>0.294066756005005</v>
      </c>
      <c r="D447" s="38" t="n">
        <f aca="false">D446+C447</f>
        <v>462.720025497204</v>
      </c>
      <c r="E447" s="39" t="n">
        <f aca="false">MAX($E$3,AS446)</f>
        <v>0</v>
      </c>
      <c r="F447" s="39" t="n">
        <f aca="false">MAX($E$3,AT446)</f>
        <v>0</v>
      </c>
      <c r="G447" s="40" t="n">
        <v>0.5</v>
      </c>
      <c r="H447" s="38" t="n">
        <f aca="true">IF((B447=1),(IF((F447&lt;E447),1,(IF((F447=E447),(IF(RAND()&lt;G447,1,0)),0)))),(IF((RAND()&lt;G447),1,0)))</f>
        <v>1</v>
      </c>
      <c r="I447" s="38" t="n">
        <f aca="true">IF((H447=1),0,$D$3+$D$5*(RAND()-0.5))</f>
        <v>0</v>
      </c>
      <c r="J447" s="38" t="n">
        <f aca="false">I447+MAX(D447,J446)</f>
        <v>463.678987456572</v>
      </c>
      <c r="K447" s="38" t="n">
        <f aca="false">IF((H447=0),J447-D447,0)</f>
        <v>0</v>
      </c>
      <c r="L447" s="38" t="n">
        <f aca="true">IF(($H447=0),0,$D$4+$D$5*(RAND()-0.5))</f>
        <v>1.89615269835728</v>
      </c>
      <c r="M447" s="38" t="n">
        <f aca="false">L447+MAX(D447,M446)</f>
        <v>495.176405096248</v>
      </c>
      <c r="N447" s="38" t="n">
        <f aca="false">IF((H447=1),M447-D447,0)</f>
        <v>32.4563795990434</v>
      </c>
      <c r="O447" s="16" t="n">
        <v>430</v>
      </c>
      <c r="P447" s="41" t="n">
        <f aca="false">IF((Arterial=0),P446+1,P446)</f>
        <v>197</v>
      </c>
      <c r="Q447" s="41" t="n">
        <f aca="false">IF((Arterial=1),Q446+1,Q446)</f>
        <v>233</v>
      </c>
      <c r="R447" s="42" t="n">
        <f aca="false">IF((RESET=1),0,R447+K447)</f>
        <v>839.101987406009</v>
      </c>
      <c r="S447" s="14" t="e">
        <f aca="false">IF(RESET=1,0,S447+N447)</f>
        <v>#N/A</v>
      </c>
      <c r="T447" s="2" t="n">
        <f aca="false">IF(RESET=1,0,T447+IF(H447=0,1,0))</f>
        <v>47</v>
      </c>
      <c r="U447" s="2" t="e">
        <f aca="false">IF(RESET=1,0,U447+H447)</f>
        <v>#N/A</v>
      </c>
      <c r="V447" s="14" t="n">
        <f aca="false">R447/(T447+0.00001)</f>
        <v>17.8532299760364</v>
      </c>
      <c r="W447" s="14" t="e">
        <f aca="false">S447/(U447+0.0001)</f>
        <v>#N/A</v>
      </c>
      <c r="X447" s="39" t="n">
        <f aca="false">IF(Informed=1,K447,0)</f>
        <v>0</v>
      </c>
      <c r="Y447" s="39" t="n">
        <f aca="false">IF(Informed=0,K447,0)</f>
        <v>0</v>
      </c>
      <c r="Z447" s="39" t="n">
        <f aca="false">IF(Informed=1,N447,0)</f>
        <v>32.4563795990434</v>
      </c>
      <c r="AA447" s="39" t="n">
        <f aca="false">IF(Informed=0,N447,0)</f>
        <v>0</v>
      </c>
      <c r="AB447" s="43" t="n">
        <f aca="false">IF(Arterial=0,IF(Informed=1,1,0),0)</f>
        <v>0</v>
      </c>
      <c r="AC447" s="43" t="n">
        <f aca="false">IF(Arterial=0,IF(Informed=0,1,0),0)</f>
        <v>0</v>
      </c>
      <c r="AD447" s="43" t="n">
        <f aca="false">IF(Arterial=1,IF(Informed=1,1,0),0)</f>
        <v>1</v>
      </c>
      <c r="AE447" s="43" t="n">
        <f aca="false">IF(Arterial=1,IF(Informed=0,1,0),0)</f>
        <v>0</v>
      </c>
      <c r="AF447" s="35" t="n">
        <f aca="false">IF(AB447=1,(X447-G$1030)^2,0)</f>
        <v>0</v>
      </c>
      <c r="AG447" s="35" t="n">
        <f aca="false">IF(AC447=1,(Y447-H$1030)^2,0)</f>
        <v>0</v>
      </c>
      <c r="AH447" s="35" t="n">
        <f aca="false">IF(AD447=1,(Z447-I$1030)^2,0)</f>
        <v>16.6590080018128</v>
      </c>
      <c r="AI447" s="35" t="n">
        <f aca="false">IF(AE447=1,(AA447-J$1030)^2,0)</f>
        <v>0</v>
      </c>
      <c r="AJ447" s="37" t="n">
        <f aca="true">IF(RAND()&lt;$D$6,1,0)</f>
        <v>0</v>
      </c>
      <c r="AK447" s="14" t="n">
        <f aca="false">AK446+IF((AJ447=1),IF((H447=0),1,0),0)</f>
        <v>0</v>
      </c>
      <c r="AL447" s="14" t="n">
        <f aca="false">AL446+IF((AJ447=1),IF((H447=1),1,0),0)</f>
        <v>0</v>
      </c>
      <c r="AM447" s="37" t="n">
        <f aca="false">IF(AK447=0,9999,IF($H447=0,IF($AJ447&lt;1,AM446+1,0),AM446))</f>
        <v>9999</v>
      </c>
      <c r="AN447" s="37" t="n">
        <f aca="false">IF(AL447=0,9999,IF($H447=1,IF($AJ447&lt;1,AN446+1,0),AN446))</f>
        <v>9999</v>
      </c>
      <c r="AO447" s="37" t="n">
        <f aca="false">IF($A447-AM447&gt;0,1/(1+AM447),0)</f>
        <v>0</v>
      </c>
      <c r="AP447" s="37" t="n">
        <f aca="false">IF($A447-AN447&gt;0,1/(1+AN447),0)</f>
        <v>0</v>
      </c>
      <c r="AQ447" s="7" t="n">
        <f aca="false">IF(AK447=0,0,MAX(MIN(1,AO447^Power),0))</f>
        <v>0</v>
      </c>
      <c r="AR447" s="7" t="n">
        <f aca="false">IF(AL447=0,0,MAX(MIN(1,AP447^Power),0))</f>
        <v>0</v>
      </c>
      <c r="AS447" s="7" t="n">
        <f aca="false">IF($AJ447=1,IF($H447=0,K447,AS446),AS446)</f>
        <v>0</v>
      </c>
      <c r="AT447" s="7" t="n">
        <f aca="false">IF($AJ447=1,IF($H447=1,N447,AT446),AT446)</f>
        <v>0</v>
      </c>
    </row>
    <row r="448" customFormat="false" ht="13" hidden="false" customHeight="false" outlineLevel="0" collapsed="false">
      <c r="A448" s="16" t="n">
        <v>431</v>
      </c>
      <c r="B448" s="37" t="n">
        <f aca="true">IF(RAND()&lt;$D$8,1,0)</f>
        <v>1</v>
      </c>
      <c r="C448" s="20" t="n">
        <f aca="true">-LN(RAND())/$D$2</f>
        <v>0.661144949409441</v>
      </c>
      <c r="D448" s="38" t="n">
        <f aca="false">D447+C448</f>
        <v>463.381170446614</v>
      </c>
      <c r="E448" s="39" t="n">
        <f aca="false">MAX($E$3,AS447)</f>
        <v>0</v>
      </c>
      <c r="F448" s="39" t="n">
        <f aca="false">MAX($E$3,AT447)</f>
        <v>0</v>
      </c>
      <c r="G448" s="40" t="n">
        <v>0.5</v>
      </c>
      <c r="H448" s="38" t="n">
        <f aca="true">IF((B448=1),(IF((F448&lt;E448),1,(IF((F448=E448),(IF(RAND()&lt;G448,1,0)),0)))),(IF((RAND()&lt;G448),1,0)))</f>
        <v>1</v>
      </c>
      <c r="I448" s="38" t="n">
        <f aca="true">IF((H448=1),0,$D$3+$D$5*(RAND()-0.5))</f>
        <v>0</v>
      </c>
      <c r="J448" s="38" t="n">
        <f aca="false">I448+MAX(D448,J447)</f>
        <v>463.678987456572</v>
      </c>
      <c r="K448" s="38" t="n">
        <f aca="false">IF((H448=0),J448-D448,0)</f>
        <v>0</v>
      </c>
      <c r="L448" s="38" t="n">
        <f aca="true">IF(($H448=0),0,$D$4+$D$5*(RAND()-0.5))</f>
        <v>2.23569350118457</v>
      </c>
      <c r="M448" s="38" t="n">
        <f aca="false">L448+MAX(D448,M447)</f>
        <v>497.412098597432</v>
      </c>
      <c r="N448" s="38" t="n">
        <f aca="false">IF((H448=1),M448-D448,0)</f>
        <v>34.0309281508185</v>
      </c>
      <c r="O448" s="16" t="n">
        <v>431</v>
      </c>
      <c r="P448" s="41" t="n">
        <f aca="false">IF((Arterial=0),P447+1,P447)</f>
        <v>197</v>
      </c>
      <c r="Q448" s="41" t="n">
        <f aca="false">IF((Arterial=1),Q447+1,Q447)</f>
        <v>234</v>
      </c>
      <c r="R448" s="42" t="n">
        <f aca="false">IF((RESET=1),0,R448+K448)</f>
        <v>614.534733449294</v>
      </c>
      <c r="S448" s="14" t="e">
        <f aca="false">IF(RESET=1,0,S448+N448)</f>
        <v>#N/A</v>
      </c>
      <c r="T448" s="2" t="n">
        <f aca="false">IF(RESET=1,0,T448+IF(H448=0,1,0))</f>
        <v>38</v>
      </c>
      <c r="U448" s="2" t="e">
        <f aca="false">IF(RESET=1,0,U448+H448)</f>
        <v>#N/A</v>
      </c>
      <c r="V448" s="14" t="n">
        <f aca="false">R448/(T448+0.00001)</f>
        <v>16.1719624139387</v>
      </c>
      <c r="W448" s="14" t="e">
        <f aca="false">S448/(U448+0.0001)</f>
        <v>#N/A</v>
      </c>
      <c r="X448" s="39" t="n">
        <f aca="false">IF(Informed=1,K448,0)</f>
        <v>0</v>
      </c>
      <c r="Y448" s="39" t="n">
        <f aca="false">IF(Informed=0,K448,0)</f>
        <v>0</v>
      </c>
      <c r="Z448" s="39" t="n">
        <f aca="false">IF(Informed=1,N448,0)</f>
        <v>34.0309281508185</v>
      </c>
      <c r="AA448" s="39" t="n">
        <f aca="false">IF(Informed=0,N448,0)</f>
        <v>0</v>
      </c>
      <c r="AB448" s="43" t="n">
        <f aca="false">IF(Arterial=0,IF(Informed=1,1,0),0)</f>
        <v>0</v>
      </c>
      <c r="AC448" s="43" t="n">
        <f aca="false">IF(Arterial=0,IF(Informed=0,1,0),0)</f>
        <v>0</v>
      </c>
      <c r="AD448" s="43" t="n">
        <f aca="false">IF(Arterial=1,IF(Informed=1,1,0),0)</f>
        <v>1</v>
      </c>
      <c r="AE448" s="43" t="n">
        <f aca="false">IF(Arterial=1,IF(Informed=0,1,0),0)</f>
        <v>0</v>
      </c>
      <c r="AF448" s="35" t="n">
        <f aca="false">IF(AB448=1,(X448-G$1030)^2,0)</f>
        <v>0</v>
      </c>
      <c r="AG448" s="35" t="n">
        <f aca="false">IF(AC448=1,(Y448-H$1030)^2,0)</f>
        <v>0</v>
      </c>
      <c r="AH448" s="35" t="n">
        <f aca="false">IF(AD448=1,(Z448-I$1030)^2,0)</f>
        <v>31.9913920696886</v>
      </c>
      <c r="AI448" s="35" t="n">
        <f aca="false">IF(AE448=1,(AA448-J$1030)^2,0)</f>
        <v>0</v>
      </c>
      <c r="AJ448" s="37" t="n">
        <f aca="true">IF(RAND()&lt;$D$6,1,0)</f>
        <v>0</v>
      </c>
      <c r="AK448" s="14" t="n">
        <f aca="false">AK447+IF((AJ448=1),IF((H448=0),1,0),0)</f>
        <v>0</v>
      </c>
      <c r="AL448" s="14" t="n">
        <f aca="false">AL447+IF((AJ448=1),IF((H448=1),1,0),0)</f>
        <v>0</v>
      </c>
      <c r="AM448" s="37" t="n">
        <f aca="false">IF(AK448=0,9999,IF($H448=0,IF($AJ448&lt;1,AM447+1,0),AM447))</f>
        <v>9999</v>
      </c>
      <c r="AN448" s="37" t="n">
        <f aca="false">IF(AL448=0,9999,IF($H448=1,IF($AJ448&lt;1,AN447+1,0),AN447))</f>
        <v>9999</v>
      </c>
      <c r="AO448" s="37" t="n">
        <f aca="false">IF($A448-AM448&gt;0,1/(1+AM448),0)</f>
        <v>0</v>
      </c>
      <c r="AP448" s="37" t="n">
        <f aca="false">IF($A448-AN448&gt;0,1/(1+AN448),0)</f>
        <v>0</v>
      </c>
      <c r="AQ448" s="7" t="n">
        <f aca="false">IF(AK448=0,0,MAX(MIN(1,AO448^Power),0))</f>
        <v>0</v>
      </c>
      <c r="AR448" s="7" t="n">
        <f aca="false">IF(AL448=0,0,MAX(MIN(1,AP448^Power),0))</f>
        <v>0</v>
      </c>
      <c r="AS448" s="7" t="n">
        <f aca="false">IF($AJ448=1,IF($H448=0,K448,AS447),AS447)</f>
        <v>0</v>
      </c>
      <c r="AT448" s="7" t="n">
        <f aca="false">IF($AJ448=1,IF($H448=1,N448,AT447),AT447)</f>
        <v>0</v>
      </c>
    </row>
    <row r="449" customFormat="false" ht="13" hidden="false" customHeight="false" outlineLevel="0" collapsed="false">
      <c r="A449" s="16" t="n">
        <v>432</v>
      </c>
      <c r="B449" s="37" t="n">
        <f aca="true">IF(RAND()&lt;$D$8,1,0)</f>
        <v>1</v>
      </c>
      <c r="C449" s="20" t="n">
        <f aca="true">-LN(RAND())/$D$2</f>
        <v>0.529118118544168</v>
      </c>
      <c r="D449" s="38" t="n">
        <f aca="false">D448+C449</f>
        <v>463.910288565158</v>
      </c>
      <c r="E449" s="39" t="n">
        <f aca="false">MAX($E$3,AS448)</f>
        <v>0</v>
      </c>
      <c r="F449" s="39" t="n">
        <f aca="false">MAX($E$3,AT448)</f>
        <v>0</v>
      </c>
      <c r="G449" s="40" t="n">
        <v>0.5</v>
      </c>
      <c r="H449" s="38" t="n">
        <f aca="true">IF((B449=1),(IF((F449&lt;E449),1,(IF((F449=E449),(IF(RAND()&lt;G449,1,0)),0)))),(IF((RAND()&lt;G449),1,0)))</f>
        <v>1</v>
      </c>
      <c r="I449" s="38" t="n">
        <f aca="true">IF((H449=1),0,$D$3+$D$5*(RAND()-0.5))</f>
        <v>0</v>
      </c>
      <c r="J449" s="38" t="n">
        <f aca="false">I449+MAX(D449,J448)</f>
        <v>463.910288565158</v>
      </c>
      <c r="K449" s="38" t="n">
        <f aca="false">IF((H449=0),J449-D449,0)</f>
        <v>0</v>
      </c>
      <c r="L449" s="38" t="n">
        <f aca="true">IF(($H449=0),0,$D$4+$D$5*(RAND()-0.5))</f>
        <v>2.01799945484846</v>
      </c>
      <c r="M449" s="38" t="n">
        <f aca="false">L449+MAX(D449,M448)</f>
        <v>499.430098052281</v>
      </c>
      <c r="N449" s="38" t="n">
        <f aca="false">IF((H449=1),M449-D449,0)</f>
        <v>35.5198094871228</v>
      </c>
      <c r="O449" s="16" t="n">
        <v>432</v>
      </c>
      <c r="P449" s="41" t="n">
        <f aca="false">IF((Arterial=0),P448+1,P448)</f>
        <v>197</v>
      </c>
      <c r="Q449" s="41" t="n">
        <f aca="false">IF((Arterial=1),Q448+1,Q448)</f>
        <v>235</v>
      </c>
      <c r="R449" s="42" t="n">
        <f aca="false">IF((RESET=1),0,R449+K449)</f>
        <v>796.917779012832</v>
      </c>
      <c r="S449" s="14" t="e">
        <f aca="false">IF(RESET=1,0,S449+N449)</f>
        <v>#N/A</v>
      </c>
      <c r="T449" s="2" t="n">
        <f aca="false">IF(RESET=1,0,T449+IF(H449=0,1,0))</f>
        <v>40</v>
      </c>
      <c r="U449" s="2" t="e">
        <f aca="false">IF(RESET=1,0,U449+H449)</f>
        <v>#N/A</v>
      </c>
      <c r="V449" s="14" t="n">
        <f aca="false">R449/(T449+0.00001)</f>
        <v>19.9229394945859</v>
      </c>
      <c r="W449" s="14" t="e">
        <f aca="false">S449/(U449+0.0001)</f>
        <v>#N/A</v>
      </c>
      <c r="X449" s="39" t="n">
        <f aca="false">IF(Informed=1,K449,0)</f>
        <v>0</v>
      </c>
      <c r="Y449" s="39" t="n">
        <f aca="false">IF(Informed=0,K449,0)</f>
        <v>0</v>
      </c>
      <c r="Z449" s="39" t="n">
        <f aca="false">IF(Informed=1,N449,0)</f>
        <v>35.5198094871228</v>
      </c>
      <c r="AA449" s="39" t="n">
        <f aca="false">IF(Informed=0,N449,0)</f>
        <v>0</v>
      </c>
      <c r="AB449" s="43" t="n">
        <f aca="false">IF(Arterial=0,IF(Informed=1,1,0),0)</f>
        <v>0</v>
      </c>
      <c r="AC449" s="43" t="n">
        <f aca="false">IF(Arterial=0,IF(Informed=0,1,0),0)</f>
        <v>0</v>
      </c>
      <c r="AD449" s="43" t="n">
        <f aca="false">IF(Arterial=1,IF(Informed=1,1,0),0)</f>
        <v>1</v>
      </c>
      <c r="AE449" s="43" t="n">
        <f aca="false">IF(Arterial=1,IF(Informed=0,1,0),0)</f>
        <v>0</v>
      </c>
      <c r="AF449" s="35" t="n">
        <f aca="false">IF(AB449=1,(X449-G$1030)^2,0)</f>
        <v>0</v>
      </c>
      <c r="AG449" s="35" t="n">
        <f aca="false">IF(AC449=1,(Y449-H$1030)^2,0)</f>
        <v>0</v>
      </c>
      <c r="AH449" s="35" t="n">
        <f aca="false">IF(AD449=1,(Z449-I$1030)^2,0)</f>
        <v>51.0506633762824</v>
      </c>
      <c r="AI449" s="35" t="n">
        <f aca="false">IF(AE449=1,(AA449-J$1030)^2,0)</f>
        <v>0</v>
      </c>
      <c r="AJ449" s="37" t="n">
        <f aca="true">IF(RAND()&lt;$D$6,1,0)</f>
        <v>0</v>
      </c>
      <c r="AK449" s="14" t="n">
        <f aca="false">AK448+IF((AJ449=1),IF((H449=0),1,0),0)</f>
        <v>0</v>
      </c>
      <c r="AL449" s="14" t="n">
        <f aca="false">AL448+IF((AJ449=1),IF((H449=1),1,0),0)</f>
        <v>0</v>
      </c>
      <c r="AM449" s="37" t="n">
        <f aca="false">IF(AK449=0,9999,IF($H449=0,IF($AJ449&lt;1,AM448+1,0),AM448))</f>
        <v>9999</v>
      </c>
      <c r="AN449" s="37" t="n">
        <f aca="false">IF(AL449=0,9999,IF($H449=1,IF($AJ449&lt;1,AN448+1,0),AN448))</f>
        <v>9999</v>
      </c>
      <c r="AO449" s="37" t="n">
        <f aca="false">IF($A449-AM449&gt;0,1/(1+AM449),0)</f>
        <v>0</v>
      </c>
      <c r="AP449" s="37" t="n">
        <f aca="false">IF($A449-AN449&gt;0,1/(1+AN449),0)</f>
        <v>0</v>
      </c>
      <c r="AQ449" s="7" t="n">
        <f aca="false">IF(AK449=0,0,MAX(MIN(1,AO449^Power),0))</f>
        <v>0</v>
      </c>
      <c r="AR449" s="7" t="n">
        <f aca="false">IF(AL449=0,0,MAX(MIN(1,AP449^Power),0))</f>
        <v>0</v>
      </c>
      <c r="AS449" s="7" t="n">
        <f aca="false">IF($AJ449=1,IF($H449=0,K449,AS448),AS448)</f>
        <v>0</v>
      </c>
      <c r="AT449" s="7" t="n">
        <f aca="false">IF($AJ449=1,IF($H449=1,N449,AT448),AT448)</f>
        <v>0</v>
      </c>
    </row>
    <row r="450" customFormat="false" ht="13" hidden="false" customHeight="false" outlineLevel="0" collapsed="false">
      <c r="A450" s="16" t="n">
        <v>433</v>
      </c>
      <c r="B450" s="37" t="n">
        <f aca="true">IF(RAND()&lt;$D$8,1,0)</f>
        <v>0</v>
      </c>
      <c r="C450" s="20" t="n">
        <f aca="true">-LN(RAND())/$D$2</f>
        <v>1.38567544516129</v>
      </c>
      <c r="D450" s="38" t="n">
        <f aca="false">D449+C450</f>
        <v>465.295964010319</v>
      </c>
      <c r="E450" s="39" t="n">
        <f aca="false">MAX($E$3,AS449)</f>
        <v>0</v>
      </c>
      <c r="F450" s="39" t="n">
        <f aca="false">MAX($E$3,AT449)</f>
        <v>0</v>
      </c>
      <c r="G450" s="40" t="n">
        <v>0.5</v>
      </c>
      <c r="H450" s="38" t="n">
        <f aca="true">IF((B450=1),(IF((F450&lt;E450),1,(IF((F450=E450),(IF(RAND()&lt;G450,1,0)),0)))),(IF((RAND()&lt;G450),1,0)))</f>
        <v>0</v>
      </c>
      <c r="I450" s="38" t="n">
        <f aca="true">IF((H450=1),0,$D$3+$D$5*(RAND()-0.5))</f>
        <v>1.88517413257621</v>
      </c>
      <c r="J450" s="38" t="n">
        <f aca="false">I450+MAX(D450,J449)</f>
        <v>467.181138142895</v>
      </c>
      <c r="K450" s="38" t="n">
        <f aca="false">IF((H450=0),J450-D450,0)</f>
        <v>1.8851741325762</v>
      </c>
      <c r="L450" s="38" t="n">
        <f aca="true">IF(($H450=0),0,$D$4+$D$5*(RAND()-0.5))</f>
        <v>0</v>
      </c>
      <c r="M450" s="38" t="n">
        <f aca="false">L450+MAX(D450,M449)</f>
        <v>499.430098052281</v>
      </c>
      <c r="N450" s="38" t="n">
        <f aca="false">IF((H450=1),M450-D450,0)</f>
        <v>0</v>
      </c>
      <c r="O450" s="16" t="n">
        <v>433</v>
      </c>
      <c r="P450" s="41" t="n">
        <f aca="false">IF((Arterial=0),P449+1,P449)</f>
        <v>198</v>
      </c>
      <c r="Q450" s="41" t="n">
        <f aca="false">IF((Arterial=1),Q449+1,Q449)</f>
        <v>235</v>
      </c>
      <c r="R450" s="42" t="e">
        <f aca="false">IF((RESET=1),0,R450+K450)</f>
        <v>#N/A</v>
      </c>
      <c r="S450" s="14" t="n">
        <f aca="false">IF(RESET=1,0,S450+N450)</f>
        <v>421.590246720767</v>
      </c>
      <c r="T450" s="2" t="e">
        <f aca="false">IF(RESET=1,0,T450+IF(H450=0,1,0))</f>
        <v>#N/A</v>
      </c>
      <c r="U450" s="2" t="n">
        <f aca="false">IF(RESET=1,0,U450+H450)</f>
        <v>36</v>
      </c>
      <c r="V450" s="14" t="e">
        <f aca="false">R450/(T450+0.00001)</f>
        <v>#N/A</v>
      </c>
      <c r="W450" s="14" t="n">
        <f aca="false">S450/(U450+0.0001)</f>
        <v>11.7108076566667</v>
      </c>
      <c r="X450" s="39" t="n">
        <f aca="false">IF(Informed=1,K450,0)</f>
        <v>0</v>
      </c>
      <c r="Y450" s="39" t="n">
        <f aca="false">IF(Informed=0,K450,0)</f>
        <v>1.8851741325762</v>
      </c>
      <c r="Z450" s="39" t="n">
        <f aca="false">IF(Informed=1,N450,0)</f>
        <v>0</v>
      </c>
      <c r="AA450" s="39" t="n">
        <f aca="false">IF(Informed=0,N450,0)</f>
        <v>0</v>
      </c>
      <c r="AB450" s="43" t="n">
        <f aca="false">IF(Arterial=0,IF(Informed=1,1,0),0)</f>
        <v>0</v>
      </c>
      <c r="AC450" s="43" t="n">
        <f aca="false">IF(Arterial=0,IF(Informed=0,1,0),0)</f>
        <v>1</v>
      </c>
      <c r="AD450" s="43" t="n">
        <f aca="false">IF(Arterial=1,IF(Informed=1,1,0),0)</f>
        <v>0</v>
      </c>
      <c r="AE450" s="43" t="n">
        <f aca="false">IF(Arterial=1,IF(Informed=0,1,0),0)</f>
        <v>0</v>
      </c>
      <c r="AF450" s="35" t="n">
        <f aca="false">IF(AB450=1,(X450-G$1030)^2,0)</f>
        <v>0</v>
      </c>
      <c r="AG450" s="35" t="n">
        <f aca="false">IF(AC450=1,(Y450-H$1030)^2,0)</f>
        <v>81.6964909450306</v>
      </c>
      <c r="AH450" s="35" t="n">
        <f aca="false">IF(AD450=1,(Z450-I$1030)^2,0)</f>
        <v>0</v>
      </c>
      <c r="AI450" s="35" t="n">
        <f aca="false">IF(AE450=1,(AA450-J$1030)^2,0)</f>
        <v>0</v>
      </c>
      <c r="AJ450" s="37" t="n">
        <f aca="true">IF(RAND()&lt;$D$6,1,0)</f>
        <v>0</v>
      </c>
      <c r="AK450" s="14" t="n">
        <f aca="false">AK449+IF((AJ450=1),IF((H450=0),1,0),0)</f>
        <v>0</v>
      </c>
      <c r="AL450" s="14" t="n">
        <f aca="false">AL449+IF((AJ450=1),IF((H450=1),1,0),0)</f>
        <v>0</v>
      </c>
      <c r="AM450" s="37" t="n">
        <f aca="false">IF(AK450=0,9999,IF($H450=0,IF($AJ450&lt;1,AM449+1,0),AM449))</f>
        <v>9999</v>
      </c>
      <c r="AN450" s="37" t="n">
        <f aca="false">IF(AL450=0,9999,IF($H450=1,IF($AJ450&lt;1,AN449+1,0),AN449))</f>
        <v>9999</v>
      </c>
      <c r="AO450" s="37" t="n">
        <f aca="false">IF($A450-AM450&gt;0,1/(1+AM450),0)</f>
        <v>0</v>
      </c>
      <c r="AP450" s="37" t="n">
        <f aca="false">IF($A450-AN450&gt;0,1/(1+AN450),0)</f>
        <v>0</v>
      </c>
      <c r="AQ450" s="7" t="n">
        <f aca="false">IF(AK450=0,0,MAX(MIN(1,AO450^Power),0))</f>
        <v>0</v>
      </c>
      <c r="AR450" s="7" t="n">
        <f aca="false">IF(AL450=0,0,MAX(MIN(1,AP450^Power),0))</f>
        <v>0</v>
      </c>
      <c r="AS450" s="7" t="n">
        <f aca="false">IF($AJ450=1,IF($H450=0,K450,AS449),AS449)</f>
        <v>0</v>
      </c>
      <c r="AT450" s="7" t="n">
        <f aca="false">IF($AJ450=1,IF($H450=1,N450,AT449),AT449)</f>
        <v>0</v>
      </c>
    </row>
    <row r="451" customFormat="false" ht="13" hidden="false" customHeight="false" outlineLevel="0" collapsed="false">
      <c r="A451" s="16" t="n">
        <v>434</v>
      </c>
      <c r="B451" s="37" t="n">
        <f aca="true">IF(RAND()&lt;$D$8,1,0)</f>
        <v>0</v>
      </c>
      <c r="C451" s="20" t="n">
        <f aca="true">-LN(RAND())/$D$2</f>
        <v>0.608637241169009</v>
      </c>
      <c r="D451" s="38" t="n">
        <f aca="false">D450+C451</f>
        <v>465.904601251488</v>
      </c>
      <c r="E451" s="39" t="n">
        <f aca="false">MAX($E$3,AS450)</f>
        <v>0</v>
      </c>
      <c r="F451" s="39" t="n">
        <f aca="false">MAX($E$3,AT450)</f>
        <v>0</v>
      </c>
      <c r="G451" s="40" t="n">
        <v>0.5</v>
      </c>
      <c r="H451" s="38" t="n">
        <f aca="true">IF((B451=1),(IF((F451&lt;E451),1,(IF((F451=E451),(IF(RAND()&lt;G451,1,0)),0)))),(IF((RAND()&lt;G451),1,0)))</f>
        <v>0</v>
      </c>
      <c r="I451" s="38" t="n">
        <f aca="true">IF((H451=1),0,$D$3+$D$5*(RAND()-0.5))</f>
        <v>2.2206583639618</v>
      </c>
      <c r="J451" s="38" t="n">
        <f aca="false">I451+MAX(D451,J450)</f>
        <v>469.401796506857</v>
      </c>
      <c r="K451" s="38" t="n">
        <f aca="false">IF((H451=0),J451-D451,0)</f>
        <v>3.49719525536904</v>
      </c>
      <c r="L451" s="38" t="n">
        <f aca="true">IF(($H451=0),0,$D$4+$D$5*(RAND()-0.5))</f>
        <v>0</v>
      </c>
      <c r="M451" s="38" t="n">
        <f aca="false">L451+MAX(D451,M450)</f>
        <v>499.430098052281</v>
      </c>
      <c r="N451" s="38" t="n">
        <f aca="false">IF((H451=1),M451-D451,0)</f>
        <v>0</v>
      </c>
      <c r="O451" s="16" t="n">
        <v>434</v>
      </c>
      <c r="P451" s="41" t="n">
        <f aca="false">IF((Arterial=0),P450+1,P450)</f>
        <v>199</v>
      </c>
      <c r="Q451" s="41" t="n">
        <f aca="false">IF((Arterial=1),Q450+1,Q450)</f>
        <v>235</v>
      </c>
      <c r="R451" s="42" t="e">
        <f aca="false">IF((RESET=1),0,R451+K451)</f>
        <v>#N/A</v>
      </c>
      <c r="S451" s="14" t="n">
        <f aca="false">IF(RESET=1,0,S451+N451)</f>
        <v>617.02543957747</v>
      </c>
      <c r="T451" s="2" t="e">
        <f aca="false">IF(RESET=1,0,T451+IF(H451=0,1,0))</f>
        <v>#N/A</v>
      </c>
      <c r="U451" s="2" t="n">
        <f aca="false">IF(RESET=1,0,U451+H451)</f>
        <v>41</v>
      </c>
      <c r="V451" s="14" t="e">
        <f aca="false">R451/(T451+0.00001)</f>
        <v>#N/A</v>
      </c>
      <c r="W451" s="14" t="n">
        <f aca="false">S451/(U451+0.0001)</f>
        <v>15.0493642595377</v>
      </c>
      <c r="X451" s="39" t="n">
        <f aca="false">IF(Informed=1,K451,0)</f>
        <v>0</v>
      </c>
      <c r="Y451" s="39" t="n">
        <f aca="false">IF(Informed=0,K451,0)</f>
        <v>3.49719525536904</v>
      </c>
      <c r="Z451" s="39" t="n">
        <f aca="false">IF(Informed=1,N451,0)</f>
        <v>0</v>
      </c>
      <c r="AA451" s="39" t="n">
        <f aca="false">IF(Informed=0,N451,0)</f>
        <v>0</v>
      </c>
      <c r="AB451" s="43" t="n">
        <f aca="false">IF(Arterial=0,IF(Informed=1,1,0),0)</f>
        <v>0</v>
      </c>
      <c r="AC451" s="43" t="n">
        <f aca="false">IF(Arterial=0,IF(Informed=0,1,0),0)</f>
        <v>1</v>
      </c>
      <c r="AD451" s="43" t="n">
        <f aca="false">IF(Arterial=1,IF(Informed=1,1,0),0)</f>
        <v>0</v>
      </c>
      <c r="AE451" s="43" t="n">
        <f aca="false">IF(Arterial=1,IF(Informed=0,1,0),0)</f>
        <v>0</v>
      </c>
      <c r="AF451" s="35" t="n">
        <f aca="false">IF(AB451=1,(X451-G$1030)^2,0)</f>
        <v>0</v>
      </c>
      <c r="AG451" s="35" t="n">
        <f aca="false">IF(AC451=1,(Y451-H$1030)^2,0)</f>
        <v>55.1542389590453</v>
      </c>
      <c r="AH451" s="35" t="n">
        <f aca="false">IF(AD451=1,(Z451-I$1030)^2,0)</f>
        <v>0</v>
      </c>
      <c r="AI451" s="35" t="n">
        <f aca="false">IF(AE451=1,(AA451-J$1030)^2,0)</f>
        <v>0</v>
      </c>
      <c r="AJ451" s="37" t="n">
        <f aca="true">IF(RAND()&lt;$D$6,1,0)</f>
        <v>0</v>
      </c>
      <c r="AK451" s="14" t="n">
        <f aca="false">AK450+IF((AJ451=1),IF((H451=0),1,0),0)</f>
        <v>0</v>
      </c>
      <c r="AL451" s="14" t="n">
        <f aca="false">AL450+IF((AJ451=1),IF((H451=1),1,0),0)</f>
        <v>0</v>
      </c>
      <c r="AM451" s="37" t="n">
        <f aca="false">IF(AK451=0,9999,IF($H451=0,IF($AJ451&lt;1,AM450+1,0),AM450))</f>
        <v>9999</v>
      </c>
      <c r="AN451" s="37" t="n">
        <f aca="false">IF(AL451=0,9999,IF($H451=1,IF($AJ451&lt;1,AN450+1,0),AN450))</f>
        <v>9999</v>
      </c>
      <c r="AO451" s="37" t="n">
        <f aca="false">IF($A451-AM451&gt;0,1/(1+AM451),0)</f>
        <v>0</v>
      </c>
      <c r="AP451" s="37" t="n">
        <f aca="false">IF($A451-AN451&gt;0,1/(1+AN451),0)</f>
        <v>0</v>
      </c>
      <c r="AQ451" s="7" t="n">
        <f aca="false">IF(AK451=0,0,MAX(MIN(1,AO451^Power),0))</f>
        <v>0</v>
      </c>
      <c r="AR451" s="7" t="n">
        <f aca="false">IF(AL451=0,0,MAX(MIN(1,AP451^Power),0))</f>
        <v>0</v>
      </c>
      <c r="AS451" s="7" t="n">
        <f aca="false">IF($AJ451=1,IF($H451=0,K451,AS450),AS450)</f>
        <v>0</v>
      </c>
      <c r="AT451" s="7" t="n">
        <f aca="false">IF($AJ451=1,IF($H451=1,N451,AT450),AT450)</f>
        <v>0</v>
      </c>
    </row>
    <row r="452" customFormat="false" ht="13" hidden="false" customHeight="false" outlineLevel="0" collapsed="false">
      <c r="A452" s="16" t="n">
        <v>435</v>
      </c>
      <c r="B452" s="37" t="n">
        <f aca="true">IF(RAND()&lt;$D$8,1,0)</f>
        <v>1</v>
      </c>
      <c r="C452" s="20" t="n">
        <f aca="true">-LN(RAND())/$D$2</f>
        <v>1.13413675654056</v>
      </c>
      <c r="D452" s="38" t="n">
        <f aca="false">D451+C452</f>
        <v>467.038738008029</v>
      </c>
      <c r="E452" s="39" t="n">
        <f aca="false">MAX($E$3,AS451)</f>
        <v>0</v>
      </c>
      <c r="F452" s="39" t="n">
        <f aca="false">MAX($E$3,AT451)</f>
        <v>0</v>
      </c>
      <c r="G452" s="40" t="n">
        <v>0.5</v>
      </c>
      <c r="H452" s="38" t="n">
        <f aca="true">IF((B452=1),(IF((F452&lt;E452),1,(IF((F452=E452),(IF(RAND()&lt;G452,1,0)),0)))),(IF((RAND()&lt;G452),1,0)))</f>
        <v>1</v>
      </c>
      <c r="I452" s="38" t="n">
        <f aca="true">IF((H452=1),0,$D$3+$D$5*(RAND()-0.5))</f>
        <v>0</v>
      </c>
      <c r="J452" s="38" t="n">
        <f aca="false">I452+MAX(D452,J451)</f>
        <v>469.401796506857</v>
      </c>
      <c r="K452" s="38" t="n">
        <f aca="false">IF((H452=0),J452-D452,0)</f>
        <v>0</v>
      </c>
      <c r="L452" s="38" t="n">
        <f aca="true">IF(($H452=0),0,$D$4+$D$5*(RAND()-0.5))</f>
        <v>2.08944129540207</v>
      </c>
      <c r="M452" s="38" t="n">
        <f aca="false">L452+MAX(D452,M451)</f>
        <v>501.519539347683</v>
      </c>
      <c r="N452" s="38" t="n">
        <f aca="false">IF((H452=1),M452-D452,0)</f>
        <v>34.4808013396541</v>
      </c>
      <c r="O452" s="16" t="n">
        <v>435</v>
      </c>
      <c r="P452" s="41" t="n">
        <f aca="false">IF((Arterial=0),P451+1,P451)</f>
        <v>199</v>
      </c>
      <c r="Q452" s="41" t="n">
        <f aca="false">IF((Arterial=1),Q451+1,Q451)</f>
        <v>236</v>
      </c>
      <c r="R452" s="42" t="n">
        <f aca="false">IF((RESET=1),0,R452+K452)</f>
        <v>782.423993846131</v>
      </c>
      <c r="S452" s="14" t="e">
        <f aca="false">IF(RESET=1,0,S452+N452)</f>
        <v>#N/A</v>
      </c>
      <c r="T452" s="2" t="n">
        <f aca="false">IF(RESET=1,0,T452+IF(H452=0,1,0))</f>
        <v>46</v>
      </c>
      <c r="U452" s="2" t="e">
        <f aca="false">IF(RESET=1,0,U452+H452)</f>
        <v>#N/A</v>
      </c>
      <c r="V452" s="14" t="n">
        <f aca="false">R452/(T452+0.00001)</f>
        <v>17.0092135598695</v>
      </c>
      <c r="W452" s="14" t="e">
        <f aca="false">S452/(U452+0.0001)</f>
        <v>#N/A</v>
      </c>
      <c r="X452" s="39" t="n">
        <f aca="false">IF(Informed=1,K452,0)</f>
        <v>0</v>
      </c>
      <c r="Y452" s="39" t="n">
        <f aca="false">IF(Informed=0,K452,0)</f>
        <v>0</v>
      </c>
      <c r="Z452" s="39" t="n">
        <f aca="false">IF(Informed=1,N452,0)</f>
        <v>34.4808013396541</v>
      </c>
      <c r="AA452" s="39" t="n">
        <f aca="false">IF(Informed=0,N452,0)</f>
        <v>0</v>
      </c>
      <c r="AB452" s="43" t="n">
        <f aca="false">IF(Arterial=0,IF(Informed=1,1,0),0)</f>
        <v>0</v>
      </c>
      <c r="AC452" s="43" t="n">
        <f aca="false">IF(Arterial=0,IF(Informed=0,1,0),0)</f>
        <v>0</v>
      </c>
      <c r="AD452" s="43" t="n">
        <f aca="false">IF(Arterial=1,IF(Informed=1,1,0),0)</f>
        <v>1</v>
      </c>
      <c r="AE452" s="43" t="n">
        <f aca="false">IF(Arterial=1,IF(Informed=0,1,0),0)</f>
        <v>0</v>
      </c>
      <c r="AF452" s="35" t="n">
        <f aca="false">IF(AB452=1,(X452-G$1030)^2,0)</f>
        <v>0</v>
      </c>
      <c r="AG452" s="35" t="n">
        <f aca="false">IF(AC452=1,(Y452-H$1030)^2,0)</f>
        <v>0</v>
      </c>
      <c r="AH452" s="35" t="n">
        <f aca="false">IF(AD452=1,(Z452-I$1030)^2,0)</f>
        <v>37.2828274659763</v>
      </c>
      <c r="AI452" s="35" t="n">
        <f aca="false">IF(AE452=1,(AA452-J$1030)^2,0)</f>
        <v>0</v>
      </c>
      <c r="AJ452" s="37" t="n">
        <f aca="true">IF(RAND()&lt;$D$6,1,0)</f>
        <v>0</v>
      </c>
      <c r="AK452" s="14" t="n">
        <f aca="false">AK451+IF((AJ452=1),IF((H452=0),1,0),0)</f>
        <v>0</v>
      </c>
      <c r="AL452" s="14" t="n">
        <f aca="false">AL451+IF((AJ452=1),IF((H452=1),1,0),0)</f>
        <v>0</v>
      </c>
      <c r="AM452" s="37" t="n">
        <f aca="false">IF(AK452=0,9999,IF($H452=0,IF($AJ452&lt;1,AM451+1,0),AM451))</f>
        <v>9999</v>
      </c>
      <c r="AN452" s="37" t="n">
        <f aca="false">IF(AL452=0,9999,IF($H452=1,IF($AJ452&lt;1,AN451+1,0),AN451))</f>
        <v>9999</v>
      </c>
      <c r="AO452" s="37" t="n">
        <f aca="false">IF($A452-AM452&gt;0,1/(1+AM452),0)</f>
        <v>0</v>
      </c>
      <c r="AP452" s="37" t="n">
        <f aca="false">IF($A452-AN452&gt;0,1/(1+AN452),0)</f>
        <v>0</v>
      </c>
      <c r="AQ452" s="7" t="n">
        <f aca="false">IF(AK452=0,0,MAX(MIN(1,AO452^Power),0))</f>
        <v>0</v>
      </c>
      <c r="AR452" s="7" t="n">
        <f aca="false">IF(AL452=0,0,MAX(MIN(1,AP452^Power),0))</f>
        <v>0</v>
      </c>
      <c r="AS452" s="7" t="n">
        <f aca="false">IF($AJ452=1,IF($H452=0,K452,AS451),AS451)</f>
        <v>0</v>
      </c>
      <c r="AT452" s="7" t="n">
        <f aca="false">IF($AJ452=1,IF($H452=1,N452,AT451),AT451)</f>
        <v>0</v>
      </c>
    </row>
    <row r="453" customFormat="false" ht="13" hidden="false" customHeight="false" outlineLevel="0" collapsed="false">
      <c r="A453" s="16" t="n">
        <v>436</v>
      </c>
      <c r="B453" s="37" t="n">
        <f aca="true">IF(RAND()&lt;$D$8,1,0)</f>
        <v>1</v>
      </c>
      <c r="C453" s="20" t="n">
        <f aca="true">-LN(RAND())/$D$2</f>
        <v>2.64835366319317</v>
      </c>
      <c r="D453" s="38" t="n">
        <f aca="false">D452+C453</f>
        <v>469.687091671222</v>
      </c>
      <c r="E453" s="39" t="n">
        <f aca="false">MAX($E$3,AS452)</f>
        <v>0</v>
      </c>
      <c r="F453" s="39" t="n">
        <f aca="false">MAX($E$3,AT452)</f>
        <v>0</v>
      </c>
      <c r="G453" s="40" t="n">
        <v>0.5</v>
      </c>
      <c r="H453" s="38" t="n">
        <f aca="true">IF((B453=1),(IF((F453&lt;E453),1,(IF((F453=E453),(IF(RAND()&lt;G453,1,0)),0)))),(IF((RAND()&lt;G453),1,0)))</f>
        <v>1</v>
      </c>
      <c r="I453" s="38" t="n">
        <f aca="true">IF((H453=1),0,$D$3+$D$5*(RAND()-0.5))</f>
        <v>0</v>
      </c>
      <c r="J453" s="38" t="n">
        <f aca="false">I453+MAX(D453,J452)</f>
        <v>469.687091671222</v>
      </c>
      <c r="K453" s="38" t="n">
        <f aca="false">IF((H453=0),J453-D453,0)</f>
        <v>0</v>
      </c>
      <c r="L453" s="38" t="n">
        <f aca="true">IF(($H453=0),0,$D$4+$D$5*(RAND()-0.5))</f>
        <v>1.92674470850286</v>
      </c>
      <c r="M453" s="38" t="n">
        <f aca="false">L453+MAX(D453,M452)</f>
        <v>503.446284056186</v>
      </c>
      <c r="N453" s="38" t="n">
        <f aca="false">IF((H453=1),M453-D453,0)</f>
        <v>33.7591923849637</v>
      </c>
      <c r="O453" s="16" t="n">
        <v>436</v>
      </c>
      <c r="P453" s="41" t="n">
        <f aca="false">IF((Arterial=0),P452+1,P452)</f>
        <v>199</v>
      </c>
      <c r="Q453" s="41" t="n">
        <f aca="false">IF((Arterial=1),Q452+1,Q452)</f>
        <v>237</v>
      </c>
      <c r="R453" s="42" t="n">
        <f aca="false">IF((RESET=1),0,R453+K453)</f>
        <v>634.679666149292</v>
      </c>
      <c r="S453" s="14" t="e">
        <f aca="false">IF(RESET=1,0,S453+N453)</f>
        <v>#N/A</v>
      </c>
      <c r="T453" s="2" t="n">
        <f aca="false">IF(RESET=1,0,T453+IF(H453=0,1,0))</f>
        <v>38</v>
      </c>
      <c r="U453" s="2" t="e">
        <f aca="false">IF(RESET=1,0,U453+H453)</f>
        <v>#N/A</v>
      </c>
      <c r="V453" s="14" t="n">
        <f aca="false">R453/(T453+0.00001)</f>
        <v>16.7020920823256</v>
      </c>
      <c r="W453" s="14" t="e">
        <f aca="false">S453/(U453+0.0001)</f>
        <v>#N/A</v>
      </c>
      <c r="X453" s="39" t="n">
        <f aca="false">IF(Informed=1,K453,0)</f>
        <v>0</v>
      </c>
      <c r="Y453" s="39" t="n">
        <f aca="false">IF(Informed=0,K453,0)</f>
        <v>0</v>
      </c>
      <c r="Z453" s="39" t="n">
        <f aca="false">IF(Informed=1,N453,0)</f>
        <v>33.7591923849637</v>
      </c>
      <c r="AA453" s="39" t="n">
        <f aca="false">IF(Informed=0,N453,0)</f>
        <v>0</v>
      </c>
      <c r="AB453" s="43" t="n">
        <f aca="false">IF(Arterial=0,IF(Informed=1,1,0),0)</f>
        <v>0</v>
      </c>
      <c r="AC453" s="43" t="n">
        <f aca="false">IF(Arterial=0,IF(Informed=0,1,0),0)</f>
        <v>0</v>
      </c>
      <c r="AD453" s="43" t="n">
        <f aca="false">IF(Arterial=1,IF(Informed=1,1,0),0)</f>
        <v>1</v>
      </c>
      <c r="AE453" s="43" t="n">
        <f aca="false">IF(Arterial=1,IF(Informed=0,1,0),0)</f>
        <v>0</v>
      </c>
      <c r="AF453" s="35" t="n">
        <f aca="false">IF(AB453=1,(X453-G$1030)^2,0)</f>
        <v>0</v>
      </c>
      <c r="AG453" s="35" t="n">
        <f aca="false">IF(AC453=1,(Y453-H$1030)^2,0)</f>
        <v>0</v>
      </c>
      <c r="AH453" s="35" t="n">
        <f aca="false">IF(AD453=1,(Z453-I$1030)^2,0)</f>
        <v>28.9913066755957</v>
      </c>
      <c r="AI453" s="35" t="n">
        <f aca="false">IF(AE453=1,(AA453-J$1030)^2,0)</f>
        <v>0</v>
      </c>
      <c r="AJ453" s="37" t="n">
        <f aca="true">IF(RAND()&lt;$D$6,1,0)</f>
        <v>0</v>
      </c>
      <c r="AK453" s="14" t="n">
        <f aca="false">AK452+IF((AJ453=1),IF((H453=0),1,0),0)</f>
        <v>0</v>
      </c>
      <c r="AL453" s="14" t="n">
        <f aca="false">AL452+IF((AJ453=1),IF((H453=1),1,0),0)</f>
        <v>0</v>
      </c>
      <c r="AM453" s="37" t="n">
        <f aca="false">IF(AK453=0,9999,IF($H453=0,IF($AJ453&lt;1,AM452+1,0),AM452))</f>
        <v>9999</v>
      </c>
      <c r="AN453" s="37" t="n">
        <f aca="false">IF(AL453=0,9999,IF($H453=1,IF($AJ453&lt;1,AN452+1,0),AN452))</f>
        <v>9999</v>
      </c>
      <c r="AO453" s="37" t="n">
        <f aca="false">IF($A453-AM453&gt;0,1/(1+AM453),0)</f>
        <v>0</v>
      </c>
      <c r="AP453" s="37" t="n">
        <f aca="false">IF($A453-AN453&gt;0,1/(1+AN453),0)</f>
        <v>0</v>
      </c>
      <c r="AQ453" s="7" t="n">
        <f aca="false">IF(AK453=0,0,MAX(MIN(1,AO453^Power),0))</f>
        <v>0</v>
      </c>
      <c r="AR453" s="7" t="n">
        <f aca="false">IF(AL453=0,0,MAX(MIN(1,AP453^Power),0))</f>
        <v>0</v>
      </c>
      <c r="AS453" s="7" t="n">
        <f aca="false">IF($AJ453=1,IF($H453=0,K453,AS452),AS452)</f>
        <v>0</v>
      </c>
      <c r="AT453" s="7" t="n">
        <f aca="false">IF($AJ453=1,IF($H453=1,N453,AT452),AT452)</f>
        <v>0</v>
      </c>
    </row>
    <row r="454" customFormat="false" ht="13" hidden="false" customHeight="false" outlineLevel="0" collapsed="false">
      <c r="A454" s="16" t="n">
        <v>437</v>
      </c>
      <c r="B454" s="37" t="n">
        <f aca="true">IF(RAND()&lt;$D$8,1,0)</f>
        <v>0</v>
      </c>
      <c r="C454" s="20" t="n">
        <f aca="true">-LN(RAND())/$D$2</f>
        <v>0.0594548665166295</v>
      </c>
      <c r="D454" s="38" t="n">
        <f aca="false">D453+C454</f>
        <v>469.746546537738</v>
      </c>
      <c r="E454" s="39" t="n">
        <f aca="false">MAX($E$3,AS453)</f>
        <v>0</v>
      </c>
      <c r="F454" s="39" t="n">
        <f aca="false">MAX($E$3,AT453)</f>
        <v>0</v>
      </c>
      <c r="G454" s="40" t="n">
        <v>0.5</v>
      </c>
      <c r="H454" s="38" t="n">
        <f aca="true">IF((B454=1),(IF((F454&lt;E454),1,(IF((F454=E454),(IF(RAND()&lt;G454,1,0)),0)))),(IF((RAND()&lt;G454),1,0)))</f>
        <v>1</v>
      </c>
      <c r="I454" s="38" t="n">
        <f aca="true">IF((H454=1),0,$D$3+$D$5*(RAND()-0.5))</f>
        <v>0</v>
      </c>
      <c r="J454" s="38" t="n">
        <f aca="false">I454+MAX(D454,J453)</f>
        <v>469.746546537738</v>
      </c>
      <c r="K454" s="38" t="n">
        <f aca="false">IF((H454=0),J454-D454,0)</f>
        <v>0</v>
      </c>
      <c r="L454" s="38" t="n">
        <f aca="true">IF(($H454=0),0,$D$4+$D$5*(RAND()-0.5))</f>
        <v>1.91633728730687</v>
      </c>
      <c r="M454" s="38" t="n">
        <f aca="false">L454+MAX(D454,M453)</f>
        <v>505.362621343492</v>
      </c>
      <c r="N454" s="38" t="n">
        <f aca="false">IF((H454=1),M454-D454,0)</f>
        <v>35.616074805754</v>
      </c>
      <c r="O454" s="16" t="n">
        <v>437</v>
      </c>
      <c r="P454" s="41" t="n">
        <f aca="false">IF((Arterial=0),P453+1,P453)</f>
        <v>199</v>
      </c>
      <c r="Q454" s="41" t="n">
        <f aca="false">IF((Arterial=1),Q453+1,Q453)</f>
        <v>238</v>
      </c>
      <c r="R454" s="42" t="n">
        <f aca="false">IF((RESET=1),0,R454+K454)</f>
        <v>744.176470730721</v>
      </c>
      <c r="S454" s="14" t="e">
        <f aca="false">IF(RESET=1,0,S454+N454)</f>
        <v>#N/A</v>
      </c>
      <c r="T454" s="2" t="n">
        <f aca="false">IF(RESET=1,0,T454+IF(H454=0,1,0))</f>
        <v>44</v>
      </c>
      <c r="U454" s="2" t="e">
        <f aca="false">IF(RESET=1,0,U454+H454)</f>
        <v>#N/A</v>
      </c>
      <c r="V454" s="14" t="n">
        <f aca="false">R454/(T454+0.00001)</f>
        <v>16.9130977636305</v>
      </c>
      <c r="W454" s="14" t="e">
        <f aca="false">S454/(U454+0.0001)</f>
        <v>#N/A</v>
      </c>
      <c r="X454" s="39" t="n">
        <f aca="false">IF(Informed=1,K454,0)</f>
        <v>0</v>
      </c>
      <c r="Y454" s="39" t="n">
        <f aca="false">IF(Informed=0,K454,0)</f>
        <v>0</v>
      </c>
      <c r="Z454" s="39" t="n">
        <f aca="false">IF(Informed=1,N454,0)</f>
        <v>0</v>
      </c>
      <c r="AA454" s="39" t="n">
        <f aca="false">IF(Informed=0,N454,0)</f>
        <v>35.616074805754</v>
      </c>
      <c r="AB454" s="43" t="n">
        <f aca="false">IF(Arterial=0,IF(Informed=1,1,0),0)</f>
        <v>0</v>
      </c>
      <c r="AC454" s="43" t="n">
        <f aca="false">IF(Arterial=0,IF(Informed=0,1,0),0)</f>
        <v>0</v>
      </c>
      <c r="AD454" s="43" t="n">
        <f aca="false">IF(Arterial=1,IF(Informed=1,1,0),0)</f>
        <v>0</v>
      </c>
      <c r="AE454" s="43" t="n">
        <f aca="false">IF(Arterial=1,IF(Informed=0,1,0),0)</f>
        <v>1</v>
      </c>
      <c r="AF454" s="35" t="n">
        <f aca="false">IF(AB454=1,(X454-G$1030)^2,0)</f>
        <v>0</v>
      </c>
      <c r="AG454" s="35" t="n">
        <f aca="false">IF(AC454=1,(Y454-H$1030)^2,0)</f>
        <v>0</v>
      </c>
      <c r="AH454" s="35" t="n">
        <f aca="false">IF(AD454=1,(Z454-I$1030)^2,0)</f>
        <v>0</v>
      </c>
      <c r="AI454" s="35" t="n">
        <f aca="false">IF(AE454=1,(AA454-J$1030)^2,0)</f>
        <v>36.624281007351</v>
      </c>
      <c r="AJ454" s="37" t="n">
        <f aca="true">IF(RAND()&lt;$D$6,1,0)</f>
        <v>0</v>
      </c>
      <c r="AK454" s="14" t="n">
        <f aca="false">AK453+IF((AJ454=1),IF((H454=0),1,0),0)</f>
        <v>0</v>
      </c>
      <c r="AL454" s="14" t="n">
        <f aca="false">AL453+IF((AJ454=1),IF((H454=1),1,0),0)</f>
        <v>0</v>
      </c>
      <c r="AM454" s="37" t="n">
        <f aca="false">IF(AK454=0,9999,IF($H454=0,IF($AJ454&lt;1,AM453+1,0),AM453))</f>
        <v>9999</v>
      </c>
      <c r="AN454" s="37" t="n">
        <f aca="false">IF(AL454=0,9999,IF($H454=1,IF($AJ454&lt;1,AN453+1,0),AN453))</f>
        <v>9999</v>
      </c>
      <c r="AO454" s="37" t="n">
        <f aca="false">IF($A454-AM454&gt;0,1/(1+AM454),0)</f>
        <v>0</v>
      </c>
      <c r="AP454" s="37" t="n">
        <f aca="false">IF($A454-AN454&gt;0,1/(1+AN454),0)</f>
        <v>0</v>
      </c>
      <c r="AQ454" s="7" t="n">
        <f aca="false">IF(AK454=0,0,MAX(MIN(1,AO454^Power),0))</f>
        <v>0</v>
      </c>
      <c r="AR454" s="7" t="n">
        <f aca="false">IF(AL454=0,0,MAX(MIN(1,AP454^Power),0))</f>
        <v>0</v>
      </c>
      <c r="AS454" s="7" t="n">
        <f aca="false">IF($AJ454=1,IF($H454=0,K454,AS453),AS453)</f>
        <v>0</v>
      </c>
      <c r="AT454" s="7" t="n">
        <f aca="false">IF($AJ454=1,IF($H454=1,N454,AT453),AT453)</f>
        <v>0</v>
      </c>
    </row>
    <row r="455" customFormat="false" ht="13" hidden="false" customHeight="false" outlineLevel="0" collapsed="false">
      <c r="A455" s="16" t="n">
        <v>438</v>
      </c>
      <c r="B455" s="37" t="n">
        <f aca="true">IF(RAND()&lt;$D$8,1,0)</f>
        <v>1</v>
      </c>
      <c r="C455" s="20" t="n">
        <f aca="true">-LN(RAND())/$D$2</f>
        <v>0.360989914170426</v>
      </c>
      <c r="D455" s="38" t="n">
        <f aca="false">D454+C455</f>
        <v>470.107536451909</v>
      </c>
      <c r="E455" s="39" t="n">
        <f aca="false">MAX($E$3,AS454)</f>
        <v>0</v>
      </c>
      <c r="F455" s="39" t="n">
        <f aca="false">MAX($E$3,AT454)</f>
        <v>0</v>
      </c>
      <c r="G455" s="40" t="n">
        <v>0.5</v>
      </c>
      <c r="H455" s="38" t="n">
        <f aca="true">IF((B455=1),(IF((F455&lt;E455),1,(IF((F455=E455),(IF(RAND()&lt;G455,1,0)),0)))),(IF((RAND()&lt;G455),1,0)))</f>
        <v>0</v>
      </c>
      <c r="I455" s="38" t="n">
        <f aca="true">IF((H455=1),0,$D$3+$D$5*(RAND()-0.5))</f>
        <v>2.06020604864562</v>
      </c>
      <c r="J455" s="38" t="n">
        <f aca="false">I455+MAX(D455,J454)</f>
        <v>472.167742500555</v>
      </c>
      <c r="K455" s="38" t="n">
        <f aca="false">IF((H455=0),J455-D455,0)</f>
        <v>2.06020604864563</v>
      </c>
      <c r="L455" s="38" t="n">
        <f aca="true">IF(($H455=0),0,$D$4+$D$5*(RAND()-0.5))</f>
        <v>0</v>
      </c>
      <c r="M455" s="38" t="n">
        <f aca="false">L455+MAX(D455,M454)</f>
        <v>505.362621343492</v>
      </c>
      <c r="N455" s="38" t="n">
        <f aca="false">IF((H455=1),M455-D455,0)</f>
        <v>0</v>
      </c>
      <c r="O455" s="16" t="n">
        <v>438</v>
      </c>
      <c r="P455" s="41" t="n">
        <f aca="false">IF((Arterial=0),P454+1,P454)</f>
        <v>200</v>
      </c>
      <c r="Q455" s="41" t="n">
        <f aca="false">IF((Arterial=1),Q454+1,Q454)</f>
        <v>238</v>
      </c>
      <c r="R455" s="42" t="e">
        <f aca="false">IF((RESET=1),0,R455+K455)</f>
        <v>#N/A</v>
      </c>
      <c r="S455" s="14" t="n">
        <f aca="false">IF(RESET=1,0,S455+N455)</f>
        <v>564.435552716831</v>
      </c>
      <c r="T455" s="2" t="e">
        <f aca="false">IF(RESET=1,0,T455+IF(H455=0,1,0))</f>
        <v>#N/A</v>
      </c>
      <c r="U455" s="2" t="n">
        <f aca="false">IF(RESET=1,0,U455+H455)</f>
        <v>37</v>
      </c>
      <c r="V455" s="14" t="e">
        <f aca="false">R455/(T455+0.00001)</f>
        <v>#N/A</v>
      </c>
      <c r="W455" s="14" t="n">
        <f aca="false">S455/(U455+0.0001)</f>
        <v>15.2549737086341</v>
      </c>
      <c r="X455" s="39" t="n">
        <f aca="false">IF(Informed=1,K455,0)</f>
        <v>2.06020604864563</v>
      </c>
      <c r="Y455" s="39" t="n">
        <f aca="false">IF(Informed=0,K455,0)</f>
        <v>0</v>
      </c>
      <c r="Z455" s="39" t="n">
        <f aca="false">IF(Informed=1,N455,0)</f>
        <v>0</v>
      </c>
      <c r="AA455" s="39" t="n">
        <f aca="false">IF(Informed=0,N455,0)</f>
        <v>0</v>
      </c>
      <c r="AB455" s="43" t="n">
        <f aca="false">IF(Arterial=0,IF(Informed=1,1,0),0)</f>
        <v>1</v>
      </c>
      <c r="AC455" s="43" t="n">
        <f aca="false">IF(Arterial=0,IF(Informed=0,1,0),0)</f>
        <v>0</v>
      </c>
      <c r="AD455" s="43" t="n">
        <f aca="false">IF(Arterial=1,IF(Informed=1,1,0),0)</f>
        <v>0</v>
      </c>
      <c r="AE455" s="43" t="n">
        <f aca="false">IF(Arterial=1,IF(Informed=0,1,0),0)</f>
        <v>0</v>
      </c>
      <c r="AF455" s="35" t="n">
        <f aca="false">IF(AB455=1,(X455-G$1030)^2,0)</f>
        <v>74.8133692197742</v>
      </c>
      <c r="AG455" s="35" t="n">
        <f aca="false">IF(AC455=1,(Y455-H$1030)^2,0)</f>
        <v>0</v>
      </c>
      <c r="AH455" s="35" t="n">
        <f aca="false">IF(AD455=1,(Z455-I$1030)^2,0)</f>
        <v>0</v>
      </c>
      <c r="AI455" s="35" t="n">
        <f aca="false">IF(AE455=1,(AA455-J$1030)^2,0)</f>
        <v>0</v>
      </c>
      <c r="AJ455" s="37" t="n">
        <f aca="true">IF(RAND()&lt;$D$6,1,0)</f>
        <v>0</v>
      </c>
      <c r="AK455" s="14" t="n">
        <f aca="false">AK454+IF((AJ455=1),IF((H455=0),1,0),0)</f>
        <v>0</v>
      </c>
      <c r="AL455" s="14" t="n">
        <f aca="false">AL454+IF((AJ455=1),IF((H455=1),1,0),0)</f>
        <v>0</v>
      </c>
      <c r="AM455" s="37" t="n">
        <f aca="false">IF(AK455=0,9999,IF($H455=0,IF($AJ455&lt;1,AM454+1,0),AM454))</f>
        <v>9999</v>
      </c>
      <c r="AN455" s="37" t="n">
        <f aca="false">IF(AL455=0,9999,IF($H455=1,IF($AJ455&lt;1,AN454+1,0),AN454))</f>
        <v>9999</v>
      </c>
      <c r="AO455" s="37" t="n">
        <f aca="false">IF($A455-AM455&gt;0,1/(1+AM455),0)</f>
        <v>0</v>
      </c>
      <c r="AP455" s="37" t="n">
        <f aca="false">IF($A455-AN455&gt;0,1/(1+AN455),0)</f>
        <v>0</v>
      </c>
      <c r="AQ455" s="7" t="n">
        <f aca="false">IF(AK455=0,0,MAX(MIN(1,AO455^Power),0))</f>
        <v>0</v>
      </c>
      <c r="AR455" s="7" t="n">
        <f aca="false">IF(AL455=0,0,MAX(MIN(1,AP455^Power),0))</f>
        <v>0</v>
      </c>
      <c r="AS455" s="7" t="n">
        <f aca="false">IF($AJ455=1,IF($H455=0,K455,AS454),AS454)</f>
        <v>0</v>
      </c>
      <c r="AT455" s="7" t="n">
        <f aca="false">IF($AJ455=1,IF($H455=1,N455,AT454),AT454)</f>
        <v>0</v>
      </c>
    </row>
    <row r="456" customFormat="false" ht="13" hidden="false" customHeight="false" outlineLevel="0" collapsed="false">
      <c r="A456" s="16" t="n">
        <v>439</v>
      </c>
      <c r="B456" s="37" t="n">
        <f aca="true">IF(RAND()&lt;$D$8,1,0)</f>
        <v>0</v>
      </c>
      <c r="C456" s="20" t="n">
        <f aca="true">-LN(RAND())/$D$2</f>
        <v>2.13250882035322</v>
      </c>
      <c r="D456" s="38" t="n">
        <f aca="false">D455+C456</f>
        <v>472.240045272262</v>
      </c>
      <c r="E456" s="39" t="n">
        <f aca="false">MAX($E$3,AS455)</f>
        <v>0</v>
      </c>
      <c r="F456" s="39" t="n">
        <f aca="false">MAX($E$3,AT455)</f>
        <v>0</v>
      </c>
      <c r="G456" s="40" t="n">
        <v>0.5</v>
      </c>
      <c r="H456" s="38" t="n">
        <f aca="true">IF((B456=1),(IF((F456&lt;E456),1,(IF((F456=E456),(IF(RAND()&lt;G456,1,0)),0)))),(IF((RAND()&lt;G456),1,0)))</f>
        <v>1</v>
      </c>
      <c r="I456" s="38" t="n">
        <f aca="true">IF((H456=1),0,$D$3+$D$5*(RAND()-0.5))</f>
        <v>0</v>
      </c>
      <c r="J456" s="38" t="n">
        <f aca="false">I456+MAX(D456,J455)</f>
        <v>472.240045272262</v>
      </c>
      <c r="K456" s="38" t="n">
        <f aca="false">IF((H456=0),J456-D456,0)</f>
        <v>0</v>
      </c>
      <c r="L456" s="38" t="n">
        <f aca="true">IF(($H456=0),0,$D$4+$D$5*(RAND()-0.5))</f>
        <v>1.8598178158479</v>
      </c>
      <c r="M456" s="38" t="n">
        <f aca="false">L456+MAX(D456,M455)</f>
        <v>507.22243915934</v>
      </c>
      <c r="N456" s="38" t="n">
        <f aca="false">IF((H456=1),M456-D456,0)</f>
        <v>34.9823938870783</v>
      </c>
      <c r="O456" s="16" t="n">
        <v>439</v>
      </c>
      <c r="P456" s="41" t="n">
        <f aca="false">IF((Arterial=0),P455+1,P455)</f>
        <v>200</v>
      </c>
      <c r="Q456" s="41" t="n">
        <f aca="false">IF((Arterial=1),Q455+1,Q455)</f>
        <v>239</v>
      </c>
      <c r="R456" s="42" t="n">
        <f aca="false">IF((RESET=1),0,R456+K456)</f>
        <v>767.0926180304</v>
      </c>
      <c r="S456" s="14" t="e">
        <f aca="false">IF(RESET=1,0,S456+N456)</f>
        <v>#N/A</v>
      </c>
      <c r="T456" s="2" t="n">
        <f aca="false">IF(RESET=1,0,T456+IF(H456=0,1,0))</f>
        <v>41</v>
      </c>
      <c r="U456" s="2" t="e">
        <f aca="false">IF(RESET=1,0,U456+H456)</f>
        <v>#N/A</v>
      </c>
      <c r="V456" s="14" t="n">
        <f aca="false">R456/(T456+0.00001)</f>
        <v>18.7095714862118</v>
      </c>
      <c r="W456" s="14" t="e">
        <f aca="false">S456/(U456+0.0001)</f>
        <v>#N/A</v>
      </c>
      <c r="X456" s="39" t="n">
        <f aca="false">IF(Informed=1,K456,0)</f>
        <v>0</v>
      </c>
      <c r="Y456" s="39" t="n">
        <f aca="false">IF(Informed=0,K456,0)</f>
        <v>0</v>
      </c>
      <c r="Z456" s="39" t="n">
        <f aca="false">IF(Informed=1,N456,0)</f>
        <v>0</v>
      </c>
      <c r="AA456" s="39" t="n">
        <f aca="false">IF(Informed=0,N456,0)</f>
        <v>34.9823938870783</v>
      </c>
      <c r="AB456" s="43" t="n">
        <f aca="false">IF(Arterial=0,IF(Informed=1,1,0),0)</f>
        <v>0</v>
      </c>
      <c r="AC456" s="43" t="n">
        <f aca="false">IF(Arterial=0,IF(Informed=0,1,0),0)</f>
        <v>0</v>
      </c>
      <c r="AD456" s="43" t="n">
        <f aca="false">IF(Arterial=1,IF(Informed=1,1,0),0)</f>
        <v>0</v>
      </c>
      <c r="AE456" s="43" t="n">
        <f aca="false">IF(Arterial=1,IF(Informed=0,1,0),0)</f>
        <v>1</v>
      </c>
      <c r="AF456" s="35" t="n">
        <f aca="false">IF(AB456=1,(X456-G$1030)^2,0)</f>
        <v>0</v>
      </c>
      <c r="AG456" s="35" t="n">
        <f aca="false">IF(AC456=1,(Y456-H$1030)^2,0)</f>
        <v>0</v>
      </c>
      <c r="AH456" s="35" t="n">
        <f aca="false">IF(AD456=1,(Z456-I$1030)^2,0)</f>
        <v>0</v>
      </c>
      <c r="AI456" s="35" t="n">
        <f aca="false">IF(AE456=1,(AA456-J$1030)^2,0)</f>
        <v>29.3560123805406</v>
      </c>
      <c r="AJ456" s="37" t="n">
        <f aca="true">IF(RAND()&lt;$D$6,1,0)</f>
        <v>0</v>
      </c>
      <c r="AK456" s="14" t="n">
        <f aca="false">AK455+IF((AJ456=1),IF((H456=0),1,0),0)</f>
        <v>0</v>
      </c>
      <c r="AL456" s="14" t="n">
        <f aca="false">AL455+IF((AJ456=1),IF((H456=1),1,0),0)</f>
        <v>0</v>
      </c>
      <c r="AM456" s="37" t="n">
        <f aca="false">IF(AK456=0,9999,IF($H456=0,IF($AJ456&lt;1,AM455+1,0),AM455))</f>
        <v>9999</v>
      </c>
      <c r="AN456" s="37" t="n">
        <f aca="false">IF(AL456=0,9999,IF($H456=1,IF($AJ456&lt;1,AN455+1,0),AN455))</f>
        <v>9999</v>
      </c>
      <c r="AO456" s="37" t="n">
        <f aca="false">IF($A456-AM456&gt;0,1/(1+AM456),0)</f>
        <v>0</v>
      </c>
      <c r="AP456" s="37" t="n">
        <f aca="false">IF($A456-AN456&gt;0,1/(1+AN456),0)</f>
        <v>0</v>
      </c>
      <c r="AQ456" s="7" t="n">
        <f aca="false">IF(AK456=0,0,MAX(MIN(1,AO456^Power),0))</f>
        <v>0</v>
      </c>
      <c r="AR456" s="7" t="n">
        <f aca="false">IF(AL456=0,0,MAX(MIN(1,AP456^Power),0))</f>
        <v>0</v>
      </c>
      <c r="AS456" s="7" t="n">
        <f aca="false">IF($AJ456=1,IF($H456=0,K456,AS455),AS455)</f>
        <v>0</v>
      </c>
      <c r="AT456" s="7" t="n">
        <f aca="false">IF($AJ456=1,IF($H456=1,N456,AT455),AT455)</f>
        <v>0</v>
      </c>
    </row>
    <row r="457" customFormat="false" ht="13" hidden="false" customHeight="false" outlineLevel="0" collapsed="false">
      <c r="A457" s="16" t="n">
        <v>440</v>
      </c>
      <c r="B457" s="37" t="n">
        <f aca="true">IF(RAND()&lt;$D$8,1,0)</f>
        <v>1</v>
      </c>
      <c r="C457" s="20" t="n">
        <f aca="true">-LN(RAND())/$D$2</f>
        <v>1.05008593818909</v>
      </c>
      <c r="D457" s="38" t="n">
        <f aca="false">D456+C457</f>
        <v>473.290131210451</v>
      </c>
      <c r="E457" s="39" t="n">
        <f aca="false">MAX($E$3,AS456)</f>
        <v>0</v>
      </c>
      <c r="F457" s="39" t="n">
        <f aca="false">MAX($E$3,AT456)</f>
        <v>0</v>
      </c>
      <c r="G457" s="40" t="n">
        <v>0.5</v>
      </c>
      <c r="H457" s="38" t="n">
        <f aca="true">IF((B457=1),(IF((F457&lt;E457),1,(IF((F457=E457),(IF(RAND()&lt;G457,1,0)),0)))),(IF((RAND()&lt;G457),1,0)))</f>
        <v>0</v>
      </c>
      <c r="I457" s="38" t="n">
        <f aca="true">IF((H457=1),0,$D$3+$D$5*(RAND()-0.5))</f>
        <v>2.03078370173088</v>
      </c>
      <c r="J457" s="38" t="n">
        <f aca="false">I457+MAX(D457,J456)</f>
        <v>475.320914912182</v>
      </c>
      <c r="K457" s="38" t="n">
        <f aca="false">IF((H457=0),J457-D457,0)</f>
        <v>2.03078370173091</v>
      </c>
      <c r="L457" s="38" t="n">
        <f aca="true">IF(($H457=0),0,$D$4+$D$5*(RAND()-0.5))</f>
        <v>0</v>
      </c>
      <c r="M457" s="38" t="n">
        <f aca="false">L457+MAX(D457,M456)</f>
        <v>507.22243915934</v>
      </c>
      <c r="N457" s="38" t="n">
        <f aca="false">IF((H457=1),M457-D457,0)</f>
        <v>0</v>
      </c>
      <c r="O457" s="16" t="n">
        <v>440</v>
      </c>
      <c r="P457" s="41" t="n">
        <f aca="false">IF((Arterial=0),P456+1,P456)</f>
        <v>201</v>
      </c>
      <c r="Q457" s="41" t="n">
        <f aca="false">IF((Arterial=1),Q456+1,Q456)</f>
        <v>239</v>
      </c>
      <c r="R457" s="42" t="e">
        <f aca="false">IF((RESET=1),0,R457+K457)</f>
        <v>#N/A</v>
      </c>
      <c r="S457" s="14" t="n">
        <f aca="false">IF(RESET=1,0,S457+N457)</f>
        <v>605.265667953445</v>
      </c>
      <c r="T457" s="2" t="e">
        <f aca="false">IF(RESET=1,0,T457+IF(H457=0,1,0))</f>
        <v>#N/A</v>
      </c>
      <c r="U457" s="2" t="n">
        <f aca="false">IF(RESET=1,0,U457+H457)</f>
        <v>46</v>
      </c>
      <c r="V457" s="14" t="e">
        <f aca="false">R457/(T457+0.00001)</f>
        <v>#N/A</v>
      </c>
      <c r="W457" s="14" t="n">
        <f aca="false">S457/(U457+0.0001)</f>
        <v>13.1579206991603</v>
      </c>
      <c r="X457" s="39" t="n">
        <f aca="false">IF(Informed=1,K457,0)</f>
        <v>2.03078370173091</v>
      </c>
      <c r="Y457" s="39" t="n">
        <f aca="false">IF(Informed=0,K457,0)</f>
        <v>0</v>
      </c>
      <c r="Z457" s="39" t="n">
        <f aca="false">IF(Informed=1,N457,0)</f>
        <v>0</v>
      </c>
      <c r="AA457" s="39" t="n">
        <f aca="false">IF(Informed=0,N457,0)</f>
        <v>0</v>
      </c>
      <c r="AB457" s="43" t="n">
        <f aca="false">IF(Arterial=0,IF(Informed=1,1,0),0)</f>
        <v>1</v>
      </c>
      <c r="AC457" s="43" t="n">
        <f aca="false">IF(Arterial=0,IF(Informed=0,1,0),0)</f>
        <v>0</v>
      </c>
      <c r="AD457" s="43" t="n">
        <f aca="false">IF(Arterial=1,IF(Informed=1,1,0),0)</f>
        <v>0</v>
      </c>
      <c r="AE457" s="43" t="n">
        <f aca="false">IF(Arterial=1,IF(Informed=0,1,0),0)</f>
        <v>0</v>
      </c>
      <c r="AF457" s="35" t="n">
        <f aca="false">IF(AB457=1,(X457-G$1030)^2,0)</f>
        <v>75.3232104372632</v>
      </c>
      <c r="AG457" s="35" t="n">
        <f aca="false">IF(AC457=1,(Y457-H$1030)^2,0)</f>
        <v>0</v>
      </c>
      <c r="AH457" s="35" t="n">
        <f aca="false">IF(AD457=1,(Z457-I$1030)^2,0)</f>
        <v>0</v>
      </c>
      <c r="AI457" s="35" t="n">
        <f aca="false">IF(AE457=1,(AA457-J$1030)^2,0)</f>
        <v>0</v>
      </c>
      <c r="AJ457" s="37" t="n">
        <f aca="true">IF(RAND()&lt;$D$6,1,0)</f>
        <v>0</v>
      </c>
      <c r="AK457" s="14" t="n">
        <f aca="false">AK456+IF((AJ457=1),IF((H457=0),1,0),0)</f>
        <v>0</v>
      </c>
      <c r="AL457" s="14" t="n">
        <f aca="false">AL456+IF((AJ457=1),IF((H457=1),1,0),0)</f>
        <v>0</v>
      </c>
      <c r="AM457" s="37" t="n">
        <f aca="false">IF(AK457=0,9999,IF($H457=0,IF($AJ457&lt;1,AM456+1,0),AM456))</f>
        <v>9999</v>
      </c>
      <c r="AN457" s="37" t="n">
        <f aca="false">IF(AL457=0,9999,IF($H457=1,IF($AJ457&lt;1,AN456+1,0),AN456))</f>
        <v>9999</v>
      </c>
      <c r="AO457" s="37" t="n">
        <f aca="false">IF($A457-AM457&gt;0,1/(1+AM457),0)</f>
        <v>0</v>
      </c>
      <c r="AP457" s="37" t="n">
        <f aca="false">IF($A457-AN457&gt;0,1/(1+AN457),0)</f>
        <v>0</v>
      </c>
      <c r="AQ457" s="7" t="n">
        <f aca="false">IF(AK457=0,0,MAX(MIN(1,AO457^Power),0))</f>
        <v>0</v>
      </c>
      <c r="AR457" s="7" t="n">
        <f aca="false">IF(AL457=0,0,MAX(MIN(1,AP457^Power),0))</f>
        <v>0</v>
      </c>
      <c r="AS457" s="7" t="n">
        <f aca="false">IF($AJ457=1,IF($H457=0,K457,AS456),AS456)</f>
        <v>0</v>
      </c>
      <c r="AT457" s="7" t="n">
        <f aca="false">IF($AJ457=1,IF($H457=1,N457,AT456),AT456)</f>
        <v>0</v>
      </c>
    </row>
    <row r="458" customFormat="false" ht="13" hidden="false" customHeight="false" outlineLevel="0" collapsed="false">
      <c r="A458" s="16" t="n">
        <v>441</v>
      </c>
      <c r="B458" s="37" t="n">
        <f aca="true">IF(RAND()&lt;$D$8,1,0)</f>
        <v>0</v>
      </c>
      <c r="C458" s="20" t="n">
        <f aca="true">-LN(RAND())/$D$2</f>
        <v>0.322294856931477</v>
      </c>
      <c r="D458" s="38" t="n">
        <f aca="false">D457+C458</f>
        <v>473.612426067383</v>
      </c>
      <c r="E458" s="39" t="n">
        <f aca="false">MAX($E$3,AS457)</f>
        <v>0</v>
      </c>
      <c r="F458" s="39" t="n">
        <f aca="false">MAX($E$3,AT457)</f>
        <v>0</v>
      </c>
      <c r="G458" s="40" t="n">
        <v>0.5</v>
      </c>
      <c r="H458" s="38" t="n">
        <f aca="true">IF((B458=1),(IF((F458&lt;E458),1,(IF((F458=E458),(IF(RAND()&lt;G458,1,0)),0)))),(IF((RAND()&lt;G458),1,0)))</f>
        <v>1</v>
      </c>
      <c r="I458" s="38" t="n">
        <f aca="true">IF((H458=1),0,$D$3+$D$5*(RAND()-0.5))</f>
        <v>0</v>
      </c>
      <c r="J458" s="38" t="n">
        <f aca="false">I458+MAX(D458,J457)</f>
        <v>475.320914912182</v>
      </c>
      <c r="K458" s="38" t="n">
        <f aca="false">IF((H458=0),J458-D458,0)</f>
        <v>0</v>
      </c>
      <c r="L458" s="38" t="n">
        <f aca="true">IF(($H458=0),0,$D$4+$D$5*(RAND()-0.5))</f>
        <v>2.12485182923287</v>
      </c>
      <c r="M458" s="38" t="n">
        <f aca="false">L458+MAX(D458,M457)</f>
        <v>509.347290988573</v>
      </c>
      <c r="N458" s="38" t="n">
        <f aca="false">IF((H458=1),M458-D458,0)</f>
        <v>35.7348649211905</v>
      </c>
      <c r="O458" s="16" t="n">
        <v>441</v>
      </c>
      <c r="P458" s="41" t="n">
        <f aca="false">IF((Arterial=0),P457+1,P457)</f>
        <v>201</v>
      </c>
      <c r="Q458" s="41" t="n">
        <f aca="false">IF((Arterial=1),Q457+1,Q457)</f>
        <v>240</v>
      </c>
      <c r="R458" s="42" t="n">
        <f aca="false">IF((RESET=1),0,R458+K458)</f>
        <v>576.740647430449</v>
      </c>
      <c r="S458" s="14" t="e">
        <f aca="false">IF(RESET=1,0,S458+N458)</f>
        <v>#N/A</v>
      </c>
      <c r="T458" s="2" t="n">
        <f aca="false">IF(RESET=1,0,T458+IF(H458=0,1,0))</f>
        <v>39</v>
      </c>
      <c r="U458" s="2" t="e">
        <f aca="false">IF(RESET=1,0,U458+H458)</f>
        <v>#N/A</v>
      </c>
      <c r="V458" s="14" t="n">
        <f aca="false">R458/(T458+0.00001)</f>
        <v>14.7882179371351</v>
      </c>
      <c r="W458" s="14" t="e">
        <f aca="false">S458/(U458+0.0001)</f>
        <v>#N/A</v>
      </c>
      <c r="X458" s="39" t="n">
        <f aca="false">IF(Informed=1,K458,0)</f>
        <v>0</v>
      </c>
      <c r="Y458" s="39" t="n">
        <f aca="false">IF(Informed=0,K458,0)</f>
        <v>0</v>
      </c>
      <c r="Z458" s="39" t="n">
        <f aca="false">IF(Informed=1,N458,0)</f>
        <v>0</v>
      </c>
      <c r="AA458" s="39" t="n">
        <f aca="false">IF(Informed=0,N458,0)</f>
        <v>35.7348649211905</v>
      </c>
      <c r="AB458" s="43" t="n">
        <f aca="false">IF(Arterial=0,IF(Informed=1,1,0),0)</f>
        <v>0</v>
      </c>
      <c r="AC458" s="43" t="n">
        <f aca="false">IF(Arterial=0,IF(Informed=0,1,0),0)</f>
        <v>0</v>
      </c>
      <c r="AD458" s="43" t="n">
        <f aca="false">IF(Arterial=1,IF(Informed=1,1,0),0)</f>
        <v>0</v>
      </c>
      <c r="AE458" s="43" t="n">
        <f aca="false">IF(Arterial=1,IF(Informed=0,1,0),0)</f>
        <v>1</v>
      </c>
      <c r="AF458" s="35" t="n">
        <f aca="false">IF(AB458=1,(X458-G$1030)^2,0)</f>
        <v>0</v>
      </c>
      <c r="AG458" s="35" t="n">
        <f aca="false">IF(AC458=1,(Y458-H$1030)^2,0)</f>
        <v>0</v>
      </c>
      <c r="AH458" s="35" t="n">
        <f aca="false">IF(AD458=1,(Z458-I$1030)^2,0)</f>
        <v>0</v>
      </c>
      <c r="AI458" s="35" t="n">
        <f aca="false">IF(AE458=1,(AA458-J$1030)^2,0)</f>
        <v>38.0761800962495</v>
      </c>
      <c r="AJ458" s="37" t="n">
        <f aca="true">IF(RAND()&lt;$D$6,1,0)</f>
        <v>0</v>
      </c>
      <c r="AK458" s="14" t="n">
        <f aca="false">AK457+IF((AJ458=1),IF((H458=0),1,0),0)</f>
        <v>0</v>
      </c>
      <c r="AL458" s="14" t="n">
        <f aca="false">AL457+IF((AJ458=1),IF((H458=1),1,0),0)</f>
        <v>0</v>
      </c>
      <c r="AM458" s="37" t="n">
        <f aca="false">IF(AK458=0,9999,IF($H458=0,IF($AJ458&lt;1,AM457+1,0),AM457))</f>
        <v>9999</v>
      </c>
      <c r="AN458" s="37" t="n">
        <f aca="false">IF(AL458=0,9999,IF($H458=1,IF($AJ458&lt;1,AN457+1,0),AN457))</f>
        <v>9999</v>
      </c>
      <c r="AO458" s="37" t="n">
        <f aca="false">IF($A458-AM458&gt;0,1/(1+AM458),0)</f>
        <v>0</v>
      </c>
      <c r="AP458" s="37" t="n">
        <f aca="false">IF($A458-AN458&gt;0,1/(1+AN458),0)</f>
        <v>0</v>
      </c>
      <c r="AQ458" s="7" t="n">
        <f aca="false">IF(AK458=0,0,MAX(MIN(1,AO458^Power),0))</f>
        <v>0</v>
      </c>
      <c r="AR458" s="7" t="n">
        <f aca="false">IF(AL458=0,0,MAX(MIN(1,AP458^Power),0))</f>
        <v>0</v>
      </c>
      <c r="AS458" s="7" t="n">
        <f aca="false">IF($AJ458=1,IF($H458=0,K458,AS457),AS457)</f>
        <v>0</v>
      </c>
      <c r="AT458" s="7" t="n">
        <f aca="false">IF($AJ458=1,IF($H458=1,N458,AT457),AT457)</f>
        <v>0</v>
      </c>
    </row>
    <row r="459" customFormat="false" ht="13" hidden="false" customHeight="false" outlineLevel="0" collapsed="false">
      <c r="A459" s="16" t="n">
        <v>442</v>
      </c>
      <c r="B459" s="37" t="n">
        <f aca="true">IF(RAND()&lt;$D$8,1,0)</f>
        <v>0</v>
      </c>
      <c r="C459" s="20" t="n">
        <f aca="true">-LN(RAND())/$D$2</f>
        <v>0.843680268309218</v>
      </c>
      <c r="D459" s="38" t="n">
        <f aca="false">D458+C459</f>
        <v>474.456106335692</v>
      </c>
      <c r="E459" s="39" t="n">
        <f aca="false">MAX($E$3,AS458)</f>
        <v>0</v>
      </c>
      <c r="F459" s="39" t="n">
        <f aca="false">MAX($E$3,AT458)</f>
        <v>0</v>
      </c>
      <c r="G459" s="40" t="n">
        <v>0.5</v>
      </c>
      <c r="H459" s="38" t="n">
        <f aca="true">IF((B459=1),(IF((F459&lt;E459),1,(IF((F459=E459),(IF(RAND()&lt;G459,1,0)),0)))),(IF((RAND()&lt;G459),1,0)))</f>
        <v>0</v>
      </c>
      <c r="I459" s="38" t="n">
        <f aca="true">IF((H459=1),0,$D$3+$D$5*(RAND()-0.5))</f>
        <v>2.11976549018696</v>
      </c>
      <c r="J459" s="38" t="n">
        <f aca="false">I459+MAX(D459,J458)</f>
        <v>477.440680402369</v>
      </c>
      <c r="K459" s="38" t="n">
        <f aca="false">IF((H459=0),J459-D459,0)</f>
        <v>2.98457406667717</v>
      </c>
      <c r="L459" s="38" t="n">
        <f aca="true">IF(($H459=0),0,$D$4+$D$5*(RAND()-0.5))</f>
        <v>0</v>
      </c>
      <c r="M459" s="38" t="n">
        <f aca="false">L459+MAX(D459,M458)</f>
        <v>509.347290988573</v>
      </c>
      <c r="N459" s="38" t="n">
        <f aca="false">IF((H459=1),M459-D459,0)</f>
        <v>0</v>
      </c>
      <c r="O459" s="16" t="n">
        <v>442</v>
      </c>
      <c r="P459" s="41" t="n">
        <f aca="false">IF((Arterial=0),P458+1,P458)</f>
        <v>202</v>
      </c>
      <c r="Q459" s="41" t="n">
        <f aca="false">IF((Arterial=1),Q458+1,Q458)</f>
        <v>240</v>
      </c>
      <c r="R459" s="42" t="e">
        <f aca="false">IF((RESET=1),0,R459+K459)</f>
        <v>#N/A</v>
      </c>
      <c r="S459" s="14" t="n">
        <f aca="false">IF(RESET=1,0,S459+N459)</f>
        <v>440.536716548164</v>
      </c>
      <c r="T459" s="2" t="e">
        <f aca="false">IF(RESET=1,0,T459+IF(H459=0,1,0))</f>
        <v>#N/A</v>
      </c>
      <c r="U459" s="2" t="n">
        <f aca="false">IF(RESET=1,0,U459+H459)</f>
        <v>34</v>
      </c>
      <c r="V459" s="14" t="e">
        <f aca="false">R459/(T459+0.00001)</f>
        <v>#N/A</v>
      </c>
      <c r="W459" s="14" t="n">
        <f aca="false">S459/(U459+0.0001)</f>
        <v>12.9569241428162</v>
      </c>
      <c r="X459" s="39" t="n">
        <f aca="false">IF(Informed=1,K459,0)</f>
        <v>0</v>
      </c>
      <c r="Y459" s="39" t="n">
        <f aca="false">IF(Informed=0,K459,0)</f>
        <v>2.98457406667717</v>
      </c>
      <c r="Z459" s="39" t="n">
        <f aca="false">IF(Informed=1,N459,0)</f>
        <v>0</v>
      </c>
      <c r="AA459" s="39" t="n">
        <f aca="false">IF(Informed=0,N459,0)</f>
        <v>0</v>
      </c>
      <c r="AB459" s="43" t="n">
        <f aca="false">IF(Arterial=0,IF(Informed=1,1,0),0)</f>
        <v>0</v>
      </c>
      <c r="AC459" s="43" t="n">
        <f aca="false">IF(Arterial=0,IF(Informed=0,1,0),0)</f>
        <v>1</v>
      </c>
      <c r="AD459" s="43" t="n">
        <f aca="false">IF(Arterial=1,IF(Informed=1,1,0),0)</f>
        <v>0</v>
      </c>
      <c r="AE459" s="43" t="n">
        <f aca="false">IF(Arterial=1,IF(Informed=0,1,0),0)</f>
        <v>0</v>
      </c>
      <c r="AF459" s="35" t="n">
        <f aca="false">IF(AB459=1,(X459-G$1030)^2,0)</f>
        <v>0</v>
      </c>
      <c r="AG459" s="35" t="n">
        <f aca="false">IF(AC459=1,(Y459-H$1030)^2,0)</f>
        <v>63.0310742248289</v>
      </c>
      <c r="AH459" s="35" t="n">
        <f aca="false">IF(AD459=1,(Z459-I$1030)^2,0)</f>
        <v>0</v>
      </c>
      <c r="AI459" s="35" t="n">
        <f aca="false">IF(AE459=1,(AA459-J$1030)^2,0)</f>
        <v>0</v>
      </c>
      <c r="AJ459" s="37" t="n">
        <f aca="true">IF(RAND()&lt;$D$6,1,0)</f>
        <v>0</v>
      </c>
      <c r="AK459" s="14" t="n">
        <f aca="false">AK458+IF((AJ459=1),IF((H459=0),1,0),0)</f>
        <v>0</v>
      </c>
      <c r="AL459" s="14" t="n">
        <f aca="false">AL458+IF((AJ459=1),IF((H459=1),1,0),0)</f>
        <v>0</v>
      </c>
      <c r="AM459" s="37" t="n">
        <f aca="false">IF(AK459=0,9999,IF($H459=0,IF($AJ459&lt;1,AM458+1,0),AM458))</f>
        <v>9999</v>
      </c>
      <c r="AN459" s="37" t="n">
        <f aca="false">IF(AL459=0,9999,IF($H459=1,IF($AJ459&lt;1,AN458+1,0),AN458))</f>
        <v>9999</v>
      </c>
      <c r="AO459" s="37" t="n">
        <f aca="false">IF($A459-AM459&gt;0,1/(1+AM459),0)</f>
        <v>0</v>
      </c>
      <c r="AP459" s="37" t="n">
        <f aca="false">IF($A459-AN459&gt;0,1/(1+AN459),0)</f>
        <v>0</v>
      </c>
      <c r="AQ459" s="7" t="n">
        <f aca="false">IF(AK459=0,0,MAX(MIN(1,AO459^Power),0))</f>
        <v>0</v>
      </c>
      <c r="AR459" s="7" t="n">
        <f aca="false">IF(AL459=0,0,MAX(MIN(1,AP459^Power),0))</f>
        <v>0</v>
      </c>
      <c r="AS459" s="7" t="n">
        <f aca="false">IF($AJ459=1,IF($H459=0,K459,AS458),AS458)</f>
        <v>0</v>
      </c>
      <c r="AT459" s="7" t="n">
        <f aca="false">IF($AJ459=1,IF($H459=1,N459,AT458),AT458)</f>
        <v>0</v>
      </c>
    </row>
    <row r="460" customFormat="false" ht="13" hidden="false" customHeight="false" outlineLevel="0" collapsed="false">
      <c r="A460" s="16" t="n">
        <v>443</v>
      </c>
      <c r="B460" s="37" t="n">
        <f aca="true">IF(RAND()&lt;$D$8,1,0)</f>
        <v>0</v>
      </c>
      <c r="C460" s="20" t="n">
        <f aca="true">-LN(RAND())/$D$2</f>
        <v>3.73602720856069</v>
      </c>
      <c r="D460" s="38" t="n">
        <f aca="false">D459+C460</f>
        <v>478.192133544253</v>
      </c>
      <c r="E460" s="39" t="n">
        <f aca="false">MAX($E$3,AS459)</f>
        <v>0</v>
      </c>
      <c r="F460" s="39" t="n">
        <f aca="false">MAX($E$3,AT459)</f>
        <v>0</v>
      </c>
      <c r="G460" s="40" t="n">
        <v>0.5</v>
      </c>
      <c r="H460" s="38" t="n">
        <f aca="true">IF((B460=1),(IF((F460&lt;E460),1,(IF((F460=E460),(IF(RAND()&lt;G460,1,0)),0)))),(IF((RAND()&lt;G460),1,0)))</f>
        <v>1</v>
      </c>
      <c r="I460" s="38" t="n">
        <f aca="true">IF((H460=1),0,$D$3+$D$5*(RAND()-0.5))</f>
        <v>0</v>
      </c>
      <c r="J460" s="38" t="n">
        <f aca="false">I460+MAX(D460,J459)</f>
        <v>478.192133544253</v>
      </c>
      <c r="K460" s="38" t="n">
        <f aca="false">IF((H460=0),J460-D460,0)</f>
        <v>0</v>
      </c>
      <c r="L460" s="38" t="n">
        <f aca="true">IF(($H460=0),0,$D$4+$D$5*(RAND()-0.5))</f>
        <v>1.95730393338373</v>
      </c>
      <c r="M460" s="38" t="n">
        <f aca="false">L460+MAX(D460,M459)</f>
        <v>511.304594921957</v>
      </c>
      <c r="N460" s="38" t="n">
        <f aca="false">IF((H460=1),M460-D460,0)</f>
        <v>33.1124613777043</v>
      </c>
      <c r="O460" s="16" t="n">
        <v>443</v>
      </c>
      <c r="P460" s="41" t="n">
        <f aca="false">IF((Arterial=0),P459+1,P459)</f>
        <v>202</v>
      </c>
      <c r="Q460" s="41" t="n">
        <f aca="false">IF((Arterial=1),Q459+1,Q459)</f>
        <v>241</v>
      </c>
      <c r="R460" s="42" t="n">
        <f aca="false">IF((RESET=1),0,R460+K460)</f>
        <v>537.109776945022</v>
      </c>
      <c r="S460" s="14" t="e">
        <f aca="false">IF(RESET=1,0,S460+N460)</f>
        <v>#N/A</v>
      </c>
      <c r="T460" s="2" t="n">
        <f aca="false">IF(RESET=1,0,T460+IF(H460=0,1,0))</f>
        <v>36</v>
      </c>
      <c r="U460" s="2" t="e">
        <f aca="false">IF(RESET=1,0,U460+H460)</f>
        <v>#N/A</v>
      </c>
      <c r="V460" s="14" t="n">
        <f aca="false">R460/(T460+0.00001)</f>
        <v>14.9197118818862</v>
      </c>
      <c r="W460" s="14" t="e">
        <f aca="false">S460/(U460+0.0001)</f>
        <v>#N/A</v>
      </c>
      <c r="X460" s="39" t="n">
        <f aca="false">IF(Informed=1,K460,0)</f>
        <v>0</v>
      </c>
      <c r="Y460" s="39" t="n">
        <f aca="false">IF(Informed=0,K460,0)</f>
        <v>0</v>
      </c>
      <c r="Z460" s="39" t="n">
        <f aca="false">IF(Informed=1,N460,0)</f>
        <v>0</v>
      </c>
      <c r="AA460" s="39" t="n">
        <f aca="false">IF(Informed=0,N460,0)</f>
        <v>33.1124613777043</v>
      </c>
      <c r="AB460" s="43" t="n">
        <f aca="false">IF(Arterial=0,IF(Informed=1,1,0),0)</f>
        <v>0</v>
      </c>
      <c r="AC460" s="43" t="n">
        <f aca="false">IF(Arterial=0,IF(Informed=0,1,0),0)</f>
        <v>0</v>
      </c>
      <c r="AD460" s="43" t="n">
        <f aca="false">IF(Arterial=1,IF(Informed=1,1,0),0)</f>
        <v>0</v>
      </c>
      <c r="AE460" s="43" t="n">
        <f aca="false">IF(Arterial=1,IF(Informed=0,1,0),0)</f>
        <v>1</v>
      </c>
      <c r="AF460" s="35" t="n">
        <f aca="false">IF(AB460=1,(X460-G$1030)^2,0)</f>
        <v>0</v>
      </c>
      <c r="AG460" s="35" t="n">
        <f aca="false">IF(AC460=1,(Y460-H$1030)^2,0)</f>
        <v>0</v>
      </c>
      <c r="AH460" s="35" t="n">
        <f aca="false">IF(AD460=1,(Z460-I$1030)^2,0)</f>
        <v>0</v>
      </c>
      <c r="AI460" s="35" t="n">
        <f aca="false">IF(AE460=1,(AA460-J$1030)^2,0)</f>
        <v>12.5896266403605</v>
      </c>
      <c r="AJ460" s="37" t="n">
        <f aca="true">IF(RAND()&lt;$D$6,1,0)</f>
        <v>0</v>
      </c>
      <c r="AK460" s="14" t="n">
        <f aca="false">AK459+IF((AJ460=1),IF((H460=0),1,0),0)</f>
        <v>0</v>
      </c>
      <c r="AL460" s="14" t="n">
        <f aca="false">AL459+IF((AJ460=1),IF((H460=1),1,0),0)</f>
        <v>0</v>
      </c>
      <c r="AM460" s="37" t="n">
        <f aca="false">IF(AK460=0,9999,IF($H460=0,IF($AJ460&lt;1,AM459+1,0),AM459))</f>
        <v>9999</v>
      </c>
      <c r="AN460" s="37" t="n">
        <f aca="false">IF(AL460=0,9999,IF($H460=1,IF($AJ460&lt;1,AN459+1,0),AN459))</f>
        <v>9999</v>
      </c>
      <c r="AO460" s="37" t="n">
        <f aca="false">IF($A460-AM460&gt;0,1/(1+AM460),0)</f>
        <v>0</v>
      </c>
      <c r="AP460" s="37" t="n">
        <f aca="false">IF($A460-AN460&gt;0,1/(1+AN460),0)</f>
        <v>0</v>
      </c>
      <c r="AQ460" s="7" t="n">
        <f aca="false">IF(AK460=0,0,MAX(MIN(1,AO460^Power),0))</f>
        <v>0</v>
      </c>
      <c r="AR460" s="7" t="n">
        <f aca="false">IF(AL460=0,0,MAX(MIN(1,AP460^Power),0))</f>
        <v>0</v>
      </c>
      <c r="AS460" s="7" t="n">
        <f aca="false">IF($AJ460=1,IF($H460=0,K460,AS459),AS459)</f>
        <v>0</v>
      </c>
      <c r="AT460" s="7" t="n">
        <f aca="false">IF($AJ460=1,IF($H460=1,N460,AT459),AT459)</f>
        <v>0</v>
      </c>
    </row>
    <row r="461" customFormat="false" ht="13" hidden="false" customHeight="false" outlineLevel="0" collapsed="false">
      <c r="A461" s="16" t="n">
        <v>444</v>
      </c>
      <c r="B461" s="37" t="n">
        <f aca="true">IF(RAND()&lt;$D$8,1,0)</f>
        <v>0</v>
      </c>
      <c r="C461" s="20" t="n">
        <f aca="true">-LN(RAND())/$D$2</f>
        <v>2.11760313232492</v>
      </c>
      <c r="D461" s="38" t="n">
        <f aca="false">D460+C461</f>
        <v>480.309736676578</v>
      </c>
      <c r="E461" s="39" t="n">
        <f aca="false">MAX($E$3,AS460)</f>
        <v>0</v>
      </c>
      <c r="F461" s="39" t="n">
        <f aca="false">MAX($E$3,AT460)</f>
        <v>0</v>
      </c>
      <c r="G461" s="40" t="n">
        <v>0.5</v>
      </c>
      <c r="H461" s="38" t="n">
        <f aca="true">IF((B461=1),(IF((F461&lt;E461),1,(IF((F461=E461),(IF(RAND()&lt;G461,1,0)),0)))),(IF((RAND()&lt;G461),1,0)))</f>
        <v>1</v>
      </c>
      <c r="I461" s="38" t="n">
        <f aca="true">IF((H461=1),0,$D$3+$D$5*(RAND()-0.5))</f>
        <v>0</v>
      </c>
      <c r="J461" s="38" t="n">
        <f aca="false">I461+MAX(D461,J460)</f>
        <v>480.309736676578</v>
      </c>
      <c r="K461" s="38" t="n">
        <f aca="false">IF((H461=0),J461-D461,0)</f>
        <v>0</v>
      </c>
      <c r="L461" s="38" t="n">
        <f aca="true">IF(($H461=0),0,$D$4+$D$5*(RAND()-0.5))</f>
        <v>1.83115783600858</v>
      </c>
      <c r="M461" s="38" t="n">
        <f aca="false">L461+MAX(D461,M460)</f>
        <v>513.135752757966</v>
      </c>
      <c r="N461" s="38" t="n">
        <f aca="false">IF((H461=1),M461-D461,0)</f>
        <v>32.826016081388</v>
      </c>
      <c r="O461" s="16" t="n">
        <v>444</v>
      </c>
      <c r="P461" s="41" t="n">
        <f aca="false">IF((Arterial=0),P460+1,P460)</f>
        <v>202</v>
      </c>
      <c r="Q461" s="41" t="n">
        <f aca="false">IF((Arterial=1),Q460+1,Q460)</f>
        <v>242</v>
      </c>
      <c r="R461" s="42" t="n">
        <f aca="false">IF((RESET=1),0,R461+K461)</f>
        <v>765.626968987383</v>
      </c>
      <c r="S461" s="14" t="e">
        <f aca="false">IF(RESET=1,0,S461+N461)</f>
        <v>#N/A</v>
      </c>
      <c r="T461" s="2" t="n">
        <f aca="false">IF(RESET=1,0,T461+IF(H461=0,1,0))</f>
        <v>41</v>
      </c>
      <c r="U461" s="2" t="e">
        <f aca="false">IF(RESET=1,0,U461+H461)</f>
        <v>#N/A</v>
      </c>
      <c r="V461" s="14" t="n">
        <f aca="false">R461/(T461+0.00001)</f>
        <v>18.6738239572962</v>
      </c>
      <c r="W461" s="14" t="e">
        <f aca="false">S461/(U461+0.0001)</f>
        <v>#N/A</v>
      </c>
      <c r="X461" s="39" t="n">
        <f aca="false">IF(Informed=1,K461,0)</f>
        <v>0</v>
      </c>
      <c r="Y461" s="39" t="n">
        <f aca="false">IF(Informed=0,K461,0)</f>
        <v>0</v>
      </c>
      <c r="Z461" s="39" t="n">
        <f aca="false">IF(Informed=1,N461,0)</f>
        <v>0</v>
      </c>
      <c r="AA461" s="39" t="n">
        <f aca="false">IF(Informed=0,N461,0)</f>
        <v>32.826016081388</v>
      </c>
      <c r="AB461" s="43" t="n">
        <f aca="false">IF(Arterial=0,IF(Informed=1,1,0),0)</f>
        <v>0</v>
      </c>
      <c r="AC461" s="43" t="n">
        <f aca="false">IF(Arterial=0,IF(Informed=0,1,0),0)</f>
        <v>0</v>
      </c>
      <c r="AD461" s="43" t="n">
        <f aca="false">IF(Arterial=1,IF(Informed=1,1,0),0)</f>
        <v>0</v>
      </c>
      <c r="AE461" s="43" t="n">
        <f aca="false">IF(Arterial=1,IF(Informed=0,1,0),0)</f>
        <v>1</v>
      </c>
      <c r="AF461" s="35" t="n">
        <f aca="false">IF(AB461=1,(X461-G$1030)^2,0)</f>
        <v>0</v>
      </c>
      <c r="AG461" s="35" t="n">
        <f aca="false">IF(AC461=1,(Y461-H$1030)^2,0)</f>
        <v>0</v>
      </c>
      <c r="AH461" s="35" t="n">
        <f aca="false">IF(AD461=1,(Z461-I$1030)^2,0)</f>
        <v>0</v>
      </c>
      <c r="AI461" s="35" t="n">
        <f aca="false">IF(AE461=1,(AA461-J$1030)^2,0)</f>
        <v>10.6389549458426</v>
      </c>
      <c r="AJ461" s="37" t="n">
        <f aca="true">IF(RAND()&lt;$D$6,1,0)</f>
        <v>0</v>
      </c>
      <c r="AK461" s="14" t="n">
        <f aca="false">AK460+IF((AJ461=1),IF((H461=0),1,0),0)</f>
        <v>0</v>
      </c>
      <c r="AL461" s="14" t="n">
        <f aca="false">AL460+IF((AJ461=1),IF((H461=1),1,0),0)</f>
        <v>0</v>
      </c>
      <c r="AM461" s="37" t="n">
        <f aca="false">IF(AK461=0,9999,IF($H461=0,IF($AJ461&lt;1,AM460+1,0),AM460))</f>
        <v>9999</v>
      </c>
      <c r="AN461" s="37" t="n">
        <f aca="false">IF(AL461=0,9999,IF($H461=1,IF($AJ461&lt;1,AN460+1,0),AN460))</f>
        <v>9999</v>
      </c>
      <c r="AO461" s="37" t="n">
        <f aca="false">IF($A461-AM461&gt;0,1/(1+AM461),0)</f>
        <v>0</v>
      </c>
      <c r="AP461" s="37" t="n">
        <f aca="false">IF($A461-AN461&gt;0,1/(1+AN461),0)</f>
        <v>0</v>
      </c>
      <c r="AQ461" s="7" t="n">
        <f aca="false">IF(AK461=0,0,MAX(MIN(1,AO461^Power),0))</f>
        <v>0</v>
      </c>
      <c r="AR461" s="7" t="n">
        <f aca="false">IF(AL461=0,0,MAX(MIN(1,AP461^Power),0))</f>
        <v>0</v>
      </c>
      <c r="AS461" s="7" t="n">
        <f aca="false">IF($AJ461=1,IF($H461=0,K461,AS460),AS460)</f>
        <v>0</v>
      </c>
      <c r="AT461" s="7" t="n">
        <f aca="false">IF($AJ461=1,IF($H461=1,N461,AT460),AT460)</f>
        <v>0</v>
      </c>
    </row>
    <row r="462" customFormat="false" ht="13" hidden="false" customHeight="false" outlineLevel="0" collapsed="false">
      <c r="A462" s="16" t="n">
        <v>445</v>
      </c>
      <c r="B462" s="37" t="n">
        <f aca="true">IF(RAND()&lt;$D$8,1,0)</f>
        <v>0</v>
      </c>
      <c r="C462" s="20" t="n">
        <f aca="true">-LN(RAND())/$D$2</f>
        <v>1.05890284733968</v>
      </c>
      <c r="D462" s="38" t="n">
        <f aca="false">D461+C462</f>
        <v>481.368639523917</v>
      </c>
      <c r="E462" s="39" t="n">
        <f aca="false">MAX($E$3,AS461)</f>
        <v>0</v>
      </c>
      <c r="F462" s="39" t="n">
        <f aca="false">MAX($E$3,AT461)</f>
        <v>0</v>
      </c>
      <c r="G462" s="40" t="n">
        <v>0.5</v>
      </c>
      <c r="H462" s="38" t="n">
        <f aca="true">IF((B462=1),(IF((F462&lt;E462),1,(IF((F462=E462),(IF(RAND()&lt;G462,1,0)),0)))),(IF((RAND()&lt;G462),1,0)))</f>
        <v>0</v>
      </c>
      <c r="I462" s="38" t="n">
        <f aca="true">IF((H462=1),0,$D$3+$D$5*(RAND()-0.5))</f>
        <v>1.85099891131797</v>
      </c>
      <c r="J462" s="38" t="n">
        <f aca="false">I462+MAX(D462,J461)</f>
        <v>483.219638435235</v>
      </c>
      <c r="K462" s="38" t="n">
        <f aca="false">IF((H462=0),J462-D462,0)</f>
        <v>1.85099891131796</v>
      </c>
      <c r="L462" s="38" t="n">
        <f aca="true">IF(($H462=0),0,$D$4+$D$5*(RAND()-0.5))</f>
        <v>0</v>
      </c>
      <c r="M462" s="38" t="n">
        <f aca="false">L462+MAX(D462,M461)</f>
        <v>513.135752757966</v>
      </c>
      <c r="N462" s="38" t="n">
        <f aca="false">IF((H462=1),M462-D462,0)</f>
        <v>0</v>
      </c>
      <c r="O462" s="16" t="n">
        <v>445</v>
      </c>
      <c r="P462" s="41" t="n">
        <f aca="false">IF((Arterial=0),P461+1,P461)</f>
        <v>203</v>
      </c>
      <c r="Q462" s="41" t="n">
        <f aca="false">IF((Arterial=1),Q461+1,Q461)</f>
        <v>242</v>
      </c>
      <c r="R462" s="42" t="e">
        <f aca="false">IF((RESET=1),0,R462+K462)</f>
        <v>#N/A</v>
      </c>
      <c r="S462" s="14" t="n">
        <f aca="false">IF(RESET=1,0,S462+N462)</f>
        <v>551.380960079507</v>
      </c>
      <c r="T462" s="2" t="e">
        <f aca="false">IF(RESET=1,0,T462+IF(H462=0,1,0))</f>
        <v>#N/A</v>
      </c>
      <c r="U462" s="2" t="n">
        <f aca="false">IF(RESET=1,0,U462+H462)</f>
        <v>44</v>
      </c>
      <c r="V462" s="14" t="e">
        <f aca="false">R462/(T462+0.00001)</f>
        <v>#N/A</v>
      </c>
      <c r="W462" s="14" t="n">
        <f aca="false">S462/(U462+0.0001)</f>
        <v>12.5313569759957</v>
      </c>
      <c r="X462" s="39" t="n">
        <f aca="false">IF(Informed=1,K462,0)</f>
        <v>0</v>
      </c>
      <c r="Y462" s="39" t="n">
        <f aca="false">IF(Informed=0,K462,0)</f>
        <v>1.85099891131796</v>
      </c>
      <c r="Z462" s="39" t="n">
        <f aca="false">IF(Informed=1,N462,0)</f>
        <v>0</v>
      </c>
      <c r="AA462" s="39" t="n">
        <f aca="false">IF(Informed=0,N462,0)</f>
        <v>0</v>
      </c>
      <c r="AB462" s="43" t="n">
        <f aca="false">IF(Arterial=0,IF(Informed=1,1,0),0)</f>
        <v>0</v>
      </c>
      <c r="AC462" s="43" t="n">
        <f aca="false">IF(Arterial=0,IF(Informed=0,1,0),0)</f>
        <v>1</v>
      </c>
      <c r="AD462" s="43" t="n">
        <f aca="false">IF(Arterial=1,IF(Informed=1,1,0),0)</f>
        <v>0</v>
      </c>
      <c r="AE462" s="43" t="n">
        <f aca="false">IF(Arterial=1,IF(Informed=0,1,0),0)</f>
        <v>0</v>
      </c>
      <c r="AF462" s="35" t="n">
        <f aca="false">IF(AB462=1,(X462-G$1030)^2,0)</f>
        <v>0</v>
      </c>
      <c r="AG462" s="35" t="n">
        <f aca="false">IF(AC462=1,(Y462-H$1030)^2,0)</f>
        <v>82.3154519604381</v>
      </c>
      <c r="AH462" s="35" t="n">
        <f aca="false">IF(AD462=1,(Z462-I$1030)^2,0)</f>
        <v>0</v>
      </c>
      <c r="AI462" s="35" t="n">
        <f aca="false">IF(AE462=1,(AA462-J$1030)^2,0)</f>
        <v>0</v>
      </c>
      <c r="AJ462" s="37" t="n">
        <f aca="true">IF(RAND()&lt;$D$6,1,0)</f>
        <v>0</v>
      </c>
      <c r="AK462" s="14" t="n">
        <f aca="false">AK461+IF((AJ462=1),IF((H462=0),1,0),0)</f>
        <v>0</v>
      </c>
      <c r="AL462" s="14" t="n">
        <f aca="false">AL461+IF((AJ462=1),IF((H462=1),1,0),0)</f>
        <v>0</v>
      </c>
      <c r="AM462" s="37" t="n">
        <f aca="false">IF(AK462=0,9999,IF($H462=0,IF($AJ462&lt;1,AM461+1,0),AM461))</f>
        <v>9999</v>
      </c>
      <c r="AN462" s="37" t="n">
        <f aca="false">IF(AL462=0,9999,IF($H462=1,IF($AJ462&lt;1,AN461+1,0),AN461))</f>
        <v>9999</v>
      </c>
      <c r="AO462" s="37" t="n">
        <f aca="false">IF($A462-AM462&gt;0,1/(1+AM462),0)</f>
        <v>0</v>
      </c>
      <c r="AP462" s="37" t="n">
        <f aca="false">IF($A462-AN462&gt;0,1/(1+AN462),0)</f>
        <v>0</v>
      </c>
      <c r="AQ462" s="7" t="n">
        <f aca="false">IF(AK462=0,0,MAX(MIN(1,AO462^Power),0))</f>
        <v>0</v>
      </c>
      <c r="AR462" s="7" t="n">
        <f aca="false">IF(AL462=0,0,MAX(MIN(1,AP462^Power),0))</f>
        <v>0</v>
      </c>
      <c r="AS462" s="7" t="n">
        <f aca="false">IF($AJ462=1,IF($H462=0,K462,AS461),AS461)</f>
        <v>0</v>
      </c>
      <c r="AT462" s="7" t="n">
        <f aca="false">IF($AJ462=1,IF($H462=1,N462,AT461),AT461)</f>
        <v>0</v>
      </c>
    </row>
    <row r="463" customFormat="false" ht="13" hidden="false" customHeight="false" outlineLevel="0" collapsed="false">
      <c r="A463" s="16" t="n">
        <v>446</v>
      </c>
      <c r="B463" s="37" t="n">
        <f aca="true">IF(RAND()&lt;$D$8,1,0)</f>
        <v>1</v>
      </c>
      <c r="C463" s="20" t="n">
        <f aca="true">-LN(RAND())/$D$2</f>
        <v>0.0975071405546848</v>
      </c>
      <c r="D463" s="38" t="n">
        <f aca="false">D462+C463</f>
        <v>481.466146664472</v>
      </c>
      <c r="E463" s="39" t="n">
        <f aca="false">MAX($E$3,AS462)</f>
        <v>0</v>
      </c>
      <c r="F463" s="39" t="n">
        <f aca="false">MAX($E$3,AT462)</f>
        <v>0</v>
      </c>
      <c r="G463" s="40" t="n">
        <v>0.5</v>
      </c>
      <c r="H463" s="38" t="n">
        <f aca="true">IF((B463=1),(IF((F463&lt;E463),1,(IF((F463=E463),(IF(RAND()&lt;G463,1,0)),0)))),(IF((RAND()&lt;G463),1,0)))</f>
        <v>1</v>
      </c>
      <c r="I463" s="38" t="n">
        <f aca="true">IF((H463=1),0,$D$3+$D$5*(RAND()-0.5))</f>
        <v>0</v>
      </c>
      <c r="J463" s="38" t="n">
        <f aca="false">I463+MAX(D463,J462)</f>
        <v>483.219638435235</v>
      </c>
      <c r="K463" s="38" t="n">
        <f aca="false">IF((H463=0),J463-D463,0)</f>
        <v>0</v>
      </c>
      <c r="L463" s="38" t="n">
        <f aca="true">IF(($H463=0),0,$D$4+$D$5*(RAND()-0.5))</f>
        <v>2.19962288400835</v>
      </c>
      <c r="M463" s="38" t="n">
        <f aca="false">L463+MAX(D463,M462)</f>
        <v>515.335375641974</v>
      </c>
      <c r="N463" s="38" t="n">
        <f aca="false">IF((H463=1),M463-D463,0)</f>
        <v>33.869228977502</v>
      </c>
      <c r="O463" s="16" t="n">
        <v>446</v>
      </c>
      <c r="P463" s="41" t="n">
        <f aca="false">IF((Arterial=0),P462+1,P462)</f>
        <v>203</v>
      </c>
      <c r="Q463" s="41" t="n">
        <f aca="false">IF((Arterial=1),Q462+1,Q462)</f>
        <v>243</v>
      </c>
      <c r="R463" s="42" t="n">
        <f aca="false">IF((RESET=1),0,R463+K463)</f>
        <v>732.91777891599</v>
      </c>
      <c r="S463" s="14" t="e">
        <f aca="false">IF(RESET=1,0,S463+N463)</f>
        <v>#N/A</v>
      </c>
      <c r="T463" s="2" t="n">
        <f aca="false">IF(RESET=1,0,T463+IF(H463=0,1,0))</f>
        <v>42</v>
      </c>
      <c r="U463" s="2" t="e">
        <f aca="false">IF(RESET=1,0,U463+H463)</f>
        <v>#N/A</v>
      </c>
      <c r="V463" s="14" t="n">
        <f aca="false">R463/(T463+0.00001)</f>
        <v>17.4504191526619</v>
      </c>
      <c r="W463" s="14" t="e">
        <f aca="false">S463/(U463+0.0001)</f>
        <v>#N/A</v>
      </c>
      <c r="X463" s="39" t="n">
        <f aca="false">IF(Informed=1,K463,0)</f>
        <v>0</v>
      </c>
      <c r="Y463" s="39" t="n">
        <f aca="false">IF(Informed=0,K463,0)</f>
        <v>0</v>
      </c>
      <c r="Z463" s="39" t="n">
        <f aca="false">IF(Informed=1,N463,0)</f>
        <v>33.869228977502</v>
      </c>
      <c r="AA463" s="39" t="n">
        <f aca="false">IF(Informed=0,N463,0)</f>
        <v>0</v>
      </c>
      <c r="AB463" s="43" t="n">
        <f aca="false">IF(Arterial=0,IF(Informed=1,1,0),0)</f>
        <v>0</v>
      </c>
      <c r="AC463" s="43" t="n">
        <f aca="false">IF(Arterial=0,IF(Informed=0,1,0),0)</f>
        <v>0</v>
      </c>
      <c r="AD463" s="43" t="n">
        <f aca="false">IF(Arterial=1,IF(Informed=1,1,0),0)</f>
        <v>1</v>
      </c>
      <c r="AE463" s="43" t="n">
        <f aca="false">IF(Arterial=1,IF(Informed=0,1,0),0)</f>
        <v>0</v>
      </c>
      <c r="AF463" s="35" t="n">
        <f aca="false">IF(AB463=1,(X463-G$1030)^2,0)</f>
        <v>0</v>
      </c>
      <c r="AG463" s="35" t="n">
        <f aca="false">IF(AC463=1,(Y463-H$1030)^2,0)</f>
        <v>0</v>
      </c>
      <c r="AH463" s="35" t="n">
        <f aca="false">IF(AD463=1,(Z463-I$1030)^2,0)</f>
        <v>30.1883674520958</v>
      </c>
      <c r="AI463" s="35" t="n">
        <f aca="false">IF(AE463=1,(AA463-J$1030)^2,0)</f>
        <v>0</v>
      </c>
      <c r="AJ463" s="37" t="n">
        <f aca="true">IF(RAND()&lt;$D$6,1,0)</f>
        <v>0</v>
      </c>
      <c r="AK463" s="14" t="n">
        <f aca="false">AK462+IF((AJ463=1),IF((H463=0),1,0),0)</f>
        <v>0</v>
      </c>
      <c r="AL463" s="14" t="n">
        <f aca="false">AL462+IF((AJ463=1),IF((H463=1),1,0),0)</f>
        <v>0</v>
      </c>
      <c r="AM463" s="37" t="n">
        <f aca="false">IF(AK463=0,9999,IF($H463=0,IF($AJ463&lt;1,AM462+1,0),AM462))</f>
        <v>9999</v>
      </c>
      <c r="AN463" s="37" t="n">
        <f aca="false">IF(AL463=0,9999,IF($H463=1,IF($AJ463&lt;1,AN462+1,0),AN462))</f>
        <v>9999</v>
      </c>
      <c r="AO463" s="37" t="n">
        <f aca="false">IF($A463-AM463&gt;0,1/(1+AM463),0)</f>
        <v>0</v>
      </c>
      <c r="AP463" s="37" t="n">
        <f aca="false">IF($A463-AN463&gt;0,1/(1+AN463),0)</f>
        <v>0</v>
      </c>
      <c r="AQ463" s="7" t="n">
        <f aca="false">IF(AK463=0,0,MAX(MIN(1,AO463^Power),0))</f>
        <v>0</v>
      </c>
      <c r="AR463" s="7" t="n">
        <f aca="false">IF(AL463=0,0,MAX(MIN(1,AP463^Power),0))</f>
        <v>0</v>
      </c>
      <c r="AS463" s="7" t="n">
        <f aca="false">IF($AJ463=1,IF($H463=0,K463,AS462),AS462)</f>
        <v>0</v>
      </c>
      <c r="AT463" s="7" t="n">
        <f aca="false">IF($AJ463=1,IF($H463=1,N463,AT462),AT462)</f>
        <v>0</v>
      </c>
    </row>
    <row r="464" customFormat="false" ht="13" hidden="false" customHeight="false" outlineLevel="0" collapsed="false">
      <c r="A464" s="16" t="n">
        <v>447</v>
      </c>
      <c r="B464" s="37" t="n">
        <f aca="true">IF(RAND()&lt;$D$8,1,0)</f>
        <v>0</v>
      </c>
      <c r="C464" s="20" t="n">
        <f aca="true">-LN(RAND())/$D$2</f>
        <v>0.50954319790283</v>
      </c>
      <c r="D464" s="38" t="n">
        <f aca="false">D463+C464</f>
        <v>481.975689862375</v>
      </c>
      <c r="E464" s="39" t="n">
        <f aca="false">MAX($E$3,AS463)</f>
        <v>0</v>
      </c>
      <c r="F464" s="39" t="n">
        <f aca="false">MAX($E$3,AT463)</f>
        <v>0</v>
      </c>
      <c r="G464" s="40" t="n">
        <v>0.5</v>
      </c>
      <c r="H464" s="38" t="n">
        <f aca="true">IF((B464=1),(IF((F464&lt;E464),1,(IF((F464=E464),(IF(RAND()&lt;G464,1,0)),0)))),(IF((RAND()&lt;G464),1,0)))</f>
        <v>1</v>
      </c>
      <c r="I464" s="38" t="n">
        <f aca="true">IF((H464=1),0,$D$3+$D$5*(RAND()-0.5))</f>
        <v>0</v>
      </c>
      <c r="J464" s="38" t="n">
        <f aca="false">I464+MAX(D464,J463)</f>
        <v>483.219638435235</v>
      </c>
      <c r="K464" s="38" t="n">
        <f aca="false">IF((H464=0),J464-D464,0)</f>
        <v>0</v>
      </c>
      <c r="L464" s="38" t="n">
        <f aca="true">IF(($H464=0),0,$D$4+$D$5*(RAND()-0.5))</f>
        <v>2.07755968564509</v>
      </c>
      <c r="M464" s="38" t="n">
        <f aca="false">L464+MAX(D464,M463)</f>
        <v>517.412935327619</v>
      </c>
      <c r="N464" s="38" t="n">
        <f aca="false">IF((H464=1),M464-D464,0)</f>
        <v>35.4372454652442</v>
      </c>
      <c r="O464" s="16" t="n">
        <v>447</v>
      </c>
      <c r="P464" s="41" t="n">
        <f aca="false">IF((Arterial=0),P463+1,P463)</f>
        <v>203</v>
      </c>
      <c r="Q464" s="41" t="n">
        <f aca="false">IF((Arterial=1),Q463+1,Q463)</f>
        <v>244</v>
      </c>
      <c r="R464" s="42" t="n">
        <f aca="false">IF((RESET=1),0,R464+K464)</f>
        <v>719.860926238176</v>
      </c>
      <c r="S464" s="14" t="e">
        <f aca="false">IF(RESET=1,0,S464+N464)</f>
        <v>#N/A</v>
      </c>
      <c r="T464" s="2" t="n">
        <f aca="false">IF(RESET=1,0,T464+IF(H464=0,1,0))</f>
        <v>41</v>
      </c>
      <c r="U464" s="2" t="e">
        <f aca="false">IF(RESET=1,0,U464+H464)</f>
        <v>#N/A</v>
      </c>
      <c r="V464" s="14" t="n">
        <f aca="false">R464/(T464+0.00001)</f>
        <v>17.5575792844484</v>
      </c>
      <c r="W464" s="14" t="e">
        <f aca="false">S464/(U464+0.0001)</f>
        <v>#N/A</v>
      </c>
      <c r="X464" s="39" t="n">
        <f aca="false">IF(Informed=1,K464,0)</f>
        <v>0</v>
      </c>
      <c r="Y464" s="39" t="n">
        <f aca="false">IF(Informed=0,K464,0)</f>
        <v>0</v>
      </c>
      <c r="Z464" s="39" t="n">
        <f aca="false">IF(Informed=1,N464,0)</f>
        <v>0</v>
      </c>
      <c r="AA464" s="39" t="n">
        <f aca="false">IF(Informed=0,N464,0)</f>
        <v>35.4372454652442</v>
      </c>
      <c r="AB464" s="43" t="n">
        <f aca="false">IF(Arterial=0,IF(Informed=1,1,0),0)</f>
        <v>0</v>
      </c>
      <c r="AC464" s="43" t="n">
        <f aca="false">IF(Arterial=0,IF(Informed=0,1,0),0)</f>
        <v>0</v>
      </c>
      <c r="AD464" s="43" t="n">
        <f aca="false">IF(Arterial=1,IF(Informed=1,1,0),0)</f>
        <v>0</v>
      </c>
      <c r="AE464" s="43" t="n">
        <f aca="false">IF(Arterial=1,IF(Informed=0,1,0),0)</f>
        <v>1</v>
      </c>
      <c r="AF464" s="35" t="n">
        <f aca="false">IF(AB464=1,(X464-G$1030)^2,0)</f>
        <v>0</v>
      </c>
      <c r="AG464" s="35" t="n">
        <f aca="false">IF(AC464=1,(Y464-H$1030)^2,0)</f>
        <v>0</v>
      </c>
      <c r="AH464" s="35" t="n">
        <f aca="false">IF(AD464=1,(Z464-I$1030)^2,0)</f>
        <v>0</v>
      </c>
      <c r="AI464" s="35" t="n">
        <f aca="false">IF(AE464=1,(AA464-J$1030)^2,0)</f>
        <v>34.4917822005584</v>
      </c>
      <c r="AJ464" s="37" t="n">
        <f aca="true">IF(RAND()&lt;$D$6,1,0)</f>
        <v>0</v>
      </c>
      <c r="AK464" s="14" t="n">
        <f aca="false">AK463+IF((AJ464=1),IF((H464=0),1,0),0)</f>
        <v>0</v>
      </c>
      <c r="AL464" s="14" t="n">
        <f aca="false">AL463+IF((AJ464=1),IF((H464=1),1,0),0)</f>
        <v>0</v>
      </c>
      <c r="AM464" s="37" t="n">
        <f aca="false">IF(AK464=0,9999,IF($H464=0,IF($AJ464&lt;1,AM463+1,0),AM463))</f>
        <v>9999</v>
      </c>
      <c r="AN464" s="37" t="n">
        <f aca="false">IF(AL464=0,9999,IF($H464=1,IF($AJ464&lt;1,AN463+1,0),AN463))</f>
        <v>9999</v>
      </c>
      <c r="AO464" s="37" t="n">
        <f aca="false">IF($A464-AM464&gt;0,1/(1+AM464),0)</f>
        <v>0</v>
      </c>
      <c r="AP464" s="37" t="n">
        <f aca="false">IF($A464-AN464&gt;0,1/(1+AN464),0)</f>
        <v>0</v>
      </c>
      <c r="AQ464" s="7" t="n">
        <f aca="false">IF(AK464=0,0,MAX(MIN(1,AO464^Power),0))</f>
        <v>0</v>
      </c>
      <c r="AR464" s="7" t="n">
        <f aca="false">IF(AL464=0,0,MAX(MIN(1,AP464^Power),0))</f>
        <v>0</v>
      </c>
      <c r="AS464" s="7" t="n">
        <f aca="false">IF($AJ464=1,IF($H464=0,K464,AS463),AS463)</f>
        <v>0</v>
      </c>
      <c r="AT464" s="7" t="n">
        <f aca="false">IF($AJ464=1,IF($H464=1,N464,AT463),AT463)</f>
        <v>0</v>
      </c>
    </row>
    <row r="465" customFormat="false" ht="13" hidden="false" customHeight="false" outlineLevel="0" collapsed="false">
      <c r="A465" s="16" t="n">
        <v>448</v>
      </c>
      <c r="B465" s="37" t="n">
        <f aca="true">IF(RAND()&lt;$D$8,1,0)</f>
        <v>0</v>
      </c>
      <c r="C465" s="20" t="n">
        <f aca="true">-LN(RAND())/$D$2</f>
        <v>0.444084954862712</v>
      </c>
      <c r="D465" s="38" t="n">
        <f aca="false">D464+C465</f>
        <v>482.419774817237</v>
      </c>
      <c r="E465" s="39" t="n">
        <f aca="false">MAX($E$3,AS464)</f>
        <v>0</v>
      </c>
      <c r="F465" s="39" t="n">
        <f aca="false">MAX($E$3,AT464)</f>
        <v>0</v>
      </c>
      <c r="G465" s="40" t="n">
        <v>0.5</v>
      </c>
      <c r="H465" s="38" t="n">
        <f aca="true">IF((B465=1),(IF((F465&lt;E465),1,(IF((F465=E465),(IF(RAND()&lt;G465,1,0)),0)))),(IF((RAND()&lt;G465),1,0)))</f>
        <v>0</v>
      </c>
      <c r="I465" s="38" t="n">
        <f aca="true">IF((H465=1),0,$D$3+$D$5*(RAND()-0.5))</f>
        <v>2.08823824077165</v>
      </c>
      <c r="J465" s="38" t="n">
        <f aca="false">I465+MAX(D465,J464)</f>
        <v>485.307876676007</v>
      </c>
      <c r="K465" s="38" t="n">
        <f aca="false">IF((H465=0),J465-D465,0)</f>
        <v>2.8881018587694</v>
      </c>
      <c r="L465" s="38" t="n">
        <f aca="true">IF(($H465=0),0,$D$4+$D$5*(RAND()-0.5))</f>
        <v>0</v>
      </c>
      <c r="M465" s="38" t="n">
        <f aca="false">L465+MAX(D465,M464)</f>
        <v>517.412935327619</v>
      </c>
      <c r="N465" s="38" t="n">
        <f aca="false">IF((H465=1),M465-D465,0)</f>
        <v>0</v>
      </c>
      <c r="O465" s="16" t="n">
        <v>448</v>
      </c>
      <c r="P465" s="41" t="n">
        <f aca="false">IF((Arterial=0),P464+1,P464)</f>
        <v>204</v>
      </c>
      <c r="Q465" s="41" t="n">
        <f aca="false">IF((Arterial=1),Q464+1,Q464)</f>
        <v>244</v>
      </c>
      <c r="R465" s="42" t="e">
        <f aca="false">IF((RESET=1),0,R465+K465)</f>
        <v>#N/A</v>
      </c>
      <c r="S465" s="14" t="n">
        <f aca="false">IF(RESET=1,0,S465+N465)</f>
        <v>507.115287882509</v>
      </c>
      <c r="T465" s="2" t="e">
        <f aca="false">IF(RESET=1,0,T465+IF(H465=0,1,0))</f>
        <v>#N/A</v>
      </c>
      <c r="U465" s="2" t="n">
        <f aca="false">IF(RESET=1,0,U465+H465)</f>
        <v>35</v>
      </c>
      <c r="V465" s="14" t="e">
        <f aca="false">R465/(T465+0.00001)</f>
        <v>#N/A</v>
      </c>
      <c r="W465" s="14" t="n">
        <f aca="false">S465/(U465+0.0001)</f>
        <v>14.4889668281665</v>
      </c>
      <c r="X465" s="39" t="n">
        <f aca="false">IF(Informed=1,K465,0)</f>
        <v>0</v>
      </c>
      <c r="Y465" s="39" t="n">
        <f aca="false">IF(Informed=0,K465,0)</f>
        <v>2.8881018587694</v>
      </c>
      <c r="Z465" s="39" t="n">
        <f aca="false">IF(Informed=1,N465,0)</f>
        <v>0</v>
      </c>
      <c r="AA465" s="39" t="n">
        <f aca="false">IF(Informed=0,N465,0)</f>
        <v>0</v>
      </c>
      <c r="AB465" s="43" t="n">
        <f aca="false">IF(Arterial=0,IF(Informed=1,1,0),0)</f>
        <v>0</v>
      </c>
      <c r="AC465" s="43" t="n">
        <f aca="false">IF(Arterial=0,IF(Informed=0,1,0),0)</f>
        <v>1</v>
      </c>
      <c r="AD465" s="43" t="n">
        <f aca="false">IF(Arterial=1,IF(Informed=1,1,0),0)</f>
        <v>0</v>
      </c>
      <c r="AE465" s="43" t="n">
        <f aca="false">IF(Arterial=1,IF(Informed=0,1,0),0)</f>
        <v>0</v>
      </c>
      <c r="AF465" s="35" t="n">
        <f aca="false">IF(AB465=1,(X465-G$1030)^2,0)</f>
        <v>0</v>
      </c>
      <c r="AG465" s="35" t="n">
        <f aca="false">IF(AC465=1,(Y465-H$1030)^2,0)</f>
        <v>64.5722075756687</v>
      </c>
      <c r="AH465" s="35" t="n">
        <f aca="false">IF(AD465=1,(Z465-I$1030)^2,0)</f>
        <v>0</v>
      </c>
      <c r="AI465" s="35" t="n">
        <f aca="false">IF(AE465=1,(AA465-J$1030)^2,0)</f>
        <v>0</v>
      </c>
      <c r="AJ465" s="37" t="n">
        <f aca="true">IF(RAND()&lt;$D$6,1,0)</f>
        <v>0</v>
      </c>
      <c r="AK465" s="14" t="n">
        <f aca="false">AK464+IF((AJ465=1),IF((H465=0),1,0),0)</f>
        <v>0</v>
      </c>
      <c r="AL465" s="14" t="n">
        <f aca="false">AL464+IF((AJ465=1),IF((H465=1),1,0),0)</f>
        <v>0</v>
      </c>
      <c r="AM465" s="37" t="n">
        <f aca="false">IF(AK465=0,9999,IF($H465=0,IF($AJ465&lt;1,AM464+1,0),AM464))</f>
        <v>9999</v>
      </c>
      <c r="AN465" s="37" t="n">
        <f aca="false">IF(AL465=0,9999,IF($H465=1,IF($AJ465&lt;1,AN464+1,0),AN464))</f>
        <v>9999</v>
      </c>
      <c r="AO465" s="37" t="n">
        <f aca="false">IF($A465-AM465&gt;0,1/(1+AM465),0)</f>
        <v>0</v>
      </c>
      <c r="AP465" s="37" t="n">
        <f aca="false">IF($A465-AN465&gt;0,1/(1+AN465),0)</f>
        <v>0</v>
      </c>
      <c r="AQ465" s="7" t="n">
        <f aca="false">IF(AK465=0,0,MAX(MIN(1,AO465^Power),0))</f>
        <v>0</v>
      </c>
      <c r="AR465" s="7" t="n">
        <f aca="false">IF(AL465=0,0,MAX(MIN(1,AP465^Power),0))</f>
        <v>0</v>
      </c>
      <c r="AS465" s="7" t="n">
        <f aca="false">IF($AJ465=1,IF($H465=0,K465,AS464),AS464)</f>
        <v>0</v>
      </c>
      <c r="AT465" s="7" t="n">
        <f aca="false">IF($AJ465=1,IF($H465=1,N465,AT464),AT464)</f>
        <v>0</v>
      </c>
    </row>
    <row r="466" customFormat="false" ht="13" hidden="false" customHeight="false" outlineLevel="0" collapsed="false">
      <c r="A466" s="16" t="n">
        <v>449</v>
      </c>
      <c r="B466" s="37" t="n">
        <f aca="true">IF(RAND()&lt;$D$8,1,0)</f>
        <v>1</v>
      </c>
      <c r="C466" s="20" t="n">
        <f aca="true">-LN(RAND())/$D$2</f>
        <v>0.031438536089911</v>
      </c>
      <c r="D466" s="38" t="n">
        <f aca="false">D465+C466</f>
        <v>482.451213353327</v>
      </c>
      <c r="E466" s="39" t="n">
        <f aca="false">MAX($E$3,AS465)</f>
        <v>0</v>
      </c>
      <c r="F466" s="39" t="n">
        <f aca="false">MAX($E$3,AT465)</f>
        <v>0</v>
      </c>
      <c r="G466" s="40" t="n">
        <v>0.5</v>
      </c>
      <c r="H466" s="38" t="n">
        <f aca="true">IF((B466=1),(IF((F466&lt;E466),1,(IF((F466=E466),(IF(RAND()&lt;G466,1,0)),0)))),(IF((RAND()&lt;G466),1,0)))</f>
        <v>0</v>
      </c>
      <c r="I466" s="38" t="n">
        <f aca="true">IF((H466=1),0,$D$3+$D$5*(RAND()-0.5))</f>
        <v>2.12994417606576</v>
      </c>
      <c r="J466" s="38" t="n">
        <f aca="false">I466+MAX(D466,J465)</f>
        <v>487.437820852073</v>
      </c>
      <c r="K466" s="38" t="n">
        <f aca="false">IF((H466=0),J466-D466,0)</f>
        <v>4.98660749874523</v>
      </c>
      <c r="L466" s="38" t="n">
        <f aca="true">IF(($H466=0),0,$D$4+$D$5*(RAND()-0.5))</f>
        <v>0</v>
      </c>
      <c r="M466" s="38" t="n">
        <f aca="false">L466+MAX(D466,M465)</f>
        <v>517.412935327619</v>
      </c>
      <c r="N466" s="38" t="n">
        <f aca="false">IF((H466=1),M466-D466,0)</f>
        <v>0</v>
      </c>
      <c r="O466" s="16" t="n">
        <v>449</v>
      </c>
      <c r="P466" s="41" t="n">
        <f aca="false">IF((Arterial=0),P465+1,P465)</f>
        <v>205</v>
      </c>
      <c r="Q466" s="41" t="n">
        <f aca="false">IF((Arterial=1),Q465+1,Q465)</f>
        <v>244</v>
      </c>
      <c r="R466" s="42" t="e">
        <f aca="false">IF((RESET=1),0,R466+K466)</f>
        <v>#N/A</v>
      </c>
      <c r="S466" s="14" t="n">
        <f aca="false">IF(RESET=1,0,S466+N466)</f>
        <v>411.189873758112</v>
      </c>
      <c r="T466" s="2" t="e">
        <f aca="false">IF(RESET=1,0,T466+IF(H466=0,1,0))</f>
        <v>#N/A</v>
      </c>
      <c r="U466" s="2" t="n">
        <f aca="false">IF(RESET=1,0,U466+H466)</f>
        <v>35</v>
      </c>
      <c r="V466" s="14" t="e">
        <f aca="false">R466/(T466+0.00001)</f>
        <v>#N/A</v>
      </c>
      <c r="W466" s="14" t="n">
        <f aca="false">S466/(U466+0.0001)</f>
        <v>11.7482485409502</v>
      </c>
      <c r="X466" s="39" t="n">
        <f aca="false">IF(Informed=1,K466,0)</f>
        <v>4.98660749874523</v>
      </c>
      <c r="Y466" s="39" t="n">
        <f aca="false">IF(Informed=0,K466,0)</f>
        <v>0</v>
      </c>
      <c r="Z466" s="39" t="n">
        <f aca="false">IF(Informed=1,N466,0)</f>
        <v>0</v>
      </c>
      <c r="AA466" s="39" t="n">
        <f aca="false">IF(Informed=0,N466,0)</f>
        <v>0</v>
      </c>
      <c r="AB466" s="43" t="n">
        <f aca="false">IF(Arterial=0,IF(Informed=1,1,0),0)</f>
        <v>1</v>
      </c>
      <c r="AC466" s="43" t="n">
        <f aca="false">IF(Arterial=0,IF(Informed=0,1,0),0)</f>
        <v>0</v>
      </c>
      <c r="AD466" s="43" t="n">
        <f aca="false">IF(Arterial=1,IF(Informed=1,1,0),0)</f>
        <v>0</v>
      </c>
      <c r="AE466" s="43" t="n">
        <f aca="false">IF(Arterial=1,IF(Informed=0,1,0),0)</f>
        <v>0</v>
      </c>
      <c r="AF466" s="35" t="n">
        <f aca="false">IF(AB466=1,(X466-G$1030)^2,0)</f>
        <v>32.7535387297603</v>
      </c>
      <c r="AG466" s="35" t="n">
        <f aca="false">IF(AC466=1,(Y466-H$1030)^2,0)</f>
        <v>0</v>
      </c>
      <c r="AH466" s="35" t="n">
        <f aca="false">IF(AD466=1,(Z466-I$1030)^2,0)</f>
        <v>0</v>
      </c>
      <c r="AI466" s="35" t="n">
        <f aca="false">IF(AE466=1,(AA466-J$1030)^2,0)</f>
        <v>0</v>
      </c>
      <c r="AJ466" s="37" t="n">
        <f aca="true">IF(RAND()&lt;$D$6,1,0)</f>
        <v>0</v>
      </c>
      <c r="AK466" s="14" t="n">
        <f aca="false">AK465+IF((AJ466=1),IF((H466=0),1,0),0)</f>
        <v>0</v>
      </c>
      <c r="AL466" s="14" t="n">
        <f aca="false">AL465+IF((AJ466=1),IF((H466=1),1,0),0)</f>
        <v>0</v>
      </c>
      <c r="AM466" s="37" t="n">
        <f aca="false">IF(AK466=0,9999,IF($H466=0,IF($AJ466&lt;1,AM465+1,0),AM465))</f>
        <v>9999</v>
      </c>
      <c r="AN466" s="37" t="n">
        <f aca="false">IF(AL466=0,9999,IF($H466=1,IF($AJ466&lt;1,AN465+1,0),AN465))</f>
        <v>9999</v>
      </c>
      <c r="AO466" s="37" t="n">
        <f aca="false">IF($A466-AM466&gt;0,1/(1+AM466),0)</f>
        <v>0</v>
      </c>
      <c r="AP466" s="37" t="n">
        <f aca="false">IF($A466-AN466&gt;0,1/(1+AN466),0)</f>
        <v>0</v>
      </c>
      <c r="AQ466" s="7" t="n">
        <f aca="false">IF(AK466=0,0,MAX(MIN(1,AO466^Power),0))</f>
        <v>0</v>
      </c>
      <c r="AR466" s="7" t="n">
        <f aca="false">IF(AL466=0,0,MAX(MIN(1,AP466^Power),0))</f>
        <v>0</v>
      </c>
      <c r="AS466" s="7" t="n">
        <f aca="false">IF($AJ466=1,IF($H466=0,K466,AS465),AS465)</f>
        <v>0</v>
      </c>
      <c r="AT466" s="7" t="n">
        <f aca="false">IF($AJ466=1,IF($H466=1,N466,AT465),AT465)</f>
        <v>0</v>
      </c>
    </row>
    <row r="467" customFormat="false" ht="13" hidden="false" customHeight="false" outlineLevel="0" collapsed="false">
      <c r="A467" s="16" t="n">
        <v>450</v>
      </c>
      <c r="B467" s="37" t="n">
        <f aca="true">IF(RAND()&lt;$D$8,1,0)</f>
        <v>0</v>
      </c>
      <c r="C467" s="20" t="n">
        <f aca="true">-LN(RAND())/$D$2</f>
        <v>1.72095401341005</v>
      </c>
      <c r="D467" s="38" t="n">
        <f aca="false">D466+C467</f>
        <v>484.172167366737</v>
      </c>
      <c r="E467" s="39" t="n">
        <f aca="false">MAX($E$3,AS466)</f>
        <v>0</v>
      </c>
      <c r="F467" s="39" t="n">
        <f aca="false">MAX($E$3,AT466)</f>
        <v>0</v>
      </c>
      <c r="G467" s="40" t="n">
        <v>0.5</v>
      </c>
      <c r="H467" s="38" t="n">
        <f aca="true">IF((B467=1),(IF((F467&lt;E467),1,(IF((F467=E467),(IF(RAND()&lt;G467,1,0)),0)))),(IF((RAND()&lt;G467),1,0)))</f>
        <v>1</v>
      </c>
      <c r="I467" s="38" t="n">
        <f aca="true">IF((H467=1),0,$D$3+$D$5*(RAND()-0.5))</f>
        <v>0</v>
      </c>
      <c r="J467" s="38" t="n">
        <f aca="false">I467+MAX(D467,J466)</f>
        <v>487.437820852073</v>
      </c>
      <c r="K467" s="38" t="n">
        <f aca="false">IF((H467=0),J467-D467,0)</f>
        <v>0</v>
      </c>
      <c r="L467" s="38" t="n">
        <f aca="true">IF(($H467=0),0,$D$4+$D$5*(RAND()-0.5))</f>
        <v>2.02852824919234</v>
      </c>
      <c r="M467" s="38" t="n">
        <f aca="false">L467+MAX(D467,M466)</f>
        <v>519.441463576811</v>
      </c>
      <c r="N467" s="38" t="n">
        <f aca="false">IF((H467=1),M467-D467,0)</f>
        <v>35.2692962100739</v>
      </c>
      <c r="O467" s="16" t="n">
        <v>450</v>
      </c>
      <c r="P467" s="41" t="n">
        <f aca="false">IF((Arterial=0),P466+1,P466)</f>
        <v>205</v>
      </c>
      <c r="Q467" s="41" t="n">
        <f aca="false">IF((Arterial=1),Q466+1,Q466)</f>
        <v>245</v>
      </c>
      <c r="R467" s="42" t="n">
        <f aca="false">IF((RESET=1),0,R467+K467)</f>
        <v>643.289199373202</v>
      </c>
      <c r="S467" s="14" t="e">
        <f aca="false">IF(RESET=1,0,S467+N467)</f>
        <v>#N/A</v>
      </c>
      <c r="T467" s="2" t="n">
        <f aca="false">IF(RESET=1,0,T467+IF(H467=0,1,0))</f>
        <v>38</v>
      </c>
      <c r="U467" s="2" t="e">
        <f aca="false">IF(RESET=1,0,U467+H467)</f>
        <v>#N/A</v>
      </c>
      <c r="V467" s="14" t="n">
        <f aca="false">R467/(T467+0.00001)</f>
        <v>16.9286586864899</v>
      </c>
      <c r="W467" s="14" t="e">
        <f aca="false">S467/(U467+0.0001)</f>
        <v>#N/A</v>
      </c>
      <c r="X467" s="39" t="n">
        <f aca="false">IF(Informed=1,K467,0)</f>
        <v>0</v>
      </c>
      <c r="Y467" s="39" t="n">
        <f aca="false">IF(Informed=0,K467,0)</f>
        <v>0</v>
      </c>
      <c r="Z467" s="39" t="n">
        <f aca="false">IF(Informed=1,N467,0)</f>
        <v>0</v>
      </c>
      <c r="AA467" s="39" t="n">
        <f aca="false">IF(Informed=0,N467,0)</f>
        <v>35.2692962100739</v>
      </c>
      <c r="AB467" s="43" t="n">
        <f aca="false">IF(Arterial=0,IF(Informed=1,1,0),0)</f>
        <v>0</v>
      </c>
      <c r="AC467" s="43" t="n">
        <f aca="false">IF(Arterial=0,IF(Informed=0,1,0),0)</f>
        <v>0</v>
      </c>
      <c r="AD467" s="43" t="n">
        <f aca="false">IF(Arterial=1,IF(Informed=1,1,0),0)</f>
        <v>0</v>
      </c>
      <c r="AE467" s="43" t="n">
        <f aca="false">IF(Arterial=1,IF(Informed=0,1,0),0)</f>
        <v>1</v>
      </c>
      <c r="AF467" s="35" t="n">
        <f aca="false">IF(AB467=1,(X467-G$1030)^2,0)</f>
        <v>0</v>
      </c>
      <c r="AG467" s="35" t="n">
        <f aca="false">IF(AC467=1,(Y467-H$1030)^2,0)</f>
        <v>0</v>
      </c>
      <c r="AH467" s="35" t="n">
        <f aca="false">IF(AD467=1,(Z467-I$1030)^2,0)</f>
        <v>0</v>
      </c>
      <c r="AI467" s="35" t="n">
        <f aca="false">IF(AE467=1,(AA467-J$1030)^2,0)</f>
        <v>32.5472671190342</v>
      </c>
      <c r="AJ467" s="37" t="n">
        <f aca="true">IF(RAND()&lt;$D$6,1,0)</f>
        <v>0</v>
      </c>
      <c r="AK467" s="14" t="n">
        <f aca="false">AK466+IF((AJ467=1),IF((H467=0),1,0),0)</f>
        <v>0</v>
      </c>
      <c r="AL467" s="14" t="n">
        <f aca="false">AL466+IF((AJ467=1),IF((H467=1),1,0),0)</f>
        <v>0</v>
      </c>
      <c r="AM467" s="37" t="n">
        <f aca="false">IF(AK467=0,9999,IF($H467=0,IF($AJ467&lt;1,AM466+1,0),AM466))</f>
        <v>9999</v>
      </c>
      <c r="AN467" s="37" t="n">
        <f aca="false">IF(AL467=0,9999,IF($H467=1,IF($AJ467&lt;1,AN466+1,0),AN466))</f>
        <v>9999</v>
      </c>
      <c r="AO467" s="37" t="n">
        <f aca="false">IF($A467-AM467&gt;0,1/(1+AM467),0)</f>
        <v>0</v>
      </c>
      <c r="AP467" s="37" t="n">
        <f aca="false">IF($A467-AN467&gt;0,1/(1+AN467),0)</f>
        <v>0</v>
      </c>
      <c r="AQ467" s="7" t="n">
        <f aca="false">IF(AK467=0,0,MAX(MIN(1,AO467^Power),0))</f>
        <v>0</v>
      </c>
      <c r="AR467" s="7" t="n">
        <f aca="false">IF(AL467=0,0,MAX(MIN(1,AP467^Power),0))</f>
        <v>0</v>
      </c>
      <c r="AS467" s="7" t="n">
        <f aca="false">IF($AJ467=1,IF($H467=0,K467,AS466),AS466)</f>
        <v>0</v>
      </c>
      <c r="AT467" s="7" t="n">
        <f aca="false">IF($AJ467=1,IF($H467=1,N467,AT466),AT466)</f>
        <v>0</v>
      </c>
    </row>
    <row r="468" customFormat="false" ht="13" hidden="false" customHeight="false" outlineLevel="0" collapsed="false">
      <c r="A468" s="16" t="n">
        <v>451</v>
      </c>
      <c r="B468" s="37" t="n">
        <f aca="true">IF(RAND()&lt;$D$8,1,0)</f>
        <v>0</v>
      </c>
      <c r="C468" s="20" t="n">
        <f aca="true">-LN(RAND())/$D$2</f>
        <v>0.130302830055986</v>
      </c>
      <c r="D468" s="38" t="n">
        <f aca="false">D467+C468</f>
        <v>484.302470196793</v>
      </c>
      <c r="E468" s="39" t="n">
        <f aca="false">MAX($E$3,AS467)</f>
        <v>0</v>
      </c>
      <c r="F468" s="39" t="n">
        <f aca="false">MAX($E$3,AT467)</f>
        <v>0</v>
      </c>
      <c r="G468" s="40" t="n">
        <v>0.5</v>
      </c>
      <c r="H468" s="38" t="n">
        <f aca="true">IF((B468=1),(IF((F468&lt;E468),1,(IF((F468=E468),(IF(RAND()&lt;G468,1,0)),0)))),(IF((RAND()&lt;G468),1,0)))</f>
        <v>0</v>
      </c>
      <c r="I468" s="38" t="n">
        <f aca="true">IF((H468=1),0,$D$3+$D$5*(RAND()-0.5))</f>
        <v>1.93427319637545</v>
      </c>
      <c r="J468" s="38" t="n">
        <f aca="false">I468+MAX(D468,J467)</f>
        <v>489.372094048448</v>
      </c>
      <c r="K468" s="38" t="n">
        <f aca="false">IF((H468=0),J468-D468,0)</f>
        <v>5.06962385165463</v>
      </c>
      <c r="L468" s="38" t="n">
        <f aca="true">IF(($H468=0),0,$D$4+$D$5*(RAND()-0.5))</f>
        <v>0</v>
      </c>
      <c r="M468" s="38" t="n">
        <f aca="false">L468+MAX(D468,M467)</f>
        <v>519.441463576811</v>
      </c>
      <c r="N468" s="38" t="n">
        <f aca="false">IF((H468=1),M468-D468,0)</f>
        <v>0</v>
      </c>
      <c r="O468" s="16" t="n">
        <v>451</v>
      </c>
      <c r="P468" s="41" t="n">
        <f aca="false">IF((Arterial=0),P467+1,P467)</f>
        <v>206</v>
      </c>
      <c r="Q468" s="41" t="n">
        <f aca="false">IF((Arterial=1),Q467+1,Q467)</f>
        <v>245</v>
      </c>
      <c r="R468" s="42" t="e">
        <f aca="false">IF((RESET=1),0,R468+K468)</f>
        <v>#N/A</v>
      </c>
      <c r="S468" s="14" t="n">
        <f aca="false">IF(RESET=1,0,S468+N468)</f>
        <v>772.662475790603</v>
      </c>
      <c r="T468" s="2" t="e">
        <f aca="false">IF(RESET=1,0,T468+IF(H468=0,1,0))</f>
        <v>#N/A</v>
      </c>
      <c r="U468" s="2" t="n">
        <f aca="false">IF(RESET=1,0,U468+H468)</f>
        <v>46</v>
      </c>
      <c r="V468" s="14" t="e">
        <f aca="false">R468/(T468+0.00001)</f>
        <v>#N/A</v>
      </c>
      <c r="W468" s="14" t="n">
        <f aca="false">S468/(U468+0.0001)</f>
        <v>16.7969738281135</v>
      </c>
      <c r="X468" s="39" t="n">
        <f aca="false">IF(Informed=1,K468,0)</f>
        <v>0</v>
      </c>
      <c r="Y468" s="39" t="n">
        <f aca="false">IF(Informed=0,K468,0)</f>
        <v>5.06962385165463</v>
      </c>
      <c r="Z468" s="39" t="n">
        <f aca="false">IF(Informed=1,N468,0)</f>
        <v>0</v>
      </c>
      <c r="AA468" s="39" t="n">
        <f aca="false">IF(Informed=0,N468,0)</f>
        <v>0</v>
      </c>
      <c r="AB468" s="43" t="n">
        <f aca="false">IF(Arterial=0,IF(Informed=1,1,0),0)</f>
        <v>0</v>
      </c>
      <c r="AC468" s="43" t="n">
        <f aca="false">IF(Arterial=0,IF(Informed=0,1,0),0)</f>
        <v>1</v>
      </c>
      <c r="AD468" s="43" t="n">
        <f aca="false">IF(Arterial=1,IF(Informed=1,1,0),0)</f>
        <v>0</v>
      </c>
      <c r="AE468" s="43" t="n">
        <f aca="false">IF(Arterial=1,IF(Informed=0,1,0),0)</f>
        <v>0</v>
      </c>
      <c r="AF468" s="35" t="n">
        <f aca="false">IF(AB468=1,(X468-G$1030)^2,0)</f>
        <v>0</v>
      </c>
      <c r="AG468" s="35" t="n">
        <f aca="false">IF(AC468=1,(Y468-H$1030)^2,0)</f>
        <v>34.2712056863057</v>
      </c>
      <c r="AH468" s="35" t="n">
        <f aca="false">IF(AD468=1,(Z468-I$1030)^2,0)</f>
        <v>0</v>
      </c>
      <c r="AI468" s="35" t="n">
        <f aca="false">IF(AE468=1,(AA468-J$1030)^2,0)</f>
        <v>0</v>
      </c>
      <c r="AJ468" s="37" t="n">
        <f aca="true">IF(RAND()&lt;$D$6,1,0)</f>
        <v>0</v>
      </c>
      <c r="AK468" s="14" t="n">
        <f aca="false">AK467+IF((AJ468=1),IF((H468=0),1,0),0)</f>
        <v>0</v>
      </c>
      <c r="AL468" s="14" t="n">
        <f aca="false">AL467+IF((AJ468=1),IF((H468=1),1,0),0)</f>
        <v>0</v>
      </c>
      <c r="AM468" s="37" t="n">
        <f aca="false">IF(AK468=0,9999,IF($H468=0,IF($AJ468&lt;1,AM467+1,0),AM467))</f>
        <v>9999</v>
      </c>
      <c r="AN468" s="37" t="n">
        <f aca="false">IF(AL468=0,9999,IF($H468=1,IF($AJ468&lt;1,AN467+1,0),AN467))</f>
        <v>9999</v>
      </c>
      <c r="AO468" s="37" t="n">
        <f aca="false">IF($A468-AM468&gt;0,1/(1+AM468),0)</f>
        <v>0</v>
      </c>
      <c r="AP468" s="37" t="n">
        <f aca="false">IF($A468-AN468&gt;0,1/(1+AN468),0)</f>
        <v>0</v>
      </c>
      <c r="AQ468" s="7" t="n">
        <f aca="false">IF(AK468=0,0,MAX(MIN(1,AO468^Power),0))</f>
        <v>0</v>
      </c>
      <c r="AR468" s="7" t="n">
        <f aca="false">IF(AL468=0,0,MAX(MIN(1,AP468^Power),0))</f>
        <v>0</v>
      </c>
      <c r="AS468" s="7" t="n">
        <f aca="false">IF($AJ468=1,IF($H468=0,K468,AS467),AS467)</f>
        <v>0</v>
      </c>
      <c r="AT468" s="7" t="n">
        <f aca="false">IF($AJ468=1,IF($H468=1,N468,AT467),AT467)</f>
        <v>0</v>
      </c>
    </row>
    <row r="469" customFormat="false" ht="13" hidden="false" customHeight="false" outlineLevel="0" collapsed="false">
      <c r="A469" s="16" t="n">
        <v>452</v>
      </c>
      <c r="B469" s="37" t="n">
        <f aca="true">IF(RAND()&lt;$D$8,1,0)</f>
        <v>1</v>
      </c>
      <c r="C469" s="20" t="n">
        <f aca="true">-LN(RAND())/$D$2</f>
        <v>0.0829621743742155</v>
      </c>
      <c r="D469" s="38" t="n">
        <f aca="false">D468+C469</f>
        <v>484.385432371168</v>
      </c>
      <c r="E469" s="39" t="n">
        <f aca="false">MAX($E$3,AS468)</f>
        <v>0</v>
      </c>
      <c r="F469" s="39" t="n">
        <f aca="false">MAX($E$3,AT468)</f>
        <v>0</v>
      </c>
      <c r="G469" s="40" t="n">
        <v>0.5</v>
      </c>
      <c r="H469" s="38" t="n">
        <f aca="true">IF((B469=1),(IF((F469&lt;E469),1,(IF((F469=E469),(IF(RAND()&lt;G469,1,0)),0)))),(IF((RAND()&lt;G469),1,0)))</f>
        <v>0</v>
      </c>
      <c r="I469" s="38" t="n">
        <f aca="true">IF((H469=1),0,$D$3+$D$5*(RAND()-0.5))</f>
        <v>2.07077812179773</v>
      </c>
      <c r="J469" s="38" t="n">
        <f aca="false">I469+MAX(D469,J468)</f>
        <v>491.442872170246</v>
      </c>
      <c r="K469" s="38" t="n">
        <f aca="false">IF((H469=0),J469-D469,0)</f>
        <v>7.05743979907817</v>
      </c>
      <c r="L469" s="38" t="n">
        <f aca="true">IF(($H469=0),0,$D$4+$D$5*(RAND()-0.5))</f>
        <v>0</v>
      </c>
      <c r="M469" s="38" t="n">
        <f aca="false">L469+MAX(D469,M468)</f>
        <v>519.441463576811</v>
      </c>
      <c r="N469" s="38" t="n">
        <f aca="false">IF((H469=1),M469-D469,0)</f>
        <v>0</v>
      </c>
      <c r="O469" s="16" t="n">
        <v>452</v>
      </c>
      <c r="P469" s="41" t="n">
        <f aca="false">IF((Arterial=0),P468+1,P468)</f>
        <v>207</v>
      </c>
      <c r="Q469" s="41" t="n">
        <f aca="false">IF((Arterial=1),Q468+1,Q468)</f>
        <v>245</v>
      </c>
      <c r="R469" s="42" t="e">
        <f aca="false">IF((RESET=1),0,R469+K469)</f>
        <v>#N/A</v>
      </c>
      <c r="S469" s="14" t="n">
        <f aca="false">IF(RESET=1,0,S469+N469)</f>
        <v>647.201655072865</v>
      </c>
      <c r="T469" s="2" t="e">
        <f aca="false">IF(RESET=1,0,T469+IF(H469=0,1,0))</f>
        <v>#N/A</v>
      </c>
      <c r="U469" s="2" t="n">
        <f aca="false">IF(RESET=1,0,U469+H469)</f>
        <v>40</v>
      </c>
      <c r="V469" s="14" t="e">
        <f aca="false">R469/(T469+0.00001)</f>
        <v>#N/A</v>
      </c>
      <c r="W469" s="14" t="n">
        <f aca="false">S469/(U469+0.0001)</f>
        <v>16.1800009268193</v>
      </c>
      <c r="X469" s="39" t="n">
        <f aca="false">IF(Informed=1,K469,0)</f>
        <v>7.05743979907817</v>
      </c>
      <c r="Y469" s="39" t="n">
        <f aca="false">IF(Informed=0,K469,0)</f>
        <v>0</v>
      </c>
      <c r="Z469" s="39" t="n">
        <f aca="false">IF(Informed=1,N469,0)</f>
        <v>0</v>
      </c>
      <c r="AA469" s="39" t="n">
        <f aca="false">IF(Informed=0,N469,0)</f>
        <v>0</v>
      </c>
      <c r="AB469" s="43" t="n">
        <f aca="false">IF(Arterial=0,IF(Informed=1,1,0),0)</f>
        <v>1</v>
      </c>
      <c r="AC469" s="43" t="n">
        <f aca="false">IF(Arterial=0,IF(Informed=0,1,0),0)</f>
        <v>0</v>
      </c>
      <c r="AD469" s="43" t="n">
        <f aca="false">IF(Arterial=1,IF(Informed=1,1,0),0)</f>
        <v>0</v>
      </c>
      <c r="AE469" s="43" t="n">
        <f aca="false">IF(Arterial=1,IF(Informed=0,1,0),0)</f>
        <v>0</v>
      </c>
      <c r="AF469" s="35" t="n">
        <f aca="false">IF(AB469=1,(X469-G$1030)^2,0)</f>
        <v>13.3388456423362</v>
      </c>
      <c r="AG469" s="35" t="n">
        <f aca="false">IF(AC469=1,(Y469-H$1030)^2,0)</f>
        <v>0</v>
      </c>
      <c r="AH469" s="35" t="n">
        <f aca="false">IF(AD469=1,(Z469-I$1030)^2,0)</f>
        <v>0</v>
      </c>
      <c r="AI469" s="35" t="n">
        <f aca="false">IF(AE469=1,(AA469-J$1030)^2,0)</f>
        <v>0</v>
      </c>
      <c r="AJ469" s="37" t="n">
        <f aca="true">IF(RAND()&lt;$D$6,1,0)</f>
        <v>0</v>
      </c>
      <c r="AK469" s="14" t="n">
        <f aca="false">AK468+IF((AJ469=1),IF((H469=0),1,0),0)</f>
        <v>0</v>
      </c>
      <c r="AL469" s="14" t="n">
        <f aca="false">AL468+IF((AJ469=1),IF((H469=1),1,0),0)</f>
        <v>0</v>
      </c>
      <c r="AM469" s="37" t="n">
        <f aca="false">IF(AK469=0,9999,IF($H469=0,IF($AJ469&lt;1,AM468+1,0),AM468))</f>
        <v>9999</v>
      </c>
      <c r="AN469" s="37" t="n">
        <f aca="false">IF(AL469=0,9999,IF($H469=1,IF($AJ469&lt;1,AN468+1,0),AN468))</f>
        <v>9999</v>
      </c>
      <c r="AO469" s="37" t="n">
        <f aca="false">IF($A469-AM469&gt;0,1/(1+AM469),0)</f>
        <v>0</v>
      </c>
      <c r="AP469" s="37" t="n">
        <f aca="false">IF($A469-AN469&gt;0,1/(1+AN469),0)</f>
        <v>0</v>
      </c>
      <c r="AQ469" s="7" t="n">
        <f aca="false">IF(AK469=0,0,MAX(MIN(1,AO469^Power),0))</f>
        <v>0</v>
      </c>
      <c r="AR469" s="7" t="n">
        <f aca="false">IF(AL469=0,0,MAX(MIN(1,AP469^Power),0))</f>
        <v>0</v>
      </c>
      <c r="AS469" s="7" t="n">
        <f aca="false">IF($AJ469=1,IF($H469=0,K469,AS468),AS468)</f>
        <v>0</v>
      </c>
      <c r="AT469" s="7" t="n">
        <f aca="false">IF($AJ469=1,IF($H469=1,N469,AT468),AT468)</f>
        <v>0</v>
      </c>
    </row>
    <row r="470" customFormat="false" ht="13" hidden="false" customHeight="false" outlineLevel="0" collapsed="false">
      <c r="A470" s="16" t="n">
        <v>453</v>
      </c>
      <c r="B470" s="37" t="n">
        <f aca="true">IF(RAND()&lt;$D$8,1,0)</f>
        <v>0</v>
      </c>
      <c r="C470" s="20" t="n">
        <f aca="true">-LN(RAND())/$D$2</f>
        <v>0.675489376567131</v>
      </c>
      <c r="D470" s="38" t="n">
        <f aca="false">D469+C470</f>
        <v>485.060921747735</v>
      </c>
      <c r="E470" s="39" t="n">
        <f aca="false">MAX($E$3,AS469)</f>
        <v>0</v>
      </c>
      <c r="F470" s="39" t="n">
        <f aca="false">MAX($E$3,AT469)</f>
        <v>0</v>
      </c>
      <c r="G470" s="40" t="n">
        <v>0.5</v>
      </c>
      <c r="H470" s="38" t="n">
        <f aca="true">IF((B470=1),(IF((F470&lt;E470),1,(IF((F470=E470),(IF(RAND()&lt;G470,1,0)),0)))),(IF((RAND()&lt;G470),1,0)))</f>
        <v>1</v>
      </c>
      <c r="I470" s="38" t="n">
        <f aca="true">IF((H470=1),0,$D$3+$D$5*(RAND()-0.5))</f>
        <v>0</v>
      </c>
      <c r="J470" s="38" t="n">
        <f aca="false">I470+MAX(D470,J469)</f>
        <v>491.442872170246</v>
      </c>
      <c r="K470" s="38" t="n">
        <f aca="false">IF((H470=0),J470-D470,0)</f>
        <v>0</v>
      </c>
      <c r="L470" s="38" t="n">
        <f aca="true">IF(($H470=0),0,$D$4+$D$5*(RAND()-0.5))</f>
        <v>2.10615756095382</v>
      </c>
      <c r="M470" s="38" t="n">
        <f aca="false">L470+MAX(D470,M469)</f>
        <v>521.547621137765</v>
      </c>
      <c r="N470" s="38" t="n">
        <f aca="false">IF((H470=1),M470-D470,0)</f>
        <v>36.4866993900304</v>
      </c>
      <c r="O470" s="16" t="n">
        <v>453</v>
      </c>
      <c r="P470" s="41" t="n">
        <f aca="false">IF((Arterial=0),P469+1,P469)</f>
        <v>207</v>
      </c>
      <c r="Q470" s="41" t="n">
        <f aca="false">IF((Arterial=1),Q469+1,Q469)</f>
        <v>246</v>
      </c>
      <c r="R470" s="42" t="n">
        <f aca="false">IF((RESET=1),0,R470+K470)</f>
        <v>639.979949042876</v>
      </c>
      <c r="S470" s="14" t="e">
        <f aca="false">IF(RESET=1,0,S470+N470)</f>
        <v>#N/A</v>
      </c>
      <c r="T470" s="2" t="n">
        <f aca="false">IF(RESET=1,0,T470+IF(H470=0,1,0))</f>
        <v>39</v>
      </c>
      <c r="U470" s="2" t="e">
        <f aca="false">IF(RESET=1,0,U470+H470)</f>
        <v>#N/A</v>
      </c>
      <c r="V470" s="14" t="n">
        <f aca="false">R470/(T470+0.00001)</f>
        <v>16.4097380755255</v>
      </c>
      <c r="W470" s="14" t="e">
        <f aca="false">S470/(U470+0.0001)</f>
        <v>#N/A</v>
      </c>
      <c r="X470" s="39" t="n">
        <f aca="false">IF(Informed=1,K470,0)</f>
        <v>0</v>
      </c>
      <c r="Y470" s="39" t="n">
        <f aca="false">IF(Informed=0,K470,0)</f>
        <v>0</v>
      </c>
      <c r="Z470" s="39" t="n">
        <f aca="false">IF(Informed=1,N470,0)</f>
        <v>0</v>
      </c>
      <c r="AA470" s="39" t="n">
        <f aca="false">IF(Informed=0,N470,0)</f>
        <v>36.4866993900304</v>
      </c>
      <c r="AB470" s="43" t="n">
        <f aca="false">IF(Arterial=0,IF(Informed=1,1,0),0)</f>
        <v>0</v>
      </c>
      <c r="AC470" s="43" t="n">
        <f aca="false">IF(Arterial=0,IF(Informed=0,1,0),0)</f>
        <v>0</v>
      </c>
      <c r="AD470" s="43" t="n">
        <f aca="false">IF(Arterial=1,IF(Informed=1,1,0),0)</f>
        <v>0</v>
      </c>
      <c r="AE470" s="43" t="n">
        <f aca="false">IF(Arterial=1,IF(Informed=0,1,0),0)</f>
        <v>1</v>
      </c>
      <c r="AF470" s="35" t="n">
        <f aca="false">IF(AB470=1,(X470-G$1030)^2,0)</f>
        <v>0</v>
      </c>
      <c r="AG470" s="35" t="n">
        <f aca="false">IF(AC470=1,(Y470-H$1030)^2,0)</f>
        <v>0</v>
      </c>
      <c r="AH470" s="35" t="n">
        <f aca="false">IF(AD470=1,(Z470-I$1030)^2,0)</f>
        <v>0</v>
      </c>
      <c r="AI470" s="35" t="n">
        <f aca="false">IF(AE470=1,(AA470-J$1030)^2,0)</f>
        <v>47.9199595711511</v>
      </c>
      <c r="AJ470" s="37" t="n">
        <f aca="true">IF(RAND()&lt;$D$6,1,0)</f>
        <v>0</v>
      </c>
      <c r="AK470" s="14" t="n">
        <f aca="false">AK469+IF((AJ470=1),IF((H470=0),1,0),0)</f>
        <v>0</v>
      </c>
      <c r="AL470" s="14" t="n">
        <f aca="false">AL469+IF((AJ470=1),IF((H470=1),1,0),0)</f>
        <v>0</v>
      </c>
      <c r="AM470" s="37" t="n">
        <f aca="false">IF(AK470=0,9999,IF($H470=0,IF($AJ470&lt;1,AM469+1,0),AM469))</f>
        <v>9999</v>
      </c>
      <c r="AN470" s="37" t="n">
        <f aca="false">IF(AL470=0,9999,IF($H470=1,IF($AJ470&lt;1,AN469+1,0),AN469))</f>
        <v>9999</v>
      </c>
      <c r="AO470" s="37" t="n">
        <f aca="false">IF($A470-AM470&gt;0,1/(1+AM470),0)</f>
        <v>0</v>
      </c>
      <c r="AP470" s="37" t="n">
        <f aca="false">IF($A470-AN470&gt;0,1/(1+AN470),0)</f>
        <v>0</v>
      </c>
      <c r="AQ470" s="7" t="n">
        <f aca="false">IF(AK470=0,0,MAX(MIN(1,AO470^Power),0))</f>
        <v>0</v>
      </c>
      <c r="AR470" s="7" t="n">
        <f aca="false">IF(AL470=0,0,MAX(MIN(1,AP470^Power),0))</f>
        <v>0</v>
      </c>
      <c r="AS470" s="7" t="n">
        <f aca="false">IF($AJ470=1,IF($H470=0,K470,AS469),AS469)</f>
        <v>0</v>
      </c>
      <c r="AT470" s="7" t="n">
        <f aca="false">IF($AJ470=1,IF($H470=1,N470,AT469),AT469)</f>
        <v>0</v>
      </c>
    </row>
    <row r="471" customFormat="false" ht="13" hidden="false" customHeight="false" outlineLevel="0" collapsed="false">
      <c r="A471" s="16" t="n">
        <v>454</v>
      </c>
      <c r="B471" s="37" t="n">
        <f aca="true">IF(RAND()&lt;$D$8,1,0)</f>
        <v>0</v>
      </c>
      <c r="C471" s="20" t="n">
        <f aca="true">-LN(RAND())/$D$2</f>
        <v>0.54273700262428</v>
      </c>
      <c r="D471" s="38" t="n">
        <f aca="false">D470+C471</f>
        <v>485.603658750359</v>
      </c>
      <c r="E471" s="39" t="n">
        <f aca="false">MAX($E$3,AS470)</f>
        <v>0</v>
      </c>
      <c r="F471" s="39" t="n">
        <f aca="false">MAX($E$3,AT470)</f>
        <v>0</v>
      </c>
      <c r="G471" s="40" t="n">
        <v>0.5</v>
      </c>
      <c r="H471" s="38" t="n">
        <f aca="true">IF((B471=1),(IF((F471&lt;E471),1,(IF((F471=E471),(IF(RAND()&lt;G471,1,0)),0)))),(IF((RAND()&lt;G471),1,0)))</f>
        <v>1</v>
      </c>
      <c r="I471" s="38" t="n">
        <f aca="true">IF((H471=1),0,$D$3+$D$5*(RAND()-0.5))</f>
        <v>0</v>
      </c>
      <c r="J471" s="38" t="n">
        <f aca="false">I471+MAX(D471,J470)</f>
        <v>491.442872170246</v>
      </c>
      <c r="K471" s="38" t="n">
        <f aca="false">IF((H471=0),J471-D471,0)</f>
        <v>0</v>
      </c>
      <c r="L471" s="38" t="n">
        <f aca="true">IF(($H471=0),0,$D$4+$D$5*(RAND()-0.5))</f>
        <v>1.83353108360238</v>
      </c>
      <c r="M471" s="38" t="n">
        <f aca="false">L471+MAX(D471,M470)</f>
        <v>523.381152221367</v>
      </c>
      <c r="N471" s="38" t="n">
        <f aca="false">IF((H471=1),M471-D471,0)</f>
        <v>37.7774934710084</v>
      </c>
      <c r="O471" s="16" t="n">
        <v>454</v>
      </c>
      <c r="P471" s="41" t="n">
        <f aca="false">IF((Arterial=0),P470+1,P470)</f>
        <v>207</v>
      </c>
      <c r="Q471" s="41" t="n">
        <f aca="false">IF((Arterial=1),Q470+1,Q470)</f>
        <v>247</v>
      </c>
      <c r="R471" s="42" t="n">
        <f aca="false">IF((RESET=1),0,R471+K471)</f>
        <v>484.13059556531</v>
      </c>
      <c r="S471" s="14" t="e">
        <f aca="false">IF(RESET=1,0,S471+N471)</f>
        <v>#N/A</v>
      </c>
      <c r="T471" s="2" t="n">
        <f aca="false">IF(RESET=1,0,T471+IF(H471=0,1,0))</f>
        <v>34</v>
      </c>
      <c r="U471" s="2" t="e">
        <f aca="false">IF(RESET=1,0,U471+H471)</f>
        <v>#N/A</v>
      </c>
      <c r="V471" s="14" t="n">
        <f aca="false">R471/(T471+0.00001)</f>
        <v>14.2391309757059</v>
      </c>
      <c r="W471" s="14" t="e">
        <f aca="false">S471/(U471+0.0001)</f>
        <v>#N/A</v>
      </c>
      <c r="X471" s="39" t="n">
        <f aca="false">IF(Informed=1,K471,0)</f>
        <v>0</v>
      </c>
      <c r="Y471" s="39" t="n">
        <f aca="false">IF(Informed=0,K471,0)</f>
        <v>0</v>
      </c>
      <c r="Z471" s="39" t="n">
        <f aca="false">IF(Informed=1,N471,0)</f>
        <v>0</v>
      </c>
      <c r="AA471" s="39" t="n">
        <f aca="false">IF(Informed=0,N471,0)</f>
        <v>37.7774934710084</v>
      </c>
      <c r="AB471" s="43" t="n">
        <f aca="false">IF(Arterial=0,IF(Informed=1,1,0),0)</f>
        <v>0</v>
      </c>
      <c r="AC471" s="43" t="n">
        <f aca="false">IF(Arterial=0,IF(Informed=0,1,0),0)</f>
        <v>0</v>
      </c>
      <c r="AD471" s="43" t="n">
        <f aca="false">IF(Arterial=1,IF(Informed=1,1,0),0)</f>
        <v>0</v>
      </c>
      <c r="AE471" s="43" t="n">
        <f aca="false">IF(Arterial=1,IF(Informed=0,1,0),0)</f>
        <v>1</v>
      </c>
      <c r="AF471" s="35" t="n">
        <f aca="false">IF(AB471=1,(X471-G$1030)^2,0)</f>
        <v>0</v>
      </c>
      <c r="AG471" s="35" t="n">
        <f aca="false">IF(AC471=1,(Y471-H$1030)^2,0)</f>
        <v>0</v>
      </c>
      <c r="AH471" s="35" t="n">
        <f aca="false">IF(AD471=1,(Z471-I$1030)^2,0)</f>
        <v>0</v>
      </c>
      <c r="AI471" s="35" t="n">
        <f aca="false">IF(AE471=1,(AA471-J$1030)^2,0)</f>
        <v>67.4569578132372</v>
      </c>
      <c r="AJ471" s="37" t="n">
        <f aca="true">IF(RAND()&lt;$D$6,1,0)</f>
        <v>0</v>
      </c>
      <c r="AK471" s="14" t="n">
        <f aca="false">AK470+IF((AJ471=1),IF((H471=0),1,0),0)</f>
        <v>0</v>
      </c>
      <c r="AL471" s="14" t="n">
        <f aca="false">AL470+IF((AJ471=1),IF((H471=1),1,0),0)</f>
        <v>0</v>
      </c>
      <c r="AM471" s="37" t="n">
        <f aca="false">IF(AK471=0,9999,IF($H471=0,IF($AJ471&lt;1,AM470+1,0),AM470))</f>
        <v>9999</v>
      </c>
      <c r="AN471" s="37" t="n">
        <f aca="false">IF(AL471=0,9999,IF($H471=1,IF($AJ471&lt;1,AN470+1,0),AN470))</f>
        <v>9999</v>
      </c>
      <c r="AO471" s="37" t="n">
        <f aca="false">IF($A471-AM471&gt;0,1/(1+AM471),0)</f>
        <v>0</v>
      </c>
      <c r="AP471" s="37" t="n">
        <f aca="false">IF($A471-AN471&gt;0,1/(1+AN471),0)</f>
        <v>0</v>
      </c>
      <c r="AQ471" s="7" t="n">
        <f aca="false">IF(AK471=0,0,MAX(MIN(1,AO471^Power),0))</f>
        <v>0</v>
      </c>
      <c r="AR471" s="7" t="n">
        <f aca="false">IF(AL471=0,0,MAX(MIN(1,AP471^Power),0))</f>
        <v>0</v>
      </c>
      <c r="AS471" s="7" t="n">
        <f aca="false">IF($AJ471=1,IF($H471=0,K471,AS470),AS470)</f>
        <v>0</v>
      </c>
      <c r="AT471" s="7" t="n">
        <f aca="false">IF($AJ471=1,IF($H471=1,N471,AT470),AT470)</f>
        <v>0</v>
      </c>
    </row>
    <row r="472" customFormat="false" ht="13" hidden="false" customHeight="false" outlineLevel="0" collapsed="false">
      <c r="A472" s="16" t="n">
        <v>455</v>
      </c>
      <c r="B472" s="37" t="n">
        <f aca="true">IF(RAND()&lt;$D$8,1,0)</f>
        <v>1</v>
      </c>
      <c r="C472" s="20" t="n">
        <f aca="true">-LN(RAND())/$D$2</f>
        <v>0.496680786852243</v>
      </c>
      <c r="D472" s="38" t="n">
        <f aca="false">D471+C472</f>
        <v>486.100339537211</v>
      </c>
      <c r="E472" s="39" t="n">
        <f aca="false">MAX($E$3,AS471)</f>
        <v>0</v>
      </c>
      <c r="F472" s="39" t="n">
        <f aca="false">MAX($E$3,AT471)</f>
        <v>0</v>
      </c>
      <c r="G472" s="40" t="n">
        <v>0.5</v>
      </c>
      <c r="H472" s="38" t="n">
        <f aca="true">IF((B472=1),(IF((F472&lt;E472),1,(IF((F472=E472),(IF(RAND()&lt;G472,1,0)),0)))),(IF((RAND()&lt;G472),1,0)))</f>
        <v>1</v>
      </c>
      <c r="I472" s="38" t="n">
        <f aca="true">IF((H472=1),0,$D$3+$D$5*(RAND()-0.5))</f>
        <v>0</v>
      </c>
      <c r="J472" s="38" t="n">
        <f aca="false">I472+MAX(D472,J471)</f>
        <v>491.442872170246</v>
      </c>
      <c r="K472" s="38" t="n">
        <f aca="false">IF((H472=0),J472-D472,0)</f>
        <v>0</v>
      </c>
      <c r="L472" s="38" t="n">
        <f aca="true">IF(($H472=0),0,$D$4+$D$5*(RAND()-0.5))</f>
        <v>2.00700776711549</v>
      </c>
      <c r="M472" s="38" t="n">
        <f aca="false">L472+MAX(D472,M471)</f>
        <v>525.388159988483</v>
      </c>
      <c r="N472" s="38" t="n">
        <f aca="false">IF((H472=1),M472-D472,0)</f>
        <v>39.2878204512717</v>
      </c>
      <c r="O472" s="16" t="n">
        <v>455</v>
      </c>
      <c r="P472" s="41" t="n">
        <f aca="false">IF((Arterial=0),P471+1,P471)</f>
        <v>207</v>
      </c>
      <c r="Q472" s="41" t="n">
        <f aca="false">IF((Arterial=1),Q471+1,Q471)</f>
        <v>248</v>
      </c>
      <c r="R472" s="42" t="n">
        <f aca="false">IF((RESET=1),0,R472+K472)</f>
        <v>857.396576973755</v>
      </c>
      <c r="S472" s="14" t="e">
        <f aca="false">IF(RESET=1,0,S472+N472)</f>
        <v>#N/A</v>
      </c>
      <c r="T472" s="2" t="n">
        <f aca="false">IF(RESET=1,0,T472+IF(H472=0,1,0))</f>
        <v>46</v>
      </c>
      <c r="U472" s="2" t="e">
        <f aca="false">IF(RESET=1,0,U472+H472)</f>
        <v>#N/A</v>
      </c>
      <c r="V472" s="14" t="n">
        <f aca="false">R472/(T472+0.00001)</f>
        <v>18.6390519692008</v>
      </c>
      <c r="W472" s="14" t="e">
        <f aca="false">S472/(U472+0.0001)</f>
        <v>#N/A</v>
      </c>
      <c r="X472" s="39" t="n">
        <f aca="false">IF(Informed=1,K472,0)</f>
        <v>0</v>
      </c>
      <c r="Y472" s="39" t="n">
        <f aca="false">IF(Informed=0,K472,0)</f>
        <v>0</v>
      </c>
      <c r="Z472" s="39" t="n">
        <f aca="false">IF(Informed=1,N472,0)</f>
        <v>39.2878204512717</v>
      </c>
      <c r="AA472" s="39" t="n">
        <f aca="false">IF(Informed=0,N472,0)</f>
        <v>0</v>
      </c>
      <c r="AB472" s="43" t="n">
        <f aca="false">IF(Arterial=0,IF(Informed=1,1,0),0)</f>
        <v>0</v>
      </c>
      <c r="AC472" s="43" t="n">
        <f aca="false">IF(Arterial=0,IF(Informed=0,1,0),0)</f>
        <v>0</v>
      </c>
      <c r="AD472" s="43" t="n">
        <f aca="false">IF(Arterial=1,IF(Informed=1,1,0),0)</f>
        <v>1</v>
      </c>
      <c r="AE472" s="43" t="n">
        <f aca="false">IF(Arterial=1,IF(Informed=0,1,0),0)</f>
        <v>0</v>
      </c>
      <c r="AF472" s="35" t="n">
        <f aca="false">IF(AB472=1,(X472-G$1030)^2,0)</f>
        <v>0</v>
      </c>
      <c r="AG472" s="35" t="n">
        <f aca="false">IF(AC472=1,(Y472-H$1030)^2,0)</f>
        <v>0</v>
      </c>
      <c r="AH472" s="35" t="n">
        <f aca="false">IF(AD472=1,(Z472-I$1030)^2,0)</f>
        <v>119.093255972491</v>
      </c>
      <c r="AI472" s="35" t="n">
        <f aca="false">IF(AE472=1,(AA472-J$1030)^2,0)</f>
        <v>0</v>
      </c>
      <c r="AJ472" s="37" t="n">
        <f aca="true">IF(RAND()&lt;$D$6,1,0)</f>
        <v>0</v>
      </c>
      <c r="AK472" s="14" t="n">
        <f aca="false">AK471+IF((AJ472=1),IF((H472=0),1,0),0)</f>
        <v>0</v>
      </c>
      <c r="AL472" s="14" t="n">
        <f aca="false">AL471+IF((AJ472=1),IF((H472=1),1,0),0)</f>
        <v>0</v>
      </c>
      <c r="AM472" s="37" t="n">
        <f aca="false">IF(AK472=0,9999,IF($H472=0,IF($AJ472&lt;1,AM471+1,0),AM471))</f>
        <v>9999</v>
      </c>
      <c r="AN472" s="37" t="n">
        <f aca="false">IF(AL472=0,9999,IF($H472=1,IF($AJ472&lt;1,AN471+1,0),AN471))</f>
        <v>9999</v>
      </c>
      <c r="AO472" s="37" t="n">
        <f aca="false">IF($A472-AM472&gt;0,1/(1+AM472),0)</f>
        <v>0</v>
      </c>
      <c r="AP472" s="37" t="n">
        <f aca="false">IF($A472-AN472&gt;0,1/(1+AN472),0)</f>
        <v>0</v>
      </c>
      <c r="AQ472" s="7" t="n">
        <f aca="false">IF(AK472=0,0,MAX(MIN(1,AO472^Power),0))</f>
        <v>0</v>
      </c>
      <c r="AR472" s="7" t="n">
        <f aca="false">IF(AL472=0,0,MAX(MIN(1,AP472^Power),0))</f>
        <v>0</v>
      </c>
      <c r="AS472" s="7" t="n">
        <f aca="false">IF($AJ472=1,IF($H472=0,K472,AS471),AS471)</f>
        <v>0</v>
      </c>
      <c r="AT472" s="7" t="n">
        <f aca="false">IF($AJ472=1,IF($H472=1,N472,AT471),AT471)</f>
        <v>0</v>
      </c>
    </row>
    <row r="473" customFormat="false" ht="13" hidden="false" customHeight="false" outlineLevel="0" collapsed="false">
      <c r="A473" s="16" t="n">
        <v>456</v>
      </c>
      <c r="B473" s="37" t="n">
        <f aca="true">IF(RAND()&lt;$D$8,1,0)</f>
        <v>0</v>
      </c>
      <c r="C473" s="20" t="n">
        <f aca="true">-LN(RAND())/$D$2</f>
        <v>0.7984427113401</v>
      </c>
      <c r="D473" s="38" t="n">
        <f aca="false">D472+C473</f>
        <v>486.898782248551</v>
      </c>
      <c r="E473" s="39" t="n">
        <f aca="false">MAX($E$3,AS472)</f>
        <v>0</v>
      </c>
      <c r="F473" s="39" t="n">
        <f aca="false">MAX($E$3,AT472)</f>
        <v>0</v>
      </c>
      <c r="G473" s="40" t="n">
        <v>0.5</v>
      </c>
      <c r="H473" s="38" t="n">
        <f aca="true">IF((B473=1),(IF((F473&lt;E473),1,(IF((F473=E473),(IF(RAND()&lt;G473,1,0)),0)))),(IF((RAND()&lt;G473),1,0)))</f>
        <v>1</v>
      </c>
      <c r="I473" s="38" t="n">
        <f aca="true">IF((H473=1),0,$D$3+$D$5*(RAND()-0.5))</f>
        <v>0</v>
      </c>
      <c r="J473" s="38" t="n">
        <f aca="false">I473+MAX(D473,J472)</f>
        <v>491.442872170246</v>
      </c>
      <c r="K473" s="38" t="n">
        <f aca="false">IF((H473=0),J473-D473,0)</f>
        <v>0</v>
      </c>
      <c r="L473" s="38" t="n">
        <f aca="true">IF(($H473=0),0,$D$4+$D$5*(RAND()-0.5))</f>
        <v>1.82470854391152</v>
      </c>
      <c r="M473" s="38" t="n">
        <f aca="false">L473+MAX(D473,M472)</f>
        <v>527.212868532394</v>
      </c>
      <c r="N473" s="38" t="n">
        <f aca="false">IF((H473=1),M473-D473,0)</f>
        <v>40.314086283843</v>
      </c>
      <c r="O473" s="16" t="n">
        <v>456</v>
      </c>
      <c r="P473" s="41" t="n">
        <f aca="false">IF((Arterial=0),P472+1,P472)</f>
        <v>207</v>
      </c>
      <c r="Q473" s="41" t="n">
        <f aca="false">IF((Arterial=1),Q472+1,Q472)</f>
        <v>249</v>
      </c>
      <c r="R473" s="42" t="n">
        <f aca="false">IF((RESET=1),0,R473+K473)</f>
        <v>848.239053605783</v>
      </c>
      <c r="S473" s="14" t="e">
        <f aca="false">IF(RESET=1,0,S473+N473)</f>
        <v>#N/A</v>
      </c>
      <c r="T473" s="2" t="n">
        <f aca="false">IF(RESET=1,0,T473+IF(H473=0,1,0))</f>
        <v>50</v>
      </c>
      <c r="U473" s="2" t="e">
        <f aca="false">IF(RESET=1,0,U473+H473)</f>
        <v>#N/A</v>
      </c>
      <c r="V473" s="14" t="n">
        <f aca="false">R473/(T473+0.00001)</f>
        <v>16.9647776791601</v>
      </c>
      <c r="W473" s="14" t="e">
        <f aca="false">S473/(U473+0.0001)</f>
        <v>#N/A</v>
      </c>
      <c r="X473" s="39" t="n">
        <f aca="false">IF(Informed=1,K473,0)</f>
        <v>0</v>
      </c>
      <c r="Y473" s="39" t="n">
        <f aca="false">IF(Informed=0,K473,0)</f>
        <v>0</v>
      </c>
      <c r="Z473" s="39" t="n">
        <f aca="false">IF(Informed=1,N473,0)</f>
        <v>0</v>
      </c>
      <c r="AA473" s="39" t="n">
        <f aca="false">IF(Informed=0,N473,0)</f>
        <v>40.314086283843</v>
      </c>
      <c r="AB473" s="43" t="n">
        <f aca="false">IF(Arterial=0,IF(Informed=1,1,0),0)</f>
        <v>0</v>
      </c>
      <c r="AC473" s="43" t="n">
        <f aca="false">IF(Arterial=0,IF(Informed=0,1,0),0)</f>
        <v>0</v>
      </c>
      <c r="AD473" s="43" t="n">
        <f aca="false">IF(Arterial=1,IF(Informed=1,1,0),0)</f>
        <v>0</v>
      </c>
      <c r="AE473" s="43" t="n">
        <f aca="false">IF(Arterial=1,IF(Informed=0,1,0),0)</f>
        <v>1</v>
      </c>
      <c r="AF473" s="35" t="n">
        <f aca="false">IF(AB473=1,(X473-G$1030)^2,0)</f>
        <v>0</v>
      </c>
      <c r="AG473" s="35" t="n">
        <f aca="false">IF(AC473=1,(Y473-H$1030)^2,0)</f>
        <v>0</v>
      </c>
      <c r="AH473" s="35" t="n">
        <f aca="false">IF(AD473=1,(Z473-I$1030)^2,0)</f>
        <v>0</v>
      </c>
      <c r="AI473" s="35" t="n">
        <f aca="false">IF(AE473=1,(AA473-J$1030)^2,0)</f>
        <v>115.5584428486</v>
      </c>
      <c r="AJ473" s="37" t="n">
        <f aca="true">IF(RAND()&lt;$D$6,1,0)</f>
        <v>0</v>
      </c>
      <c r="AK473" s="14" t="n">
        <f aca="false">AK472+IF((AJ473=1),IF((H473=0),1,0),0)</f>
        <v>0</v>
      </c>
      <c r="AL473" s="14" t="n">
        <f aca="false">AL472+IF((AJ473=1),IF((H473=1),1,0),0)</f>
        <v>0</v>
      </c>
      <c r="AM473" s="37" t="n">
        <f aca="false">IF(AK473=0,9999,IF($H473=0,IF($AJ473&lt;1,AM472+1,0),AM472))</f>
        <v>9999</v>
      </c>
      <c r="AN473" s="37" t="n">
        <f aca="false">IF(AL473=0,9999,IF($H473=1,IF($AJ473&lt;1,AN472+1,0),AN472))</f>
        <v>9999</v>
      </c>
      <c r="AO473" s="37" t="n">
        <f aca="false">IF($A473-AM473&gt;0,1/(1+AM473),0)</f>
        <v>0</v>
      </c>
      <c r="AP473" s="37" t="n">
        <f aca="false">IF($A473-AN473&gt;0,1/(1+AN473),0)</f>
        <v>0</v>
      </c>
      <c r="AQ473" s="7" t="n">
        <f aca="false">IF(AK473=0,0,MAX(MIN(1,AO473^Power),0))</f>
        <v>0</v>
      </c>
      <c r="AR473" s="7" t="n">
        <f aca="false">IF(AL473=0,0,MAX(MIN(1,AP473^Power),0))</f>
        <v>0</v>
      </c>
      <c r="AS473" s="7" t="n">
        <f aca="false">IF($AJ473=1,IF($H473=0,K473,AS472),AS472)</f>
        <v>0</v>
      </c>
      <c r="AT473" s="7" t="n">
        <f aca="false">IF($AJ473=1,IF($H473=1,N473,AT472),AT472)</f>
        <v>0</v>
      </c>
    </row>
    <row r="474" customFormat="false" ht="13" hidden="false" customHeight="false" outlineLevel="0" collapsed="false">
      <c r="A474" s="16" t="n">
        <v>457</v>
      </c>
      <c r="B474" s="37" t="n">
        <f aca="true">IF(RAND()&lt;$D$8,1,0)</f>
        <v>0</v>
      </c>
      <c r="C474" s="20" t="n">
        <f aca="true">-LN(RAND())/$D$2</f>
        <v>0.218974661059554</v>
      </c>
      <c r="D474" s="38" t="n">
        <f aca="false">D473+C474</f>
        <v>487.117756909611</v>
      </c>
      <c r="E474" s="39" t="n">
        <f aca="false">MAX($E$3,AS473)</f>
        <v>0</v>
      </c>
      <c r="F474" s="39" t="n">
        <f aca="false">MAX($E$3,AT473)</f>
        <v>0</v>
      </c>
      <c r="G474" s="40" t="n">
        <v>0.5</v>
      </c>
      <c r="H474" s="38" t="n">
        <f aca="true">IF((B474=1),(IF((F474&lt;E474),1,(IF((F474=E474),(IF(RAND()&lt;G474,1,0)),0)))),(IF((RAND()&lt;G474),1,0)))</f>
        <v>0</v>
      </c>
      <c r="I474" s="38" t="n">
        <f aca="true">IF((H474=1),0,$D$3+$D$5*(RAND()-0.5))</f>
        <v>2.18474434845575</v>
      </c>
      <c r="J474" s="38" t="n">
        <f aca="false">I474+MAX(D474,J473)</f>
        <v>493.627616518702</v>
      </c>
      <c r="K474" s="38" t="n">
        <f aca="false">IF((H474=0),J474-D474,0)</f>
        <v>6.50985960909054</v>
      </c>
      <c r="L474" s="38" t="n">
        <f aca="true">IF(($H474=0),0,$D$4+$D$5*(RAND()-0.5))</f>
        <v>0</v>
      </c>
      <c r="M474" s="38" t="n">
        <f aca="false">L474+MAX(D474,M473)</f>
        <v>527.212868532394</v>
      </c>
      <c r="N474" s="38" t="n">
        <f aca="false">IF((H474=1),M474-D474,0)</f>
        <v>0</v>
      </c>
      <c r="O474" s="16" t="n">
        <v>457</v>
      </c>
      <c r="P474" s="41" t="n">
        <f aca="false">IF((Arterial=0),P473+1,P473)</f>
        <v>208</v>
      </c>
      <c r="Q474" s="41" t="n">
        <f aca="false">IF((Arterial=1),Q473+1,Q473)</f>
        <v>249</v>
      </c>
      <c r="R474" s="42" t="e">
        <f aca="false">IF((RESET=1),0,R474+K474)</f>
        <v>#N/A</v>
      </c>
      <c r="S474" s="14" t="n">
        <f aca="false">IF(RESET=1,0,S474+N474)</f>
        <v>397.869491626177</v>
      </c>
      <c r="T474" s="2" t="e">
        <f aca="false">IF(RESET=1,0,T474+IF(H474=0,1,0))</f>
        <v>#N/A</v>
      </c>
      <c r="U474" s="2" t="n">
        <f aca="false">IF(RESET=1,0,U474+H474)</f>
        <v>37</v>
      </c>
      <c r="V474" s="14" t="e">
        <f aca="false">R474/(T474+0.00001)</f>
        <v>#N/A</v>
      </c>
      <c r="W474" s="14" t="n">
        <f aca="false">S474/(U474+0.0001)</f>
        <v>10.7532004407063</v>
      </c>
      <c r="X474" s="39" t="n">
        <f aca="false">IF(Informed=1,K474,0)</f>
        <v>0</v>
      </c>
      <c r="Y474" s="39" t="n">
        <f aca="false">IF(Informed=0,K474,0)</f>
        <v>6.50985960909054</v>
      </c>
      <c r="Z474" s="39" t="n">
        <f aca="false">IF(Informed=1,N474,0)</f>
        <v>0</v>
      </c>
      <c r="AA474" s="39" t="n">
        <f aca="false">IF(Informed=0,N474,0)</f>
        <v>0</v>
      </c>
      <c r="AB474" s="43" t="n">
        <f aca="false">IF(Arterial=0,IF(Informed=1,1,0),0)</f>
        <v>0</v>
      </c>
      <c r="AC474" s="43" t="n">
        <f aca="false">IF(Arterial=0,IF(Informed=0,1,0),0)</f>
        <v>1</v>
      </c>
      <c r="AD474" s="43" t="n">
        <f aca="false">IF(Arterial=1,IF(Informed=1,1,0),0)</f>
        <v>0</v>
      </c>
      <c r="AE474" s="43" t="n">
        <f aca="false">IF(Arterial=1,IF(Informed=0,1,0),0)</f>
        <v>0</v>
      </c>
      <c r="AF474" s="35" t="n">
        <f aca="false">IF(AB474=1,(X474-G$1030)^2,0)</f>
        <v>0</v>
      </c>
      <c r="AG474" s="35" t="n">
        <f aca="false">IF(AC474=1,(Y474-H$1030)^2,0)</f>
        <v>19.482739569833</v>
      </c>
      <c r="AH474" s="35" t="n">
        <f aca="false">IF(AD474=1,(Z474-I$1030)^2,0)</f>
        <v>0</v>
      </c>
      <c r="AI474" s="35" t="n">
        <f aca="false">IF(AE474=1,(AA474-J$1030)^2,0)</f>
        <v>0</v>
      </c>
      <c r="AJ474" s="37" t="n">
        <f aca="true">IF(RAND()&lt;$D$6,1,0)</f>
        <v>0</v>
      </c>
      <c r="AK474" s="14" t="n">
        <f aca="false">AK473+IF((AJ474=1),IF((H474=0),1,0),0)</f>
        <v>0</v>
      </c>
      <c r="AL474" s="14" t="n">
        <f aca="false">AL473+IF((AJ474=1),IF((H474=1),1,0),0)</f>
        <v>0</v>
      </c>
      <c r="AM474" s="37" t="n">
        <f aca="false">IF(AK474=0,9999,IF($H474=0,IF($AJ474&lt;1,AM473+1,0),AM473))</f>
        <v>9999</v>
      </c>
      <c r="AN474" s="37" t="n">
        <f aca="false">IF(AL474=0,9999,IF($H474=1,IF($AJ474&lt;1,AN473+1,0),AN473))</f>
        <v>9999</v>
      </c>
      <c r="AO474" s="37" t="n">
        <f aca="false">IF($A474-AM474&gt;0,1/(1+AM474),0)</f>
        <v>0</v>
      </c>
      <c r="AP474" s="37" t="n">
        <f aca="false">IF($A474-AN474&gt;0,1/(1+AN474),0)</f>
        <v>0</v>
      </c>
      <c r="AQ474" s="7" t="n">
        <f aca="false">IF(AK474=0,0,MAX(MIN(1,AO474^Power),0))</f>
        <v>0</v>
      </c>
      <c r="AR474" s="7" t="n">
        <f aca="false">IF(AL474=0,0,MAX(MIN(1,AP474^Power),0))</f>
        <v>0</v>
      </c>
      <c r="AS474" s="7" t="n">
        <f aca="false">IF($AJ474=1,IF($H474=0,K474,AS473),AS473)</f>
        <v>0</v>
      </c>
      <c r="AT474" s="7" t="n">
        <f aca="false">IF($AJ474=1,IF($H474=1,N474,AT473),AT473)</f>
        <v>0</v>
      </c>
    </row>
    <row r="475" customFormat="false" ht="13" hidden="false" customHeight="false" outlineLevel="0" collapsed="false">
      <c r="A475" s="16" t="n">
        <v>458</v>
      </c>
      <c r="B475" s="37" t="n">
        <f aca="true">IF(RAND()&lt;$D$8,1,0)</f>
        <v>0</v>
      </c>
      <c r="C475" s="20" t="n">
        <f aca="true">-LN(RAND())/$D$2</f>
        <v>0.358590026271403</v>
      </c>
      <c r="D475" s="38" t="n">
        <f aca="false">D474+C475</f>
        <v>487.476346935882</v>
      </c>
      <c r="E475" s="39" t="n">
        <f aca="false">MAX($E$3,AS474)</f>
        <v>0</v>
      </c>
      <c r="F475" s="39" t="n">
        <f aca="false">MAX($E$3,AT474)</f>
        <v>0</v>
      </c>
      <c r="G475" s="40" t="n">
        <v>0.5</v>
      </c>
      <c r="H475" s="38" t="n">
        <f aca="true">IF((B475=1),(IF((F475&lt;E475),1,(IF((F475=E475),(IF(RAND()&lt;G475,1,0)),0)))),(IF((RAND()&lt;G475),1,0)))</f>
        <v>0</v>
      </c>
      <c r="I475" s="38" t="n">
        <f aca="true">IF((H475=1),0,$D$3+$D$5*(RAND()-0.5))</f>
        <v>2.15361144890571</v>
      </c>
      <c r="J475" s="38" t="n">
        <f aca="false">I475+MAX(D475,J474)</f>
        <v>495.781227967607</v>
      </c>
      <c r="K475" s="38" t="n">
        <f aca="false">IF((H475=0),J475-D475,0)</f>
        <v>8.30488103172485</v>
      </c>
      <c r="L475" s="38" t="n">
        <f aca="true">IF(($H475=0),0,$D$4+$D$5*(RAND()-0.5))</f>
        <v>0</v>
      </c>
      <c r="M475" s="38" t="n">
        <f aca="false">L475+MAX(D475,M474)</f>
        <v>527.212868532394</v>
      </c>
      <c r="N475" s="38" t="n">
        <f aca="false">IF((H475=1),M475-D475,0)</f>
        <v>0</v>
      </c>
      <c r="O475" s="16" t="n">
        <v>458</v>
      </c>
      <c r="P475" s="41" t="n">
        <f aca="false">IF((Arterial=0),P474+1,P474)</f>
        <v>209</v>
      </c>
      <c r="Q475" s="41" t="n">
        <f aca="false">IF((Arterial=1),Q474+1,Q474)</f>
        <v>249</v>
      </c>
      <c r="R475" s="42" t="e">
        <f aca="false">IF((RESET=1),0,R475+K475)</f>
        <v>#N/A</v>
      </c>
      <c r="S475" s="14" t="n">
        <f aca="false">IF(RESET=1,0,S475+N475)</f>
        <v>527.433794604191</v>
      </c>
      <c r="T475" s="2" t="e">
        <f aca="false">IF(RESET=1,0,T475+IF(H475=0,1,0))</f>
        <v>#N/A</v>
      </c>
      <c r="U475" s="2" t="n">
        <f aca="false">IF(RESET=1,0,U475+H475)</f>
        <v>39</v>
      </c>
      <c r="V475" s="14" t="e">
        <f aca="false">R475/(T475+0.00001)</f>
        <v>#N/A</v>
      </c>
      <c r="W475" s="14" t="n">
        <f aca="false">S475/(U475+0.0001)</f>
        <v>13.5239087747003</v>
      </c>
      <c r="X475" s="39" t="n">
        <f aca="false">IF(Informed=1,K475,0)</f>
        <v>0</v>
      </c>
      <c r="Y475" s="39" t="n">
        <f aca="false">IF(Informed=0,K475,0)</f>
        <v>8.30488103172485</v>
      </c>
      <c r="Z475" s="39" t="n">
        <f aca="false">IF(Informed=1,N475,0)</f>
        <v>0</v>
      </c>
      <c r="AA475" s="39" t="n">
        <f aca="false">IF(Informed=0,N475,0)</f>
        <v>0</v>
      </c>
      <c r="AB475" s="43" t="n">
        <f aca="false">IF(Arterial=0,IF(Informed=1,1,0),0)</f>
        <v>0</v>
      </c>
      <c r="AC475" s="43" t="n">
        <f aca="false">IF(Arterial=0,IF(Informed=0,1,0),0)</f>
        <v>1</v>
      </c>
      <c r="AD475" s="43" t="n">
        <f aca="false">IF(Arterial=1,IF(Informed=1,1,0),0)</f>
        <v>0</v>
      </c>
      <c r="AE475" s="43" t="n">
        <f aca="false">IF(Arterial=1,IF(Informed=0,1,0),0)</f>
        <v>0</v>
      </c>
      <c r="AF475" s="35" t="n">
        <f aca="false">IF(AB475=1,(X475-G$1030)^2,0)</f>
        <v>0</v>
      </c>
      <c r="AG475" s="35" t="n">
        <f aca="false">IF(AC475=1,(Y475-H$1030)^2,0)</f>
        <v>6.85865930826999</v>
      </c>
      <c r="AH475" s="35" t="n">
        <f aca="false">IF(AD475=1,(Z475-I$1030)^2,0)</f>
        <v>0</v>
      </c>
      <c r="AI475" s="35" t="n">
        <f aca="false">IF(AE475=1,(AA475-J$1030)^2,0)</f>
        <v>0</v>
      </c>
      <c r="AJ475" s="37" t="n">
        <f aca="true">IF(RAND()&lt;$D$6,1,0)</f>
        <v>0</v>
      </c>
      <c r="AK475" s="14" t="n">
        <f aca="false">AK474+IF((AJ475=1),IF((H475=0),1,0),0)</f>
        <v>0</v>
      </c>
      <c r="AL475" s="14" t="n">
        <f aca="false">AL474+IF((AJ475=1),IF((H475=1),1,0),0)</f>
        <v>0</v>
      </c>
      <c r="AM475" s="37" t="n">
        <f aca="false">IF(AK475=0,9999,IF($H475=0,IF($AJ475&lt;1,AM474+1,0),AM474))</f>
        <v>9999</v>
      </c>
      <c r="AN475" s="37" t="n">
        <f aca="false">IF(AL475=0,9999,IF($H475=1,IF($AJ475&lt;1,AN474+1,0),AN474))</f>
        <v>9999</v>
      </c>
      <c r="AO475" s="37" t="n">
        <f aca="false">IF($A475-AM475&gt;0,1/(1+AM475),0)</f>
        <v>0</v>
      </c>
      <c r="AP475" s="37" t="n">
        <f aca="false">IF($A475-AN475&gt;0,1/(1+AN475),0)</f>
        <v>0</v>
      </c>
      <c r="AQ475" s="7" t="n">
        <f aca="false">IF(AK475=0,0,MAX(MIN(1,AO475^Power),0))</f>
        <v>0</v>
      </c>
      <c r="AR475" s="7" t="n">
        <f aca="false">IF(AL475=0,0,MAX(MIN(1,AP475^Power),0))</f>
        <v>0</v>
      </c>
      <c r="AS475" s="7" t="n">
        <f aca="false">IF($AJ475=1,IF($H475=0,K475,AS474),AS474)</f>
        <v>0</v>
      </c>
      <c r="AT475" s="7" t="n">
        <f aca="false">IF($AJ475=1,IF($H475=1,N475,AT474),AT474)</f>
        <v>0</v>
      </c>
    </row>
    <row r="476" customFormat="false" ht="13" hidden="false" customHeight="false" outlineLevel="0" collapsed="false">
      <c r="A476" s="16" t="n">
        <v>459</v>
      </c>
      <c r="B476" s="37" t="n">
        <f aca="true">IF(RAND()&lt;$D$8,1,0)</f>
        <v>1</v>
      </c>
      <c r="C476" s="20" t="n">
        <f aca="true">-LN(RAND())/$D$2</f>
        <v>0.0480248307131517</v>
      </c>
      <c r="D476" s="38" t="n">
        <f aca="false">D475+C476</f>
        <v>487.524371766596</v>
      </c>
      <c r="E476" s="39" t="n">
        <f aca="false">MAX($E$3,AS475)</f>
        <v>0</v>
      </c>
      <c r="F476" s="39" t="n">
        <f aca="false">MAX($E$3,AT475)</f>
        <v>0</v>
      </c>
      <c r="G476" s="40" t="n">
        <v>0.5</v>
      </c>
      <c r="H476" s="38" t="n">
        <f aca="true">IF((B476=1),(IF((F476&lt;E476),1,(IF((F476=E476),(IF(RAND()&lt;G476,1,0)),0)))),(IF((RAND()&lt;G476),1,0)))</f>
        <v>0</v>
      </c>
      <c r="I476" s="38" t="n">
        <f aca="true">IF((H476=1),0,$D$3+$D$5*(RAND()-0.5))</f>
        <v>1.77939544116108</v>
      </c>
      <c r="J476" s="38" t="n">
        <f aca="false">I476+MAX(D476,J475)</f>
        <v>497.560623408768</v>
      </c>
      <c r="K476" s="38" t="n">
        <f aca="false">IF((H476=0),J476-D476,0)</f>
        <v>10.0362516421728</v>
      </c>
      <c r="L476" s="38" t="n">
        <f aca="true">IF(($H476=0),0,$D$4+$D$5*(RAND()-0.5))</f>
        <v>0</v>
      </c>
      <c r="M476" s="38" t="n">
        <f aca="false">L476+MAX(D476,M475)</f>
        <v>527.212868532394</v>
      </c>
      <c r="N476" s="38" t="n">
        <f aca="false">IF((H476=1),M476-D476,0)</f>
        <v>0</v>
      </c>
      <c r="O476" s="16" t="n">
        <v>459</v>
      </c>
      <c r="P476" s="41" t="n">
        <f aca="false">IF((Arterial=0),P475+1,P475)</f>
        <v>210</v>
      </c>
      <c r="Q476" s="41" t="n">
        <f aca="false">IF((Arterial=1),Q475+1,Q475)</f>
        <v>249</v>
      </c>
      <c r="R476" s="42" t="e">
        <f aca="false">IF((RESET=1),0,R476+K476)</f>
        <v>#N/A</v>
      </c>
      <c r="S476" s="14" t="n">
        <f aca="false">IF(RESET=1,0,S476+N476)</f>
        <v>613.557689698008</v>
      </c>
      <c r="T476" s="2" t="e">
        <f aca="false">IF(RESET=1,0,T476+IF(H476=0,1,0))</f>
        <v>#N/A</v>
      </c>
      <c r="U476" s="2" t="n">
        <f aca="false">IF(RESET=1,0,U476+H476)</f>
        <v>43</v>
      </c>
      <c r="V476" s="14" t="e">
        <f aca="false">R476/(T476+0.00001)</f>
        <v>#N/A</v>
      </c>
      <c r="W476" s="14" t="n">
        <f aca="false">S476/(U476+0.0001)</f>
        <v>14.2687502982088</v>
      </c>
      <c r="X476" s="39" t="n">
        <f aca="false">IF(Informed=1,K476,0)</f>
        <v>10.0362516421728</v>
      </c>
      <c r="Y476" s="39" t="n">
        <f aca="false">IF(Informed=0,K476,0)</f>
        <v>0</v>
      </c>
      <c r="Z476" s="39" t="n">
        <f aca="false">IF(Informed=1,N476,0)</f>
        <v>0</v>
      </c>
      <c r="AA476" s="39" t="n">
        <f aca="false">IF(Informed=0,N476,0)</f>
        <v>0</v>
      </c>
      <c r="AB476" s="43" t="n">
        <f aca="false">IF(Arterial=0,IF(Informed=1,1,0),0)</f>
        <v>1</v>
      </c>
      <c r="AC476" s="43" t="n">
        <f aca="false">IF(Arterial=0,IF(Informed=0,1,0),0)</f>
        <v>0</v>
      </c>
      <c r="AD476" s="43" t="n">
        <f aca="false">IF(Arterial=1,IF(Informed=1,1,0),0)</f>
        <v>0</v>
      </c>
      <c r="AE476" s="43" t="n">
        <f aca="false">IF(Arterial=1,IF(Informed=0,1,0),0)</f>
        <v>0</v>
      </c>
      <c r="AF476" s="35" t="n">
        <f aca="false">IF(AB476=1,(X476-G$1030)^2,0)</f>
        <v>0.453503385056174</v>
      </c>
      <c r="AG476" s="35" t="n">
        <f aca="false">IF(AC476=1,(Y476-H$1030)^2,0)</f>
        <v>0</v>
      </c>
      <c r="AH476" s="35" t="n">
        <f aca="false">IF(AD476=1,(Z476-I$1030)^2,0)</f>
        <v>0</v>
      </c>
      <c r="AI476" s="35" t="n">
        <f aca="false">IF(AE476=1,(AA476-J$1030)^2,0)</f>
        <v>0</v>
      </c>
      <c r="AJ476" s="37" t="n">
        <f aca="true">IF(RAND()&lt;$D$6,1,0)</f>
        <v>0</v>
      </c>
      <c r="AK476" s="14" t="n">
        <f aca="false">AK475+IF((AJ476=1),IF((H476=0),1,0),0)</f>
        <v>0</v>
      </c>
      <c r="AL476" s="14" t="n">
        <f aca="false">AL475+IF((AJ476=1),IF((H476=1),1,0),0)</f>
        <v>0</v>
      </c>
      <c r="AM476" s="37" t="n">
        <f aca="false">IF(AK476=0,9999,IF($H476=0,IF($AJ476&lt;1,AM475+1,0),AM475))</f>
        <v>9999</v>
      </c>
      <c r="AN476" s="37" t="n">
        <f aca="false">IF(AL476=0,9999,IF($H476=1,IF($AJ476&lt;1,AN475+1,0),AN475))</f>
        <v>9999</v>
      </c>
      <c r="AO476" s="37" t="n">
        <f aca="false">IF($A476-AM476&gt;0,1/(1+AM476),0)</f>
        <v>0</v>
      </c>
      <c r="AP476" s="37" t="n">
        <f aca="false">IF($A476-AN476&gt;0,1/(1+AN476),0)</f>
        <v>0</v>
      </c>
      <c r="AQ476" s="7" t="n">
        <f aca="false">IF(AK476=0,0,MAX(MIN(1,AO476^Power),0))</f>
        <v>0</v>
      </c>
      <c r="AR476" s="7" t="n">
        <f aca="false">IF(AL476=0,0,MAX(MIN(1,AP476^Power),0))</f>
        <v>0</v>
      </c>
      <c r="AS476" s="7" t="n">
        <f aca="false">IF($AJ476=1,IF($H476=0,K476,AS475),AS475)</f>
        <v>0</v>
      </c>
      <c r="AT476" s="7" t="n">
        <f aca="false">IF($AJ476=1,IF($H476=1,N476,AT475),AT475)</f>
        <v>0</v>
      </c>
    </row>
    <row r="477" customFormat="false" ht="13" hidden="false" customHeight="false" outlineLevel="0" collapsed="false">
      <c r="A477" s="16" t="n">
        <v>460</v>
      </c>
      <c r="B477" s="37" t="n">
        <f aca="true">IF(RAND()&lt;$D$8,1,0)</f>
        <v>0</v>
      </c>
      <c r="C477" s="20" t="n">
        <f aca="true">-LN(RAND())/$D$2</f>
        <v>1.59392332493526</v>
      </c>
      <c r="D477" s="38" t="n">
        <f aca="false">D476+C477</f>
        <v>489.118295091531</v>
      </c>
      <c r="E477" s="39" t="n">
        <f aca="false">MAX($E$3,AS476)</f>
        <v>0</v>
      </c>
      <c r="F477" s="39" t="n">
        <f aca="false">MAX($E$3,AT476)</f>
        <v>0</v>
      </c>
      <c r="G477" s="40" t="n">
        <v>0.5</v>
      </c>
      <c r="H477" s="38" t="n">
        <f aca="true">IF((B477=1),(IF((F477&lt;E477),1,(IF((F477=E477),(IF(RAND()&lt;G477,1,0)),0)))),(IF((RAND()&lt;G477),1,0)))</f>
        <v>1</v>
      </c>
      <c r="I477" s="38" t="n">
        <f aca="true">IF((H477=1),0,$D$3+$D$5*(RAND()-0.5))</f>
        <v>0</v>
      </c>
      <c r="J477" s="38" t="n">
        <f aca="false">I477+MAX(D477,J476)</f>
        <v>497.560623408768</v>
      </c>
      <c r="K477" s="38" t="n">
        <f aca="false">IF((H477=0),J477-D477,0)</f>
        <v>0</v>
      </c>
      <c r="L477" s="38" t="n">
        <f aca="true">IF(($H477=0),0,$D$4+$D$5*(RAND()-0.5))</f>
        <v>1.93121378392729</v>
      </c>
      <c r="M477" s="38" t="n">
        <f aca="false">L477+MAX(D477,M476)</f>
        <v>529.144082316322</v>
      </c>
      <c r="N477" s="38" t="n">
        <f aca="false">IF((H477=1),M477-D477,0)</f>
        <v>40.025787224791</v>
      </c>
      <c r="O477" s="16" t="n">
        <v>460</v>
      </c>
      <c r="P477" s="41" t="n">
        <f aca="false">IF((Arterial=0),P476+1,P476)</f>
        <v>210</v>
      </c>
      <c r="Q477" s="41" t="n">
        <f aca="false">IF((Arterial=1),Q476+1,Q476)</f>
        <v>250</v>
      </c>
      <c r="R477" s="42" t="n">
        <f aca="false">IF((RESET=1),0,R477+K477)</f>
        <v>598.722204486121</v>
      </c>
      <c r="S477" s="14" t="e">
        <f aca="false">IF(RESET=1,0,S477+N477)</f>
        <v>#N/A</v>
      </c>
      <c r="T477" s="2" t="n">
        <f aca="false">IF(RESET=1,0,T477+IF(H477=0,1,0))</f>
        <v>39</v>
      </c>
      <c r="U477" s="2" t="e">
        <f aca="false">IF(RESET=1,0,U477+H477)</f>
        <v>#N/A</v>
      </c>
      <c r="V477" s="14" t="n">
        <f aca="false">R477/(T477+0.00001)</f>
        <v>15.3518474607089</v>
      </c>
      <c r="W477" s="14" t="e">
        <f aca="false">S477/(U477+0.0001)</f>
        <v>#N/A</v>
      </c>
      <c r="X477" s="39" t="n">
        <f aca="false">IF(Informed=1,K477,0)</f>
        <v>0</v>
      </c>
      <c r="Y477" s="39" t="n">
        <f aca="false">IF(Informed=0,K477,0)</f>
        <v>0</v>
      </c>
      <c r="Z477" s="39" t="n">
        <f aca="false">IF(Informed=1,N477,0)</f>
        <v>0</v>
      </c>
      <c r="AA477" s="39" t="n">
        <f aca="false">IF(Informed=0,N477,0)</f>
        <v>40.025787224791</v>
      </c>
      <c r="AB477" s="43" t="n">
        <f aca="false">IF(Arterial=0,IF(Informed=1,1,0),0)</f>
        <v>0</v>
      </c>
      <c r="AC477" s="43" t="n">
        <f aca="false">IF(Arterial=0,IF(Informed=0,1,0),0)</f>
        <v>0</v>
      </c>
      <c r="AD477" s="43" t="n">
        <f aca="false">IF(Arterial=1,IF(Informed=1,1,0),0)</f>
        <v>0</v>
      </c>
      <c r="AE477" s="43" t="n">
        <f aca="false">IF(Arterial=1,IF(Informed=0,1,0),0)</f>
        <v>1</v>
      </c>
      <c r="AF477" s="35" t="n">
        <f aca="false">IF(AB477=1,(X477-G$1030)^2,0)</f>
        <v>0</v>
      </c>
      <c r="AG477" s="35" t="n">
        <f aca="false">IF(AC477=1,(Y477-H$1030)^2,0)</f>
        <v>0</v>
      </c>
      <c r="AH477" s="35" t="n">
        <f aca="false">IF(AD477=1,(Z477-I$1030)^2,0)</f>
        <v>0</v>
      </c>
      <c r="AI477" s="35" t="n">
        <f aca="false">IF(AE477=1,(AA477-J$1030)^2,0)</f>
        <v>109.443238234171</v>
      </c>
      <c r="AJ477" s="37" t="n">
        <f aca="true">IF(RAND()&lt;$D$6,1,0)</f>
        <v>0</v>
      </c>
      <c r="AK477" s="14" t="n">
        <f aca="false">AK476+IF((AJ477=1),IF((H477=0),1,0),0)</f>
        <v>0</v>
      </c>
      <c r="AL477" s="14" t="n">
        <f aca="false">AL476+IF((AJ477=1),IF((H477=1),1,0),0)</f>
        <v>0</v>
      </c>
      <c r="AM477" s="37" t="n">
        <f aca="false">IF(AK477=0,9999,IF($H477=0,IF($AJ477&lt;1,AM476+1,0),AM476))</f>
        <v>9999</v>
      </c>
      <c r="AN477" s="37" t="n">
        <f aca="false">IF(AL477=0,9999,IF($H477=1,IF($AJ477&lt;1,AN476+1,0),AN476))</f>
        <v>9999</v>
      </c>
      <c r="AO477" s="37" t="n">
        <f aca="false">IF($A477-AM477&gt;0,1/(1+AM477),0)</f>
        <v>0</v>
      </c>
      <c r="AP477" s="37" t="n">
        <f aca="false">IF($A477-AN477&gt;0,1/(1+AN477),0)</f>
        <v>0</v>
      </c>
      <c r="AQ477" s="7" t="n">
        <f aca="false">IF(AK477=0,0,MAX(MIN(1,AO477^Power),0))</f>
        <v>0</v>
      </c>
      <c r="AR477" s="7" t="n">
        <f aca="false">IF(AL477=0,0,MAX(MIN(1,AP477^Power),0))</f>
        <v>0</v>
      </c>
      <c r="AS477" s="7" t="n">
        <f aca="false">IF($AJ477=1,IF($H477=0,K477,AS476),AS476)</f>
        <v>0</v>
      </c>
      <c r="AT477" s="7" t="n">
        <f aca="false">IF($AJ477=1,IF($H477=1,N477,AT476),AT476)</f>
        <v>0</v>
      </c>
    </row>
    <row r="478" customFormat="false" ht="13" hidden="false" customHeight="false" outlineLevel="0" collapsed="false">
      <c r="A478" s="16" t="n">
        <v>461</v>
      </c>
      <c r="B478" s="37" t="n">
        <f aca="true">IF(RAND()&lt;$D$8,1,0)</f>
        <v>0</v>
      </c>
      <c r="C478" s="20" t="n">
        <f aca="true">-LN(RAND())/$D$2</f>
        <v>1.46496225204336</v>
      </c>
      <c r="D478" s="38" t="n">
        <f aca="false">D477+C478</f>
        <v>490.583257343574</v>
      </c>
      <c r="E478" s="39" t="n">
        <f aca="false">MAX($E$3,AS477)</f>
        <v>0</v>
      </c>
      <c r="F478" s="39" t="n">
        <f aca="false">MAX($E$3,AT477)</f>
        <v>0</v>
      </c>
      <c r="G478" s="40" t="n">
        <v>0.5</v>
      </c>
      <c r="H478" s="38" t="n">
        <f aca="true">IF((B478=1),(IF((F478&lt;E478),1,(IF((F478=E478),(IF(RAND()&lt;G478,1,0)),0)))),(IF((RAND()&lt;G478),1,0)))</f>
        <v>0</v>
      </c>
      <c r="I478" s="38" t="n">
        <f aca="true">IF((H478=1),0,$D$3+$D$5*(RAND()-0.5))</f>
        <v>2.04186597321976</v>
      </c>
      <c r="J478" s="38" t="n">
        <f aca="false">I478+MAX(D478,J477)</f>
        <v>499.602489381988</v>
      </c>
      <c r="K478" s="38" t="n">
        <f aca="false">IF((H478=0),J478-D478,0)</f>
        <v>9.01923203841398</v>
      </c>
      <c r="L478" s="38" t="n">
        <f aca="true">IF(($H478=0),0,$D$4+$D$5*(RAND()-0.5))</f>
        <v>0</v>
      </c>
      <c r="M478" s="38" t="n">
        <f aca="false">L478+MAX(D478,M477)</f>
        <v>529.144082316322</v>
      </c>
      <c r="N478" s="38" t="n">
        <f aca="false">IF((H478=1),M478-D478,0)</f>
        <v>0</v>
      </c>
      <c r="O478" s="16" t="n">
        <v>461</v>
      </c>
      <c r="P478" s="41" t="n">
        <f aca="false">IF((Arterial=0),P477+1,P477)</f>
        <v>211</v>
      </c>
      <c r="Q478" s="41" t="n">
        <f aca="false">IF((Arterial=1),Q477+1,Q477)</f>
        <v>250</v>
      </c>
      <c r="R478" s="42" t="e">
        <f aca="false">IF((RESET=1),0,R478+K478)</f>
        <v>#N/A</v>
      </c>
      <c r="S478" s="14" t="n">
        <f aca="false">IF(RESET=1,0,S478+N478)</f>
        <v>551.886759925388</v>
      </c>
      <c r="T478" s="2" t="e">
        <f aca="false">IF(RESET=1,0,T478+IF(H478=0,1,0))</f>
        <v>#N/A</v>
      </c>
      <c r="U478" s="2" t="n">
        <f aca="false">IF(RESET=1,0,U478+H478)</f>
        <v>44</v>
      </c>
      <c r="V478" s="14" t="e">
        <f aca="false">R478/(T478+0.00001)</f>
        <v>#N/A</v>
      </c>
      <c r="W478" s="14" t="n">
        <f aca="false">S478/(U478+0.0001)</f>
        <v>12.5428524009124</v>
      </c>
      <c r="X478" s="39" t="n">
        <f aca="false">IF(Informed=1,K478,0)</f>
        <v>0</v>
      </c>
      <c r="Y478" s="39" t="n">
        <f aca="false">IF(Informed=0,K478,0)</f>
        <v>9.01923203841398</v>
      </c>
      <c r="Z478" s="39" t="n">
        <f aca="false">IF(Informed=1,N478,0)</f>
        <v>0</v>
      </c>
      <c r="AA478" s="39" t="n">
        <f aca="false">IF(Informed=0,N478,0)</f>
        <v>0</v>
      </c>
      <c r="AB478" s="43" t="n">
        <f aca="false">IF(Arterial=0,IF(Informed=1,1,0),0)</f>
        <v>0</v>
      </c>
      <c r="AC478" s="43" t="n">
        <f aca="false">IF(Arterial=0,IF(Informed=0,1,0),0)</f>
        <v>1</v>
      </c>
      <c r="AD478" s="43" t="n">
        <f aca="false">IF(Arterial=1,IF(Informed=1,1,0),0)</f>
        <v>0</v>
      </c>
      <c r="AE478" s="43" t="n">
        <f aca="false">IF(Arterial=1,IF(Informed=0,1,0),0)</f>
        <v>0</v>
      </c>
      <c r="AF478" s="35" t="n">
        <f aca="false">IF(AB478=1,(X478-G$1030)^2,0)</f>
        <v>0</v>
      </c>
      <c r="AG478" s="35" t="n">
        <f aca="false">IF(AC478=1,(Y478-H$1030)^2,0)</f>
        <v>3.62732293850475</v>
      </c>
      <c r="AH478" s="35" t="n">
        <f aca="false">IF(AD478=1,(Z478-I$1030)^2,0)</f>
        <v>0</v>
      </c>
      <c r="AI478" s="35" t="n">
        <f aca="false">IF(AE478=1,(AA478-J$1030)^2,0)</f>
        <v>0</v>
      </c>
      <c r="AJ478" s="37" t="n">
        <f aca="true">IF(RAND()&lt;$D$6,1,0)</f>
        <v>0</v>
      </c>
      <c r="AK478" s="14" t="n">
        <f aca="false">AK477+IF((AJ478=1),IF((H478=0),1,0),0)</f>
        <v>0</v>
      </c>
      <c r="AL478" s="14" t="n">
        <f aca="false">AL477+IF((AJ478=1),IF((H478=1),1,0),0)</f>
        <v>0</v>
      </c>
      <c r="AM478" s="37" t="n">
        <f aca="false">IF(AK478=0,9999,IF($H478=0,IF($AJ478&lt;1,AM477+1,0),AM477))</f>
        <v>9999</v>
      </c>
      <c r="AN478" s="37" t="n">
        <f aca="false">IF(AL478=0,9999,IF($H478=1,IF($AJ478&lt;1,AN477+1,0),AN477))</f>
        <v>9999</v>
      </c>
      <c r="AO478" s="37" t="n">
        <f aca="false">IF($A478-AM478&gt;0,1/(1+AM478),0)</f>
        <v>0</v>
      </c>
      <c r="AP478" s="37" t="n">
        <f aca="false">IF($A478-AN478&gt;0,1/(1+AN478),0)</f>
        <v>0</v>
      </c>
      <c r="AQ478" s="7" t="n">
        <f aca="false">IF(AK478=0,0,MAX(MIN(1,AO478^Power),0))</f>
        <v>0</v>
      </c>
      <c r="AR478" s="7" t="n">
        <f aca="false">IF(AL478=0,0,MAX(MIN(1,AP478^Power),0))</f>
        <v>0</v>
      </c>
      <c r="AS478" s="7" t="n">
        <f aca="false">IF($AJ478=1,IF($H478=0,K478,AS477),AS477)</f>
        <v>0</v>
      </c>
      <c r="AT478" s="7" t="n">
        <f aca="false">IF($AJ478=1,IF($H478=1,N478,AT477),AT477)</f>
        <v>0</v>
      </c>
    </row>
    <row r="479" customFormat="false" ht="13" hidden="false" customHeight="false" outlineLevel="0" collapsed="false">
      <c r="A479" s="16" t="n">
        <v>462</v>
      </c>
      <c r="B479" s="37" t="n">
        <f aca="true">IF(RAND()&lt;$D$8,1,0)</f>
        <v>1</v>
      </c>
      <c r="C479" s="20" t="n">
        <f aca="true">-LN(RAND())/$D$2</f>
        <v>0.00691413362461819</v>
      </c>
      <c r="D479" s="38" t="n">
        <f aca="false">D478+C479</f>
        <v>490.590171477199</v>
      </c>
      <c r="E479" s="39" t="n">
        <f aca="false">MAX($E$3,AS478)</f>
        <v>0</v>
      </c>
      <c r="F479" s="39" t="n">
        <f aca="false">MAX($E$3,AT478)</f>
        <v>0</v>
      </c>
      <c r="G479" s="40" t="n">
        <v>0.5</v>
      </c>
      <c r="H479" s="38" t="n">
        <f aca="true">IF((B479=1),(IF((F479&lt;E479),1,(IF((F479=E479),(IF(RAND()&lt;G479,1,0)),0)))),(IF((RAND()&lt;G479),1,0)))</f>
        <v>0</v>
      </c>
      <c r="I479" s="38" t="n">
        <f aca="true">IF((H479=1),0,$D$3+$D$5*(RAND()-0.5))</f>
        <v>1.98759162614698</v>
      </c>
      <c r="J479" s="38" t="n">
        <f aca="false">I479+MAX(D479,J478)</f>
        <v>501.590081008135</v>
      </c>
      <c r="K479" s="38" t="n">
        <f aca="false">IF((H479=0),J479-D479,0)</f>
        <v>10.9999095309364</v>
      </c>
      <c r="L479" s="38" t="n">
        <f aca="true">IF(($H479=0),0,$D$4+$D$5*(RAND()-0.5))</f>
        <v>0</v>
      </c>
      <c r="M479" s="38" t="n">
        <f aca="false">L479+MAX(D479,M478)</f>
        <v>529.144082316322</v>
      </c>
      <c r="N479" s="38" t="n">
        <f aca="false">IF((H479=1),M479-D479,0)</f>
        <v>0</v>
      </c>
      <c r="O479" s="16" t="n">
        <v>462</v>
      </c>
      <c r="P479" s="41" t="n">
        <f aca="false">IF((Arterial=0),P478+1,P478)</f>
        <v>212</v>
      </c>
      <c r="Q479" s="41" t="n">
        <f aca="false">IF((Arterial=1),Q478+1,Q478)</f>
        <v>250</v>
      </c>
      <c r="R479" s="42" t="e">
        <f aca="false">IF((RESET=1),0,R479+K479)</f>
        <v>#N/A</v>
      </c>
      <c r="S479" s="14" t="n">
        <f aca="false">IF(RESET=1,0,S479+N479)</f>
        <v>488.064602969553</v>
      </c>
      <c r="T479" s="2" t="e">
        <f aca="false">IF(RESET=1,0,T479+IF(H479=0,1,0))</f>
        <v>#N/A</v>
      </c>
      <c r="U479" s="2" t="n">
        <f aca="false">IF(RESET=1,0,U479+H479)</f>
        <v>37</v>
      </c>
      <c r="V479" s="14" t="e">
        <f aca="false">R479/(T479+0.00001)</f>
        <v>#N/A</v>
      </c>
      <c r="W479" s="14" t="n">
        <f aca="false">S479/(U479+0.0001)</f>
        <v>13.1908995643134</v>
      </c>
      <c r="X479" s="39" t="n">
        <f aca="false">IF(Informed=1,K479,0)</f>
        <v>10.9999095309364</v>
      </c>
      <c r="Y479" s="39" t="n">
        <f aca="false">IF(Informed=0,K479,0)</f>
        <v>0</v>
      </c>
      <c r="Z479" s="39" t="n">
        <f aca="false">IF(Informed=1,N479,0)</f>
        <v>0</v>
      </c>
      <c r="AA479" s="39" t="n">
        <f aca="false">IF(Informed=0,N479,0)</f>
        <v>0</v>
      </c>
      <c r="AB479" s="43" t="n">
        <f aca="false">IF(Arterial=0,IF(Informed=1,1,0),0)</f>
        <v>1</v>
      </c>
      <c r="AC479" s="43" t="n">
        <f aca="false">IF(Arterial=0,IF(Informed=0,1,0),0)</f>
        <v>0</v>
      </c>
      <c r="AD479" s="43" t="n">
        <f aca="false">IF(Arterial=1,IF(Informed=1,1,0),0)</f>
        <v>0</v>
      </c>
      <c r="AE479" s="43" t="n">
        <f aca="false">IF(Arterial=1,IF(Informed=0,1,0),0)</f>
        <v>0</v>
      </c>
      <c r="AF479" s="35" t="n">
        <f aca="false">IF(AB479=1,(X479-G$1030)^2,0)</f>
        <v>0.0842342012063822</v>
      </c>
      <c r="AG479" s="35" t="n">
        <f aca="false">IF(AC479=1,(Y479-H$1030)^2,0)</f>
        <v>0</v>
      </c>
      <c r="AH479" s="35" t="n">
        <f aca="false">IF(AD479=1,(Z479-I$1030)^2,0)</f>
        <v>0</v>
      </c>
      <c r="AI479" s="35" t="n">
        <f aca="false">IF(AE479=1,(AA479-J$1030)^2,0)</f>
        <v>0</v>
      </c>
      <c r="AJ479" s="37" t="n">
        <f aca="true">IF(RAND()&lt;$D$6,1,0)</f>
        <v>0</v>
      </c>
      <c r="AK479" s="14" t="n">
        <f aca="false">AK478+IF((AJ479=1),IF((H479=0),1,0),0)</f>
        <v>0</v>
      </c>
      <c r="AL479" s="14" t="n">
        <f aca="false">AL478+IF((AJ479=1),IF((H479=1),1,0),0)</f>
        <v>0</v>
      </c>
      <c r="AM479" s="37" t="n">
        <f aca="false">IF(AK479=0,9999,IF($H479=0,IF($AJ479&lt;1,AM478+1,0),AM478))</f>
        <v>9999</v>
      </c>
      <c r="AN479" s="37" t="n">
        <f aca="false">IF(AL479=0,9999,IF($H479=1,IF($AJ479&lt;1,AN478+1,0),AN478))</f>
        <v>9999</v>
      </c>
      <c r="AO479" s="37" t="n">
        <f aca="false">IF($A479-AM479&gt;0,1/(1+AM479),0)</f>
        <v>0</v>
      </c>
      <c r="AP479" s="37" t="n">
        <f aca="false">IF($A479-AN479&gt;0,1/(1+AN479),0)</f>
        <v>0</v>
      </c>
      <c r="AQ479" s="7" t="n">
        <f aca="false">IF(AK479=0,0,MAX(MIN(1,AO479^Power),0))</f>
        <v>0</v>
      </c>
      <c r="AR479" s="7" t="n">
        <f aca="false">IF(AL479=0,0,MAX(MIN(1,AP479^Power),0))</f>
        <v>0</v>
      </c>
      <c r="AS479" s="7" t="n">
        <f aca="false">IF($AJ479=1,IF($H479=0,K479,AS478),AS478)</f>
        <v>0</v>
      </c>
      <c r="AT479" s="7" t="n">
        <f aca="false">IF($AJ479=1,IF($H479=1,N479,AT478),AT478)</f>
        <v>0</v>
      </c>
    </row>
    <row r="480" customFormat="false" ht="13" hidden="false" customHeight="false" outlineLevel="0" collapsed="false">
      <c r="A480" s="16" t="n">
        <v>463</v>
      </c>
      <c r="B480" s="37" t="n">
        <f aca="true">IF(RAND()&lt;$D$8,1,0)</f>
        <v>0</v>
      </c>
      <c r="C480" s="20" t="n">
        <f aca="true">-LN(RAND())/$D$2</f>
        <v>0.0464549111544953</v>
      </c>
      <c r="D480" s="38" t="n">
        <f aca="false">D479+C480</f>
        <v>490.636626388353</v>
      </c>
      <c r="E480" s="39" t="n">
        <f aca="false">MAX($E$3,AS479)</f>
        <v>0</v>
      </c>
      <c r="F480" s="39" t="n">
        <f aca="false">MAX($E$3,AT479)</f>
        <v>0</v>
      </c>
      <c r="G480" s="40" t="n">
        <v>0.5</v>
      </c>
      <c r="H480" s="38" t="n">
        <f aca="true">IF((B480=1),(IF((F480&lt;E480),1,(IF((F480=E480),(IF(RAND()&lt;G480,1,0)),0)))),(IF((RAND()&lt;G480),1,0)))</f>
        <v>0</v>
      </c>
      <c r="I480" s="38" t="n">
        <f aca="true">IF((H480=1),0,$D$3+$D$5*(RAND()-0.5))</f>
        <v>2.03730427562078</v>
      </c>
      <c r="J480" s="38" t="n">
        <f aca="false">I480+MAX(D480,J479)</f>
        <v>503.627385283756</v>
      </c>
      <c r="K480" s="38" t="n">
        <f aca="false">IF((H480=0),J480-D480,0)</f>
        <v>12.9907588954026</v>
      </c>
      <c r="L480" s="38" t="n">
        <f aca="true">IF(($H480=0),0,$D$4+$D$5*(RAND()-0.5))</f>
        <v>0</v>
      </c>
      <c r="M480" s="38" t="n">
        <f aca="false">L480+MAX(D480,M479)</f>
        <v>529.144082316322</v>
      </c>
      <c r="N480" s="38" t="n">
        <f aca="false">IF((H480=1),M480-D480,0)</f>
        <v>0</v>
      </c>
      <c r="O480" s="16" t="n">
        <v>463</v>
      </c>
      <c r="P480" s="41" t="n">
        <f aca="false">IF((Arterial=0),P479+1,P479)</f>
        <v>213</v>
      </c>
      <c r="Q480" s="41" t="n">
        <f aca="false">IF((Arterial=1),Q479+1,Q479)</f>
        <v>250</v>
      </c>
      <c r="R480" s="42" t="e">
        <f aca="false">IF((RESET=1),0,R480+K480)</f>
        <v>#N/A</v>
      </c>
      <c r="S480" s="14" t="n">
        <f aca="false">IF(RESET=1,0,S480+N480)</f>
        <v>599.440838514499</v>
      </c>
      <c r="T480" s="2" t="e">
        <f aca="false">IF(RESET=1,0,T480+IF(H480=0,1,0))</f>
        <v>#N/A</v>
      </c>
      <c r="U480" s="2" t="n">
        <f aca="false">IF(RESET=1,0,U480+H480)</f>
        <v>41</v>
      </c>
      <c r="V480" s="14" t="e">
        <f aca="false">R480/(T480+0.00001)</f>
        <v>#N/A</v>
      </c>
      <c r="W480" s="14" t="n">
        <f aca="false">S480/(U480+0.0001)</f>
        <v>14.6204725967619</v>
      </c>
      <c r="X480" s="39" t="n">
        <f aca="false">IF(Informed=1,K480,0)</f>
        <v>0</v>
      </c>
      <c r="Y480" s="39" t="n">
        <f aca="false">IF(Informed=0,K480,0)</f>
        <v>12.9907588954026</v>
      </c>
      <c r="Z480" s="39" t="n">
        <f aca="false">IF(Informed=1,N480,0)</f>
        <v>0</v>
      </c>
      <c r="AA480" s="39" t="n">
        <f aca="false">IF(Informed=0,N480,0)</f>
        <v>0</v>
      </c>
      <c r="AB480" s="43" t="n">
        <f aca="false">IF(Arterial=0,IF(Informed=1,1,0),0)</f>
        <v>0</v>
      </c>
      <c r="AC480" s="43" t="n">
        <f aca="false">IF(Arterial=0,IF(Informed=0,1,0),0)</f>
        <v>1</v>
      </c>
      <c r="AD480" s="43" t="n">
        <f aca="false">IF(Arterial=1,IF(Informed=1,1,0),0)</f>
        <v>0</v>
      </c>
      <c r="AE480" s="43" t="n">
        <f aca="false">IF(Arterial=1,IF(Informed=0,1,0),0)</f>
        <v>0</v>
      </c>
      <c r="AF480" s="35" t="n">
        <f aca="false">IF(AB480=1,(X480-G$1030)^2,0)</f>
        <v>0</v>
      </c>
      <c r="AG480" s="35" t="n">
        <f aca="false">IF(AC480=1,(Y480-H$1030)^2,0)</f>
        <v>4.27238004781305</v>
      </c>
      <c r="AH480" s="35" t="n">
        <f aca="false">IF(AD480=1,(Z480-I$1030)^2,0)</f>
        <v>0</v>
      </c>
      <c r="AI480" s="35" t="n">
        <f aca="false">IF(AE480=1,(AA480-J$1030)^2,0)</f>
        <v>0</v>
      </c>
      <c r="AJ480" s="37" t="n">
        <f aca="true">IF(RAND()&lt;$D$6,1,0)</f>
        <v>0</v>
      </c>
      <c r="AK480" s="14" t="n">
        <f aca="false">AK479+IF((AJ480=1),IF((H480=0),1,0),0)</f>
        <v>0</v>
      </c>
      <c r="AL480" s="14" t="n">
        <f aca="false">AL479+IF((AJ480=1),IF((H480=1),1,0),0)</f>
        <v>0</v>
      </c>
      <c r="AM480" s="37" t="n">
        <f aca="false">IF(AK480=0,9999,IF($H480=0,IF($AJ480&lt;1,AM479+1,0),AM479))</f>
        <v>9999</v>
      </c>
      <c r="AN480" s="37" t="n">
        <f aca="false">IF(AL480=0,9999,IF($H480=1,IF($AJ480&lt;1,AN479+1,0),AN479))</f>
        <v>9999</v>
      </c>
      <c r="AO480" s="37" t="n">
        <f aca="false">IF($A480-AM480&gt;0,1/(1+AM480),0)</f>
        <v>0</v>
      </c>
      <c r="AP480" s="37" t="n">
        <f aca="false">IF($A480-AN480&gt;0,1/(1+AN480),0)</f>
        <v>0</v>
      </c>
      <c r="AQ480" s="7" t="n">
        <f aca="false">IF(AK480=0,0,MAX(MIN(1,AO480^Power),0))</f>
        <v>0</v>
      </c>
      <c r="AR480" s="7" t="n">
        <f aca="false">IF(AL480=0,0,MAX(MIN(1,AP480^Power),0))</f>
        <v>0</v>
      </c>
      <c r="AS480" s="7" t="n">
        <f aca="false">IF($AJ480=1,IF($H480=0,K480,AS479),AS479)</f>
        <v>0</v>
      </c>
      <c r="AT480" s="7" t="n">
        <f aca="false">IF($AJ480=1,IF($H480=1,N480,AT479),AT479)</f>
        <v>0</v>
      </c>
    </row>
    <row r="481" customFormat="false" ht="13" hidden="false" customHeight="false" outlineLevel="0" collapsed="false">
      <c r="A481" s="16" t="n">
        <v>464</v>
      </c>
      <c r="B481" s="37" t="n">
        <f aca="true">IF(RAND()&lt;$D$8,1,0)</f>
        <v>1</v>
      </c>
      <c r="C481" s="20" t="n">
        <f aca="true">-LN(RAND())/$D$2</f>
        <v>0.548668345905376</v>
      </c>
      <c r="D481" s="38" t="n">
        <f aca="false">D480+C481</f>
        <v>491.185294734259</v>
      </c>
      <c r="E481" s="39" t="n">
        <f aca="false">MAX($E$3,AS480)</f>
        <v>0</v>
      </c>
      <c r="F481" s="39" t="n">
        <f aca="false">MAX($E$3,AT480)</f>
        <v>0</v>
      </c>
      <c r="G481" s="40" t="n">
        <v>0.5</v>
      </c>
      <c r="H481" s="38" t="n">
        <f aca="true">IF((B481=1),(IF((F481&lt;E481),1,(IF((F481=E481),(IF(RAND()&lt;G481,1,0)),0)))),(IF((RAND()&lt;G481),1,0)))</f>
        <v>1</v>
      </c>
      <c r="I481" s="38" t="n">
        <f aca="true">IF((H481=1),0,$D$3+$D$5*(RAND()-0.5))</f>
        <v>0</v>
      </c>
      <c r="J481" s="38" t="n">
        <f aca="false">I481+MAX(D481,J480)</f>
        <v>503.627385283756</v>
      </c>
      <c r="K481" s="38" t="n">
        <f aca="false">IF((H481=0),J481-D481,0)</f>
        <v>0</v>
      </c>
      <c r="L481" s="38" t="n">
        <f aca="true">IF(($H481=0),0,$D$4+$D$5*(RAND()-0.5))</f>
        <v>1.79123097472492</v>
      </c>
      <c r="M481" s="38" t="n">
        <f aca="false">L481+MAX(D481,M480)</f>
        <v>530.935313291047</v>
      </c>
      <c r="N481" s="38" t="n">
        <f aca="false">IF((H481=1),M481-D481,0)</f>
        <v>39.7500185567881</v>
      </c>
      <c r="O481" s="16" t="n">
        <v>464</v>
      </c>
      <c r="P481" s="41" t="n">
        <f aca="false">IF((Arterial=0),P480+1,P480)</f>
        <v>213</v>
      </c>
      <c r="Q481" s="41" t="n">
        <f aca="false">IF((Arterial=1),Q480+1,Q480)</f>
        <v>251</v>
      </c>
      <c r="R481" s="42" t="n">
        <f aca="false">IF((RESET=1),0,R481+K481)</f>
        <v>662.132304369519</v>
      </c>
      <c r="S481" s="14" t="e">
        <f aca="false">IF(RESET=1,0,S481+N481)</f>
        <v>#N/A</v>
      </c>
      <c r="T481" s="2" t="n">
        <f aca="false">IF(RESET=1,0,T481+IF(H481=0,1,0))</f>
        <v>40</v>
      </c>
      <c r="U481" s="2" t="e">
        <f aca="false">IF(RESET=1,0,U481+H481)</f>
        <v>#N/A</v>
      </c>
      <c r="V481" s="14" t="n">
        <f aca="false">R481/(T481+0.00001)</f>
        <v>16.5533034709121</v>
      </c>
      <c r="W481" s="14" t="e">
        <f aca="false">S481/(U481+0.0001)</f>
        <v>#N/A</v>
      </c>
      <c r="X481" s="39" t="n">
        <f aca="false">IF(Informed=1,K481,0)</f>
        <v>0</v>
      </c>
      <c r="Y481" s="39" t="n">
        <f aca="false">IF(Informed=0,K481,0)</f>
        <v>0</v>
      </c>
      <c r="Z481" s="39" t="n">
        <f aca="false">IF(Informed=1,N481,0)</f>
        <v>39.7500185567881</v>
      </c>
      <c r="AA481" s="39" t="n">
        <f aca="false">IF(Informed=0,N481,0)</f>
        <v>0</v>
      </c>
      <c r="AB481" s="43" t="n">
        <f aca="false">IF(Arterial=0,IF(Informed=1,1,0),0)</f>
        <v>0</v>
      </c>
      <c r="AC481" s="43" t="n">
        <f aca="false">IF(Arterial=0,IF(Informed=0,1,0),0)</f>
        <v>0</v>
      </c>
      <c r="AD481" s="43" t="n">
        <f aca="false">IF(Arterial=1,IF(Informed=1,1,0),0)</f>
        <v>1</v>
      </c>
      <c r="AE481" s="43" t="n">
        <f aca="false">IF(Arterial=1,IF(Informed=0,1,0),0)</f>
        <v>0</v>
      </c>
      <c r="AF481" s="35" t="n">
        <f aca="false">IF(AB481=1,(X481-G$1030)^2,0)</f>
        <v>0</v>
      </c>
      <c r="AG481" s="35" t="n">
        <f aca="false">IF(AC481=1,(Y481-H$1030)^2,0)</f>
        <v>0</v>
      </c>
      <c r="AH481" s="35" t="n">
        <f aca="false">IF(AD481=1,(Z481-I$1030)^2,0)</f>
        <v>129.394805654579</v>
      </c>
      <c r="AI481" s="35" t="n">
        <f aca="false">IF(AE481=1,(AA481-J$1030)^2,0)</f>
        <v>0</v>
      </c>
      <c r="AJ481" s="37" t="n">
        <f aca="true">IF(RAND()&lt;$D$6,1,0)</f>
        <v>0</v>
      </c>
      <c r="AK481" s="14" t="n">
        <f aca="false">AK480+IF((AJ481=1),IF((H481=0),1,0),0)</f>
        <v>0</v>
      </c>
      <c r="AL481" s="14" t="n">
        <f aca="false">AL480+IF((AJ481=1),IF((H481=1),1,0),0)</f>
        <v>0</v>
      </c>
      <c r="AM481" s="37" t="n">
        <f aca="false">IF(AK481=0,9999,IF($H481=0,IF($AJ481&lt;1,AM480+1,0),AM480))</f>
        <v>9999</v>
      </c>
      <c r="AN481" s="37" t="n">
        <f aca="false">IF(AL481=0,9999,IF($H481=1,IF($AJ481&lt;1,AN480+1,0),AN480))</f>
        <v>9999</v>
      </c>
      <c r="AO481" s="37" t="n">
        <f aca="false">IF($A481-AM481&gt;0,1/(1+AM481),0)</f>
        <v>0</v>
      </c>
      <c r="AP481" s="37" t="n">
        <f aca="false">IF($A481-AN481&gt;0,1/(1+AN481),0)</f>
        <v>0</v>
      </c>
      <c r="AQ481" s="7" t="n">
        <f aca="false">IF(AK481=0,0,MAX(MIN(1,AO481^Power),0))</f>
        <v>0</v>
      </c>
      <c r="AR481" s="7" t="n">
        <f aca="false">IF(AL481=0,0,MAX(MIN(1,AP481^Power),0))</f>
        <v>0</v>
      </c>
      <c r="AS481" s="7" t="n">
        <f aca="false">IF($AJ481=1,IF($H481=0,K481,AS480),AS480)</f>
        <v>0</v>
      </c>
      <c r="AT481" s="7" t="n">
        <f aca="false">IF($AJ481=1,IF($H481=1,N481,AT480),AT480)</f>
        <v>0</v>
      </c>
    </row>
    <row r="482" customFormat="false" ht="13" hidden="false" customHeight="false" outlineLevel="0" collapsed="false">
      <c r="A482" s="16" t="n">
        <v>465</v>
      </c>
      <c r="B482" s="37" t="n">
        <f aca="true">IF(RAND()&lt;$D$8,1,0)</f>
        <v>1</v>
      </c>
      <c r="C482" s="20" t="n">
        <f aca="true">-LN(RAND())/$D$2</f>
        <v>0.642725308001955</v>
      </c>
      <c r="D482" s="38" t="n">
        <f aca="false">D481+C482</f>
        <v>491.828020042261</v>
      </c>
      <c r="E482" s="39" t="n">
        <f aca="false">MAX($E$3,AS481)</f>
        <v>0</v>
      </c>
      <c r="F482" s="39" t="n">
        <f aca="false">MAX($E$3,AT481)</f>
        <v>0</v>
      </c>
      <c r="G482" s="40" t="n">
        <v>0.5</v>
      </c>
      <c r="H482" s="38" t="n">
        <f aca="true">IF((B482=1),(IF((F482&lt;E482),1,(IF((F482=E482),(IF(RAND()&lt;G482,1,0)),0)))),(IF((RAND()&lt;G482),1,0)))</f>
        <v>1</v>
      </c>
      <c r="I482" s="38" t="n">
        <f aca="true">IF((H482=1),0,$D$3+$D$5*(RAND()-0.5))</f>
        <v>0</v>
      </c>
      <c r="J482" s="38" t="n">
        <f aca="false">I482+MAX(D482,J481)</f>
        <v>503.627385283756</v>
      </c>
      <c r="K482" s="38" t="n">
        <f aca="false">IF((H482=0),J482-D482,0)</f>
        <v>0</v>
      </c>
      <c r="L482" s="38" t="n">
        <f aca="true">IF(($H482=0),0,$D$4+$D$5*(RAND()-0.5))</f>
        <v>1.77038572264606</v>
      </c>
      <c r="M482" s="38" t="n">
        <f aca="false">L482+MAX(D482,M481)</f>
        <v>532.705699013693</v>
      </c>
      <c r="N482" s="38" t="n">
        <f aca="false">IF((H482=1),M482-D482,0)</f>
        <v>40.8776789714323</v>
      </c>
      <c r="O482" s="16" t="n">
        <v>465</v>
      </c>
      <c r="P482" s="41" t="n">
        <f aca="false">IF((Arterial=0),P481+1,P481)</f>
        <v>213</v>
      </c>
      <c r="Q482" s="41" t="n">
        <f aca="false">IF((Arterial=1),Q481+1,Q481)</f>
        <v>252</v>
      </c>
      <c r="R482" s="42" t="n">
        <f aca="false">IF((RESET=1),0,R482+K482)</f>
        <v>772.06742140652</v>
      </c>
      <c r="S482" s="14" t="e">
        <f aca="false">IF(RESET=1,0,S482+N482)</f>
        <v>#N/A</v>
      </c>
      <c r="T482" s="2" t="n">
        <f aca="false">IF(RESET=1,0,T482+IF(H482=0,1,0))</f>
        <v>42</v>
      </c>
      <c r="U482" s="2" t="e">
        <f aca="false">IF(RESET=1,0,U482+H482)</f>
        <v>#N/A</v>
      </c>
      <c r="V482" s="14" t="n">
        <f aca="false">R482/(T482+0.00001)</f>
        <v>18.3825532757378</v>
      </c>
      <c r="W482" s="14" t="e">
        <f aca="false">S482/(U482+0.0001)</f>
        <v>#N/A</v>
      </c>
      <c r="X482" s="39" t="n">
        <f aca="false">IF(Informed=1,K482,0)</f>
        <v>0</v>
      </c>
      <c r="Y482" s="39" t="n">
        <f aca="false">IF(Informed=0,K482,0)</f>
        <v>0</v>
      </c>
      <c r="Z482" s="39" t="n">
        <f aca="false">IF(Informed=1,N482,0)</f>
        <v>40.8776789714323</v>
      </c>
      <c r="AA482" s="39" t="n">
        <f aca="false">IF(Informed=0,N482,0)</f>
        <v>0</v>
      </c>
      <c r="AB482" s="43" t="n">
        <f aca="false">IF(Arterial=0,IF(Informed=1,1,0),0)</f>
        <v>0</v>
      </c>
      <c r="AC482" s="43" t="n">
        <f aca="false">IF(Arterial=0,IF(Informed=0,1,0),0)</f>
        <v>0</v>
      </c>
      <c r="AD482" s="43" t="n">
        <f aca="false">IF(Arterial=1,IF(Informed=1,1,0),0)</f>
        <v>1</v>
      </c>
      <c r="AE482" s="43" t="n">
        <f aca="false">IF(Arterial=1,IF(Informed=0,1,0),0)</f>
        <v>0</v>
      </c>
      <c r="AF482" s="35" t="n">
        <f aca="false">IF(AB482=1,(X482-G$1030)^2,0)</f>
        <v>0</v>
      </c>
      <c r="AG482" s="35" t="n">
        <f aca="false">IF(AC482=1,(Y482-H$1030)^2,0)</f>
        <v>0</v>
      </c>
      <c r="AH482" s="35" t="n">
        <f aca="false">IF(AD482=1,(Z482-I$1030)^2,0)</f>
        <v>156.321112544255</v>
      </c>
      <c r="AI482" s="35" t="n">
        <f aca="false">IF(AE482=1,(AA482-J$1030)^2,0)</f>
        <v>0</v>
      </c>
      <c r="AJ482" s="37" t="n">
        <f aca="true">IF(RAND()&lt;$D$6,1,0)</f>
        <v>0</v>
      </c>
      <c r="AK482" s="14" t="n">
        <f aca="false">AK481+IF((AJ482=1),IF((H482=0),1,0),0)</f>
        <v>0</v>
      </c>
      <c r="AL482" s="14" t="n">
        <f aca="false">AL481+IF((AJ482=1),IF((H482=1),1,0),0)</f>
        <v>0</v>
      </c>
      <c r="AM482" s="37" t="n">
        <f aca="false">IF(AK482=0,9999,IF($H482=0,IF($AJ482&lt;1,AM481+1,0),AM481))</f>
        <v>9999</v>
      </c>
      <c r="AN482" s="37" t="n">
        <f aca="false">IF(AL482=0,9999,IF($H482=1,IF($AJ482&lt;1,AN481+1,0),AN481))</f>
        <v>9999</v>
      </c>
      <c r="AO482" s="37" t="n">
        <f aca="false">IF($A482-AM482&gt;0,1/(1+AM482),0)</f>
        <v>0</v>
      </c>
      <c r="AP482" s="37" t="n">
        <f aca="false">IF($A482-AN482&gt;0,1/(1+AN482),0)</f>
        <v>0</v>
      </c>
      <c r="AQ482" s="7" t="n">
        <f aca="false">IF(AK482=0,0,MAX(MIN(1,AO482^Power),0))</f>
        <v>0</v>
      </c>
      <c r="AR482" s="7" t="n">
        <f aca="false">IF(AL482=0,0,MAX(MIN(1,AP482^Power),0))</f>
        <v>0</v>
      </c>
      <c r="AS482" s="7" t="n">
        <f aca="false">IF($AJ482=1,IF($H482=0,K482,AS481),AS481)</f>
        <v>0</v>
      </c>
      <c r="AT482" s="7" t="n">
        <f aca="false">IF($AJ482=1,IF($H482=1,N482,AT481),AT481)</f>
        <v>0</v>
      </c>
    </row>
    <row r="483" customFormat="false" ht="13" hidden="false" customHeight="false" outlineLevel="0" collapsed="false">
      <c r="A483" s="16" t="n">
        <v>466</v>
      </c>
      <c r="B483" s="37" t="n">
        <f aca="true">IF(RAND()&lt;$D$8,1,0)</f>
        <v>0</v>
      </c>
      <c r="C483" s="20" t="n">
        <f aca="true">-LN(RAND())/$D$2</f>
        <v>0.730364823717548</v>
      </c>
      <c r="D483" s="38" t="n">
        <f aca="false">D482+C483</f>
        <v>492.558384865978</v>
      </c>
      <c r="E483" s="39" t="n">
        <f aca="false">MAX($E$3,AS482)</f>
        <v>0</v>
      </c>
      <c r="F483" s="39" t="n">
        <f aca="false">MAX($E$3,AT482)</f>
        <v>0</v>
      </c>
      <c r="G483" s="40" t="n">
        <v>0.5</v>
      </c>
      <c r="H483" s="38" t="n">
        <f aca="true">IF((B483=1),(IF((F483&lt;E483),1,(IF((F483=E483),(IF(RAND()&lt;G483,1,0)),0)))),(IF((RAND()&lt;G483),1,0)))</f>
        <v>0</v>
      </c>
      <c r="I483" s="38" t="n">
        <f aca="true">IF((H483=1),0,$D$3+$D$5*(RAND()-0.5))</f>
        <v>2.00824607457361</v>
      </c>
      <c r="J483" s="38" t="n">
        <f aca="false">I483+MAX(D483,J482)</f>
        <v>505.635631358329</v>
      </c>
      <c r="K483" s="38" t="n">
        <f aca="false">IF((H483=0),J483-D483,0)</f>
        <v>13.0772464923514</v>
      </c>
      <c r="L483" s="38" t="n">
        <f aca="true">IF(($H483=0),0,$D$4+$D$5*(RAND()-0.5))</f>
        <v>0</v>
      </c>
      <c r="M483" s="38" t="n">
        <f aca="false">L483+MAX(D483,M482)</f>
        <v>532.705699013693</v>
      </c>
      <c r="N483" s="38" t="n">
        <f aca="false">IF((H483=1),M483-D483,0)</f>
        <v>0</v>
      </c>
      <c r="O483" s="16" t="n">
        <v>466</v>
      </c>
      <c r="P483" s="41" t="n">
        <f aca="false">IF((Arterial=0),P482+1,P482)</f>
        <v>214</v>
      </c>
      <c r="Q483" s="41" t="n">
        <f aca="false">IF((Arterial=1),Q482+1,Q482)</f>
        <v>252</v>
      </c>
      <c r="R483" s="42" t="e">
        <f aca="false">IF((RESET=1),0,R483+K483)</f>
        <v>#N/A</v>
      </c>
      <c r="S483" s="14" t="n">
        <f aca="false">IF(RESET=1,0,S483+N483)</f>
        <v>498.714146478953</v>
      </c>
      <c r="T483" s="2" t="e">
        <f aca="false">IF(RESET=1,0,T483+IF(H483=0,1,0))</f>
        <v>#N/A</v>
      </c>
      <c r="U483" s="2" t="n">
        <f aca="false">IF(RESET=1,0,U483+H483)</f>
        <v>40</v>
      </c>
      <c r="V483" s="14" t="e">
        <f aca="false">R483/(T483+0.00001)</f>
        <v>#N/A</v>
      </c>
      <c r="W483" s="14" t="n">
        <f aca="false">S483/(U483+0.0001)</f>
        <v>12.4678224924176</v>
      </c>
      <c r="X483" s="39" t="n">
        <f aca="false">IF(Informed=1,K483,0)</f>
        <v>0</v>
      </c>
      <c r="Y483" s="39" t="n">
        <f aca="false">IF(Informed=0,K483,0)</f>
        <v>13.0772464923514</v>
      </c>
      <c r="Z483" s="39" t="n">
        <f aca="false">IF(Informed=1,N483,0)</f>
        <v>0</v>
      </c>
      <c r="AA483" s="39" t="n">
        <f aca="false">IF(Informed=0,N483,0)</f>
        <v>0</v>
      </c>
      <c r="AB483" s="43" t="n">
        <f aca="false">IF(Arterial=0,IF(Informed=1,1,0),0)</f>
        <v>0</v>
      </c>
      <c r="AC483" s="43" t="n">
        <f aca="false">IF(Arterial=0,IF(Informed=0,1,0),0)</f>
        <v>1</v>
      </c>
      <c r="AD483" s="43" t="n">
        <f aca="false">IF(Arterial=1,IF(Informed=1,1,0),0)</f>
        <v>0</v>
      </c>
      <c r="AE483" s="43" t="n">
        <f aca="false">IF(Arterial=1,IF(Informed=0,1,0),0)</f>
        <v>0</v>
      </c>
      <c r="AF483" s="35" t="n">
        <f aca="false">IF(AB483=1,(X483-G$1030)^2,0)</f>
        <v>0</v>
      </c>
      <c r="AG483" s="35" t="n">
        <f aca="false">IF(AC483=1,(Y483-H$1030)^2,0)</f>
        <v>4.63739531920907</v>
      </c>
      <c r="AH483" s="35" t="n">
        <f aca="false">IF(AD483=1,(Z483-I$1030)^2,0)</f>
        <v>0</v>
      </c>
      <c r="AI483" s="35" t="n">
        <f aca="false">IF(AE483=1,(AA483-J$1030)^2,0)</f>
        <v>0</v>
      </c>
      <c r="AJ483" s="37" t="n">
        <f aca="true">IF(RAND()&lt;$D$6,1,0)</f>
        <v>0</v>
      </c>
      <c r="AK483" s="14" t="n">
        <f aca="false">AK482+IF((AJ483=1),IF((H483=0),1,0),0)</f>
        <v>0</v>
      </c>
      <c r="AL483" s="14" t="n">
        <f aca="false">AL482+IF((AJ483=1),IF((H483=1),1,0),0)</f>
        <v>0</v>
      </c>
      <c r="AM483" s="37" t="n">
        <f aca="false">IF(AK483=0,9999,IF($H483=0,IF($AJ483&lt;1,AM482+1,0),AM482))</f>
        <v>9999</v>
      </c>
      <c r="AN483" s="37" t="n">
        <f aca="false">IF(AL483=0,9999,IF($H483=1,IF($AJ483&lt;1,AN482+1,0),AN482))</f>
        <v>9999</v>
      </c>
      <c r="AO483" s="37" t="n">
        <f aca="false">IF($A483-AM483&gt;0,1/(1+AM483),0)</f>
        <v>0</v>
      </c>
      <c r="AP483" s="37" t="n">
        <f aca="false">IF($A483-AN483&gt;0,1/(1+AN483),0)</f>
        <v>0</v>
      </c>
      <c r="AQ483" s="7" t="n">
        <f aca="false">IF(AK483=0,0,MAX(MIN(1,AO483^Power),0))</f>
        <v>0</v>
      </c>
      <c r="AR483" s="7" t="n">
        <f aca="false">IF(AL483=0,0,MAX(MIN(1,AP483^Power),0))</f>
        <v>0</v>
      </c>
      <c r="AS483" s="7" t="n">
        <f aca="false">IF($AJ483=1,IF($H483=0,K483,AS482),AS482)</f>
        <v>0</v>
      </c>
      <c r="AT483" s="7" t="n">
        <f aca="false">IF($AJ483=1,IF($H483=1,N483,AT482),AT482)</f>
        <v>0</v>
      </c>
    </row>
    <row r="484" customFormat="false" ht="13" hidden="false" customHeight="false" outlineLevel="0" collapsed="false">
      <c r="A484" s="16" t="n">
        <v>467</v>
      </c>
      <c r="B484" s="37" t="n">
        <f aca="true">IF(RAND()&lt;$D$8,1,0)</f>
        <v>0</v>
      </c>
      <c r="C484" s="20" t="n">
        <f aca="true">-LN(RAND())/$D$2</f>
        <v>1.52864863116247</v>
      </c>
      <c r="D484" s="38" t="n">
        <f aca="false">D483+C484</f>
        <v>494.087033497141</v>
      </c>
      <c r="E484" s="39" t="n">
        <f aca="false">MAX($E$3,AS483)</f>
        <v>0</v>
      </c>
      <c r="F484" s="39" t="n">
        <f aca="false">MAX($E$3,AT483)</f>
        <v>0</v>
      </c>
      <c r="G484" s="40" t="n">
        <v>0.5</v>
      </c>
      <c r="H484" s="38" t="n">
        <f aca="true">IF((B484=1),(IF((F484&lt;E484),1,(IF((F484=E484),(IF(RAND()&lt;G484,1,0)),0)))),(IF((RAND()&lt;G484),1,0)))</f>
        <v>1</v>
      </c>
      <c r="I484" s="38" t="n">
        <f aca="true">IF((H484=1),0,$D$3+$D$5*(RAND()-0.5))</f>
        <v>0</v>
      </c>
      <c r="J484" s="38" t="n">
        <f aca="false">I484+MAX(D484,J483)</f>
        <v>505.635631358329</v>
      </c>
      <c r="K484" s="38" t="n">
        <f aca="false">IF((H484=0),J484-D484,0)</f>
        <v>0</v>
      </c>
      <c r="L484" s="38" t="n">
        <f aca="true">IF(($H484=0),0,$D$4+$D$5*(RAND()-0.5))</f>
        <v>2.21157021298853</v>
      </c>
      <c r="M484" s="38" t="n">
        <f aca="false">L484+MAX(D484,M483)</f>
        <v>534.917269226681</v>
      </c>
      <c r="N484" s="38" t="n">
        <f aca="false">IF((H484=1),M484-D484,0)</f>
        <v>40.8302357295407</v>
      </c>
      <c r="O484" s="16" t="n">
        <v>467</v>
      </c>
      <c r="P484" s="41" t="n">
        <f aca="false">IF((Arterial=0),P483+1,P483)</f>
        <v>214</v>
      </c>
      <c r="Q484" s="41" t="n">
        <f aca="false">IF((Arterial=1),Q483+1,Q483)</f>
        <v>253</v>
      </c>
      <c r="R484" s="42" t="n">
        <f aca="false">IF((RESET=1),0,R484+K484)</f>
        <v>672.691308371095</v>
      </c>
      <c r="S484" s="14" t="e">
        <f aca="false">IF(RESET=1,0,S484+N484)</f>
        <v>#N/A</v>
      </c>
      <c r="T484" s="2" t="n">
        <f aca="false">IF(RESET=1,0,T484+IF(H484=0,1,0))</f>
        <v>39</v>
      </c>
      <c r="U484" s="2" t="e">
        <f aca="false">IF(RESET=1,0,U484+H484)</f>
        <v>#N/A</v>
      </c>
      <c r="V484" s="14" t="n">
        <f aca="false">R484/(T484+0.00001)</f>
        <v>17.2484906637484</v>
      </c>
      <c r="W484" s="14" t="e">
        <f aca="false">S484/(U484+0.0001)</f>
        <v>#N/A</v>
      </c>
      <c r="X484" s="39" t="n">
        <f aca="false">IF(Informed=1,K484,0)</f>
        <v>0</v>
      </c>
      <c r="Y484" s="39" t="n">
        <f aca="false">IF(Informed=0,K484,0)</f>
        <v>0</v>
      </c>
      <c r="Z484" s="39" t="n">
        <f aca="false">IF(Informed=1,N484,0)</f>
        <v>0</v>
      </c>
      <c r="AA484" s="39" t="n">
        <f aca="false">IF(Informed=0,N484,0)</f>
        <v>40.8302357295407</v>
      </c>
      <c r="AB484" s="43" t="n">
        <f aca="false">IF(Arterial=0,IF(Informed=1,1,0),0)</f>
        <v>0</v>
      </c>
      <c r="AC484" s="43" t="n">
        <f aca="false">IF(Arterial=0,IF(Informed=0,1,0),0)</f>
        <v>0</v>
      </c>
      <c r="AD484" s="43" t="n">
        <f aca="false">IF(Arterial=1,IF(Informed=1,1,0),0)</f>
        <v>0</v>
      </c>
      <c r="AE484" s="43" t="n">
        <f aca="false">IF(Arterial=1,IF(Informed=0,1,0),0)</f>
        <v>1</v>
      </c>
      <c r="AF484" s="35" t="n">
        <f aca="false">IF(AB484=1,(X484-G$1030)^2,0)</f>
        <v>0</v>
      </c>
      <c r="AG484" s="35" t="n">
        <f aca="false">IF(AC484=1,(Y484-H$1030)^2,0)</f>
        <v>0</v>
      </c>
      <c r="AH484" s="35" t="n">
        <f aca="false">IF(AD484=1,(Z484-I$1030)^2,0)</f>
        <v>0</v>
      </c>
      <c r="AI484" s="35" t="n">
        <f aca="false">IF(AE484=1,(AA484-J$1030)^2,0)</f>
        <v>126.921871380016</v>
      </c>
      <c r="AJ484" s="37" t="n">
        <f aca="true">IF(RAND()&lt;$D$6,1,0)</f>
        <v>0</v>
      </c>
      <c r="AK484" s="14" t="n">
        <f aca="false">AK483+IF((AJ484=1),IF((H484=0),1,0),0)</f>
        <v>0</v>
      </c>
      <c r="AL484" s="14" t="n">
        <f aca="false">AL483+IF((AJ484=1),IF((H484=1),1,0),0)</f>
        <v>0</v>
      </c>
      <c r="AM484" s="37" t="n">
        <f aca="false">IF(AK484=0,9999,IF($H484=0,IF($AJ484&lt;1,AM483+1,0),AM483))</f>
        <v>9999</v>
      </c>
      <c r="AN484" s="37" t="n">
        <f aca="false">IF(AL484=0,9999,IF($H484=1,IF($AJ484&lt;1,AN483+1,0),AN483))</f>
        <v>9999</v>
      </c>
      <c r="AO484" s="37" t="n">
        <f aca="false">IF($A484-AM484&gt;0,1/(1+AM484),0)</f>
        <v>0</v>
      </c>
      <c r="AP484" s="37" t="n">
        <f aca="false">IF($A484-AN484&gt;0,1/(1+AN484),0)</f>
        <v>0</v>
      </c>
      <c r="AQ484" s="7" t="n">
        <f aca="false">IF(AK484=0,0,MAX(MIN(1,AO484^Power),0))</f>
        <v>0</v>
      </c>
      <c r="AR484" s="7" t="n">
        <f aca="false">IF(AL484=0,0,MAX(MIN(1,AP484^Power),0))</f>
        <v>0</v>
      </c>
      <c r="AS484" s="7" t="n">
        <f aca="false">IF($AJ484=1,IF($H484=0,K484,AS483),AS483)</f>
        <v>0</v>
      </c>
      <c r="AT484" s="7" t="n">
        <f aca="false">IF($AJ484=1,IF($H484=1,N484,AT483),AT483)</f>
        <v>0</v>
      </c>
    </row>
    <row r="485" customFormat="false" ht="13" hidden="false" customHeight="false" outlineLevel="0" collapsed="false">
      <c r="A485" s="16" t="n">
        <v>468</v>
      </c>
      <c r="B485" s="37" t="n">
        <f aca="true">IF(RAND()&lt;$D$8,1,0)</f>
        <v>0</v>
      </c>
      <c r="C485" s="20" t="n">
        <f aca="true">-LN(RAND())/$D$2</f>
        <v>0.146440069858573</v>
      </c>
      <c r="D485" s="38" t="n">
        <f aca="false">D484+C485</f>
        <v>494.233473566999</v>
      </c>
      <c r="E485" s="39" t="n">
        <f aca="false">MAX($E$3,AS484)</f>
        <v>0</v>
      </c>
      <c r="F485" s="39" t="n">
        <f aca="false">MAX($E$3,AT484)</f>
        <v>0</v>
      </c>
      <c r="G485" s="40" t="n">
        <v>0.5</v>
      </c>
      <c r="H485" s="38" t="n">
        <f aca="true">IF((B485=1),(IF((F485&lt;E485),1,(IF((F485=E485),(IF(RAND()&lt;G485,1,0)),0)))),(IF((RAND()&lt;G485),1,0)))</f>
        <v>1</v>
      </c>
      <c r="I485" s="38" t="n">
        <f aca="true">IF((H485=1),0,$D$3+$D$5*(RAND()-0.5))</f>
        <v>0</v>
      </c>
      <c r="J485" s="38" t="n">
        <f aca="false">I485+MAX(D485,J484)</f>
        <v>505.635631358329</v>
      </c>
      <c r="K485" s="38" t="n">
        <f aca="false">IF((H485=0),J485-D485,0)</f>
        <v>0</v>
      </c>
      <c r="L485" s="38" t="n">
        <f aca="true">IF(($H485=0),0,$D$4+$D$5*(RAND()-0.5))</f>
        <v>1.99071920268068</v>
      </c>
      <c r="M485" s="38" t="n">
        <f aca="false">L485+MAX(D485,M484)</f>
        <v>536.907988429362</v>
      </c>
      <c r="N485" s="38" t="n">
        <f aca="false">IF((H485=1),M485-D485,0)</f>
        <v>42.6745148623629</v>
      </c>
      <c r="O485" s="16" t="n">
        <v>468</v>
      </c>
      <c r="P485" s="41" t="n">
        <f aca="false">IF((Arterial=0),P484+1,P484)</f>
        <v>214</v>
      </c>
      <c r="Q485" s="41" t="n">
        <f aca="false">IF((Arterial=1),Q484+1,Q484)</f>
        <v>254</v>
      </c>
      <c r="R485" s="42" t="n">
        <f aca="false">IF((RESET=1),0,R485+K485)</f>
        <v>681.917140914992</v>
      </c>
      <c r="S485" s="14" t="e">
        <f aca="false">IF(RESET=1,0,S485+N485)</f>
        <v>#N/A</v>
      </c>
      <c r="T485" s="2" t="n">
        <f aca="false">IF(RESET=1,0,T485+IF(H485=0,1,0))</f>
        <v>37</v>
      </c>
      <c r="U485" s="2" t="e">
        <f aca="false">IF(RESET=1,0,U485+H485)</f>
        <v>#N/A</v>
      </c>
      <c r="V485" s="14" t="n">
        <f aca="false">R485/(T485+0.00001)</f>
        <v>18.4301880165706</v>
      </c>
      <c r="W485" s="14" t="e">
        <f aca="false">S485/(U485+0.0001)</f>
        <v>#N/A</v>
      </c>
      <c r="X485" s="39" t="n">
        <f aca="false">IF(Informed=1,K485,0)</f>
        <v>0</v>
      </c>
      <c r="Y485" s="39" t="n">
        <f aca="false">IF(Informed=0,K485,0)</f>
        <v>0</v>
      </c>
      <c r="Z485" s="39" t="n">
        <f aca="false">IF(Informed=1,N485,0)</f>
        <v>0</v>
      </c>
      <c r="AA485" s="39" t="n">
        <f aca="false">IF(Informed=0,N485,0)</f>
        <v>42.6745148623629</v>
      </c>
      <c r="AB485" s="43" t="n">
        <f aca="false">IF(Arterial=0,IF(Informed=1,1,0),0)</f>
        <v>0</v>
      </c>
      <c r="AC485" s="43" t="n">
        <f aca="false">IF(Arterial=0,IF(Informed=0,1,0),0)</f>
        <v>0</v>
      </c>
      <c r="AD485" s="43" t="n">
        <f aca="false">IF(Arterial=1,IF(Informed=1,1,0),0)</f>
        <v>0</v>
      </c>
      <c r="AE485" s="43" t="n">
        <f aca="false">IF(Arterial=1,IF(Informed=0,1,0),0)</f>
        <v>1</v>
      </c>
      <c r="AF485" s="35" t="n">
        <f aca="false">IF(AB485=1,(X485-G$1030)^2,0)</f>
        <v>0</v>
      </c>
      <c r="AG485" s="35" t="n">
        <f aca="false">IF(AC485=1,(Y485-H$1030)^2,0)</f>
        <v>0</v>
      </c>
      <c r="AH485" s="35" t="n">
        <f aca="false">IF(AD485=1,(Z485-I$1030)^2,0)</f>
        <v>0</v>
      </c>
      <c r="AI485" s="35" t="n">
        <f aca="false">IF(AE485=1,(AA485-J$1030)^2,0)</f>
        <v>171.87838950524</v>
      </c>
      <c r="AJ485" s="37" t="n">
        <f aca="true">IF(RAND()&lt;$D$6,1,0)</f>
        <v>0</v>
      </c>
      <c r="AK485" s="14" t="n">
        <f aca="false">AK484+IF((AJ485=1),IF((H485=0),1,0),0)</f>
        <v>0</v>
      </c>
      <c r="AL485" s="14" t="n">
        <f aca="false">AL484+IF((AJ485=1),IF((H485=1),1,0),0)</f>
        <v>0</v>
      </c>
      <c r="AM485" s="37" t="n">
        <f aca="false">IF(AK485=0,9999,IF($H485=0,IF($AJ485&lt;1,AM484+1,0),AM484))</f>
        <v>9999</v>
      </c>
      <c r="AN485" s="37" t="n">
        <f aca="false">IF(AL485=0,9999,IF($H485=1,IF($AJ485&lt;1,AN484+1,0),AN484))</f>
        <v>9999</v>
      </c>
      <c r="AO485" s="37" t="n">
        <f aca="false">IF($A485-AM485&gt;0,1/(1+AM485),0)</f>
        <v>0</v>
      </c>
      <c r="AP485" s="37" t="n">
        <f aca="false">IF($A485-AN485&gt;0,1/(1+AN485),0)</f>
        <v>0</v>
      </c>
      <c r="AQ485" s="7" t="n">
        <f aca="false">IF(AK485=0,0,MAX(MIN(1,AO485^Power),0))</f>
        <v>0</v>
      </c>
      <c r="AR485" s="7" t="n">
        <f aca="false">IF(AL485=0,0,MAX(MIN(1,AP485^Power),0))</f>
        <v>0</v>
      </c>
      <c r="AS485" s="7" t="n">
        <f aca="false">IF($AJ485=1,IF($H485=0,K485,AS484),AS484)</f>
        <v>0</v>
      </c>
      <c r="AT485" s="7" t="n">
        <f aca="false">IF($AJ485=1,IF($H485=1,N485,AT484),AT484)</f>
        <v>0</v>
      </c>
    </row>
    <row r="486" customFormat="false" ht="13" hidden="false" customHeight="false" outlineLevel="0" collapsed="false">
      <c r="A486" s="16" t="n">
        <v>469</v>
      </c>
      <c r="B486" s="37" t="n">
        <f aca="true">IF(RAND()&lt;$D$8,1,0)</f>
        <v>0</v>
      </c>
      <c r="C486" s="20" t="n">
        <f aca="true">-LN(RAND())/$D$2</f>
        <v>0.488036860290387</v>
      </c>
      <c r="D486" s="38" t="n">
        <f aca="false">D485+C486</f>
        <v>494.721510427289</v>
      </c>
      <c r="E486" s="39" t="n">
        <f aca="false">MAX($E$3,AS485)</f>
        <v>0</v>
      </c>
      <c r="F486" s="39" t="n">
        <f aca="false">MAX($E$3,AT485)</f>
        <v>0</v>
      </c>
      <c r="G486" s="40" t="n">
        <v>0.5</v>
      </c>
      <c r="H486" s="38" t="n">
        <f aca="true">IF((B486=1),(IF((F486&lt;E486),1,(IF((F486=E486),(IF(RAND()&lt;G486,1,0)),0)))),(IF((RAND()&lt;G486),1,0)))</f>
        <v>0</v>
      </c>
      <c r="I486" s="38" t="n">
        <f aca="true">IF((H486=1),0,$D$3+$D$5*(RAND()-0.5))</f>
        <v>2.06587056959774</v>
      </c>
      <c r="J486" s="38" t="n">
        <f aca="false">I486+MAX(D486,J485)</f>
        <v>507.701501927927</v>
      </c>
      <c r="K486" s="38" t="n">
        <f aca="false">IF((H486=0),J486-D486,0)</f>
        <v>12.9799915006377</v>
      </c>
      <c r="L486" s="38" t="n">
        <f aca="true">IF(($H486=0),0,$D$4+$D$5*(RAND()-0.5))</f>
        <v>0</v>
      </c>
      <c r="M486" s="38" t="n">
        <f aca="false">L486+MAX(D486,M485)</f>
        <v>536.907988429362</v>
      </c>
      <c r="N486" s="38" t="n">
        <f aca="false">IF((H486=1),M486-D486,0)</f>
        <v>0</v>
      </c>
      <c r="O486" s="16" t="n">
        <v>469</v>
      </c>
      <c r="P486" s="41" t="n">
        <f aca="false">IF((Arterial=0),P485+1,P485)</f>
        <v>215</v>
      </c>
      <c r="Q486" s="41" t="n">
        <f aca="false">IF((Arterial=1),Q485+1,Q485)</f>
        <v>254</v>
      </c>
      <c r="R486" s="42" t="e">
        <f aca="false">IF((RESET=1),0,R486+K486)</f>
        <v>#N/A</v>
      </c>
      <c r="S486" s="14" t="n">
        <f aca="false">IF(RESET=1,0,S486+N486)</f>
        <v>572.667050013854</v>
      </c>
      <c r="T486" s="2" t="e">
        <f aca="false">IF(RESET=1,0,T486+IF(H486=0,1,0))</f>
        <v>#N/A</v>
      </c>
      <c r="U486" s="2" t="n">
        <f aca="false">IF(RESET=1,0,U486+H486)</f>
        <v>45</v>
      </c>
      <c r="V486" s="14" t="e">
        <f aca="false">R486/(T486+0.00001)</f>
        <v>#N/A</v>
      </c>
      <c r="W486" s="14" t="n">
        <f aca="false">S486/(U486+0.0001)</f>
        <v>12.7259061649608</v>
      </c>
      <c r="X486" s="39" t="n">
        <f aca="false">IF(Informed=1,K486,0)</f>
        <v>0</v>
      </c>
      <c r="Y486" s="39" t="n">
        <f aca="false">IF(Informed=0,K486,0)</f>
        <v>12.9799915006377</v>
      </c>
      <c r="Z486" s="39" t="n">
        <f aca="false">IF(Informed=1,N486,0)</f>
        <v>0</v>
      </c>
      <c r="AA486" s="39" t="n">
        <f aca="false">IF(Informed=0,N486,0)</f>
        <v>0</v>
      </c>
      <c r="AB486" s="43" t="n">
        <f aca="false">IF(Arterial=0,IF(Informed=1,1,0),0)</f>
        <v>0</v>
      </c>
      <c r="AC486" s="43" t="n">
        <f aca="false">IF(Arterial=0,IF(Informed=0,1,0),0)</f>
        <v>1</v>
      </c>
      <c r="AD486" s="43" t="n">
        <f aca="false">IF(Arterial=1,IF(Informed=1,1,0),0)</f>
        <v>0</v>
      </c>
      <c r="AE486" s="43" t="n">
        <f aca="false">IF(Arterial=1,IF(Informed=0,1,0),0)</f>
        <v>0</v>
      </c>
      <c r="AF486" s="35" t="n">
        <f aca="false">IF(AB486=1,(X486-G$1030)^2,0)</f>
        <v>0</v>
      </c>
      <c r="AG486" s="35" t="n">
        <f aca="false">IF(AC486=1,(Y486-H$1030)^2,0)</f>
        <v>4.22798414220114</v>
      </c>
      <c r="AH486" s="35" t="n">
        <f aca="false">IF(AD486=1,(Z486-I$1030)^2,0)</f>
        <v>0</v>
      </c>
      <c r="AI486" s="35" t="n">
        <f aca="false">IF(AE486=1,(AA486-J$1030)^2,0)</f>
        <v>0</v>
      </c>
      <c r="AJ486" s="37" t="n">
        <f aca="true">IF(RAND()&lt;$D$6,1,0)</f>
        <v>0</v>
      </c>
      <c r="AK486" s="14" t="n">
        <f aca="false">AK485+IF((AJ486=1),IF((H486=0),1,0),0)</f>
        <v>0</v>
      </c>
      <c r="AL486" s="14" t="n">
        <f aca="false">AL485+IF((AJ486=1),IF((H486=1),1,0),0)</f>
        <v>0</v>
      </c>
      <c r="AM486" s="37" t="n">
        <f aca="false">IF(AK486=0,9999,IF($H486=0,IF($AJ486&lt;1,AM485+1,0),AM485))</f>
        <v>9999</v>
      </c>
      <c r="AN486" s="37" t="n">
        <f aca="false">IF(AL486=0,9999,IF($H486=1,IF($AJ486&lt;1,AN485+1,0),AN485))</f>
        <v>9999</v>
      </c>
      <c r="AO486" s="37" t="n">
        <f aca="false">IF($A486-AM486&gt;0,1/(1+AM486),0)</f>
        <v>0</v>
      </c>
      <c r="AP486" s="37" t="n">
        <f aca="false">IF($A486-AN486&gt;0,1/(1+AN486),0)</f>
        <v>0</v>
      </c>
      <c r="AQ486" s="7" t="n">
        <f aca="false">IF(AK486=0,0,MAX(MIN(1,AO486^Power),0))</f>
        <v>0</v>
      </c>
      <c r="AR486" s="7" t="n">
        <f aca="false">IF(AL486=0,0,MAX(MIN(1,AP486^Power),0))</f>
        <v>0</v>
      </c>
      <c r="AS486" s="7" t="n">
        <f aca="false">IF($AJ486=1,IF($H486=0,K486,AS485),AS485)</f>
        <v>0</v>
      </c>
      <c r="AT486" s="7" t="n">
        <f aca="false">IF($AJ486=1,IF($H486=1,N486,AT485),AT485)</f>
        <v>0</v>
      </c>
    </row>
    <row r="487" customFormat="false" ht="13" hidden="false" customHeight="false" outlineLevel="0" collapsed="false">
      <c r="A487" s="16" t="n">
        <v>470</v>
      </c>
      <c r="B487" s="37" t="n">
        <f aca="true">IF(RAND()&lt;$D$8,1,0)</f>
        <v>0</v>
      </c>
      <c r="C487" s="20" t="n">
        <f aca="true">-LN(RAND())/$D$2</f>
        <v>0.163848346578552</v>
      </c>
      <c r="D487" s="38" t="n">
        <f aca="false">D486+C487</f>
        <v>494.885358773868</v>
      </c>
      <c r="E487" s="39" t="n">
        <f aca="false">MAX($E$3,AS486)</f>
        <v>0</v>
      </c>
      <c r="F487" s="39" t="n">
        <f aca="false">MAX($E$3,AT486)</f>
        <v>0</v>
      </c>
      <c r="G487" s="40" t="n">
        <v>0.5</v>
      </c>
      <c r="H487" s="38" t="n">
        <f aca="true">IF((B487=1),(IF((F487&lt;E487),1,(IF((F487=E487),(IF(RAND()&lt;G487,1,0)),0)))),(IF((RAND()&lt;G487),1,0)))</f>
        <v>0</v>
      </c>
      <c r="I487" s="38" t="n">
        <f aca="true">IF((H487=1),0,$D$3+$D$5*(RAND()-0.5))</f>
        <v>1.8435504556344</v>
      </c>
      <c r="J487" s="38" t="n">
        <f aca="false">I487+MAX(D487,J486)</f>
        <v>509.545052383562</v>
      </c>
      <c r="K487" s="38" t="n">
        <f aca="false">IF((H487=0),J487-D487,0)</f>
        <v>14.6596936096935</v>
      </c>
      <c r="L487" s="38" t="n">
        <f aca="true">IF(($H487=0),0,$D$4+$D$5*(RAND()-0.5))</f>
        <v>0</v>
      </c>
      <c r="M487" s="38" t="n">
        <f aca="false">L487+MAX(D487,M486)</f>
        <v>536.907988429362</v>
      </c>
      <c r="N487" s="38" t="n">
        <f aca="false">IF((H487=1),M487-D487,0)</f>
        <v>0</v>
      </c>
      <c r="O487" s="16" t="n">
        <v>470</v>
      </c>
      <c r="P487" s="41" t="n">
        <f aca="false">IF((Arterial=0),P486+1,P486)</f>
        <v>216</v>
      </c>
      <c r="Q487" s="41" t="n">
        <f aca="false">IF((Arterial=1),Q486+1,Q486)</f>
        <v>254</v>
      </c>
      <c r="R487" s="42" t="e">
        <f aca="false">IF((RESET=1),0,R487+K487)</f>
        <v>#N/A</v>
      </c>
      <c r="S487" s="14" t="n">
        <f aca="false">IF(RESET=1,0,S487+N487)</f>
        <v>595.77506614048</v>
      </c>
      <c r="T487" s="2" t="e">
        <f aca="false">IF(RESET=1,0,T487+IF(H487=0,1,0))</f>
        <v>#N/A</v>
      </c>
      <c r="U487" s="2" t="n">
        <f aca="false">IF(RESET=1,0,U487+H487)</f>
        <v>39</v>
      </c>
      <c r="V487" s="14" t="e">
        <f aca="false">R487/(T487+0.00001)</f>
        <v>#N/A</v>
      </c>
      <c r="W487" s="14" t="n">
        <f aca="false">S487/(U487+0.0001)</f>
        <v>15.2762445773339</v>
      </c>
      <c r="X487" s="39" t="n">
        <f aca="false">IF(Informed=1,K487,0)</f>
        <v>0</v>
      </c>
      <c r="Y487" s="39" t="n">
        <f aca="false">IF(Informed=0,K487,0)</f>
        <v>14.6596936096935</v>
      </c>
      <c r="Z487" s="39" t="n">
        <f aca="false">IF(Informed=1,N487,0)</f>
        <v>0</v>
      </c>
      <c r="AA487" s="39" t="n">
        <f aca="false">IF(Informed=0,N487,0)</f>
        <v>0</v>
      </c>
      <c r="AB487" s="43" t="n">
        <f aca="false">IF(Arterial=0,IF(Informed=1,1,0),0)</f>
        <v>0</v>
      </c>
      <c r="AC487" s="43" t="n">
        <f aca="false">IF(Arterial=0,IF(Informed=0,1,0),0)</f>
        <v>1</v>
      </c>
      <c r="AD487" s="43" t="n">
        <f aca="false">IF(Arterial=1,IF(Informed=1,1,0),0)</f>
        <v>0</v>
      </c>
      <c r="AE487" s="43" t="n">
        <f aca="false">IF(Arterial=1,IF(Informed=0,1,0),0)</f>
        <v>0</v>
      </c>
      <c r="AF487" s="35" t="n">
        <f aca="false">IF(AB487=1,(X487-G$1030)^2,0)</f>
        <v>0</v>
      </c>
      <c r="AG487" s="35" t="n">
        <f aca="false">IF(AC487=1,(Y487-H$1030)^2,0)</f>
        <v>13.9570112666492</v>
      </c>
      <c r="AH487" s="35" t="n">
        <f aca="false">IF(AD487=1,(Z487-I$1030)^2,0)</f>
        <v>0</v>
      </c>
      <c r="AI487" s="35" t="n">
        <f aca="false">IF(AE487=1,(AA487-J$1030)^2,0)</f>
        <v>0</v>
      </c>
      <c r="AJ487" s="37" t="n">
        <f aca="true">IF(RAND()&lt;$D$6,1,0)</f>
        <v>0</v>
      </c>
      <c r="AK487" s="14" t="n">
        <f aca="false">AK486+IF((AJ487=1),IF((H487=0),1,0),0)</f>
        <v>0</v>
      </c>
      <c r="AL487" s="14" t="n">
        <f aca="false">AL486+IF((AJ487=1),IF((H487=1),1,0),0)</f>
        <v>0</v>
      </c>
      <c r="AM487" s="37" t="n">
        <f aca="false">IF(AK487=0,9999,IF($H487=0,IF($AJ487&lt;1,AM486+1,0),AM486))</f>
        <v>9999</v>
      </c>
      <c r="AN487" s="37" t="n">
        <f aca="false">IF(AL487=0,9999,IF($H487=1,IF($AJ487&lt;1,AN486+1,0),AN486))</f>
        <v>9999</v>
      </c>
      <c r="AO487" s="37" t="n">
        <f aca="false">IF($A487-AM487&gt;0,1/(1+AM487),0)</f>
        <v>0</v>
      </c>
      <c r="AP487" s="37" t="n">
        <f aca="false">IF($A487-AN487&gt;0,1/(1+AN487),0)</f>
        <v>0</v>
      </c>
      <c r="AQ487" s="7" t="n">
        <f aca="false">IF(AK487=0,0,MAX(MIN(1,AO487^Power),0))</f>
        <v>0</v>
      </c>
      <c r="AR487" s="7" t="n">
        <f aca="false">IF(AL487=0,0,MAX(MIN(1,AP487^Power),0))</f>
        <v>0</v>
      </c>
      <c r="AS487" s="7" t="n">
        <f aca="false">IF($AJ487=1,IF($H487=0,K487,AS486),AS486)</f>
        <v>0</v>
      </c>
      <c r="AT487" s="7" t="n">
        <f aca="false">IF($AJ487=1,IF($H487=1,N487,AT486),AT486)</f>
        <v>0</v>
      </c>
    </row>
    <row r="488" customFormat="false" ht="13" hidden="false" customHeight="false" outlineLevel="0" collapsed="false">
      <c r="A488" s="16" t="n">
        <v>471</v>
      </c>
      <c r="B488" s="37" t="n">
        <f aca="true">IF(RAND()&lt;$D$8,1,0)</f>
        <v>1</v>
      </c>
      <c r="C488" s="20" t="n">
        <f aca="true">-LN(RAND())/$D$2</f>
        <v>0.51625417464225</v>
      </c>
      <c r="D488" s="38" t="n">
        <f aca="false">D487+C488</f>
        <v>495.40161294851</v>
      </c>
      <c r="E488" s="39" t="n">
        <f aca="false">MAX($E$3,AS487)</f>
        <v>0</v>
      </c>
      <c r="F488" s="39" t="n">
        <f aca="false">MAX($E$3,AT487)</f>
        <v>0</v>
      </c>
      <c r="G488" s="40" t="n">
        <v>0.5</v>
      </c>
      <c r="H488" s="38" t="n">
        <f aca="true">IF((B488=1),(IF((F488&lt;E488),1,(IF((F488=E488),(IF(RAND()&lt;G488,1,0)),0)))),(IF((RAND()&lt;G488),1,0)))</f>
        <v>0</v>
      </c>
      <c r="I488" s="38" t="n">
        <f aca="true">IF((H488=1),0,$D$3+$D$5*(RAND()-0.5))</f>
        <v>2.17255719121082</v>
      </c>
      <c r="J488" s="38" t="n">
        <f aca="false">I488+MAX(D488,J487)</f>
        <v>511.717609574772</v>
      </c>
      <c r="K488" s="38" t="n">
        <f aca="false">IF((H488=0),J488-D488,0)</f>
        <v>16.3159966262621</v>
      </c>
      <c r="L488" s="38" t="n">
        <f aca="true">IF(($H488=0),0,$D$4+$D$5*(RAND()-0.5))</f>
        <v>0</v>
      </c>
      <c r="M488" s="38" t="n">
        <f aca="false">L488+MAX(D488,M487)</f>
        <v>536.907988429362</v>
      </c>
      <c r="N488" s="38" t="n">
        <f aca="false">IF((H488=1),M488-D488,0)</f>
        <v>0</v>
      </c>
      <c r="O488" s="16" t="n">
        <v>471</v>
      </c>
      <c r="P488" s="41" t="n">
        <f aca="false">IF((Arterial=0),P487+1,P487)</f>
        <v>217</v>
      </c>
      <c r="Q488" s="41" t="n">
        <f aca="false">IF((Arterial=1),Q487+1,Q487)</f>
        <v>254</v>
      </c>
      <c r="R488" s="42" t="e">
        <f aca="false">IF((RESET=1),0,R488+K488)</f>
        <v>#N/A</v>
      </c>
      <c r="S488" s="14" t="n">
        <f aca="false">IF(RESET=1,0,S488+N488)</f>
        <v>577.692019025473</v>
      </c>
      <c r="T488" s="2" t="e">
        <f aca="false">IF(RESET=1,0,T488+IF(H488=0,1,0))</f>
        <v>#N/A</v>
      </c>
      <c r="U488" s="2" t="n">
        <f aca="false">IF(RESET=1,0,U488+H488)</f>
        <v>41</v>
      </c>
      <c r="V488" s="14" t="e">
        <f aca="false">R488/(T488+0.00001)</f>
        <v>#N/A</v>
      </c>
      <c r="W488" s="14" t="n">
        <f aca="false">S488/(U488+0.0001)</f>
        <v>14.0900148786338</v>
      </c>
      <c r="X488" s="39" t="n">
        <f aca="false">IF(Informed=1,K488,0)</f>
        <v>16.3159966262621</v>
      </c>
      <c r="Y488" s="39" t="n">
        <f aca="false">IF(Informed=0,K488,0)</f>
        <v>0</v>
      </c>
      <c r="Z488" s="39" t="n">
        <f aca="false">IF(Informed=1,N488,0)</f>
        <v>0</v>
      </c>
      <c r="AA488" s="39" t="n">
        <f aca="false">IF(Informed=0,N488,0)</f>
        <v>0</v>
      </c>
      <c r="AB488" s="43" t="n">
        <f aca="false">IF(Arterial=0,IF(Informed=1,1,0),0)</f>
        <v>1</v>
      </c>
      <c r="AC488" s="43" t="n">
        <f aca="false">IF(Arterial=0,IF(Informed=0,1,0),0)</f>
        <v>0</v>
      </c>
      <c r="AD488" s="43" t="n">
        <f aca="false">IF(Arterial=1,IF(Informed=1,1,0),0)</f>
        <v>0</v>
      </c>
      <c r="AE488" s="43" t="n">
        <f aca="false">IF(Arterial=1,IF(Informed=0,1,0),0)</f>
        <v>0</v>
      </c>
      <c r="AF488" s="35" t="n">
        <f aca="false">IF(AB488=1,(X488-G$1030)^2,0)</f>
        <v>31.430805828202</v>
      </c>
      <c r="AG488" s="35" t="n">
        <f aca="false">IF(AC488=1,(Y488-H$1030)^2,0)</f>
        <v>0</v>
      </c>
      <c r="AH488" s="35" t="n">
        <f aca="false">IF(AD488=1,(Z488-I$1030)^2,0)</f>
        <v>0</v>
      </c>
      <c r="AI488" s="35" t="n">
        <f aca="false">IF(AE488=1,(AA488-J$1030)^2,0)</f>
        <v>0</v>
      </c>
      <c r="AJ488" s="37" t="n">
        <f aca="true">IF(RAND()&lt;$D$6,1,0)</f>
        <v>0</v>
      </c>
      <c r="AK488" s="14" t="n">
        <f aca="false">AK487+IF((AJ488=1),IF((H488=0),1,0),0)</f>
        <v>0</v>
      </c>
      <c r="AL488" s="14" t="n">
        <f aca="false">AL487+IF((AJ488=1),IF((H488=1),1,0),0)</f>
        <v>0</v>
      </c>
      <c r="AM488" s="37" t="n">
        <f aca="false">IF(AK488=0,9999,IF($H488=0,IF($AJ488&lt;1,AM487+1,0),AM487))</f>
        <v>9999</v>
      </c>
      <c r="AN488" s="37" t="n">
        <f aca="false">IF(AL488=0,9999,IF($H488=1,IF($AJ488&lt;1,AN487+1,0),AN487))</f>
        <v>9999</v>
      </c>
      <c r="AO488" s="37" t="n">
        <f aca="false">IF($A488-AM488&gt;0,1/(1+AM488),0)</f>
        <v>0</v>
      </c>
      <c r="AP488" s="37" t="n">
        <f aca="false">IF($A488-AN488&gt;0,1/(1+AN488),0)</f>
        <v>0</v>
      </c>
      <c r="AQ488" s="7" t="n">
        <f aca="false">IF(AK488=0,0,MAX(MIN(1,AO488^Power),0))</f>
        <v>0</v>
      </c>
      <c r="AR488" s="7" t="n">
        <f aca="false">IF(AL488=0,0,MAX(MIN(1,AP488^Power),0))</f>
        <v>0</v>
      </c>
      <c r="AS488" s="7" t="n">
        <f aca="false">IF($AJ488=1,IF($H488=0,K488,AS487),AS487)</f>
        <v>0</v>
      </c>
      <c r="AT488" s="7" t="n">
        <f aca="false">IF($AJ488=1,IF($H488=1,N488,AT487),AT487)</f>
        <v>0</v>
      </c>
    </row>
    <row r="489" customFormat="false" ht="13" hidden="false" customHeight="false" outlineLevel="0" collapsed="false">
      <c r="A489" s="16" t="n">
        <v>472</v>
      </c>
      <c r="B489" s="37" t="n">
        <f aca="true">IF(RAND()&lt;$D$8,1,0)</f>
        <v>0</v>
      </c>
      <c r="C489" s="20" t="n">
        <f aca="true">-LN(RAND())/$D$2</f>
        <v>0.352965662978289</v>
      </c>
      <c r="D489" s="38" t="n">
        <f aca="false">D488+C489</f>
        <v>495.754578611489</v>
      </c>
      <c r="E489" s="39" t="n">
        <f aca="false">MAX($E$3,AS488)</f>
        <v>0</v>
      </c>
      <c r="F489" s="39" t="n">
        <f aca="false">MAX($E$3,AT488)</f>
        <v>0</v>
      </c>
      <c r="G489" s="40" t="n">
        <v>0.5</v>
      </c>
      <c r="H489" s="38" t="n">
        <f aca="true">IF((B489=1),(IF((F489&lt;E489),1,(IF((F489=E489),(IF(RAND()&lt;G489,1,0)),0)))),(IF((RAND()&lt;G489),1,0)))</f>
        <v>1</v>
      </c>
      <c r="I489" s="38" t="n">
        <f aca="true">IF((H489=1),0,$D$3+$D$5*(RAND()-0.5))</f>
        <v>0</v>
      </c>
      <c r="J489" s="38" t="n">
        <f aca="false">I489+MAX(D489,J488)</f>
        <v>511.717609574772</v>
      </c>
      <c r="K489" s="38" t="n">
        <f aca="false">IF((H489=0),J489-D489,0)</f>
        <v>0</v>
      </c>
      <c r="L489" s="38" t="n">
        <f aca="true">IF(($H489=0),0,$D$4+$D$5*(RAND()-0.5))</f>
        <v>2.045737008078</v>
      </c>
      <c r="M489" s="38" t="n">
        <f aca="false">L489+MAX(D489,M488)</f>
        <v>538.95372543744</v>
      </c>
      <c r="N489" s="38" t="n">
        <f aca="false">IF((H489=1),M489-D489,0)</f>
        <v>43.1991468259514</v>
      </c>
      <c r="O489" s="16" t="n">
        <v>472</v>
      </c>
      <c r="P489" s="41" t="n">
        <f aca="false">IF((Arterial=0),P488+1,P488)</f>
        <v>217</v>
      </c>
      <c r="Q489" s="41" t="n">
        <f aca="false">IF((Arterial=1),Q488+1,Q488)</f>
        <v>255</v>
      </c>
      <c r="R489" s="42" t="n">
        <f aca="false">IF((RESET=1),0,R489+K489)</f>
        <v>759.062110041318</v>
      </c>
      <c r="S489" s="14" t="e">
        <f aca="false">IF(RESET=1,0,S489+N489)</f>
        <v>#N/A</v>
      </c>
      <c r="T489" s="2" t="n">
        <f aca="false">IF(RESET=1,0,T489+IF(H489=0,1,0))</f>
        <v>38</v>
      </c>
      <c r="U489" s="2" t="e">
        <f aca="false">IF(RESET=1,0,U489+H489)</f>
        <v>#N/A</v>
      </c>
      <c r="V489" s="14" t="n">
        <f aca="false">R489/(T489+0.00001)</f>
        <v>19.9753134286364</v>
      </c>
      <c r="W489" s="14" t="e">
        <f aca="false">S489/(U489+0.0001)</f>
        <v>#N/A</v>
      </c>
      <c r="X489" s="39" t="n">
        <f aca="false">IF(Informed=1,K489,0)</f>
        <v>0</v>
      </c>
      <c r="Y489" s="39" t="n">
        <f aca="false">IF(Informed=0,K489,0)</f>
        <v>0</v>
      </c>
      <c r="Z489" s="39" t="n">
        <f aca="false">IF(Informed=1,N489,0)</f>
        <v>0</v>
      </c>
      <c r="AA489" s="39" t="n">
        <f aca="false">IF(Informed=0,N489,0)</f>
        <v>43.1991468259514</v>
      </c>
      <c r="AB489" s="43" t="n">
        <f aca="false">IF(Arterial=0,IF(Informed=1,1,0),0)</f>
        <v>0</v>
      </c>
      <c r="AC489" s="43" t="n">
        <f aca="false">IF(Arterial=0,IF(Informed=0,1,0),0)</f>
        <v>0</v>
      </c>
      <c r="AD489" s="43" t="n">
        <f aca="false">IF(Arterial=1,IF(Informed=1,1,0),0)</f>
        <v>0</v>
      </c>
      <c r="AE489" s="43" t="n">
        <f aca="false">IF(Arterial=1,IF(Informed=0,1,0),0)</f>
        <v>1</v>
      </c>
      <c r="AF489" s="35" t="n">
        <f aca="false">IF(AB489=1,(X489-G$1030)^2,0)</f>
        <v>0</v>
      </c>
      <c r="AG489" s="35" t="n">
        <f aca="false">IF(AC489=1,(Y489-H$1030)^2,0)</f>
        <v>0</v>
      </c>
      <c r="AH489" s="35" t="n">
        <f aca="false">IF(AD489=1,(Z489-I$1030)^2,0)</f>
        <v>0</v>
      </c>
      <c r="AI489" s="35" t="n">
        <f aca="false">IF(AE489=1,(AA489-J$1030)^2,0)</f>
        <v>185.909729976942</v>
      </c>
      <c r="AJ489" s="37" t="n">
        <f aca="true">IF(RAND()&lt;$D$6,1,0)</f>
        <v>0</v>
      </c>
      <c r="AK489" s="14" t="n">
        <f aca="false">AK488+IF((AJ489=1),IF((H489=0),1,0),0)</f>
        <v>0</v>
      </c>
      <c r="AL489" s="14" t="n">
        <f aca="false">AL488+IF((AJ489=1),IF((H489=1),1,0),0)</f>
        <v>0</v>
      </c>
      <c r="AM489" s="37" t="n">
        <f aca="false">IF(AK489=0,9999,IF($H489=0,IF($AJ489&lt;1,AM488+1,0),AM488))</f>
        <v>9999</v>
      </c>
      <c r="AN489" s="37" t="n">
        <f aca="false">IF(AL489=0,9999,IF($H489=1,IF($AJ489&lt;1,AN488+1,0),AN488))</f>
        <v>9999</v>
      </c>
      <c r="AO489" s="37" t="n">
        <f aca="false">IF($A489-AM489&gt;0,1/(1+AM489),0)</f>
        <v>0</v>
      </c>
      <c r="AP489" s="37" t="n">
        <f aca="false">IF($A489-AN489&gt;0,1/(1+AN489),0)</f>
        <v>0</v>
      </c>
      <c r="AQ489" s="7" t="n">
        <f aca="false">IF(AK489=0,0,MAX(MIN(1,AO489^Power),0))</f>
        <v>0</v>
      </c>
      <c r="AR489" s="7" t="n">
        <f aca="false">IF(AL489=0,0,MAX(MIN(1,AP489^Power),0))</f>
        <v>0</v>
      </c>
      <c r="AS489" s="7" t="n">
        <f aca="false">IF($AJ489=1,IF($H489=0,K489,AS488),AS488)</f>
        <v>0</v>
      </c>
      <c r="AT489" s="7" t="n">
        <f aca="false">IF($AJ489=1,IF($H489=1,N489,AT488),AT488)</f>
        <v>0</v>
      </c>
    </row>
    <row r="490" customFormat="false" ht="13" hidden="false" customHeight="false" outlineLevel="0" collapsed="false">
      <c r="A490" s="16" t="n">
        <v>473</v>
      </c>
      <c r="B490" s="37" t="n">
        <f aca="true">IF(RAND()&lt;$D$8,1,0)</f>
        <v>0</v>
      </c>
      <c r="C490" s="20" t="n">
        <f aca="true">-LN(RAND())/$D$2</f>
        <v>0.365063010316653</v>
      </c>
      <c r="D490" s="38" t="n">
        <f aca="false">D489+C490</f>
        <v>496.119641621805</v>
      </c>
      <c r="E490" s="39" t="n">
        <f aca="false">MAX($E$3,AS489)</f>
        <v>0</v>
      </c>
      <c r="F490" s="39" t="n">
        <f aca="false">MAX($E$3,AT489)</f>
        <v>0</v>
      </c>
      <c r="G490" s="40" t="n">
        <v>0.5</v>
      </c>
      <c r="H490" s="38" t="n">
        <f aca="true">IF((B490=1),(IF((F490&lt;E490),1,(IF((F490=E490),(IF(RAND()&lt;G490,1,0)),0)))),(IF((RAND()&lt;G490),1,0)))</f>
        <v>1</v>
      </c>
      <c r="I490" s="38" t="n">
        <f aca="true">IF((H490=1),0,$D$3+$D$5*(RAND()-0.5))</f>
        <v>0</v>
      </c>
      <c r="J490" s="38" t="n">
        <f aca="false">I490+MAX(D490,J489)</f>
        <v>511.717609574772</v>
      </c>
      <c r="K490" s="38" t="n">
        <f aca="false">IF((H490=0),J490-D490,0)</f>
        <v>0</v>
      </c>
      <c r="L490" s="38" t="n">
        <f aca="true">IF(($H490=0),0,$D$4+$D$5*(RAND()-0.5))</f>
        <v>1.84829870887141</v>
      </c>
      <c r="M490" s="38" t="n">
        <f aca="false">L490+MAX(D490,M489)</f>
        <v>540.802024146311</v>
      </c>
      <c r="N490" s="38" t="n">
        <f aca="false">IF((H490=1),M490-D490,0)</f>
        <v>44.6823825245062</v>
      </c>
      <c r="O490" s="16" t="n">
        <v>473</v>
      </c>
      <c r="P490" s="41" t="n">
        <f aca="false">IF((Arterial=0),P489+1,P489)</f>
        <v>217</v>
      </c>
      <c r="Q490" s="41" t="n">
        <f aca="false">IF((Arterial=1),Q489+1,Q489)</f>
        <v>256</v>
      </c>
      <c r="R490" s="42" t="n">
        <f aca="false">IF((RESET=1),0,R490+K490)</f>
        <v>617.910587422126</v>
      </c>
      <c r="S490" s="14" t="e">
        <f aca="false">IF(RESET=1,0,S490+N490)</f>
        <v>#N/A</v>
      </c>
      <c r="T490" s="2" t="n">
        <f aca="false">IF(RESET=1,0,T490+IF(H490=0,1,0))</f>
        <v>42</v>
      </c>
      <c r="U490" s="2" t="e">
        <f aca="false">IF(RESET=1,0,U490+H490)</f>
        <v>#N/A</v>
      </c>
      <c r="V490" s="14" t="n">
        <f aca="false">R490/(T490+0.00001)</f>
        <v>14.7121533404903</v>
      </c>
      <c r="W490" s="14" t="e">
        <f aca="false">S490/(U490+0.0001)</f>
        <v>#N/A</v>
      </c>
      <c r="X490" s="39" t="n">
        <f aca="false">IF(Informed=1,K490,0)</f>
        <v>0</v>
      </c>
      <c r="Y490" s="39" t="n">
        <f aca="false">IF(Informed=0,K490,0)</f>
        <v>0</v>
      </c>
      <c r="Z490" s="39" t="n">
        <f aca="false">IF(Informed=1,N490,0)</f>
        <v>0</v>
      </c>
      <c r="AA490" s="39" t="n">
        <f aca="false">IF(Informed=0,N490,0)</f>
        <v>44.6823825245062</v>
      </c>
      <c r="AB490" s="43" t="n">
        <f aca="false">IF(Arterial=0,IF(Informed=1,1,0),0)</f>
        <v>0</v>
      </c>
      <c r="AC490" s="43" t="n">
        <f aca="false">IF(Arterial=0,IF(Informed=0,1,0),0)</f>
        <v>0</v>
      </c>
      <c r="AD490" s="43" t="n">
        <f aca="false">IF(Arterial=1,IF(Informed=1,1,0),0)</f>
        <v>0</v>
      </c>
      <c r="AE490" s="43" t="n">
        <f aca="false">IF(Arterial=1,IF(Informed=0,1,0),0)</f>
        <v>1</v>
      </c>
      <c r="AF490" s="35" t="n">
        <f aca="false">IF(AB490=1,(X490-G$1030)^2,0)</f>
        <v>0</v>
      </c>
      <c r="AG490" s="35" t="n">
        <f aca="false">IF(AC490=1,(Y490-H$1030)^2,0)</f>
        <v>0</v>
      </c>
      <c r="AH490" s="35" t="n">
        <f aca="false">IF(AD490=1,(Z490-I$1030)^2,0)</f>
        <v>0</v>
      </c>
      <c r="AI490" s="35" t="n">
        <f aca="false">IF(AE490=1,(AA490-J$1030)^2,0)</f>
        <v>228.557175418374</v>
      </c>
      <c r="AJ490" s="37" t="n">
        <f aca="true">IF(RAND()&lt;$D$6,1,0)</f>
        <v>0</v>
      </c>
      <c r="AK490" s="14" t="n">
        <f aca="false">AK489+IF((AJ490=1),IF((H490=0),1,0),0)</f>
        <v>0</v>
      </c>
      <c r="AL490" s="14" t="n">
        <f aca="false">AL489+IF((AJ490=1),IF((H490=1),1,0),0)</f>
        <v>0</v>
      </c>
      <c r="AM490" s="37" t="n">
        <f aca="false">IF(AK490=0,9999,IF($H490=0,IF($AJ490&lt;1,AM489+1,0),AM489))</f>
        <v>9999</v>
      </c>
      <c r="AN490" s="37" t="n">
        <f aca="false">IF(AL490=0,9999,IF($H490=1,IF($AJ490&lt;1,AN489+1,0),AN489))</f>
        <v>9999</v>
      </c>
      <c r="AO490" s="37" t="n">
        <f aca="false">IF($A490-AM490&gt;0,1/(1+AM490),0)</f>
        <v>0</v>
      </c>
      <c r="AP490" s="37" t="n">
        <f aca="false">IF($A490-AN490&gt;0,1/(1+AN490),0)</f>
        <v>0</v>
      </c>
      <c r="AQ490" s="7" t="n">
        <f aca="false">IF(AK490=0,0,MAX(MIN(1,AO490^Power),0))</f>
        <v>0</v>
      </c>
      <c r="AR490" s="7" t="n">
        <f aca="false">IF(AL490=0,0,MAX(MIN(1,AP490^Power),0))</f>
        <v>0</v>
      </c>
      <c r="AS490" s="7" t="n">
        <f aca="false">IF($AJ490=1,IF($H490=0,K490,AS489),AS489)</f>
        <v>0</v>
      </c>
      <c r="AT490" s="7" t="n">
        <f aca="false">IF($AJ490=1,IF($H490=1,N490,AT489),AT489)</f>
        <v>0</v>
      </c>
    </row>
    <row r="491" customFormat="false" ht="13" hidden="false" customHeight="false" outlineLevel="0" collapsed="false">
      <c r="A491" s="16" t="n">
        <v>474</v>
      </c>
      <c r="B491" s="37" t="n">
        <f aca="true">IF(RAND()&lt;$D$8,1,0)</f>
        <v>0</v>
      </c>
      <c r="C491" s="20" t="n">
        <f aca="true">-LN(RAND())/$D$2</f>
        <v>0.853492394823995</v>
      </c>
      <c r="D491" s="38" t="n">
        <f aca="false">D490+C491</f>
        <v>496.973134016629</v>
      </c>
      <c r="E491" s="39" t="n">
        <f aca="false">MAX($E$3,AS490)</f>
        <v>0</v>
      </c>
      <c r="F491" s="39" t="n">
        <f aca="false">MAX($E$3,AT490)</f>
        <v>0</v>
      </c>
      <c r="G491" s="40" t="n">
        <v>0.5</v>
      </c>
      <c r="H491" s="38" t="n">
        <f aca="true">IF((B491=1),(IF((F491&lt;E491),1,(IF((F491=E491),(IF(RAND()&lt;G491,1,0)),0)))),(IF((RAND()&lt;G491),1,0)))</f>
        <v>1</v>
      </c>
      <c r="I491" s="38" t="n">
        <f aca="true">IF((H491=1),0,$D$3+$D$5*(RAND()-0.5))</f>
        <v>0</v>
      </c>
      <c r="J491" s="38" t="n">
        <f aca="false">I491+MAX(D491,J490)</f>
        <v>511.717609574772</v>
      </c>
      <c r="K491" s="38" t="n">
        <f aca="false">IF((H491=0),J491-D491,0)</f>
        <v>0</v>
      </c>
      <c r="L491" s="38" t="n">
        <f aca="true">IF(($H491=0),0,$D$4+$D$5*(RAND()-0.5))</f>
        <v>1.89861206068052</v>
      </c>
      <c r="M491" s="38" t="n">
        <f aca="false">L491+MAX(D491,M490)</f>
        <v>542.700636206992</v>
      </c>
      <c r="N491" s="38" t="n">
        <f aca="false">IF((H491=1),M491-D491,0)</f>
        <v>45.7275021903627</v>
      </c>
      <c r="O491" s="16" t="n">
        <v>474</v>
      </c>
      <c r="P491" s="41" t="n">
        <f aca="false">IF((Arterial=0),P490+1,P490)</f>
        <v>217</v>
      </c>
      <c r="Q491" s="41" t="n">
        <f aca="false">IF((Arterial=1),Q490+1,Q490)</f>
        <v>257</v>
      </c>
      <c r="R491" s="42" t="n">
        <f aca="false">IF((RESET=1),0,R491+K491)</f>
        <v>933.992497563625</v>
      </c>
      <c r="S491" s="14" t="e">
        <f aca="false">IF(RESET=1,0,S491+N491)</f>
        <v>#N/A</v>
      </c>
      <c r="T491" s="2" t="n">
        <f aca="false">IF(RESET=1,0,T491+IF(H491=0,1,0))</f>
        <v>47</v>
      </c>
      <c r="U491" s="2" t="e">
        <f aca="false">IF(RESET=1,0,U491+H491)</f>
        <v>#N/A</v>
      </c>
      <c r="V491" s="14" t="n">
        <f aca="false">R491/(T491+0.00001)</f>
        <v>19.8721765711034</v>
      </c>
      <c r="W491" s="14" t="e">
        <f aca="false">S491/(U491+0.0001)</f>
        <v>#N/A</v>
      </c>
      <c r="X491" s="39" t="n">
        <f aca="false">IF(Informed=1,K491,0)</f>
        <v>0</v>
      </c>
      <c r="Y491" s="39" t="n">
        <f aca="false">IF(Informed=0,K491,0)</f>
        <v>0</v>
      </c>
      <c r="Z491" s="39" t="n">
        <f aca="false">IF(Informed=1,N491,0)</f>
        <v>0</v>
      </c>
      <c r="AA491" s="39" t="n">
        <f aca="false">IF(Informed=0,N491,0)</f>
        <v>45.7275021903627</v>
      </c>
      <c r="AB491" s="43" t="n">
        <f aca="false">IF(Arterial=0,IF(Informed=1,1,0),0)</f>
        <v>0</v>
      </c>
      <c r="AC491" s="43" t="n">
        <f aca="false">IF(Arterial=0,IF(Informed=0,1,0),0)</f>
        <v>0</v>
      </c>
      <c r="AD491" s="43" t="n">
        <f aca="false">IF(Arterial=1,IF(Informed=1,1,0),0)</f>
        <v>0</v>
      </c>
      <c r="AE491" s="43" t="n">
        <f aca="false">IF(Arterial=1,IF(Informed=0,1,0),0)</f>
        <v>1</v>
      </c>
      <c r="AF491" s="35" t="n">
        <f aca="false">IF(AB491=1,(X491-G$1030)^2,0)</f>
        <v>0</v>
      </c>
      <c r="AG491" s="35" t="n">
        <f aca="false">IF(AC491=1,(Y491-H$1030)^2,0)</f>
        <v>0</v>
      </c>
      <c r="AH491" s="35" t="n">
        <f aca="false">IF(AD491=1,(Z491-I$1030)^2,0)</f>
        <v>0</v>
      </c>
      <c r="AI491" s="35" t="n">
        <f aca="false">IF(AE491=1,(AA491-J$1030)^2,0)</f>
        <v>261.249913523576</v>
      </c>
      <c r="AJ491" s="37" t="n">
        <f aca="true">IF(RAND()&lt;$D$6,1,0)</f>
        <v>0</v>
      </c>
      <c r="AK491" s="14" t="n">
        <f aca="false">AK490+IF((AJ491=1),IF((H491=0),1,0),0)</f>
        <v>0</v>
      </c>
      <c r="AL491" s="14" t="n">
        <f aca="false">AL490+IF((AJ491=1),IF((H491=1),1,0),0)</f>
        <v>0</v>
      </c>
      <c r="AM491" s="37" t="n">
        <f aca="false">IF(AK491=0,9999,IF($H491=0,IF($AJ491&lt;1,AM490+1,0),AM490))</f>
        <v>9999</v>
      </c>
      <c r="AN491" s="37" t="n">
        <f aca="false">IF(AL491=0,9999,IF($H491=1,IF($AJ491&lt;1,AN490+1,0),AN490))</f>
        <v>9999</v>
      </c>
      <c r="AO491" s="37" t="n">
        <f aca="false">IF($A491-AM491&gt;0,1/(1+AM491),0)</f>
        <v>0</v>
      </c>
      <c r="AP491" s="37" t="n">
        <f aca="false">IF($A491-AN491&gt;0,1/(1+AN491),0)</f>
        <v>0</v>
      </c>
      <c r="AQ491" s="7" t="n">
        <f aca="false">IF(AK491=0,0,MAX(MIN(1,AO491^Power),0))</f>
        <v>0</v>
      </c>
      <c r="AR491" s="7" t="n">
        <f aca="false">IF(AL491=0,0,MAX(MIN(1,AP491^Power),0))</f>
        <v>0</v>
      </c>
      <c r="AS491" s="7" t="n">
        <f aca="false">IF($AJ491=1,IF($H491=0,K491,AS490),AS490)</f>
        <v>0</v>
      </c>
      <c r="AT491" s="7" t="n">
        <f aca="false">IF($AJ491=1,IF($H491=1,N491,AT490),AT490)</f>
        <v>0</v>
      </c>
    </row>
    <row r="492" customFormat="false" ht="13" hidden="false" customHeight="false" outlineLevel="0" collapsed="false">
      <c r="A492" s="16" t="n">
        <v>475</v>
      </c>
      <c r="B492" s="37" t="n">
        <f aca="true">IF(RAND()&lt;$D$8,1,0)</f>
        <v>0</v>
      </c>
      <c r="C492" s="20" t="n">
        <f aca="true">-LN(RAND())/$D$2</f>
        <v>0.905800346248525</v>
      </c>
      <c r="D492" s="38" t="n">
        <f aca="false">D491+C492</f>
        <v>497.878934362878</v>
      </c>
      <c r="E492" s="39" t="n">
        <f aca="false">MAX($E$3,AS491)</f>
        <v>0</v>
      </c>
      <c r="F492" s="39" t="n">
        <f aca="false">MAX($E$3,AT491)</f>
        <v>0</v>
      </c>
      <c r="G492" s="40" t="n">
        <v>0.5</v>
      </c>
      <c r="H492" s="38" t="n">
        <f aca="true">IF((B492=1),(IF((F492&lt;E492),1,(IF((F492=E492),(IF(RAND()&lt;G492,1,0)),0)))),(IF((RAND()&lt;G492),1,0)))</f>
        <v>1</v>
      </c>
      <c r="I492" s="38" t="n">
        <f aca="true">IF((H492=1),0,$D$3+$D$5*(RAND()-0.5))</f>
        <v>0</v>
      </c>
      <c r="J492" s="38" t="n">
        <f aca="false">I492+MAX(D492,J491)</f>
        <v>511.717609574772</v>
      </c>
      <c r="K492" s="38" t="n">
        <f aca="false">IF((H492=0),J492-D492,0)</f>
        <v>0</v>
      </c>
      <c r="L492" s="38" t="n">
        <f aca="true">IF(($H492=0),0,$D$4+$D$5*(RAND()-0.5))</f>
        <v>1.86771604492348</v>
      </c>
      <c r="M492" s="38" t="n">
        <f aca="false">L492+MAX(D492,M491)</f>
        <v>544.568352251915</v>
      </c>
      <c r="N492" s="38" t="n">
        <f aca="false">IF((H492=1),M492-D492,0)</f>
        <v>46.6894178890377</v>
      </c>
      <c r="O492" s="16" t="n">
        <v>475</v>
      </c>
      <c r="P492" s="41" t="n">
        <f aca="false">IF((Arterial=0),P491+1,P491)</f>
        <v>217</v>
      </c>
      <c r="Q492" s="41" t="n">
        <f aca="false">IF((Arterial=1),Q491+1,Q491)</f>
        <v>258</v>
      </c>
      <c r="R492" s="42" t="n">
        <f aca="false">IF((RESET=1),0,R492+K492)</f>
        <v>487.863990944326</v>
      </c>
      <c r="S492" s="14" t="e">
        <f aca="false">IF(RESET=1,0,S492+N492)</f>
        <v>#N/A</v>
      </c>
      <c r="T492" s="2" t="n">
        <f aca="false">IF(RESET=1,0,T492+IF(H492=0,1,0))</f>
        <v>32</v>
      </c>
      <c r="U492" s="2" t="e">
        <f aca="false">IF(RESET=1,0,U492+H492)</f>
        <v>#N/A</v>
      </c>
      <c r="V492" s="14" t="n">
        <f aca="false">R492/(T492+0.00001)</f>
        <v>15.2457449527149</v>
      </c>
      <c r="W492" s="14" t="e">
        <f aca="false">S492/(U492+0.0001)</f>
        <v>#N/A</v>
      </c>
      <c r="X492" s="39" t="n">
        <f aca="false">IF(Informed=1,K492,0)</f>
        <v>0</v>
      </c>
      <c r="Y492" s="39" t="n">
        <f aca="false">IF(Informed=0,K492,0)</f>
        <v>0</v>
      </c>
      <c r="Z492" s="39" t="n">
        <f aca="false">IF(Informed=1,N492,0)</f>
        <v>0</v>
      </c>
      <c r="AA492" s="39" t="n">
        <f aca="false">IF(Informed=0,N492,0)</f>
        <v>46.6894178890377</v>
      </c>
      <c r="AB492" s="43" t="n">
        <f aca="false">IF(Arterial=0,IF(Informed=1,1,0),0)</f>
        <v>0</v>
      </c>
      <c r="AC492" s="43" t="n">
        <f aca="false">IF(Arterial=0,IF(Informed=0,1,0),0)</f>
        <v>0</v>
      </c>
      <c r="AD492" s="43" t="n">
        <f aca="false">IF(Arterial=1,IF(Informed=1,1,0),0)</f>
        <v>0</v>
      </c>
      <c r="AE492" s="43" t="n">
        <f aca="false">IF(Arterial=1,IF(Informed=0,1,0),0)</f>
        <v>1</v>
      </c>
      <c r="AF492" s="35" t="n">
        <f aca="false">IF(AB492=1,(X492-G$1030)^2,0)</f>
        <v>0</v>
      </c>
      <c r="AG492" s="35" t="n">
        <f aca="false">IF(AC492=1,(Y492-H$1030)^2,0)</f>
        <v>0</v>
      </c>
      <c r="AH492" s="35" t="n">
        <f aca="false">IF(AD492=1,(Z492-I$1030)^2,0)</f>
        <v>0</v>
      </c>
      <c r="AI492" s="35" t="n">
        <f aca="false">IF(AE492=1,(AA492-J$1030)^2,0)</f>
        <v>293.270519305076</v>
      </c>
      <c r="AJ492" s="37" t="n">
        <f aca="true">IF(RAND()&lt;$D$6,1,0)</f>
        <v>0</v>
      </c>
      <c r="AK492" s="14" t="n">
        <f aca="false">AK491+IF((AJ492=1),IF((H492=0),1,0),0)</f>
        <v>0</v>
      </c>
      <c r="AL492" s="14" t="n">
        <f aca="false">AL491+IF((AJ492=1),IF((H492=1),1,0),0)</f>
        <v>0</v>
      </c>
      <c r="AM492" s="37" t="n">
        <f aca="false">IF(AK492=0,9999,IF($H492=0,IF($AJ492&lt;1,AM491+1,0),AM491))</f>
        <v>9999</v>
      </c>
      <c r="AN492" s="37" t="n">
        <f aca="false">IF(AL492=0,9999,IF($H492=1,IF($AJ492&lt;1,AN491+1,0),AN491))</f>
        <v>9999</v>
      </c>
      <c r="AO492" s="37" t="n">
        <f aca="false">IF($A492-AM492&gt;0,1/(1+AM492),0)</f>
        <v>0</v>
      </c>
      <c r="AP492" s="37" t="n">
        <f aca="false">IF($A492-AN492&gt;0,1/(1+AN492),0)</f>
        <v>0</v>
      </c>
      <c r="AQ492" s="7" t="n">
        <f aca="false">IF(AK492=0,0,MAX(MIN(1,AO492^Power),0))</f>
        <v>0</v>
      </c>
      <c r="AR492" s="7" t="n">
        <f aca="false">IF(AL492=0,0,MAX(MIN(1,AP492^Power),0))</f>
        <v>0</v>
      </c>
      <c r="AS492" s="7" t="n">
        <f aca="false">IF($AJ492=1,IF($H492=0,K492,AS491),AS491)</f>
        <v>0</v>
      </c>
      <c r="AT492" s="7" t="n">
        <f aca="false">IF($AJ492=1,IF($H492=1,N492,AT491),AT491)</f>
        <v>0</v>
      </c>
    </row>
    <row r="493" customFormat="false" ht="13" hidden="false" customHeight="false" outlineLevel="0" collapsed="false">
      <c r="A493" s="16" t="n">
        <v>476</v>
      </c>
      <c r="B493" s="37" t="n">
        <f aca="true">IF(RAND()&lt;$D$8,1,0)</f>
        <v>1</v>
      </c>
      <c r="C493" s="20" t="n">
        <f aca="true">-LN(RAND())/$D$2</f>
        <v>2.56091039677827</v>
      </c>
      <c r="D493" s="38" t="n">
        <f aca="false">D492+C493</f>
        <v>500.439844759656</v>
      </c>
      <c r="E493" s="39" t="n">
        <f aca="false">MAX($E$3,AS492)</f>
        <v>0</v>
      </c>
      <c r="F493" s="39" t="n">
        <f aca="false">MAX($E$3,AT492)</f>
        <v>0</v>
      </c>
      <c r="G493" s="40" t="n">
        <v>0.5</v>
      </c>
      <c r="H493" s="38" t="n">
        <f aca="true">IF((B493=1),(IF((F493&lt;E493),1,(IF((F493=E493),(IF(RAND()&lt;G493,1,0)),0)))),(IF((RAND()&lt;G493),1,0)))</f>
        <v>1</v>
      </c>
      <c r="I493" s="38" t="n">
        <f aca="true">IF((H493=1),0,$D$3+$D$5*(RAND()-0.5))</f>
        <v>0</v>
      </c>
      <c r="J493" s="38" t="n">
        <f aca="false">I493+MAX(D493,J492)</f>
        <v>511.717609574772</v>
      </c>
      <c r="K493" s="38" t="n">
        <f aca="false">IF((H493=0),J493-D493,0)</f>
        <v>0</v>
      </c>
      <c r="L493" s="38" t="n">
        <f aca="true">IF(($H493=0),0,$D$4+$D$5*(RAND()-0.5))</f>
        <v>2.23611268534339</v>
      </c>
      <c r="M493" s="38" t="n">
        <f aca="false">L493+MAX(D493,M492)</f>
        <v>546.804464937259</v>
      </c>
      <c r="N493" s="38" t="n">
        <f aca="false">IF((H493=1),M493-D493,0)</f>
        <v>46.3646201776028</v>
      </c>
      <c r="O493" s="16" t="n">
        <v>476</v>
      </c>
      <c r="P493" s="41" t="n">
        <f aca="false">IF((Arterial=0),P492+1,P492)</f>
        <v>217</v>
      </c>
      <c r="Q493" s="41" t="n">
        <f aca="false">IF((Arterial=1),Q492+1,Q492)</f>
        <v>259</v>
      </c>
      <c r="R493" s="42" t="n">
        <f aca="false">IF((RESET=1),0,R493+K493)</f>
        <v>580.557717499798</v>
      </c>
      <c r="S493" s="14" t="e">
        <f aca="false">IF(RESET=1,0,S493+N493)</f>
        <v>#N/A</v>
      </c>
      <c r="T493" s="2" t="n">
        <f aca="false">IF(RESET=1,0,T493+IF(H493=0,1,0))</f>
        <v>36</v>
      </c>
      <c r="U493" s="2" t="e">
        <f aca="false">IF(RESET=1,0,U493+H493)</f>
        <v>#N/A</v>
      </c>
      <c r="V493" s="14" t="n">
        <f aca="false">R493/(T493+0.00001)</f>
        <v>16.1265987842725</v>
      </c>
      <c r="W493" s="14" t="e">
        <f aca="false">S493/(U493+0.0001)</f>
        <v>#N/A</v>
      </c>
      <c r="X493" s="39" t="n">
        <f aca="false">IF(Informed=1,K493,0)</f>
        <v>0</v>
      </c>
      <c r="Y493" s="39" t="n">
        <f aca="false">IF(Informed=0,K493,0)</f>
        <v>0</v>
      </c>
      <c r="Z493" s="39" t="n">
        <f aca="false">IF(Informed=1,N493,0)</f>
        <v>46.3646201776028</v>
      </c>
      <c r="AA493" s="39" t="n">
        <f aca="false">IF(Informed=0,N493,0)</f>
        <v>0</v>
      </c>
      <c r="AB493" s="43" t="n">
        <f aca="false">IF(Arterial=0,IF(Informed=1,1,0),0)</f>
        <v>0</v>
      </c>
      <c r="AC493" s="43" t="n">
        <f aca="false">IF(Arterial=0,IF(Informed=0,1,0),0)</f>
        <v>0</v>
      </c>
      <c r="AD493" s="43" t="n">
        <f aca="false">IF(Arterial=1,IF(Informed=1,1,0),0)</f>
        <v>1</v>
      </c>
      <c r="AE493" s="43" t="n">
        <f aca="false">IF(Arterial=1,IF(Informed=0,1,0),0)</f>
        <v>0</v>
      </c>
      <c r="AF493" s="35" t="n">
        <f aca="false">IF(AB493=1,(X493-G$1030)^2,0)</f>
        <v>0</v>
      </c>
      <c r="AG493" s="35" t="n">
        <f aca="false">IF(AC493=1,(Y493-H$1030)^2,0)</f>
        <v>0</v>
      </c>
      <c r="AH493" s="35" t="n">
        <f aca="false">IF(AD493=1,(Z493-I$1030)^2,0)</f>
        <v>323.632378175575</v>
      </c>
      <c r="AI493" s="35" t="n">
        <f aca="false">IF(AE493=1,(AA493-J$1030)^2,0)</f>
        <v>0</v>
      </c>
      <c r="AJ493" s="37" t="n">
        <f aca="true">IF(RAND()&lt;$D$6,1,0)</f>
        <v>0</v>
      </c>
      <c r="AK493" s="14" t="n">
        <f aca="false">AK492+IF((AJ493=1),IF((H493=0),1,0),0)</f>
        <v>0</v>
      </c>
      <c r="AL493" s="14" t="n">
        <f aca="false">AL492+IF((AJ493=1),IF((H493=1),1,0),0)</f>
        <v>0</v>
      </c>
      <c r="AM493" s="37" t="n">
        <f aca="false">IF(AK493=0,9999,IF($H493=0,IF($AJ493&lt;1,AM492+1,0),AM492))</f>
        <v>9999</v>
      </c>
      <c r="AN493" s="37" t="n">
        <f aca="false">IF(AL493=0,9999,IF($H493=1,IF($AJ493&lt;1,AN492+1,0),AN492))</f>
        <v>9999</v>
      </c>
      <c r="AO493" s="37" t="n">
        <f aca="false">IF($A493-AM493&gt;0,1/(1+AM493),0)</f>
        <v>0</v>
      </c>
      <c r="AP493" s="37" t="n">
        <f aca="false">IF($A493-AN493&gt;0,1/(1+AN493),0)</f>
        <v>0</v>
      </c>
      <c r="AQ493" s="7" t="n">
        <f aca="false">IF(AK493=0,0,MAX(MIN(1,AO493^Power),0))</f>
        <v>0</v>
      </c>
      <c r="AR493" s="7" t="n">
        <f aca="false">IF(AL493=0,0,MAX(MIN(1,AP493^Power),0))</f>
        <v>0</v>
      </c>
      <c r="AS493" s="7" t="n">
        <f aca="false">IF($AJ493=1,IF($H493=0,K493,AS492),AS492)</f>
        <v>0</v>
      </c>
      <c r="AT493" s="7" t="n">
        <f aca="false">IF($AJ493=1,IF($H493=1,N493,AT492),AT492)</f>
        <v>0</v>
      </c>
    </row>
    <row r="494" customFormat="false" ht="13" hidden="false" customHeight="false" outlineLevel="0" collapsed="false">
      <c r="A494" s="16" t="n">
        <v>477</v>
      </c>
      <c r="B494" s="37" t="n">
        <f aca="true">IF(RAND()&lt;$D$8,1,0)</f>
        <v>1</v>
      </c>
      <c r="C494" s="20" t="n">
        <f aca="true">-LN(RAND())/$D$2</f>
        <v>0.140534901667905</v>
      </c>
      <c r="D494" s="38" t="n">
        <f aca="false">D493+C494</f>
        <v>500.580379661324</v>
      </c>
      <c r="E494" s="39" t="n">
        <f aca="false">MAX($E$3,AS493)</f>
        <v>0</v>
      </c>
      <c r="F494" s="39" t="n">
        <f aca="false">MAX($E$3,AT493)</f>
        <v>0</v>
      </c>
      <c r="G494" s="40" t="n">
        <v>0.5</v>
      </c>
      <c r="H494" s="38" t="n">
        <f aca="true">IF((B494=1),(IF((F494&lt;E494),1,(IF((F494=E494),(IF(RAND()&lt;G494,1,0)),0)))),(IF((RAND()&lt;G494),1,0)))</f>
        <v>0</v>
      </c>
      <c r="I494" s="38" t="n">
        <f aca="true">IF((H494=1),0,$D$3+$D$5*(RAND()-0.5))</f>
        <v>1.9054436833725</v>
      </c>
      <c r="J494" s="38" t="n">
        <f aca="false">I494+MAX(D494,J493)</f>
        <v>513.623053258145</v>
      </c>
      <c r="K494" s="38" t="n">
        <f aca="false">IF((H494=0),J494-D494,0)</f>
        <v>13.042673596821</v>
      </c>
      <c r="L494" s="38" t="n">
        <f aca="true">IF(($H494=0),0,$D$4+$D$5*(RAND()-0.5))</f>
        <v>0</v>
      </c>
      <c r="M494" s="38" t="n">
        <f aca="false">L494+MAX(D494,M493)</f>
        <v>546.804464937259</v>
      </c>
      <c r="N494" s="38" t="n">
        <f aca="false">IF((H494=1),M494-D494,0)</f>
        <v>0</v>
      </c>
      <c r="O494" s="16" t="n">
        <v>477</v>
      </c>
      <c r="P494" s="41" t="n">
        <f aca="false">IF((Arterial=0),P493+1,P493)</f>
        <v>218</v>
      </c>
      <c r="Q494" s="41" t="n">
        <f aca="false">IF((Arterial=1),Q493+1,Q493)</f>
        <v>259</v>
      </c>
      <c r="R494" s="42" t="e">
        <f aca="false">IF((RESET=1),0,R494+K494)</f>
        <v>#N/A</v>
      </c>
      <c r="S494" s="14" t="n">
        <f aca="false">IF(RESET=1,0,S494+N494)</f>
        <v>550.262199276411</v>
      </c>
      <c r="T494" s="2" t="e">
        <f aca="false">IF(RESET=1,0,T494+IF(H494=0,1,0))</f>
        <v>#N/A</v>
      </c>
      <c r="U494" s="2" t="n">
        <f aca="false">IF(RESET=1,0,U494+H494)</f>
        <v>37</v>
      </c>
      <c r="V494" s="14" t="e">
        <f aca="false">R494/(T494+0.00001)</f>
        <v>#N/A</v>
      </c>
      <c r="W494" s="14" t="n">
        <f aca="false">S494/(U494+0.0001)</f>
        <v>14.8719111374405</v>
      </c>
      <c r="X494" s="39" t="n">
        <f aca="false">IF(Informed=1,K494,0)</f>
        <v>13.042673596821</v>
      </c>
      <c r="Y494" s="39" t="n">
        <f aca="false">IF(Informed=0,K494,0)</f>
        <v>0</v>
      </c>
      <c r="Z494" s="39" t="n">
        <f aca="false">IF(Informed=1,N494,0)</f>
        <v>0</v>
      </c>
      <c r="AA494" s="39" t="n">
        <f aca="false">IF(Informed=0,N494,0)</f>
        <v>0</v>
      </c>
      <c r="AB494" s="43" t="n">
        <f aca="false">IF(Arterial=0,IF(Informed=1,1,0),0)</f>
        <v>1</v>
      </c>
      <c r="AC494" s="43" t="n">
        <f aca="false">IF(Arterial=0,IF(Informed=0,1,0),0)</f>
        <v>0</v>
      </c>
      <c r="AD494" s="43" t="n">
        <f aca="false">IF(Arterial=1,IF(Informed=1,1,0),0)</f>
        <v>0</v>
      </c>
      <c r="AE494" s="43" t="n">
        <f aca="false">IF(Arterial=1,IF(Informed=0,1,0),0)</f>
        <v>0</v>
      </c>
      <c r="AF494" s="35" t="n">
        <f aca="false">IF(AB494=1,(X494-G$1030)^2,0)</f>
        <v>5.44286732665101</v>
      </c>
      <c r="AG494" s="35" t="n">
        <f aca="false">IF(AC494=1,(Y494-H$1030)^2,0)</f>
        <v>0</v>
      </c>
      <c r="AH494" s="35" t="n">
        <f aca="false">IF(AD494=1,(Z494-I$1030)^2,0)</f>
        <v>0</v>
      </c>
      <c r="AI494" s="35" t="n">
        <f aca="false">IF(AE494=1,(AA494-J$1030)^2,0)</f>
        <v>0</v>
      </c>
      <c r="AJ494" s="37" t="n">
        <f aca="true">IF(RAND()&lt;$D$6,1,0)</f>
        <v>0</v>
      </c>
      <c r="AK494" s="14" t="n">
        <f aca="false">AK493+IF((AJ494=1),IF((H494=0),1,0),0)</f>
        <v>0</v>
      </c>
      <c r="AL494" s="14" t="n">
        <f aca="false">AL493+IF((AJ494=1),IF((H494=1),1,0),0)</f>
        <v>0</v>
      </c>
      <c r="AM494" s="37" t="n">
        <f aca="false">IF(AK494=0,9999,IF($H494=0,IF($AJ494&lt;1,AM493+1,0),AM493))</f>
        <v>9999</v>
      </c>
      <c r="AN494" s="37" t="n">
        <f aca="false">IF(AL494=0,9999,IF($H494=1,IF($AJ494&lt;1,AN493+1,0),AN493))</f>
        <v>9999</v>
      </c>
      <c r="AO494" s="37" t="n">
        <f aca="false">IF($A494-AM494&gt;0,1/(1+AM494),0)</f>
        <v>0</v>
      </c>
      <c r="AP494" s="37" t="n">
        <f aca="false">IF($A494-AN494&gt;0,1/(1+AN494),0)</f>
        <v>0</v>
      </c>
      <c r="AQ494" s="7" t="n">
        <f aca="false">IF(AK494=0,0,MAX(MIN(1,AO494^Power),0))</f>
        <v>0</v>
      </c>
      <c r="AR494" s="7" t="n">
        <f aca="false">IF(AL494=0,0,MAX(MIN(1,AP494^Power),0))</f>
        <v>0</v>
      </c>
      <c r="AS494" s="7" t="n">
        <f aca="false">IF($AJ494=1,IF($H494=0,K494,AS493),AS493)</f>
        <v>0</v>
      </c>
      <c r="AT494" s="7" t="n">
        <f aca="false">IF($AJ494=1,IF($H494=1,N494,AT493),AT493)</f>
        <v>0</v>
      </c>
    </row>
    <row r="495" customFormat="false" ht="13" hidden="false" customHeight="false" outlineLevel="0" collapsed="false">
      <c r="A495" s="16" t="n">
        <v>478</v>
      </c>
      <c r="B495" s="37" t="n">
        <f aca="true">IF(RAND()&lt;$D$8,1,0)</f>
        <v>0</v>
      </c>
      <c r="C495" s="20" t="n">
        <f aca="true">-LN(RAND())/$D$2</f>
        <v>0.482421887113427</v>
      </c>
      <c r="D495" s="38" t="n">
        <f aca="false">D494+C495</f>
        <v>501.062801548437</v>
      </c>
      <c r="E495" s="39" t="n">
        <f aca="false">MAX($E$3,AS494)</f>
        <v>0</v>
      </c>
      <c r="F495" s="39" t="n">
        <f aca="false">MAX($E$3,AT494)</f>
        <v>0</v>
      </c>
      <c r="G495" s="40" t="n">
        <v>0.5</v>
      </c>
      <c r="H495" s="38" t="n">
        <f aca="true">IF((B495=1),(IF((F495&lt;E495),1,(IF((F495=E495),(IF(RAND()&lt;G495,1,0)),0)))),(IF((RAND()&lt;G495),1,0)))</f>
        <v>0</v>
      </c>
      <c r="I495" s="38" t="n">
        <f aca="true">IF((H495=1),0,$D$3+$D$5*(RAND()-0.5))</f>
        <v>2.16803035522854</v>
      </c>
      <c r="J495" s="38" t="n">
        <f aca="false">I495+MAX(D495,J494)</f>
        <v>515.791083613373</v>
      </c>
      <c r="K495" s="38" t="n">
        <f aca="false">IF((H495=0),J495-D495,0)</f>
        <v>14.7282820649361</v>
      </c>
      <c r="L495" s="38" t="n">
        <f aca="true">IF(($H495=0),0,$D$4+$D$5*(RAND()-0.5))</f>
        <v>0</v>
      </c>
      <c r="M495" s="38" t="n">
        <f aca="false">L495+MAX(D495,M494)</f>
        <v>546.804464937259</v>
      </c>
      <c r="N495" s="38" t="n">
        <f aca="false">IF((H495=1),M495-D495,0)</f>
        <v>0</v>
      </c>
      <c r="O495" s="16" t="n">
        <v>478</v>
      </c>
      <c r="P495" s="41" t="n">
        <f aca="false">IF((Arterial=0),P494+1,P494)</f>
        <v>219</v>
      </c>
      <c r="Q495" s="41" t="n">
        <f aca="false">IF((Arterial=1),Q494+1,Q494)</f>
        <v>259</v>
      </c>
      <c r="R495" s="42" t="e">
        <f aca="false">IF((RESET=1),0,R495+K495)</f>
        <v>#N/A</v>
      </c>
      <c r="S495" s="14" t="n">
        <f aca="false">IF(RESET=1,0,S495+N495)</f>
        <v>647.114431481133</v>
      </c>
      <c r="T495" s="2" t="e">
        <f aca="false">IF(RESET=1,0,T495+IF(H495=0,1,0))</f>
        <v>#N/A</v>
      </c>
      <c r="U495" s="2" t="n">
        <f aca="false">IF(RESET=1,0,U495+H495)</f>
        <v>40</v>
      </c>
      <c r="V495" s="14" t="e">
        <f aca="false">R495/(T495+0.00001)</f>
        <v>#N/A</v>
      </c>
      <c r="W495" s="14" t="n">
        <f aca="false">S495/(U495+0.0001)</f>
        <v>16.1778203424775</v>
      </c>
      <c r="X495" s="39" t="n">
        <f aca="false">IF(Informed=1,K495,0)</f>
        <v>0</v>
      </c>
      <c r="Y495" s="39" t="n">
        <f aca="false">IF(Informed=0,K495,0)</f>
        <v>14.7282820649361</v>
      </c>
      <c r="Z495" s="39" t="n">
        <f aca="false">IF(Informed=1,N495,0)</f>
        <v>0</v>
      </c>
      <c r="AA495" s="39" t="n">
        <f aca="false">IF(Informed=0,N495,0)</f>
        <v>0</v>
      </c>
      <c r="AB495" s="43" t="n">
        <f aca="false">IF(Arterial=0,IF(Informed=1,1,0),0)</f>
        <v>0</v>
      </c>
      <c r="AC495" s="43" t="n">
        <f aca="false">IF(Arterial=0,IF(Informed=0,1,0),0)</f>
        <v>1</v>
      </c>
      <c r="AD495" s="43" t="n">
        <f aca="false">IF(Arterial=1,IF(Informed=1,1,0),0)</f>
        <v>0</v>
      </c>
      <c r="AE495" s="43" t="n">
        <f aca="false">IF(Arterial=1,IF(Informed=0,1,0),0)</f>
        <v>0</v>
      </c>
      <c r="AF495" s="35" t="n">
        <f aca="false">IF(AB495=1,(X495-G$1030)^2,0)</f>
        <v>0</v>
      </c>
      <c r="AG495" s="35" t="n">
        <f aca="false">IF(AC495=1,(Y495-H$1030)^2,0)</f>
        <v>14.4741960093812</v>
      </c>
      <c r="AH495" s="35" t="n">
        <f aca="false">IF(AD495=1,(Z495-I$1030)^2,0)</f>
        <v>0</v>
      </c>
      <c r="AI495" s="35" t="n">
        <f aca="false">IF(AE495=1,(AA495-J$1030)^2,0)</f>
        <v>0</v>
      </c>
      <c r="AJ495" s="37" t="n">
        <f aca="true">IF(RAND()&lt;$D$6,1,0)</f>
        <v>0</v>
      </c>
      <c r="AK495" s="14" t="n">
        <f aca="false">AK494+IF((AJ495=1),IF((H495=0),1,0),0)</f>
        <v>0</v>
      </c>
      <c r="AL495" s="14" t="n">
        <f aca="false">AL494+IF((AJ495=1),IF((H495=1),1,0),0)</f>
        <v>0</v>
      </c>
      <c r="AM495" s="37" t="n">
        <f aca="false">IF(AK495=0,9999,IF($H495=0,IF($AJ495&lt;1,AM494+1,0),AM494))</f>
        <v>9999</v>
      </c>
      <c r="AN495" s="37" t="n">
        <f aca="false">IF(AL495=0,9999,IF($H495=1,IF($AJ495&lt;1,AN494+1,0),AN494))</f>
        <v>9999</v>
      </c>
      <c r="AO495" s="37" t="n">
        <f aca="false">IF($A495-AM495&gt;0,1/(1+AM495),0)</f>
        <v>0</v>
      </c>
      <c r="AP495" s="37" t="n">
        <f aca="false">IF($A495-AN495&gt;0,1/(1+AN495),0)</f>
        <v>0</v>
      </c>
      <c r="AQ495" s="7" t="n">
        <f aca="false">IF(AK495=0,0,MAX(MIN(1,AO495^Power),0))</f>
        <v>0</v>
      </c>
      <c r="AR495" s="7" t="n">
        <f aca="false">IF(AL495=0,0,MAX(MIN(1,AP495^Power),0))</f>
        <v>0</v>
      </c>
      <c r="AS495" s="7" t="n">
        <f aca="false">IF($AJ495=1,IF($H495=0,K495,AS494),AS494)</f>
        <v>0</v>
      </c>
      <c r="AT495" s="7" t="n">
        <f aca="false">IF($AJ495=1,IF($H495=1,N495,AT494),AT494)</f>
        <v>0</v>
      </c>
    </row>
    <row r="496" customFormat="false" ht="13" hidden="false" customHeight="false" outlineLevel="0" collapsed="false">
      <c r="A496" s="16" t="n">
        <v>479</v>
      </c>
      <c r="B496" s="37" t="n">
        <f aca="true">IF(RAND()&lt;$D$8,1,0)</f>
        <v>1</v>
      </c>
      <c r="C496" s="20" t="n">
        <f aca="true">-LN(RAND())/$D$2</f>
        <v>1.19701811078216</v>
      </c>
      <c r="D496" s="38" t="n">
        <f aca="false">D495+C496</f>
        <v>502.25981965922</v>
      </c>
      <c r="E496" s="39" t="n">
        <f aca="false">MAX($E$3,AS495)</f>
        <v>0</v>
      </c>
      <c r="F496" s="39" t="n">
        <f aca="false">MAX($E$3,AT495)</f>
        <v>0</v>
      </c>
      <c r="G496" s="40" t="n">
        <v>0.5</v>
      </c>
      <c r="H496" s="38" t="n">
        <f aca="true">IF((B496=1),(IF((F496&lt;E496),1,(IF((F496=E496),(IF(RAND()&lt;G496,1,0)),0)))),(IF((RAND()&lt;G496),1,0)))</f>
        <v>0</v>
      </c>
      <c r="I496" s="38" t="n">
        <f aca="true">IF((H496=1),0,$D$3+$D$5*(RAND()-0.5))</f>
        <v>2.20616006814545</v>
      </c>
      <c r="J496" s="38" t="n">
        <f aca="false">I496+MAX(D496,J495)</f>
        <v>517.997243681519</v>
      </c>
      <c r="K496" s="38" t="n">
        <f aca="false">IF((H496=0),J496-D496,0)</f>
        <v>15.7374240222994</v>
      </c>
      <c r="L496" s="38" t="n">
        <f aca="true">IF(($H496=0),0,$D$4+$D$5*(RAND()-0.5))</f>
        <v>0</v>
      </c>
      <c r="M496" s="38" t="n">
        <f aca="false">L496+MAX(D496,M495)</f>
        <v>546.804464937259</v>
      </c>
      <c r="N496" s="38" t="n">
        <f aca="false">IF((H496=1),M496-D496,0)</f>
        <v>0</v>
      </c>
      <c r="O496" s="16" t="n">
        <v>479</v>
      </c>
      <c r="P496" s="41" t="n">
        <f aca="false">IF((Arterial=0),P495+1,P495)</f>
        <v>220</v>
      </c>
      <c r="Q496" s="41" t="n">
        <f aca="false">IF((Arterial=1),Q495+1,Q495)</f>
        <v>259</v>
      </c>
      <c r="R496" s="42" t="e">
        <f aca="false">IF((RESET=1),0,R496+K496)</f>
        <v>#N/A</v>
      </c>
      <c r="S496" s="14" t="n">
        <f aca="false">IF(RESET=1,0,S496+N496)</f>
        <v>628.723060303285</v>
      </c>
      <c r="T496" s="2" t="e">
        <f aca="false">IF(RESET=1,0,T496+IF(H496=0,1,0))</f>
        <v>#N/A</v>
      </c>
      <c r="U496" s="2" t="n">
        <f aca="false">IF(RESET=1,0,U496+H496)</f>
        <v>43</v>
      </c>
      <c r="V496" s="14" t="e">
        <f aca="false">R496/(T496+0.00001)</f>
        <v>#N/A</v>
      </c>
      <c r="W496" s="14" t="n">
        <f aca="false">S496/(U496+0.0001)</f>
        <v>14.6214325153496</v>
      </c>
      <c r="X496" s="39" t="n">
        <f aca="false">IF(Informed=1,K496,0)</f>
        <v>15.7374240222994</v>
      </c>
      <c r="Y496" s="39" t="n">
        <f aca="false">IF(Informed=0,K496,0)</f>
        <v>0</v>
      </c>
      <c r="Z496" s="39" t="n">
        <f aca="false">IF(Informed=1,N496,0)</f>
        <v>0</v>
      </c>
      <c r="AA496" s="39" t="n">
        <f aca="false">IF(Informed=0,N496,0)</f>
        <v>0</v>
      </c>
      <c r="AB496" s="43" t="n">
        <f aca="false">IF(Arterial=0,IF(Informed=1,1,0),0)</f>
        <v>1</v>
      </c>
      <c r="AC496" s="43" t="n">
        <f aca="false">IF(Arterial=0,IF(Informed=0,1,0),0)</f>
        <v>0</v>
      </c>
      <c r="AD496" s="43" t="n">
        <f aca="false">IF(Arterial=1,IF(Informed=1,1,0),0)</f>
        <v>0</v>
      </c>
      <c r="AE496" s="43" t="n">
        <f aca="false">IF(Arterial=1,IF(Informed=0,1,0),0)</f>
        <v>0</v>
      </c>
      <c r="AF496" s="35" t="n">
        <f aca="false">IF(AB496=1,(X496-G$1030)^2,0)</f>
        <v>25.278227633548</v>
      </c>
      <c r="AG496" s="35" t="n">
        <f aca="false">IF(AC496=1,(Y496-H$1030)^2,0)</f>
        <v>0</v>
      </c>
      <c r="AH496" s="35" t="n">
        <f aca="false">IF(AD496=1,(Z496-I$1030)^2,0)</f>
        <v>0</v>
      </c>
      <c r="AI496" s="35" t="n">
        <f aca="false">IF(AE496=1,(AA496-J$1030)^2,0)</f>
        <v>0</v>
      </c>
      <c r="AJ496" s="37" t="n">
        <f aca="true">IF(RAND()&lt;$D$6,1,0)</f>
        <v>0</v>
      </c>
      <c r="AK496" s="14" t="n">
        <f aca="false">AK495+IF((AJ496=1),IF((H496=0),1,0),0)</f>
        <v>0</v>
      </c>
      <c r="AL496" s="14" t="n">
        <f aca="false">AL495+IF((AJ496=1),IF((H496=1),1,0),0)</f>
        <v>0</v>
      </c>
      <c r="AM496" s="37" t="n">
        <f aca="false">IF(AK496=0,9999,IF($H496=0,IF($AJ496&lt;1,AM495+1,0),AM495))</f>
        <v>9999</v>
      </c>
      <c r="AN496" s="37" t="n">
        <f aca="false">IF(AL496=0,9999,IF($H496=1,IF($AJ496&lt;1,AN495+1,0),AN495))</f>
        <v>9999</v>
      </c>
      <c r="AO496" s="37" t="n">
        <f aca="false">IF($A496-AM496&gt;0,1/(1+AM496),0)</f>
        <v>0</v>
      </c>
      <c r="AP496" s="37" t="n">
        <f aca="false">IF($A496-AN496&gt;0,1/(1+AN496),0)</f>
        <v>0</v>
      </c>
      <c r="AQ496" s="7" t="n">
        <f aca="false">IF(AK496=0,0,MAX(MIN(1,AO496^Power),0))</f>
        <v>0</v>
      </c>
      <c r="AR496" s="7" t="n">
        <f aca="false">IF(AL496=0,0,MAX(MIN(1,AP496^Power),0))</f>
        <v>0</v>
      </c>
      <c r="AS496" s="7" t="n">
        <f aca="false">IF($AJ496=1,IF($H496=0,K496,AS495),AS495)</f>
        <v>0</v>
      </c>
      <c r="AT496" s="7" t="n">
        <f aca="false">IF($AJ496=1,IF($H496=1,N496,AT495),AT495)</f>
        <v>0</v>
      </c>
    </row>
    <row r="497" customFormat="false" ht="13" hidden="false" customHeight="false" outlineLevel="0" collapsed="false">
      <c r="A497" s="16" t="n">
        <v>480</v>
      </c>
      <c r="B497" s="37" t="n">
        <f aca="true">IF(RAND()&lt;$D$8,1,0)</f>
        <v>0</v>
      </c>
      <c r="C497" s="20" t="n">
        <f aca="true">-LN(RAND())/$D$2</f>
        <v>0.144442489971713</v>
      </c>
      <c r="D497" s="38" t="n">
        <f aca="false">D496+C497</f>
        <v>502.404262149191</v>
      </c>
      <c r="E497" s="39" t="n">
        <f aca="false">MAX($E$3,AS496)</f>
        <v>0</v>
      </c>
      <c r="F497" s="39" t="n">
        <f aca="false">MAX($E$3,AT496)</f>
        <v>0</v>
      </c>
      <c r="G497" s="40" t="n">
        <v>0.5</v>
      </c>
      <c r="H497" s="38" t="n">
        <f aca="true">IF((B497=1),(IF((F497&lt;E497),1,(IF((F497=E497),(IF(RAND()&lt;G497,1,0)),0)))),(IF((RAND()&lt;G497),1,0)))</f>
        <v>1</v>
      </c>
      <c r="I497" s="38" t="n">
        <f aca="true">IF((H497=1),0,$D$3+$D$5*(RAND()-0.5))</f>
        <v>0</v>
      </c>
      <c r="J497" s="38" t="n">
        <f aca="false">I497+MAX(D497,J496)</f>
        <v>517.997243681519</v>
      </c>
      <c r="K497" s="38" t="n">
        <f aca="false">IF((H497=0),J497-D497,0)</f>
        <v>0</v>
      </c>
      <c r="L497" s="38" t="n">
        <f aca="true">IF(($H497=0),0,$D$4+$D$5*(RAND()-0.5))</f>
        <v>2.02259945603354</v>
      </c>
      <c r="M497" s="38" t="n">
        <f aca="false">L497+MAX(D497,M496)</f>
        <v>548.827064393292</v>
      </c>
      <c r="N497" s="38" t="n">
        <f aca="false">IF((H497=1),M497-D497,0)</f>
        <v>46.4228022441011</v>
      </c>
      <c r="O497" s="16" t="n">
        <v>480</v>
      </c>
      <c r="P497" s="41" t="n">
        <f aca="false">IF((Arterial=0),P496+1,P496)</f>
        <v>220</v>
      </c>
      <c r="Q497" s="41" t="n">
        <f aca="false">IF((Arterial=1),Q496+1,Q496)</f>
        <v>260</v>
      </c>
      <c r="R497" s="42" t="n">
        <f aca="false">IF((RESET=1),0,R497+K497)</f>
        <v>780.808938856625</v>
      </c>
      <c r="S497" s="14" t="e">
        <f aca="false">IF(RESET=1,0,S497+N497)</f>
        <v>#N/A</v>
      </c>
      <c r="T497" s="2" t="n">
        <f aca="false">IF(RESET=1,0,T497+IF(H497=0,1,0))</f>
        <v>42</v>
      </c>
      <c r="U497" s="2" t="e">
        <f aca="false">IF(RESET=1,0,U497+H497)</f>
        <v>#N/A</v>
      </c>
      <c r="V497" s="14" t="n">
        <f aca="false">R497/(T497+0.00001)</f>
        <v>18.5906845940424</v>
      </c>
      <c r="W497" s="14" t="e">
        <f aca="false">S497/(U497+0.0001)</f>
        <v>#N/A</v>
      </c>
      <c r="X497" s="39" t="n">
        <f aca="false">IF(Informed=1,K497,0)</f>
        <v>0</v>
      </c>
      <c r="Y497" s="39" t="n">
        <f aca="false">IF(Informed=0,K497,0)</f>
        <v>0</v>
      </c>
      <c r="Z497" s="39" t="n">
        <f aca="false">IF(Informed=1,N497,0)</f>
        <v>0</v>
      </c>
      <c r="AA497" s="39" t="n">
        <f aca="false">IF(Informed=0,N497,0)</f>
        <v>46.4228022441011</v>
      </c>
      <c r="AB497" s="43" t="n">
        <f aca="false">IF(Arterial=0,IF(Informed=1,1,0),0)</f>
        <v>0</v>
      </c>
      <c r="AC497" s="43" t="n">
        <f aca="false">IF(Arterial=0,IF(Informed=0,1,0),0)</f>
        <v>0</v>
      </c>
      <c r="AD497" s="43" t="n">
        <f aca="false">IF(Arterial=1,IF(Informed=1,1,0),0)</f>
        <v>0</v>
      </c>
      <c r="AE497" s="43" t="n">
        <f aca="false">IF(Arterial=1,IF(Informed=0,1,0),0)</f>
        <v>1</v>
      </c>
      <c r="AF497" s="35" t="n">
        <f aca="false">IF(AB497=1,(X497-G$1030)^2,0)</f>
        <v>0</v>
      </c>
      <c r="AG497" s="35" t="n">
        <f aca="false">IF(AC497=1,(Y497-H$1030)^2,0)</f>
        <v>0</v>
      </c>
      <c r="AH497" s="35" t="n">
        <f aca="false">IF(AD497=1,(Z497-I$1030)^2,0)</f>
        <v>0</v>
      </c>
      <c r="AI497" s="35" t="n">
        <f aca="false">IF(AE497=1,(AA497-J$1030)^2,0)</f>
        <v>284.209941170001</v>
      </c>
      <c r="AJ497" s="37" t="n">
        <f aca="true">IF(RAND()&lt;$D$6,1,0)</f>
        <v>0</v>
      </c>
      <c r="AK497" s="14" t="n">
        <f aca="false">AK496+IF((AJ497=1),IF((H497=0),1,0),0)</f>
        <v>0</v>
      </c>
      <c r="AL497" s="14" t="n">
        <f aca="false">AL496+IF((AJ497=1),IF((H497=1),1,0),0)</f>
        <v>0</v>
      </c>
      <c r="AM497" s="37" t="n">
        <f aca="false">IF(AK497=0,9999,IF($H497=0,IF($AJ497&lt;1,AM496+1,0),AM496))</f>
        <v>9999</v>
      </c>
      <c r="AN497" s="37" t="n">
        <f aca="false">IF(AL497=0,9999,IF($H497=1,IF($AJ497&lt;1,AN496+1,0),AN496))</f>
        <v>9999</v>
      </c>
      <c r="AO497" s="37" t="n">
        <f aca="false">IF($A497-AM497&gt;0,1/(1+AM497),0)</f>
        <v>0</v>
      </c>
      <c r="AP497" s="37" t="n">
        <f aca="false">IF($A497-AN497&gt;0,1/(1+AN497),0)</f>
        <v>0</v>
      </c>
      <c r="AQ497" s="7" t="n">
        <f aca="false">IF(AK497=0,0,MAX(MIN(1,AO497^Power),0))</f>
        <v>0</v>
      </c>
      <c r="AR497" s="7" t="n">
        <f aca="false">IF(AL497=0,0,MAX(MIN(1,AP497^Power),0))</f>
        <v>0</v>
      </c>
      <c r="AS497" s="7" t="n">
        <f aca="false">IF($AJ497=1,IF($H497=0,K497,AS496),AS496)</f>
        <v>0</v>
      </c>
      <c r="AT497" s="7" t="n">
        <f aca="false">IF($AJ497=1,IF($H497=1,N497,AT496),AT496)</f>
        <v>0</v>
      </c>
    </row>
    <row r="498" customFormat="false" ht="13" hidden="false" customHeight="false" outlineLevel="0" collapsed="false">
      <c r="A498" s="16" t="n">
        <v>481</v>
      </c>
      <c r="B498" s="37" t="n">
        <f aca="true">IF(RAND()&lt;$D$8,1,0)</f>
        <v>0</v>
      </c>
      <c r="C498" s="20" t="n">
        <f aca="true">-LN(RAND())/$D$2</f>
        <v>0.222443049614404</v>
      </c>
      <c r="D498" s="38" t="n">
        <f aca="false">D497+C498</f>
        <v>502.626705198806</v>
      </c>
      <c r="E498" s="39" t="n">
        <f aca="false">MAX($E$3,AS497)</f>
        <v>0</v>
      </c>
      <c r="F498" s="39" t="n">
        <f aca="false">MAX($E$3,AT497)</f>
        <v>0</v>
      </c>
      <c r="G498" s="40" t="n">
        <v>0.5</v>
      </c>
      <c r="H498" s="38" t="n">
        <f aca="true">IF((B498=1),(IF((F498&lt;E498),1,(IF((F498=E498),(IF(RAND()&lt;G498,1,0)),0)))),(IF((RAND()&lt;G498),1,0)))</f>
        <v>0</v>
      </c>
      <c r="I498" s="38" t="n">
        <f aca="true">IF((H498=1),0,$D$3+$D$5*(RAND()-0.5))</f>
        <v>2.10581079408862</v>
      </c>
      <c r="J498" s="38" t="n">
        <f aca="false">I498+MAX(D498,J497)</f>
        <v>520.103054475608</v>
      </c>
      <c r="K498" s="38" t="n">
        <f aca="false">IF((H498=0),J498-D498,0)</f>
        <v>17.4763492768018</v>
      </c>
      <c r="L498" s="38" t="n">
        <f aca="true">IF(($H498=0),0,$D$4+$D$5*(RAND()-0.5))</f>
        <v>0</v>
      </c>
      <c r="M498" s="38" t="n">
        <f aca="false">L498+MAX(D498,M497)</f>
        <v>548.827064393292</v>
      </c>
      <c r="N498" s="38" t="n">
        <f aca="false">IF((H498=1),M498-D498,0)</f>
        <v>0</v>
      </c>
      <c r="O498" s="16" t="n">
        <v>481</v>
      </c>
      <c r="P498" s="41" t="n">
        <f aca="false">IF((Arterial=0),P497+1,P497)</f>
        <v>221</v>
      </c>
      <c r="Q498" s="41" t="n">
        <f aca="false">IF((Arterial=1),Q497+1,Q497)</f>
        <v>260</v>
      </c>
      <c r="R498" s="42" t="e">
        <f aca="false">IF((RESET=1),0,R498+K498)</f>
        <v>#N/A</v>
      </c>
      <c r="S498" s="14" t="n">
        <f aca="false">IF(RESET=1,0,S498+N498)</f>
        <v>563.29582159285</v>
      </c>
      <c r="T498" s="2" t="e">
        <f aca="false">IF(RESET=1,0,T498+IF(H498=0,1,0))</f>
        <v>#N/A</v>
      </c>
      <c r="U498" s="2" t="n">
        <f aca="false">IF(RESET=1,0,U498+H498)</f>
        <v>38</v>
      </c>
      <c r="V498" s="14" t="e">
        <f aca="false">R498/(T498+0.00001)</f>
        <v>#N/A</v>
      </c>
      <c r="W498" s="14" t="n">
        <f aca="false">S498/(U498+0.0001)</f>
        <v>14.8235352431401</v>
      </c>
      <c r="X498" s="39" t="n">
        <f aca="false">IF(Informed=1,K498,0)</f>
        <v>0</v>
      </c>
      <c r="Y498" s="39" t="n">
        <f aca="false">IF(Informed=0,K498,0)</f>
        <v>17.4763492768018</v>
      </c>
      <c r="Z498" s="39" t="n">
        <f aca="false">IF(Informed=1,N498,0)</f>
        <v>0</v>
      </c>
      <c r="AA498" s="39" t="n">
        <f aca="false">IF(Informed=0,N498,0)</f>
        <v>0</v>
      </c>
      <c r="AB498" s="43" t="n">
        <f aca="false">IF(Arterial=0,IF(Informed=1,1,0),0)</f>
        <v>0</v>
      </c>
      <c r="AC498" s="43" t="n">
        <f aca="false">IF(Arterial=0,IF(Informed=0,1,0),0)</f>
        <v>1</v>
      </c>
      <c r="AD498" s="43" t="n">
        <f aca="false">IF(Arterial=1,IF(Informed=1,1,0),0)</f>
        <v>0</v>
      </c>
      <c r="AE498" s="43" t="n">
        <f aca="false">IF(Arterial=1,IF(Informed=0,1,0),0)</f>
        <v>0</v>
      </c>
      <c r="AF498" s="35" t="n">
        <f aca="false">IF(AB498=1,(X498-G$1030)^2,0)</f>
        <v>0</v>
      </c>
      <c r="AG498" s="35" t="n">
        <f aca="false">IF(AC498=1,(Y498-H$1030)^2,0)</f>
        <v>42.9360953159034</v>
      </c>
      <c r="AH498" s="35" t="n">
        <f aca="false">IF(AD498=1,(Z498-I$1030)^2,0)</f>
        <v>0</v>
      </c>
      <c r="AI498" s="35" t="n">
        <f aca="false">IF(AE498=1,(AA498-J$1030)^2,0)</f>
        <v>0</v>
      </c>
      <c r="AJ498" s="37" t="n">
        <f aca="true">IF(RAND()&lt;$D$6,1,0)</f>
        <v>0</v>
      </c>
      <c r="AK498" s="14" t="n">
        <f aca="false">AK497+IF((AJ498=1),IF((H498=0),1,0),0)</f>
        <v>0</v>
      </c>
      <c r="AL498" s="14" t="n">
        <f aca="false">AL497+IF((AJ498=1),IF((H498=1),1,0),0)</f>
        <v>0</v>
      </c>
      <c r="AM498" s="37" t="n">
        <f aca="false">IF(AK498=0,9999,IF($H498=0,IF($AJ498&lt;1,AM497+1,0),AM497))</f>
        <v>9999</v>
      </c>
      <c r="AN498" s="37" t="n">
        <f aca="false">IF(AL498=0,9999,IF($H498=1,IF($AJ498&lt;1,AN497+1,0),AN497))</f>
        <v>9999</v>
      </c>
      <c r="AO498" s="37" t="n">
        <f aca="false">IF($A498-AM498&gt;0,1/(1+AM498),0)</f>
        <v>0</v>
      </c>
      <c r="AP498" s="37" t="n">
        <f aca="false">IF($A498-AN498&gt;0,1/(1+AN498),0)</f>
        <v>0</v>
      </c>
      <c r="AQ498" s="7" t="n">
        <f aca="false">IF(AK498=0,0,MAX(MIN(1,AO498^Power),0))</f>
        <v>0</v>
      </c>
      <c r="AR498" s="7" t="n">
        <f aca="false">IF(AL498=0,0,MAX(MIN(1,AP498^Power),0))</f>
        <v>0</v>
      </c>
      <c r="AS498" s="7" t="n">
        <f aca="false">IF($AJ498=1,IF($H498=0,K498,AS497),AS497)</f>
        <v>0</v>
      </c>
      <c r="AT498" s="7" t="n">
        <f aca="false">IF($AJ498=1,IF($H498=1,N498,AT497),AT497)</f>
        <v>0</v>
      </c>
    </row>
    <row r="499" customFormat="false" ht="13" hidden="false" customHeight="false" outlineLevel="0" collapsed="false">
      <c r="A499" s="16" t="n">
        <v>482</v>
      </c>
      <c r="B499" s="37" t="n">
        <f aca="true">IF(RAND()&lt;$D$8,1,0)</f>
        <v>1</v>
      </c>
      <c r="C499" s="20" t="n">
        <f aca="true">-LN(RAND())/$D$2</f>
        <v>0.846498025029945</v>
      </c>
      <c r="D499" s="38" t="n">
        <f aca="false">D498+C499</f>
        <v>503.473203223836</v>
      </c>
      <c r="E499" s="39" t="n">
        <f aca="false">MAX($E$3,AS498)</f>
        <v>0</v>
      </c>
      <c r="F499" s="39" t="n">
        <f aca="false">MAX($E$3,AT498)</f>
        <v>0</v>
      </c>
      <c r="G499" s="40" t="n">
        <v>0.5</v>
      </c>
      <c r="H499" s="38" t="n">
        <f aca="true">IF((B499=1),(IF((F499&lt;E499),1,(IF((F499=E499),(IF(RAND()&lt;G499,1,0)),0)))),(IF((RAND()&lt;G499),1,0)))</f>
        <v>1</v>
      </c>
      <c r="I499" s="38" t="n">
        <f aca="true">IF((H499=1),0,$D$3+$D$5*(RAND()-0.5))</f>
        <v>0</v>
      </c>
      <c r="J499" s="38" t="n">
        <f aca="false">I499+MAX(D499,J498)</f>
        <v>520.103054475608</v>
      </c>
      <c r="K499" s="38" t="n">
        <f aca="false">IF((H499=0),J499-D499,0)</f>
        <v>0</v>
      </c>
      <c r="L499" s="38" t="n">
        <f aca="true">IF(($H499=0),0,$D$4+$D$5*(RAND()-0.5))</f>
        <v>2.19956191527301</v>
      </c>
      <c r="M499" s="38" t="n">
        <f aca="false">L499+MAX(D499,M498)</f>
        <v>551.026626308565</v>
      </c>
      <c r="N499" s="38" t="n">
        <f aca="false">IF((H499=1),M499-D499,0)</f>
        <v>47.5534230847297</v>
      </c>
      <c r="O499" s="16" t="n">
        <v>482</v>
      </c>
      <c r="P499" s="41" t="n">
        <f aca="false">IF((Arterial=0),P498+1,P498)</f>
        <v>221</v>
      </c>
      <c r="Q499" s="41" t="n">
        <f aca="false">IF((Arterial=1),Q498+1,Q498)</f>
        <v>261</v>
      </c>
      <c r="R499" s="42" t="n">
        <f aca="false">IF((RESET=1),0,R499+K499)</f>
        <v>592.83558723378</v>
      </c>
      <c r="S499" s="14" t="e">
        <f aca="false">IF(RESET=1,0,S499+N499)</f>
        <v>#N/A</v>
      </c>
      <c r="T499" s="2" t="n">
        <f aca="false">IF(RESET=1,0,T499+IF(H499=0,1,0))</f>
        <v>38</v>
      </c>
      <c r="U499" s="2" t="e">
        <f aca="false">IF(RESET=1,0,U499+H499)</f>
        <v>#N/A</v>
      </c>
      <c r="V499" s="14" t="n">
        <f aca="false">R499/(T499+0.00001)</f>
        <v>15.6009324006436</v>
      </c>
      <c r="W499" s="14" t="e">
        <f aca="false">S499/(U499+0.0001)</f>
        <v>#N/A</v>
      </c>
      <c r="X499" s="39" t="n">
        <f aca="false">IF(Informed=1,K499,0)</f>
        <v>0</v>
      </c>
      <c r="Y499" s="39" t="n">
        <f aca="false">IF(Informed=0,K499,0)</f>
        <v>0</v>
      </c>
      <c r="Z499" s="39" t="n">
        <f aca="false">IF(Informed=1,N499,0)</f>
        <v>47.5534230847297</v>
      </c>
      <c r="AA499" s="39" t="n">
        <f aca="false">IF(Informed=0,N499,0)</f>
        <v>0</v>
      </c>
      <c r="AB499" s="43" t="n">
        <f aca="false">IF(Arterial=0,IF(Informed=1,1,0),0)</f>
        <v>0</v>
      </c>
      <c r="AC499" s="43" t="n">
        <f aca="false">IF(Arterial=0,IF(Informed=0,1,0),0)</f>
        <v>0</v>
      </c>
      <c r="AD499" s="43" t="n">
        <f aca="false">IF(Arterial=1,IF(Informed=1,1,0),0)</f>
        <v>1</v>
      </c>
      <c r="AE499" s="43" t="n">
        <f aca="false">IF(Arterial=1,IF(Informed=0,1,0),0)</f>
        <v>0</v>
      </c>
      <c r="AF499" s="35" t="n">
        <f aca="false">IF(AB499=1,(X499-G$1030)^2,0)</f>
        <v>0</v>
      </c>
      <c r="AG499" s="35" t="n">
        <f aca="false">IF(AC499=1,(Y499-H$1030)^2,0)</f>
        <v>0</v>
      </c>
      <c r="AH499" s="35" t="n">
        <f aca="false">IF(AD499=1,(Z499-I$1030)^2,0)</f>
        <v>367.818248854617</v>
      </c>
      <c r="AI499" s="35" t="n">
        <f aca="false">IF(AE499=1,(AA499-J$1030)^2,0)</f>
        <v>0</v>
      </c>
      <c r="AJ499" s="37" t="n">
        <f aca="true">IF(RAND()&lt;$D$6,1,0)</f>
        <v>0</v>
      </c>
      <c r="AK499" s="14" t="n">
        <f aca="false">AK498+IF((AJ499=1),IF((H499=0),1,0),0)</f>
        <v>0</v>
      </c>
      <c r="AL499" s="14" t="n">
        <f aca="false">AL498+IF((AJ499=1),IF((H499=1),1,0),0)</f>
        <v>0</v>
      </c>
      <c r="AM499" s="37" t="n">
        <f aca="false">IF(AK499=0,9999,IF($H499=0,IF($AJ499&lt;1,AM498+1,0),AM498))</f>
        <v>9999</v>
      </c>
      <c r="AN499" s="37" t="n">
        <f aca="false">IF(AL499=0,9999,IF($H499=1,IF($AJ499&lt;1,AN498+1,0),AN498))</f>
        <v>9999</v>
      </c>
      <c r="AO499" s="37" t="n">
        <f aca="false">IF($A499-AM499&gt;0,1/(1+AM499),0)</f>
        <v>0</v>
      </c>
      <c r="AP499" s="37" t="n">
        <f aca="false">IF($A499-AN499&gt;0,1/(1+AN499),0)</f>
        <v>0</v>
      </c>
      <c r="AQ499" s="7" t="n">
        <f aca="false">IF(AK499=0,0,MAX(MIN(1,AO499^Power),0))</f>
        <v>0</v>
      </c>
      <c r="AR499" s="7" t="n">
        <f aca="false">IF(AL499=0,0,MAX(MIN(1,AP499^Power),0))</f>
        <v>0</v>
      </c>
      <c r="AS499" s="7" t="n">
        <f aca="false">IF($AJ499=1,IF($H499=0,K499,AS498),AS498)</f>
        <v>0</v>
      </c>
      <c r="AT499" s="7" t="n">
        <f aca="false">IF($AJ499=1,IF($H499=1,N499,AT498),AT498)</f>
        <v>0</v>
      </c>
    </row>
    <row r="500" customFormat="false" ht="13" hidden="false" customHeight="false" outlineLevel="0" collapsed="false">
      <c r="A500" s="16" t="n">
        <v>483</v>
      </c>
      <c r="B500" s="37" t="n">
        <f aca="true">IF(RAND()&lt;$D$8,1,0)</f>
        <v>1</v>
      </c>
      <c r="C500" s="20" t="n">
        <f aca="true">-LN(RAND())/$D$2</f>
        <v>2.6030446294006</v>
      </c>
      <c r="D500" s="38" t="n">
        <f aca="false">D499+C500</f>
        <v>506.076247853236</v>
      </c>
      <c r="E500" s="39" t="n">
        <f aca="false">MAX($E$3,AS499)</f>
        <v>0</v>
      </c>
      <c r="F500" s="39" t="n">
        <f aca="false">MAX($E$3,AT499)</f>
        <v>0</v>
      </c>
      <c r="G500" s="40" t="n">
        <v>0.5</v>
      </c>
      <c r="H500" s="38" t="n">
        <f aca="true">IF((B500=1),(IF((F500&lt;E500),1,(IF((F500=E500),(IF(RAND()&lt;G500,1,0)),0)))),(IF((RAND()&lt;G500),1,0)))</f>
        <v>0</v>
      </c>
      <c r="I500" s="38" t="n">
        <f aca="true">IF((H500=1),0,$D$3+$D$5*(RAND()-0.5))</f>
        <v>2.1494166459351</v>
      </c>
      <c r="J500" s="38" t="n">
        <f aca="false">I500+MAX(D500,J499)</f>
        <v>522.252471121543</v>
      </c>
      <c r="K500" s="38" t="n">
        <f aca="false">IF((H500=0),J500-D500,0)</f>
        <v>16.1762232683063</v>
      </c>
      <c r="L500" s="38" t="n">
        <f aca="true">IF(($H500=0),0,$D$4+$D$5*(RAND()-0.5))</f>
        <v>0</v>
      </c>
      <c r="M500" s="38" t="n">
        <f aca="false">L500+MAX(D500,M499)</f>
        <v>551.026626308565</v>
      </c>
      <c r="N500" s="38" t="n">
        <f aca="false">IF((H500=1),M500-D500,0)</f>
        <v>0</v>
      </c>
      <c r="O500" s="16" t="n">
        <v>483</v>
      </c>
      <c r="P500" s="41" t="n">
        <f aca="false">IF((Arterial=0),P499+1,P499)</f>
        <v>222</v>
      </c>
      <c r="Q500" s="41" t="n">
        <f aca="false">IF((Arterial=1),Q499+1,Q499)</f>
        <v>261</v>
      </c>
      <c r="R500" s="42" t="e">
        <f aca="false">IF((RESET=1),0,R500+K500)</f>
        <v>#N/A</v>
      </c>
      <c r="S500" s="14" t="n">
        <f aca="false">IF(RESET=1,0,S500+N500)</f>
        <v>743.649852488565</v>
      </c>
      <c r="T500" s="2" t="e">
        <f aca="false">IF(RESET=1,0,T500+IF(H500=0,1,0))</f>
        <v>#N/A</v>
      </c>
      <c r="U500" s="2" t="n">
        <f aca="false">IF(RESET=1,0,U500+H500)</f>
        <v>47</v>
      </c>
      <c r="V500" s="14" t="e">
        <f aca="false">R500/(T500+0.00001)</f>
        <v>#N/A</v>
      </c>
      <c r="W500" s="14" t="n">
        <f aca="false">S500/(U500+0.0001)</f>
        <v>15.822303622515</v>
      </c>
      <c r="X500" s="39" t="n">
        <f aca="false">IF(Informed=1,K500,0)</f>
        <v>16.1762232683063</v>
      </c>
      <c r="Y500" s="39" t="n">
        <f aca="false">IF(Informed=0,K500,0)</f>
        <v>0</v>
      </c>
      <c r="Z500" s="39" t="n">
        <f aca="false">IF(Informed=1,N500,0)</f>
        <v>0</v>
      </c>
      <c r="AA500" s="39" t="n">
        <f aca="false">IF(Informed=0,N500,0)</f>
        <v>0</v>
      </c>
      <c r="AB500" s="43" t="n">
        <f aca="false">IF(Arterial=0,IF(Informed=1,1,0),0)</f>
        <v>1</v>
      </c>
      <c r="AC500" s="43" t="n">
        <f aca="false">IF(Arterial=0,IF(Informed=0,1,0),0)</f>
        <v>0</v>
      </c>
      <c r="AD500" s="43" t="n">
        <f aca="false">IF(Arterial=1,IF(Informed=1,1,0),0)</f>
        <v>0</v>
      </c>
      <c r="AE500" s="43" t="n">
        <f aca="false">IF(Arterial=1,IF(Informed=0,1,0),0)</f>
        <v>0</v>
      </c>
      <c r="AF500" s="35" t="n">
        <f aca="false">IF(AB500=1,(X500-G$1030)^2,0)</f>
        <v>29.8831145270591</v>
      </c>
      <c r="AG500" s="35" t="n">
        <f aca="false">IF(AC500=1,(Y500-H$1030)^2,0)</f>
        <v>0</v>
      </c>
      <c r="AH500" s="35" t="n">
        <f aca="false">IF(AD500=1,(Z500-I$1030)^2,0)</f>
        <v>0</v>
      </c>
      <c r="AI500" s="35" t="n">
        <f aca="false">IF(AE500=1,(AA500-J$1030)^2,0)</f>
        <v>0</v>
      </c>
      <c r="AJ500" s="37" t="n">
        <f aca="true">IF(RAND()&lt;$D$6,1,0)</f>
        <v>0</v>
      </c>
      <c r="AK500" s="14" t="n">
        <f aca="false">AK499+IF((AJ500=1),IF((H500=0),1,0),0)</f>
        <v>0</v>
      </c>
      <c r="AL500" s="14" t="n">
        <f aca="false">AL499+IF((AJ500=1),IF((H500=1),1,0),0)</f>
        <v>0</v>
      </c>
      <c r="AM500" s="37" t="n">
        <f aca="false">IF(AK500=0,9999,IF($H500=0,IF($AJ500&lt;1,AM499+1,0),AM499))</f>
        <v>9999</v>
      </c>
      <c r="AN500" s="37" t="n">
        <f aca="false">IF(AL500=0,9999,IF($H500=1,IF($AJ500&lt;1,AN499+1,0),AN499))</f>
        <v>9999</v>
      </c>
      <c r="AO500" s="37" t="n">
        <f aca="false">IF($A500-AM500&gt;0,1/(1+AM500),0)</f>
        <v>0</v>
      </c>
      <c r="AP500" s="37" t="n">
        <f aca="false">IF($A500-AN500&gt;0,1/(1+AN500),0)</f>
        <v>0</v>
      </c>
      <c r="AQ500" s="7" t="n">
        <f aca="false">IF(AK500=0,0,MAX(MIN(1,AO500^Power),0))</f>
        <v>0</v>
      </c>
      <c r="AR500" s="7" t="n">
        <f aca="false">IF(AL500=0,0,MAX(MIN(1,AP500^Power),0))</f>
        <v>0</v>
      </c>
      <c r="AS500" s="7" t="n">
        <f aca="false">IF($AJ500=1,IF($H500=0,K500,AS499),AS499)</f>
        <v>0</v>
      </c>
      <c r="AT500" s="7" t="n">
        <f aca="false">IF($AJ500=1,IF($H500=1,N500,AT499),AT499)</f>
        <v>0</v>
      </c>
    </row>
    <row r="501" customFormat="false" ht="13" hidden="false" customHeight="false" outlineLevel="0" collapsed="false">
      <c r="A501" s="16" t="n">
        <v>484</v>
      </c>
      <c r="B501" s="37" t="n">
        <f aca="true">IF(RAND()&lt;$D$8,1,0)</f>
        <v>0</v>
      </c>
      <c r="C501" s="20" t="n">
        <f aca="true">-LN(RAND())/$D$2</f>
        <v>0.176221038021199</v>
      </c>
      <c r="D501" s="38" t="n">
        <f aca="false">D500+C501</f>
        <v>506.252468891257</v>
      </c>
      <c r="E501" s="39" t="n">
        <f aca="false">MAX($E$3,AS500)</f>
        <v>0</v>
      </c>
      <c r="F501" s="39" t="n">
        <f aca="false">MAX($E$3,AT500)</f>
        <v>0</v>
      </c>
      <c r="G501" s="40" t="n">
        <v>0.5</v>
      </c>
      <c r="H501" s="38" t="n">
        <f aca="true">IF((B501=1),(IF((F501&lt;E501),1,(IF((F501=E501),(IF(RAND()&lt;G501,1,0)),0)))),(IF((RAND()&lt;G501),1,0)))</f>
        <v>0</v>
      </c>
      <c r="I501" s="38" t="n">
        <f aca="true">IF((H501=1),0,$D$3+$D$5*(RAND()-0.5))</f>
        <v>1.86539942634114</v>
      </c>
      <c r="J501" s="38" t="n">
        <f aca="false">I501+MAX(D501,J500)</f>
        <v>524.117870547884</v>
      </c>
      <c r="K501" s="38" t="n">
        <f aca="false">IF((H501=0),J501-D501,0)</f>
        <v>17.8654016566263</v>
      </c>
      <c r="L501" s="38" t="n">
        <f aca="true">IF(($H501=0),0,$D$4+$D$5*(RAND()-0.5))</f>
        <v>0</v>
      </c>
      <c r="M501" s="38" t="n">
        <f aca="false">L501+MAX(D501,M500)</f>
        <v>551.026626308565</v>
      </c>
      <c r="N501" s="38" t="n">
        <f aca="false">IF((H501=1),M501-D501,0)</f>
        <v>0</v>
      </c>
      <c r="O501" s="16" t="n">
        <v>484</v>
      </c>
      <c r="P501" s="41" t="n">
        <f aca="false">IF((Arterial=0),P500+1,P500)</f>
        <v>223</v>
      </c>
      <c r="Q501" s="41" t="n">
        <f aca="false">IF((Arterial=1),Q500+1,Q500)</f>
        <v>261</v>
      </c>
      <c r="R501" s="42" t="e">
        <f aca="false">IF((RESET=1),0,R501+K501)</f>
        <v>#N/A</v>
      </c>
      <c r="S501" s="14" t="n">
        <f aca="false">IF(RESET=1,0,S501+N501)</f>
        <v>654.110327666469</v>
      </c>
      <c r="T501" s="2" t="e">
        <f aca="false">IF(RESET=1,0,T501+IF(H501=0,1,0))</f>
        <v>#N/A</v>
      </c>
      <c r="U501" s="2" t="n">
        <f aca="false">IF(RESET=1,0,U501+H501)</f>
        <v>40</v>
      </c>
      <c r="V501" s="14" t="e">
        <f aca="false">R501/(T501+0.00001)</f>
        <v>#N/A</v>
      </c>
      <c r="W501" s="14" t="n">
        <f aca="false">S501/(U501+0.0001)</f>
        <v>16.3527173098685</v>
      </c>
      <c r="X501" s="39" t="n">
        <f aca="false">IF(Informed=1,K501,0)</f>
        <v>0</v>
      </c>
      <c r="Y501" s="39" t="n">
        <f aca="false">IF(Informed=0,K501,0)</f>
        <v>17.8654016566263</v>
      </c>
      <c r="Z501" s="39" t="n">
        <f aca="false">IF(Informed=1,N501,0)</f>
        <v>0</v>
      </c>
      <c r="AA501" s="39" t="n">
        <f aca="false">IF(Informed=0,N501,0)</f>
        <v>0</v>
      </c>
      <c r="AB501" s="43" t="n">
        <f aca="false">IF(Arterial=0,IF(Informed=1,1,0),0)</f>
        <v>0</v>
      </c>
      <c r="AC501" s="43" t="n">
        <f aca="false">IF(Arterial=0,IF(Informed=0,1,0),0)</f>
        <v>1</v>
      </c>
      <c r="AD501" s="43" t="n">
        <f aca="false">IF(Arterial=1,IF(Informed=1,1,0),0)</f>
        <v>0</v>
      </c>
      <c r="AE501" s="43" t="n">
        <f aca="false">IF(Arterial=1,IF(Informed=0,1,0),0)</f>
        <v>0</v>
      </c>
      <c r="AF501" s="35" t="n">
        <f aca="false">IF(AB501=1,(X501-G$1030)^2,0)</f>
        <v>0</v>
      </c>
      <c r="AG501" s="35" t="n">
        <f aca="false">IF(AC501=1,(Y501-H$1030)^2,0)</f>
        <v>48.1860383267486</v>
      </c>
      <c r="AH501" s="35" t="n">
        <f aca="false">IF(AD501=1,(Z501-I$1030)^2,0)</f>
        <v>0</v>
      </c>
      <c r="AI501" s="35" t="n">
        <f aca="false">IF(AE501=1,(AA501-J$1030)^2,0)</f>
        <v>0</v>
      </c>
      <c r="AJ501" s="37" t="n">
        <f aca="true">IF(RAND()&lt;$D$6,1,0)</f>
        <v>0</v>
      </c>
      <c r="AK501" s="14" t="n">
        <f aca="false">AK500+IF((AJ501=1),IF((H501=0),1,0),0)</f>
        <v>0</v>
      </c>
      <c r="AL501" s="14" t="n">
        <f aca="false">AL500+IF((AJ501=1),IF((H501=1),1,0),0)</f>
        <v>0</v>
      </c>
      <c r="AM501" s="37" t="n">
        <f aca="false">IF(AK501=0,9999,IF($H501=0,IF($AJ501&lt;1,AM500+1,0),AM500))</f>
        <v>9999</v>
      </c>
      <c r="AN501" s="37" t="n">
        <f aca="false">IF(AL501=0,9999,IF($H501=1,IF($AJ501&lt;1,AN500+1,0),AN500))</f>
        <v>9999</v>
      </c>
      <c r="AO501" s="37" t="n">
        <f aca="false">IF($A501-AM501&gt;0,1/(1+AM501),0)</f>
        <v>0</v>
      </c>
      <c r="AP501" s="37" t="n">
        <f aca="false">IF($A501-AN501&gt;0,1/(1+AN501),0)</f>
        <v>0</v>
      </c>
      <c r="AQ501" s="7" t="n">
        <f aca="false">IF(AK501=0,0,MAX(MIN(1,AO501^Power),0))</f>
        <v>0</v>
      </c>
      <c r="AR501" s="7" t="n">
        <f aca="false">IF(AL501=0,0,MAX(MIN(1,AP501^Power),0))</f>
        <v>0</v>
      </c>
      <c r="AS501" s="7" t="n">
        <f aca="false">IF($AJ501=1,IF($H501=0,K501,AS500),AS500)</f>
        <v>0</v>
      </c>
      <c r="AT501" s="7" t="n">
        <f aca="false">IF($AJ501=1,IF($H501=1,N501,AT500),AT500)</f>
        <v>0</v>
      </c>
    </row>
    <row r="502" customFormat="false" ht="13" hidden="false" customHeight="false" outlineLevel="0" collapsed="false">
      <c r="A502" s="16" t="n">
        <v>485</v>
      </c>
      <c r="B502" s="37" t="n">
        <f aca="true">IF(RAND()&lt;$D$8,1,0)</f>
        <v>1</v>
      </c>
      <c r="C502" s="20" t="n">
        <f aca="true">-LN(RAND())/$D$2</f>
        <v>0.301027608615705</v>
      </c>
      <c r="D502" s="38" t="n">
        <f aca="false">D501+C502</f>
        <v>506.553496499873</v>
      </c>
      <c r="E502" s="39" t="n">
        <f aca="false">MAX($E$3,AS501)</f>
        <v>0</v>
      </c>
      <c r="F502" s="39" t="n">
        <f aca="false">MAX($E$3,AT501)</f>
        <v>0</v>
      </c>
      <c r="G502" s="40" t="n">
        <v>0.5</v>
      </c>
      <c r="H502" s="38" t="n">
        <f aca="true">IF((B502=1),(IF((F502&lt;E502),1,(IF((F502=E502),(IF(RAND()&lt;G502,1,0)),0)))),(IF((RAND()&lt;G502),1,0)))</f>
        <v>1</v>
      </c>
      <c r="I502" s="38" t="n">
        <f aca="true">IF((H502=1),0,$D$3+$D$5*(RAND()-0.5))</f>
        <v>0</v>
      </c>
      <c r="J502" s="38" t="n">
        <f aca="false">I502+MAX(D502,J501)</f>
        <v>524.117870547884</v>
      </c>
      <c r="K502" s="38" t="n">
        <f aca="false">IF((H502=0),J502-D502,0)</f>
        <v>0</v>
      </c>
      <c r="L502" s="38" t="n">
        <f aca="true">IF(($H502=0),0,$D$4+$D$5*(RAND()-0.5))</f>
        <v>1.8770494025409</v>
      </c>
      <c r="M502" s="38" t="n">
        <f aca="false">L502+MAX(D502,M501)</f>
        <v>552.903675711106</v>
      </c>
      <c r="N502" s="38" t="n">
        <f aca="false">IF((H502=1),M502-D502,0)</f>
        <v>46.3501792112331</v>
      </c>
      <c r="O502" s="16" t="n">
        <v>485</v>
      </c>
      <c r="P502" s="41" t="n">
        <f aca="false">IF((Arterial=0),P501+1,P501)</f>
        <v>223</v>
      </c>
      <c r="Q502" s="41" t="n">
        <f aca="false">IF((Arterial=1),Q501+1,Q501)</f>
        <v>262</v>
      </c>
      <c r="R502" s="42" t="n">
        <f aca="false">IF((RESET=1),0,R502+K502)</f>
        <v>681.083284317487</v>
      </c>
      <c r="S502" s="14" t="e">
        <f aca="false">IF(RESET=1,0,S502+N502)</f>
        <v>#N/A</v>
      </c>
      <c r="T502" s="2" t="n">
        <f aca="false">IF(RESET=1,0,T502+IF(H502=0,1,0))</f>
        <v>42</v>
      </c>
      <c r="U502" s="2" t="e">
        <f aca="false">IF(RESET=1,0,U502+H502)</f>
        <v>#N/A</v>
      </c>
      <c r="V502" s="14" t="n">
        <f aca="false">R502/(T502+0.00001)</f>
        <v>16.2162648132104</v>
      </c>
      <c r="W502" s="14" t="e">
        <f aca="false">S502/(U502+0.0001)</f>
        <v>#N/A</v>
      </c>
      <c r="X502" s="39" t="n">
        <f aca="false">IF(Informed=1,K502,0)</f>
        <v>0</v>
      </c>
      <c r="Y502" s="39" t="n">
        <f aca="false">IF(Informed=0,K502,0)</f>
        <v>0</v>
      </c>
      <c r="Z502" s="39" t="n">
        <f aca="false">IF(Informed=1,N502,0)</f>
        <v>46.3501792112331</v>
      </c>
      <c r="AA502" s="39" t="n">
        <f aca="false">IF(Informed=0,N502,0)</f>
        <v>0</v>
      </c>
      <c r="AB502" s="43" t="n">
        <f aca="false">IF(Arterial=0,IF(Informed=1,1,0),0)</f>
        <v>0</v>
      </c>
      <c r="AC502" s="43" t="n">
        <f aca="false">IF(Arterial=0,IF(Informed=0,1,0),0)</f>
        <v>0</v>
      </c>
      <c r="AD502" s="43" t="n">
        <f aca="false">IF(Arterial=1,IF(Informed=1,1,0),0)</f>
        <v>1</v>
      </c>
      <c r="AE502" s="43" t="n">
        <f aca="false">IF(Arterial=1,IF(Informed=0,1,0),0)</f>
        <v>0</v>
      </c>
      <c r="AF502" s="35" t="n">
        <f aca="false">IF(AB502=1,(X502-G$1030)^2,0)</f>
        <v>0</v>
      </c>
      <c r="AG502" s="35" t="n">
        <f aca="false">IF(AC502=1,(Y502-H$1030)^2,0)</f>
        <v>0</v>
      </c>
      <c r="AH502" s="35" t="n">
        <f aca="false">IF(AD502=1,(Z502-I$1030)^2,0)</f>
        <v>323.113006945619</v>
      </c>
      <c r="AI502" s="35" t="n">
        <f aca="false">IF(AE502=1,(AA502-J$1030)^2,0)</f>
        <v>0</v>
      </c>
      <c r="AJ502" s="37" t="n">
        <f aca="true">IF(RAND()&lt;$D$6,1,0)</f>
        <v>0</v>
      </c>
      <c r="AK502" s="14" t="n">
        <f aca="false">AK501+IF((AJ502=1),IF((H502=0),1,0),0)</f>
        <v>0</v>
      </c>
      <c r="AL502" s="14" t="n">
        <f aca="false">AL501+IF((AJ502=1),IF((H502=1),1,0),0)</f>
        <v>0</v>
      </c>
      <c r="AM502" s="37" t="n">
        <f aca="false">IF(AK502=0,9999,IF($H502=0,IF($AJ502&lt;1,AM501+1,0),AM501))</f>
        <v>9999</v>
      </c>
      <c r="AN502" s="37" t="n">
        <f aca="false">IF(AL502=0,9999,IF($H502=1,IF($AJ502&lt;1,AN501+1,0),AN501))</f>
        <v>9999</v>
      </c>
      <c r="AO502" s="37" t="n">
        <f aca="false">IF($A502-AM502&gt;0,1/(1+AM502),0)</f>
        <v>0</v>
      </c>
      <c r="AP502" s="37" t="n">
        <f aca="false">IF($A502-AN502&gt;0,1/(1+AN502),0)</f>
        <v>0</v>
      </c>
      <c r="AQ502" s="7" t="n">
        <f aca="false">IF(AK502=0,0,MAX(MIN(1,AO502^Power),0))</f>
        <v>0</v>
      </c>
      <c r="AR502" s="7" t="n">
        <f aca="false">IF(AL502=0,0,MAX(MIN(1,AP502^Power),0))</f>
        <v>0</v>
      </c>
      <c r="AS502" s="7" t="n">
        <f aca="false">IF($AJ502=1,IF($H502=0,K502,AS501),AS501)</f>
        <v>0</v>
      </c>
      <c r="AT502" s="7" t="n">
        <f aca="false">IF($AJ502=1,IF($H502=1,N502,AT501),AT501)</f>
        <v>0</v>
      </c>
    </row>
    <row r="503" customFormat="false" ht="13" hidden="false" customHeight="false" outlineLevel="0" collapsed="false">
      <c r="A503" s="16" t="n">
        <v>486</v>
      </c>
      <c r="B503" s="37" t="n">
        <f aca="true">IF(RAND()&lt;$D$8,1,0)</f>
        <v>0</v>
      </c>
      <c r="C503" s="20" t="n">
        <f aca="true">-LN(RAND())/$D$2</f>
        <v>0.497287332393534</v>
      </c>
      <c r="D503" s="38" t="n">
        <f aca="false">D502+C503</f>
        <v>507.050783832267</v>
      </c>
      <c r="E503" s="39" t="n">
        <f aca="false">MAX($E$3,AS502)</f>
        <v>0</v>
      </c>
      <c r="F503" s="39" t="n">
        <f aca="false">MAX($E$3,AT502)</f>
        <v>0</v>
      </c>
      <c r="G503" s="40" t="n">
        <v>0.5</v>
      </c>
      <c r="H503" s="38" t="n">
        <f aca="true">IF((B503=1),(IF((F503&lt;E503),1,(IF((F503=E503),(IF(RAND()&lt;G503,1,0)),0)))),(IF((RAND()&lt;G503),1,0)))</f>
        <v>1</v>
      </c>
      <c r="I503" s="38" t="n">
        <f aca="true">IF((H503=1),0,$D$3+$D$5*(RAND()-0.5))</f>
        <v>0</v>
      </c>
      <c r="J503" s="38" t="n">
        <f aca="false">I503+MAX(D503,J502)</f>
        <v>524.117870547884</v>
      </c>
      <c r="K503" s="38" t="n">
        <f aca="false">IF((H503=0),J503-D503,0)</f>
        <v>0</v>
      </c>
      <c r="L503" s="38" t="n">
        <f aca="true">IF(($H503=0),0,$D$4+$D$5*(RAND()-0.5))</f>
        <v>2.00543866605191</v>
      </c>
      <c r="M503" s="38" t="n">
        <f aca="false">L503+MAX(D503,M502)</f>
        <v>554.909114377158</v>
      </c>
      <c r="N503" s="38" t="n">
        <f aca="false">IF((H503=1),M503-D503,0)</f>
        <v>47.8583305448915</v>
      </c>
      <c r="O503" s="16" t="n">
        <v>486</v>
      </c>
      <c r="P503" s="41" t="n">
        <f aca="false">IF((Arterial=0),P502+1,P502)</f>
        <v>223</v>
      </c>
      <c r="Q503" s="41" t="n">
        <f aca="false">IF((Arterial=1),Q502+1,Q502)</f>
        <v>263</v>
      </c>
      <c r="R503" s="42" t="n">
        <f aca="false">IF((RESET=1),0,R503+K503)</f>
        <v>730.546856762084</v>
      </c>
      <c r="S503" s="14" t="e">
        <f aca="false">IF(RESET=1,0,S503+N503)</f>
        <v>#N/A</v>
      </c>
      <c r="T503" s="2" t="n">
        <f aca="false">IF(RESET=1,0,T503+IF(H503=0,1,0))</f>
        <v>39</v>
      </c>
      <c r="U503" s="2" t="e">
        <f aca="false">IF(RESET=1,0,U503+H503)</f>
        <v>#N/A</v>
      </c>
      <c r="V503" s="14" t="n">
        <f aca="false">R503/(T503+0.00001)</f>
        <v>18.7319658831391</v>
      </c>
      <c r="W503" s="14" t="e">
        <f aca="false">S503/(U503+0.0001)</f>
        <v>#N/A</v>
      </c>
      <c r="X503" s="39" t="n">
        <f aca="false">IF(Informed=1,K503,0)</f>
        <v>0</v>
      </c>
      <c r="Y503" s="39" t="n">
        <f aca="false">IF(Informed=0,K503,0)</f>
        <v>0</v>
      </c>
      <c r="Z503" s="39" t="n">
        <f aca="false">IF(Informed=1,N503,0)</f>
        <v>0</v>
      </c>
      <c r="AA503" s="39" t="n">
        <f aca="false">IF(Informed=0,N503,0)</f>
        <v>47.8583305448915</v>
      </c>
      <c r="AB503" s="43" t="n">
        <f aca="false">IF(Arterial=0,IF(Informed=1,1,0),0)</f>
        <v>0</v>
      </c>
      <c r="AC503" s="43" t="n">
        <f aca="false">IF(Arterial=0,IF(Informed=0,1,0),0)</f>
        <v>0</v>
      </c>
      <c r="AD503" s="43" t="n">
        <f aca="false">IF(Arterial=1,IF(Informed=1,1,0),0)</f>
        <v>0</v>
      </c>
      <c r="AE503" s="43" t="n">
        <f aca="false">IF(Arterial=1,IF(Informed=0,1,0),0)</f>
        <v>1</v>
      </c>
      <c r="AF503" s="35" t="n">
        <f aca="false">IF(AB503=1,(X503-G$1030)^2,0)</f>
        <v>0</v>
      </c>
      <c r="AG503" s="35" t="n">
        <f aca="false">IF(AC503=1,(Y503-H$1030)^2,0)</f>
        <v>0</v>
      </c>
      <c r="AH503" s="35" t="n">
        <f aca="false">IF(AD503=1,(Z503-I$1030)^2,0)</f>
        <v>0</v>
      </c>
      <c r="AI503" s="35" t="n">
        <f aca="false">IF(AE503=1,(AA503-J$1030)^2,0)</f>
        <v>334.672468637568</v>
      </c>
      <c r="AJ503" s="37" t="n">
        <f aca="true">IF(RAND()&lt;$D$6,1,0)</f>
        <v>0</v>
      </c>
      <c r="AK503" s="14" t="n">
        <f aca="false">AK502+IF((AJ503=1),IF((H503=0),1,0),0)</f>
        <v>0</v>
      </c>
      <c r="AL503" s="14" t="n">
        <f aca="false">AL502+IF((AJ503=1),IF((H503=1),1,0),0)</f>
        <v>0</v>
      </c>
      <c r="AM503" s="37" t="n">
        <f aca="false">IF(AK503=0,9999,IF($H503=0,IF($AJ503&lt;1,AM502+1,0),AM502))</f>
        <v>9999</v>
      </c>
      <c r="AN503" s="37" t="n">
        <f aca="false">IF(AL503=0,9999,IF($H503=1,IF($AJ503&lt;1,AN502+1,0),AN502))</f>
        <v>9999</v>
      </c>
      <c r="AO503" s="37" t="n">
        <f aca="false">IF($A503-AM503&gt;0,1/(1+AM503),0)</f>
        <v>0</v>
      </c>
      <c r="AP503" s="37" t="n">
        <f aca="false">IF($A503-AN503&gt;0,1/(1+AN503),0)</f>
        <v>0</v>
      </c>
      <c r="AQ503" s="7" t="n">
        <f aca="false">IF(AK503=0,0,MAX(MIN(1,AO503^Power),0))</f>
        <v>0</v>
      </c>
      <c r="AR503" s="7" t="n">
        <f aca="false">IF(AL503=0,0,MAX(MIN(1,AP503^Power),0))</f>
        <v>0</v>
      </c>
      <c r="AS503" s="7" t="n">
        <f aca="false">IF($AJ503=1,IF($H503=0,K503,AS502),AS502)</f>
        <v>0</v>
      </c>
      <c r="AT503" s="7" t="n">
        <f aca="false">IF($AJ503=1,IF($H503=1,N503,AT502),AT502)</f>
        <v>0</v>
      </c>
    </row>
    <row r="504" customFormat="false" ht="13" hidden="false" customHeight="false" outlineLevel="0" collapsed="false">
      <c r="A504" s="16" t="n">
        <v>487</v>
      </c>
      <c r="B504" s="37" t="n">
        <f aca="true">IF(RAND()&lt;$D$8,1,0)</f>
        <v>0</v>
      </c>
      <c r="C504" s="20" t="n">
        <f aca="true">-LN(RAND())/$D$2</f>
        <v>2.98143505413771</v>
      </c>
      <c r="D504" s="38" t="n">
        <f aca="false">D503+C504</f>
        <v>510.032218886404</v>
      </c>
      <c r="E504" s="39" t="n">
        <f aca="false">MAX($E$3,AS503)</f>
        <v>0</v>
      </c>
      <c r="F504" s="39" t="n">
        <f aca="false">MAX($E$3,AT503)</f>
        <v>0</v>
      </c>
      <c r="G504" s="40" t="n">
        <v>0.5</v>
      </c>
      <c r="H504" s="38" t="n">
        <f aca="true">IF((B504=1),(IF((F504&lt;E504),1,(IF((F504=E504),(IF(RAND()&lt;G504,1,0)),0)))),(IF((RAND()&lt;G504),1,0)))</f>
        <v>1</v>
      </c>
      <c r="I504" s="38" t="n">
        <f aca="true">IF((H504=1),0,$D$3+$D$5*(RAND()-0.5))</f>
        <v>0</v>
      </c>
      <c r="J504" s="38" t="n">
        <f aca="false">I504+MAX(D504,J503)</f>
        <v>524.117870547884</v>
      </c>
      <c r="K504" s="38" t="n">
        <f aca="false">IF((H504=0),J504-D504,0)</f>
        <v>0</v>
      </c>
      <c r="L504" s="38" t="n">
        <f aca="true">IF(($H504=0),0,$D$4+$D$5*(RAND()-0.5))</f>
        <v>2.13204128355613</v>
      </c>
      <c r="M504" s="38" t="n">
        <f aca="false">L504+MAX(D504,M503)</f>
        <v>557.041155660714</v>
      </c>
      <c r="N504" s="38" t="n">
        <f aca="false">IF((H504=1),M504-D504,0)</f>
        <v>47.0089367743099</v>
      </c>
      <c r="O504" s="16" t="n">
        <v>487</v>
      </c>
      <c r="P504" s="41" t="n">
        <f aca="false">IF((Arterial=0),P503+1,P503)</f>
        <v>223</v>
      </c>
      <c r="Q504" s="41" t="n">
        <f aca="false">IF((Arterial=1),Q503+1,Q503)</f>
        <v>264</v>
      </c>
      <c r="R504" s="42" t="n">
        <f aca="false">IF((RESET=1),0,R504+K504)</f>
        <v>793.868860409899</v>
      </c>
      <c r="S504" s="14" t="e">
        <f aca="false">IF(RESET=1,0,S504+N504)</f>
        <v>#N/A</v>
      </c>
      <c r="T504" s="2" t="n">
        <f aca="false">IF(RESET=1,0,T504+IF(H504=0,1,0))</f>
        <v>43</v>
      </c>
      <c r="U504" s="2" t="e">
        <f aca="false">IF(RESET=1,0,U504+H504)</f>
        <v>#N/A</v>
      </c>
      <c r="V504" s="14" t="n">
        <f aca="false">R504/(T504+0.00001)</f>
        <v>18.4620622276576</v>
      </c>
      <c r="W504" s="14" t="e">
        <f aca="false">S504/(U504+0.0001)</f>
        <v>#N/A</v>
      </c>
      <c r="X504" s="39" t="n">
        <f aca="false">IF(Informed=1,K504,0)</f>
        <v>0</v>
      </c>
      <c r="Y504" s="39" t="n">
        <f aca="false">IF(Informed=0,K504,0)</f>
        <v>0</v>
      </c>
      <c r="Z504" s="39" t="n">
        <f aca="false">IF(Informed=1,N504,0)</f>
        <v>0</v>
      </c>
      <c r="AA504" s="39" t="n">
        <f aca="false">IF(Informed=0,N504,0)</f>
        <v>47.0089367743099</v>
      </c>
      <c r="AB504" s="43" t="n">
        <f aca="false">IF(Arterial=0,IF(Informed=1,1,0),0)</f>
        <v>0</v>
      </c>
      <c r="AC504" s="43" t="n">
        <f aca="false">IF(Arterial=0,IF(Informed=0,1,0),0)</f>
        <v>0</v>
      </c>
      <c r="AD504" s="43" t="n">
        <f aca="false">IF(Arterial=1,IF(Informed=1,1,0),0)</f>
        <v>0</v>
      </c>
      <c r="AE504" s="43" t="n">
        <f aca="false">IF(Arterial=1,IF(Informed=0,1,0),0)</f>
        <v>1</v>
      </c>
      <c r="AF504" s="35" t="n">
        <f aca="false">IF(AB504=1,(X504-G$1030)^2,0)</f>
        <v>0</v>
      </c>
      <c r="AG504" s="35" t="n">
        <f aca="false">IF(AC504=1,(Y504-H$1030)^2,0)</f>
        <v>0</v>
      </c>
      <c r="AH504" s="35" t="n">
        <f aca="false">IF(AD504=1,(Z504-I$1030)^2,0)</f>
        <v>0</v>
      </c>
      <c r="AI504" s="35" t="n">
        <f aca="false">IF(AE504=1,(AA504-J$1030)^2,0)</f>
        <v>304.316224761439</v>
      </c>
      <c r="AJ504" s="37" t="n">
        <f aca="true">IF(RAND()&lt;$D$6,1,0)</f>
        <v>0</v>
      </c>
      <c r="AK504" s="14" t="n">
        <f aca="false">AK503+IF((AJ504=1),IF((H504=0),1,0),0)</f>
        <v>0</v>
      </c>
      <c r="AL504" s="14" t="n">
        <f aca="false">AL503+IF((AJ504=1),IF((H504=1),1,0),0)</f>
        <v>0</v>
      </c>
      <c r="AM504" s="37" t="n">
        <f aca="false">IF(AK504=0,9999,IF($H504=0,IF($AJ504&lt;1,AM503+1,0),AM503))</f>
        <v>9999</v>
      </c>
      <c r="AN504" s="37" t="n">
        <f aca="false">IF(AL504=0,9999,IF($H504=1,IF($AJ504&lt;1,AN503+1,0),AN503))</f>
        <v>9999</v>
      </c>
      <c r="AO504" s="37" t="n">
        <f aca="false">IF($A504-AM504&gt;0,1/(1+AM504),0)</f>
        <v>0</v>
      </c>
      <c r="AP504" s="37" t="n">
        <f aca="false">IF($A504-AN504&gt;0,1/(1+AN504),0)</f>
        <v>0</v>
      </c>
      <c r="AQ504" s="7" t="n">
        <f aca="false">IF(AK504=0,0,MAX(MIN(1,AO504^Power),0))</f>
        <v>0</v>
      </c>
      <c r="AR504" s="7" t="n">
        <f aca="false">IF(AL504=0,0,MAX(MIN(1,AP504^Power),0))</f>
        <v>0</v>
      </c>
      <c r="AS504" s="7" t="n">
        <f aca="false">IF($AJ504=1,IF($H504=0,K504,AS503),AS503)</f>
        <v>0</v>
      </c>
      <c r="AT504" s="7" t="n">
        <f aca="false">IF($AJ504=1,IF($H504=1,N504,AT503),AT503)</f>
        <v>0</v>
      </c>
    </row>
    <row r="505" customFormat="false" ht="13" hidden="false" customHeight="false" outlineLevel="0" collapsed="false">
      <c r="A505" s="16" t="n">
        <v>488</v>
      </c>
      <c r="B505" s="37" t="n">
        <f aca="true">IF(RAND()&lt;$D$8,1,0)</f>
        <v>0</v>
      </c>
      <c r="C505" s="20" t="n">
        <f aca="true">-LN(RAND())/$D$2</f>
        <v>0.0512002492881236</v>
      </c>
      <c r="D505" s="38" t="n">
        <f aca="false">D504+C505</f>
        <v>510.083419135692</v>
      </c>
      <c r="E505" s="39" t="n">
        <f aca="false">MAX($E$3,AS504)</f>
        <v>0</v>
      </c>
      <c r="F505" s="39" t="n">
        <f aca="false">MAX($E$3,AT504)</f>
        <v>0</v>
      </c>
      <c r="G505" s="40" t="n">
        <v>0.5</v>
      </c>
      <c r="H505" s="38" t="n">
        <f aca="true">IF((B505=1),(IF((F505&lt;E505),1,(IF((F505=E505),(IF(RAND()&lt;G505,1,0)),0)))),(IF((RAND()&lt;G505),1,0)))</f>
        <v>1</v>
      </c>
      <c r="I505" s="38" t="n">
        <f aca="true">IF((H505=1),0,$D$3+$D$5*(RAND()-0.5))</f>
        <v>0</v>
      </c>
      <c r="J505" s="38" t="n">
        <f aca="false">I505+MAX(D505,J504)</f>
        <v>524.117870547884</v>
      </c>
      <c r="K505" s="38" t="n">
        <f aca="false">IF((H505=0),J505-D505,0)</f>
        <v>0</v>
      </c>
      <c r="L505" s="38" t="n">
        <f aca="true">IF(($H505=0),0,$D$4+$D$5*(RAND()-0.5))</f>
        <v>2.23943149268694</v>
      </c>
      <c r="M505" s="38" t="n">
        <f aca="false">L505+MAX(D505,M504)</f>
        <v>559.280587153401</v>
      </c>
      <c r="N505" s="38" t="n">
        <f aca="false">IF((H505=1),M505-D505,0)</f>
        <v>49.1971680177086</v>
      </c>
      <c r="O505" s="16" t="n">
        <v>488</v>
      </c>
      <c r="P505" s="41" t="n">
        <f aca="false">IF((Arterial=0),P504+1,P504)</f>
        <v>223</v>
      </c>
      <c r="Q505" s="41" t="n">
        <f aca="false">IF((Arterial=1),Q504+1,Q504)</f>
        <v>265</v>
      </c>
      <c r="R505" s="42" t="n">
        <f aca="false">IF((RESET=1),0,R505+K505)</f>
        <v>663.722053923032</v>
      </c>
      <c r="S505" s="14" t="e">
        <f aca="false">IF(RESET=1,0,S505+N505)</f>
        <v>#N/A</v>
      </c>
      <c r="T505" s="2" t="n">
        <f aca="false">IF(RESET=1,0,T505+IF(H505=0,1,0))</f>
        <v>41</v>
      </c>
      <c r="U505" s="2" t="e">
        <f aca="false">IF(RESET=1,0,U505+H505)</f>
        <v>#N/A</v>
      </c>
      <c r="V505" s="14" t="n">
        <f aca="false">R505/(T505+0.00001)</f>
        <v>16.1883388302352</v>
      </c>
      <c r="W505" s="14" t="e">
        <f aca="false">S505/(U505+0.0001)</f>
        <v>#N/A</v>
      </c>
      <c r="X505" s="39" t="n">
        <f aca="false">IF(Informed=1,K505,0)</f>
        <v>0</v>
      </c>
      <c r="Y505" s="39" t="n">
        <f aca="false">IF(Informed=0,K505,0)</f>
        <v>0</v>
      </c>
      <c r="Z505" s="39" t="n">
        <f aca="false">IF(Informed=1,N505,0)</f>
        <v>0</v>
      </c>
      <c r="AA505" s="39" t="n">
        <f aca="false">IF(Informed=0,N505,0)</f>
        <v>49.1971680177086</v>
      </c>
      <c r="AB505" s="43" t="n">
        <f aca="false">IF(Arterial=0,IF(Informed=1,1,0),0)</f>
        <v>0</v>
      </c>
      <c r="AC505" s="43" t="n">
        <f aca="false">IF(Arterial=0,IF(Informed=0,1,0),0)</f>
        <v>0</v>
      </c>
      <c r="AD505" s="43" t="n">
        <f aca="false">IF(Arterial=1,IF(Informed=1,1,0),0)</f>
        <v>0</v>
      </c>
      <c r="AE505" s="43" t="n">
        <f aca="false">IF(Arterial=1,IF(Informed=0,1,0),0)</f>
        <v>1</v>
      </c>
      <c r="AF505" s="35" t="n">
        <f aca="false">IF(AB505=1,(X505-G$1030)^2,0)</f>
        <v>0</v>
      </c>
      <c r="AG505" s="35" t="n">
        <f aca="false">IF(AC505=1,(Y505-H$1030)^2,0)</f>
        <v>0</v>
      </c>
      <c r="AH505" s="35" t="n">
        <f aca="false">IF(AD505=1,(Z505-I$1030)^2,0)</f>
        <v>0</v>
      </c>
      <c r="AI505" s="35" t="n">
        <f aca="false">IF(AE505=1,(AA505-J$1030)^2,0)</f>
        <v>385.450488628985</v>
      </c>
      <c r="AJ505" s="37" t="n">
        <f aca="true">IF(RAND()&lt;$D$6,1,0)</f>
        <v>0</v>
      </c>
      <c r="AK505" s="14" t="n">
        <f aca="false">AK504+IF((AJ505=1),IF((H505=0),1,0),0)</f>
        <v>0</v>
      </c>
      <c r="AL505" s="14" t="n">
        <f aca="false">AL504+IF((AJ505=1),IF((H505=1),1,0),0)</f>
        <v>0</v>
      </c>
      <c r="AM505" s="37" t="n">
        <f aca="false">IF(AK505=0,9999,IF($H505=0,IF($AJ505&lt;1,AM504+1,0),AM504))</f>
        <v>9999</v>
      </c>
      <c r="AN505" s="37" t="n">
        <f aca="false">IF(AL505=0,9999,IF($H505=1,IF($AJ505&lt;1,AN504+1,0),AN504))</f>
        <v>9999</v>
      </c>
      <c r="AO505" s="37" t="n">
        <f aca="false">IF($A505-AM505&gt;0,1/(1+AM505),0)</f>
        <v>0</v>
      </c>
      <c r="AP505" s="37" t="n">
        <f aca="false">IF($A505-AN505&gt;0,1/(1+AN505),0)</f>
        <v>0</v>
      </c>
      <c r="AQ505" s="7" t="n">
        <f aca="false">IF(AK505=0,0,MAX(MIN(1,AO505^Power),0))</f>
        <v>0</v>
      </c>
      <c r="AR505" s="7" t="n">
        <f aca="false">IF(AL505=0,0,MAX(MIN(1,AP505^Power),0))</f>
        <v>0</v>
      </c>
      <c r="AS505" s="7" t="n">
        <f aca="false">IF($AJ505=1,IF($H505=0,K505,AS504),AS504)</f>
        <v>0</v>
      </c>
      <c r="AT505" s="7" t="n">
        <f aca="false">IF($AJ505=1,IF($H505=1,N505,AT504),AT504)</f>
        <v>0</v>
      </c>
    </row>
    <row r="506" customFormat="false" ht="13" hidden="false" customHeight="false" outlineLevel="0" collapsed="false">
      <c r="A506" s="16" t="n">
        <v>489</v>
      </c>
      <c r="B506" s="37" t="n">
        <f aca="true">IF(RAND()&lt;$D$8,1,0)</f>
        <v>1</v>
      </c>
      <c r="C506" s="20" t="n">
        <f aca="true">-LN(RAND())/$D$2</f>
        <v>1.45467362973969</v>
      </c>
      <c r="D506" s="38" t="n">
        <f aca="false">D505+C506</f>
        <v>511.538092765432</v>
      </c>
      <c r="E506" s="39" t="n">
        <f aca="false">MAX($E$3,AS505)</f>
        <v>0</v>
      </c>
      <c r="F506" s="39" t="n">
        <f aca="false">MAX($E$3,AT505)</f>
        <v>0</v>
      </c>
      <c r="G506" s="40" t="n">
        <v>0.5</v>
      </c>
      <c r="H506" s="38" t="n">
        <f aca="true">IF((B506=1),(IF((F506&lt;E506),1,(IF((F506=E506),(IF(RAND()&lt;G506,1,0)),0)))),(IF((RAND()&lt;G506),1,0)))</f>
        <v>0</v>
      </c>
      <c r="I506" s="38" t="n">
        <f aca="true">IF((H506=1),0,$D$3+$D$5*(RAND()-0.5))</f>
        <v>1.96983824772217</v>
      </c>
      <c r="J506" s="38" t="n">
        <f aca="false">I506+MAX(D506,J505)</f>
        <v>526.087708795606</v>
      </c>
      <c r="K506" s="38" t="n">
        <f aca="false">IF((H506=0),J506-D506,0)</f>
        <v>14.5496160301736</v>
      </c>
      <c r="L506" s="38" t="n">
        <f aca="true">IF(($H506=0),0,$D$4+$D$5*(RAND()-0.5))</f>
        <v>0</v>
      </c>
      <c r="M506" s="38" t="n">
        <f aca="false">L506+MAX(D506,M505)</f>
        <v>559.280587153401</v>
      </c>
      <c r="N506" s="38" t="n">
        <f aca="false">IF((H506=1),M506-D506,0)</f>
        <v>0</v>
      </c>
      <c r="O506" s="16" t="n">
        <v>489</v>
      </c>
      <c r="P506" s="41" t="n">
        <f aca="false">IF((Arterial=0),P505+1,P505)</f>
        <v>224</v>
      </c>
      <c r="Q506" s="41" t="n">
        <f aca="false">IF((Arterial=1),Q505+1,Q505)</f>
        <v>265</v>
      </c>
      <c r="R506" s="42" t="e">
        <f aca="false">IF((RESET=1),0,R506+K506)</f>
        <v>#N/A</v>
      </c>
      <c r="S506" s="14" t="n">
        <f aca="false">IF(RESET=1,0,S506+N506)</f>
        <v>642.48515820242</v>
      </c>
      <c r="T506" s="2" t="e">
        <f aca="false">IF(RESET=1,0,T506+IF(H506=0,1,0))</f>
        <v>#N/A</v>
      </c>
      <c r="U506" s="2" t="n">
        <f aca="false">IF(RESET=1,0,U506+H506)</f>
        <v>39</v>
      </c>
      <c r="V506" s="14" t="e">
        <f aca="false">R506/(T506+0.00001)</f>
        <v>#N/A</v>
      </c>
      <c r="W506" s="14" t="n">
        <f aca="false">S506/(U506+0.0001)</f>
        <v>16.4739361745847</v>
      </c>
      <c r="X506" s="39" t="n">
        <f aca="false">IF(Informed=1,K506,0)</f>
        <v>14.5496160301736</v>
      </c>
      <c r="Y506" s="39" t="n">
        <f aca="false">IF(Informed=0,K506,0)</f>
        <v>0</v>
      </c>
      <c r="Z506" s="39" t="n">
        <f aca="false">IF(Informed=1,N506,0)</f>
        <v>0</v>
      </c>
      <c r="AA506" s="39" t="n">
        <f aca="false">IF(Informed=0,N506,0)</f>
        <v>0</v>
      </c>
      <c r="AB506" s="43" t="n">
        <f aca="false">IF(Arterial=0,IF(Informed=1,1,0),0)</f>
        <v>1</v>
      </c>
      <c r="AC506" s="43" t="n">
        <f aca="false">IF(Arterial=0,IF(Informed=0,1,0),0)</f>
        <v>0</v>
      </c>
      <c r="AD506" s="43" t="n">
        <f aca="false">IF(Arterial=1,IF(Informed=1,1,0),0)</f>
        <v>0</v>
      </c>
      <c r="AE506" s="43" t="n">
        <f aca="false">IF(Arterial=1,IF(Informed=0,1,0),0)</f>
        <v>0</v>
      </c>
      <c r="AF506" s="35" t="n">
        <f aca="false">IF(AB506=1,(X506-G$1030)^2,0)</f>
        <v>14.745122218747</v>
      </c>
      <c r="AG506" s="35" t="n">
        <f aca="false">IF(AC506=1,(Y506-H$1030)^2,0)</f>
        <v>0</v>
      </c>
      <c r="AH506" s="35" t="n">
        <f aca="false">IF(AD506=1,(Z506-I$1030)^2,0)</f>
        <v>0</v>
      </c>
      <c r="AI506" s="35" t="n">
        <f aca="false">IF(AE506=1,(AA506-J$1030)^2,0)</f>
        <v>0</v>
      </c>
      <c r="AJ506" s="37" t="n">
        <f aca="true">IF(RAND()&lt;$D$6,1,0)</f>
        <v>0</v>
      </c>
      <c r="AK506" s="14" t="n">
        <f aca="false">AK505+IF((AJ506=1),IF((H506=0),1,0),0)</f>
        <v>0</v>
      </c>
      <c r="AL506" s="14" t="n">
        <f aca="false">AL505+IF((AJ506=1),IF((H506=1),1,0),0)</f>
        <v>0</v>
      </c>
      <c r="AM506" s="37" t="n">
        <f aca="false">IF(AK506=0,9999,IF($H506=0,IF($AJ506&lt;1,AM505+1,0),AM505))</f>
        <v>9999</v>
      </c>
      <c r="AN506" s="37" t="n">
        <f aca="false">IF(AL506=0,9999,IF($H506=1,IF($AJ506&lt;1,AN505+1,0),AN505))</f>
        <v>9999</v>
      </c>
      <c r="AO506" s="37" t="n">
        <f aca="false">IF($A506-AM506&gt;0,1/(1+AM506),0)</f>
        <v>0</v>
      </c>
      <c r="AP506" s="37" t="n">
        <f aca="false">IF($A506-AN506&gt;0,1/(1+AN506),0)</f>
        <v>0</v>
      </c>
      <c r="AQ506" s="7" t="n">
        <f aca="false">IF(AK506=0,0,MAX(MIN(1,AO506^Power),0))</f>
        <v>0</v>
      </c>
      <c r="AR506" s="7" t="n">
        <f aca="false">IF(AL506=0,0,MAX(MIN(1,AP506^Power),0))</f>
        <v>0</v>
      </c>
      <c r="AS506" s="7" t="n">
        <f aca="false">IF($AJ506=1,IF($H506=0,K506,AS505),AS505)</f>
        <v>0</v>
      </c>
      <c r="AT506" s="7" t="n">
        <f aca="false">IF($AJ506=1,IF($H506=1,N506,AT505),AT505)</f>
        <v>0</v>
      </c>
    </row>
    <row r="507" customFormat="false" ht="13" hidden="false" customHeight="false" outlineLevel="0" collapsed="false">
      <c r="A507" s="16" t="n">
        <v>490</v>
      </c>
      <c r="B507" s="37" t="n">
        <f aca="true">IF(RAND()&lt;$D$8,1,0)</f>
        <v>0</v>
      </c>
      <c r="C507" s="20" t="n">
        <f aca="true">-LN(RAND())/$D$2</f>
        <v>1.43031635777975</v>
      </c>
      <c r="D507" s="38" t="n">
        <f aca="false">D506+C507</f>
        <v>512.968409123212</v>
      </c>
      <c r="E507" s="39" t="n">
        <f aca="false">MAX($E$3,AS506)</f>
        <v>0</v>
      </c>
      <c r="F507" s="39" t="n">
        <f aca="false">MAX($E$3,AT506)</f>
        <v>0</v>
      </c>
      <c r="G507" s="40" t="n">
        <v>0.5</v>
      </c>
      <c r="H507" s="38" t="n">
        <f aca="true">IF((B507=1),(IF((F507&lt;E507),1,(IF((F507=E507),(IF(RAND()&lt;G507,1,0)),0)))),(IF((RAND()&lt;G507),1,0)))</f>
        <v>0</v>
      </c>
      <c r="I507" s="38" t="n">
        <f aca="true">IF((H507=1),0,$D$3+$D$5*(RAND()-0.5))</f>
        <v>1.88236470432974</v>
      </c>
      <c r="J507" s="38" t="n">
        <f aca="false">I507+MAX(D507,J506)</f>
        <v>527.970073499935</v>
      </c>
      <c r="K507" s="38" t="n">
        <f aca="false">IF((H507=0),J507-D507,0)</f>
        <v>15.0016643767236</v>
      </c>
      <c r="L507" s="38" t="n">
        <f aca="true">IF(($H507=0),0,$D$4+$D$5*(RAND()-0.5))</f>
        <v>0</v>
      </c>
      <c r="M507" s="38" t="n">
        <f aca="false">L507+MAX(D507,M506)</f>
        <v>559.280587153401</v>
      </c>
      <c r="N507" s="38" t="n">
        <f aca="false">IF((H507=1),M507-D507,0)</f>
        <v>0</v>
      </c>
      <c r="O507" s="16" t="n">
        <v>490</v>
      </c>
      <c r="P507" s="41" t="n">
        <f aca="false">IF((Arterial=0),P506+1,P506)</f>
        <v>225</v>
      </c>
      <c r="Q507" s="41" t="n">
        <f aca="false">IF((Arterial=1),Q506+1,Q506)</f>
        <v>265</v>
      </c>
      <c r="R507" s="42" t="e">
        <f aca="false">IF((RESET=1),0,R507+K507)</f>
        <v>#N/A</v>
      </c>
      <c r="S507" s="14" t="n">
        <f aca="false">IF(RESET=1,0,S507+N507)</f>
        <v>479.941936936772</v>
      </c>
      <c r="T507" s="2" t="e">
        <f aca="false">IF(RESET=1,0,T507+IF(H507=0,1,0))</f>
        <v>#N/A</v>
      </c>
      <c r="U507" s="2" t="n">
        <f aca="false">IF(RESET=1,0,U507+H507)</f>
        <v>39</v>
      </c>
      <c r="V507" s="14" t="e">
        <f aca="false">R507/(T507+0.00001)</f>
        <v>#N/A</v>
      </c>
      <c r="W507" s="14" t="n">
        <f aca="false">S507/(U507+0.0001)</f>
        <v>12.3061719569122</v>
      </c>
      <c r="X507" s="39" t="n">
        <f aca="false">IF(Informed=1,K507,0)</f>
        <v>0</v>
      </c>
      <c r="Y507" s="39" t="n">
        <f aca="false">IF(Informed=0,K507,0)</f>
        <v>15.0016643767236</v>
      </c>
      <c r="Z507" s="39" t="n">
        <f aca="false">IF(Informed=1,N507,0)</f>
        <v>0</v>
      </c>
      <c r="AA507" s="39" t="n">
        <f aca="false">IF(Informed=0,N507,0)</f>
        <v>0</v>
      </c>
      <c r="AB507" s="43" t="n">
        <f aca="false">IF(Arterial=0,IF(Informed=1,1,0),0)</f>
        <v>0</v>
      </c>
      <c r="AC507" s="43" t="n">
        <f aca="false">IF(Arterial=0,IF(Informed=0,1,0),0)</f>
        <v>1</v>
      </c>
      <c r="AD507" s="43" t="n">
        <f aca="false">IF(Arterial=1,IF(Informed=1,1,0),0)</f>
        <v>0</v>
      </c>
      <c r="AE507" s="43" t="n">
        <f aca="false">IF(Arterial=1,IF(Informed=0,1,0),0)</f>
        <v>0</v>
      </c>
      <c r="AF507" s="35" t="n">
        <f aca="false">IF(AB507=1,(X507-G$1030)^2,0)</f>
        <v>0</v>
      </c>
      <c r="AG507" s="35" t="n">
        <f aca="false">IF(AC507=1,(Y507-H$1030)^2,0)</f>
        <v>16.6290981662971</v>
      </c>
      <c r="AH507" s="35" t="n">
        <f aca="false">IF(AD507=1,(Z507-I$1030)^2,0)</f>
        <v>0</v>
      </c>
      <c r="AI507" s="35" t="n">
        <f aca="false">IF(AE507=1,(AA507-J$1030)^2,0)</f>
        <v>0</v>
      </c>
      <c r="AJ507" s="37" t="n">
        <f aca="true">IF(RAND()&lt;$D$6,1,0)</f>
        <v>0</v>
      </c>
      <c r="AK507" s="14" t="n">
        <f aca="false">AK506+IF((AJ507=1),IF((H507=0),1,0),0)</f>
        <v>0</v>
      </c>
      <c r="AL507" s="14" t="n">
        <f aca="false">AL506+IF((AJ507=1),IF((H507=1),1,0),0)</f>
        <v>0</v>
      </c>
      <c r="AM507" s="37" t="n">
        <f aca="false">IF(AK507=0,9999,IF($H507=0,IF($AJ507&lt;1,AM506+1,0),AM506))</f>
        <v>9999</v>
      </c>
      <c r="AN507" s="37" t="n">
        <f aca="false">IF(AL507=0,9999,IF($H507=1,IF($AJ507&lt;1,AN506+1,0),AN506))</f>
        <v>9999</v>
      </c>
      <c r="AO507" s="37" t="n">
        <f aca="false">IF($A507-AM507&gt;0,1/(1+AM507),0)</f>
        <v>0</v>
      </c>
      <c r="AP507" s="37" t="n">
        <f aca="false">IF($A507-AN507&gt;0,1/(1+AN507),0)</f>
        <v>0</v>
      </c>
      <c r="AQ507" s="7" t="n">
        <f aca="false">IF(AK507=0,0,MAX(MIN(1,AO507^Power),0))</f>
        <v>0</v>
      </c>
      <c r="AR507" s="7" t="n">
        <f aca="false">IF(AL507=0,0,MAX(MIN(1,AP507^Power),0))</f>
        <v>0</v>
      </c>
      <c r="AS507" s="7" t="n">
        <f aca="false">IF($AJ507=1,IF($H507=0,K507,AS506),AS506)</f>
        <v>0</v>
      </c>
      <c r="AT507" s="7" t="n">
        <f aca="false">IF($AJ507=1,IF($H507=1,N507,AT506),AT506)</f>
        <v>0</v>
      </c>
    </row>
    <row r="508" customFormat="false" ht="13" hidden="false" customHeight="false" outlineLevel="0" collapsed="false">
      <c r="A508" s="16" t="n">
        <v>491</v>
      </c>
      <c r="B508" s="37" t="n">
        <f aca="true">IF(RAND()&lt;$D$8,1,0)</f>
        <v>0</v>
      </c>
      <c r="C508" s="20" t="n">
        <f aca="true">-LN(RAND())/$D$2</f>
        <v>0.945230667490979</v>
      </c>
      <c r="D508" s="38" t="n">
        <f aca="false">D507+C508</f>
        <v>513.913639790703</v>
      </c>
      <c r="E508" s="39" t="n">
        <f aca="false">MAX($E$3,AS507)</f>
        <v>0</v>
      </c>
      <c r="F508" s="39" t="n">
        <f aca="false">MAX($E$3,AT507)</f>
        <v>0</v>
      </c>
      <c r="G508" s="40" t="n">
        <v>0.5</v>
      </c>
      <c r="H508" s="38" t="n">
        <f aca="true">IF((B508=1),(IF((F508&lt;E508),1,(IF((F508=E508),(IF(RAND()&lt;G508,1,0)),0)))),(IF((RAND()&lt;G508),1,0)))</f>
        <v>0</v>
      </c>
      <c r="I508" s="38" t="n">
        <f aca="true">IF((H508=1),0,$D$3+$D$5*(RAND()-0.5))</f>
        <v>1.82926816633903</v>
      </c>
      <c r="J508" s="38" t="n">
        <f aca="false">I508+MAX(D508,J507)</f>
        <v>529.799341666275</v>
      </c>
      <c r="K508" s="38" t="n">
        <f aca="false">IF((H508=0),J508-D508,0)</f>
        <v>15.8857018755717</v>
      </c>
      <c r="L508" s="38" t="n">
        <f aca="true">IF(($H508=0),0,$D$4+$D$5*(RAND()-0.5))</f>
        <v>0</v>
      </c>
      <c r="M508" s="38" t="n">
        <f aca="false">L508+MAX(D508,M507)</f>
        <v>559.280587153401</v>
      </c>
      <c r="N508" s="38" t="n">
        <f aca="false">IF((H508=1),M508-D508,0)</f>
        <v>0</v>
      </c>
      <c r="O508" s="16" t="n">
        <v>491</v>
      </c>
      <c r="P508" s="41" t="n">
        <f aca="false">IF((Arterial=0),P507+1,P507)</f>
        <v>226</v>
      </c>
      <c r="Q508" s="41" t="n">
        <f aca="false">IF((Arterial=1),Q507+1,Q507)</f>
        <v>265</v>
      </c>
      <c r="R508" s="42" t="e">
        <f aca="false">IF((RESET=1),0,R508+K508)</f>
        <v>#N/A</v>
      </c>
      <c r="S508" s="14" t="n">
        <f aca="false">IF(RESET=1,0,S508+N508)</f>
        <v>643.956914446203</v>
      </c>
      <c r="T508" s="2" t="e">
        <f aca="false">IF(RESET=1,0,T508+IF(H508=0,1,0))</f>
        <v>#N/A</v>
      </c>
      <c r="U508" s="2" t="n">
        <f aca="false">IF(RESET=1,0,U508+H508)</f>
        <v>40</v>
      </c>
      <c r="V508" s="14" t="e">
        <f aca="false">R508/(T508+0.00001)</f>
        <v>#N/A</v>
      </c>
      <c r="W508" s="14" t="n">
        <f aca="false">S508/(U508+0.0001)</f>
        <v>16.0988826139485</v>
      </c>
      <c r="X508" s="39" t="n">
        <f aca="false">IF(Informed=1,K508,0)</f>
        <v>0</v>
      </c>
      <c r="Y508" s="39" t="n">
        <f aca="false">IF(Informed=0,K508,0)</f>
        <v>15.8857018755717</v>
      </c>
      <c r="Z508" s="39" t="n">
        <f aca="false">IF(Informed=1,N508,0)</f>
        <v>0</v>
      </c>
      <c r="AA508" s="39" t="n">
        <f aca="false">IF(Informed=0,N508,0)</f>
        <v>0</v>
      </c>
      <c r="AB508" s="43" t="n">
        <f aca="false">IF(Arterial=0,IF(Informed=1,1,0),0)</f>
        <v>0</v>
      </c>
      <c r="AC508" s="43" t="n">
        <f aca="false">IF(Arterial=0,IF(Informed=0,1,0),0)</f>
        <v>1</v>
      </c>
      <c r="AD508" s="43" t="n">
        <f aca="false">IF(Arterial=1,IF(Informed=1,1,0),0)</f>
        <v>0</v>
      </c>
      <c r="AE508" s="43" t="n">
        <f aca="false">IF(Arterial=1,IF(Informed=0,1,0),0)</f>
        <v>0</v>
      </c>
      <c r="AF508" s="35" t="n">
        <f aca="false">IF(AB508=1,(X508-G$1030)^2,0)</f>
        <v>0</v>
      </c>
      <c r="AG508" s="35" t="n">
        <f aca="false">IF(AC508=1,(Y508-H$1030)^2,0)</f>
        <v>24.6206165919811</v>
      </c>
      <c r="AH508" s="35" t="n">
        <f aca="false">IF(AD508=1,(Z508-I$1030)^2,0)</f>
        <v>0</v>
      </c>
      <c r="AI508" s="35" t="n">
        <f aca="false">IF(AE508=1,(AA508-J$1030)^2,0)</f>
        <v>0</v>
      </c>
      <c r="AJ508" s="37" t="n">
        <f aca="true">IF(RAND()&lt;$D$6,1,0)</f>
        <v>0</v>
      </c>
      <c r="AK508" s="14" t="n">
        <f aca="false">AK507+IF((AJ508=1),IF((H508=0),1,0),0)</f>
        <v>0</v>
      </c>
      <c r="AL508" s="14" t="n">
        <f aca="false">AL507+IF((AJ508=1),IF((H508=1),1,0),0)</f>
        <v>0</v>
      </c>
      <c r="AM508" s="37" t="n">
        <f aca="false">IF(AK508=0,9999,IF($H508=0,IF($AJ508&lt;1,AM507+1,0),AM507))</f>
        <v>9999</v>
      </c>
      <c r="AN508" s="37" t="n">
        <f aca="false">IF(AL508=0,9999,IF($H508=1,IF($AJ508&lt;1,AN507+1,0),AN507))</f>
        <v>9999</v>
      </c>
      <c r="AO508" s="37" t="n">
        <f aca="false">IF($A508-AM508&gt;0,1/(1+AM508),0)</f>
        <v>0</v>
      </c>
      <c r="AP508" s="37" t="n">
        <f aca="false">IF($A508-AN508&gt;0,1/(1+AN508),0)</f>
        <v>0</v>
      </c>
      <c r="AQ508" s="7" t="n">
        <f aca="false">IF(AK508=0,0,MAX(MIN(1,AO508^Power),0))</f>
        <v>0</v>
      </c>
      <c r="AR508" s="7" t="n">
        <f aca="false">IF(AL508=0,0,MAX(MIN(1,AP508^Power),0))</f>
        <v>0</v>
      </c>
      <c r="AS508" s="7" t="n">
        <f aca="false">IF($AJ508=1,IF($H508=0,K508,AS507),AS507)</f>
        <v>0</v>
      </c>
      <c r="AT508" s="7" t="n">
        <f aca="false">IF($AJ508=1,IF($H508=1,N508,AT507),AT507)</f>
        <v>0</v>
      </c>
    </row>
    <row r="509" customFormat="false" ht="13" hidden="false" customHeight="false" outlineLevel="0" collapsed="false">
      <c r="A509" s="16" t="n">
        <v>492</v>
      </c>
      <c r="B509" s="37" t="n">
        <f aca="true">IF(RAND()&lt;$D$8,1,0)</f>
        <v>1</v>
      </c>
      <c r="C509" s="20" t="n">
        <f aca="true">-LN(RAND())/$D$2</f>
        <v>1.15632829524959</v>
      </c>
      <c r="D509" s="38" t="n">
        <f aca="false">D508+C509</f>
        <v>515.069968085952</v>
      </c>
      <c r="E509" s="39" t="n">
        <f aca="false">MAX($E$3,AS508)</f>
        <v>0</v>
      </c>
      <c r="F509" s="39" t="n">
        <f aca="false">MAX($E$3,AT508)</f>
        <v>0</v>
      </c>
      <c r="G509" s="40" t="n">
        <v>0.5</v>
      </c>
      <c r="H509" s="38" t="n">
        <f aca="true">IF((B509=1),(IF((F509&lt;E509),1,(IF((F509=E509),(IF(RAND()&lt;G509,1,0)),0)))),(IF((RAND()&lt;G509),1,0)))</f>
        <v>1</v>
      </c>
      <c r="I509" s="38" t="n">
        <f aca="true">IF((H509=1),0,$D$3+$D$5*(RAND()-0.5))</f>
        <v>0</v>
      </c>
      <c r="J509" s="38" t="n">
        <f aca="false">I509+MAX(D509,J508)</f>
        <v>529.799341666275</v>
      </c>
      <c r="K509" s="38" t="n">
        <f aca="false">IF((H509=0),J509-D509,0)</f>
        <v>0</v>
      </c>
      <c r="L509" s="38" t="n">
        <f aca="true">IF(($H509=0),0,$D$4+$D$5*(RAND()-0.5))</f>
        <v>1.88368724411055</v>
      </c>
      <c r="M509" s="38" t="n">
        <f aca="false">L509+MAX(D509,M508)</f>
        <v>561.164274397512</v>
      </c>
      <c r="N509" s="38" t="n">
        <f aca="false">IF((H509=1),M509-D509,0)</f>
        <v>46.0943063115592</v>
      </c>
      <c r="O509" s="16" t="n">
        <v>492</v>
      </c>
      <c r="P509" s="41" t="n">
        <f aca="false">IF((Arterial=0),P508+1,P508)</f>
        <v>226</v>
      </c>
      <c r="Q509" s="41" t="n">
        <f aca="false">IF((Arterial=1),Q508+1,Q508)</f>
        <v>266</v>
      </c>
      <c r="R509" s="42" t="n">
        <f aca="false">IF((RESET=1),0,R509+K509)</f>
        <v>674.288296037243</v>
      </c>
      <c r="S509" s="14" t="e">
        <f aca="false">IF(RESET=1,0,S509+N509)</f>
        <v>#N/A</v>
      </c>
      <c r="T509" s="2" t="n">
        <f aca="false">IF(RESET=1,0,T509+IF(H509=0,1,0))</f>
        <v>44</v>
      </c>
      <c r="U509" s="2" t="e">
        <f aca="false">IF(RESET=1,0,U509+H509)</f>
        <v>#N/A</v>
      </c>
      <c r="V509" s="14" t="n">
        <f aca="false">R509/(T509+0.00001)</f>
        <v>15.3247305179531</v>
      </c>
      <c r="W509" s="14" t="e">
        <f aca="false">S509/(U509+0.0001)</f>
        <v>#N/A</v>
      </c>
      <c r="X509" s="39" t="n">
        <f aca="false">IF(Informed=1,K509,0)</f>
        <v>0</v>
      </c>
      <c r="Y509" s="39" t="n">
        <f aca="false">IF(Informed=0,K509,0)</f>
        <v>0</v>
      </c>
      <c r="Z509" s="39" t="n">
        <f aca="false">IF(Informed=1,N509,0)</f>
        <v>46.0943063115592</v>
      </c>
      <c r="AA509" s="39" t="n">
        <f aca="false">IF(Informed=0,N509,0)</f>
        <v>0</v>
      </c>
      <c r="AB509" s="43" t="n">
        <f aca="false">IF(Arterial=0,IF(Informed=1,1,0),0)</f>
        <v>0</v>
      </c>
      <c r="AC509" s="43" t="n">
        <f aca="false">IF(Arterial=0,IF(Informed=0,1,0),0)</f>
        <v>0</v>
      </c>
      <c r="AD509" s="43" t="n">
        <f aca="false">IF(Arterial=1,IF(Informed=1,1,0),0)</f>
        <v>1</v>
      </c>
      <c r="AE509" s="43" t="n">
        <f aca="false">IF(Arterial=1,IF(Informed=0,1,0),0)</f>
        <v>0</v>
      </c>
      <c r="AF509" s="35" t="n">
        <f aca="false">IF(AB509=1,(X509-G$1030)^2,0)</f>
        <v>0</v>
      </c>
      <c r="AG509" s="35" t="n">
        <f aca="false">IF(AC509=1,(Y509-H$1030)^2,0)</f>
        <v>0</v>
      </c>
      <c r="AH509" s="35" t="n">
        <f aca="false">IF(AD509=1,(Z509-I$1030)^2,0)</f>
        <v>313.979670888666</v>
      </c>
      <c r="AI509" s="35" t="n">
        <f aca="false">IF(AE509=1,(AA509-J$1030)^2,0)</f>
        <v>0</v>
      </c>
      <c r="AJ509" s="37" t="n">
        <f aca="true">IF(RAND()&lt;$D$6,1,0)</f>
        <v>0</v>
      </c>
      <c r="AK509" s="14" t="n">
        <f aca="false">AK508+IF((AJ509=1),IF((H509=0),1,0),0)</f>
        <v>0</v>
      </c>
      <c r="AL509" s="14" t="n">
        <f aca="false">AL508+IF((AJ509=1),IF((H509=1),1,0),0)</f>
        <v>0</v>
      </c>
      <c r="AM509" s="37" t="n">
        <f aca="false">IF(AK509=0,9999,IF($H509=0,IF($AJ509&lt;1,AM508+1,0),AM508))</f>
        <v>9999</v>
      </c>
      <c r="AN509" s="37" t="n">
        <f aca="false">IF(AL509=0,9999,IF($H509=1,IF($AJ509&lt;1,AN508+1,0),AN508))</f>
        <v>9999</v>
      </c>
      <c r="AO509" s="37" t="n">
        <f aca="false">IF($A509-AM509&gt;0,1/(1+AM509),0)</f>
        <v>0</v>
      </c>
      <c r="AP509" s="37" t="n">
        <f aca="false">IF($A509-AN509&gt;0,1/(1+AN509),0)</f>
        <v>0</v>
      </c>
      <c r="AQ509" s="7" t="n">
        <f aca="false">IF(AK509=0,0,MAX(MIN(1,AO509^Power),0))</f>
        <v>0</v>
      </c>
      <c r="AR509" s="7" t="n">
        <f aca="false">IF(AL509=0,0,MAX(MIN(1,AP509^Power),0))</f>
        <v>0</v>
      </c>
      <c r="AS509" s="7" t="n">
        <f aca="false">IF($AJ509=1,IF($H509=0,K509,AS508),AS508)</f>
        <v>0</v>
      </c>
      <c r="AT509" s="7" t="n">
        <f aca="false">IF($AJ509=1,IF($H509=1,N509,AT508),AT508)</f>
        <v>0</v>
      </c>
    </row>
    <row r="510" customFormat="false" ht="13" hidden="false" customHeight="false" outlineLevel="0" collapsed="false">
      <c r="A510" s="16" t="n">
        <v>493</v>
      </c>
      <c r="B510" s="37" t="n">
        <f aca="true">IF(RAND()&lt;$D$8,1,0)</f>
        <v>0</v>
      </c>
      <c r="C510" s="20" t="n">
        <f aca="true">-LN(RAND())/$D$2</f>
        <v>0.45501194408349</v>
      </c>
      <c r="D510" s="38" t="n">
        <f aca="false">D509+C510</f>
        <v>515.524980030036</v>
      </c>
      <c r="E510" s="39" t="n">
        <f aca="false">MAX($E$3,AS509)</f>
        <v>0</v>
      </c>
      <c r="F510" s="39" t="n">
        <f aca="false">MAX($E$3,AT509)</f>
        <v>0</v>
      </c>
      <c r="G510" s="40" t="n">
        <v>0.5</v>
      </c>
      <c r="H510" s="38" t="n">
        <f aca="true">IF((B510=1),(IF((F510&lt;E510),1,(IF((F510=E510),(IF(RAND()&lt;G510,1,0)),0)))),(IF((RAND()&lt;G510),1,0)))</f>
        <v>0</v>
      </c>
      <c r="I510" s="38" t="n">
        <f aca="true">IF((H510=1),0,$D$3+$D$5*(RAND()-0.5))</f>
        <v>2.04468403271536</v>
      </c>
      <c r="J510" s="38" t="n">
        <f aca="false">I510+MAX(D510,J509)</f>
        <v>531.84402569899</v>
      </c>
      <c r="K510" s="38" t="n">
        <f aca="false">IF((H510=0),J510-D510,0)</f>
        <v>16.319045668954</v>
      </c>
      <c r="L510" s="38" t="n">
        <f aca="true">IF(($H510=0),0,$D$4+$D$5*(RAND()-0.5))</f>
        <v>0</v>
      </c>
      <c r="M510" s="38" t="n">
        <f aca="false">L510+MAX(D510,M509)</f>
        <v>561.164274397512</v>
      </c>
      <c r="N510" s="38" t="n">
        <f aca="false">IF((H510=1),M510-D510,0)</f>
        <v>0</v>
      </c>
      <c r="O510" s="16" t="n">
        <v>493</v>
      </c>
      <c r="P510" s="41" t="n">
        <f aca="false">IF((Arterial=0),P509+1,P509)</f>
        <v>227</v>
      </c>
      <c r="Q510" s="41" t="n">
        <f aca="false">IF((Arterial=1),Q509+1,Q509)</f>
        <v>266</v>
      </c>
      <c r="R510" s="42" t="e">
        <f aca="false">IF((RESET=1),0,R510+K510)</f>
        <v>#N/A</v>
      </c>
      <c r="S510" s="14" t="n">
        <f aca="false">IF(RESET=1,0,S510+N510)</f>
        <v>572.239713174595</v>
      </c>
      <c r="T510" s="2" t="e">
        <f aca="false">IF(RESET=1,0,T510+IF(H510=0,1,0))</f>
        <v>#N/A</v>
      </c>
      <c r="U510" s="2" t="n">
        <f aca="false">IF(RESET=1,0,U510+H510)</f>
        <v>43</v>
      </c>
      <c r="V510" s="14" t="e">
        <f aca="false">R510/(T510+0.00001)</f>
        <v>#N/A</v>
      </c>
      <c r="W510" s="14" t="n">
        <f aca="false">S510/(U510+0.0001)</f>
        <v>13.3078693578525</v>
      </c>
      <c r="X510" s="39" t="n">
        <f aca="false">IF(Informed=1,K510,0)</f>
        <v>0</v>
      </c>
      <c r="Y510" s="39" t="n">
        <f aca="false">IF(Informed=0,K510,0)</f>
        <v>16.319045668954</v>
      </c>
      <c r="Z510" s="39" t="n">
        <f aca="false">IF(Informed=1,N510,0)</f>
        <v>0</v>
      </c>
      <c r="AA510" s="39" t="n">
        <f aca="false">IF(Informed=0,N510,0)</f>
        <v>0</v>
      </c>
      <c r="AB510" s="43" t="n">
        <f aca="false">IF(Arterial=0,IF(Informed=1,1,0),0)</f>
        <v>0</v>
      </c>
      <c r="AC510" s="43" t="n">
        <f aca="false">IF(Arterial=0,IF(Informed=0,1,0),0)</f>
        <v>1</v>
      </c>
      <c r="AD510" s="43" t="n">
        <f aca="false">IF(Arterial=1,IF(Informed=1,1,0),0)</f>
        <v>0</v>
      </c>
      <c r="AE510" s="43" t="n">
        <f aca="false">IF(Arterial=1,IF(Informed=0,1,0),0)</f>
        <v>0</v>
      </c>
      <c r="AF510" s="35" t="n">
        <f aca="false">IF(AB510=1,(X510-G$1030)^2,0)</f>
        <v>0</v>
      </c>
      <c r="AG510" s="35" t="n">
        <f aca="false">IF(AC510=1,(Y510-H$1030)^2,0)</f>
        <v>29.1088349805638</v>
      </c>
      <c r="AH510" s="35" t="n">
        <f aca="false">IF(AD510=1,(Z510-I$1030)^2,0)</f>
        <v>0</v>
      </c>
      <c r="AI510" s="35" t="n">
        <f aca="false">IF(AE510=1,(AA510-J$1030)^2,0)</f>
        <v>0</v>
      </c>
      <c r="AJ510" s="37" t="n">
        <f aca="true">IF(RAND()&lt;$D$6,1,0)</f>
        <v>0</v>
      </c>
      <c r="AK510" s="14" t="n">
        <f aca="false">AK509+IF((AJ510=1),IF((H510=0),1,0),0)</f>
        <v>0</v>
      </c>
      <c r="AL510" s="14" t="n">
        <f aca="false">AL509+IF((AJ510=1),IF((H510=1),1,0),0)</f>
        <v>0</v>
      </c>
      <c r="AM510" s="37" t="n">
        <f aca="false">IF(AK510=0,9999,IF($H510=0,IF($AJ510&lt;1,AM509+1,0),AM509))</f>
        <v>9999</v>
      </c>
      <c r="AN510" s="37" t="n">
        <f aca="false">IF(AL510=0,9999,IF($H510=1,IF($AJ510&lt;1,AN509+1,0),AN509))</f>
        <v>9999</v>
      </c>
      <c r="AO510" s="37" t="n">
        <f aca="false">IF($A510-AM510&gt;0,1/(1+AM510),0)</f>
        <v>0</v>
      </c>
      <c r="AP510" s="37" t="n">
        <f aca="false">IF($A510-AN510&gt;0,1/(1+AN510),0)</f>
        <v>0</v>
      </c>
      <c r="AQ510" s="7" t="n">
        <f aca="false">IF(AK510=0,0,MAX(MIN(1,AO510^Power),0))</f>
        <v>0</v>
      </c>
      <c r="AR510" s="7" t="n">
        <f aca="false">IF(AL510=0,0,MAX(MIN(1,AP510^Power),0))</f>
        <v>0</v>
      </c>
      <c r="AS510" s="7" t="n">
        <f aca="false">IF($AJ510=1,IF($H510=0,K510,AS509),AS509)</f>
        <v>0</v>
      </c>
      <c r="AT510" s="7" t="n">
        <f aca="false">IF($AJ510=1,IF($H510=1,N510,AT509),AT509)</f>
        <v>0</v>
      </c>
    </row>
    <row r="511" customFormat="false" ht="13" hidden="false" customHeight="false" outlineLevel="0" collapsed="false">
      <c r="A511" s="16" t="n">
        <v>494</v>
      </c>
      <c r="B511" s="37" t="n">
        <f aca="true">IF(RAND()&lt;$D$8,1,0)</f>
        <v>1</v>
      </c>
      <c r="C511" s="20" t="n">
        <f aca="true">-LN(RAND())/$D$2</f>
        <v>2.14604579843387</v>
      </c>
      <c r="D511" s="38" t="n">
        <f aca="false">D510+C511</f>
        <v>517.67102582847</v>
      </c>
      <c r="E511" s="39" t="n">
        <f aca="false">MAX($E$3,AS510)</f>
        <v>0</v>
      </c>
      <c r="F511" s="39" t="n">
        <f aca="false">MAX($E$3,AT510)</f>
        <v>0</v>
      </c>
      <c r="G511" s="40" t="n">
        <v>0.5</v>
      </c>
      <c r="H511" s="38" t="n">
        <f aca="true">IF((B511=1),(IF((F511&lt;E511),1,(IF((F511=E511),(IF(RAND()&lt;G511,1,0)),0)))),(IF((RAND()&lt;G511),1,0)))</f>
        <v>0</v>
      </c>
      <c r="I511" s="38" t="n">
        <f aca="true">IF((H511=1),0,$D$3+$D$5*(RAND()-0.5))</f>
        <v>2.10148576203278</v>
      </c>
      <c r="J511" s="38" t="n">
        <f aca="false">I511+MAX(D511,J510)</f>
        <v>533.945511461023</v>
      </c>
      <c r="K511" s="38" t="n">
        <f aca="false">IF((H511=0),J511-D511,0)</f>
        <v>16.2744856325529</v>
      </c>
      <c r="L511" s="38" t="n">
        <f aca="true">IF(($H511=0),0,$D$4+$D$5*(RAND()-0.5))</f>
        <v>0</v>
      </c>
      <c r="M511" s="38" t="n">
        <f aca="false">L511+MAX(D511,M510)</f>
        <v>561.164274397512</v>
      </c>
      <c r="N511" s="38" t="n">
        <f aca="false">IF((H511=1),M511-D511,0)</f>
        <v>0</v>
      </c>
      <c r="O511" s="16" t="n">
        <v>494</v>
      </c>
      <c r="P511" s="41" t="n">
        <f aca="false">IF((Arterial=0),P510+1,P510)</f>
        <v>228</v>
      </c>
      <c r="Q511" s="41" t="n">
        <f aca="false">IF((Arterial=1),Q510+1,Q510)</f>
        <v>266</v>
      </c>
      <c r="R511" s="42" t="e">
        <f aca="false">IF((RESET=1),0,R511+K511)</f>
        <v>#N/A</v>
      </c>
      <c r="S511" s="14" t="n">
        <f aca="false">IF(RESET=1,0,S511+N511)</f>
        <v>512.130603684533</v>
      </c>
      <c r="T511" s="2" t="e">
        <f aca="false">IF(RESET=1,0,T511+IF(H511=0,1,0))</f>
        <v>#N/A</v>
      </c>
      <c r="U511" s="2" t="n">
        <f aca="false">IF(RESET=1,0,U511+H511)</f>
        <v>38</v>
      </c>
      <c r="V511" s="14" t="e">
        <f aca="false">R511/(T511+0.00001)</f>
        <v>#N/A</v>
      </c>
      <c r="W511" s="14" t="n">
        <f aca="false">S511/(U511+0.0001)</f>
        <v>13.477085683578</v>
      </c>
      <c r="X511" s="39" t="n">
        <f aca="false">IF(Informed=1,K511,0)</f>
        <v>16.2744856325529</v>
      </c>
      <c r="Y511" s="39" t="n">
        <f aca="false">IF(Informed=0,K511,0)</f>
        <v>0</v>
      </c>
      <c r="Z511" s="39" t="n">
        <f aca="false">IF(Informed=1,N511,0)</f>
        <v>0</v>
      </c>
      <c r="AA511" s="39" t="n">
        <f aca="false">IF(Informed=0,N511,0)</f>
        <v>0</v>
      </c>
      <c r="AB511" s="43" t="n">
        <f aca="false">IF(Arterial=0,IF(Informed=1,1,0),0)</f>
        <v>1</v>
      </c>
      <c r="AC511" s="43" t="n">
        <f aca="false">IF(Arterial=0,IF(Informed=0,1,0),0)</f>
        <v>0</v>
      </c>
      <c r="AD511" s="43" t="n">
        <f aca="false">IF(Arterial=1,IF(Informed=1,1,0),0)</f>
        <v>0</v>
      </c>
      <c r="AE511" s="43" t="n">
        <f aca="false">IF(Arterial=1,IF(Informed=0,1,0),0)</f>
        <v>0</v>
      </c>
      <c r="AF511" s="35" t="n">
        <f aca="false">IF(AB511=1,(X511-G$1030)^2,0)</f>
        <v>30.9670812964205</v>
      </c>
      <c r="AG511" s="35" t="n">
        <f aca="false">IF(AC511=1,(Y511-H$1030)^2,0)</f>
        <v>0</v>
      </c>
      <c r="AH511" s="35" t="n">
        <f aca="false">IF(AD511=1,(Z511-I$1030)^2,0)</f>
        <v>0</v>
      </c>
      <c r="AI511" s="35" t="n">
        <f aca="false">IF(AE511=1,(AA511-J$1030)^2,0)</f>
        <v>0</v>
      </c>
      <c r="AJ511" s="37" t="n">
        <f aca="true">IF(RAND()&lt;$D$6,1,0)</f>
        <v>0</v>
      </c>
      <c r="AK511" s="14" t="n">
        <f aca="false">AK510+IF((AJ511=1),IF((H511=0),1,0),0)</f>
        <v>0</v>
      </c>
      <c r="AL511" s="14" t="n">
        <f aca="false">AL510+IF((AJ511=1),IF((H511=1),1,0),0)</f>
        <v>0</v>
      </c>
      <c r="AM511" s="37" t="n">
        <f aca="false">IF(AK511=0,9999,IF($H511=0,IF($AJ511&lt;1,AM510+1,0),AM510))</f>
        <v>9999</v>
      </c>
      <c r="AN511" s="37" t="n">
        <f aca="false">IF(AL511=0,9999,IF($H511=1,IF($AJ511&lt;1,AN510+1,0),AN510))</f>
        <v>9999</v>
      </c>
      <c r="AO511" s="37" t="n">
        <f aca="false">IF($A511-AM511&gt;0,1/(1+AM511),0)</f>
        <v>0</v>
      </c>
      <c r="AP511" s="37" t="n">
        <f aca="false">IF($A511-AN511&gt;0,1/(1+AN511),0)</f>
        <v>0</v>
      </c>
      <c r="AQ511" s="7" t="n">
        <f aca="false">IF(AK511=0,0,MAX(MIN(1,AO511^Power),0))</f>
        <v>0</v>
      </c>
      <c r="AR511" s="7" t="n">
        <f aca="false">IF(AL511=0,0,MAX(MIN(1,AP511^Power),0))</f>
        <v>0</v>
      </c>
      <c r="AS511" s="7" t="n">
        <f aca="false">IF($AJ511=1,IF($H511=0,K511,AS510),AS510)</f>
        <v>0</v>
      </c>
      <c r="AT511" s="7" t="n">
        <f aca="false">IF($AJ511=1,IF($H511=1,N511,AT510),AT510)</f>
        <v>0</v>
      </c>
    </row>
    <row r="512" customFormat="false" ht="13" hidden="false" customHeight="false" outlineLevel="0" collapsed="false">
      <c r="A512" s="16" t="n">
        <v>495</v>
      </c>
      <c r="B512" s="37" t="n">
        <f aca="true">IF(RAND()&lt;$D$8,1,0)</f>
        <v>0</v>
      </c>
      <c r="C512" s="20" t="n">
        <f aca="true">-LN(RAND())/$D$2</f>
        <v>1.17328737919373</v>
      </c>
      <c r="D512" s="38" t="n">
        <f aca="false">D511+C512</f>
        <v>518.844313207664</v>
      </c>
      <c r="E512" s="39" t="n">
        <f aca="false">MAX($E$3,AS511)</f>
        <v>0</v>
      </c>
      <c r="F512" s="39" t="n">
        <f aca="false">MAX($E$3,AT511)</f>
        <v>0</v>
      </c>
      <c r="G512" s="40" t="n">
        <v>0.5</v>
      </c>
      <c r="H512" s="38" t="n">
        <f aca="true">IF((B512=1),(IF((F512&lt;E512),1,(IF((F512=E512),(IF(RAND()&lt;G512,1,0)),0)))),(IF((RAND()&lt;G512),1,0)))</f>
        <v>0</v>
      </c>
      <c r="I512" s="38" t="n">
        <f aca="true">IF((H512=1),0,$D$3+$D$5*(RAND()-0.5))</f>
        <v>1.93266562472406</v>
      </c>
      <c r="J512" s="38" t="n">
        <f aca="false">I512+MAX(D512,J511)</f>
        <v>535.878177085747</v>
      </c>
      <c r="K512" s="38" t="n">
        <f aca="false">IF((H512=0),J512-D512,0)</f>
        <v>17.0338638780833</v>
      </c>
      <c r="L512" s="38" t="n">
        <f aca="true">IF(($H512=0),0,$D$4+$D$5*(RAND()-0.5))</f>
        <v>0</v>
      </c>
      <c r="M512" s="38" t="n">
        <f aca="false">L512+MAX(D512,M511)</f>
        <v>561.164274397512</v>
      </c>
      <c r="N512" s="38" t="n">
        <f aca="false">IF((H512=1),M512-D512,0)</f>
        <v>0</v>
      </c>
      <c r="O512" s="16" t="n">
        <v>495</v>
      </c>
      <c r="P512" s="41" t="n">
        <f aca="false">IF((Arterial=0),P511+1,P511)</f>
        <v>229</v>
      </c>
      <c r="Q512" s="41" t="n">
        <f aca="false">IF((Arterial=1),Q511+1,Q511)</f>
        <v>266</v>
      </c>
      <c r="R512" s="42" t="e">
        <f aca="false">IF((RESET=1),0,R512+K512)</f>
        <v>#N/A</v>
      </c>
      <c r="S512" s="14" t="n">
        <f aca="false">IF(RESET=1,0,S512+N512)</f>
        <v>749.125747564235</v>
      </c>
      <c r="T512" s="2" t="e">
        <f aca="false">IF(RESET=1,0,T512+IF(H512=0,1,0))</f>
        <v>#N/A</v>
      </c>
      <c r="U512" s="2" t="n">
        <f aca="false">IF(RESET=1,0,U512+H512)</f>
        <v>48</v>
      </c>
      <c r="V512" s="14" t="e">
        <f aca="false">R512/(T512+0.00001)</f>
        <v>#N/A</v>
      </c>
      <c r="W512" s="14" t="n">
        <f aca="false">S512/(U512+0.0001)</f>
        <v>15.6067538935176</v>
      </c>
      <c r="X512" s="39" t="n">
        <f aca="false">IF(Informed=1,K512,0)</f>
        <v>0</v>
      </c>
      <c r="Y512" s="39" t="n">
        <f aca="false">IF(Informed=0,K512,0)</f>
        <v>17.0338638780833</v>
      </c>
      <c r="Z512" s="39" t="n">
        <f aca="false">IF(Informed=1,N512,0)</f>
        <v>0</v>
      </c>
      <c r="AA512" s="39" t="n">
        <f aca="false">IF(Informed=0,N512,0)</f>
        <v>0</v>
      </c>
      <c r="AB512" s="43" t="n">
        <f aca="false">IF(Arterial=0,IF(Informed=1,1,0),0)</f>
        <v>0</v>
      </c>
      <c r="AC512" s="43" t="n">
        <f aca="false">IF(Arterial=0,IF(Informed=0,1,0),0)</f>
        <v>1</v>
      </c>
      <c r="AD512" s="43" t="n">
        <f aca="false">IF(Arterial=1,IF(Informed=1,1,0),0)</f>
        <v>0</v>
      </c>
      <c r="AE512" s="43" t="n">
        <f aca="false">IF(Arterial=1,IF(Informed=0,1,0),0)</f>
        <v>0</v>
      </c>
      <c r="AF512" s="35" t="n">
        <f aca="false">IF(AB512=1,(X512-G$1030)^2,0)</f>
        <v>0</v>
      </c>
      <c r="AG512" s="35" t="n">
        <f aca="false">IF(AC512=1,(Y512-H$1030)^2,0)</f>
        <v>37.3330608325627</v>
      </c>
      <c r="AH512" s="35" t="n">
        <f aca="false">IF(AD512=1,(Z512-I$1030)^2,0)</f>
        <v>0</v>
      </c>
      <c r="AI512" s="35" t="n">
        <f aca="false">IF(AE512=1,(AA512-J$1030)^2,0)</f>
        <v>0</v>
      </c>
      <c r="AJ512" s="37" t="n">
        <f aca="true">IF(RAND()&lt;$D$6,1,0)</f>
        <v>0</v>
      </c>
      <c r="AK512" s="14" t="n">
        <f aca="false">AK511+IF((AJ512=1),IF((H512=0),1,0),0)</f>
        <v>0</v>
      </c>
      <c r="AL512" s="14" t="n">
        <f aca="false">AL511+IF((AJ512=1),IF((H512=1),1,0),0)</f>
        <v>0</v>
      </c>
      <c r="AM512" s="37" t="n">
        <f aca="false">IF(AK512=0,9999,IF($H512=0,IF($AJ512&lt;1,AM511+1,0),AM511))</f>
        <v>9999</v>
      </c>
      <c r="AN512" s="37" t="n">
        <f aca="false">IF(AL512=0,9999,IF($H512=1,IF($AJ512&lt;1,AN511+1,0),AN511))</f>
        <v>9999</v>
      </c>
      <c r="AO512" s="37" t="n">
        <f aca="false">IF($A512-AM512&gt;0,1/(1+AM512),0)</f>
        <v>0</v>
      </c>
      <c r="AP512" s="37" t="n">
        <f aca="false">IF($A512-AN512&gt;0,1/(1+AN512),0)</f>
        <v>0</v>
      </c>
      <c r="AQ512" s="7" t="n">
        <f aca="false">IF(AK512=0,0,MAX(MIN(1,AO512^Power),0))</f>
        <v>0</v>
      </c>
      <c r="AR512" s="7" t="n">
        <f aca="false">IF(AL512=0,0,MAX(MIN(1,AP512^Power),0))</f>
        <v>0</v>
      </c>
      <c r="AS512" s="7" t="n">
        <f aca="false">IF($AJ512=1,IF($H512=0,K512,AS511),AS511)</f>
        <v>0</v>
      </c>
      <c r="AT512" s="7" t="n">
        <f aca="false">IF($AJ512=1,IF($H512=1,N512,AT511),AT511)</f>
        <v>0</v>
      </c>
    </row>
    <row r="513" customFormat="false" ht="13" hidden="false" customHeight="false" outlineLevel="0" collapsed="false">
      <c r="A513" s="16" t="n">
        <v>496</v>
      </c>
      <c r="B513" s="37" t="n">
        <f aca="true">IF(RAND()&lt;$D$8,1,0)</f>
        <v>0</v>
      </c>
      <c r="C513" s="20" t="n">
        <f aca="true">-LN(RAND())/$D$2</f>
        <v>0.617179768978347</v>
      </c>
      <c r="D513" s="38" t="n">
        <f aca="false">D512+C513</f>
        <v>519.461492976642</v>
      </c>
      <c r="E513" s="39" t="n">
        <f aca="false">MAX($E$3,AS512)</f>
        <v>0</v>
      </c>
      <c r="F513" s="39" t="n">
        <f aca="false">MAX($E$3,AT512)</f>
        <v>0</v>
      </c>
      <c r="G513" s="40" t="n">
        <v>0.5</v>
      </c>
      <c r="H513" s="38" t="n">
        <f aca="true">IF((B513=1),(IF((F513&lt;E513),1,(IF((F513=E513),(IF(RAND()&lt;G513,1,0)),0)))),(IF((RAND()&lt;G513),1,0)))</f>
        <v>1</v>
      </c>
      <c r="I513" s="38" t="n">
        <f aca="true">IF((H513=1),0,$D$3+$D$5*(RAND()-0.5))</f>
        <v>0</v>
      </c>
      <c r="J513" s="38" t="n">
        <f aca="false">I513+MAX(D513,J512)</f>
        <v>535.878177085747</v>
      </c>
      <c r="K513" s="38" t="n">
        <f aca="false">IF((H513=0),J513-D513,0)</f>
        <v>0</v>
      </c>
      <c r="L513" s="38" t="n">
        <f aca="true">IF(($H513=0),0,$D$4+$D$5*(RAND()-0.5))</f>
        <v>1.77565331205086</v>
      </c>
      <c r="M513" s="38" t="n">
        <f aca="false">L513+MAX(D513,M512)</f>
        <v>562.939927709562</v>
      </c>
      <c r="N513" s="38" t="n">
        <f aca="false">IF((H513=1),M513-D513,0)</f>
        <v>43.4784347329206</v>
      </c>
      <c r="O513" s="16" t="n">
        <v>496</v>
      </c>
      <c r="P513" s="41" t="n">
        <f aca="false">IF((Arterial=0),P512+1,P512)</f>
        <v>229</v>
      </c>
      <c r="Q513" s="41" t="n">
        <f aca="false">IF((Arterial=1),Q512+1,Q512)</f>
        <v>267</v>
      </c>
      <c r="R513" s="42" t="n">
        <f aca="false">IF((RESET=1),0,R513+K513)</f>
        <v>859.591928533573</v>
      </c>
      <c r="S513" s="14" t="e">
        <f aca="false">IF(RESET=1,0,S513+N513)</f>
        <v>#N/A</v>
      </c>
      <c r="T513" s="2" t="n">
        <f aca="false">IF(RESET=1,0,T513+IF(H513=0,1,0))</f>
        <v>45</v>
      </c>
      <c r="U513" s="2" t="e">
        <f aca="false">IF(RESET=1,0,U513+H513)</f>
        <v>#N/A</v>
      </c>
      <c r="V513" s="14" t="n">
        <f aca="false">R513/(T513+0.00001)</f>
        <v>19.1020386114042</v>
      </c>
      <c r="W513" s="14" t="e">
        <f aca="false">S513/(U513+0.0001)</f>
        <v>#N/A</v>
      </c>
      <c r="X513" s="39" t="n">
        <f aca="false">IF(Informed=1,K513,0)</f>
        <v>0</v>
      </c>
      <c r="Y513" s="39" t="n">
        <f aca="false">IF(Informed=0,K513,0)</f>
        <v>0</v>
      </c>
      <c r="Z513" s="39" t="n">
        <f aca="false">IF(Informed=1,N513,0)</f>
        <v>0</v>
      </c>
      <c r="AA513" s="39" t="n">
        <f aca="false">IF(Informed=0,N513,0)</f>
        <v>43.4784347329206</v>
      </c>
      <c r="AB513" s="43" t="n">
        <f aca="false">IF(Arterial=0,IF(Informed=1,1,0),0)</f>
        <v>0</v>
      </c>
      <c r="AC513" s="43" t="n">
        <f aca="false">IF(Arterial=0,IF(Informed=0,1,0),0)</f>
        <v>0</v>
      </c>
      <c r="AD513" s="43" t="n">
        <f aca="false">IF(Arterial=1,IF(Informed=1,1,0),0)</f>
        <v>0</v>
      </c>
      <c r="AE513" s="43" t="n">
        <f aca="false">IF(Arterial=1,IF(Informed=0,1,0),0)</f>
        <v>1</v>
      </c>
      <c r="AF513" s="35" t="n">
        <f aca="false">IF(AB513=1,(X513-G$1030)^2,0)</f>
        <v>0</v>
      </c>
      <c r="AG513" s="35" t="n">
        <f aca="false">IF(AC513=1,(Y513-H$1030)^2,0)</f>
        <v>0</v>
      </c>
      <c r="AH513" s="35" t="n">
        <f aca="false">IF(AD513=1,(Z513-I$1030)^2,0)</f>
        <v>0</v>
      </c>
      <c r="AI513" s="35" t="n">
        <f aca="false">IF(AE513=1,(AA513-J$1030)^2,0)</f>
        <v>193.603841345514</v>
      </c>
      <c r="AJ513" s="37" t="n">
        <f aca="true">IF(RAND()&lt;$D$6,1,0)</f>
        <v>0</v>
      </c>
      <c r="AK513" s="14" t="n">
        <f aca="false">AK512+IF((AJ513=1),IF((H513=0),1,0),0)</f>
        <v>0</v>
      </c>
      <c r="AL513" s="14" t="n">
        <f aca="false">AL512+IF((AJ513=1),IF((H513=1),1,0),0)</f>
        <v>0</v>
      </c>
      <c r="AM513" s="37" t="n">
        <f aca="false">IF(AK513=0,9999,IF($H513=0,IF($AJ513&lt;1,AM512+1,0),AM512))</f>
        <v>9999</v>
      </c>
      <c r="AN513" s="37" t="n">
        <f aca="false">IF(AL513=0,9999,IF($H513=1,IF($AJ513&lt;1,AN512+1,0),AN512))</f>
        <v>9999</v>
      </c>
      <c r="AO513" s="37" t="n">
        <f aca="false">IF($A513-AM513&gt;0,1/(1+AM513),0)</f>
        <v>0</v>
      </c>
      <c r="AP513" s="37" t="n">
        <f aca="false">IF($A513-AN513&gt;0,1/(1+AN513),0)</f>
        <v>0</v>
      </c>
      <c r="AQ513" s="7" t="n">
        <f aca="false">IF(AK513=0,0,MAX(MIN(1,AO513^Power),0))</f>
        <v>0</v>
      </c>
      <c r="AR513" s="7" t="n">
        <f aca="false">IF(AL513=0,0,MAX(MIN(1,AP513^Power),0))</f>
        <v>0</v>
      </c>
      <c r="AS513" s="7" t="n">
        <f aca="false">IF($AJ513=1,IF($H513=0,K513,AS512),AS512)</f>
        <v>0</v>
      </c>
      <c r="AT513" s="7" t="n">
        <f aca="false">IF($AJ513=1,IF($H513=1,N513,AT512),AT512)</f>
        <v>0</v>
      </c>
    </row>
    <row r="514" customFormat="false" ht="13" hidden="false" customHeight="false" outlineLevel="0" collapsed="false">
      <c r="A514" s="16" t="n">
        <v>497</v>
      </c>
      <c r="B514" s="37" t="n">
        <f aca="true">IF(RAND()&lt;$D$8,1,0)</f>
        <v>1</v>
      </c>
      <c r="C514" s="20" t="n">
        <f aca="true">-LN(RAND())/$D$2</f>
        <v>0.0338204277713204</v>
      </c>
      <c r="D514" s="38" t="n">
        <f aca="false">D513+C514</f>
        <v>519.495313404413</v>
      </c>
      <c r="E514" s="39" t="n">
        <f aca="false">MAX($E$3,AS513)</f>
        <v>0</v>
      </c>
      <c r="F514" s="39" t="n">
        <f aca="false">MAX($E$3,AT513)</f>
        <v>0</v>
      </c>
      <c r="G514" s="40" t="n">
        <v>0.5</v>
      </c>
      <c r="H514" s="38" t="n">
        <f aca="true">IF((B514=1),(IF((F514&lt;E514),1,(IF((F514=E514),(IF(RAND()&lt;G514,1,0)),0)))),(IF((RAND()&lt;G514),1,0)))</f>
        <v>0</v>
      </c>
      <c r="I514" s="38" t="n">
        <f aca="true">IF((H514=1),0,$D$3+$D$5*(RAND()-0.5))</f>
        <v>2.09290323307033</v>
      </c>
      <c r="J514" s="38" t="n">
        <f aca="false">I514+MAX(D514,J513)</f>
        <v>537.971080318817</v>
      </c>
      <c r="K514" s="38" t="n">
        <f aca="false">IF((H514=0),J514-D514,0)</f>
        <v>18.475766914404</v>
      </c>
      <c r="L514" s="38" t="n">
        <f aca="true">IF(($H514=0),0,$D$4+$D$5*(RAND()-0.5))</f>
        <v>0</v>
      </c>
      <c r="M514" s="38" t="n">
        <f aca="false">L514+MAX(D514,M513)</f>
        <v>562.939927709562</v>
      </c>
      <c r="N514" s="38" t="n">
        <f aca="false">IF((H514=1),M514-D514,0)</f>
        <v>0</v>
      </c>
      <c r="O514" s="16" t="n">
        <v>497</v>
      </c>
      <c r="P514" s="41" t="n">
        <f aca="false">IF((Arterial=0),P513+1,P513)</f>
        <v>230</v>
      </c>
      <c r="Q514" s="41" t="n">
        <f aca="false">IF((Arterial=1),Q513+1,Q513)</f>
        <v>267</v>
      </c>
      <c r="R514" s="42" t="e">
        <f aca="false">IF((RESET=1),0,R514+K514)</f>
        <v>#N/A</v>
      </c>
      <c r="S514" s="14" t="n">
        <f aca="false">IF(RESET=1,0,S514+N514)</f>
        <v>628.963684815227</v>
      </c>
      <c r="T514" s="2" t="e">
        <f aca="false">IF(RESET=1,0,T514+IF(H514=0,1,0))</f>
        <v>#N/A</v>
      </c>
      <c r="U514" s="2" t="n">
        <f aca="false">IF(RESET=1,0,U514+H514)</f>
        <v>39</v>
      </c>
      <c r="V514" s="14" t="e">
        <f aca="false">R514/(T514+0.00001)</f>
        <v>#N/A</v>
      </c>
      <c r="W514" s="14" t="n">
        <f aca="false">S514/(U514+0.0001)</f>
        <v>16.1272326177427</v>
      </c>
      <c r="X514" s="39" t="n">
        <f aca="false">IF(Informed=1,K514,0)</f>
        <v>18.475766914404</v>
      </c>
      <c r="Y514" s="39" t="n">
        <f aca="false">IF(Informed=0,K514,0)</f>
        <v>0</v>
      </c>
      <c r="Z514" s="39" t="n">
        <f aca="false">IF(Informed=1,N514,0)</f>
        <v>0</v>
      </c>
      <c r="AA514" s="39" t="n">
        <f aca="false">IF(Informed=0,N514,0)</f>
        <v>0</v>
      </c>
      <c r="AB514" s="43" t="n">
        <f aca="false">IF(Arterial=0,IF(Informed=1,1,0),0)</f>
        <v>1</v>
      </c>
      <c r="AC514" s="43" t="n">
        <f aca="false">IF(Arterial=0,IF(Informed=0,1,0),0)</f>
        <v>0</v>
      </c>
      <c r="AD514" s="43" t="n">
        <f aca="false">IF(Arterial=1,IF(Informed=1,1,0),0)</f>
        <v>0</v>
      </c>
      <c r="AE514" s="43" t="n">
        <f aca="false">IF(Arterial=1,IF(Informed=0,1,0),0)</f>
        <v>0</v>
      </c>
      <c r="AF514" s="35" t="n">
        <f aca="false">IF(AB514=1,(X514-G$1030)^2,0)</f>
        <v>60.3121332710854</v>
      </c>
      <c r="AG514" s="35" t="n">
        <f aca="false">IF(AC514=1,(Y514-H$1030)^2,0)</f>
        <v>0</v>
      </c>
      <c r="AH514" s="35" t="n">
        <f aca="false">IF(AD514=1,(Z514-I$1030)^2,0)</f>
        <v>0</v>
      </c>
      <c r="AI514" s="35" t="n">
        <f aca="false">IF(AE514=1,(AA514-J$1030)^2,0)</f>
        <v>0</v>
      </c>
      <c r="AJ514" s="37" t="n">
        <f aca="true">IF(RAND()&lt;$D$6,1,0)</f>
        <v>0</v>
      </c>
      <c r="AK514" s="14" t="n">
        <f aca="false">AK513+IF((AJ514=1),IF((H514=0),1,0),0)</f>
        <v>0</v>
      </c>
      <c r="AL514" s="14" t="n">
        <f aca="false">AL513+IF((AJ514=1),IF((H514=1),1,0),0)</f>
        <v>0</v>
      </c>
      <c r="AM514" s="37" t="n">
        <f aca="false">IF(AK514=0,9999,IF($H514=0,IF($AJ514&lt;1,AM513+1,0),AM513))</f>
        <v>9999</v>
      </c>
      <c r="AN514" s="37" t="n">
        <f aca="false">IF(AL514=0,9999,IF($H514=1,IF($AJ514&lt;1,AN513+1,0),AN513))</f>
        <v>9999</v>
      </c>
      <c r="AO514" s="37" t="n">
        <f aca="false">IF($A514-AM514&gt;0,1/(1+AM514),0)</f>
        <v>0</v>
      </c>
      <c r="AP514" s="37" t="n">
        <f aca="false">IF($A514-AN514&gt;0,1/(1+AN514),0)</f>
        <v>0</v>
      </c>
      <c r="AQ514" s="7" t="n">
        <f aca="false">IF(AK514=0,0,MAX(MIN(1,AO514^Power),0))</f>
        <v>0</v>
      </c>
      <c r="AR514" s="7" t="n">
        <f aca="false">IF(AL514=0,0,MAX(MIN(1,AP514^Power),0))</f>
        <v>0</v>
      </c>
      <c r="AS514" s="7" t="n">
        <f aca="false">IF($AJ514=1,IF($H514=0,K514,AS513),AS513)</f>
        <v>0</v>
      </c>
      <c r="AT514" s="7" t="n">
        <f aca="false">IF($AJ514=1,IF($H514=1,N514,AT513),AT513)</f>
        <v>0</v>
      </c>
    </row>
    <row r="515" customFormat="false" ht="13" hidden="false" customHeight="false" outlineLevel="0" collapsed="false">
      <c r="A515" s="16" t="n">
        <v>498</v>
      </c>
      <c r="B515" s="37" t="n">
        <f aca="true">IF(RAND()&lt;$D$8,1,0)</f>
        <v>1</v>
      </c>
      <c r="C515" s="20" t="n">
        <f aca="true">-LN(RAND())/$D$2</f>
        <v>1.55044838260227</v>
      </c>
      <c r="D515" s="38" t="n">
        <f aca="false">D514+C515</f>
        <v>521.045761787015</v>
      </c>
      <c r="E515" s="39" t="n">
        <f aca="false">MAX($E$3,AS514)</f>
        <v>0</v>
      </c>
      <c r="F515" s="39" t="n">
        <f aca="false">MAX($E$3,AT514)</f>
        <v>0</v>
      </c>
      <c r="G515" s="40" t="n">
        <v>0.5</v>
      </c>
      <c r="H515" s="38" t="n">
        <f aca="true">IF((B515=1),(IF((F515&lt;E515),1,(IF((F515=E515),(IF(RAND()&lt;G515,1,0)),0)))),(IF((RAND()&lt;G515),1,0)))</f>
        <v>1</v>
      </c>
      <c r="I515" s="38" t="n">
        <f aca="true">IF((H515=1),0,$D$3+$D$5*(RAND()-0.5))</f>
        <v>0</v>
      </c>
      <c r="J515" s="38" t="n">
        <f aca="false">I515+MAX(D515,J514)</f>
        <v>537.971080318817</v>
      </c>
      <c r="K515" s="38" t="n">
        <f aca="false">IF((H515=0),J515-D515,0)</f>
        <v>0</v>
      </c>
      <c r="L515" s="38" t="n">
        <f aca="true">IF(($H515=0),0,$D$4+$D$5*(RAND()-0.5))</f>
        <v>1.97727583309497</v>
      </c>
      <c r="M515" s="38" t="n">
        <f aca="false">L515+MAX(D515,M514)</f>
        <v>564.917203542657</v>
      </c>
      <c r="N515" s="38" t="n">
        <f aca="false">IF((H515=1),M515-D515,0)</f>
        <v>43.871441755642</v>
      </c>
      <c r="O515" s="16" t="n">
        <v>498</v>
      </c>
      <c r="P515" s="41" t="n">
        <f aca="false">IF((Arterial=0),P514+1,P514)</f>
        <v>230</v>
      </c>
      <c r="Q515" s="41" t="n">
        <f aca="false">IF((Arterial=1),Q514+1,Q514)</f>
        <v>268</v>
      </c>
      <c r="R515" s="42" t="n">
        <f aca="false">IF((RESET=1),0,R515+K515)</f>
        <v>677.659573509919</v>
      </c>
      <c r="S515" s="14" t="e">
        <f aca="false">IF(RESET=1,0,S515+N515)</f>
        <v>#N/A</v>
      </c>
      <c r="T515" s="2" t="n">
        <f aca="false">IF(RESET=1,0,T515+IF(H515=0,1,0))</f>
        <v>37</v>
      </c>
      <c r="U515" s="2" t="e">
        <f aca="false">IF(RESET=1,0,U515+H515)</f>
        <v>#N/A</v>
      </c>
      <c r="V515" s="14" t="n">
        <f aca="false">R515/(T515+0.00001)</f>
        <v>18.3151186583441</v>
      </c>
      <c r="W515" s="14" t="e">
        <f aca="false">S515/(U515+0.0001)</f>
        <v>#N/A</v>
      </c>
      <c r="X515" s="39" t="n">
        <f aca="false">IF(Informed=1,K515,0)</f>
        <v>0</v>
      </c>
      <c r="Y515" s="39" t="n">
        <f aca="false">IF(Informed=0,K515,0)</f>
        <v>0</v>
      </c>
      <c r="Z515" s="39" t="n">
        <f aca="false">IF(Informed=1,N515,0)</f>
        <v>43.871441755642</v>
      </c>
      <c r="AA515" s="39" t="n">
        <f aca="false">IF(Informed=0,N515,0)</f>
        <v>0</v>
      </c>
      <c r="AB515" s="43" t="n">
        <f aca="false">IF(Arterial=0,IF(Informed=1,1,0),0)</f>
        <v>0</v>
      </c>
      <c r="AC515" s="43" t="n">
        <f aca="false">IF(Arterial=0,IF(Informed=0,1,0),0)</f>
        <v>0</v>
      </c>
      <c r="AD515" s="43" t="n">
        <f aca="false">IF(Arterial=1,IF(Informed=1,1,0),0)</f>
        <v>1</v>
      </c>
      <c r="AE515" s="43" t="n">
        <f aca="false">IF(Arterial=1,IF(Informed=0,1,0),0)</f>
        <v>0</v>
      </c>
      <c r="AF515" s="35" t="n">
        <f aca="false">IF(AB515=1,(X515-G$1030)^2,0)</f>
        <v>0</v>
      </c>
      <c r="AG515" s="35" t="n">
        <f aca="false">IF(AC515=1,(Y515-H$1030)^2,0)</f>
        <v>0</v>
      </c>
      <c r="AH515" s="35" t="n">
        <f aca="false">IF(AD515=1,(Z515-I$1030)^2,0)</f>
        <v>240.144827347288</v>
      </c>
      <c r="AI515" s="35" t="n">
        <f aca="false">IF(AE515=1,(AA515-J$1030)^2,0)</f>
        <v>0</v>
      </c>
      <c r="AJ515" s="37" t="n">
        <f aca="true">IF(RAND()&lt;$D$6,1,0)</f>
        <v>0</v>
      </c>
      <c r="AK515" s="14" t="n">
        <f aca="false">AK514+IF((AJ515=1),IF((H515=0),1,0),0)</f>
        <v>0</v>
      </c>
      <c r="AL515" s="14" t="n">
        <f aca="false">AL514+IF((AJ515=1),IF((H515=1),1,0),0)</f>
        <v>0</v>
      </c>
      <c r="AM515" s="37" t="n">
        <f aca="false">IF(AK515=0,9999,IF($H515=0,IF($AJ515&lt;1,AM514+1,0),AM514))</f>
        <v>9999</v>
      </c>
      <c r="AN515" s="37" t="n">
        <f aca="false">IF(AL515=0,9999,IF($H515=1,IF($AJ515&lt;1,AN514+1,0),AN514))</f>
        <v>9999</v>
      </c>
      <c r="AO515" s="37" t="n">
        <f aca="false">IF($A515-AM515&gt;0,1/(1+AM515),0)</f>
        <v>0</v>
      </c>
      <c r="AP515" s="37" t="n">
        <f aca="false">IF($A515-AN515&gt;0,1/(1+AN515),0)</f>
        <v>0</v>
      </c>
      <c r="AQ515" s="7" t="n">
        <f aca="false">IF(AK515=0,0,MAX(MIN(1,AO515^Power),0))</f>
        <v>0</v>
      </c>
      <c r="AR515" s="7" t="n">
        <f aca="false">IF(AL515=0,0,MAX(MIN(1,AP515^Power),0))</f>
        <v>0</v>
      </c>
      <c r="AS515" s="7" t="n">
        <f aca="false">IF($AJ515=1,IF($H515=0,K515,AS514),AS514)</f>
        <v>0</v>
      </c>
      <c r="AT515" s="7" t="n">
        <f aca="false">IF($AJ515=1,IF($H515=1,N515,AT514),AT514)</f>
        <v>0</v>
      </c>
    </row>
    <row r="516" customFormat="false" ht="13" hidden="false" customHeight="false" outlineLevel="0" collapsed="false">
      <c r="A516" s="16" t="n">
        <v>499</v>
      </c>
      <c r="B516" s="37" t="n">
        <f aca="true">IF(RAND()&lt;$D$8,1,0)</f>
        <v>0</v>
      </c>
      <c r="C516" s="20" t="n">
        <f aca="true">-LN(RAND())/$D$2</f>
        <v>1.08503198613406</v>
      </c>
      <c r="D516" s="38" t="n">
        <f aca="false">D515+C516</f>
        <v>522.130793773149</v>
      </c>
      <c r="E516" s="39" t="n">
        <f aca="false">MAX($E$3,AS515)</f>
        <v>0</v>
      </c>
      <c r="F516" s="39" t="n">
        <f aca="false">MAX($E$3,AT515)</f>
        <v>0</v>
      </c>
      <c r="G516" s="40" t="n">
        <v>0.5</v>
      </c>
      <c r="H516" s="38" t="n">
        <f aca="true">IF((B516=1),(IF((F516&lt;E516),1,(IF((F516=E516),(IF(RAND()&lt;G516,1,0)),0)))),(IF((RAND()&lt;G516),1,0)))</f>
        <v>0</v>
      </c>
      <c r="I516" s="38" t="n">
        <f aca="true">IF((H516=1),0,$D$3+$D$5*(RAND()-0.5))</f>
        <v>2.24035121066888</v>
      </c>
      <c r="J516" s="38" t="n">
        <f aca="false">I516+MAX(D516,J515)</f>
        <v>540.211431529486</v>
      </c>
      <c r="K516" s="38" t="n">
        <f aca="false">IF((H516=0),J516-D516,0)</f>
        <v>18.0806377563365</v>
      </c>
      <c r="L516" s="38" t="n">
        <f aca="true">IF(($H516=0),0,$D$4+$D$5*(RAND()-0.5))</f>
        <v>0</v>
      </c>
      <c r="M516" s="38" t="n">
        <f aca="false">L516+MAX(D516,M515)</f>
        <v>564.917203542657</v>
      </c>
      <c r="N516" s="38" t="n">
        <f aca="false">IF((H516=1),M516-D516,0)</f>
        <v>0</v>
      </c>
      <c r="O516" s="16" t="n">
        <v>499</v>
      </c>
      <c r="P516" s="41" t="n">
        <f aca="false">IF((Arterial=0),P515+1,P515)</f>
        <v>231</v>
      </c>
      <c r="Q516" s="41" t="n">
        <f aca="false">IF((Arterial=1),Q515+1,Q515)</f>
        <v>268</v>
      </c>
      <c r="R516" s="42" t="e">
        <f aca="false">IF((RESET=1),0,R516+K516)</f>
        <v>#N/A</v>
      </c>
      <c r="S516" s="14" t="n">
        <f aca="false">IF(RESET=1,0,S516+N516)</f>
        <v>687.785985736142</v>
      </c>
      <c r="T516" s="2" t="e">
        <f aca="false">IF(RESET=1,0,T516+IF(H516=0,1,0))</f>
        <v>#N/A</v>
      </c>
      <c r="U516" s="2" t="n">
        <f aca="false">IF(RESET=1,0,U516+H516)</f>
        <v>43</v>
      </c>
      <c r="V516" s="14" t="e">
        <f aca="false">R516/(T516+0.00001)</f>
        <v>#N/A</v>
      </c>
      <c r="W516" s="14" t="n">
        <f aca="false">S516/(U516+0.0001)</f>
        <v>15.9949857264551</v>
      </c>
      <c r="X516" s="39" t="n">
        <f aca="false">IF(Informed=1,K516,0)</f>
        <v>0</v>
      </c>
      <c r="Y516" s="39" t="n">
        <f aca="false">IF(Informed=0,K516,0)</f>
        <v>18.0806377563365</v>
      </c>
      <c r="Z516" s="39" t="n">
        <f aca="false">IF(Informed=1,N516,0)</f>
        <v>0</v>
      </c>
      <c r="AA516" s="39" t="n">
        <f aca="false">IF(Informed=0,N516,0)</f>
        <v>0</v>
      </c>
      <c r="AB516" s="43" t="n">
        <f aca="false">IF(Arterial=0,IF(Informed=1,1,0),0)</f>
        <v>0</v>
      </c>
      <c r="AC516" s="43" t="n">
        <f aca="false">IF(Arterial=0,IF(Informed=0,1,0),0)</f>
        <v>1</v>
      </c>
      <c r="AD516" s="43" t="n">
        <f aca="false">IF(Arterial=1,IF(Informed=1,1,0),0)</f>
        <v>0</v>
      </c>
      <c r="AE516" s="43" t="n">
        <f aca="false">IF(Arterial=1,IF(Informed=0,1,0),0)</f>
        <v>0</v>
      </c>
      <c r="AF516" s="35" t="n">
        <f aca="false">IF(AB516=1,(X516-G$1030)^2,0)</f>
        <v>0</v>
      </c>
      <c r="AG516" s="35" t="n">
        <f aca="false">IF(AC516=1,(Y516-H$1030)^2,0)</f>
        <v>51.2205377871509</v>
      </c>
      <c r="AH516" s="35" t="n">
        <f aca="false">IF(AD516=1,(Z516-I$1030)^2,0)</f>
        <v>0</v>
      </c>
      <c r="AI516" s="35" t="n">
        <f aca="false">IF(AE516=1,(AA516-J$1030)^2,0)</f>
        <v>0</v>
      </c>
      <c r="AJ516" s="37" t="n">
        <f aca="true">IF(RAND()&lt;$D$6,1,0)</f>
        <v>0</v>
      </c>
      <c r="AK516" s="14" t="n">
        <f aca="false">AK515+IF((AJ516=1),IF((H516=0),1,0),0)</f>
        <v>0</v>
      </c>
      <c r="AL516" s="14" t="n">
        <f aca="false">AL515+IF((AJ516=1),IF((H516=1),1,0),0)</f>
        <v>0</v>
      </c>
      <c r="AM516" s="37" t="n">
        <f aca="false">IF(AK516=0,9999,IF($H516=0,IF($AJ516&lt;1,AM515+1,0),AM515))</f>
        <v>9999</v>
      </c>
      <c r="AN516" s="37" t="n">
        <f aca="false">IF(AL516=0,9999,IF($H516=1,IF($AJ516&lt;1,AN515+1,0),AN515))</f>
        <v>9999</v>
      </c>
      <c r="AO516" s="37" t="n">
        <f aca="false">IF($A516-AM516&gt;0,1/(1+AM516),0)</f>
        <v>0</v>
      </c>
      <c r="AP516" s="37" t="n">
        <f aca="false">IF($A516-AN516&gt;0,1/(1+AN516),0)</f>
        <v>0</v>
      </c>
      <c r="AQ516" s="7" t="n">
        <f aca="false">IF(AK516=0,0,MAX(MIN(1,AO516^Power),0))</f>
        <v>0</v>
      </c>
      <c r="AR516" s="7" t="n">
        <f aca="false">IF(AL516=0,0,MAX(MIN(1,AP516^Power),0))</f>
        <v>0</v>
      </c>
      <c r="AS516" s="7" t="n">
        <f aca="false">IF($AJ516=1,IF($H516=0,K516,AS515),AS515)</f>
        <v>0</v>
      </c>
      <c r="AT516" s="7" t="n">
        <f aca="false">IF($AJ516=1,IF($H516=1,N516,AT515),AT515)</f>
        <v>0</v>
      </c>
    </row>
    <row r="517" customFormat="false" ht="13" hidden="false" customHeight="false" outlineLevel="0" collapsed="false">
      <c r="A517" s="16" t="n">
        <v>500</v>
      </c>
      <c r="B517" s="37" t="n">
        <f aca="true">IF(RAND()&lt;$D$8,1,0)</f>
        <v>0</v>
      </c>
      <c r="C517" s="20" t="n">
        <f aca="true">-LN(RAND())/$D$2</f>
        <v>0.50647196137639</v>
      </c>
      <c r="D517" s="38" t="n">
        <f aca="false">D516+C517</f>
        <v>522.637265734526</v>
      </c>
      <c r="E517" s="39" t="n">
        <f aca="false">MAX($E$3,AS516)</f>
        <v>0</v>
      </c>
      <c r="F517" s="39" t="n">
        <f aca="false">MAX($E$3,AT516)</f>
        <v>0</v>
      </c>
      <c r="G517" s="40" t="n">
        <v>0.5</v>
      </c>
      <c r="H517" s="38" t="n">
        <f aca="true">IF((B517=1),(IF((F517&lt;E517),1,(IF((F517=E517),(IF(RAND()&lt;G517,1,0)),0)))),(IF((RAND()&lt;G517),1,0)))</f>
        <v>1</v>
      </c>
      <c r="I517" s="38" t="n">
        <f aca="true">IF((H517=1),0,$D$3+$D$5*(RAND()-0.5))</f>
        <v>0</v>
      </c>
      <c r="J517" s="38" t="n">
        <f aca="false">I517+MAX(D517,J516)</f>
        <v>540.211431529486</v>
      </c>
      <c r="K517" s="38" t="n">
        <f aca="false">IF((H517=0),J517-D517,0)</f>
        <v>0</v>
      </c>
      <c r="L517" s="38" t="n">
        <f aca="true">IF(($H517=0),0,$D$4+$D$5*(RAND()-0.5))</f>
        <v>1.91224951588779</v>
      </c>
      <c r="M517" s="38" t="n">
        <f aca="false">L517+MAX(D517,M516)</f>
        <v>566.829453058545</v>
      </c>
      <c r="N517" s="38" t="n">
        <f aca="false">IF((H517=1),M517-D517,0)</f>
        <v>44.1921873240193</v>
      </c>
      <c r="O517" s="16" t="n">
        <v>500</v>
      </c>
      <c r="P517" s="41" t="n">
        <f aca="false">IF((Arterial=0),P516+1,P516)</f>
        <v>231</v>
      </c>
      <c r="Q517" s="41" t="n">
        <f aca="false">IF((Arterial=1),Q516+1,Q516)</f>
        <v>269</v>
      </c>
      <c r="R517" s="42" t="n">
        <f aca="false">IF((RESET=1),0,R517+K517)</f>
        <v>602.044209186117</v>
      </c>
      <c r="S517" s="14" t="e">
        <f aca="false">IF(RESET=1,0,S517+N517)</f>
        <v>#N/A</v>
      </c>
      <c r="T517" s="2" t="n">
        <f aca="false">IF(RESET=1,0,T517+IF(H517=0,1,0))</f>
        <v>35</v>
      </c>
      <c r="U517" s="2" t="e">
        <f aca="false">IF(RESET=1,0,U517+H517)</f>
        <v>#N/A</v>
      </c>
      <c r="V517" s="14" t="n">
        <f aca="false">R517/(T517+0.00001)</f>
        <v>17.2012582049582</v>
      </c>
      <c r="W517" s="14" t="e">
        <f aca="false">S517/(U517+0.0001)</f>
        <v>#N/A</v>
      </c>
      <c r="X517" s="39" t="n">
        <f aca="false">IF(Informed=1,K517,0)</f>
        <v>0</v>
      </c>
      <c r="Y517" s="39" t="n">
        <f aca="false">IF(Informed=0,K517,0)</f>
        <v>0</v>
      </c>
      <c r="Z517" s="39" t="n">
        <f aca="false">IF(Informed=1,N517,0)</f>
        <v>0</v>
      </c>
      <c r="AA517" s="39" t="n">
        <f aca="false">IF(Informed=0,N517,0)</f>
        <v>44.1921873240193</v>
      </c>
      <c r="AB517" s="43" t="n">
        <f aca="false">IF(Arterial=0,IF(Informed=1,1,0),0)</f>
        <v>0</v>
      </c>
      <c r="AC517" s="43" t="n">
        <f aca="false">IF(Arterial=0,IF(Informed=0,1,0),0)</f>
        <v>0</v>
      </c>
      <c r="AD517" s="43" t="n">
        <f aca="false">IF(Arterial=1,IF(Informed=1,1,0),0)</f>
        <v>0</v>
      </c>
      <c r="AE517" s="43" t="n">
        <f aca="false">IF(Arterial=1,IF(Informed=0,1,0),0)</f>
        <v>1</v>
      </c>
      <c r="AF517" s="35" t="n">
        <f aca="false">IF(AB517=1,(X517-G$1030)^2,0)</f>
        <v>0</v>
      </c>
      <c r="AG517" s="35" t="n">
        <f aca="false">IF(AC517=1,(Y517-H$1030)^2,0)</f>
        <v>0</v>
      </c>
      <c r="AH517" s="35" t="n">
        <f aca="false">IF(AD517=1,(Z517-I$1030)^2,0)</f>
        <v>0</v>
      </c>
      <c r="AI517" s="35" t="n">
        <f aca="false">IF(AE517=1,(AA517-J$1030)^2,0)</f>
        <v>213.975819245447</v>
      </c>
      <c r="AJ517" s="37" t="n">
        <f aca="true">IF(RAND()&lt;$D$6,1,0)</f>
        <v>0</v>
      </c>
      <c r="AK517" s="14" t="n">
        <f aca="false">AK516+IF((AJ517=1),IF((H517=0),1,0),0)</f>
        <v>0</v>
      </c>
      <c r="AL517" s="14" t="n">
        <f aca="false">AL516+IF((AJ517=1),IF((H517=1),1,0),0)</f>
        <v>0</v>
      </c>
      <c r="AM517" s="37" t="n">
        <f aca="false">IF(AK517=0,9999,IF($H517=0,IF($AJ517&lt;1,AM516+1,0),AM516))</f>
        <v>9999</v>
      </c>
      <c r="AN517" s="37" t="n">
        <f aca="false">IF(AL517=0,9999,IF($H517=1,IF($AJ517&lt;1,AN516+1,0),AN516))</f>
        <v>9999</v>
      </c>
      <c r="AO517" s="37" t="n">
        <f aca="false">IF($A517-AM517&gt;0,1/(1+AM517),0)</f>
        <v>0</v>
      </c>
      <c r="AP517" s="37" t="n">
        <f aca="false">IF($A517-AN517&gt;0,1/(1+AN517),0)</f>
        <v>0</v>
      </c>
      <c r="AQ517" s="7" t="n">
        <f aca="false">IF(AK517=0,0,MAX(MIN(1,AO517^Power),0))</f>
        <v>0</v>
      </c>
      <c r="AR517" s="7" t="n">
        <f aca="false">IF(AL517=0,0,MAX(MIN(1,AP517^Power),0))</f>
        <v>0</v>
      </c>
      <c r="AS517" s="7" t="n">
        <f aca="false">IF($AJ517=1,IF($H517=0,K517,AS516),AS516)</f>
        <v>0</v>
      </c>
      <c r="AT517" s="7" t="n">
        <f aca="false">IF($AJ517=1,IF($H517=1,N517,AT516),AT516)</f>
        <v>0</v>
      </c>
    </row>
    <row r="518" customFormat="false" ht="13" hidden="false" customHeight="false" outlineLevel="0" collapsed="false">
      <c r="A518" s="16" t="n">
        <v>501</v>
      </c>
      <c r="B518" s="37" t="n">
        <f aca="true">IF(RAND()&lt;$D$8,1,0)</f>
        <v>0</v>
      </c>
      <c r="C518" s="20" t="n">
        <f aca="true">-LN(RAND())/$D$2</f>
        <v>0.24705818536117</v>
      </c>
      <c r="D518" s="38" t="n">
        <f aca="false">D517+C518</f>
        <v>522.884323919887</v>
      </c>
      <c r="E518" s="39" t="n">
        <f aca="false">MAX($E$3,AS517)</f>
        <v>0</v>
      </c>
      <c r="F518" s="39" t="n">
        <f aca="false">MAX($E$3,AT517)</f>
        <v>0</v>
      </c>
      <c r="G518" s="40" t="n">
        <v>0.5</v>
      </c>
      <c r="H518" s="38" t="n">
        <f aca="true">IF((B518=1),(IF((F518&lt;E518),1,(IF((F518=E518),(IF(RAND()&lt;G518,1,0)),0)))),(IF((RAND()&lt;G518),1,0)))</f>
        <v>1</v>
      </c>
      <c r="I518" s="38" t="n">
        <f aca="true">IF((H518=1),0,$D$3+$D$5*(RAND()-0.5))</f>
        <v>0</v>
      </c>
      <c r="J518" s="38" t="n">
        <f aca="false">I518+MAX(D518,J517)</f>
        <v>540.211431529486</v>
      </c>
      <c r="K518" s="38" t="n">
        <f aca="false">IF((H518=0),J518-D518,0)</f>
        <v>0</v>
      </c>
      <c r="L518" s="38" t="n">
        <f aca="true">IF(($H518=0),0,$D$4+$D$5*(RAND()-0.5))</f>
        <v>1.98266887549781</v>
      </c>
      <c r="M518" s="38" t="n">
        <f aca="false">L518+MAX(D518,M517)</f>
        <v>568.812121934043</v>
      </c>
      <c r="N518" s="38" t="n">
        <f aca="false">IF((H518=1),M518-D518,0)</f>
        <v>45.9277980141559</v>
      </c>
      <c r="O518" s="16" t="n">
        <v>501</v>
      </c>
      <c r="P518" s="41" t="n">
        <f aca="false">IF((Arterial=0),P517+1,P517)</f>
        <v>231</v>
      </c>
      <c r="Q518" s="41" t="n">
        <f aca="false">IF((Arterial=1),Q517+1,Q517)</f>
        <v>270</v>
      </c>
      <c r="R518" s="42" t="n">
        <f aca="false">IF((RESET=1),0,R518+K518)</f>
        <v>920.629837573453</v>
      </c>
      <c r="S518" s="14" t="e">
        <f aca="false">IF(RESET=1,0,S518+N518)</f>
        <v>#N/A</v>
      </c>
      <c r="T518" s="2" t="n">
        <f aca="false">IF(RESET=1,0,T518+IF(H518=0,1,0))</f>
        <v>50</v>
      </c>
      <c r="U518" s="2" t="e">
        <f aca="false">IF(RESET=1,0,U518+H518)</f>
        <v>#N/A</v>
      </c>
      <c r="V518" s="14" t="n">
        <f aca="false">R518/(T518+0.00001)</f>
        <v>18.4125930689504</v>
      </c>
      <c r="W518" s="14" t="e">
        <f aca="false">S518/(U518+0.0001)</f>
        <v>#N/A</v>
      </c>
      <c r="X518" s="39" t="n">
        <f aca="false">IF(Informed=1,K518,0)</f>
        <v>0</v>
      </c>
      <c r="Y518" s="39" t="n">
        <f aca="false">IF(Informed=0,K518,0)</f>
        <v>0</v>
      </c>
      <c r="Z518" s="39" t="n">
        <f aca="false">IF(Informed=1,N518,0)</f>
        <v>0</v>
      </c>
      <c r="AA518" s="39" t="n">
        <f aca="false">IF(Informed=0,N518,0)</f>
        <v>45.9277980141559</v>
      </c>
      <c r="AB518" s="43" t="n">
        <f aca="false">IF(Arterial=0,IF(Informed=1,1,0),0)</f>
        <v>0</v>
      </c>
      <c r="AC518" s="43" t="n">
        <f aca="false">IF(Arterial=0,IF(Informed=0,1,0),0)</f>
        <v>0</v>
      </c>
      <c r="AD518" s="43" t="n">
        <f aca="false">IF(Arterial=1,IF(Informed=1,1,0),0)</f>
        <v>0</v>
      </c>
      <c r="AE518" s="43" t="n">
        <f aca="false">IF(Arterial=1,IF(Informed=0,1,0),0)</f>
        <v>1</v>
      </c>
      <c r="AF518" s="35" t="n">
        <f aca="false">IF(AB518=1,(X518-G$1030)^2,0)</f>
        <v>0</v>
      </c>
      <c r="AG518" s="35" t="n">
        <f aca="false">IF(AC518=1,(Y518-H$1030)^2,0)</f>
        <v>0</v>
      </c>
      <c r="AH518" s="35" t="n">
        <f aca="false">IF(AD518=1,(Z518-I$1030)^2,0)</f>
        <v>0</v>
      </c>
      <c r="AI518" s="35" t="n">
        <f aca="false">IF(AE518=1,(AA518-J$1030)^2,0)</f>
        <v>267.764885755024</v>
      </c>
      <c r="AJ518" s="37" t="n">
        <f aca="true">IF(RAND()&lt;$D$6,1,0)</f>
        <v>0</v>
      </c>
      <c r="AK518" s="14" t="n">
        <f aca="false">AK517+IF((AJ518=1),IF((H518=0),1,0),0)</f>
        <v>0</v>
      </c>
      <c r="AL518" s="14" t="n">
        <f aca="false">AL517+IF((AJ518=1),IF((H518=1),1,0),0)</f>
        <v>0</v>
      </c>
      <c r="AM518" s="37" t="n">
        <f aca="false">IF(AK518=0,9999,IF($H518=0,IF($AJ518&lt;1,AM517+1,0),AM517))</f>
        <v>9999</v>
      </c>
      <c r="AN518" s="37" t="n">
        <f aca="false">IF(AL518=0,9999,IF($H518=1,IF($AJ518&lt;1,AN517+1,0),AN517))</f>
        <v>9999</v>
      </c>
      <c r="AO518" s="37" t="n">
        <f aca="false">IF($A518-AM518&gt;0,1/(1+AM518),0)</f>
        <v>0</v>
      </c>
      <c r="AP518" s="37" t="n">
        <f aca="false">IF($A518-AN518&gt;0,1/(1+AN518),0)</f>
        <v>0</v>
      </c>
      <c r="AQ518" s="7" t="n">
        <f aca="false">IF(AK518=0,0,MAX(MIN(1,AO518^Power),0))</f>
        <v>0</v>
      </c>
      <c r="AR518" s="7" t="n">
        <f aca="false">IF(AL518=0,0,MAX(MIN(1,AP518^Power),0))</f>
        <v>0</v>
      </c>
      <c r="AS518" s="7" t="n">
        <f aca="false">IF($AJ518=1,IF($H518=0,K518,AS517),AS517)</f>
        <v>0</v>
      </c>
      <c r="AT518" s="7" t="n">
        <f aca="false">IF($AJ518=1,IF($H518=1,N518,AT517),AT517)</f>
        <v>0</v>
      </c>
    </row>
    <row r="519" customFormat="false" ht="13" hidden="false" customHeight="false" outlineLevel="0" collapsed="false">
      <c r="A519" s="16" t="n">
        <v>502</v>
      </c>
      <c r="B519" s="37" t="n">
        <f aca="true">IF(RAND()&lt;$D$8,1,0)</f>
        <v>0</v>
      </c>
      <c r="C519" s="20" t="n">
        <f aca="true">-LN(RAND())/$D$2</f>
        <v>1.13857962569128</v>
      </c>
      <c r="D519" s="38" t="n">
        <f aca="false">D518+C519</f>
        <v>524.022903545578</v>
      </c>
      <c r="E519" s="39" t="n">
        <f aca="false">MAX($E$3,AS518)</f>
        <v>0</v>
      </c>
      <c r="F519" s="39" t="n">
        <f aca="false">MAX($E$3,AT518)</f>
        <v>0</v>
      </c>
      <c r="G519" s="40" t="n">
        <v>0.5</v>
      </c>
      <c r="H519" s="38" t="n">
        <f aca="true">IF((B519=1),(IF((F519&lt;E519),1,(IF((F519=E519),(IF(RAND()&lt;G519,1,0)),0)))),(IF((RAND()&lt;G519),1,0)))</f>
        <v>0</v>
      </c>
      <c r="I519" s="38" t="n">
        <f aca="true">IF((H519=1),0,$D$3+$D$5*(RAND()-0.5))</f>
        <v>1.78425545792096</v>
      </c>
      <c r="J519" s="38" t="n">
        <f aca="false">I519+MAX(D519,J518)</f>
        <v>541.995686987407</v>
      </c>
      <c r="K519" s="38" t="n">
        <f aca="false">IF((H519=0),J519-D519,0)</f>
        <v>17.9727834418286</v>
      </c>
      <c r="L519" s="38" t="n">
        <f aca="true">IF(($H519=0),0,$D$4+$D$5*(RAND()-0.5))</f>
        <v>0</v>
      </c>
      <c r="M519" s="38" t="n">
        <f aca="false">L519+MAX(D519,M518)</f>
        <v>568.812121934043</v>
      </c>
      <c r="N519" s="38" t="n">
        <f aca="false">IF((H519=1),M519-D519,0)</f>
        <v>0</v>
      </c>
      <c r="O519" s="16" t="n">
        <v>502</v>
      </c>
      <c r="P519" s="41" t="n">
        <f aca="false">IF((Arterial=0),P518+1,P518)</f>
        <v>232</v>
      </c>
      <c r="Q519" s="41" t="n">
        <f aca="false">IF((Arterial=1),Q518+1,Q518)</f>
        <v>270</v>
      </c>
      <c r="R519" s="42" t="e">
        <f aca="false">IF((RESET=1),0,R519+K519)</f>
        <v>#N/A</v>
      </c>
      <c r="S519" s="14" t="n">
        <f aca="false">IF(RESET=1,0,S519+N519)</f>
        <v>702.050665270524</v>
      </c>
      <c r="T519" s="2" t="e">
        <f aca="false">IF(RESET=1,0,T519+IF(H519=0,1,0))</f>
        <v>#N/A</v>
      </c>
      <c r="U519" s="2" t="n">
        <f aca="false">IF(RESET=1,0,U519+H519)</f>
        <v>45</v>
      </c>
      <c r="V519" s="14" t="e">
        <f aca="false">R519/(T519+0.00001)</f>
        <v>#N/A</v>
      </c>
      <c r="W519" s="14" t="n">
        <f aca="false">S519/(U519+0.0001)</f>
        <v>15.6010912258089</v>
      </c>
      <c r="X519" s="39" t="n">
        <f aca="false">IF(Informed=1,K519,0)</f>
        <v>0</v>
      </c>
      <c r="Y519" s="39" t="n">
        <f aca="false">IF(Informed=0,K519,0)</f>
        <v>17.9727834418286</v>
      </c>
      <c r="Z519" s="39" t="n">
        <f aca="false">IF(Informed=1,N519,0)</f>
        <v>0</v>
      </c>
      <c r="AA519" s="39" t="n">
        <f aca="false">IF(Informed=0,N519,0)</f>
        <v>0</v>
      </c>
      <c r="AB519" s="43" t="n">
        <f aca="false">IF(Arterial=0,IF(Informed=1,1,0),0)</f>
        <v>0</v>
      </c>
      <c r="AC519" s="43" t="n">
        <f aca="false">IF(Arterial=0,IF(Informed=0,1,0),0)</f>
        <v>1</v>
      </c>
      <c r="AD519" s="43" t="n">
        <f aca="false">IF(Arterial=1,IF(Informed=1,1,0),0)</f>
        <v>0</v>
      </c>
      <c r="AE519" s="43" t="n">
        <f aca="false">IF(Arterial=1,IF(Informed=0,1,0),0)</f>
        <v>0</v>
      </c>
      <c r="AF519" s="35" t="n">
        <f aca="false">IF(AB519=1,(X519-G$1030)^2,0)</f>
        <v>0</v>
      </c>
      <c r="AG519" s="35" t="n">
        <f aca="false">IF(AC519=1,(Y519-H$1030)^2,0)</f>
        <v>49.688375498254</v>
      </c>
      <c r="AH519" s="35" t="n">
        <f aca="false">IF(AD519=1,(Z519-I$1030)^2,0)</f>
        <v>0</v>
      </c>
      <c r="AI519" s="35" t="n">
        <f aca="false">IF(AE519=1,(AA519-J$1030)^2,0)</f>
        <v>0</v>
      </c>
      <c r="AJ519" s="37" t="n">
        <f aca="true">IF(RAND()&lt;$D$6,1,0)</f>
        <v>0</v>
      </c>
      <c r="AK519" s="14" t="n">
        <f aca="false">AK518+IF((AJ519=1),IF((H519=0),1,0),0)</f>
        <v>0</v>
      </c>
      <c r="AL519" s="14" t="n">
        <f aca="false">AL518+IF((AJ519=1),IF((H519=1),1,0),0)</f>
        <v>0</v>
      </c>
      <c r="AM519" s="37" t="n">
        <f aca="false">IF(AK519=0,9999,IF($H519=0,IF($AJ519&lt;1,AM518+1,0),AM518))</f>
        <v>9999</v>
      </c>
      <c r="AN519" s="37" t="n">
        <f aca="false">IF(AL519=0,9999,IF($H519=1,IF($AJ519&lt;1,AN518+1,0),AN518))</f>
        <v>9999</v>
      </c>
      <c r="AO519" s="37" t="n">
        <f aca="false">IF($A519-AM519&gt;0,1/(1+AM519),0)</f>
        <v>0</v>
      </c>
      <c r="AP519" s="37" t="n">
        <f aca="false">IF($A519-AN519&gt;0,1/(1+AN519),0)</f>
        <v>0</v>
      </c>
      <c r="AQ519" s="7" t="n">
        <f aca="false">IF(AK519=0,0,MAX(MIN(1,AO519^Power),0))</f>
        <v>0</v>
      </c>
      <c r="AR519" s="7" t="n">
        <f aca="false">IF(AL519=0,0,MAX(MIN(1,AP519^Power),0))</f>
        <v>0</v>
      </c>
      <c r="AS519" s="7" t="n">
        <f aca="false">IF($AJ519=1,IF($H519=0,K519,AS518),AS518)</f>
        <v>0</v>
      </c>
      <c r="AT519" s="7" t="n">
        <f aca="false">IF($AJ519=1,IF($H519=1,N519,AT518),AT518)</f>
        <v>0</v>
      </c>
    </row>
    <row r="520" customFormat="false" ht="13" hidden="false" customHeight="false" outlineLevel="0" collapsed="false">
      <c r="A520" s="16" t="n">
        <v>503</v>
      </c>
      <c r="B520" s="37" t="n">
        <f aca="true">IF(RAND()&lt;$D$8,1,0)</f>
        <v>0</v>
      </c>
      <c r="C520" s="20" t="n">
        <f aca="true">-LN(RAND())/$D$2</f>
        <v>0.00299028093063691</v>
      </c>
      <c r="D520" s="38" t="n">
        <f aca="false">D519+C520</f>
        <v>524.025893826509</v>
      </c>
      <c r="E520" s="39" t="n">
        <f aca="false">MAX($E$3,AS519)</f>
        <v>0</v>
      </c>
      <c r="F520" s="39" t="n">
        <f aca="false">MAX($E$3,AT519)</f>
        <v>0</v>
      </c>
      <c r="G520" s="40" t="n">
        <v>0.5</v>
      </c>
      <c r="H520" s="38" t="n">
        <f aca="true">IF((B520=1),(IF((F520&lt;E520),1,(IF((F520=E520),(IF(RAND()&lt;G520,1,0)),0)))),(IF((RAND()&lt;G520),1,0)))</f>
        <v>0</v>
      </c>
      <c r="I520" s="38" t="n">
        <f aca="true">IF((H520=1),0,$D$3+$D$5*(RAND()-0.5))</f>
        <v>1.88869556871487</v>
      </c>
      <c r="J520" s="38" t="n">
        <f aca="false">I520+MAX(D520,J519)</f>
        <v>543.884382556122</v>
      </c>
      <c r="K520" s="38" t="n">
        <f aca="false">IF((H520=0),J520-D520,0)</f>
        <v>19.8584887296129</v>
      </c>
      <c r="L520" s="38" t="n">
        <f aca="true">IF(($H520=0),0,$D$4+$D$5*(RAND()-0.5))</f>
        <v>0</v>
      </c>
      <c r="M520" s="38" t="n">
        <f aca="false">L520+MAX(D520,M519)</f>
        <v>568.812121934043</v>
      </c>
      <c r="N520" s="38" t="n">
        <f aca="false">IF((H520=1),M520-D520,0)</f>
        <v>0</v>
      </c>
      <c r="O520" s="16" t="n">
        <v>503</v>
      </c>
      <c r="P520" s="41" t="n">
        <f aca="false">IF((Arterial=0),P519+1,P519)</f>
        <v>233</v>
      </c>
      <c r="Q520" s="41" t="n">
        <f aca="false">IF((Arterial=1),Q519+1,Q519)</f>
        <v>270</v>
      </c>
      <c r="R520" s="42" t="e">
        <f aca="false">IF((RESET=1),0,R520+K520)</f>
        <v>#N/A</v>
      </c>
      <c r="S520" s="14" t="n">
        <f aca="false">IF(RESET=1,0,S520+N520)</f>
        <v>526.410486104857</v>
      </c>
      <c r="T520" s="2" t="e">
        <f aca="false">IF(RESET=1,0,T520+IF(H520=0,1,0))</f>
        <v>#N/A</v>
      </c>
      <c r="U520" s="2" t="n">
        <f aca="false">IF(RESET=1,0,U520+H520)</f>
        <v>35</v>
      </c>
      <c r="V520" s="14" t="e">
        <f aca="false">R520/(T520+0.00001)</f>
        <v>#N/A</v>
      </c>
      <c r="W520" s="14" t="n">
        <f aca="false">S520/(U520+0.0001)</f>
        <v>15.0402566308341</v>
      </c>
      <c r="X520" s="39" t="n">
        <f aca="false">IF(Informed=1,K520,0)</f>
        <v>0</v>
      </c>
      <c r="Y520" s="39" t="n">
        <f aca="false">IF(Informed=0,K520,0)</f>
        <v>19.8584887296129</v>
      </c>
      <c r="Z520" s="39" t="n">
        <f aca="false">IF(Informed=1,N520,0)</f>
        <v>0</v>
      </c>
      <c r="AA520" s="39" t="n">
        <f aca="false">IF(Informed=0,N520,0)</f>
        <v>0</v>
      </c>
      <c r="AB520" s="43" t="n">
        <f aca="false">IF(Arterial=0,IF(Informed=1,1,0),0)</f>
        <v>0</v>
      </c>
      <c r="AC520" s="43" t="n">
        <f aca="false">IF(Arterial=0,IF(Informed=0,1,0),0)</f>
        <v>1</v>
      </c>
      <c r="AD520" s="43" t="n">
        <f aca="false">IF(Arterial=1,IF(Informed=1,1,0),0)</f>
        <v>0</v>
      </c>
      <c r="AE520" s="43" t="n">
        <f aca="false">IF(Arterial=1,IF(Informed=0,1,0),0)</f>
        <v>0</v>
      </c>
      <c r="AF520" s="35" t="n">
        <f aca="false">IF(AB520=1,(X520-G$1030)^2,0)</f>
        <v>0</v>
      </c>
      <c r="AG520" s="35" t="n">
        <f aca="false">IF(AC520=1,(Y520-H$1030)^2,0)</f>
        <v>79.8289262557425</v>
      </c>
      <c r="AH520" s="35" t="n">
        <f aca="false">IF(AD520=1,(Z520-I$1030)^2,0)</f>
        <v>0</v>
      </c>
      <c r="AI520" s="35" t="n">
        <f aca="false">IF(AE520=1,(AA520-J$1030)^2,0)</f>
        <v>0</v>
      </c>
      <c r="AJ520" s="37" t="n">
        <f aca="true">IF(RAND()&lt;$D$6,1,0)</f>
        <v>0</v>
      </c>
      <c r="AK520" s="14" t="n">
        <f aca="false">AK519+IF((AJ520=1),IF((H520=0),1,0),0)</f>
        <v>0</v>
      </c>
      <c r="AL520" s="14" t="n">
        <f aca="false">AL519+IF((AJ520=1),IF((H520=1),1,0),0)</f>
        <v>0</v>
      </c>
      <c r="AM520" s="37" t="n">
        <f aca="false">IF(AK520=0,9999,IF($H520=0,IF($AJ520&lt;1,AM519+1,0),AM519))</f>
        <v>9999</v>
      </c>
      <c r="AN520" s="37" t="n">
        <f aca="false">IF(AL520=0,9999,IF($H520=1,IF($AJ520&lt;1,AN519+1,0),AN519))</f>
        <v>9999</v>
      </c>
      <c r="AO520" s="37" t="n">
        <f aca="false">IF($A520-AM520&gt;0,1/(1+AM520),0)</f>
        <v>0</v>
      </c>
      <c r="AP520" s="37" t="n">
        <f aca="false">IF($A520-AN520&gt;0,1/(1+AN520),0)</f>
        <v>0</v>
      </c>
      <c r="AQ520" s="7" t="n">
        <f aca="false">IF(AK520=0,0,MAX(MIN(1,AO520^Power),0))</f>
        <v>0</v>
      </c>
      <c r="AR520" s="7" t="n">
        <f aca="false">IF(AL520=0,0,MAX(MIN(1,AP520^Power),0))</f>
        <v>0</v>
      </c>
      <c r="AS520" s="7" t="n">
        <f aca="false">IF($AJ520=1,IF($H520=0,K520,AS519),AS519)</f>
        <v>0</v>
      </c>
      <c r="AT520" s="7" t="n">
        <f aca="false">IF($AJ520=1,IF($H520=1,N520,AT519),AT519)</f>
        <v>0</v>
      </c>
    </row>
    <row r="521" customFormat="false" ht="13" hidden="false" customHeight="false" outlineLevel="0" collapsed="false">
      <c r="A521" s="16" t="n">
        <v>504</v>
      </c>
      <c r="B521" s="37" t="n">
        <f aca="true">IF(RAND()&lt;$D$8,1,0)</f>
        <v>0</v>
      </c>
      <c r="C521" s="20" t="n">
        <f aca="true">-LN(RAND())/$D$2</f>
        <v>0.214510286726685</v>
      </c>
      <c r="D521" s="38" t="n">
        <f aca="false">D520+C521</f>
        <v>524.240404113236</v>
      </c>
      <c r="E521" s="39" t="n">
        <f aca="false">MAX($E$3,AS520)</f>
        <v>0</v>
      </c>
      <c r="F521" s="39" t="n">
        <f aca="false">MAX($E$3,AT520)</f>
        <v>0</v>
      </c>
      <c r="G521" s="40" t="n">
        <v>0.5</v>
      </c>
      <c r="H521" s="38" t="n">
        <f aca="true">IF((B521=1),(IF((F521&lt;E521),1,(IF((F521=E521),(IF(RAND()&lt;G521,1,0)),0)))),(IF((RAND()&lt;G521),1,0)))</f>
        <v>1</v>
      </c>
      <c r="I521" s="38" t="n">
        <f aca="true">IF((H521=1),0,$D$3+$D$5*(RAND()-0.5))</f>
        <v>0</v>
      </c>
      <c r="J521" s="38" t="n">
        <f aca="false">I521+MAX(D521,J520)</f>
        <v>543.884382556122</v>
      </c>
      <c r="K521" s="38" t="n">
        <f aca="false">IF((H521=0),J521-D521,0)</f>
        <v>0</v>
      </c>
      <c r="L521" s="38" t="n">
        <f aca="true">IF(($H521=0),0,$D$4+$D$5*(RAND()-0.5))</f>
        <v>2.04185284409028</v>
      </c>
      <c r="M521" s="38" t="n">
        <f aca="false">L521+MAX(D521,M520)</f>
        <v>570.853974778133</v>
      </c>
      <c r="N521" s="38" t="n">
        <f aca="false">IF((H521=1),M521-D521,0)</f>
        <v>46.6135706648977</v>
      </c>
      <c r="O521" s="16" t="n">
        <v>504</v>
      </c>
      <c r="P521" s="41" t="n">
        <f aca="false">IF((Arterial=0),P520+1,P520)</f>
        <v>233</v>
      </c>
      <c r="Q521" s="41" t="n">
        <f aca="false">IF((Arterial=1),Q520+1,Q520)</f>
        <v>271</v>
      </c>
      <c r="R521" s="42" t="n">
        <f aca="false">IF((RESET=1),0,R521+K521)</f>
        <v>648.948668433196</v>
      </c>
      <c r="S521" s="14" t="e">
        <f aca="false">IF(RESET=1,0,S521+N521)</f>
        <v>#N/A</v>
      </c>
      <c r="T521" s="2" t="n">
        <f aca="false">IF(RESET=1,0,T521+IF(H521=0,1,0))</f>
        <v>42</v>
      </c>
      <c r="U521" s="2" t="e">
        <f aca="false">IF(RESET=1,0,U521+H521)</f>
        <v>#N/A</v>
      </c>
      <c r="V521" s="14" t="n">
        <f aca="false">R521/(T521+0.00001)</f>
        <v>15.4511550933725</v>
      </c>
      <c r="W521" s="14" t="e">
        <f aca="false">S521/(U521+0.0001)</f>
        <v>#N/A</v>
      </c>
      <c r="X521" s="39" t="n">
        <f aca="false">IF(Informed=1,K521,0)</f>
        <v>0</v>
      </c>
      <c r="Y521" s="39" t="n">
        <f aca="false">IF(Informed=0,K521,0)</f>
        <v>0</v>
      </c>
      <c r="Z521" s="39" t="n">
        <f aca="false">IF(Informed=1,N521,0)</f>
        <v>0</v>
      </c>
      <c r="AA521" s="39" t="n">
        <f aca="false">IF(Informed=0,N521,0)</f>
        <v>46.6135706648977</v>
      </c>
      <c r="AB521" s="43" t="n">
        <f aca="false">IF(Arterial=0,IF(Informed=1,1,0),0)</f>
        <v>0</v>
      </c>
      <c r="AC521" s="43" t="n">
        <f aca="false">IF(Arterial=0,IF(Informed=0,1,0),0)</f>
        <v>0</v>
      </c>
      <c r="AD521" s="43" t="n">
        <f aca="false">IF(Arterial=1,IF(Informed=1,1,0),0)</f>
        <v>0</v>
      </c>
      <c r="AE521" s="43" t="n">
        <f aca="false">IF(Arterial=1,IF(Informed=0,1,0),0)</f>
        <v>1</v>
      </c>
      <c r="AF521" s="35" t="n">
        <f aca="false">IF(AB521=1,(X521-G$1030)^2,0)</f>
        <v>0</v>
      </c>
      <c r="AG521" s="35" t="n">
        <f aca="false">IF(AC521=1,(Y521-H$1030)^2,0)</f>
        <v>0</v>
      </c>
      <c r="AH521" s="35" t="n">
        <f aca="false">IF(AD521=1,(Z521-I$1030)^2,0)</f>
        <v>0</v>
      </c>
      <c r="AI521" s="35" t="n">
        <f aca="false">IF(AE521=1,(AA521-J$1030)^2,0)</f>
        <v>290.678483002734</v>
      </c>
      <c r="AJ521" s="37" t="n">
        <f aca="true">IF(RAND()&lt;$D$6,1,0)</f>
        <v>0</v>
      </c>
      <c r="AK521" s="14" t="n">
        <f aca="false">AK520+IF((AJ521=1),IF((H521=0),1,0),0)</f>
        <v>0</v>
      </c>
      <c r="AL521" s="14" t="n">
        <f aca="false">AL520+IF((AJ521=1),IF((H521=1),1,0),0)</f>
        <v>0</v>
      </c>
      <c r="AM521" s="37" t="n">
        <f aca="false">IF(AK521=0,9999,IF($H521=0,IF($AJ521&lt;1,AM520+1,0),AM520))</f>
        <v>9999</v>
      </c>
      <c r="AN521" s="37" t="n">
        <f aca="false">IF(AL521=0,9999,IF($H521=1,IF($AJ521&lt;1,AN520+1,0),AN520))</f>
        <v>9999</v>
      </c>
      <c r="AO521" s="37" t="n">
        <f aca="false">IF($A521-AM521&gt;0,1/(1+AM521),0)</f>
        <v>0</v>
      </c>
      <c r="AP521" s="37" t="n">
        <f aca="false">IF($A521-AN521&gt;0,1/(1+AN521),0)</f>
        <v>0</v>
      </c>
      <c r="AQ521" s="7" t="n">
        <f aca="false">IF(AK521=0,0,MAX(MIN(1,AO521^Power),0))</f>
        <v>0</v>
      </c>
      <c r="AR521" s="7" t="n">
        <f aca="false">IF(AL521=0,0,MAX(MIN(1,AP521^Power),0))</f>
        <v>0</v>
      </c>
      <c r="AS521" s="7" t="n">
        <f aca="false">IF($AJ521=1,IF($H521=0,K521,AS520),AS520)</f>
        <v>0</v>
      </c>
      <c r="AT521" s="7" t="n">
        <f aca="false">IF($AJ521=1,IF($H521=1,N521,AT520),AT520)</f>
        <v>0</v>
      </c>
    </row>
    <row r="522" customFormat="false" ht="13" hidden="false" customHeight="false" outlineLevel="0" collapsed="false">
      <c r="A522" s="16" t="n">
        <v>505</v>
      </c>
      <c r="B522" s="37" t="n">
        <f aca="true">IF(RAND()&lt;$D$8,1,0)</f>
        <v>1</v>
      </c>
      <c r="C522" s="20" t="n">
        <f aca="true">-LN(RAND())/$D$2</f>
        <v>0.31459089787534</v>
      </c>
      <c r="D522" s="38" t="n">
        <f aca="false">D521+C522</f>
        <v>524.554995011111</v>
      </c>
      <c r="E522" s="39" t="n">
        <f aca="false">MAX($E$3,AS521)</f>
        <v>0</v>
      </c>
      <c r="F522" s="39" t="n">
        <f aca="false">MAX($E$3,AT521)</f>
        <v>0</v>
      </c>
      <c r="G522" s="40" t="n">
        <v>0.5</v>
      </c>
      <c r="H522" s="38" t="n">
        <f aca="true">IF((B522=1),(IF((F522&lt;E522),1,(IF((F522=E522),(IF(RAND()&lt;G522,1,0)),0)))),(IF((RAND()&lt;G522),1,0)))</f>
        <v>1</v>
      </c>
      <c r="I522" s="38" t="n">
        <f aca="true">IF((H522=1),0,$D$3+$D$5*(RAND()-0.5))</f>
        <v>0</v>
      </c>
      <c r="J522" s="38" t="n">
        <f aca="false">I522+MAX(D522,J521)</f>
        <v>543.884382556122</v>
      </c>
      <c r="K522" s="38" t="n">
        <f aca="false">IF((H522=0),J522-D522,0)</f>
        <v>0</v>
      </c>
      <c r="L522" s="38" t="n">
        <f aca="true">IF(($H522=0),0,$D$4+$D$5*(RAND()-0.5))</f>
        <v>2.14108285455604</v>
      </c>
      <c r="M522" s="38" t="n">
        <f aca="false">L522+MAX(D522,M521)</f>
        <v>572.995057632689</v>
      </c>
      <c r="N522" s="38" t="n">
        <f aca="false">IF((H522=1),M522-D522,0)</f>
        <v>48.4400626215785</v>
      </c>
      <c r="O522" s="16" t="n">
        <v>505</v>
      </c>
      <c r="P522" s="41" t="n">
        <f aca="false">IF((Arterial=0),P521+1,P521)</f>
        <v>233</v>
      </c>
      <c r="Q522" s="41" t="n">
        <f aca="false">IF((Arterial=1),Q521+1,Q521)</f>
        <v>272</v>
      </c>
      <c r="R522" s="42" t="n">
        <f aca="false">IF((RESET=1),0,R522+K522)</f>
        <v>716.772030727557</v>
      </c>
      <c r="S522" s="14" t="e">
        <f aca="false">IF(RESET=1,0,S522+N522)</f>
        <v>#N/A</v>
      </c>
      <c r="T522" s="2" t="n">
        <f aca="false">IF(RESET=1,0,T522+IF(H522=0,1,0))</f>
        <v>42</v>
      </c>
      <c r="U522" s="2" t="e">
        <f aca="false">IF(RESET=1,0,U522+H522)</f>
        <v>#N/A</v>
      </c>
      <c r="V522" s="14" t="n">
        <f aca="false">R522/(T522+0.00001)</f>
        <v>17.065996668276</v>
      </c>
      <c r="W522" s="14" t="e">
        <f aca="false">S522/(U522+0.0001)</f>
        <v>#N/A</v>
      </c>
      <c r="X522" s="39" t="n">
        <f aca="false">IF(Informed=1,K522,0)</f>
        <v>0</v>
      </c>
      <c r="Y522" s="39" t="n">
        <f aca="false">IF(Informed=0,K522,0)</f>
        <v>0</v>
      </c>
      <c r="Z522" s="39" t="n">
        <f aca="false">IF(Informed=1,N522,0)</f>
        <v>48.4400626215785</v>
      </c>
      <c r="AA522" s="39" t="n">
        <f aca="false">IF(Informed=0,N522,0)</f>
        <v>0</v>
      </c>
      <c r="AB522" s="43" t="n">
        <f aca="false">IF(Arterial=0,IF(Informed=1,1,0),0)</f>
        <v>0</v>
      </c>
      <c r="AC522" s="43" t="n">
        <f aca="false">IF(Arterial=0,IF(Informed=0,1,0),0)</f>
        <v>0</v>
      </c>
      <c r="AD522" s="43" t="n">
        <f aca="false">IF(Arterial=1,IF(Informed=1,1,0),0)</f>
        <v>1</v>
      </c>
      <c r="AE522" s="43" t="n">
        <f aca="false">IF(Arterial=1,IF(Informed=0,1,0),0)</f>
        <v>0</v>
      </c>
      <c r="AF522" s="35" t="n">
        <f aca="false">IF(AB522=1,(X522-G$1030)^2,0)</f>
        <v>0</v>
      </c>
      <c r="AG522" s="35" t="n">
        <f aca="false">IF(AC522=1,(Y522-H$1030)^2,0)</f>
        <v>0</v>
      </c>
      <c r="AH522" s="35" t="n">
        <f aca="false">IF(AD522=1,(Z522-I$1030)^2,0)</f>
        <v>402.613367803288</v>
      </c>
      <c r="AI522" s="35" t="n">
        <f aca="false">IF(AE522=1,(AA522-J$1030)^2,0)</f>
        <v>0</v>
      </c>
      <c r="AJ522" s="37" t="n">
        <f aca="true">IF(RAND()&lt;$D$6,1,0)</f>
        <v>0</v>
      </c>
      <c r="AK522" s="14" t="n">
        <f aca="false">AK521+IF((AJ522=1),IF((H522=0),1,0),0)</f>
        <v>0</v>
      </c>
      <c r="AL522" s="14" t="n">
        <f aca="false">AL521+IF((AJ522=1),IF((H522=1),1,0),0)</f>
        <v>0</v>
      </c>
      <c r="AM522" s="37" t="n">
        <f aca="false">IF(AK522=0,9999,IF($H522=0,IF($AJ522&lt;1,AM521+1,0),AM521))</f>
        <v>9999</v>
      </c>
      <c r="AN522" s="37" t="n">
        <f aca="false">IF(AL522=0,9999,IF($H522=1,IF($AJ522&lt;1,AN521+1,0),AN521))</f>
        <v>9999</v>
      </c>
      <c r="AO522" s="37" t="n">
        <f aca="false">IF($A522-AM522&gt;0,1/(1+AM522),0)</f>
        <v>0</v>
      </c>
      <c r="AP522" s="37" t="n">
        <f aca="false">IF($A522-AN522&gt;0,1/(1+AN522),0)</f>
        <v>0</v>
      </c>
      <c r="AQ522" s="7" t="n">
        <f aca="false">IF(AK522=0,0,MAX(MIN(1,AO522^Power),0))</f>
        <v>0</v>
      </c>
      <c r="AR522" s="7" t="n">
        <f aca="false">IF(AL522=0,0,MAX(MIN(1,AP522^Power),0))</f>
        <v>0</v>
      </c>
      <c r="AS522" s="7" t="n">
        <f aca="false">IF($AJ522=1,IF($H522=0,K522,AS521),AS521)</f>
        <v>0</v>
      </c>
      <c r="AT522" s="7" t="n">
        <f aca="false">IF($AJ522=1,IF($H522=1,N522,AT521),AT521)</f>
        <v>0</v>
      </c>
    </row>
    <row r="523" customFormat="false" ht="13" hidden="false" customHeight="false" outlineLevel="0" collapsed="false">
      <c r="A523" s="16" t="n">
        <v>506</v>
      </c>
      <c r="B523" s="37" t="n">
        <f aca="true">IF(RAND()&lt;$D$8,1,0)</f>
        <v>1</v>
      </c>
      <c r="C523" s="20" t="n">
        <f aca="true">-LN(RAND())/$D$2</f>
        <v>3.24886760290692</v>
      </c>
      <c r="D523" s="38" t="n">
        <f aca="false">D522+C523</f>
        <v>527.803862614018</v>
      </c>
      <c r="E523" s="39" t="n">
        <f aca="false">MAX($E$3,AS522)</f>
        <v>0</v>
      </c>
      <c r="F523" s="39" t="n">
        <f aca="false">MAX($E$3,AT522)</f>
        <v>0</v>
      </c>
      <c r="G523" s="40" t="n">
        <v>0.5</v>
      </c>
      <c r="H523" s="38" t="n">
        <f aca="true">IF((B523=1),(IF((F523&lt;E523),1,(IF((F523=E523),(IF(RAND()&lt;G523,1,0)),0)))),(IF((RAND()&lt;G523),1,0)))</f>
        <v>1</v>
      </c>
      <c r="I523" s="38" t="n">
        <f aca="true">IF((H523=1),0,$D$3+$D$5*(RAND()-0.5))</f>
        <v>0</v>
      </c>
      <c r="J523" s="38" t="n">
        <f aca="false">I523+MAX(D523,J522)</f>
        <v>543.884382556122</v>
      </c>
      <c r="K523" s="38" t="n">
        <f aca="false">IF((H523=0),J523-D523,0)</f>
        <v>0</v>
      </c>
      <c r="L523" s="38" t="n">
        <f aca="true">IF(($H523=0),0,$D$4+$D$5*(RAND()-0.5))</f>
        <v>2.23176016123083</v>
      </c>
      <c r="M523" s="38" t="n">
        <f aca="false">L523+MAX(D523,M522)</f>
        <v>575.22681779392</v>
      </c>
      <c r="N523" s="38" t="n">
        <f aca="false">IF((H523=1),M523-D523,0)</f>
        <v>47.4229551799024</v>
      </c>
      <c r="O523" s="16" t="n">
        <v>506</v>
      </c>
      <c r="P523" s="41" t="n">
        <f aca="false">IF((Arterial=0),P522+1,P522)</f>
        <v>233</v>
      </c>
      <c r="Q523" s="41" t="n">
        <f aca="false">IF((Arterial=1),Q522+1,Q522)</f>
        <v>273</v>
      </c>
      <c r="R523" s="42" t="n">
        <f aca="false">IF((RESET=1),0,R523+K523)</f>
        <v>628.493919886985</v>
      </c>
      <c r="S523" s="14" t="e">
        <f aca="false">IF(RESET=1,0,S523+N523)</f>
        <v>#N/A</v>
      </c>
      <c r="T523" s="2" t="n">
        <f aca="false">IF(RESET=1,0,T523+IF(H523=0,1,0))</f>
        <v>40</v>
      </c>
      <c r="U523" s="2" t="e">
        <f aca="false">IF(RESET=1,0,U523+H523)</f>
        <v>#N/A</v>
      </c>
      <c r="V523" s="14" t="n">
        <f aca="false">R523/(T523+0.00001)</f>
        <v>15.7123440690886</v>
      </c>
      <c r="W523" s="14" t="e">
        <f aca="false">S523/(U523+0.0001)</f>
        <v>#N/A</v>
      </c>
      <c r="X523" s="39" t="n">
        <f aca="false">IF(Informed=1,K523,0)</f>
        <v>0</v>
      </c>
      <c r="Y523" s="39" t="n">
        <f aca="false">IF(Informed=0,K523,0)</f>
        <v>0</v>
      </c>
      <c r="Z523" s="39" t="n">
        <f aca="false">IF(Informed=1,N523,0)</f>
        <v>47.4229551799024</v>
      </c>
      <c r="AA523" s="39" t="n">
        <f aca="false">IF(Informed=0,N523,0)</f>
        <v>0</v>
      </c>
      <c r="AB523" s="43" t="n">
        <f aca="false">IF(Arterial=0,IF(Informed=1,1,0),0)</f>
        <v>0</v>
      </c>
      <c r="AC523" s="43" t="n">
        <f aca="false">IF(Arterial=0,IF(Informed=0,1,0),0)</f>
        <v>0</v>
      </c>
      <c r="AD523" s="43" t="n">
        <f aca="false">IF(Arterial=1,IF(Informed=1,1,0),0)</f>
        <v>1</v>
      </c>
      <c r="AE523" s="43" t="n">
        <f aca="false">IF(Arterial=1,IF(Informed=0,1,0),0)</f>
        <v>0</v>
      </c>
      <c r="AF523" s="35" t="n">
        <f aca="false">IF(AB523=1,(X523-G$1030)^2,0)</f>
        <v>0</v>
      </c>
      <c r="AG523" s="35" t="n">
        <f aca="false">IF(AC523=1,(Y523-H$1030)^2,0)</f>
        <v>0</v>
      </c>
      <c r="AH523" s="35" t="n">
        <f aca="false">IF(AD523=1,(Z523-I$1030)^2,0)</f>
        <v>362.830890264934</v>
      </c>
      <c r="AI523" s="35" t="n">
        <f aca="false">IF(AE523=1,(AA523-J$1030)^2,0)</f>
        <v>0</v>
      </c>
      <c r="AJ523" s="37" t="n">
        <f aca="true">IF(RAND()&lt;$D$6,1,0)</f>
        <v>0</v>
      </c>
      <c r="AK523" s="14" t="n">
        <f aca="false">AK522+IF((AJ523=1),IF((H523=0),1,0),0)</f>
        <v>0</v>
      </c>
      <c r="AL523" s="14" t="n">
        <f aca="false">AL522+IF((AJ523=1),IF((H523=1),1,0),0)</f>
        <v>0</v>
      </c>
      <c r="AM523" s="37" t="n">
        <f aca="false">IF(AK523=0,9999,IF($H523=0,IF($AJ523&lt;1,AM522+1,0),AM522))</f>
        <v>9999</v>
      </c>
      <c r="AN523" s="37" t="n">
        <f aca="false">IF(AL523=0,9999,IF($H523=1,IF($AJ523&lt;1,AN522+1,0),AN522))</f>
        <v>9999</v>
      </c>
      <c r="AO523" s="37" t="n">
        <f aca="false">IF($A523-AM523&gt;0,1/(1+AM523),0)</f>
        <v>0</v>
      </c>
      <c r="AP523" s="37" t="n">
        <f aca="false">IF($A523-AN523&gt;0,1/(1+AN523),0)</f>
        <v>0</v>
      </c>
      <c r="AQ523" s="7" t="n">
        <f aca="false">IF(AK523=0,0,MAX(MIN(1,AO523^Power),0))</f>
        <v>0</v>
      </c>
      <c r="AR523" s="7" t="n">
        <f aca="false">IF(AL523=0,0,MAX(MIN(1,AP523^Power),0))</f>
        <v>0</v>
      </c>
      <c r="AS523" s="7" t="n">
        <f aca="false">IF($AJ523=1,IF($H523=0,K523,AS522),AS522)</f>
        <v>0</v>
      </c>
      <c r="AT523" s="7" t="n">
        <f aca="false">IF($AJ523=1,IF($H523=1,N523,AT522),AT522)</f>
        <v>0</v>
      </c>
    </row>
    <row r="524" customFormat="false" ht="13" hidden="false" customHeight="false" outlineLevel="0" collapsed="false">
      <c r="A524" s="16" t="n">
        <v>507</v>
      </c>
      <c r="B524" s="37" t="n">
        <f aca="true">IF(RAND()&lt;$D$8,1,0)</f>
        <v>0</v>
      </c>
      <c r="C524" s="20" t="n">
        <f aca="true">-LN(RAND())/$D$2</f>
        <v>0.295288405027369</v>
      </c>
      <c r="D524" s="38" t="n">
        <f aca="false">D523+C524</f>
        <v>528.099151019045</v>
      </c>
      <c r="E524" s="39" t="n">
        <f aca="false">MAX($E$3,AS523)</f>
        <v>0</v>
      </c>
      <c r="F524" s="39" t="n">
        <f aca="false">MAX($E$3,AT523)</f>
        <v>0</v>
      </c>
      <c r="G524" s="40" t="n">
        <v>0.5</v>
      </c>
      <c r="H524" s="38" t="n">
        <f aca="true">IF((B524=1),(IF((F524&lt;E524),1,(IF((F524=E524),(IF(RAND()&lt;G524,1,0)),0)))),(IF((RAND()&lt;G524),1,0)))</f>
        <v>0</v>
      </c>
      <c r="I524" s="38" t="n">
        <f aca="true">IF((H524=1),0,$D$3+$D$5*(RAND()-0.5))</f>
        <v>1.94503441744482</v>
      </c>
      <c r="J524" s="38" t="n">
        <f aca="false">I524+MAX(D524,J523)</f>
        <v>545.829416973567</v>
      </c>
      <c r="K524" s="38" t="n">
        <f aca="false">IF((H524=0),J524-D524,0)</f>
        <v>17.7302659545215</v>
      </c>
      <c r="L524" s="38" t="n">
        <f aca="true">IF(($H524=0),0,$D$4+$D$5*(RAND()-0.5))</f>
        <v>0</v>
      </c>
      <c r="M524" s="38" t="n">
        <f aca="false">L524+MAX(D524,M523)</f>
        <v>575.22681779392</v>
      </c>
      <c r="N524" s="38" t="n">
        <f aca="false">IF((H524=1),M524-D524,0)</f>
        <v>0</v>
      </c>
      <c r="O524" s="16" t="n">
        <v>507</v>
      </c>
      <c r="P524" s="41" t="n">
        <f aca="false">IF((Arterial=0),P523+1,P523)</f>
        <v>234</v>
      </c>
      <c r="Q524" s="41" t="n">
        <f aca="false">IF((Arterial=1),Q523+1,Q523)</f>
        <v>273</v>
      </c>
      <c r="R524" s="42" t="e">
        <f aca="false">IF((RESET=1),0,R524+K524)</f>
        <v>#N/A</v>
      </c>
      <c r="S524" s="14" t="n">
        <f aca="false">IF(RESET=1,0,S524+N524)</f>
        <v>726.676733870877</v>
      </c>
      <c r="T524" s="2" t="e">
        <f aca="false">IF(RESET=1,0,T524+IF(H524=0,1,0))</f>
        <v>#N/A</v>
      </c>
      <c r="U524" s="2" t="n">
        <f aca="false">IF(RESET=1,0,U524+H524)</f>
        <v>42</v>
      </c>
      <c r="V524" s="14" t="e">
        <f aca="false">R524/(T524+0.00001)</f>
        <v>#N/A</v>
      </c>
      <c r="W524" s="14" t="n">
        <f aca="false">S524/(U524+0.0001)</f>
        <v>17.3017858021975</v>
      </c>
      <c r="X524" s="39" t="n">
        <f aca="false">IF(Informed=1,K524,0)</f>
        <v>0</v>
      </c>
      <c r="Y524" s="39" t="n">
        <f aca="false">IF(Informed=0,K524,0)</f>
        <v>17.7302659545215</v>
      </c>
      <c r="Z524" s="39" t="n">
        <f aca="false">IF(Informed=1,N524,0)</f>
        <v>0</v>
      </c>
      <c r="AA524" s="39" t="n">
        <f aca="false">IF(Informed=0,N524,0)</f>
        <v>0</v>
      </c>
      <c r="AB524" s="43" t="n">
        <f aca="false">IF(Arterial=0,IF(Informed=1,1,0),0)</f>
        <v>0</v>
      </c>
      <c r="AC524" s="43" t="n">
        <f aca="false">IF(Arterial=0,IF(Informed=0,1,0),0)</f>
        <v>1</v>
      </c>
      <c r="AD524" s="43" t="n">
        <f aca="false">IF(Arterial=1,IF(Informed=1,1,0),0)</f>
        <v>0</v>
      </c>
      <c r="AE524" s="43" t="n">
        <f aca="false">IF(Arterial=1,IF(Informed=0,1,0),0)</f>
        <v>0</v>
      </c>
      <c r="AF524" s="35" t="n">
        <f aca="false">IF(AB524=1,(X524-G$1030)^2,0)</f>
        <v>0</v>
      </c>
      <c r="AG524" s="35" t="n">
        <f aca="false">IF(AC524=1,(Y524-H$1030)^2,0)</f>
        <v>46.3281795712244</v>
      </c>
      <c r="AH524" s="35" t="n">
        <f aca="false">IF(AD524=1,(Z524-I$1030)^2,0)</f>
        <v>0</v>
      </c>
      <c r="AI524" s="35" t="n">
        <f aca="false">IF(AE524=1,(AA524-J$1030)^2,0)</f>
        <v>0</v>
      </c>
      <c r="AJ524" s="37" t="n">
        <f aca="true">IF(RAND()&lt;$D$6,1,0)</f>
        <v>0</v>
      </c>
      <c r="AK524" s="14" t="n">
        <f aca="false">AK523+IF((AJ524=1),IF((H524=0),1,0),0)</f>
        <v>0</v>
      </c>
      <c r="AL524" s="14" t="n">
        <f aca="false">AL523+IF((AJ524=1),IF((H524=1),1,0),0)</f>
        <v>0</v>
      </c>
      <c r="AM524" s="37" t="n">
        <f aca="false">IF(AK524=0,9999,IF($H524=0,IF($AJ524&lt;1,AM523+1,0),AM523))</f>
        <v>9999</v>
      </c>
      <c r="AN524" s="37" t="n">
        <f aca="false">IF(AL524=0,9999,IF($H524=1,IF($AJ524&lt;1,AN523+1,0),AN523))</f>
        <v>9999</v>
      </c>
      <c r="AO524" s="37" t="n">
        <f aca="false">IF($A524-AM524&gt;0,1/(1+AM524),0)</f>
        <v>0</v>
      </c>
      <c r="AP524" s="37" t="n">
        <f aca="false">IF($A524-AN524&gt;0,1/(1+AN524),0)</f>
        <v>0</v>
      </c>
      <c r="AQ524" s="7" t="n">
        <f aca="false">IF(AK524=0,0,MAX(MIN(1,AO524^Power),0))</f>
        <v>0</v>
      </c>
      <c r="AR524" s="7" t="n">
        <f aca="false">IF(AL524=0,0,MAX(MIN(1,AP524^Power),0))</f>
        <v>0</v>
      </c>
      <c r="AS524" s="7" t="n">
        <f aca="false">IF($AJ524=1,IF($H524=0,K524,AS523),AS523)</f>
        <v>0</v>
      </c>
      <c r="AT524" s="7" t="n">
        <f aca="false">IF($AJ524=1,IF($H524=1,N524,AT523),AT523)</f>
        <v>0</v>
      </c>
    </row>
    <row r="525" customFormat="false" ht="13" hidden="false" customHeight="false" outlineLevel="0" collapsed="false">
      <c r="A525" s="16" t="n">
        <v>508</v>
      </c>
      <c r="B525" s="37" t="n">
        <f aca="true">IF(RAND()&lt;$D$8,1,0)</f>
        <v>1</v>
      </c>
      <c r="C525" s="20" t="n">
        <f aca="true">-LN(RAND())/$D$2</f>
        <v>1.37636283552544</v>
      </c>
      <c r="D525" s="38" t="n">
        <f aca="false">D524+C525</f>
        <v>529.475513854571</v>
      </c>
      <c r="E525" s="39" t="n">
        <f aca="false">MAX($E$3,AS524)</f>
        <v>0</v>
      </c>
      <c r="F525" s="39" t="n">
        <f aca="false">MAX($E$3,AT524)</f>
        <v>0</v>
      </c>
      <c r="G525" s="40" t="n">
        <v>0.5</v>
      </c>
      <c r="H525" s="38" t="n">
        <f aca="true">IF((B525=1),(IF((F525&lt;E525),1,(IF((F525=E525),(IF(RAND()&lt;G525,1,0)),0)))),(IF((RAND()&lt;G525),1,0)))</f>
        <v>1</v>
      </c>
      <c r="I525" s="38" t="n">
        <f aca="true">IF((H525=1),0,$D$3+$D$5*(RAND()-0.5))</f>
        <v>0</v>
      </c>
      <c r="J525" s="38" t="n">
        <f aca="false">I525+MAX(D525,J524)</f>
        <v>545.829416973567</v>
      </c>
      <c r="K525" s="38" t="n">
        <f aca="false">IF((H525=0),J525-D525,0)</f>
        <v>0</v>
      </c>
      <c r="L525" s="38" t="n">
        <f aca="true">IF(($H525=0),0,$D$4+$D$5*(RAND()-0.5))</f>
        <v>1.83780082391502</v>
      </c>
      <c r="M525" s="38" t="n">
        <f aca="false">L525+MAX(D525,M524)</f>
        <v>577.064618617835</v>
      </c>
      <c r="N525" s="38" t="n">
        <f aca="false">IF((H525=1),M525-D525,0)</f>
        <v>47.5891047632646</v>
      </c>
      <c r="O525" s="16" t="n">
        <v>508</v>
      </c>
      <c r="P525" s="41" t="n">
        <f aca="false">IF((Arterial=0),P524+1,P524)</f>
        <v>234</v>
      </c>
      <c r="Q525" s="41" t="n">
        <f aca="false">IF((Arterial=1),Q524+1,Q524)</f>
        <v>274</v>
      </c>
      <c r="R525" s="42" t="n">
        <f aca="false">IF((RESET=1),0,R525+K525)</f>
        <v>713.922917174996</v>
      </c>
      <c r="S525" s="14" t="e">
        <f aca="false">IF(RESET=1,0,S525+N525)</f>
        <v>#N/A</v>
      </c>
      <c r="T525" s="2" t="n">
        <f aca="false">IF(RESET=1,0,T525+IF(H525=0,1,0))</f>
        <v>42</v>
      </c>
      <c r="U525" s="2" t="e">
        <f aca="false">IF(RESET=1,0,U525+H525)</f>
        <v>#N/A</v>
      </c>
      <c r="V525" s="14" t="n">
        <f aca="false">R525/(T525+0.00001)</f>
        <v>16.9981606474617</v>
      </c>
      <c r="W525" s="14" t="e">
        <f aca="false">S525/(U525+0.0001)</f>
        <v>#N/A</v>
      </c>
      <c r="X525" s="39" t="n">
        <f aca="false">IF(Informed=1,K525,0)</f>
        <v>0</v>
      </c>
      <c r="Y525" s="39" t="n">
        <f aca="false">IF(Informed=0,K525,0)</f>
        <v>0</v>
      </c>
      <c r="Z525" s="39" t="n">
        <f aca="false">IF(Informed=1,N525,0)</f>
        <v>47.5891047632646</v>
      </c>
      <c r="AA525" s="39" t="n">
        <f aca="false">IF(Informed=0,N525,0)</f>
        <v>0</v>
      </c>
      <c r="AB525" s="43" t="n">
        <f aca="false">IF(Arterial=0,IF(Informed=1,1,0),0)</f>
        <v>0</v>
      </c>
      <c r="AC525" s="43" t="n">
        <f aca="false">IF(Arterial=0,IF(Informed=0,1,0),0)</f>
        <v>0</v>
      </c>
      <c r="AD525" s="43" t="n">
        <f aca="false">IF(Arterial=1,IF(Informed=1,1,0),0)</f>
        <v>1</v>
      </c>
      <c r="AE525" s="43" t="n">
        <f aca="false">IF(Arterial=1,IF(Informed=0,1,0),0)</f>
        <v>0</v>
      </c>
      <c r="AF525" s="35" t="n">
        <f aca="false">IF(AB525=1,(X525-G$1030)^2,0)</f>
        <v>0</v>
      </c>
      <c r="AG525" s="35" t="n">
        <f aca="false">IF(AC525=1,(Y525-H$1030)^2,0)</f>
        <v>0</v>
      </c>
      <c r="AH525" s="35" t="n">
        <f aca="false">IF(AD525=1,(Z525-I$1030)^2,0)</f>
        <v>369.18817048114</v>
      </c>
      <c r="AI525" s="35" t="n">
        <f aca="false">IF(AE525=1,(AA525-J$1030)^2,0)</f>
        <v>0</v>
      </c>
      <c r="AJ525" s="37" t="n">
        <f aca="true">IF(RAND()&lt;$D$6,1,0)</f>
        <v>0</v>
      </c>
      <c r="AK525" s="14" t="n">
        <f aca="false">AK524+IF((AJ525=1),IF((H525=0),1,0),0)</f>
        <v>0</v>
      </c>
      <c r="AL525" s="14" t="n">
        <f aca="false">AL524+IF((AJ525=1),IF((H525=1),1,0),0)</f>
        <v>0</v>
      </c>
      <c r="AM525" s="37" t="n">
        <f aca="false">IF(AK525=0,9999,IF($H525=0,IF($AJ525&lt;1,AM524+1,0),AM524))</f>
        <v>9999</v>
      </c>
      <c r="AN525" s="37" t="n">
        <f aca="false">IF(AL525=0,9999,IF($H525=1,IF($AJ525&lt;1,AN524+1,0),AN524))</f>
        <v>9999</v>
      </c>
      <c r="AO525" s="37" t="n">
        <f aca="false">IF($A525-AM525&gt;0,1/(1+AM525),0)</f>
        <v>0</v>
      </c>
      <c r="AP525" s="37" t="n">
        <f aca="false">IF($A525-AN525&gt;0,1/(1+AN525),0)</f>
        <v>0</v>
      </c>
      <c r="AQ525" s="7" t="n">
        <f aca="false">IF(AK525=0,0,MAX(MIN(1,AO525^Power),0))</f>
        <v>0</v>
      </c>
      <c r="AR525" s="7" t="n">
        <f aca="false">IF(AL525=0,0,MAX(MIN(1,AP525^Power),0))</f>
        <v>0</v>
      </c>
      <c r="AS525" s="7" t="n">
        <f aca="false">IF($AJ525=1,IF($H525=0,K525,AS524),AS524)</f>
        <v>0</v>
      </c>
      <c r="AT525" s="7" t="n">
        <f aca="false">IF($AJ525=1,IF($H525=1,N525,AT524),AT524)</f>
        <v>0</v>
      </c>
    </row>
    <row r="526" customFormat="false" ht="13" hidden="false" customHeight="false" outlineLevel="0" collapsed="false">
      <c r="A526" s="16" t="n">
        <v>509</v>
      </c>
      <c r="B526" s="37" t="n">
        <f aca="true">IF(RAND()&lt;$D$8,1,0)</f>
        <v>0</v>
      </c>
      <c r="C526" s="20" t="n">
        <f aca="true">-LN(RAND())/$D$2</f>
        <v>3.08538883152542</v>
      </c>
      <c r="D526" s="38" t="n">
        <f aca="false">D525+C526</f>
        <v>532.560902686096</v>
      </c>
      <c r="E526" s="39" t="n">
        <f aca="false">MAX($E$3,AS525)</f>
        <v>0</v>
      </c>
      <c r="F526" s="39" t="n">
        <f aca="false">MAX($E$3,AT525)</f>
        <v>0</v>
      </c>
      <c r="G526" s="40" t="n">
        <v>0.5</v>
      </c>
      <c r="H526" s="38" t="n">
        <f aca="true">IF((B526=1),(IF((F526&lt;E526),1,(IF((F526=E526),(IF(RAND()&lt;G526,1,0)),0)))),(IF((RAND()&lt;G526),1,0)))</f>
        <v>1</v>
      </c>
      <c r="I526" s="38" t="n">
        <f aca="true">IF((H526=1),0,$D$3+$D$5*(RAND()-0.5))</f>
        <v>0</v>
      </c>
      <c r="J526" s="38" t="n">
        <f aca="false">I526+MAX(D526,J525)</f>
        <v>545.829416973567</v>
      </c>
      <c r="K526" s="38" t="n">
        <f aca="false">IF((H526=0),J526-D526,0)</f>
        <v>0</v>
      </c>
      <c r="L526" s="38" t="n">
        <f aca="true">IF(($H526=0),0,$D$4+$D$5*(RAND()-0.5))</f>
        <v>1.94437485413438</v>
      </c>
      <c r="M526" s="38" t="n">
        <f aca="false">L526+MAX(D526,M525)</f>
        <v>579.00899347197</v>
      </c>
      <c r="N526" s="38" t="n">
        <f aca="false">IF((H526=1),M526-D526,0)</f>
        <v>46.4480907858735</v>
      </c>
      <c r="O526" s="16" t="n">
        <v>509</v>
      </c>
      <c r="P526" s="41" t="n">
        <f aca="false">IF((Arterial=0),P525+1,P525)</f>
        <v>234</v>
      </c>
      <c r="Q526" s="41" t="n">
        <f aca="false">IF((Arterial=1),Q525+1,Q525)</f>
        <v>275</v>
      </c>
      <c r="R526" s="42" t="n">
        <f aca="false">IF((RESET=1),0,R526+K526)</f>
        <v>708.182958685353</v>
      </c>
      <c r="S526" s="14" t="e">
        <f aca="false">IF(RESET=1,0,S526+N526)</f>
        <v>#N/A</v>
      </c>
      <c r="T526" s="2" t="n">
        <f aca="false">IF(RESET=1,0,T526+IF(H526=0,1,0))</f>
        <v>40</v>
      </c>
      <c r="U526" s="2" t="e">
        <f aca="false">IF(RESET=1,0,U526+H526)</f>
        <v>#N/A</v>
      </c>
      <c r="V526" s="14" t="n">
        <f aca="false">R526/(T526+0.00001)</f>
        <v>17.7045695409914</v>
      </c>
      <c r="W526" s="14" t="e">
        <f aca="false">S526/(U526+0.0001)</f>
        <v>#N/A</v>
      </c>
      <c r="X526" s="39" t="n">
        <f aca="false">IF(Informed=1,K526,0)</f>
        <v>0</v>
      </c>
      <c r="Y526" s="39" t="n">
        <f aca="false">IF(Informed=0,K526,0)</f>
        <v>0</v>
      </c>
      <c r="Z526" s="39" t="n">
        <f aca="false">IF(Informed=1,N526,0)</f>
        <v>0</v>
      </c>
      <c r="AA526" s="39" t="n">
        <f aca="false">IF(Informed=0,N526,0)</f>
        <v>46.4480907858735</v>
      </c>
      <c r="AB526" s="43" t="n">
        <f aca="false">IF(Arterial=0,IF(Informed=1,1,0),0)</f>
        <v>0</v>
      </c>
      <c r="AC526" s="43" t="n">
        <f aca="false">IF(Arterial=0,IF(Informed=0,1,0),0)</f>
        <v>0</v>
      </c>
      <c r="AD526" s="43" t="n">
        <f aca="false">IF(Arterial=1,IF(Informed=1,1,0),0)</f>
        <v>0</v>
      </c>
      <c r="AE526" s="43" t="n">
        <f aca="false">IF(Arterial=1,IF(Informed=0,1,0),0)</f>
        <v>1</v>
      </c>
      <c r="AF526" s="35" t="n">
        <f aca="false">IF(AB526=1,(X526-G$1030)^2,0)</f>
        <v>0</v>
      </c>
      <c r="AG526" s="35" t="n">
        <f aca="false">IF(AC526=1,(Y526-H$1030)^2,0)</f>
        <v>0</v>
      </c>
      <c r="AH526" s="35" t="n">
        <f aca="false">IF(AD526=1,(Z526-I$1030)^2,0)</f>
        <v>0</v>
      </c>
      <c r="AI526" s="35" t="n">
        <f aca="false">IF(AE526=1,(AA526-J$1030)^2,0)</f>
        <v>285.063235821709</v>
      </c>
      <c r="AJ526" s="37" t="n">
        <f aca="true">IF(RAND()&lt;$D$6,1,0)</f>
        <v>0</v>
      </c>
      <c r="AK526" s="14" t="n">
        <f aca="false">AK525+IF((AJ526=1),IF((H526=0),1,0),0)</f>
        <v>0</v>
      </c>
      <c r="AL526" s="14" t="n">
        <f aca="false">AL525+IF((AJ526=1),IF((H526=1),1,0),0)</f>
        <v>0</v>
      </c>
      <c r="AM526" s="37" t="n">
        <f aca="false">IF(AK526=0,9999,IF($H526=0,IF($AJ526&lt;1,AM525+1,0),AM525))</f>
        <v>9999</v>
      </c>
      <c r="AN526" s="37" t="n">
        <f aca="false">IF(AL526=0,9999,IF($H526=1,IF($AJ526&lt;1,AN525+1,0),AN525))</f>
        <v>9999</v>
      </c>
      <c r="AO526" s="37" t="n">
        <f aca="false">IF($A526-AM526&gt;0,1/(1+AM526),0)</f>
        <v>0</v>
      </c>
      <c r="AP526" s="37" t="n">
        <f aca="false">IF($A526-AN526&gt;0,1/(1+AN526),0)</f>
        <v>0</v>
      </c>
      <c r="AQ526" s="7" t="n">
        <f aca="false">IF(AK526=0,0,MAX(MIN(1,AO526^Power),0))</f>
        <v>0</v>
      </c>
      <c r="AR526" s="7" t="n">
        <f aca="false">IF(AL526=0,0,MAX(MIN(1,AP526^Power),0))</f>
        <v>0</v>
      </c>
      <c r="AS526" s="7" t="n">
        <f aca="false">IF($AJ526=1,IF($H526=0,K526,AS525),AS525)</f>
        <v>0</v>
      </c>
      <c r="AT526" s="7" t="n">
        <f aca="false">IF($AJ526=1,IF($H526=1,N526,AT525),AT525)</f>
        <v>0</v>
      </c>
    </row>
    <row r="527" customFormat="false" ht="13" hidden="false" customHeight="false" outlineLevel="0" collapsed="false">
      <c r="A527" s="16" t="n">
        <v>510</v>
      </c>
      <c r="B527" s="37" t="n">
        <f aca="true">IF(RAND()&lt;$D$8,1,0)</f>
        <v>0</v>
      </c>
      <c r="C527" s="20" t="n">
        <f aca="true">-LN(RAND())/$D$2</f>
        <v>1.45920094344596</v>
      </c>
      <c r="D527" s="38" t="n">
        <f aca="false">D526+C527</f>
        <v>534.020103629542</v>
      </c>
      <c r="E527" s="39" t="n">
        <f aca="false">MAX($E$3,AS526)</f>
        <v>0</v>
      </c>
      <c r="F527" s="39" t="n">
        <f aca="false">MAX($E$3,AT526)</f>
        <v>0</v>
      </c>
      <c r="G527" s="40" t="n">
        <v>0.5</v>
      </c>
      <c r="H527" s="38" t="n">
        <f aca="true">IF((B527=1),(IF((F527&lt;E527),1,(IF((F527=E527),(IF(RAND()&lt;G527,1,0)),0)))),(IF((RAND()&lt;G527),1,0)))</f>
        <v>0</v>
      </c>
      <c r="I527" s="38" t="n">
        <f aca="true">IF((H527=1),0,$D$3+$D$5*(RAND()-0.5))</f>
        <v>1.81421770673604</v>
      </c>
      <c r="J527" s="38" t="n">
        <f aca="false">I527+MAX(D527,J526)</f>
        <v>547.643634680303</v>
      </c>
      <c r="K527" s="38" t="n">
        <f aca="false">IF((H527=0),J527-D527,0)</f>
        <v>13.6235310507608</v>
      </c>
      <c r="L527" s="38" t="n">
        <f aca="true">IF(($H527=0),0,$D$4+$D$5*(RAND()-0.5))</f>
        <v>0</v>
      </c>
      <c r="M527" s="38" t="n">
        <f aca="false">L527+MAX(D527,M526)</f>
        <v>579.00899347197</v>
      </c>
      <c r="N527" s="38" t="n">
        <f aca="false">IF((H527=1),M527-D527,0)</f>
        <v>0</v>
      </c>
      <c r="O527" s="16" t="n">
        <v>510</v>
      </c>
      <c r="P527" s="41" t="n">
        <f aca="false">IF((Arterial=0),P526+1,P526)</f>
        <v>235</v>
      </c>
      <c r="Q527" s="41" t="n">
        <f aca="false">IF((Arterial=1),Q526+1,Q526)</f>
        <v>275</v>
      </c>
      <c r="R527" s="42" t="e">
        <f aca="false">IF((RESET=1),0,R527+K527)</f>
        <v>#N/A</v>
      </c>
      <c r="S527" s="14" t="n">
        <f aca="false">IF(RESET=1,0,S527+N527)</f>
        <v>484.626378241394</v>
      </c>
      <c r="T527" s="2" t="e">
        <f aca="false">IF(RESET=1,0,T527+IF(H527=0,1,0))</f>
        <v>#N/A</v>
      </c>
      <c r="U527" s="2" t="n">
        <f aca="false">IF(RESET=1,0,U527+H527)</f>
        <v>32</v>
      </c>
      <c r="V527" s="14" t="e">
        <f aca="false">R527/(T527+0.00001)</f>
        <v>#N/A</v>
      </c>
      <c r="W527" s="14" t="n">
        <f aca="false">S527/(U527+0.0001)</f>
        <v>15.1445269933967</v>
      </c>
      <c r="X527" s="39" t="n">
        <f aca="false">IF(Informed=1,K527,0)</f>
        <v>0</v>
      </c>
      <c r="Y527" s="39" t="n">
        <f aca="false">IF(Informed=0,K527,0)</f>
        <v>13.6235310507608</v>
      </c>
      <c r="Z527" s="39" t="n">
        <f aca="false">IF(Informed=1,N527,0)</f>
        <v>0</v>
      </c>
      <c r="AA527" s="39" t="n">
        <f aca="false">IF(Informed=0,N527,0)</f>
        <v>0</v>
      </c>
      <c r="AB527" s="43" t="n">
        <f aca="false">IF(Arterial=0,IF(Informed=1,1,0),0)</f>
        <v>0</v>
      </c>
      <c r="AC527" s="43" t="n">
        <f aca="false">IF(Arterial=0,IF(Informed=0,1,0),0)</f>
        <v>1</v>
      </c>
      <c r="AD527" s="43" t="n">
        <f aca="false">IF(Arterial=1,IF(Informed=1,1,0),0)</f>
        <v>0</v>
      </c>
      <c r="AE527" s="43" t="n">
        <f aca="false">IF(Arterial=1,IF(Informed=0,1,0),0)</f>
        <v>0</v>
      </c>
      <c r="AF527" s="35" t="n">
        <f aca="false">IF(AB527=1,(X527-G$1030)^2,0)</f>
        <v>0</v>
      </c>
      <c r="AG527" s="35" t="n">
        <f aca="false">IF(AC527=1,(Y527-H$1030)^2,0)</f>
        <v>7.28862738483852</v>
      </c>
      <c r="AH527" s="35" t="n">
        <f aca="false">IF(AD527=1,(Z527-I$1030)^2,0)</f>
        <v>0</v>
      </c>
      <c r="AI527" s="35" t="n">
        <f aca="false">IF(AE527=1,(AA527-J$1030)^2,0)</f>
        <v>0</v>
      </c>
      <c r="AJ527" s="37" t="n">
        <f aca="true">IF(RAND()&lt;$D$6,1,0)</f>
        <v>0</v>
      </c>
      <c r="AK527" s="14" t="n">
        <f aca="false">AK526+IF((AJ527=1),IF((H527=0),1,0),0)</f>
        <v>0</v>
      </c>
      <c r="AL527" s="14" t="n">
        <f aca="false">AL526+IF((AJ527=1),IF((H527=1),1,0),0)</f>
        <v>0</v>
      </c>
      <c r="AM527" s="37" t="n">
        <f aca="false">IF(AK527=0,9999,IF($H527=0,IF($AJ527&lt;1,AM526+1,0),AM526))</f>
        <v>9999</v>
      </c>
      <c r="AN527" s="37" t="n">
        <f aca="false">IF(AL527=0,9999,IF($H527=1,IF($AJ527&lt;1,AN526+1,0),AN526))</f>
        <v>9999</v>
      </c>
      <c r="AO527" s="37" t="n">
        <f aca="false">IF($A527-AM527&gt;0,1/(1+AM527),0)</f>
        <v>0</v>
      </c>
      <c r="AP527" s="37" t="n">
        <f aca="false">IF($A527-AN527&gt;0,1/(1+AN527),0)</f>
        <v>0</v>
      </c>
      <c r="AQ527" s="7" t="n">
        <f aca="false">IF(AK527=0,0,MAX(MIN(1,AO527^Power),0))</f>
        <v>0</v>
      </c>
      <c r="AR527" s="7" t="n">
        <f aca="false">IF(AL527=0,0,MAX(MIN(1,AP527^Power),0))</f>
        <v>0</v>
      </c>
      <c r="AS527" s="7" t="n">
        <f aca="false">IF($AJ527=1,IF($H527=0,K527,AS526),AS526)</f>
        <v>0</v>
      </c>
      <c r="AT527" s="7" t="n">
        <f aca="false">IF($AJ527=1,IF($H527=1,N527,AT526),AT526)</f>
        <v>0</v>
      </c>
    </row>
    <row r="528" customFormat="false" ht="13" hidden="false" customHeight="false" outlineLevel="0" collapsed="false">
      <c r="A528" s="16" t="n">
        <v>511</v>
      </c>
      <c r="B528" s="37" t="n">
        <f aca="true">IF(RAND()&lt;$D$8,1,0)</f>
        <v>1</v>
      </c>
      <c r="C528" s="20" t="n">
        <f aca="true">-LN(RAND())/$D$2</f>
        <v>0.499429830056429</v>
      </c>
      <c r="D528" s="38" t="n">
        <f aca="false">D527+C528</f>
        <v>534.519533459598</v>
      </c>
      <c r="E528" s="39" t="n">
        <f aca="false">MAX($E$3,AS527)</f>
        <v>0</v>
      </c>
      <c r="F528" s="39" t="n">
        <f aca="false">MAX($E$3,AT527)</f>
        <v>0</v>
      </c>
      <c r="G528" s="40" t="n">
        <v>0.5</v>
      </c>
      <c r="H528" s="38" t="n">
        <f aca="true">IF((B528=1),(IF((F528&lt;E528),1,(IF((F528=E528),(IF(RAND()&lt;G528,1,0)),0)))),(IF((RAND()&lt;G528),1,0)))</f>
        <v>1</v>
      </c>
      <c r="I528" s="38" t="n">
        <f aca="true">IF((H528=1),0,$D$3+$D$5*(RAND()-0.5))</f>
        <v>0</v>
      </c>
      <c r="J528" s="38" t="n">
        <f aca="false">I528+MAX(D528,J527)</f>
        <v>547.643634680303</v>
      </c>
      <c r="K528" s="38" t="n">
        <f aca="false">IF((H528=0),J528-D528,0)</f>
        <v>0</v>
      </c>
      <c r="L528" s="38" t="n">
        <f aca="true">IF(($H528=0),0,$D$4+$D$5*(RAND()-0.5))</f>
        <v>2.06770597217151</v>
      </c>
      <c r="M528" s="38" t="n">
        <f aca="false">L528+MAX(D528,M527)</f>
        <v>581.076699444141</v>
      </c>
      <c r="N528" s="38" t="n">
        <f aca="false">IF((H528=1),M528-D528,0)</f>
        <v>46.5571659845427</v>
      </c>
      <c r="O528" s="16" t="n">
        <v>511</v>
      </c>
      <c r="P528" s="41" t="n">
        <f aca="false">IF((Arterial=0),P527+1,P527)</f>
        <v>235</v>
      </c>
      <c r="Q528" s="41" t="n">
        <f aca="false">IF((Arterial=1),Q527+1,Q527)</f>
        <v>276</v>
      </c>
      <c r="R528" s="42" t="n">
        <f aca="false">IF((RESET=1),0,R528+K528)</f>
        <v>668.4581130532</v>
      </c>
      <c r="S528" s="14" t="e">
        <f aca="false">IF(RESET=1,0,S528+N528)</f>
        <v>#N/A</v>
      </c>
      <c r="T528" s="2" t="n">
        <f aca="false">IF(RESET=1,0,T528+IF(H528=0,1,0))</f>
        <v>37</v>
      </c>
      <c r="U528" s="2" t="e">
        <f aca="false">IF(RESET=1,0,U528+H528)</f>
        <v>#N/A</v>
      </c>
      <c r="V528" s="14" t="n">
        <f aca="false">R528/(T528+0.00001)</f>
        <v>18.0664306051052</v>
      </c>
      <c r="W528" s="14" t="e">
        <f aca="false">S528/(U528+0.0001)</f>
        <v>#N/A</v>
      </c>
      <c r="X528" s="39" t="n">
        <f aca="false">IF(Informed=1,K528,0)</f>
        <v>0</v>
      </c>
      <c r="Y528" s="39" t="n">
        <f aca="false">IF(Informed=0,K528,0)</f>
        <v>0</v>
      </c>
      <c r="Z528" s="39" t="n">
        <f aca="false">IF(Informed=1,N528,0)</f>
        <v>46.5571659845427</v>
      </c>
      <c r="AA528" s="39" t="n">
        <f aca="false">IF(Informed=0,N528,0)</f>
        <v>0</v>
      </c>
      <c r="AB528" s="43" t="n">
        <f aca="false">IF(Arterial=0,IF(Informed=1,1,0),0)</f>
        <v>0</v>
      </c>
      <c r="AC528" s="43" t="n">
        <f aca="false">IF(Arterial=0,IF(Informed=0,1,0),0)</f>
        <v>0</v>
      </c>
      <c r="AD528" s="43" t="n">
        <f aca="false">IF(Arterial=1,IF(Informed=1,1,0),0)</f>
        <v>1</v>
      </c>
      <c r="AE528" s="43" t="n">
        <f aca="false">IF(Arterial=1,IF(Informed=0,1,0),0)</f>
        <v>0</v>
      </c>
      <c r="AF528" s="35" t="n">
        <f aca="false">IF(AB528=1,(X528-G$1030)^2,0)</f>
        <v>0</v>
      </c>
      <c r="AG528" s="35" t="n">
        <f aca="false">IF(AC528=1,(Y528-H$1030)^2,0)</f>
        <v>0</v>
      </c>
      <c r="AH528" s="35" t="n">
        <f aca="false">IF(AD528=1,(Z528-I$1030)^2,0)</f>
        <v>330.597167550365</v>
      </c>
      <c r="AI528" s="35" t="n">
        <f aca="false">IF(AE528=1,(AA528-J$1030)^2,0)</f>
        <v>0</v>
      </c>
      <c r="AJ528" s="37" t="n">
        <f aca="true">IF(RAND()&lt;$D$6,1,0)</f>
        <v>0</v>
      </c>
      <c r="AK528" s="14" t="n">
        <f aca="false">AK527+IF((AJ528=1),IF((H528=0),1,0),0)</f>
        <v>0</v>
      </c>
      <c r="AL528" s="14" t="n">
        <f aca="false">AL527+IF((AJ528=1),IF((H528=1),1,0),0)</f>
        <v>0</v>
      </c>
      <c r="AM528" s="37" t="n">
        <f aca="false">IF(AK528=0,9999,IF($H528=0,IF($AJ528&lt;1,AM527+1,0),AM527))</f>
        <v>9999</v>
      </c>
      <c r="AN528" s="37" t="n">
        <f aca="false">IF(AL528=0,9999,IF($H528=1,IF($AJ528&lt;1,AN527+1,0),AN527))</f>
        <v>9999</v>
      </c>
      <c r="AO528" s="37" t="n">
        <f aca="false">IF($A528-AM528&gt;0,1/(1+AM528),0)</f>
        <v>0</v>
      </c>
      <c r="AP528" s="37" t="n">
        <f aca="false">IF($A528-AN528&gt;0,1/(1+AN528),0)</f>
        <v>0</v>
      </c>
      <c r="AQ528" s="7" t="n">
        <f aca="false">IF(AK528=0,0,MAX(MIN(1,AO528^Power),0))</f>
        <v>0</v>
      </c>
      <c r="AR528" s="7" t="n">
        <f aca="false">IF(AL528=0,0,MAX(MIN(1,AP528^Power),0))</f>
        <v>0</v>
      </c>
      <c r="AS528" s="7" t="n">
        <f aca="false">IF($AJ528=1,IF($H528=0,K528,AS527),AS527)</f>
        <v>0</v>
      </c>
      <c r="AT528" s="7" t="n">
        <f aca="false">IF($AJ528=1,IF($H528=1,N528,AT527),AT527)</f>
        <v>0</v>
      </c>
    </row>
    <row r="529" customFormat="false" ht="13" hidden="false" customHeight="false" outlineLevel="0" collapsed="false">
      <c r="A529" s="16" t="n">
        <v>512</v>
      </c>
      <c r="B529" s="37" t="n">
        <f aca="true">IF(RAND()&lt;$D$8,1,0)</f>
        <v>1</v>
      </c>
      <c r="C529" s="20" t="n">
        <f aca="true">-LN(RAND())/$D$2</f>
        <v>2.00447885906225</v>
      </c>
      <c r="D529" s="38" t="n">
        <f aca="false">D528+C529</f>
        <v>536.524012318661</v>
      </c>
      <c r="E529" s="39" t="n">
        <f aca="false">MAX($E$3,AS528)</f>
        <v>0</v>
      </c>
      <c r="F529" s="39" t="n">
        <f aca="false">MAX($E$3,AT528)</f>
        <v>0</v>
      </c>
      <c r="G529" s="40" t="n">
        <v>0.5</v>
      </c>
      <c r="H529" s="38" t="n">
        <f aca="true">IF((B529=1),(IF((F529&lt;E529),1,(IF((F529=E529),(IF(RAND()&lt;G529,1,0)),0)))),(IF((RAND()&lt;G529),1,0)))</f>
        <v>1</v>
      </c>
      <c r="I529" s="38" t="n">
        <f aca="true">IF((H529=1),0,$D$3+$D$5*(RAND()-0.5))</f>
        <v>0</v>
      </c>
      <c r="J529" s="38" t="n">
        <f aca="false">I529+MAX(D529,J528)</f>
        <v>547.643634680303</v>
      </c>
      <c r="K529" s="38" t="n">
        <f aca="false">IF((H529=0),J529-D529,0)</f>
        <v>0</v>
      </c>
      <c r="L529" s="38" t="n">
        <f aca="true">IF(($H529=0),0,$D$4+$D$5*(RAND()-0.5))</f>
        <v>2.13848568434609</v>
      </c>
      <c r="M529" s="38" t="n">
        <f aca="false">L529+MAX(D529,M528)</f>
        <v>583.215185128487</v>
      </c>
      <c r="N529" s="38" t="n">
        <f aca="false">IF((H529=1),M529-D529,0)</f>
        <v>46.6911728098265</v>
      </c>
      <c r="O529" s="16" t="n">
        <v>512</v>
      </c>
      <c r="P529" s="41" t="n">
        <f aca="false">IF((Arterial=0),P528+1,P528)</f>
        <v>235</v>
      </c>
      <c r="Q529" s="41" t="n">
        <f aca="false">IF((Arterial=1),Q528+1,Q528)</f>
        <v>277</v>
      </c>
      <c r="R529" s="42" t="n">
        <f aca="false">IF((RESET=1),0,R529+K529)</f>
        <v>758.447592142484</v>
      </c>
      <c r="S529" s="14" t="e">
        <f aca="false">IF(RESET=1,0,S529+N529)</f>
        <v>#N/A</v>
      </c>
      <c r="T529" s="2" t="n">
        <f aca="false">IF(RESET=1,0,T529+IF(H529=0,1,0))</f>
        <v>38</v>
      </c>
      <c r="U529" s="2" t="e">
        <f aca="false">IF(RESET=1,0,U529+H529)</f>
        <v>#N/A</v>
      </c>
      <c r="V529" s="14" t="n">
        <f aca="false">R529/(T529+0.00001)</f>
        <v>19.9591419092386</v>
      </c>
      <c r="W529" s="14" t="e">
        <f aca="false">S529/(U529+0.0001)</f>
        <v>#N/A</v>
      </c>
      <c r="X529" s="39" t="n">
        <f aca="false">IF(Informed=1,K529,0)</f>
        <v>0</v>
      </c>
      <c r="Y529" s="39" t="n">
        <f aca="false">IF(Informed=0,K529,0)</f>
        <v>0</v>
      </c>
      <c r="Z529" s="39" t="n">
        <f aca="false">IF(Informed=1,N529,0)</f>
        <v>46.6911728098265</v>
      </c>
      <c r="AA529" s="39" t="n">
        <f aca="false">IF(Informed=0,N529,0)</f>
        <v>0</v>
      </c>
      <c r="AB529" s="43" t="n">
        <f aca="false">IF(Arterial=0,IF(Informed=1,1,0),0)</f>
        <v>0</v>
      </c>
      <c r="AC529" s="43" t="n">
        <f aca="false">IF(Arterial=0,IF(Informed=0,1,0),0)</f>
        <v>0</v>
      </c>
      <c r="AD529" s="43" t="n">
        <f aca="false">IF(Arterial=1,IF(Informed=1,1,0),0)</f>
        <v>1</v>
      </c>
      <c r="AE529" s="43" t="n">
        <f aca="false">IF(Arterial=1,IF(Informed=0,1,0),0)</f>
        <v>0</v>
      </c>
      <c r="AF529" s="35" t="n">
        <f aca="false">IF(AB529=1,(X529-G$1030)^2,0)</f>
        <v>0</v>
      </c>
      <c r="AG529" s="35" t="n">
        <f aca="false">IF(AC529=1,(Y529-H$1030)^2,0)</f>
        <v>0</v>
      </c>
      <c r="AH529" s="35" t="n">
        <f aca="false">IF(AD529=1,(Z529-I$1030)^2,0)</f>
        <v>335.488238337998</v>
      </c>
      <c r="AI529" s="35" t="n">
        <f aca="false">IF(AE529=1,(AA529-J$1030)^2,0)</f>
        <v>0</v>
      </c>
      <c r="AJ529" s="37" t="n">
        <f aca="true">IF(RAND()&lt;$D$6,1,0)</f>
        <v>0</v>
      </c>
      <c r="AK529" s="14" t="n">
        <f aca="false">AK528+IF((AJ529=1),IF((H529=0),1,0),0)</f>
        <v>0</v>
      </c>
      <c r="AL529" s="14" t="n">
        <f aca="false">AL528+IF((AJ529=1),IF((H529=1),1,0),0)</f>
        <v>0</v>
      </c>
      <c r="AM529" s="37" t="n">
        <f aca="false">IF(AK529=0,9999,IF($H529=0,IF($AJ529&lt;1,AM528+1,0),AM528))</f>
        <v>9999</v>
      </c>
      <c r="AN529" s="37" t="n">
        <f aca="false">IF(AL529=0,9999,IF($H529=1,IF($AJ529&lt;1,AN528+1,0),AN528))</f>
        <v>9999</v>
      </c>
      <c r="AO529" s="37" t="n">
        <f aca="false">IF($A529-AM529&gt;0,1/(1+AM529),0)</f>
        <v>0</v>
      </c>
      <c r="AP529" s="37" t="n">
        <f aca="false">IF($A529-AN529&gt;0,1/(1+AN529),0)</f>
        <v>0</v>
      </c>
      <c r="AQ529" s="7" t="n">
        <f aca="false">IF(AK529=0,0,MAX(MIN(1,AO529^Power),0))</f>
        <v>0</v>
      </c>
      <c r="AR529" s="7" t="n">
        <f aca="false">IF(AL529=0,0,MAX(MIN(1,AP529^Power),0))</f>
        <v>0</v>
      </c>
      <c r="AS529" s="7" t="n">
        <f aca="false">IF($AJ529=1,IF($H529=0,K529,AS528),AS528)</f>
        <v>0</v>
      </c>
      <c r="AT529" s="7" t="n">
        <f aca="false">IF($AJ529=1,IF($H529=1,N529,AT528),AT528)</f>
        <v>0</v>
      </c>
    </row>
    <row r="530" customFormat="false" ht="13" hidden="false" customHeight="false" outlineLevel="0" collapsed="false">
      <c r="A530" s="16" t="n">
        <v>513</v>
      </c>
      <c r="B530" s="37" t="n">
        <f aca="true">IF(RAND()&lt;$D$8,1,0)</f>
        <v>0</v>
      </c>
      <c r="C530" s="20" t="n">
        <f aca="true">-LN(RAND())/$D$2</f>
        <v>0.766390715267433</v>
      </c>
      <c r="D530" s="38" t="n">
        <f aca="false">D529+C530</f>
        <v>537.290403033928</v>
      </c>
      <c r="E530" s="39" t="n">
        <f aca="false">MAX($E$3,AS529)</f>
        <v>0</v>
      </c>
      <c r="F530" s="39" t="n">
        <f aca="false">MAX($E$3,AT529)</f>
        <v>0</v>
      </c>
      <c r="G530" s="40" t="n">
        <v>0.5</v>
      </c>
      <c r="H530" s="38" t="n">
        <f aca="true">IF((B530=1),(IF((F530&lt;E530),1,(IF((F530=E530),(IF(RAND()&lt;G530,1,0)),0)))),(IF((RAND()&lt;G530),1,0)))</f>
        <v>1</v>
      </c>
      <c r="I530" s="38" t="n">
        <f aca="true">IF((H530=1),0,$D$3+$D$5*(RAND()-0.5))</f>
        <v>0</v>
      </c>
      <c r="J530" s="38" t="n">
        <f aca="false">I530+MAX(D530,J529)</f>
        <v>547.643634680303</v>
      </c>
      <c r="K530" s="38" t="n">
        <f aca="false">IF((H530=0),J530-D530,0)</f>
        <v>0</v>
      </c>
      <c r="L530" s="38" t="n">
        <f aca="true">IF(($H530=0),0,$D$4+$D$5*(RAND()-0.5))</f>
        <v>1.80550527009285</v>
      </c>
      <c r="M530" s="38" t="n">
        <f aca="false">L530+MAX(D530,M529)</f>
        <v>585.02069039858</v>
      </c>
      <c r="N530" s="38" t="n">
        <f aca="false">IF((H530=1),M530-D530,0)</f>
        <v>47.7302873646519</v>
      </c>
      <c r="O530" s="16" t="n">
        <v>513</v>
      </c>
      <c r="P530" s="41" t="n">
        <f aca="false">IF((Arterial=0),P529+1,P529)</f>
        <v>235</v>
      </c>
      <c r="Q530" s="41" t="n">
        <f aca="false">IF((Arterial=1),Q529+1,Q529)</f>
        <v>278</v>
      </c>
      <c r="R530" s="42" t="n">
        <f aca="false">IF((RESET=1),0,R530+K530)</f>
        <v>649.094504145224</v>
      </c>
      <c r="S530" s="14" t="e">
        <f aca="false">IF(RESET=1,0,S530+N530)</f>
        <v>#N/A</v>
      </c>
      <c r="T530" s="2" t="n">
        <f aca="false">IF(RESET=1,0,T530+IF(H530=0,1,0))</f>
        <v>37</v>
      </c>
      <c r="U530" s="2" t="e">
        <f aca="false">IF(RESET=1,0,U530+H530)</f>
        <v>#N/A</v>
      </c>
      <c r="V530" s="14" t="n">
        <f aca="false">R530/(T530+0.00001)</f>
        <v>17.543089965252</v>
      </c>
      <c r="W530" s="14" t="e">
        <f aca="false">S530/(U530+0.0001)</f>
        <v>#N/A</v>
      </c>
      <c r="X530" s="39" t="n">
        <f aca="false">IF(Informed=1,K530,0)</f>
        <v>0</v>
      </c>
      <c r="Y530" s="39" t="n">
        <f aca="false">IF(Informed=0,K530,0)</f>
        <v>0</v>
      </c>
      <c r="Z530" s="39" t="n">
        <f aca="false">IF(Informed=1,N530,0)</f>
        <v>0</v>
      </c>
      <c r="AA530" s="39" t="n">
        <f aca="false">IF(Informed=0,N530,0)</f>
        <v>47.7302873646519</v>
      </c>
      <c r="AB530" s="43" t="n">
        <f aca="false">IF(Arterial=0,IF(Informed=1,1,0),0)</f>
        <v>0</v>
      </c>
      <c r="AC530" s="43" t="n">
        <f aca="false">IF(Arterial=0,IF(Informed=0,1,0),0)</f>
        <v>0</v>
      </c>
      <c r="AD530" s="43" t="n">
        <f aca="false">IF(Arterial=1,IF(Informed=1,1,0),0)</f>
        <v>0</v>
      </c>
      <c r="AE530" s="43" t="n">
        <f aca="false">IF(Arterial=1,IF(Informed=0,1,0),0)</f>
        <v>1</v>
      </c>
      <c r="AF530" s="35" t="n">
        <f aca="false">IF(AB530=1,(X530-G$1030)^2,0)</f>
        <v>0</v>
      </c>
      <c r="AG530" s="35" t="n">
        <f aca="false">IF(AC530=1,(Y530-H$1030)^2,0)</f>
        <v>0</v>
      </c>
      <c r="AH530" s="35" t="n">
        <f aca="false">IF(AD530=1,(Z530-I$1030)^2,0)</f>
        <v>0</v>
      </c>
      <c r="AI530" s="35" t="n">
        <f aca="false">IF(AE530=1,(AA530-J$1030)^2,0)</f>
        <v>330.004005588173</v>
      </c>
      <c r="AJ530" s="37" t="n">
        <f aca="true">IF(RAND()&lt;$D$6,1,0)</f>
        <v>0</v>
      </c>
      <c r="AK530" s="14" t="n">
        <f aca="false">AK529+IF((AJ530=1),IF((H530=0),1,0),0)</f>
        <v>0</v>
      </c>
      <c r="AL530" s="14" t="n">
        <f aca="false">AL529+IF((AJ530=1),IF((H530=1),1,0),0)</f>
        <v>0</v>
      </c>
      <c r="AM530" s="37" t="n">
        <f aca="false">IF(AK530=0,9999,IF($H530=0,IF($AJ530&lt;1,AM529+1,0),AM529))</f>
        <v>9999</v>
      </c>
      <c r="AN530" s="37" t="n">
        <f aca="false">IF(AL530=0,9999,IF($H530=1,IF($AJ530&lt;1,AN529+1,0),AN529))</f>
        <v>9999</v>
      </c>
      <c r="AO530" s="37" t="n">
        <f aca="false">IF($A530-AM530&gt;0,1/(1+AM530),0)</f>
        <v>0</v>
      </c>
      <c r="AP530" s="37" t="n">
        <f aca="false">IF($A530-AN530&gt;0,1/(1+AN530),0)</f>
        <v>0</v>
      </c>
      <c r="AQ530" s="7" t="n">
        <f aca="false">IF(AK530=0,0,MAX(MIN(1,AO530^Power),0))</f>
        <v>0</v>
      </c>
      <c r="AR530" s="7" t="n">
        <f aca="false">IF(AL530=0,0,MAX(MIN(1,AP530^Power),0))</f>
        <v>0</v>
      </c>
      <c r="AS530" s="7" t="n">
        <f aca="false">IF($AJ530=1,IF($H530=0,K530,AS529),AS529)</f>
        <v>0</v>
      </c>
      <c r="AT530" s="7" t="n">
        <f aca="false">IF($AJ530=1,IF($H530=1,N530,AT529),AT529)</f>
        <v>0</v>
      </c>
    </row>
    <row r="531" customFormat="false" ht="13" hidden="false" customHeight="false" outlineLevel="0" collapsed="false">
      <c r="A531" s="16" t="n">
        <v>514</v>
      </c>
      <c r="B531" s="37" t="n">
        <f aca="true">IF(RAND()&lt;$D$8,1,0)</f>
        <v>0</v>
      </c>
      <c r="C531" s="20" t="n">
        <f aca="true">-LN(RAND())/$D$2</f>
        <v>4.86785882804142</v>
      </c>
      <c r="D531" s="38" t="n">
        <f aca="false">D530+C531</f>
        <v>542.158261861969</v>
      </c>
      <c r="E531" s="39" t="n">
        <f aca="false">MAX($E$3,AS530)</f>
        <v>0</v>
      </c>
      <c r="F531" s="39" t="n">
        <f aca="false">MAX($E$3,AT530)</f>
        <v>0</v>
      </c>
      <c r="G531" s="40" t="n">
        <v>0.5</v>
      </c>
      <c r="H531" s="38" t="n">
        <f aca="true">IF((B531=1),(IF((F531&lt;E531),1,(IF((F531=E531),(IF(RAND()&lt;G531,1,0)),0)))),(IF((RAND()&lt;G531),1,0)))</f>
        <v>0</v>
      </c>
      <c r="I531" s="38" t="n">
        <f aca="true">IF((H531=1),0,$D$3+$D$5*(RAND()-0.5))</f>
        <v>1.78841597333263</v>
      </c>
      <c r="J531" s="38" t="n">
        <f aca="false">I531+MAX(D531,J530)</f>
        <v>549.432050653635</v>
      </c>
      <c r="K531" s="38" t="n">
        <f aca="false">IF((H531=0),J531-D531,0)</f>
        <v>7.27378879166577</v>
      </c>
      <c r="L531" s="38" t="n">
        <f aca="true">IF(($H531=0),0,$D$4+$D$5*(RAND()-0.5))</f>
        <v>0</v>
      </c>
      <c r="M531" s="38" t="n">
        <f aca="false">L531+MAX(D531,M530)</f>
        <v>585.02069039858</v>
      </c>
      <c r="N531" s="38" t="n">
        <f aca="false">IF((H531=1),M531-D531,0)</f>
        <v>0</v>
      </c>
      <c r="O531" s="16" t="n">
        <v>514</v>
      </c>
      <c r="P531" s="41" t="n">
        <f aca="false">IF((Arterial=0),P530+1,P530)</f>
        <v>236</v>
      </c>
      <c r="Q531" s="41" t="n">
        <f aca="false">IF((Arterial=1),Q530+1,Q530)</f>
        <v>278</v>
      </c>
      <c r="R531" s="42" t="e">
        <f aca="false">IF((RESET=1),0,R531+K531)</f>
        <v>#N/A</v>
      </c>
      <c r="S531" s="14" t="n">
        <f aca="false">IF(RESET=1,0,S531+N531)</f>
        <v>674.995384987156</v>
      </c>
      <c r="T531" s="2" t="e">
        <f aca="false">IF(RESET=1,0,T531+IF(H531=0,1,0))</f>
        <v>#N/A</v>
      </c>
      <c r="U531" s="2" t="n">
        <f aca="false">IF(RESET=1,0,U531+H531)</f>
        <v>41</v>
      </c>
      <c r="V531" s="14" t="e">
        <f aca="false">R531/(T531+0.00001)</f>
        <v>#N/A</v>
      </c>
      <c r="W531" s="14" t="n">
        <f aca="false">S531/(U531+0.0001)</f>
        <v>16.4632619185601</v>
      </c>
      <c r="X531" s="39" t="n">
        <f aca="false">IF(Informed=1,K531,0)</f>
        <v>0</v>
      </c>
      <c r="Y531" s="39" t="n">
        <f aca="false">IF(Informed=0,K531,0)</f>
        <v>7.27378879166577</v>
      </c>
      <c r="Z531" s="39" t="n">
        <f aca="false">IF(Informed=1,N531,0)</f>
        <v>0</v>
      </c>
      <c r="AA531" s="39" t="n">
        <f aca="false">IF(Informed=0,N531,0)</f>
        <v>0</v>
      </c>
      <c r="AB531" s="43" t="n">
        <f aca="false">IF(Arterial=0,IF(Informed=1,1,0),0)</f>
        <v>0</v>
      </c>
      <c r="AC531" s="43" t="n">
        <f aca="false">IF(Arterial=0,IF(Informed=0,1,0),0)</f>
        <v>1</v>
      </c>
      <c r="AD531" s="43" t="n">
        <f aca="false">IF(Arterial=1,IF(Informed=1,1,0),0)</f>
        <v>0</v>
      </c>
      <c r="AE531" s="43" t="n">
        <f aca="false">IF(Arterial=1,IF(Informed=0,1,0),0)</f>
        <v>0</v>
      </c>
      <c r="AF531" s="35" t="n">
        <f aca="false">IF(AB531=1,(X531-G$1030)^2,0)</f>
        <v>0</v>
      </c>
      <c r="AG531" s="35" t="n">
        <f aca="false">IF(AC531=1,(Y531-H$1030)^2,0)</f>
        <v>13.3224741511076</v>
      </c>
      <c r="AH531" s="35" t="n">
        <f aca="false">IF(AD531=1,(Z531-I$1030)^2,0)</f>
        <v>0</v>
      </c>
      <c r="AI531" s="35" t="n">
        <f aca="false">IF(AE531=1,(AA531-J$1030)^2,0)</f>
        <v>0</v>
      </c>
      <c r="AJ531" s="37" t="n">
        <f aca="true">IF(RAND()&lt;$D$6,1,0)</f>
        <v>0</v>
      </c>
      <c r="AK531" s="14" t="n">
        <f aca="false">AK530+IF((AJ531=1),IF((H531=0),1,0),0)</f>
        <v>0</v>
      </c>
      <c r="AL531" s="14" t="n">
        <f aca="false">AL530+IF((AJ531=1),IF((H531=1),1,0),0)</f>
        <v>0</v>
      </c>
      <c r="AM531" s="37" t="n">
        <f aca="false">IF(AK531=0,9999,IF($H531=0,IF($AJ531&lt;1,AM530+1,0),AM530))</f>
        <v>9999</v>
      </c>
      <c r="AN531" s="37" t="n">
        <f aca="false">IF(AL531=0,9999,IF($H531=1,IF($AJ531&lt;1,AN530+1,0),AN530))</f>
        <v>9999</v>
      </c>
      <c r="AO531" s="37" t="n">
        <f aca="false">IF($A531-AM531&gt;0,1/(1+AM531),0)</f>
        <v>0</v>
      </c>
      <c r="AP531" s="37" t="n">
        <f aca="false">IF($A531-AN531&gt;0,1/(1+AN531),0)</f>
        <v>0</v>
      </c>
      <c r="AQ531" s="7" t="n">
        <f aca="false">IF(AK531=0,0,MAX(MIN(1,AO531^Power),0))</f>
        <v>0</v>
      </c>
      <c r="AR531" s="7" t="n">
        <f aca="false">IF(AL531=0,0,MAX(MIN(1,AP531^Power),0))</f>
        <v>0</v>
      </c>
      <c r="AS531" s="7" t="n">
        <f aca="false">IF($AJ531=1,IF($H531=0,K531,AS530),AS530)</f>
        <v>0</v>
      </c>
      <c r="AT531" s="7" t="n">
        <f aca="false">IF($AJ531=1,IF($H531=1,N531,AT530),AT530)</f>
        <v>0</v>
      </c>
    </row>
    <row r="532" customFormat="false" ht="13" hidden="false" customHeight="false" outlineLevel="0" collapsed="false">
      <c r="A532" s="16" t="n">
        <v>515</v>
      </c>
      <c r="B532" s="37" t="n">
        <f aca="true">IF(RAND()&lt;$D$8,1,0)</f>
        <v>0</v>
      </c>
      <c r="C532" s="20" t="n">
        <f aca="true">-LN(RAND())/$D$2</f>
        <v>2.09201090353578</v>
      </c>
      <c r="D532" s="38" t="n">
        <f aca="false">D531+C532</f>
        <v>544.250272765505</v>
      </c>
      <c r="E532" s="39" t="n">
        <f aca="false">MAX($E$3,AS531)</f>
        <v>0</v>
      </c>
      <c r="F532" s="39" t="n">
        <f aca="false">MAX($E$3,AT531)</f>
        <v>0</v>
      </c>
      <c r="G532" s="40" t="n">
        <v>0.5</v>
      </c>
      <c r="H532" s="38" t="n">
        <f aca="true">IF((B532=1),(IF((F532&lt;E532),1,(IF((F532=E532),(IF(RAND()&lt;G532,1,0)),0)))),(IF((RAND()&lt;G532),1,0)))</f>
        <v>1</v>
      </c>
      <c r="I532" s="38" t="n">
        <f aca="true">IF((H532=1),0,$D$3+$D$5*(RAND()-0.5))</f>
        <v>0</v>
      </c>
      <c r="J532" s="38" t="n">
        <f aca="false">I532+MAX(D532,J531)</f>
        <v>549.432050653635</v>
      </c>
      <c r="K532" s="38" t="n">
        <f aca="false">IF((H532=0),J532-D532,0)</f>
        <v>0</v>
      </c>
      <c r="L532" s="38" t="n">
        <f aca="true">IF(($H532=0),0,$D$4+$D$5*(RAND()-0.5))</f>
        <v>1.79608449614469</v>
      </c>
      <c r="M532" s="38" t="n">
        <f aca="false">L532+MAX(D532,M531)</f>
        <v>586.816774894725</v>
      </c>
      <c r="N532" s="38" t="n">
        <f aca="false">IF((H532=1),M532-D532,0)</f>
        <v>42.5665021292193</v>
      </c>
      <c r="O532" s="16" t="n">
        <v>515</v>
      </c>
      <c r="P532" s="41" t="n">
        <f aca="false">IF((Arterial=0),P531+1,P531)</f>
        <v>236</v>
      </c>
      <c r="Q532" s="41" t="n">
        <f aca="false">IF((Arterial=1),Q531+1,Q531)</f>
        <v>279</v>
      </c>
      <c r="R532" s="42" t="n">
        <f aca="false">IF((RESET=1),0,R532+K532)</f>
        <v>838.60047989556</v>
      </c>
      <c r="S532" s="14" t="e">
        <f aca="false">IF(RESET=1,0,S532+N532)</f>
        <v>#N/A</v>
      </c>
      <c r="T532" s="2" t="n">
        <f aca="false">IF(RESET=1,0,T532+IF(H532=0,1,0))</f>
        <v>42</v>
      </c>
      <c r="U532" s="2" t="e">
        <f aca="false">IF(RESET=1,0,U532+H532)</f>
        <v>#N/A</v>
      </c>
      <c r="V532" s="14" t="n">
        <f aca="false">R532/(T532+0.00001)</f>
        <v>19.9666733387816</v>
      </c>
      <c r="W532" s="14" t="e">
        <f aca="false">S532/(U532+0.0001)</f>
        <v>#N/A</v>
      </c>
      <c r="X532" s="39" t="n">
        <f aca="false">IF(Informed=1,K532,0)</f>
        <v>0</v>
      </c>
      <c r="Y532" s="39" t="n">
        <f aca="false">IF(Informed=0,K532,0)</f>
        <v>0</v>
      </c>
      <c r="Z532" s="39" t="n">
        <f aca="false">IF(Informed=1,N532,0)</f>
        <v>0</v>
      </c>
      <c r="AA532" s="39" t="n">
        <f aca="false">IF(Informed=0,N532,0)</f>
        <v>42.5665021292193</v>
      </c>
      <c r="AB532" s="43" t="n">
        <f aca="false">IF(Arterial=0,IF(Informed=1,1,0),0)</f>
        <v>0</v>
      </c>
      <c r="AC532" s="43" t="n">
        <f aca="false">IF(Arterial=0,IF(Informed=0,1,0),0)</f>
        <v>0</v>
      </c>
      <c r="AD532" s="43" t="n">
        <f aca="false">IF(Arterial=1,IF(Informed=1,1,0),0)</f>
        <v>0</v>
      </c>
      <c r="AE532" s="43" t="n">
        <f aca="false">IF(Arterial=1,IF(Informed=0,1,0),0)</f>
        <v>1</v>
      </c>
      <c r="AF532" s="35" t="n">
        <f aca="false">IF(AB532=1,(X532-G$1030)^2,0)</f>
        <v>0</v>
      </c>
      <c r="AG532" s="35" t="n">
        <f aca="false">IF(AC532=1,(Y532-H$1030)^2,0)</f>
        <v>0</v>
      </c>
      <c r="AH532" s="35" t="n">
        <f aca="false">IF(AD532=1,(Z532-I$1030)^2,0)</f>
        <v>0</v>
      </c>
      <c r="AI532" s="35" t="n">
        <f aca="false">IF(AE532=1,(AA532-J$1030)^2,0)</f>
        <v>169.057910574245</v>
      </c>
      <c r="AJ532" s="37" t="n">
        <f aca="true">IF(RAND()&lt;$D$6,1,0)</f>
        <v>0</v>
      </c>
      <c r="AK532" s="14" t="n">
        <f aca="false">AK531+IF((AJ532=1),IF((H532=0),1,0),0)</f>
        <v>0</v>
      </c>
      <c r="AL532" s="14" t="n">
        <f aca="false">AL531+IF((AJ532=1),IF((H532=1),1,0),0)</f>
        <v>0</v>
      </c>
      <c r="AM532" s="37" t="n">
        <f aca="false">IF(AK532=0,9999,IF($H532=0,IF($AJ532&lt;1,AM531+1,0),AM531))</f>
        <v>9999</v>
      </c>
      <c r="AN532" s="37" t="n">
        <f aca="false">IF(AL532=0,9999,IF($H532=1,IF($AJ532&lt;1,AN531+1,0),AN531))</f>
        <v>9999</v>
      </c>
      <c r="AO532" s="37" t="n">
        <f aca="false">IF($A532-AM532&gt;0,1/(1+AM532),0)</f>
        <v>0</v>
      </c>
      <c r="AP532" s="37" t="n">
        <f aca="false">IF($A532-AN532&gt;0,1/(1+AN532),0)</f>
        <v>0</v>
      </c>
      <c r="AQ532" s="7" t="n">
        <f aca="false">IF(AK532=0,0,MAX(MIN(1,AO532^Power),0))</f>
        <v>0</v>
      </c>
      <c r="AR532" s="7" t="n">
        <f aca="false">IF(AL532=0,0,MAX(MIN(1,AP532^Power),0))</f>
        <v>0</v>
      </c>
      <c r="AS532" s="7" t="n">
        <f aca="false">IF($AJ532=1,IF($H532=0,K532,AS531),AS531)</f>
        <v>0</v>
      </c>
      <c r="AT532" s="7" t="n">
        <f aca="false">IF($AJ532=1,IF($H532=1,N532,AT531),AT531)</f>
        <v>0</v>
      </c>
    </row>
    <row r="533" customFormat="false" ht="13" hidden="false" customHeight="false" outlineLevel="0" collapsed="false">
      <c r="A533" s="16" t="n">
        <v>516</v>
      </c>
      <c r="B533" s="37" t="n">
        <f aca="true">IF(RAND()&lt;$D$8,1,0)</f>
        <v>0</v>
      </c>
      <c r="C533" s="20" t="n">
        <f aca="true">-LN(RAND())/$D$2</f>
        <v>0.609687980287152</v>
      </c>
      <c r="D533" s="38" t="n">
        <f aca="false">D532+C533</f>
        <v>544.859960745792</v>
      </c>
      <c r="E533" s="39" t="n">
        <f aca="false">MAX($E$3,AS532)</f>
        <v>0</v>
      </c>
      <c r="F533" s="39" t="n">
        <f aca="false">MAX($E$3,AT532)</f>
        <v>0</v>
      </c>
      <c r="G533" s="40" t="n">
        <v>0.5</v>
      </c>
      <c r="H533" s="38" t="n">
        <f aca="true">IF((B533=1),(IF((F533&lt;E533),1,(IF((F533=E533),(IF(RAND()&lt;G533,1,0)),0)))),(IF((RAND()&lt;G533),1,0)))</f>
        <v>1</v>
      </c>
      <c r="I533" s="38" t="n">
        <f aca="true">IF((H533=1),0,$D$3+$D$5*(RAND()-0.5))</f>
        <v>0</v>
      </c>
      <c r="J533" s="38" t="n">
        <f aca="false">I533+MAX(D533,J532)</f>
        <v>549.432050653635</v>
      </c>
      <c r="K533" s="38" t="n">
        <f aca="false">IF((H533=0),J533-D533,0)</f>
        <v>0</v>
      </c>
      <c r="L533" s="38" t="n">
        <f aca="true">IF(($H533=0),0,$D$4+$D$5*(RAND()-0.5))</f>
        <v>1.84702078682469</v>
      </c>
      <c r="M533" s="38" t="n">
        <f aca="false">L533+MAX(D533,M532)</f>
        <v>588.663795681549</v>
      </c>
      <c r="N533" s="38" t="n">
        <f aca="false">IF((H533=1),M533-D533,0)</f>
        <v>43.8038349357569</v>
      </c>
      <c r="O533" s="16" t="n">
        <v>516</v>
      </c>
      <c r="P533" s="41" t="n">
        <f aca="false">IF((Arterial=0),P532+1,P532)</f>
        <v>236</v>
      </c>
      <c r="Q533" s="41" t="n">
        <f aca="false">IF((Arterial=1),Q532+1,Q532)</f>
        <v>280</v>
      </c>
      <c r="R533" s="42" t="n">
        <f aca="false">IF((RESET=1),0,R533+K533)</f>
        <v>825.021540052662</v>
      </c>
      <c r="S533" s="14" t="e">
        <f aca="false">IF(RESET=1,0,S533+N533)</f>
        <v>#N/A</v>
      </c>
      <c r="T533" s="2" t="n">
        <f aca="false">IF(RESET=1,0,T533+IF(H533=0,1,0))</f>
        <v>39</v>
      </c>
      <c r="U533" s="2" t="e">
        <f aca="false">IF(RESET=1,0,U533+H533)</f>
        <v>#N/A</v>
      </c>
      <c r="V533" s="14" t="n">
        <f aca="false">R533/(T533+0.00001)</f>
        <v>21.1543930386854</v>
      </c>
      <c r="W533" s="14" t="e">
        <f aca="false">S533/(U533+0.0001)</f>
        <v>#N/A</v>
      </c>
      <c r="X533" s="39" t="n">
        <f aca="false">IF(Informed=1,K533,0)</f>
        <v>0</v>
      </c>
      <c r="Y533" s="39" t="n">
        <f aca="false">IF(Informed=0,K533,0)</f>
        <v>0</v>
      </c>
      <c r="Z533" s="39" t="n">
        <f aca="false">IF(Informed=1,N533,0)</f>
        <v>0</v>
      </c>
      <c r="AA533" s="39" t="n">
        <f aca="false">IF(Informed=0,N533,0)</f>
        <v>43.8038349357569</v>
      </c>
      <c r="AB533" s="43" t="n">
        <f aca="false">IF(Arterial=0,IF(Informed=1,1,0),0)</f>
        <v>0</v>
      </c>
      <c r="AC533" s="43" t="n">
        <f aca="false">IF(Arterial=0,IF(Informed=0,1,0),0)</f>
        <v>0</v>
      </c>
      <c r="AD533" s="43" t="n">
        <f aca="false">IF(Arterial=1,IF(Informed=1,1,0),0)</f>
        <v>0</v>
      </c>
      <c r="AE533" s="43" t="n">
        <f aca="false">IF(Arterial=1,IF(Informed=0,1,0),0)</f>
        <v>1</v>
      </c>
      <c r="AF533" s="35" t="n">
        <f aca="false">IF(AB533=1,(X533-G$1030)^2,0)</f>
        <v>0</v>
      </c>
      <c r="AG533" s="35" t="n">
        <f aca="false">IF(AC533=1,(Y533-H$1030)^2,0)</f>
        <v>0</v>
      </c>
      <c r="AH533" s="35" t="n">
        <f aca="false">IF(AD533=1,(Z533-I$1030)^2,0)</f>
        <v>0</v>
      </c>
      <c r="AI533" s="35" t="n">
        <f aca="false">IF(AE533=1,(AA533-J$1030)^2,0)</f>
        <v>202.765067442664</v>
      </c>
      <c r="AJ533" s="37" t="n">
        <f aca="true">IF(RAND()&lt;$D$6,1,0)</f>
        <v>0</v>
      </c>
      <c r="AK533" s="14" t="n">
        <f aca="false">AK532+IF((AJ533=1),IF((H533=0),1,0),0)</f>
        <v>0</v>
      </c>
      <c r="AL533" s="14" t="n">
        <f aca="false">AL532+IF((AJ533=1),IF((H533=1),1,0),0)</f>
        <v>0</v>
      </c>
      <c r="AM533" s="37" t="n">
        <f aca="false">IF(AK533=0,9999,IF($H533=0,IF($AJ533&lt;1,AM532+1,0),AM532))</f>
        <v>9999</v>
      </c>
      <c r="AN533" s="37" t="n">
        <f aca="false">IF(AL533=0,9999,IF($H533=1,IF($AJ533&lt;1,AN532+1,0),AN532))</f>
        <v>9999</v>
      </c>
      <c r="AO533" s="37" t="n">
        <f aca="false">IF($A533-AM533&gt;0,1/(1+AM533),0)</f>
        <v>0</v>
      </c>
      <c r="AP533" s="37" t="n">
        <f aca="false">IF($A533-AN533&gt;0,1/(1+AN533),0)</f>
        <v>0</v>
      </c>
      <c r="AQ533" s="7" t="n">
        <f aca="false">IF(AK533=0,0,MAX(MIN(1,AO533^Power),0))</f>
        <v>0</v>
      </c>
      <c r="AR533" s="7" t="n">
        <f aca="false">IF(AL533=0,0,MAX(MIN(1,AP533^Power),0))</f>
        <v>0</v>
      </c>
      <c r="AS533" s="7" t="n">
        <f aca="false">IF($AJ533=1,IF($H533=0,K533,AS532),AS532)</f>
        <v>0</v>
      </c>
      <c r="AT533" s="7" t="n">
        <f aca="false">IF($AJ533=1,IF($H533=1,N533,AT532),AT532)</f>
        <v>0</v>
      </c>
    </row>
    <row r="534" customFormat="false" ht="13" hidden="false" customHeight="false" outlineLevel="0" collapsed="false">
      <c r="A534" s="16" t="n">
        <v>517</v>
      </c>
      <c r="B534" s="37" t="n">
        <f aca="true">IF(RAND()&lt;$D$8,1,0)</f>
        <v>0</v>
      </c>
      <c r="C534" s="20" t="n">
        <f aca="true">-LN(RAND())/$D$2</f>
        <v>0.0492074526363056</v>
      </c>
      <c r="D534" s="38" t="n">
        <f aca="false">D533+C534</f>
        <v>544.909168198429</v>
      </c>
      <c r="E534" s="39" t="n">
        <f aca="false">MAX($E$3,AS533)</f>
        <v>0</v>
      </c>
      <c r="F534" s="39" t="n">
        <f aca="false">MAX($E$3,AT533)</f>
        <v>0</v>
      </c>
      <c r="G534" s="40" t="n">
        <v>0.5</v>
      </c>
      <c r="H534" s="38" t="n">
        <f aca="true">IF((B534=1),(IF((F534&lt;E534),1,(IF((F534=E534),(IF(RAND()&lt;G534,1,0)),0)))),(IF((RAND()&lt;G534),1,0)))</f>
        <v>1</v>
      </c>
      <c r="I534" s="38" t="n">
        <f aca="true">IF((H534=1),0,$D$3+$D$5*(RAND()-0.5))</f>
        <v>0</v>
      </c>
      <c r="J534" s="38" t="n">
        <f aca="false">I534+MAX(D534,J533)</f>
        <v>549.432050653635</v>
      </c>
      <c r="K534" s="38" t="n">
        <f aca="false">IF((H534=0),J534-D534,0)</f>
        <v>0</v>
      </c>
      <c r="L534" s="38" t="n">
        <f aca="true">IF(($H534=0),0,$D$4+$D$5*(RAND()-0.5))</f>
        <v>2.1612194686637</v>
      </c>
      <c r="M534" s="38" t="n">
        <f aca="false">L534+MAX(D534,M533)</f>
        <v>590.825015150213</v>
      </c>
      <c r="N534" s="38" t="n">
        <f aca="false">IF((H534=1),M534-D534,0)</f>
        <v>45.9158469517843</v>
      </c>
      <c r="O534" s="16" t="n">
        <v>517</v>
      </c>
      <c r="P534" s="41" t="n">
        <f aca="false">IF((Arterial=0),P533+1,P533)</f>
        <v>236</v>
      </c>
      <c r="Q534" s="41" t="n">
        <f aca="false">IF((Arterial=1),Q533+1,Q533)</f>
        <v>281</v>
      </c>
      <c r="R534" s="42" t="n">
        <f aca="false">IF((RESET=1),0,R534+K534)</f>
        <v>510.448870235693</v>
      </c>
      <c r="S534" s="14" t="e">
        <f aca="false">IF(RESET=1,0,S534+N534)</f>
        <v>#N/A</v>
      </c>
      <c r="T534" s="2" t="n">
        <f aca="false">IF(RESET=1,0,T534+IF(H534=0,1,0))</f>
        <v>34</v>
      </c>
      <c r="U534" s="2" t="e">
        <f aca="false">IF(RESET=1,0,U534+H534)</f>
        <v>#N/A</v>
      </c>
      <c r="V534" s="14" t="n">
        <f aca="false">R534/(T534+0.00001)</f>
        <v>15.0131976501093</v>
      </c>
      <c r="W534" s="14" t="e">
        <f aca="false">S534/(U534+0.0001)</f>
        <v>#N/A</v>
      </c>
      <c r="X534" s="39" t="n">
        <f aca="false">IF(Informed=1,K534,0)</f>
        <v>0</v>
      </c>
      <c r="Y534" s="39" t="n">
        <f aca="false">IF(Informed=0,K534,0)</f>
        <v>0</v>
      </c>
      <c r="Z534" s="39" t="n">
        <f aca="false">IF(Informed=1,N534,0)</f>
        <v>0</v>
      </c>
      <c r="AA534" s="39" t="n">
        <f aca="false">IF(Informed=0,N534,0)</f>
        <v>45.9158469517843</v>
      </c>
      <c r="AB534" s="43" t="n">
        <f aca="false">IF(Arterial=0,IF(Informed=1,1,0),0)</f>
        <v>0</v>
      </c>
      <c r="AC534" s="43" t="n">
        <f aca="false">IF(Arterial=0,IF(Informed=0,1,0),0)</f>
        <v>0</v>
      </c>
      <c r="AD534" s="43" t="n">
        <f aca="false">IF(Arterial=1,IF(Informed=1,1,0),0)</f>
        <v>0</v>
      </c>
      <c r="AE534" s="43" t="n">
        <f aca="false">IF(Arterial=1,IF(Informed=0,1,0),0)</f>
        <v>1</v>
      </c>
      <c r="AF534" s="35" t="n">
        <f aca="false">IF(AB534=1,(X534-G$1030)^2,0)</f>
        <v>0</v>
      </c>
      <c r="AG534" s="35" t="n">
        <f aca="false">IF(AC534=1,(Y534-H$1030)^2,0)</f>
        <v>0</v>
      </c>
      <c r="AH534" s="35" t="n">
        <f aca="false">IF(AD534=1,(Z534-I$1030)^2,0)</f>
        <v>0</v>
      </c>
      <c r="AI534" s="35" t="n">
        <f aca="false">IF(AE534=1,(AA534-J$1030)^2,0)</f>
        <v>267.373905614359</v>
      </c>
      <c r="AJ534" s="37" t="n">
        <f aca="true">IF(RAND()&lt;$D$6,1,0)</f>
        <v>0</v>
      </c>
      <c r="AK534" s="14" t="n">
        <f aca="false">AK533+IF((AJ534=1),IF((H534=0),1,0),0)</f>
        <v>0</v>
      </c>
      <c r="AL534" s="14" t="n">
        <f aca="false">AL533+IF((AJ534=1),IF((H534=1),1,0),0)</f>
        <v>0</v>
      </c>
      <c r="AM534" s="37" t="n">
        <f aca="false">IF(AK534=0,9999,IF($H534=0,IF($AJ534&lt;1,AM533+1,0),AM533))</f>
        <v>9999</v>
      </c>
      <c r="AN534" s="37" t="n">
        <f aca="false">IF(AL534=0,9999,IF($H534=1,IF($AJ534&lt;1,AN533+1,0),AN533))</f>
        <v>9999</v>
      </c>
      <c r="AO534" s="37" t="n">
        <f aca="false">IF($A534-AM534&gt;0,1/(1+AM534),0)</f>
        <v>0</v>
      </c>
      <c r="AP534" s="37" t="n">
        <f aca="false">IF($A534-AN534&gt;0,1/(1+AN534),0)</f>
        <v>0</v>
      </c>
      <c r="AQ534" s="7" t="n">
        <f aca="false">IF(AK534=0,0,MAX(MIN(1,AO534^Power),0))</f>
        <v>0</v>
      </c>
      <c r="AR534" s="7" t="n">
        <f aca="false">IF(AL534=0,0,MAX(MIN(1,AP534^Power),0))</f>
        <v>0</v>
      </c>
      <c r="AS534" s="7" t="n">
        <f aca="false">IF($AJ534=1,IF($H534=0,K534,AS533),AS533)</f>
        <v>0</v>
      </c>
      <c r="AT534" s="7" t="n">
        <f aca="false">IF($AJ534=1,IF($H534=1,N534,AT533),AT533)</f>
        <v>0</v>
      </c>
    </row>
    <row r="535" customFormat="false" ht="13" hidden="false" customHeight="false" outlineLevel="0" collapsed="false">
      <c r="A535" s="16" t="n">
        <v>518</v>
      </c>
      <c r="B535" s="37" t="n">
        <f aca="true">IF(RAND()&lt;$D$8,1,0)</f>
        <v>1</v>
      </c>
      <c r="C535" s="20" t="n">
        <f aca="true">-LN(RAND())/$D$2</f>
        <v>1.0953022293261</v>
      </c>
      <c r="D535" s="38" t="n">
        <f aca="false">D534+C535</f>
        <v>546.004470427755</v>
      </c>
      <c r="E535" s="39" t="n">
        <f aca="false">MAX($E$3,AS534)</f>
        <v>0</v>
      </c>
      <c r="F535" s="39" t="n">
        <f aca="false">MAX($E$3,AT534)</f>
        <v>0</v>
      </c>
      <c r="G535" s="40" t="n">
        <v>0.5</v>
      </c>
      <c r="H535" s="38" t="n">
        <f aca="true">IF((B535=1),(IF((F535&lt;E535),1,(IF((F535=E535),(IF(RAND()&lt;G535,1,0)),0)))),(IF((RAND()&lt;G535),1,0)))</f>
        <v>0</v>
      </c>
      <c r="I535" s="38" t="n">
        <f aca="true">IF((H535=1),0,$D$3+$D$5*(RAND()-0.5))</f>
        <v>2.2253828885753</v>
      </c>
      <c r="J535" s="38" t="n">
        <f aca="false">I535+MAX(D535,J534)</f>
        <v>551.657433542211</v>
      </c>
      <c r="K535" s="38" t="n">
        <f aca="false">IF((H535=0),J535-D535,0)</f>
        <v>5.6529631144557</v>
      </c>
      <c r="L535" s="38" t="n">
        <f aca="true">IF(($H535=0),0,$D$4+$D$5*(RAND()-0.5))</f>
        <v>0</v>
      </c>
      <c r="M535" s="38" t="n">
        <f aca="false">L535+MAX(D535,M534)</f>
        <v>590.825015150213</v>
      </c>
      <c r="N535" s="38" t="n">
        <f aca="false">IF((H535=1),M535-D535,0)</f>
        <v>0</v>
      </c>
      <c r="O535" s="16" t="n">
        <v>518</v>
      </c>
      <c r="P535" s="41" t="n">
        <f aca="false">IF((Arterial=0),P534+1,P534)</f>
        <v>237</v>
      </c>
      <c r="Q535" s="41" t="n">
        <f aca="false">IF((Arterial=1),Q534+1,Q534)</f>
        <v>281</v>
      </c>
      <c r="R535" s="42" t="e">
        <f aca="false">IF((RESET=1),0,R535+K535)</f>
        <v>#N/A</v>
      </c>
      <c r="S535" s="14" t="n">
        <f aca="false">IF(RESET=1,0,S535+N535)</f>
        <v>673.883716593296</v>
      </c>
      <c r="T535" s="2" t="e">
        <f aca="false">IF(RESET=1,0,T535+IF(H535=0,1,0))</f>
        <v>#N/A</v>
      </c>
      <c r="U535" s="2" t="n">
        <f aca="false">IF(RESET=1,0,U535+H535)</f>
        <v>46</v>
      </c>
      <c r="V535" s="14" t="e">
        <f aca="false">R535/(T535+0.00001)</f>
        <v>#N/A</v>
      </c>
      <c r="W535" s="14" t="n">
        <f aca="false">S535/(U535+0.0001)</f>
        <v>14.6496141659104</v>
      </c>
      <c r="X535" s="39" t="n">
        <f aca="false">IF(Informed=1,K535,0)</f>
        <v>5.6529631144557</v>
      </c>
      <c r="Y535" s="39" t="n">
        <f aca="false">IF(Informed=0,K535,0)</f>
        <v>0</v>
      </c>
      <c r="Z535" s="39" t="n">
        <f aca="false">IF(Informed=1,N535,0)</f>
        <v>0</v>
      </c>
      <c r="AA535" s="39" t="n">
        <f aca="false">IF(Informed=0,N535,0)</f>
        <v>0</v>
      </c>
      <c r="AB535" s="43" t="n">
        <f aca="false">IF(Arterial=0,IF(Informed=1,1,0),0)</f>
        <v>1</v>
      </c>
      <c r="AC535" s="43" t="n">
        <f aca="false">IF(Arterial=0,IF(Informed=0,1,0),0)</f>
        <v>0</v>
      </c>
      <c r="AD535" s="43" t="n">
        <f aca="false">IF(Arterial=1,IF(Informed=1,1,0),0)</f>
        <v>0</v>
      </c>
      <c r="AE535" s="43" t="n">
        <f aca="false">IF(Arterial=1,IF(Informed=0,1,0),0)</f>
        <v>0</v>
      </c>
      <c r="AF535" s="35" t="n">
        <f aca="false">IF(AB535=1,(X535-G$1030)^2,0)</f>
        <v>25.5703678788925</v>
      </c>
      <c r="AG535" s="35" t="n">
        <f aca="false">IF(AC535=1,(Y535-H$1030)^2,0)</f>
        <v>0</v>
      </c>
      <c r="AH535" s="35" t="n">
        <f aca="false">IF(AD535=1,(Z535-I$1030)^2,0)</f>
        <v>0</v>
      </c>
      <c r="AI535" s="35" t="n">
        <f aca="false">IF(AE535=1,(AA535-J$1030)^2,0)</f>
        <v>0</v>
      </c>
      <c r="AJ535" s="37" t="n">
        <f aca="true">IF(RAND()&lt;$D$6,1,0)</f>
        <v>0</v>
      </c>
      <c r="AK535" s="14" t="n">
        <f aca="false">AK534+IF((AJ535=1),IF((H535=0),1,0),0)</f>
        <v>0</v>
      </c>
      <c r="AL535" s="14" t="n">
        <f aca="false">AL534+IF((AJ535=1),IF((H535=1),1,0),0)</f>
        <v>0</v>
      </c>
      <c r="AM535" s="37" t="n">
        <f aca="false">IF(AK535=0,9999,IF($H535=0,IF($AJ535&lt;1,AM534+1,0),AM534))</f>
        <v>9999</v>
      </c>
      <c r="AN535" s="37" t="n">
        <f aca="false">IF(AL535=0,9999,IF($H535=1,IF($AJ535&lt;1,AN534+1,0),AN534))</f>
        <v>9999</v>
      </c>
      <c r="AO535" s="37" t="n">
        <f aca="false">IF($A535-AM535&gt;0,1/(1+AM535),0)</f>
        <v>0</v>
      </c>
      <c r="AP535" s="37" t="n">
        <f aca="false">IF($A535-AN535&gt;0,1/(1+AN535),0)</f>
        <v>0</v>
      </c>
      <c r="AQ535" s="7" t="n">
        <f aca="false">IF(AK535=0,0,MAX(MIN(1,AO535^Power),0))</f>
        <v>0</v>
      </c>
      <c r="AR535" s="7" t="n">
        <f aca="false">IF(AL535=0,0,MAX(MIN(1,AP535^Power),0))</f>
        <v>0</v>
      </c>
      <c r="AS535" s="7" t="n">
        <f aca="false">IF($AJ535=1,IF($H535=0,K535,AS534),AS534)</f>
        <v>0</v>
      </c>
      <c r="AT535" s="7" t="n">
        <f aca="false">IF($AJ535=1,IF($H535=1,N535,AT534),AT534)</f>
        <v>0</v>
      </c>
    </row>
    <row r="536" customFormat="false" ht="13" hidden="false" customHeight="false" outlineLevel="0" collapsed="false">
      <c r="A536" s="16" t="n">
        <v>519</v>
      </c>
      <c r="B536" s="37" t="n">
        <f aca="true">IF(RAND()&lt;$D$8,1,0)</f>
        <v>1</v>
      </c>
      <c r="C536" s="20" t="n">
        <f aca="true">-LN(RAND())/$D$2</f>
        <v>0.231455709103532</v>
      </c>
      <c r="D536" s="38" t="n">
        <f aca="false">D535+C536</f>
        <v>546.235926136858</v>
      </c>
      <c r="E536" s="39" t="n">
        <f aca="false">MAX($E$3,AS535)</f>
        <v>0</v>
      </c>
      <c r="F536" s="39" t="n">
        <f aca="false">MAX($E$3,AT535)</f>
        <v>0</v>
      </c>
      <c r="G536" s="40" t="n">
        <v>0.5</v>
      </c>
      <c r="H536" s="38" t="n">
        <f aca="true">IF((B536=1),(IF((F536&lt;E536),1,(IF((F536=E536),(IF(RAND()&lt;G536,1,0)),0)))),(IF((RAND()&lt;G536),1,0)))</f>
        <v>0</v>
      </c>
      <c r="I536" s="38" t="n">
        <f aca="true">IF((H536=1),0,$D$3+$D$5*(RAND()-0.5))</f>
        <v>2.00510450700501</v>
      </c>
      <c r="J536" s="38" t="n">
        <f aca="false">I536+MAX(D536,J535)</f>
        <v>553.662538049216</v>
      </c>
      <c r="K536" s="38" t="n">
        <f aca="false">IF((H536=0),J536-D536,0)</f>
        <v>7.4266119123572</v>
      </c>
      <c r="L536" s="38" t="n">
        <f aca="true">IF(($H536=0),0,$D$4+$D$5*(RAND()-0.5))</f>
        <v>0</v>
      </c>
      <c r="M536" s="38" t="n">
        <f aca="false">L536+MAX(D536,M535)</f>
        <v>590.825015150213</v>
      </c>
      <c r="N536" s="38" t="n">
        <f aca="false">IF((H536=1),M536-D536,0)</f>
        <v>0</v>
      </c>
      <c r="O536" s="16" t="n">
        <v>519</v>
      </c>
      <c r="P536" s="41" t="n">
        <f aca="false">IF((Arterial=0),P535+1,P535)</f>
        <v>238</v>
      </c>
      <c r="Q536" s="41" t="n">
        <f aca="false">IF((Arterial=1),Q535+1,Q535)</f>
        <v>281</v>
      </c>
      <c r="R536" s="42" t="e">
        <f aca="false">IF((RESET=1),0,R536+K536)</f>
        <v>#N/A</v>
      </c>
      <c r="S536" s="14" t="n">
        <f aca="false">IF(RESET=1,0,S536+N536)</f>
        <v>579.677892932423</v>
      </c>
      <c r="T536" s="2" t="e">
        <f aca="false">IF(RESET=1,0,T536+IF(H536=0,1,0))</f>
        <v>#N/A</v>
      </c>
      <c r="U536" s="2" t="n">
        <f aca="false">IF(RESET=1,0,U536+H536)</f>
        <v>35</v>
      </c>
      <c r="V536" s="14" t="e">
        <f aca="false">R536/(T536+0.00001)</f>
        <v>#N/A</v>
      </c>
      <c r="W536" s="14" t="n">
        <f aca="false">S536/(U536+0.0001)</f>
        <v>16.5621781918458</v>
      </c>
      <c r="X536" s="39" t="n">
        <f aca="false">IF(Informed=1,K536,0)</f>
        <v>7.4266119123572</v>
      </c>
      <c r="Y536" s="39" t="n">
        <f aca="false">IF(Informed=0,K536,0)</f>
        <v>0</v>
      </c>
      <c r="Z536" s="39" t="n">
        <f aca="false">IF(Informed=1,N536,0)</f>
        <v>0</v>
      </c>
      <c r="AA536" s="39" t="n">
        <f aca="false">IF(Informed=0,N536,0)</f>
        <v>0</v>
      </c>
      <c r="AB536" s="43" t="n">
        <f aca="false">IF(Arterial=0,IF(Informed=1,1,0),0)</f>
        <v>1</v>
      </c>
      <c r="AC536" s="43" t="n">
        <f aca="false">IF(Arterial=0,IF(Informed=0,1,0),0)</f>
        <v>0</v>
      </c>
      <c r="AD536" s="43" t="n">
        <f aca="false">IF(Arterial=1,IF(Informed=1,1,0),0)</f>
        <v>0</v>
      </c>
      <c r="AE536" s="43" t="n">
        <f aca="false">IF(Arterial=1,IF(Informed=0,1,0),0)</f>
        <v>0</v>
      </c>
      <c r="AF536" s="35" t="n">
        <f aca="false">IF(AB536=1,(X536-G$1030)^2,0)</f>
        <v>10.7785245233781</v>
      </c>
      <c r="AG536" s="35" t="n">
        <f aca="false">IF(AC536=1,(Y536-H$1030)^2,0)</f>
        <v>0</v>
      </c>
      <c r="AH536" s="35" t="n">
        <f aca="false">IF(AD536=1,(Z536-I$1030)^2,0)</f>
        <v>0</v>
      </c>
      <c r="AI536" s="35" t="n">
        <f aca="false">IF(AE536=1,(AA536-J$1030)^2,0)</f>
        <v>0</v>
      </c>
      <c r="AJ536" s="37" t="n">
        <f aca="true">IF(RAND()&lt;$D$6,1,0)</f>
        <v>0</v>
      </c>
      <c r="AK536" s="14" t="n">
        <f aca="false">AK535+IF((AJ536=1),IF((H536=0),1,0),0)</f>
        <v>0</v>
      </c>
      <c r="AL536" s="14" t="n">
        <f aca="false">AL535+IF((AJ536=1),IF((H536=1),1,0),0)</f>
        <v>0</v>
      </c>
      <c r="AM536" s="37" t="n">
        <f aca="false">IF(AK536=0,9999,IF($H536=0,IF($AJ536&lt;1,AM535+1,0),AM535))</f>
        <v>9999</v>
      </c>
      <c r="AN536" s="37" t="n">
        <f aca="false">IF(AL536=0,9999,IF($H536=1,IF($AJ536&lt;1,AN535+1,0),AN535))</f>
        <v>9999</v>
      </c>
      <c r="AO536" s="37" t="n">
        <f aca="false">IF($A536-AM536&gt;0,1/(1+AM536),0)</f>
        <v>0</v>
      </c>
      <c r="AP536" s="37" t="n">
        <f aca="false">IF($A536-AN536&gt;0,1/(1+AN536),0)</f>
        <v>0</v>
      </c>
      <c r="AQ536" s="7" t="n">
        <f aca="false">IF(AK536=0,0,MAX(MIN(1,AO536^Power),0))</f>
        <v>0</v>
      </c>
      <c r="AR536" s="7" t="n">
        <f aca="false">IF(AL536=0,0,MAX(MIN(1,AP536^Power),0))</f>
        <v>0</v>
      </c>
      <c r="AS536" s="7" t="n">
        <f aca="false">IF($AJ536=1,IF($H536=0,K536,AS535),AS535)</f>
        <v>0</v>
      </c>
      <c r="AT536" s="7" t="n">
        <f aca="false">IF($AJ536=1,IF($H536=1,N536,AT535),AT535)</f>
        <v>0</v>
      </c>
    </row>
    <row r="537" customFormat="false" ht="13" hidden="false" customHeight="false" outlineLevel="0" collapsed="false">
      <c r="A537" s="16" t="n">
        <v>520</v>
      </c>
      <c r="B537" s="37" t="n">
        <f aca="true">IF(RAND()&lt;$D$8,1,0)</f>
        <v>1</v>
      </c>
      <c r="C537" s="20" t="n">
        <f aca="true">-LN(RAND())/$D$2</f>
        <v>2.17381961256423</v>
      </c>
      <c r="D537" s="38" t="n">
        <f aca="false">D536+C537</f>
        <v>548.409745749423</v>
      </c>
      <c r="E537" s="39" t="n">
        <f aca="false">MAX($E$3,AS536)</f>
        <v>0</v>
      </c>
      <c r="F537" s="39" t="n">
        <f aca="false">MAX($E$3,AT536)</f>
        <v>0</v>
      </c>
      <c r="G537" s="40" t="n">
        <v>0.5</v>
      </c>
      <c r="H537" s="38" t="n">
        <f aca="true">IF((B537=1),(IF((F537&lt;E537),1,(IF((F537=E537),(IF(RAND()&lt;G537,1,0)),0)))),(IF((RAND()&lt;G537),1,0)))</f>
        <v>1</v>
      </c>
      <c r="I537" s="38" t="n">
        <f aca="true">IF((H537=1),0,$D$3+$D$5*(RAND()-0.5))</f>
        <v>0</v>
      </c>
      <c r="J537" s="38" t="n">
        <f aca="false">I537+MAX(D537,J536)</f>
        <v>553.662538049216</v>
      </c>
      <c r="K537" s="38" t="n">
        <f aca="false">IF((H537=0),J537-D537,0)</f>
        <v>0</v>
      </c>
      <c r="L537" s="38" t="n">
        <f aca="true">IF(($H537=0),0,$D$4+$D$5*(RAND()-0.5))</f>
        <v>1.90579679842005</v>
      </c>
      <c r="M537" s="38" t="n">
        <f aca="false">L537+MAX(D537,M536)</f>
        <v>592.730811948633</v>
      </c>
      <c r="N537" s="38" t="n">
        <f aca="false">IF((H537=1),M537-D537,0)</f>
        <v>44.3210661992105</v>
      </c>
      <c r="O537" s="16" t="n">
        <v>520</v>
      </c>
      <c r="P537" s="41" t="n">
        <f aca="false">IF((Arterial=0),P536+1,P536)</f>
        <v>238</v>
      </c>
      <c r="Q537" s="41" t="n">
        <f aca="false">IF((Arterial=1),Q536+1,Q536)</f>
        <v>282</v>
      </c>
      <c r="R537" s="42" t="n">
        <f aca="false">IF((RESET=1),0,R537+K537)</f>
        <v>982.13855365097</v>
      </c>
      <c r="S537" s="14" t="e">
        <f aca="false">IF(RESET=1,0,S537+N537)</f>
        <v>#N/A</v>
      </c>
      <c r="T537" s="2" t="n">
        <f aca="false">IF(RESET=1,0,T537+IF(H537=0,1,0))</f>
        <v>52</v>
      </c>
      <c r="U537" s="2" t="e">
        <f aca="false">IF(RESET=1,0,U537+H537)</f>
        <v>#N/A</v>
      </c>
      <c r="V537" s="14" t="n">
        <f aca="false">R537/(T537+0.00001)</f>
        <v>18.8872762457348</v>
      </c>
      <c r="W537" s="14" t="e">
        <f aca="false">S537/(U537+0.0001)</f>
        <v>#N/A</v>
      </c>
      <c r="X537" s="39" t="n">
        <f aca="false">IF(Informed=1,K537,0)</f>
        <v>0</v>
      </c>
      <c r="Y537" s="39" t="n">
        <f aca="false">IF(Informed=0,K537,0)</f>
        <v>0</v>
      </c>
      <c r="Z537" s="39" t="n">
        <f aca="false">IF(Informed=1,N537,0)</f>
        <v>44.3210661992105</v>
      </c>
      <c r="AA537" s="39" t="n">
        <f aca="false">IF(Informed=0,N537,0)</f>
        <v>0</v>
      </c>
      <c r="AB537" s="43" t="n">
        <f aca="false">IF(Arterial=0,IF(Informed=1,1,0),0)</f>
        <v>0</v>
      </c>
      <c r="AC537" s="43" t="n">
        <f aca="false">IF(Arterial=0,IF(Informed=0,1,0),0)</f>
        <v>0</v>
      </c>
      <c r="AD537" s="43" t="n">
        <f aca="false">IF(Arterial=1,IF(Informed=1,1,0),0)</f>
        <v>1</v>
      </c>
      <c r="AE537" s="43" t="n">
        <f aca="false">IF(Arterial=1,IF(Informed=0,1,0),0)</f>
        <v>0</v>
      </c>
      <c r="AF537" s="35" t="n">
        <f aca="false">IF(AB537=1,(X537-G$1030)^2,0)</f>
        <v>0</v>
      </c>
      <c r="AG537" s="35" t="n">
        <f aca="false">IF(AC537=1,(Y537-H$1030)^2,0)</f>
        <v>0</v>
      </c>
      <c r="AH537" s="35" t="n">
        <f aca="false">IF(AD537=1,(Z537-I$1030)^2,0)</f>
        <v>254.282296052885</v>
      </c>
      <c r="AI537" s="35" t="n">
        <f aca="false">IF(AE537=1,(AA537-J$1030)^2,0)</f>
        <v>0</v>
      </c>
      <c r="AJ537" s="37" t="n">
        <f aca="true">IF(RAND()&lt;$D$6,1,0)</f>
        <v>0</v>
      </c>
      <c r="AK537" s="14" t="n">
        <f aca="false">AK536+IF((AJ537=1),IF((H537=0),1,0),0)</f>
        <v>0</v>
      </c>
      <c r="AL537" s="14" t="n">
        <f aca="false">AL536+IF((AJ537=1),IF((H537=1),1,0),0)</f>
        <v>0</v>
      </c>
      <c r="AM537" s="37" t="n">
        <f aca="false">IF(AK537=0,9999,IF($H537=0,IF($AJ537&lt;1,AM536+1,0),AM536))</f>
        <v>9999</v>
      </c>
      <c r="AN537" s="37" t="n">
        <f aca="false">IF(AL537=0,9999,IF($H537=1,IF($AJ537&lt;1,AN536+1,0),AN536))</f>
        <v>9999</v>
      </c>
      <c r="AO537" s="37" t="n">
        <f aca="false">IF($A537-AM537&gt;0,1/(1+AM537),0)</f>
        <v>0</v>
      </c>
      <c r="AP537" s="37" t="n">
        <f aca="false">IF($A537-AN537&gt;0,1/(1+AN537),0)</f>
        <v>0</v>
      </c>
      <c r="AQ537" s="7" t="n">
        <f aca="false">IF(AK537=0,0,MAX(MIN(1,AO537^Power),0))</f>
        <v>0</v>
      </c>
      <c r="AR537" s="7" t="n">
        <f aca="false">IF(AL537=0,0,MAX(MIN(1,AP537^Power),0))</f>
        <v>0</v>
      </c>
      <c r="AS537" s="7" t="n">
        <f aca="false">IF($AJ537=1,IF($H537=0,K537,AS536),AS536)</f>
        <v>0</v>
      </c>
      <c r="AT537" s="7" t="n">
        <f aca="false">IF($AJ537=1,IF($H537=1,N537,AT536),AT536)</f>
        <v>0</v>
      </c>
    </row>
    <row r="538" customFormat="false" ht="13" hidden="false" customHeight="false" outlineLevel="0" collapsed="false">
      <c r="A538" s="16" t="n">
        <v>521</v>
      </c>
      <c r="B538" s="37" t="n">
        <f aca="true">IF(RAND()&lt;$D$8,1,0)</f>
        <v>1</v>
      </c>
      <c r="C538" s="20" t="n">
        <f aca="true">-LN(RAND())/$D$2</f>
        <v>0.377895994775743</v>
      </c>
      <c r="D538" s="38" t="n">
        <f aca="false">D537+C538</f>
        <v>548.787641744198</v>
      </c>
      <c r="E538" s="39" t="n">
        <f aca="false">MAX($E$3,AS537)</f>
        <v>0</v>
      </c>
      <c r="F538" s="39" t="n">
        <f aca="false">MAX($E$3,AT537)</f>
        <v>0</v>
      </c>
      <c r="G538" s="40" t="n">
        <v>0.5</v>
      </c>
      <c r="H538" s="38" t="n">
        <f aca="true">IF((B538=1),(IF((F538&lt;E538),1,(IF((F538=E538),(IF(RAND()&lt;G538,1,0)),0)))),(IF((RAND()&lt;G538),1,0)))</f>
        <v>1</v>
      </c>
      <c r="I538" s="38" t="n">
        <f aca="true">IF((H538=1),0,$D$3+$D$5*(RAND()-0.5))</f>
        <v>0</v>
      </c>
      <c r="J538" s="38" t="n">
        <f aca="false">I538+MAX(D538,J537)</f>
        <v>553.662538049216</v>
      </c>
      <c r="K538" s="38" t="n">
        <f aca="false">IF((H538=0),J538-D538,0)</f>
        <v>0</v>
      </c>
      <c r="L538" s="38" t="n">
        <f aca="true">IF(($H538=0),0,$D$4+$D$5*(RAND()-0.5))</f>
        <v>2.17048852863105</v>
      </c>
      <c r="M538" s="38" t="n">
        <f aca="false">L538+MAX(D538,M537)</f>
        <v>594.901300477264</v>
      </c>
      <c r="N538" s="38" t="n">
        <f aca="false">IF((H538=1),M538-D538,0)</f>
        <v>46.1136587330658</v>
      </c>
      <c r="O538" s="16" t="n">
        <v>521</v>
      </c>
      <c r="P538" s="41" t="n">
        <f aca="false">IF((Arterial=0),P537+1,P537)</f>
        <v>238</v>
      </c>
      <c r="Q538" s="41" t="n">
        <f aca="false">IF((Arterial=1),Q537+1,Q537)</f>
        <v>283</v>
      </c>
      <c r="R538" s="42" t="n">
        <f aca="false">IF((RESET=1),0,R538+K538)</f>
        <v>916.243734218076</v>
      </c>
      <c r="S538" s="14" t="e">
        <f aca="false">IF(RESET=1,0,S538+N538)</f>
        <v>#N/A</v>
      </c>
      <c r="T538" s="2" t="n">
        <f aca="false">IF(RESET=1,0,T538+IF(H538=0,1,0))</f>
        <v>48</v>
      </c>
      <c r="U538" s="2" t="e">
        <f aca="false">IF(RESET=1,0,U538+H538)</f>
        <v>#N/A</v>
      </c>
      <c r="V538" s="14" t="n">
        <f aca="false">R538/(T538+0.00001)</f>
        <v>19.0884071527918</v>
      </c>
      <c r="W538" s="14" t="e">
        <f aca="false">S538/(U538+0.0001)</f>
        <v>#N/A</v>
      </c>
      <c r="X538" s="39" t="n">
        <f aca="false">IF(Informed=1,K538,0)</f>
        <v>0</v>
      </c>
      <c r="Y538" s="39" t="n">
        <f aca="false">IF(Informed=0,K538,0)</f>
        <v>0</v>
      </c>
      <c r="Z538" s="39" t="n">
        <f aca="false">IF(Informed=1,N538,0)</f>
        <v>46.1136587330658</v>
      </c>
      <c r="AA538" s="39" t="n">
        <f aca="false">IF(Informed=0,N538,0)</f>
        <v>0</v>
      </c>
      <c r="AB538" s="43" t="n">
        <f aca="false">IF(Arterial=0,IF(Informed=1,1,0),0)</f>
        <v>0</v>
      </c>
      <c r="AC538" s="43" t="n">
        <f aca="false">IF(Arterial=0,IF(Informed=0,1,0),0)</f>
        <v>0</v>
      </c>
      <c r="AD538" s="43" t="n">
        <f aca="false">IF(Arterial=1,IF(Informed=1,1,0),0)</f>
        <v>1</v>
      </c>
      <c r="AE538" s="43" t="n">
        <f aca="false">IF(Arterial=1,IF(Informed=0,1,0),0)</f>
        <v>0</v>
      </c>
      <c r="AF538" s="35" t="n">
        <f aca="false">IF(AB538=1,(X538-G$1030)^2,0)</f>
        <v>0</v>
      </c>
      <c r="AG538" s="35" t="n">
        <f aca="false">IF(AC538=1,(Y538-H$1030)^2,0)</f>
        <v>0</v>
      </c>
      <c r="AH538" s="35" t="n">
        <f aca="false">IF(AD538=1,(Z538-I$1030)^2,0)</f>
        <v>314.665874768277</v>
      </c>
      <c r="AI538" s="35" t="n">
        <f aca="false">IF(AE538=1,(AA538-J$1030)^2,0)</f>
        <v>0</v>
      </c>
      <c r="AJ538" s="37" t="n">
        <f aca="true">IF(RAND()&lt;$D$6,1,0)</f>
        <v>0</v>
      </c>
      <c r="AK538" s="14" t="n">
        <f aca="false">AK537+IF((AJ538=1),IF((H538=0),1,0),0)</f>
        <v>0</v>
      </c>
      <c r="AL538" s="14" t="n">
        <f aca="false">AL537+IF((AJ538=1),IF((H538=1),1,0),0)</f>
        <v>0</v>
      </c>
      <c r="AM538" s="37" t="n">
        <f aca="false">IF(AK538=0,9999,IF($H538=0,IF($AJ538&lt;1,AM537+1,0),AM537))</f>
        <v>9999</v>
      </c>
      <c r="AN538" s="37" t="n">
        <f aca="false">IF(AL538=0,9999,IF($H538=1,IF($AJ538&lt;1,AN537+1,0),AN537))</f>
        <v>9999</v>
      </c>
      <c r="AO538" s="37" t="n">
        <f aca="false">IF($A538-AM538&gt;0,1/(1+AM538),0)</f>
        <v>0</v>
      </c>
      <c r="AP538" s="37" t="n">
        <f aca="false">IF($A538-AN538&gt;0,1/(1+AN538),0)</f>
        <v>0</v>
      </c>
      <c r="AQ538" s="7" t="n">
        <f aca="false">IF(AK538=0,0,MAX(MIN(1,AO538^Power),0))</f>
        <v>0</v>
      </c>
      <c r="AR538" s="7" t="n">
        <f aca="false">IF(AL538=0,0,MAX(MIN(1,AP538^Power),0))</f>
        <v>0</v>
      </c>
      <c r="AS538" s="7" t="n">
        <f aca="false">IF($AJ538=1,IF($H538=0,K538,AS537),AS537)</f>
        <v>0</v>
      </c>
      <c r="AT538" s="7" t="n">
        <f aca="false">IF($AJ538=1,IF($H538=1,N538,AT537),AT537)</f>
        <v>0</v>
      </c>
    </row>
    <row r="539" customFormat="false" ht="13" hidden="false" customHeight="false" outlineLevel="0" collapsed="false">
      <c r="A539" s="16" t="n">
        <v>522</v>
      </c>
      <c r="B539" s="37" t="n">
        <f aca="true">IF(RAND()&lt;$D$8,1,0)</f>
        <v>1</v>
      </c>
      <c r="C539" s="20" t="n">
        <f aca="true">-LN(RAND())/$D$2</f>
        <v>0.636286888352856</v>
      </c>
      <c r="D539" s="38" t="n">
        <f aca="false">D538+C539</f>
        <v>549.423928632551</v>
      </c>
      <c r="E539" s="39" t="n">
        <f aca="false">MAX($E$3,AS538)</f>
        <v>0</v>
      </c>
      <c r="F539" s="39" t="n">
        <f aca="false">MAX($E$3,AT538)</f>
        <v>0</v>
      </c>
      <c r="G539" s="40" t="n">
        <v>0.5</v>
      </c>
      <c r="H539" s="38" t="n">
        <f aca="true">IF((B539=1),(IF((F539&lt;E539),1,(IF((F539=E539),(IF(RAND()&lt;G539,1,0)),0)))),(IF((RAND()&lt;G539),1,0)))</f>
        <v>1</v>
      </c>
      <c r="I539" s="38" t="n">
        <f aca="true">IF((H539=1),0,$D$3+$D$5*(RAND()-0.5))</f>
        <v>0</v>
      </c>
      <c r="J539" s="38" t="n">
        <f aca="false">I539+MAX(D539,J538)</f>
        <v>553.662538049216</v>
      </c>
      <c r="K539" s="38" t="n">
        <f aca="false">IF((H539=0),J539-D539,0)</f>
        <v>0</v>
      </c>
      <c r="L539" s="38" t="n">
        <f aca="true">IF(($H539=0),0,$D$4+$D$5*(RAND()-0.5))</f>
        <v>2.10628758877743</v>
      </c>
      <c r="M539" s="38" t="n">
        <f aca="false">L539+MAX(D539,M538)</f>
        <v>597.007588066041</v>
      </c>
      <c r="N539" s="38" t="n">
        <f aca="false">IF((H539=1),M539-D539,0)</f>
        <v>47.5836594334903</v>
      </c>
      <c r="O539" s="16" t="n">
        <v>522</v>
      </c>
      <c r="P539" s="41" t="n">
        <f aca="false">IF((Arterial=0),P538+1,P538)</f>
        <v>238</v>
      </c>
      <c r="Q539" s="41" t="n">
        <f aca="false">IF((Arterial=1),Q538+1,Q538)</f>
        <v>284</v>
      </c>
      <c r="R539" s="42" t="n">
        <f aca="false">IF((RESET=1),0,R539+K539)</f>
        <v>840.057405671877</v>
      </c>
      <c r="S539" s="14" t="e">
        <f aca="false">IF(RESET=1,0,S539+N539)</f>
        <v>#N/A</v>
      </c>
      <c r="T539" s="2" t="n">
        <f aca="false">IF(RESET=1,0,T539+IF(H539=0,1,0))</f>
        <v>44</v>
      </c>
      <c r="U539" s="2" t="e">
        <f aca="false">IF(RESET=1,0,U539+H539)</f>
        <v>#N/A</v>
      </c>
      <c r="V539" s="14" t="n">
        <f aca="false">R539/(T539+0.00001)</f>
        <v>19.0922094261314</v>
      </c>
      <c r="W539" s="14" t="e">
        <f aca="false">S539/(U539+0.0001)</f>
        <v>#N/A</v>
      </c>
      <c r="X539" s="39" t="n">
        <f aca="false">IF(Informed=1,K539,0)</f>
        <v>0</v>
      </c>
      <c r="Y539" s="39" t="n">
        <f aca="false">IF(Informed=0,K539,0)</f>
        <v>0</v>
      </c>
      <c r="Z539" s="39" t="n">
        <f aca="false">IF(Informed=1,N539,0)</f>
        <v>47.5836594334903</v>
      </c>
      <c r="AA539" s="39" t="n">
        <f aca="false">IF(Informed=0,N539,0)</f>
        <v>0</v>
      </c>
      <c r="AB539" s="43" t="n">
        <f aca="false">IF(Arterial=0,IF(Informed=1,1,0),0)</f>
        <v>0</v>
      </c>
      <c r="AC539" s="43" t="n">
        <f aca="false">IF(Arterial=0,IF(Informed=0,1,0),0)</f>
        <v>0</v>
      </c>
      <c r="AD539" s="43" t="n">
        <f aca="false">IF(Arterial=1,IF(Informed=1,1,0),0)</f>
        <v>1</v>
      </c>
      <c r="AE539" s="43" t="n">
        <f aca="false">IF(Arterial=1,IF(Informed=0,1,0),0)</f>
        <v>0</v>
      </c>
      <c r="AF539" s="35" t="n">
        <f aca="false">IF(AB539=1,(X539-G$1030)^2,0)</f>
        <v>0</v>
      </c>
      <c r="AG539" s="35" t="n">
        <f aca="false">IF(AC539=1,(Y539-H$1030)^2,0)</f>
        <v>0</v>
      </c>
      <c r="AH539" s="35" t="n">
        <f aca="false">IF(AD539=1,(Z539-I$1030)^2,0)</f>
        <v>368.97894406004</v>
      </c>
      <c r="AI539" s="35" t="n">
        <f aca="false">IF(AE539=1,(AA539-J$1030)^2,0)</f>
        <v>0</v>
      </c>
      <c r="AJ539" s="37" t="n">
        <f aca="true">IF(RAND()&lt;$D$6,1,0)</f>
        <v>0</v>
      </c>
      <c r="AK539" s="14" t="n">
        <f aca="false">AK538+IF((AJ539=1),IF((H539=0),1,0),0)</f>
        <v>0</v>
      </c>
      <c r="AL539" s="14" t="n">
        <f aca="false">AL538+IF((AJ539=1),IF((H539=1),1,0),0)</f>
        <v>0</v>
      </c>
      <c r="AM539" s="37" t="n">
        <f aca="false">IF(AK539=0,9999,IF($H539=0,IF($AJ539&lt;1,AM538+1,0),AM538))</f>
        <v>9999</v>
      </c>
      <c r="AN539" s="37" t="n">
        <f aca="false">IF(AL539=0,9999,IF($H539=1,IF($AJ539&lt;1,AN538+1,0),AN538))</f>
        <v>9999</v>
      </c>
      <c r="AO539" s="37" t="n">
        <f aca="false">IF($A539-AM539&gt;0,1/(1+AM539),0)</f>
        <v>0</v>
      </c>
      <c r="AP539" s="37" t="n">
        <f aca="false">IF($A539-AN539&gt;0,1/(1+AN539),0)</f>
        <v>0</v>
      </c>
      <c r="AQ539" s="7" t="n">
        <f aca="false">IF(AK539=0,0,MAX(MIN(1,AO539^Power),0))</f>
        <v>0</v>
      </c>
      <c r="AR539" s="7" t="n">
        <f aca="false">IF(AL539=0,0,MAX(MIN(1,AP539^Power),0))</f>
        <v>0</v>
      </c>
      <c r="AS539" s="7" t="n">
        <f aca="false">IF($AJ539=1,IF($H539=0,K539,AS538),AS538)</f>
        <v>0</v>
      </c>
      <c r="AT539" s="7" t="n">
        <f aca="false">IF($AJ539=1,IF($H539=1,N539,AT538),AT538)</f>
        <v>0</v>
      </c>
    </row>
    <row r="540" customFormat="false" ht="13" hidden="false" customHeight="false" outlineLevel="0" collapsed="false">
      <c r="A540" s="16" t="n">
        <v>523</v>
      </c>
      <c r="B540" s="37" t="n">
        <f aca="true">IF(RAND()&lt;$D$8,1,0)</f>
        <v>1</v>
      </c>
      <c r="C540" s="20" t="n">
        <f aca="true">-LN(RAND())/$D$2</f>
        <v>0.107140407604099</v>
      </c>
      <c r="D540" s="38" t="n">
        <f aca="false">D539+C540</f>
        <v>549.531069040155</v>
      </c>
      <c r="E540" s="39" t="n">
        <f aca="false">MAX($E$3,AS539)</f>
        <v>0</v>
      </c>
      <c r="F540" s="39" t="n">
        <f aca="false">MAX($E$3,AT539)</f>
        <v>0</v>
      </c>
      <c r="G540" s="40" t="n">
        <v>0.5</v>
      </c>
      <c r="H540" s="38" t="n">
        <f aca="true">IF((B540=1),(IF((F540&lt;E540),1,(IF((F540=E540),(IF(RAND()&lt;G540,1,0)),0)))),(IF((RAND()&lt;G540),1,0)))</f>
        <v>0</v>
      </c>
      <c r="I540" s="38" t="n">
        <f aca="true">IF((H540=1),0,$D$3+$D$5*(RAND()-0.5))</f>
        <v>2.17992351074286</v>
      </c>
      <c r="J540" s="38" t="n">
        <f aca="false">I540+MAX(D540,J539)</f>
        <v>555.842461559958</v>
      </c>
      <c r="K540" s="38" t="n">
        <f aca="false">IF((H540=0),J540-D540,0)</f>
        <v>6.31139251980312</v>
      </c>
      <c r="L540" s="38" t="n">
        <f aca="true">IF(($H540=0),0,$D$4+$D$5*(RAND()-0.5))</f>
        <v>0</v>
      </c>
      <c r="M540" s="38" t="n">
        <f aca="false">L540+MAX(D540,M539)</f>
        <v>597.007588066041</v>
      </c>
      <c r="N540" s="38" t="n">
        <f aca="false">IF((H540=1),M540-D540,0)</f>
        <v>0</v>
      </c>
      <c r="O540" s="16" t="n">
        <v>523</v>
      </c>
      <c r="P540" s="41" t="n">
        <f aca="false">IF((Arterial=0),P539+1,P539)</f>
        <v>239</v>
      </c>
      <c r="Q540" s="41" t="n">
        <f aca="false">IF((Arterial=1),Q539+1,Q539)</f>
        <v>284</v>
      </c>
      <c r="R540" s="42" t="e">
        <f aca="false">IF((RESET=1),0,R540+K540)</f>
        <v>#N/A</v>
      </c>
      <c r="S540" s="14" t="n">
        <f aca="false">IF(RESET=1,0,S540+N540)</f>
        <v>671.134235618354</v>
      </c>
      <c r="T540" s="2" t="e">
        <f aca="false">IF(RESET=1,0,T540+IF(H540=0,1,0))</f>
        <v>#N/A</v>
      </c>
      <c r="U540" s="2" t="n">
        <f aca="false">IF(RESET=1,0,U540+H540)</f>
        <v>45</v>
      </c>
      <c r="V540" s="14" t="e">
        <f aca="false">R540/(T540+0.00001)</f>
        <v>#N/A</v>
      </c>
      <c r="W540" s="14" t="n">
        <f aca="false">S540/(U540+0.0001)</f>
        <v>14.9140609824946</v>
      </c>
      <c r="X540" s="39" t="n">
        <f aca="false">IF(Informed=1,K540,0)</f>
        <v>6.31139251980312</v>
      </c>
      <c r="Y540" s="39" t="n">
        <f aca="false">IF(Informed=0,K540,0)</f>
        <v>0</v>
      </c>
      <c r="Z540" s="39" t="n">
        <f aca="false">IF(Informed=1,N540,0)</f>
        <v>0</v>
      </c>
      <c r="AA540" s="39" t="n">
        <f aca="false">IF(Informed=0,N540,0)</f>
        <v>0</v>
      </c>
      <c r="AB540" s="43" t="n">
        <f aca="false">IF(Arterial=0,IF(Informed=1,1,0),0)</f>
        <v>1</v>
      </c>
      <c r="AC540" s="43" t="n">
        <f aca="false">IF(Arterial=0,IF(Informed=0,1,0),0)</f>
        <v>0</v>
      </c>
      <c r="AD540" s="43" t="n">
        <f aca="false">IF(Arterial=1,IF(Informed=1,1,0),0)</f>
        <v>0</v>
      </c>
      <c r="AE540" s="43" t="n">
        <f aca="false">IF(Arterial=1,IF(Informed=0,1,0),0)</f>
        <v>0</v>
      </c>
      <c r="AF540" s="35" t="n">
        <f aca="false">IF(AB540=1,(X540-G$1030)^2,0)</f>
        <v>19.3449172921301</v>
      </c>
      <c r="AG540" s="35" t="n">
        <f aca="false">IF(AC540=1,(Y540-H$1030)^2,0)</f>
        <v>0</v>
      </c>
      <c r="AH540" s="35" t="n">
        <f aca="false">IF(AD540=1,(Z540-I$1030)^2,0)</f>
        <v>0</v>
      </c>
      <c r="AI540" s="35" t="n">
        <f aca="false">IF(AE540=1,(AA540-J$1030)^2,0)</f>
        <v>0</v>
      </c>
      <c r="AJ540" s="37" t="n">
        <f aca="true">IF(RAND()&lt;$D$6,1,0)</f>
        <v>0</v>
      </c>
      <c r="AK540" s="14" t="n">
        <f aca="false">AK539+IF((AJ540=1),IF((H540=0),1,0),0)</f>
        <v>0</v>
      </c>
      <c r="AL540" s="14" t="n">
        <f aca="false">AL539+IF((AJ540=1),IF((H540=1),1,0),0)</f>
        <v>0</v>
      </c>
      <c r="AM540" s="37" t="n">
        <f aca="false">IF(AK540=0,9999,IF($H540=0,IF($AJ540&lt;1,AM539+1,0),AM539))</f>
        <v>9999</v>
      </c>
      <c r="AN540" s="37" t="n">
        <f aca="false">IF(AL540=0,9999,IF($H540=1,IF($AJ540&lt;1,AN539+1,0),AN539))</f>
        <v>9999</v>
      </c>
      <c r="AO540" s="37" t="n">
        <f aca="false">IF($A540-AM540&gt;0,1/(1+AM540),0)</f>
        <v>0</v>
      </c>
      <c r="AP540" s="37" t="n">
        <f aca="false">IF($A540-AN540&gt;0,1/(1+AN540),0)</f>
        <v>0</v>
      </c>
      <c r="AQ540" s="7" t="n">
        <f aca="false">IF(AK540=0,0,MAX(MIN(1,AO540^Power),0))</f>
        <v>0</v>
      </c>
      <c r="AR540" s="7" t="n">
        <f aca="false">IF(AL540=0,0,MAX(MIN(1,AP540^Power),0))</f>
        <v>0</v>
      </c>
      <c r="AS540" s="7" t="n">
        <f aca="false">IF($AJ540=1,IF($H540=0,K540,AS539),AS539)</f>
        <v>0</v>
      </c>
      <c r="AT540" s="7" t="n">
        <f aca="false">IF($AJ540=1,IF($H540=1,N540,AT539),AT539)</f>
        <v>0</v>
      </c>
    </row>
    <row r="541" customFormat="false" ht="13" hidden="false" customHeight="false" outlineLevel="0" collapsed="false">
      <c r="A541" s="16" t="n">
        <v>524</v>
      </c>
      <c r="B541" s="37" t="n">
        <f aca="true">IF(RAND()&lt;$D$8,1,0)</f>
        <v>0</v>
      </c>
      <c r="C541" s="20" t="n">
        <f aca="true">-LN(RAND())/$D$2</f>
        <v>1.02133674973016</v>
      </c>
      <c r="D541" s="38" t="n">
        <f aca="false">D540+C541</f>
        <v>550.552405789885</v>
      </c>
      <c r="E541" s="39" t="n">
        <f aca="false">MAX($E$3,AS540)</f>
        <v>0</v>
      </c>
      <c r="F541" s="39" t="n">
        <f aca="false">MAX($E$3,AT540)</f>
        <v>0</v>
      </c>
      <c r="G541" s="40" t="n">
        <v>0.5</v>
      </c>
      <c r="H541" s="38" t="n">
        <f aca="true">IF((B541=1),(IF((F541&lt;E541),1,(IF((F541=E541),(IF(RAND()&lt;G541,1,0)),0)))),(IF((RAND()&lt;G541),1,0)))</f>
        <v>1</v>
      </c>
      <c r="I541" s="38" t="n">
        <f aca="true">IF((H541=1),0,$D$3+$D$5*(RAND()-0.5))</f>
        <v>0</v>
      </c>
      <c r="J541" s="38" t="n">
        <f aca="false">I541+MAX(D541,J540)</f>
        <v>555.842461559958</v>
      </c>
      <c r="K541" s="38" t="n">
        <f aca="false">IF((H541=0),J541-D541,0)</f>
        <v>0</v>
      </c>
      <c r="L541" s="38" t="n">
        <f aca="true">IF(($H541=0),0,$D$4+$D$5*(RAND()-0.5))</f>
        <v>1.85069908595196</v>
      </c>
      <c r="M541" s="38" t="n">
        <f aca="false">L541+MAX(D541,M540)</f>
        <v>598.858287151993</v>
      </c>
      <c r="N541" s="38" t="n">
        <f aca="false">IF((H541=1),M541-D541,0)</f>
        <v>48.305881362108</v>
      </c>
      <c r="O541" s="16" t="n">
        <v>524</v>
      </c>
      <c r="P541" s="41" t="n">
        <f aca="false">IF((Arterial=0),P540+1,P540)</f>
        <v>239</v>
      </c>
      <c r="Q541" s="41" t="n">
        <f aca="false">IF((Arterial=1),Q540+1,Q540)</f>
        <v>285</v>
      </c>
      <c r="R541" s="42" t="n">
        <f aca="false">IF((RESET=1),0,R541+K541)</f>
        <v>730.215444552046</v>
      </c>
      <c r="S541" s="14" t="e">
        <f aca="false">IF(RESET=1,0,S541+N541)</f>
        <v>#N/A</v>
      </c>
      <c r="T541" s="2" t="n">
        <f aca="false">IF(RESET=1,0,T541+IF(H541=0,1,0))</f>
        <v>40</v>
      </c>
      <c r="U541" s="2" t="e">
        <f aca="false">IF(RESET=1,0,U541+H541)</f>
        <v>#N/A</v>
      </c>
      <c r="V541" s="14" t="n">
        <f aca="false">R541/(T541+0.00001)</f>
        <v>18.2553815499558</v>
      </c>
      <c r="W541" s="14" t="e">
        <f aca="false">S541/(U541+0.0001)</f>
        <v>#N/A</v>
      </c>
      <c r="X541" s="39" t="n">
        <f aca="false">IF(Informed=1,K541,0)</f>
        <v>0</v>
      </c>
      <c r="Y541" s="39" t="n">
        <f aca="false">IF(Informed=0,K541,0)</f>
        <v>0</v>
      </c>
      <c r="Z541" s="39" t="n">
        <f aca="false">IF(Informed=1,N541,0)</f>
        <v>0</v>
      </c>
      <c r="AA541" s="39" t="n">
        <f aca="false">IF(Informed=0,N541,0)</f>
        <v>48.305881362108</v>
      </c>
      <c r="AB541" s="43" t="n">
        <f aca="false">IF(Arterial=0,IF(Informed=1,1,0),0)</f>
        <v>0</v>
      </c>
      <c r="AC541" s="43" t="n">
        <f aca="false">IF(Arterial=0,IF(Informed=0,1,0),0)</f>
        <v>0</v>
      </c>
      <c r="AD541" s="43" t="n">
        <f aca="false">IF(Arterial=1,IF(Informed=1,1,0),0)</f>
        <v>0</v>
      </c>
      <c r="AE541" s="43" t="n">
        <f aca="false">IF(Arterial=1,IF(Informed=0,1,0),0)</f>
        <v>1</v>
      </c>
      <c r="AF541" s="35" t="n">
        <f aca="false">IF(AB541=1,(X541-G$1030)^2,0)</f>
        <v>0</v>
      </c>
      <c r="AG541" s="35" t="n">
        <f aca="false">IF(AC541=1,(Y541-H$1030)^2,0)</f>
        <v>0</v>
      </c>
      <c r="AH541" s="35" t="n">
        <f aca="false">IF(AD541=1,(Z541-I$1030)^2,0)</f>
        <v>0</v>
      </c>
      <c r="AI541" s="35" t="n">
        <f aca="false">IF(AE541=1,(AA541-J$1030)^2,0)</f>
        <v>351.24780939896</v>
      </c>
      <c r="AJ541" s="37" t="n">
        <f aca="true">IF(RAND()&lt;$D$6,1,0)</f>
        <v>0</v>
      </c>
      <c r="AK541" s="14" t="n">
        <f aca="false">AK540+IF((AJ541=1),IF((H541=0),1,0),0)</f>
        <v>0</v>
      </c>
      <c r="AL541" s="14" t="n">
        <f aca="false">AL540+IF((AJ541=1),IF((H541=1),1,0),0)</f>
        <v>0</v>
      </c>
      <c r="AM541" s="37" t="n">
        <f aca="false">IF(AK541=0,9999,IF($H541=0,IF($AJ541&lt;1,AM540+1,0),AM540))</f>
        <v>9999</v>
      </c>
      <c r="AN541" s="37" t="n">
        <f aca="false">IF(AL541=0,9999,IF($H541=1,IF($AJ541&lt;1,AN540+1,0),AN540))</f>
        <v>9999</v>
      </c>
      <c r="AO541" s="37" t="n">
        <f aca="false">IF($A541-AM541&gt;0,1/(1+AM541),0)</f>
        <v>0</v>
      </c>
      <c r="AP541" s="37" t="n">
        <f aca="false">IF($A541-AN541&gt;0,1/(1+AN541),0)</f>
        <v>0</v>
      </c>
      <c r="AQ541" s="7" t="n">
        <f aca="false">IF(AK541=0,0,MAX(MIN(1,AO541^Power),0))</f>
        <v>0</v>
      </c>
      <c r="AR541" s="7" t="n">
        <f aca="false">IF(AL541=0,0,MAX(MIN(1,AP541^Power),0))</f>
        <v>0</v>
      </c>
      <c r="AS541" s="7" t="n">
        <f aca="false">IF($AJ541=1,IF($H541=0,K541,AS540),AS540)</f>
        <v>0</v>
      </c>
      <c r="AT541" s="7" t="n">
        <f aca="false">IF($AJ541=1,IF($H541=1,N541,AT540),AT540)</f>
        <v>0</v>
      </c>
    </row>
    <row r="542" customFormat="false" ht="13" hidden="false" customHeight="false" outlineLevel="0" collapsed="false">
      <c r="A542" s="16" t="n">
        <v>525</v>
      </c>
      <c r="B542" s="37" t="n">
        <f aca="true">IF(RAND()&lt;$D$8,1,0)</f>
        <v>0</v>
      </c>
      <c r="C542" s="20" t="n">
        <f aca="true">-LN(RAND())/$D$2</f>
        <v>2.86655771899697</v>
      </c>
      <c r="D542" s="38" t="n">
        <f aca="false">D541+C542</f>
        <v>553.418963508882</v>
      </c>
      <c r="E542" s="39" t="n">
        <f aca="false">MAX($E$3,AS541)</f>
        <v>0</v>
      </c>
      <c r="F542" s="39" t="n">
        <f aca="false">MAX($E$3,AT541)</f>
        <v>0</v>
      </c>
      <c r="G542" s="40" t="n">
        <v>0.5</v>
      </c>
      <c r="H542" s="38" t="n">
        <f aca="true">IF((B542=1),(IF((F542&lt;E542),1,(IF((F542=E542),(IF(RAND()&lt;G542,1,0)),0)))),(IF((RAND()&lt;G542),1,0)))</f>
        <v>0</v>
      </c>
      <c r="I542" s="38" t="n">
        <f aca="true">IF((H542=1),0,$D$3+$D$5*(RAND()-0.5))</f>
        <v>1.87204814239756</v>
      </c>
      <c r="J542" s="38" t="n">
        <f aca="false">I542+MAX(D542,J541)</f>
        <v>557.714509702356</v>
      </c>
      <c r="K542" s="38" t="n">
        <f aca="false">IF((H542=0),J542-D542,0)</f>
        <v>4.29554619347357</v>
      </c>
      <c r="L542" s="38" t="n">
        <f aca="true">IF(($H542=0),0,$D$4+$D$5*(RAND()-0.5))</f>
        <v>0</v>
      </c>
      <c r="M542" s="38" t="n">
        <f aca="false">L542+MAX(D542,M541)</f>
        <v>598.858287151993</v>
      </c>
      <c r="N542" s="38" t="n">
        <f aca="false">IF((H542=1),M542-D542,0)</f>
        <v>0</v>
      </c>
      <c r="O542" s="16" t="n">
        <v>525</v>
      </c>
      <c r="P542" s="41" t="n">
        <f aca="false">IF((Arterial=0),P541+1,P541)</f>
        <v>240</v>
      </c>
      <c r="Q542" s="41" t="n">
        <f aca="false">IF((Arterial=1),Q541+1,Q541)</f>
        <v>285</v>
      </c>
      <c r="R542" s="42" t="e">
        <f aca="false">IF((RESET=1),0,R542+K542)</f>
        <v>#N/A</v>
      </c>
      <c r="S542" s="14" t="n">
        <f aca="false">IF(RESET=1,0,S542+N542)</f>
        <v>859.17458058425</v>
      </c>
      <c r="T542" s="2" t="e">
        <f aca="false">IF(RESET=1,0,T542+IF(H542=0,1,0))</f>
        <v>#N/A</v>
      </c>
      <c r="U542" s="2" t="n">
        <f aca="false">IF(RESET=1,0,U542+H542)</f>
        <v>43</v>
      </c>
      <c r="V542" s="14" t="e">
        <f aca="false">R542/(T542+0.00001)</f>
        <v>#N/A</v>
      </c>
      <c r="W542" s="14" t="n">
        <f aca="false">S542/(U542+0.0001)</f>
        <v>19.9807577327553</v>
      </c>
      <c r="X542" s="39" t="n">
        <f aca="false">IF(Informed=1,K542,0)</f>
        <v>0</v>
      </c>
      <c r="Y542" s="39" t="n">
        <f aca="false">IF(Informed=0,K542,0)</f>
        <v>4.29554619347357</v>
      </c>
      <c r="Z542" s="39" t="n">
        <f aca="false">IF(Informed=1,N542,0)</f>
        <v>0</v>
      </c>
      <c r="AA542" s="39" t="n">
        <f aca="false">IF(Informed=0,N542,0)</f>
        <v>0</v>
      </c>
      <c r="AB542" s="43" t="n">
        <f aca="false">IF(Arterial=0,IF(Informed=1,1,0),0)</f>
        <v>0</v>
      </c>
      <c r="AC542" s="43" t="n">
        <f aca="false">IF(Arterial=0,IF(Informed=0,1,0),0)</f>
        <v>1</v>
      </c>
      <c r="AD542" s="43" t="n">
        <f aca="false">IF(Arterial=1,IF(Informed=1,1,0),0)</f>
        <v>0</v>
      </c>
      <c r="AE542" s="43" t="n">
        <f aca="false">IF(Arterial=1,IF(Informed=0,1,0),0)</f>
        <v>0</v>
      </c>
      <c r="AF542" s="35" t="n">
        <f aca="false">IF(AB542=1,(X542-G$1030)^2,0)</f>
        <v>0</v>
      </c>
      <c r="AG542" s="35" t="n">
        <f aca="false">IF(AC542=1,(Y542-H$1030)^2,0)</f>
        <v>43.9335530000055</v>
      </c>
      <c r="AH542" s="35" t="n">
        <f aca="false">IF(AD542=1,(Z542-I$1030)^2,0)</f>
        <v>0</v>
      </c>
      <c r="AI542" s="35" t="n">
        <f aca="false">IF(AE542=1,(AA542-J$1030)^2,0)</f>
        <v>0</v>
      </c>
      <c r="AJ542" s="37" t="n">
        <f aca="true">IF(RAND()&lt;$D$6,1,0)</f>
        <v>0</v>
      </c>
      <c r="AK542" s="14" t="n">
        <f aca="false">AK541+IF((AJ542=1),IF((H542=0),1,0),0)</f>
        <v>0</v>
      </c>
      <c r="AL542" s="14" t="n">
        <f aca="false">AL541+IF((AJ542=1),IF((H542=1),1,0),0)</f>
        <v>0</v>
      </c>
      <c r="AM542" s="37" t="n">
        <f aca="false">IF(AK542=0,9999,IF($H542=0,IF($AJ542&lt;1,AM541+1,0),AM541))</f>
        <v>9999</v>
      </c>
      <c r="AN542" s="37" t="n">
        <f aca="false">IF(AL542=0,9999,IF($H542=1,IF($AJ542&lt;1,AN541+1,0),AN541))</f>
        <v>9999</v>
      </c>
      <c r="AO542" s="37" t="n">
        <f aca="false">IF($A542-AM542&gt;0,1/(1+AM542),0)</f>
        <v>0</v>
      </c>
      <c r="AP542" s="37" t="n">
        <f aca="false">IF($A542-AN542&gt;0,1/(1+AN542),0)</f>
        <v>0</v>
      </c>
      <c r="AQ542" s="7" t="n">
        <f aca="false">IF(AK542=0,0,MAX(MIN(1,AO542^Power),0))</f>
        <v>0</v>
      </c>
      <c r="AR542" s="7" t="n">
        <f aca="false">IF(AL542=0,0,MAX(MIN(1,AP542^Power),0))</f>
        <v>0</v>
      </c>
      <c r="AS542" s="7" t="n">
        <f aca="false">IF($AJ542=1,IF($H542=0,K542,AS541),AS541)</f>
        <v>0</v>
      </c>
      <c r="AT542" s="7" t="n">
        <f aca="false">IF($AJ542=1,IF($H542=1,N542,AT541),AT541)</f>
        <v>0</v>
      </c>
    </row>
    <row r="543" customFormat="false" ht="13" hidden="false" customHeight="false" outlineLevel="0" collapsed="false">
      <c r="A543" s="16" t="n">
        <v>526</v>
      </c>
      <c r="B543" s="37" t="n">
        <f aca="true">IF(RAND()&lt;$D$8,1,0)</f>
        <v>0</v>
      </c>
      <c r="C543" s="20" t="n">
        <f aca="true">-LN(RAND())/$D$2</f>
        <v>1.19192254471872</v>
      </c>
      <c r="D543" s="38" t="n">
        <f aca="false">D542+C543</f>
        <v>554.610886053601</v>
      </c>
      <c r="E543" s="39" t="n">
        <f aca="false">MAX($E$3,AS542)</f>
        <v>0</v>
      </c>
      <c r="F543" s="39" t="n">
        <f aca="false">MAX($E$3,AT542)</f>
        <v>0</v>
      </c>
      <c r="G543" s="40" t="n">
        <v>0.5</v>
      </c>
      <c r="H543" s="38" t="n">
        <f aca="true">IF((B543=1),(IF((F543&lt;E543),1,(IF((F543=E543),(IF(RAND()&lt;G543,1,0)),0)))),(IF((RAND()&lt;G543),1,0)))</f>
        <v>1</v>
      </c>
      <c r="I543" s="38" t="n">
        <f aca="true">IF((H543=1),0,$D$3+$D$5*(RAND()-0.5))</f>
        <v>0</v>
      </c>
      <c r="J543" s="38" t="n">
        <f aca="false">I543+MAX(D543,J542)</f>
        <v>557.714509702356</v>
      </c>
      <c r="K543" s="38" t="n">
        <f aca="false">IF((H543=0),J543-D543,0)</f>
        <v>0</v>
      </c>
      <c r="L543" s="38" t="n">
        <f aca="true">IF(($H543=0),0,$D$4+$D$5*(RAND()-0.5))</f>
        <v>1.95872266338564</v>
      </c>
      <c r="M543" s="38" t="n">
        <f aca="false">L543+MAX(D543,M542)</f>
        <v>600.817009815379</v>
      </c>
      <c r="N543" s="38" t="n">
        <f aca="false">IF((H543=1),M543-D543,0)</f>
        <v>46.2061237617779</v>
      </c>
      <c r="O543" s="16" t="n">
        <v>526</v>
      </c>
      <c r="P543" s="41" t="n">
        <f aca="false">IF((Arterial=0),P542+1,P542)</f>
        <v>240</v>
      </c>
      <c r="Q543" s="41" t="n">
        <f aca="false">IF((Arterial=1),Q542+1,Q542)</f>
        <v>286</v>
      </c>
      <c r="R543" s="42" t="n">
        <f aca="false">IF((RESET=1),0,R543+K543)</f>
        <v>802.766547022916</v>
      </c>
      <c r="S543" s="14" t="e">
        <f aca="false">IF(RESET=1,0,S543+N543)</f>
        <v>#N/A</v>
      </c>
      <c r="T543" s="2" t="n">
        <f aca="false">IF(RESET=1,0,T543+IF(H543=0,1,0))</f>
        <v>44</v>
      </c>
      <c r="U543" s="2" t="e">
        <f aca="false">IF(RESET=1,0,U543+H543)</f>
        <v>#N/A</v>
      </c>
      <c r="V543" s="14" t="n">
        <f aca="false">R543/(T543+0.00001)</f>
        <v>18.2446901040003</v>
      </c>
      <c r="W543" s="14" t="e">
        <f aca="false">S543/(U543+0.0001)</f>
        <v>#N/A</v>
      </c>
      <c r="X543" s="39" t="n">
        <f aca="false">IF(Informed=1,K543,0)</f>
        <v>0</v>
      </c>
      <c r="Y543" s="39" t="n">
        <f aca="false">IF(Informed=0,K543,0)</f>
        <v>0</v>
      </c>
      <c r="Z543" s="39" t="n">
        <f aca="false">IF(Informed=1,N543,0)</f>
        <v>0</v>
      </c>
      <c r="AA543" s="39" t="n">
        <f aca="false">IF(Informed=0,N543,0)</f>
        <v>46.2061237617779</v>
      </c>
      <c r="AB543" s="43" t="n">
        <f aca="false">IF(Arterial=0,IF(Informed=1,1,0),0)</f>
        <v>0</v>
      </c>
      <c r="AC543" s="43" t="n">
        <f aca="false">IF(Arterial=0,IF(Informed=0,1,0),0)</f>
        <v>0</v>
      </c>
      <c r="AD543" s="43" t="n">
        <f aca="false">IF(Arterial=1,IF(Informed=1,1,0),0)</f>
        <v>0</v>
      </c>
      <c r="AE543" s="43" t="n">
        <f aca="false">IF(Arterial=1,IF(Informed=0,1,0),0)</f>
        <v>1</v>
      </c>
      <c r="AF543" s="35" t="n">
        <f aca="false">IF(AB543=1,(X543-G$1030)^2,0)</f>
        <v>0</v>
      </c>
      <c r="AG543" s="35" t="n">
        <f aca="false">IF(AC543=1,(Y543-H$1030)^2,0)</f>
        <v>0</v>
      </c>
      <c r="AH543" s="35" t="n">
        <f aca="false">IF(AD543=1,(Z543-I$1030)^2,0)</f>
        <v>0</v>
      </c>
      <c r="AI543" s="35" t="n">
        <f aca="false">IF(AE543=1,(AA543-J$1030)^2,0)</f>
        <v>276.951130535551</v>
      </c>
      <c r="AJ543" s="37" t="n">
        <f aca="true">IF(RAND()&lt;$D$6,1,0)</f>
        <v>0</v>
      </c>
      <c r="AK543" s="14" t="n">
        <f aca="false">AK542+IF((AJ543=1),IF((H543=0),1,0),0)</f>
        <v>0</v>
      </c>
      <c r="AL543" s="14" t="n">
        <f aca="false">AL542+IF((AJ543=1),IF((H543=1),1,0),0)</f>
        <v>0</v>
      </c>
      <c r="AM543" s="37" t="n">
        <f aca="false">IF(AK543=0,9999,IF($H543=0,IF($AJ543&lt;1,AM542+1,0),AM542))</f>
        <v>9999</v>
      </c>
      <c r="AN543" s="37" t="n">
        <f aca="false">IF(AL543=0,9999,IF($H543=1,IF($AJ543&lt;1,AN542+1,0),AN542))</f>
        <v>9999</v>
      </c>
      <c r="AO543" s="37" t="n">
        <f aca="false">IF($A543-AM543&gt;0,1/(1+AM543),0)</f>
        <v>0</v>
      </c>
      <c r="AP543" s="37" t="n">
        <f aca="false">IF($A543-AN543&gt;0,1/(1+AN543),0)</f>
        <v>0</v>
      </c>
      <c r="AQ543" s="7" t="n">
        <f aca="false">IF(AK543=0,0,MAX(MIN(1,AO543^Power),0))</f>
        <v>0</v>
      </c>
      <c r="AR543" s="7" t="n">
        <f aca="false">IF(AL543=0,0,MAX(MIN(1,AP543^Power),0))</f>
        <v>0</v>
      </c>
      <c r="AS543" s="7" t="n">
        <f aca="false">IF($AJ543=1,IF($H543=0,K543,AS542),AS542)</f>
        <v>0</v>
      </c>
      <c r="AT543" s="7" t="n">
        <f aca="false">IF($AJ543=1,IF($H543=1,N543,AT542),AT542)</f>
        <v>0</v>
      </c>
    </row>
    <row r="544" customFormat="false" ht="13" hidden="false" customHeight="false" outlineLevel="0" collapsed="false">
      <c r="A544" s="16" t="n">
        <v>527</v>
      </c>
      <c r="B544" s="37" t="n">
        <f aca="true">IF(RAND()&lt;$D$8,1,0)</f>
        <v>0</v>
      </c>
      <c r="C544" s="20" t="n">
        <f aca="true">-LN(RAND())/$D$2</f>
        <v>1.6405421332985</v>
      </c>
      <c r="D544" s="38" t="n">
        <f aca="false">D543+C544</f>
        <v>556.2514281869</v>
      </c>
      <c r="E544" s="39" t="n">
        <f aca="false">MAX($E$3,AS543)</f>
        <v>0</v>
      </c>
      <c r="F544" s="39" t="n">
        <f aca="false">MAX($E$3,AT543)</f>
        <v>0</v>
      </c>
      <c r="G544" s="40" t="n">
        <v>0.5</v>
      </c>
      <c r="H544" s="38" t="n">
        <f aca="true">IF((B544=1),(IF((F544&lt;E544),1,(IF((F544=E544),(IF(RAND()&lt;G544,1,0)),0)))),(IF((RAND()&lt;G544),1,0)))</f>
        <v>0</v>
      </c>
      <c r="I544" s="38" t="n">
        <f aca="true">IF((H544=1),0,$D$3+$D$5*(RAND()-0.5))</f>
        <v>1.90525006961775</v>
      </c>
      <c r="J544" s="38" t="n">
        <f aca="false">I544+MAX(D544,J543)</f>
        <v>559.619759771974</v>
      </c>
      <c r="K544" s="38" t="n">
        <f aca="false">IF((H544=0),J544-D544,0)</f>
        <v>3.36833158507409</v>
      </c>
      <c r="L544" s="38" t="n">
        <f aca="true">IF(($H544=0),0,$D$4+$D$5*(RAND()-0.5))</f>
        <v>0</v>
      </c>
      <c r="M544" s="38" t="n">
        <f aca="false">L544+MAX(D544,M543)</f>
        <v>600.817009815379</v>
      </c>
      <c r="N544" s="38" t="n">
        <f aca="false">IF((H544=1),M544-D544,0)</f>
        <v>0</v>
      </c>
      <c r="O544" s="16" t="n">
        <v>527</v>
      </c>
      <c r="P544" s="41" t="n">
        <f aca="false">IF((Arterial=0),P543+1,P543)</f>
        <v>241</v>
      </c>
      <c r="Q544" s="41" t="n">
        <f aca="false">IF((Arterial=1),Q543+1,Q543)</f>
        <v>286</v>
      </c>
      <c r="R544" s="42" t="e">
        <f aca="false">IF((RESET=1),0,R544+K544)</f>
        <v>#N/A</v>
      </c>
      <c r="S544" s="14" t="n">
        <f aca="false">IF(RESET=1,0,S544+N544)</f>
        <v>815.214824597547</v>
      </c>
      <c r="T544" s="2" t="e">
        <f aca="false">IF(RESET=1,0,T544+IF(H544=0,1,0))</f>
        <v>#N/A</v>
      </c>
      <c r="U544" s="2" t="n">
        <f aca="false">IF(RESET=1,0,U544+H544)</f>
        <v>48</v>
      </c>
      <c r="V544" s="14" t="e">
        <f aca="false">R544/(T544+0.00001)</f>
        <v>#N/A</v>
      </c>
      <c r="W544" s="14" t="n">
        <f aca="false">S544/(U544+0.0001)</f>
        <v>16.9836067966014</v>
      </c>
      <c r="X544" s="39" t="n">
        <f aca="false">IF(Informed=1,K544,0)</f>
        <v>0</v>
      </c>
      <c r="Y544" s="39" t="n">
        <f aca="false">IF(Informed=0,K544,0)</f>
        <v>3.36833158507409</v>
      </c>
      <c r="Z544" s="39" t="n">
        <f aca="false">IF(Informed=1,N544,0)</f>
        <v>0</v>
      </c>
      <c r="AA544" s="39" t="n">
        <f aca="false">IF(Informed=0,N544,0)</f>
        <v>0</v>
      </c>
      <c r="AB544" s="43" t="n">
        <f aca="false">IF(Arterial=0,IF(Informed=1,1,0),0)</f>
        <v>0</v>
      </c>
      <c r="AC544" s="43" t="n">
        <f aca="false">IF(Arterial=0,IF(Informed=0,1,0),0)</f>
        <v>1</v>
      </c>
      <c r="AD544" s="43" t="n">
        <f aca="false">IF(Arterial=1,IF(Informed=1,1,0),0)</f>
        <v>0</v>
      </c>
      <c r="AE544" s="43" t="n">
        <f aca="false">IF(Arterial=1,IF(Informed=0,1,0),0)</f>
        <v>0</v>
      </c>
      <c r="AF544" s="35" t="n">
        <f aca="false">IF(AB544=1,(X544-G$1030)^2,0)</f>
        <v>0</v>
      </c>
      <c r="AG544" s="35" t="n">
        <f aca="false">IF(AC544=1,(Y544-H$1030)^2,0)</f>
        <v>57.0848800937204</v>
      </c>
      <c r="AH544" s="35" t="n">
        <f aca="false">IF(AD544=1,(Z544-I$1030)^2,0)</f>
        <v>0</v>
      </c>
      <c r="AI544" s="35" t="n">
        <f aca="false">IF(AE544=1,(AA544-J$1030)^2,0)</f>
        <v>0</v>
      </c>
      <c r="AJ544" s="37" t="n">
        <f aca="true">IF(RAND()&lt;$D$6,1,0)</f>
        <v>0</v>
      </c>
      <c r="AK544" s="14" t="n">
        <f aca="false">AK543+IF((AJ544=1),IF((H544=0),1,0),0)</f>
        <v>0</v>
      </c>
      <c r="AL544" s="14" t="n">
        <f aca="false">AL543+IF((AJ544=1),IF((H544=1),1,0),0)</f>
        <v>0</v>
      </c>
      <c r="AM544" s="37" t="n">
        <f aca="false">IF(AK544=0,9999,IF($H544=0,IF($AJ544&lt;1,AM543+1,0),AM543))</f>
        <v>9999</v>
      </c>
      <c r="AN544" s="37" t="n">
        <f aca="false">IF(AL544=0,9999,IF($H544=1,IF($AJ544&lt;1,AN543+1,0),AN543))</f>
        <v>9999</v>
      </c>
      <c r="AO544" s="37" t="n">
        <f aca="false">IF($A544-AM544&gt;0,1/(1+AM544),0)</f>
        <v>0</v>
      </c>
      <c r="AP544" s="37" t="n">
        <f aca="false">IF($A544-AN544&gt;0,1/(1+AN544),0)</f>
        <v>0</v>
      </c>
      <c r="AQ544" s="7" t="n">
        <f aca="false">IF(AK544=0,0,MAX(MIN(1,AO544^Power),0))</f>
        <v>0</v>
      </c>
      <c r="AR544" s="7" t="n">
        <f aca="false">IF(AL544=0,0,MAX(MIN(1,AP544^Power),0))</f>
        <v>0</v>
      </c>
      <c r="AS544" s="7" t="n">
        <f aca="false">IF($AJ544=1,IF($H544=0,K544,AS543),AS543)</f>
        <v>0</v>
      </c>
      <c r="AT544" s="7" t="n">
        <f aca="false">IF($AJ544=1,IF($H544=1,N544,AT543),AT543)</f>
        <v>0</v>
      </c>
    </row>
    <row r="545" customFormat="false" ht="13" hidden="false" customHeight="false" outlineLevel="0" collapsed="false">
      <c r="A545" s="16" t="n">
        <v>528</v>
      </c>
      <c r="B545" s="37" t="n">
        <f aca="true">IF(RAND()&lt;$D$8,1,0)</f>
        <v>1</v>
      </c>
      <c r="C545" s="20" t="n">
        <f aca="true">-LN(RAND())/$D$2</f>
        <v>3.33537400756298</v>
      </c>
      <c r="D545" s="38" t="n">
        <f aca="false">D544+C545</f>
        <v>559.586802194463</v>
      </c>
      <c r="E545" s="39" t="n">
        <f aca="false">MAX($E$3,AS544)</f>
        <v>0</v>
      </c>
      <c r="F545" s="39" t="n">
        <f aca="false">MAX($E$3,AT544)</f>
        <v>0</v>
      </c>
      <c r="G545" s="40" t="n">
        <v>0.5</v>
      </c>
      <c r="H545" s="38" t="n">
        <f aca="true">IF((B545=1),(IF((F545&lt;E545),1,(IF((F545=E545),(IF(RAND()&lt;G545,1,0)),0)))),(IF((RAND()&lt;G545),1,0)))</f>
        <v>0</v>
      </c>
      <c r="I545" s="38" t="n">
        <f aca="true">IF((H545=1),0,$D$3+$D$5*(RAND()-0.5))</f>
        <v>2.24763759860446</v>
      </c>
      <c r="J545" s="38" t="n">
        <f aca="false">I545+MAX(D545,J544)</f>
        <v>561.867397370578</v>
      </c>
      <c r="K545" s="38" t="n">
        <f aca="false">IF((H545=0),J545-D545,0)</f>
        <v>2.28059517611553</v>
      </c>
      <c r="L545" s="38" t="n">
        <f aca="true">IF(($H545=0),0,$D$4+$D$5*(RAND()-0.5))</f>
        <v>0</v>
      </c>
      <c r="M545" s="38" t="n">
        <f aca="false">L545+MAX(D545,M544)</f>
        <v>600.817009815379</v>
      </c>
      <c r="N545" s="38" t="n">
        <f aca="false">IF((H545=1),M545-D545,0)</f>
        <v>0</v>
      </c>
      <c r="O545" s="16" t="n">
        <v>528</v>
      </c>
      <c r="P545" s="41" t="n">
        <f aca="false">IF((Arterial=0),P544+1,P544)</f>
        <v>242</v>
      </c>
      <c r="Q545" s="41" t="n">
        <f aca="false">IF((Arterial=1),Q544+1,Q544)</f>
        <v>286</v>
      </c>
      <c r="R545" s="42" t="e">
        <f aca="false">IF((RESET=1),0,R545+K545)</f>
        <v>#N/A</v>
      </c>
      <c r="S545" s="14" t="n">
        <f aca="false">IF(RESET=1,0,S545+N545)</f>
        <v>795.824690343077</v>
      </c>
      <c r="T545" s="2" t="e">
        <f aca="false">IF(RESET=1,0,T545+IF(H545=0,1,0))</f>
        <v>#N/A</v>
      </c>
      <c r="U545" s="2" t="n">
        <f aca="false">IF(RESET=1,0,U545+H545)</f>
        <v>42</v>
      </c>
      <c r="V545" s="14" t="e">
        <f aca="false">R545/(T545+0.00001)</f>
        <v>#N/A</v>
      </c>
      <c r="W545" s="14" t="n">
        <f aca="false">S545/(U545+0.0001)</f>
        <v>18.9481617982595</v>
      </c>
      <c r="X545" s="39" t="n">
        <f aca="false">IF(Informed=1,K545,0)</f>
        <v>2.28059517611553</v>
      </c>
      <c r="Y545" s="39" t="n">
        <f aca="false">IF(Informed=0,K545,0)</f>
        <v>0</v>
      </c>
      <c r="Z545" s="39" t="n">
        <f aca="false">IF(Informed=1,N545,0)</f>
        <v>0</v>
      </c>
      <c r="AA545" s="39" t="n">
        <f aca="false">IF(Informed=0,N545,0)</f>
        <v>0</v>
      </c>
      <c r="AB545" s="43" t="n">
        <f aca="false">IF(Arterial=0,IF(Informed=1,1,0),0)</f>
        <v>1</v>
      </c>
      <c r="AC545" s="43" t="n">
        <f aca="false">IF(Arterial=0,IF(Informed=0,1,0),0)</f>
        <v>0</v>
      </c>
      <c r="AD545" s="43" t="n">
        <f aca="false">IF(Arterial=1,IF(Informed=1,1,0),0)</f>
        <v>0</v>
      </c>
      <c r="AE545" s="43" t="n">
        <f aca="false">IF(Arterial=1,IF(Informed=0,1,0),0)</f>
        <v>0</v>
      </c>
      <c r="AF545" s="35" t="n">
        <f aca="false">IF(AB545=1,(X545-G$1030)^2,0)</f>
        <v>71.0494413278418</v>
      </c>
      <c r="AG545" s="35" t="n">
        <f aca="false">IF(AC545=1,(Y545-H$1030)^2,0)</f>
        <v>0</v>
      </c>
      <c r="AH545" s="35" t="n">
        <f aca="false">IF(AD545=1,(Z545-I$1030)^2,0)</f>
        <v>0</v>
      </c>
      <c r="AI545" s="35" t="n">
        <f aca="false">IF(AE545=1,(AA545-J$1030)^2,0)</f>
        <v>0</v>
      </c>
      <c r="AJ545" s="37" t="n">
        <f aca="true">IF(RAND()&lt;$D$6,1,0)</f>
        <v>0</v>
      </c>
      <c r="AK545" s="14" t="n">
        <f aca="false">AK544+IF((AJ545=1),IF((H545=0),1,0),0)</f>
        <v>0</v>
      </c>
      <c r="AL545" s="14" t="n">
        <f aca="false">AL544+IF((AJ545=1),IF((H545=1),1,0),0)</f>
        <v>0</v>
      </c>
      <c r="AM545" s="37" t="n">
        <f aca="false">IF(AK545=0,9999,IF($H545=0,IF($AJ545&lt;1,AM544+1,0),AM544))</f>
        <v>9999</v>
      </c>
      <c r="AN545" s="37" t="n">
        <f aca="false">IF(AL545=0,9999,IF($H545=1,IF($AJ545&lt;1,AN544+1,0),AN544))</f>
        <v>9999</v>
      </c>
      <c r="AO545" s="37" t="n">
        <f aca="false">IF($A545-AM545&gt;0,1/(1+AM545),0)</f>
        <v>0</v>
      </c>
      <c r="AP545" s="37" t="n">
        <f aca="false">IF($A545-AN545&gt;0,1/(1+AN545),0)</f>
        <v>0</v>
      </c>
      <c r="AQ545" s="7" t="n">
        <f aca="false">IF(AK545=0,0,MAX(MIN(1,AO545^Power),0))</f>
        <v>0</v>
      </c>
      <c r="AR545" s="7" t="n">
        <f aca="false">IF(AL545=0,0,MAX(MIN(1,AP545^Power),0))</f>
        <v>0</v>
      </c>
      <c r="AS545" s="7" t="n">
        <f aca="false">IF($AJ545=1,IF($H545=0,K545,AS544),AS544)</f>
        <v>0</v>
      </c>
      <c r="AT545" s="7" t="n">
        <f aca="false">IF($AJ545=1,IF($H545=1,N545,AT544),AT544)</f>
        <v>0</v>
      </c>
    </row>
    <row r="546" customFormat="false" ht="13" hidden="false" customHeight="false" outlineLevel="0" collapsed="false">
      <c r="A546" s="16" t="n">
        <v>529</v>
      </c>
      <c r="B546" s="37" t="n">
        <f aca="true">IF(RAND()&lt;$D$8,1,0)</f>
        <v>0</v>
      </c>
      <c r="C546" s="20" t="n">
        <f aca="true">-LN(RAND())/$D$2</f>
        <v>0.86236071379019</v>
      </c>
      <c r="D546" s="38" t="n">
        <f aca="false">D545+C546</f>
        <v>560.449162908253</v>
      </c>
      <c r="E546" s="39" t="n">
        <f aca="false">MAX($E$3,AS545)</f>
        <v>0</v>
      </c>
      <c r="F546" s="39" t="n">
        <f aca="false">MAX($E$3,AT545)</f>
        <v>0</v>
      </c>
      <c r="G546" s="40" t="n">
        <v>0.5</v>
      </c>
      <c r="H546" s="38" t="n">
        <f aca="true">IF((B546=1),(IF((F546&lt;E546),1,(IF((F546=E546),(IF(RAND()&lt;G546,1,0)),0)))),(IF((RAND()&lt;G546),1,0)))</f>
        <v>0</v>
      </c>
      <c r="I546" s="38" t="n">
        <f aca="true">IF((H546=1),0,$D$3+$D$5*(RAND()-0.5))</f>
        <v>1.83533942643005</v>
      </c>
      <c r="J546" s="38" t="n">
        <f aca="false">I546+MAX(D546,J545)</f>
        <v>563.702736797008</v>
      </c>
      <c r="K546" s="38" t="n">
        <f aca="false">IF((H546=0),J546-D546,0)</f>
        <v>3.25357388875545</v>
      </c>
      <c r="L546" s="38" t="n">
        <f aca="true">IF(($H546=0),0,$D$4+$D$5*(RAND()-0.5))</f>
        <v>0</v>
      </c>
      <c r="M546" s="38" t="n">
        <f aca="false">L546+MAX(D546,M545)</f>
        <v>600.817009815379</v>
      </c>
      <c r="N546" s="38" t="n">
        <f aca="false">IF((H546=1),M546-D546,0)</f>
        <v>0</v>
      </c>
      <c r="O546" s="16" t="n">
        <v>529</v>
      </c>
      <c r="P546" s="41" t="n">
        <f aca="false">IF((Arterial=0),P545+1,P545)</f>
        <v>243</v>
      </c>
      <c r="Q546" s="41" t="n">
        <f aca="false">IF((Arterial=1),Q545+1,Q545)</f>
        <v>286</v>
      </c>
      <c r="R546" s="42" t="e">
        <f aca="false">IF((RESET=1),0,R546+K546)</f>
        <v>#N/A</v>
      </c>
      <c r="S546" s="14" t="n">
        <f aca="false">IF(RESET=1,0,S546+N546)</f>
        <v>699.427692915652</v>
      </c>
      <c r="T546" s="2" t="e">
        <f aca="false">IF(RESET=1,0,T546+IF(H546=0,1,0))</f>
        <v>#N/A</v>
      </c>
      <c r="U546" s="2" t="n">
        <f aca="false">IF(RESET=1,0,U546+H546)</f>
        <v>41</v>
      </c>
      <c r="V546" s="14" t="e">
        <f aca="false">R546/(T546+0.00001)</f>
        <v>#N/A</v>
      </c>
      <c r="W546" s="14" t="n">
        <f aca="false">S546/(U546+0.0001)</f>
        <v>17.0591704146003</v>
      </c>
      <c r="X546" s="39" t="n">
        <f aca="false">IF(Informed=1,K546,0)</f>
        <v>0</v>
      </c>
      <c r="Y546" s="39" t="n">
        <f aca="false">IF(Informed=0,K546,0)</f>
        <v>3.25357388875545</v>
      </c>
      <c r="Z546" s="39" t="n">
        <f aca="false">IF(Informed=1,N546,0)</f>
        <v>0</v>
      </c>
      <c r="AA546" s="39" t="n">
        <f aca="false">IF(Informed=0,N546,0)</f>
        <v>0</v>
      </c>
      <c r="AB546" s="43" t="n">
        <f aca="false">IF(Arterial=0,IF(Informed=1,1,0),0)</f>
        <v>0</v>
      </c>
      <c r="AC546" s="43" t="n">
        <f aca="false">IF(Arterial=0,IF(Informed=0,1,0),0)</f>
        <v>1</v>
      </c>
      <c r="AD546" s="43" t="n">
        <f aca="false">IF(Arterial=1,IF(Informed=1,1,0),0)</f>
        <v>0</v>
      </c>
      <c r="AE546" s="43" t="n">
        <f aca="false">IF(Arterial=1,IF(Informed=0,1,0),0)</f>
        <v>0</v>
      </c>
      <c r="AF546" s="35" t="n">
        <f aca="false">IF(AB546=1,(X546-G$1030)^2,0)</f>
        <v>0</v>
      </c>
      <c r="AG546" s="35" t="n">
        <f aca="false">IF(AC546=1,(Y546-H$1030)^2,0)</f>
        <v>58.8321423372082</v>
      </c>
      <c r="AH546" s="35" t="n">
        <f aca="false">IF(AD546=1,(Z546-I$1030)^2,0)</f>
        <v>0</v>
      </c>
      <c r="AI546" s="35" t="n">
        <f aca="false">IF(AE546=1,(AA546-J$1030)^2,0)</f>
        <v>0</v>
      </c>
      <c r="AJ546" s="37" t="n">
        <f aca="true">IF(RAND()&lt;$D$6,1,0)</f>
        <v>0</v>
      </c>
      <c r="AK546" s="14" t="n">
        <f aca="false">AK545+IF((AJ546=1),IF((H546=0),1,0),0)</f>
        <v>0</v>
      </c>
      <c r="AL546" s="14" t="n">
        <f aca="false">AL545+IF((AJ546=1),IF((H546=1),1,0),0)</f>
        <v>0</v>
      </c>
      <c r="AM546" s="37" t="n">
        <f aca="false">IF(AK546=0,9999,IF($H546=0,IF($AJ546&lt;1,AM545+1,0),AM545))</f>
        <v>9999</v>
      </c>
      <c r="AN546" s="37" t="n">
        <f aca="false">IF(AL546=0,9999,IF($H546=1,IF($AJ546&lt;1,AN545+1,0),AN545))</f>
        <v>9999</v>
      </c>
      <c r="AO546" s="37" t="n">
        <f aca="false">IF($A546-AM546&gt;0,1/(1+AM546),0)</f>
        <v>0</v>
      </c>
      <c r="AP546" s="37" t="n">
        <f aca="false">IF($A546-AN546&gt;0,1/(1+AN546),0)</f>
        <v>0</v>
      </c>
      <c r="AQ546" s="7" t="n">
        <f aca="false">IF(AK546=0,0,MAX(MIN(1,AO546^Power),0))</f>
        <v>0</v>
      </c>
      <c r="AR546" s="7" t="n">
        <f aca="false">IF(AL546=0,0,MAX(MIN(1,AP546^Power),0))</f>
        <v>0</v>
      </c>
      <c r="AS546" s="7" t="n">
        <f aca="false">IF($AJ546=1,IF($H546=0,K546,AS545),AS545)</f>
        <v>0</v>
      </c>
      <c r="AT546" s="7" t="n">
        <f aca="false">IF($AJ546=1,IF($H546=1,N546,AT545),AT545)</f>
        <v>0</v>
      </c>
    </row>
    <row r="547" customFormat="false" ht="13" hidden="false" customHeight="false" outlineLevel="0" collapsed="false">
      <c r="A547" s="16" t="n">
        <v>530</v>
      </c>
      <c r="B547" s="37" t="n">
        <f aca="true">IF(RAND()&lt;$D$8,1,0)</f>
        <v>0</v>
      </c>
      <c r="C547" s="20" t="n">
        <f aca="true">-LN(RAND())/$D$2</f>
        <v>0.058489043561864</v>
      </c>
      <c r="D547" s="38" t="n">
        <f aca="false">D546+C547</f>
        <v>560.507651951815</v>
      </c>
      <c r="E547" s="39" t="n">
        <f aca="false">MAX($E$3,AS546)</f>
        <v>0</v>
      </c>
      <c r="F547" s="39" t="n">
        <f aca="false">MAX($E$3,AT546)</f>
        <v>0</v>
      </c>
      <c r="G547" s="40" t="n">
        <v>0.5</v>
      </c>
      <c r="H547" s="38" t="n">
        <f aca="true">IF((B547=1),(IF((F547&lt;E547),1,(IF((F547=E547),(IF(RAND()&lt;G547,1,0)),0)))),(IF((RAND()&lt;G547),1,0)))</f>
        <v>1</v>
      </c>
      <c r="I547" s="38" t="n">
        <f aca="true">IF((H547=1),0,$D$3+$D$5*(RAND()-0.5))</f>
        <v>0</v>
      </c>
      <c r="J547" s="38" t="n">
        <f aca="false">I547+MAX(D547,J546)</f>
        <v>563.702736797008</v>
      </c>
      <c r="K547" s="38" t="n">
        <f aca="false">IF((H547=0),J547-D547,0)</f>
        <v>0</v>
      </c>
      <c r="L547" s="38" t="n">
        <f aca="true">IF(($H547=0),0,$D$4+$D$5*(RAND()-0.5))</f>
        <v>2.08206880492626</v>
      </c>
      <c r="M547" s="38" t="n">
        <f aca="false">L547+MAX(D547,M546)</f>
        <v>602.899078620305</v>
      </c>
      <c r="N547" s="38" t="n">
        <f aca="false">IF((H547=1),M547-D547,0)</f>
        <v>42.3914266684907</v>
      </c>
      <c r="O547" s="16" t="n">
        <v>530</v>
      </c>
      <c r="P547" s="41" t="n">
        <f aca="false">IF((Arterial=0),P546+1,P546)</f>
        <v>243</v>
      </c>
      <c r="Q547" s="41" t="n">
        <f aca="false">IF((Arterial=1),Q546+1,Q546)</f>
        <v>287</v>
      </c>
      <c r="R547" s="42" t="n">
        <f aca="false">IF((RESET=1),0,R547+K547)</f>
        <v>651.240206237416</v>
      </c>
      <c r="S547" s="14" t="e">
        <f aca="false">IF(RESET=1,0,S547+N547)</f>
        <v>#N/A</v>
      </c>
      <c r="T547" s="2" t="n">
        <f aca="false">IF(RESET=1,0,T547+IF(H547=0,1,0))</f>
        <v>34</v>
      </c>
      <c r="U547" s="2" t="e">
        <f aca="false">IF(RESET=1,0,U547+H547)</f>
        <v>#N/A</v>
      </c>
      <c r="V547" s="14" t="n">
        <f aca="false">R547/(T547+0.00001)</f>
        <v>19.154118079301</v>
      </c>
      <c r="W547" s="14" t="e">
        <f aca="false">S547/(U547+0.0001)</f>
        <v>#N/A</v>
      </c>
      <c r="X547" s="39" t="n">
        <f aca="false">IF(Informed=1,K547,0)</f>
        <v>0</v>
      </c>
      <c r="Y547" s="39" t="n">
        <f aca="false">IF(Informed=0,K547,0)</f>
        <v>0</v>
      </c>
      <c r="Z547" s="39" t="n">
        <f aca="false">IF(Informed=1,N547,0)</f>
        <v>0</v>
      </c>
      <c r="AA547" s="39" t="n">
        <f aca="false">IF(Informed=0,N547,0)</f>
        <v>42.3914266684907</v>
      </c>
      <c r="AB547" s="43" t="n">
        <f aca="false">IF(Arterial=0,IF(Informed=1,1,0),0)</f>
        <v>0</v>
      </c>
      <c r="AC547" s="43" t="n">
        <f aca="false">IF(Arterial=0,IF(Informed=0,1,0),0)</f>
        <v>0</v>
      </c>
      <c r="AD547" s="43" t="n">
        <f aca="false">IF(Arterial=1,IF(Informed=1,1,0),0)</f>
        <v>0</v>
      </c>
      <c r="AE547" s="43" t="n">
        <f aca="false">IF(Arterial=1,IF(Informed=0,1,0),0)</f>
        <v>1</v>
      </c>
      <c r="AF547" s="35" t="n">
        <f aca="false">IF(AB547=1,(X547-G$1030)^2,0)</f>
        <v>0</v>
      </c>
      <c r="AG547" s="35" t="n">
        <f aca="false">IF(AC547=1,(Y547-H$1030)^2,0)</f>
        <v>0</v>
      </c>
      <c r="AH547" s="35" t="n">
        <f aca="false">IF(AD547=1,(Z547-I$1030)^2,0)</f>
        <v>0</v>
      </c>
      <c r="AI547" s="35" t="n">
        <f aca="false">IF(AE547=1,(AA547-J$1030)^2,0)</f>
        <v>164.535820177476</v>
      </c>
      <c r="AJ547" s="37" t="n">
        <f aca="true">IF(RAND()&lt;$D$6,1,0)</f>
        <v>0</v>
      </c>
      <c r="AK547" s="14" t="n">
        <f aca="false">AK546+IF((AJ547=1),IF((H547=0),1,0),0)</f>
        <v>0</v>
      </c>
      <c r="AL547" s="14" t="n">
        <f aca="false">AL546+IF((AJ547=1),IF((H547=1),1,0),0)</f>
        <v>0</v>
      </c>
      <c r="AM547" s="37" t="n">
        <f aca="false">IF(AK547=0,9999,IF($H547=0,IF($AJ547&lt;1,AM546+1,0),AM546))</f>
        <v>9999</v>
      </c>
      <c r="AN547" s="37" t="n">
        <f aca="false">IF(AL547=0,9999,IF($H547=1,IF($AJ547&lt;1,AN546+1,0),AN546))</f>
        <v>9999</v>
      </c>
      <c r="AO547" s="37" t="n">
        <f aca="false">IF($A547-AM547&gt;0,1/(1+AM547),0)</f>
        <v>0</v>
      </c>
      <c r="AP547" s="37" t="n">
        <f aca="false">IF($A547-AN547&gt;0,1/(1+AN547),0)</f>
        <v>0</v>
      </c>
      <c r="AQ547" s="7" t="n">
        <f aca="false">IF(AK547=0,0,MAX(MIN(1,AO547^Power),0))</f>
        <v>0</v>
      </c>
      <c r="AR547" s="7" t="n">
        <f aca="false">IF(AL547=0,0,MAX(MIN(1,AP547^Power),0))</f>
        <v>0</v>
      </c>
      <c r="AS547" s="7" t="n">
        <f aca="false">IF($AJ547=1,IF($H547=0,K547,AS546),AS546)</f>
        <v>0</v>
      </c>
      <c r="AT547" s="7" t="n">
        <f aca="false">IF($AJ547=1,IF($H547=1,N547,AT546),AT546)</f>
        <v>0</v>
      </c>
    </row>
    <row r="548" customFormat="false" ht="13" hidden="false" customHeight="false" outlineLevel="0" collapsed="false">
      <c r="A548" s="16" t="n">
        <v>531</v>
      </c>
      <c r="B548" s="37" t="n">
        <f aca="true">IF(RAND()&lt;$D$8,1,0)</f>
        <v>1</v>
      </c>
      <c r="C548" s="20" t="n">
        <f aca="true">-LN(RAND())/$D$2</f>
        <v>0.74524050192795</v>
      </c>
      <c r="D548" s="38" t="n">
        <f aca="false">D547+C548</f>
        <v>561.252892453743</v>
      </c>
      <c r="E548" s="39" t="n">
        <f aca="false">MAX($E$3,AS547)</f>
        <v>0</v>
      </c>
      <c r="F548" s="39" t="n">
        <f aca="false">MAX($E$3,AT547)</f>
        <v>0</v>
      </c>
      <c r="G548" s="40" t="n">
        <v>0.5</v>
      </c>
      <c r="H548" s="38" t="n">
        <f aca="true">IF((B548=1),(IF((F548&lt;E548),1,(IF((F548=E548),(IF(RAND()&lt;G548,1,0)),0)))),(IF((RAND()&lt;G548),1,0)))</f>
        <v>1</v>
      </c>
      <c r="I548" s="38" t="n">
        <f aca="true">IF((H548=1),0,$D$3+$D$5*(RAND()-0.5))</f>
        <v>0</v>
      </c>
      <c r="J548" s="38" t="n">
        <f aca="false">I548+MAX(D548,J547)</f>
        <v>563.702736797008</v>
      </c>
      <c r="K548" s="38" t="n">
        <f aca="false">IF((H548=0),J548-D548,0)</f>
        <v>0</v>
      </c>
      <c r="L548" s="38" t="n">
        <f aca="true">IF(($H548=0),0,$D$4+$D$5*(RAND()-0.5))</f>
        <v>1.82015958180943</v>
      </c>
      <c r="M548" s="38" t="n">
        <f aca="false">L548+MAX(D548,M547)</f>
        <v>604.719238202115</v>
      </c>
      <c r="N548" s="38" t="n">
        <f aca="false">IF((H548=1),M548-D548,0)</f>
        <v>43.4663457483722</v>
      </c>
      <c r="O548" s="16" t="n">
        <v>531</v>
      </c>
      <c r="P548" s="41" t="n">
        <f aca="false">IF((Arterial=0),P547+1,P547)</f>
        <v>243</v>
      </c>
      <c r="Q548" s="41" t="n">
        <f aca="false">IF((Arterial=1),Q547+1,Q547)</f>
        <v>288</v>
      </c>
      <c r="R548" s="42" t="n">
        <f aca="false">IF((RESET=1),0,R548+K548)</f>
        <v>777.296057798263</v>
      </c>
      <c r="S548" s="14" t="e">
        <f aca="false">IF(RESET=1,0,S548+N548)</f>
        <v>#N/A</v>
      </c>
      <c r="T548" s="2" t="n">
        <f aca="false">IF(RESET=1,0,T548+IF(H548=0,1,0))</f>
        <v>48</v>
      </c>
      <c r="U548" s="2" t="e">
        <f aca="false">IF(RESET=1,0,U548+H548)</f>
        <v>#N/A</v>
      </c>
      <c r="V548" s="14" t="n">
        <f aca="false">R548/(T548+0.00001)</f>
        <v>16.193664497117</v>
      </c>
      <c r="W548" s="14" t="e">
        <f aca="false">S548/(U548+0.0001)</f>
        <v>#N/A</v>
      </c>
      <c r="X548" s="39" t="n">
        <f aca="false">IF(Informed=1,K548,0)</f>
        <v>0</v>
      </c>
      <c r="Y548" s="39" t="n">
        <f aca="false">IF(Informed=0,K548,0)</f>
        <v>0</v>
      </c>
      <c r="Z548" s="39" t="n">
        <f aca="false">IF(Informed=1,N548,0)</f>
        <v>43.4663457483722</v>
      </c>
      <c r="AA548" s="39" t="n">
        <f aca="false">IF(Informed=0,N548,0)</f>
        <v>0</v>
      </c>
      <c r="AB548" s="43" t="n">
        <f aca="false">IF(Arterial=0,IF(Informed=1,1,0),0)</f>
        <v>0</v>
      </c>
      <c r="AC548" s="43" t="n">
        <f aca="false">IF(Arterial=0,IF(Informed=0,1,0),0)</f>
        <v>0</v>
      </c>
      <c r="AD548" s="43" t="n">
        <f aca="false">IF(Arterial=1,IF(Informed=1,1,0),0)</f>
        <v>1</v>
      </c>
      <c r="AE548" s="43" t="n">
        <f aca="false">IF(Arterial=1,IF(Informed=0,1,0),0)</f>
        <v>0</v>
      </c>
      <c r="AF548" s="35" t="n">
        <f aca="false">IF(AB548=1,(X548-G$1030)^2,0)</f>
        <v>0</v>
      </c>
      <c r="AG548" s="35" t="n">
        <f aca="false">IF(AC548=1,(Y548-H$1030)^2,0)</f>
        <v>0</v>
      </c>
      <c r="AH548" s="35" t="n">
        <f aca="false">IF(AD548=1,(Z548-I$1030)^2,0)</f>
        <v>227.753702908995</v>
      </c>
      <c r="AI548" s="35" t="n">
        <f aca="false">IF(AE548=1,(AA548-J$1030)^2,0)</f>
        <v>0</v>
      </c>
      <c r="AJ548" s="37" t="n">
        <f aca="true">IF(RAND()&lt;$D$6,1,0)</f>
        <v>0</v>
      </c>
      <c r="AK548" s="14" t="n">
        <f aca="false">AK547+IF((AJ548=1),IF((H548=0),1,0),0)</f>
        <v>0</v>
      </c>
      <c r="AL548" s="14" t="n">
        <f aca="false">AL547+IF((AJ548=1),IF((H548=1),1,0),0)</f>
        <v>0</v>
      </c>
      <c r="AM548" s="37" t="n">
        <f aca="false">IF(AK548=0,9999,IF($H548=0,IF($AJ548&lt;1,AM547+1,0),AM547))</f>
        <v>9999</v>
      </c>
      <c r="AN548" s="37" t="n">
        <f aca="false">IF(AL548=0,9999,IF($H548=1,IF($AJ548&lt;1,AN547+1,0),AN547))</f>
        <v>9999</v>
      </c>
      <c r="AO548" s="37" t="n">
        <f aca="false">IF($A548-AM548&gt;0,1/(1+AM548),0)</f>
        <v>0</v>
      </c>
      <c r="AP548" s="37" t="n">
        <f aca="false">IF($A548-AN548&gt;0,1/(1+AN548),0)</f>
        <v>0</v>
      </c>
      <c r="AQ548" s="7" t="n">
        <f aca="false">IF(AK548=0,0,MAX(MIN(1,AO548^Power),0))</f>
        <v>0</v>
      </c>
      <c r="AR548" s="7" t="n">
        <f aca="false">IF(AL548=0,0,MAX(MIN(1,AP548^Power),0))</f>
        <v>0</v>
      </c>
      <c r="AS548" s="7" t="n">
        <f aca="false">IF($AJ548=1,IF($H548=0,K548,AS547),AS547)</f>
        <v>0</v>
      </c>
      <c r="AT548" s="7" t="n">
        <f aca="false">IF($AJ548=1,IF($H548=1,N548,AT547),AT547)</f>
        <v>0</v>
      </c>
    </row>
    <row r="549" customFormat="false" ht="13" hidden="false" customHeight="false" outlineLevel="0" collapsed="false">
      <c r="A549" s="16" t="n">
        <v>532</v>
      </c>
      <c r="B549" s="37" t="n">
        <f aca="true">IF(RAND()&lt;$D$8,1,0)</f>
        <v>0</v>
      </c>
      <c r="C549" s="20" t="n">
        <f aca="true">-LN(RAND())/$D$2</f>
        <v>0.14839688962692</v>
      </c>
      <c r="D549" s="38" t="n">
        <f aca="false">D548+C549</f>
        <v>561.40128934337</v>
      </c>
      <c r="E549" s="39" t="n">
        <f aca="false">MAX($E$3,AS548)</f>
        <v>0</v>
      </c>
      <c r="F549" s="39" t="n">
        <f aca="false">MAX($E$3,AT548)</f>
        <v>0</v>
      </c>
      <c r="G549" s="40" t="n">
        <v>0.5</v>
      </c>
      <c r="H549" s="38" t="n">
        <f aca="true">IF((B549=1),(IF((F549&lt;E549),1,(IF((F549=E549),(IF(RAND()&lt;G549,1,0)),0)))),(IF((RAND()&lt;G549),1,0)))</f>
        <v>0</v>
      </c>
      <c r="I549" s="38" t="n">
        <f aca="true">IF((H549=1),0,$D$3+$D$5*(RAND()-0.5))</f>
        <v>1.81717746127552</v>
      </c>
      <c r="J549" s="38" t="n">
        <f aca="false">I549+MAX(D549,J548)</f>
        <v>565.519914258284</v>
      </c>
      <c r="K549" s="38" t="n">
        <f aca="false">IF((H549=0),J549-D549,0)</f>
        <v>4.11862491491422</v>
      </c>
      <c r="L549" s="38" t="n">
        <f aca="true">IF(($H549=0),0,$D$4+$D$5*(RAND()-0.5))</f>
        <v>0</v>
      </c>
      <c r="M549" s="38" t="n">
        <f aca="false">L549+MAX(D549,M548)</f>
        <v>604.719238202115</v>
      </c>
      <c r="N549" s="38" t="n">
        <f aca="false">IF((H549=1),M549-D549,0)</f>
        <v>0</v>
      </c>
      <c r="O549" s="16" t="n">
        <v>532</v>
      </c>
      <c r="P549" s="41" t="n">
        <f aca="false">IF((Arterial=0),P548+1,P548)</f>
        <v>244</v>
      </c>
      <c r="Q549" s="41" t="n">
        <f aca="false">IF((Arterial=1),Q548+1,Q548)</f>
        <v>288</v>
      </c>
      <c r="R549" s="42" t="e">
        <f aca="false">IF((RESET=1),0,R549+K549)</f>
        <v>#N/A</v>
      </c>
      <c r="S549" s="14" t="n">
        <f aca="false">IF(RESET=1,0,S549+N549)</f>
        <v>651.746720697064</v>
      </c>
      <c r="T549" s="2" t="e">
        <f aca="false">IF(RESET=1,0,T549+IF(H549=0,1,0))</f>
        <v>#N/A</v>
      </c>
      <c r="U549" s="2" t="n">
        <f aca="false">IF(RESET=1,0,U549+H549)</f>
        <v>41</v>
      </c>
      <c r="V549" s="14" t="e">
        <f aca="false">R549/(T549+0.00001)</f>
        <v>#N/A</v>
      </c>
      <c r="W549" s="14" t="n">
        <f aca="false">S549/(U549+0.0001)</f>
        <v>15.8962227091413</v>
      </c>
      <c r="X549" s="39" t="n">
        <f aca="false">IF(Informed=1,K549,0)</f>
        <v>0</v>
      </c>
      <c r="Y549" s="39" t="n">
        <f aca="false">IF(Informed=0,K549,0)</f>
        <v>4.11862491491422</v>
      </c>
      <c r="Z549" s="39" t="n">
        <f aca="false">IF(Informed=1,N549,0)</f>
        <v>0</v>
      </c>
      <c r="AA549" s="39" t="n">
        <f aca="false">IF(Informed=0,N549,0)</f>
        <v>0</v>
      </c>
      <c r="AB549" s="43" t="n">
        <f aca="false">IF(Arterial=0,IF(Informed=1,1,0),0)</f>
        <v>0</v>
      </c>
      <c r="AC549" s="43" t="n">
        <f aca="false">IF(Arterial=0,IF(Informed=0,1,0),0)</f>
        <v>1</v>
      </c>
      <c r="AD549" s="43" t="n">
        <f aca="false">IF(Arterial=1,IF(Informed=1,1,0),0)</f>
        <v>0</v>
      </c>
      <c r="AE549" s="43" t="n">
        <f aca="false">IF(Arterial=1,IF(Informed=0,1,0),0)</f>
        <v>0</v>
      </c>
      <c r="AF549" s="35" t="n">
        <f aca="false">IF(AB549=1,(X549-G$1030)^2,0)</f>
        <v>0</v>
      </c>
      <c r="AG549" s="35" t="n">
        <f aca="false">IF(AC549=1,(Y549-H$1030)^2,0)</f>
        <v>46.3102071960226</v>
      </c>
      <c r="AH549" s="35" t="n">
        <f aca="false">IF(AD549=1,(Z549-I$1030)^2,0)</f>
        <v>0</v>
      </c>
      <c r="AI549" s="35" t="n">
        <f aca="false">IF(AE549=1,(AA549-J$1030)^2,0)</f>
        <v>0</v>
      </c>
      <c r="AJ549" s="37" t="n">
        <f aca="true">IF(RAND()&lt;$D$6,1,0)</f>
        <v>0</v>
      </c>
      <c r="AK549" s="14" t="n">
        <f aca="false">AK548+IF((AJ549=1),IF((H549=0),1,0),0)</f>
        <v>0</v>
      </c>
      <c r="AL549" s="14" t="n">
        <f aca="false">AL548+IF((AJ549=1),IF((H549=1),1,0),0)</f>
        <v>0</v>
      </c>
      <c r="AM549" s="37" t="n">
        <f aca="false">IF(AK549=0,9999,IF($H549=0,IF($AJ549&lt;1,AM548+1,0),AM548))</f>
        <v>9999</v>
      </c>
      <c r="AN549" s="37" t="n">
        <f aca="false">IF(AL549=0,9999,IF($H549=1,IF($AJ549&lt;1,AN548+1,0),AN548))</f>
        <v>9999</v>
      </c>
      <c r="AO549" s="37" t="n">
        <f aca="false">IF($A549-AM549&gt;0,1/(1+AM549),0)</f>
        <v>0</v>
      </c>
      <c r="AP549" s="37" t="n">
        <f aca="false">IF($A549-AN549&gt;0,1/(1+AN549),0)</f>
        <v>0</v>
      </c>
      <c r="AQ549" s="7" t="n">
        <f aca="false">IF(AK549=0,0,MAX(MIN(1,AO549^Power),0))</f>
        <v>0</v>
      </c>
      <c r="AR549" s="7" t="n">
        <f aca="false">IF(AL549=0,0,MAX(MIN(1,AP549^Power),0))</f>
        <v>0</v>
      </c>
      <c r="AS549" s="7" t="n">
        <f aca="false">IF($AJ549=1,IF($H549=0,K549,AS548),AS548)</f>
        <v>0</v>
      </c>
      <c r="AT549" s="7" t="n">
        <f aca="false">IF($AJ549=1,IF($H549=1,N549,AT548),AT548)</f>
        <v>0</v>
      </c>
    </row>
    <row r="550" customFormat="false" ht="13" hidden="false" customHeight="false" outlineLevel="0" collapsed="false">
      <c r="A550" s="16" t="n">
        <v>533</v>
      </c>
      <c r="B550" s="37" t="n">
        <f aca="true">IF(RAND()&lt;$D$8,1,0)</f>
        <v>1</v>
      </c>
      <c r="C550" s="20" t="n">
        <f aca="true">-LN(RAND())/$D$2</f>
        <v>0.554121372715202</v>
      </c>
      <c r="D550" s="38" t="n">
        <f aca="false">D549+C550</f>
        <v>561.955410716085</v>
      </c>
      <c r="E550" s="39" t="n">
        <f aca="false">MAX($E$3,AS549)</f>
        <v>0</v>
      </c>
      <c r="F550" s="39" t="n">
        <f aca="false">MAX($E$3,AT549)</f>
        <v>0</v>
      </c>
      <c r="G550" s="40" t="n">
        <v>0.5</v>
      </c>
      <c r="H550" s="38" t="n">
        <f aca="true">IF((B550=1),(IF((F550&lt;E550),1,(IF((F550=E550),(IF(RAND()&lt;G550,1,0)),0)))),(IF((RAND()&lt;G550),1,0)))</f>
        <v>1</v>
      </c>
      <c r="I550" s="38" t="n">
        <f aca="true">IF((H550=1),0,$D$3+$D$5*(RAND()-0.5))</f>
        <v>0</v>
      </c>
      <c r="J550" s="38" t="n">
        <f aca="false">I550+MAX(D550,J549)</f>
        <v>565.519914258284</v>
      </c>
      <c r="K550" s="38" t="n">
        <f aca="false">IF((H550=0),J550-D550,0)</f>
        <v>0</v>
      </c>
      <c r="L550" s="38" t="n">
        <f aca="true">IF(($H550=0),0,$D$4+$D$5*(RAND()-0.5))</f>
        <v>2.06611863448587</v>
      </c>
      <c r="M550" s="38" t="n">
        <f aca="false">L550+MAX(D550,M549)</f>
        <v>606.785356836601</v>
      </c>
      <c r="N550" s="38" t="n">
        <f aca="false">IF((H550=1),M550-D550,0)</f>
        <v>44.8299461205158</v>
      </c>
      <c r="O550" s="16" t="n">
        <v>533</v>
      </c>
      <c r="P550" s="41" t="n">
        <f aca="false">IF((Arterial=0),P549+1,P549)</f>
        <v>244</v>
      </c>
      <c r="Q550" s="41" t="n">
        <f aca="false">IF((Arterial=1),Q549+1,Q549)</f>
        <v>289</v>
      </c>
      <c r="R550" s="42" t="n">
        <f aca="false">IF((RESET=1),0,R550+K550)</f>
        <v>678.944928851843</v>
      </c>
      <c r="S550" s="14" t="e">
        <f aca="false">IF(RESET=1,0,S550+N550)</f>
        <v>#N/A</v>
      </c>
      <c r="T550" s="2" t="n">
        <f aca="false">IF(RESET=1,0,T550+IF(H550=0,1,0))</f>
        <v>37</v>
      </c>
      <c r="U550" s="2" t="e">
        <f aca="false">IF(RESET=1,0,U550+H550)</f>
        <v>#N/A</v>
      </c>
      <c r="V550" s="14" t="n">
        <f aca="false">R550/(T550+0.00001)</f>
        <v>18.3498579825206</v>
      </c>
      <c r="W550" s="14" t="e">
        <f aca="false">S550/(U550+0.0001)</f>
        <v>#N/A</v>
      </c>
      <c r="X550" s="39" t="n">
        <f aca="false">IF(Informed=1,K550,0)</f>
        <v>0</v>
      </c>
      <c r="Y550" s="39" t="n">
        <f aca="false">IF(Informed=0,K550,0)</f>
        <v>0</v>
      </c>
      <c r="Z550" s="39" t="n">
        <f aca="false">IF(Informed=1,N550,0)</f>
        <v>44.8299461205158</v>
      </c>
      <c r="AA550" s="39" t="n">
        <f aca="false">IF(Informed=0,N550,0)</f>
        <v>0</v>
      </c>
      <c r="AB550" s="43" t="n">
        <f aca="false">IF(Arterial=0,IF(Informed=1,1,0),0)</f>
        <v>0</v>
      </c>
      <c r="AC550" s="43" t="n">
        <f aca="false">IF(Arterial=0,IF(Informed=0,1,0),0)</f>
        <v>0</v>
      </c>
      <c r="AD550" s="43" t="n">
        <f aca="false">IF(Arterial=1,IF(Informed=1,1,0),0)</f>
        <v>1</v>
      </c>
      <c r="AE550" s="43" t="n">
        <f aca="false">IF(Arterial=1,IF(Informed=0,1,0),0)</f>
        <v>0</v>
      </c>
      <c r="AF550" s="35" t="n">
        <f aca="false">IF(AB550=1,(X550-G$1030)^2,0)</f>
        <v>0</v>
      </c>
      <c r="AG550" s="35" t="n">
        <f aca="false">IF(AC550=1,(Y550-H$1030)^2,0)</f>
        <v>0</v>
      </c>
      <c r="AH550" s="35" t="n">
        <f aca="false">IF(AD550=1,(Z550-I$1030)^2,0)</f>
        <v>270.770688793172</v>
      </c>
      <c r="AI550" s="35" t="n">
        <f aca="false">IF(AE550=1,(AA550-J$1030)^2,0)</f>
        <v>0</v>
      </c>
      <c r="AJ550" s="37" t="n">
        <f aca="true">IF(RAND()&lt;$D$6,1,0)</f>
        <v>0</v>
      </c>
      <c r="AK550" s="14" t="n">
        <f aca="false">AK549+IF((AJ550=1),IF((H550=0),1,0),0)</f>
        <v>0</v>
      </c>
      <c r="AL550" s="14" t="n">
        <f aca="false">AL549+IF((AJ550=1),IF((H550=1),1,0),0)</f>
        <v>0</v>
      </c>
      <c r="AM550" s="37" t="n">
        <f aca="false">IF(AK550=0,9999,IF($H550=0,IF($AJ550&lt;1,AM549+1,0),AM549))</f>
        <v>9999</v>
      </c>
      <c r="AN550" s="37" t="n">
        <f aca="false">IF(AL550=0,9999,IF($H550=1,IF($AJ550&lt;1,AN549+1,0),AN549))</f>
        <v>9999</v>
      </c>
      <c r="AO550" s="37" t="n">
        <f aca="false">IF($A550-AM550&gt;0,1/(1+AM550),0)</f>
        <v>0</v>
      </c>
      <c r="AP550" s="37" t="n">
        <f aca="false">IF($A550-AN550&gt;0,1/(1+AN550),0)</f>
        <v>0</v>
      </c>
      <c r="AQ550" s="7" t="n">
        <f aca="false">IF(AK550=0,0,MAX(MIN(1,AO550^Power),0))</f>
        <v>0</v>
      </c>
      <c r="AR550" s="7" t="n">
        <f aca="false">IF(AL550=0,0,MAX(MIN(1,AP550^Power),0))</f>
        <v>0</v>
      </c>
      <c r="AS550" s="7" t="n">
        <f aca="false">IF($AJ550=1,IF($H550=0,K550,AS549),AS549)</f>
        <v>0</v>
      </c>
      <c r="AT550" s="7" t="n">
        <f aca="false">IF($AJ550=1,IF($H550=1,N550,AT549),AT549)</f>
        <v>0</v>
      </c>
    </row>
    <row r="551" customFormat="false" ht="13" hidden="false" customHeight="false" outlineLevel="0" collapsed="false">
      <c r="A551" s="16" t="n">
        <v>534</v>
      </c>
      <c r="B551" s="37" t="n">
        <f aca="true">IF(RAND()&lt;$D$8,1,0)</f>
        <v>1</v>
      </c>
      <c r="C551" s="20" t="n">
        <f aca="true">-LN(RAND())/$D$2</f>
        <v>2.24764660273627</v>
      </c>
      <c r="D551" s="38" t="n">
        <f aca="false">D550+C551</f>
        <v>564.203057318821</v>
      </c>
      <c r="E551" s="39" t="n">
        <f aca="false">MAX($E$3,AS550)</f>
        <v>0</v>
      </c>
      <c r="F551" s="39" t="n">
        <f aca="false">MAX($E$3,AT550)</f>
        <v>0</v>
      </c>
      <c r="G551" s="40" t="n">
        <v>0.5</v>
      </c>
      <c r="H551" s="38" t="n">
        <f aca="true">IF((B551=1),(IF((F551&lt;E551),1,(IF((F551=E551),(IF(RAND()&lt;G551,1,0)),0)))),(IF((RAND()&lt;G551),1,0)))</f>
        <v>1</v>
      </c>
      <c r="I551" s="38" t="n">
        <f aca="true">IF((H551=1),0,$D$3+$D$5*(RAND()-0.5))</f>
        <v>0</v>
      </c>
      <c r="J551" s="38" t="n">
        <f aca="false">I551+MAX(D551,J550)</f>
        <v>565.519914258284</v>
      </c>
      <c r="K551" s="38" t="n">
        <f aca="false">IF((H551=0),J551-D551,0)</f>
        <v>0</v>
      </c>
      <c r="L551" s="38" t="n">
        <f aca="true">IF(($H551=0),0,$D$4+$D$5*(RAND()-0.5))</f>
        <v>1.98862257492249</v>
      </c>
      <c r="M551" s="38" t="n">
        <f aca="false">L551+MAX(D551,M550)</f>
        <v>608.773979411523</v>
      </c>
      <c r="N551" s="38" t="n">
        <f aca="false">IF((H551=1),M551-D551,0)</f>
        <v>44.5709220927021</v>
      </c>
      <c r="O551" s="16" t="n">
        <v>534</v>
      </c>
      <c r="P551" s="41" t="n">
        <f aca="false">IF((Arterial=0),P550+1,P550)</f>
        <v>244</v>
      </c>
      <c r="Q551" s="41" t="n">
        <f aca="false">IF((Arterial=1),Q550+1,Q550)</f>
        <v>290</v>
      </c>
      <c r="R551" s="42" t="n">
        <f aca="false">IF((RESET=1),0,R551+K551)</f>
        <v>961.649908922612</v>
      </c>
      <c r="S551" s="14" t="e">
        <f aca="false">IF(RESET=1,0,S551+N551)</f>
        <v>#N/A</v>
      </c>
      <c r="T551" s="2" t="n">
        <f aca="false">IF(RESET=1,0,T551+IF(H551=0,1,0))</f>
        <v>46</v>
      </c>
      <c r="U551" s="2" t="e">
        <f aca="false">IF(RESET=1,0,U551+H551)</f>
        <v>#N/A</v>
      </c>
      <c r="V551" s="14" t="n">
        <f aca="false">R551/(T551+0.00001)</f>
        <v>20.9054282580072</v>
      </c>
      <c r="W551" s="14" t="e">
        <f aca="false">S551/(U551+0.0001)</f>
        <v>#N/A</v>
      </c>
      <c r="X551" s="39" t="n">
        <f aca="false">IF(Informed=1,K551,0)</f>
        <v>0</v>
      </c>
      <c r="Y551" s="39" t="n">
        <f aca="false">IF(Informed=0,K551,0)</f>
        <v>0</v>
      </c>
      <c r="Z551" s="39" t="n">
        <f aca="false">IF(Informed=1,N551,0)</f>
        <v>44.5709220927021</v>
      </c>
      <c r="AA551" s="39" t="n">
        <f aca="false">IF(Informed=0,N551,0)</f>
        <v>0</v>
      </c>
      <c r="AB551" s="43" t="n">
        <f aca="false">IF(Arterial=0,IF(Informed=1,1,0),0)</f>
        <v>0</v>
      </c>
      <c r="AC551" s="43" t="n">
        <f aca="false">IF(Arterial=0,IF(Informed=0,1,0),0)</f>
        <v>0</v>
      </c>
      <c r="AD551" s="43" t="n">
        <f aca="false">IF(Arterial=1,IF(Informed=1,1,0),0)</f>
        <v>1</v>
      </c>
      <c r="AE551" s="43" t="n">
        <f aca="false">IF(Arterial=1,IF(Informed=0,1,0),0)</f>
        <v>0</v>
      </c>
      <c r="AF551" s="35" t="n">
        <f aca="false">IF(AB551=1,(X551-G$1030)^2,0)</f>
        <v>0</v>
      </c>
      <c r="AG551" s="35" t="n">
        <f aca="false">IF(AC551=1,(Y551-H$1030)^2,0)</f>
        <v>0</v>
      </c>
      <c r="AH551" s="35" t="n">
        <f aca="false">IF(AD551=1,(Z551-I$1030)^2,0)</f>
        <v>262.313243811925</v>
      </c>
      <c r="AI551" s="35" t="n">
        <f aca="false">IF(AE551=1,(AA551-J$1030)^2,0)</f>
        <v>0</v>
      </c>
      <c r="AJ551" s="37" t="n">
        <f aca="true">IF(RAND()&lt;$D$6,1,0)</f>
        <v>0</v>
      </c>
      <c r="AK551" s="14" t="n">
        <f aca="false">AK550+IF((AJ551=1),IF((H551=0),1,0),0)</f>
        <v>0</v>
      </c>
      <c r="AL551" s="14" t="n">
        <f aca="false">AL550+IF((AJ551=1),IF((H551=1),1,0),0)</f>
        <v>0</v>
      </c>
      <c r="AM551" s="37" t="n">
        <f aca="false">IF(AK551=0,9999,IF($H551=0,IF($AJ551&lt;1,AM550+1,0),AM550))</f>
        <v>9999</v>
      </c>
      <c r="AN551" s="37" t="n">
        <f aca="false">IF(AL551=0,9999,IF($H551=1,IF($AJ551&lt;1,AN550+1,0),AN550))</f>
        <v>9999</v>
      </c>
      <c r="AO551" s="37" t="n">
        <f aca="false">IF($A551-AM551&gt;0,1/(1+AM551),0)</f>
        <v>0</v>
      </c>
      <c r="AP551" s="37" t="n">
        <f aca="false">IF($A551-AN551&gt;0,1/(1+AN551),0)</f>
        <v>0</v>
      </c>
      <c r="AQ551" s="7" t="n">
        <f aca="false">IF(AK551=0,0,MAX(MIN(1,AO551^Power),0))</f>
        <v>0</v>
      </c>
      <c r="AR551" s="7" t="n">
        <f aca="false">IF(AL551=0,0,MAX(MIN(1,AP551^Power),0))</f>
        <v>0</v>
      </c>
      <c r="AS551" s="7" t="n">
        <f aca="false">IF($AJ551=1,IF($H551=0,K551,AS550),AS550)</f>
        <v>0</v>
      </c>
      <c r="AT551" s="7" t="n">
        <f aca="false">IF($AJ551=1,IF($H551=1,N551,AT550),AT550)</f>
        <v>0</v>
      </c>
    </row>
    <row r="552" customFormat="false" ht="13" hidden="false" customHeight="false" outlineLevel="0" collapsed="false">
      <c r="A552" s="16" t="n">
        <v>535</v>
      </c>
      <c r="B552" s="37" t="n">
        <f aca="true">IF(RAND()&lt;$D$8,1,0)</f>
        <v>1</v>
      </c>
      <c r="C552" s="20" t="n">
        <f aca="true">-LN(RAND())/$D$2</f>
        <v>1.38632751844546</v>
      </c>
      <c r="D552" s="38" t="n">
        <f aca="false">D551+C552</f>
        <v>565.589384837267</v>
      </c>
      <c r="E552" s="39" t="n">
        <f aca="false">MAX($E$3,AS551)</f>
        <v>0</v>
      </c>
      <c r="F552" s="39" t="n">
        <f aca="false">MAX($E$3,AT551)</f>
        <v>0</v>
      </c>
      <c r="G552" s="40" t="n">
        <v>0.5</v>
      </c>
      <c r="H552" s="38" t="n">
        <f aca="true">IF((B552=1),(IF((F552&lt;E552),1,(IF((F552=E552),(IF(RAND()&lt;G552,1,0)),0)))),(IF((RAND()&lt;G552),1,0)))</f>
        <v>0</v>
      </c>
      <c r="I552" s="38" t="n">
        <f aca="true">IF((H552=1),0,$D$3+$D$5*(RAND()-0.5))</f>
        <v>2.17030628527746</v>
      </c>
      <c r="J552" s="38" t="n">
        <f aca="false">I552+MAX(D552,J551)</f>
        <v>567.759691122544</v>
      </c>
      <c r="K552" s="38" t="n">
        <f aca="false">IF((H552=0),J552-D552,0)</f>
        <v>2.17030628527743</v>
      </c>
      <c r="L552" s="38" t="n">
        <f aca="true">IF(($H552=0),0,$D$4+$D$5*(RAND()-0.5))</f>
        <v>0</v>
      </c>
      <c r="M552" s="38" t="n">
        <f aca="false">L552+MAX(D552,M551)</f>
        <v>608.773979411523</v>
      </c>
      <c r="N552" s="38" t="n">
        <f aca="false">IF((H552=1),M552-D552,0)</f>
        <v>0</v>
      </c>
      <c r="O552" s="16" t="n">
        <v>535</v>
      </c>
      <c r="P552" s="41" t="n">
        <f aca="false">IF((Arterial=0),P551+1,P551)</f>
        <v>245</v>
      </c>
      <c r="Q552" s="41" t="n">
        <f aca="false">IF((Arterial=1),Q551+1,Q551)</f>
        <v>290</v>
      </c>
      <c r="R552" s="42" t="e">
        <f aca="false">IF((RESET=1),0,R552+K552)</f>
        <v>#N/A</v>
      </c>
      <c r="S552" s="14" t="n">
        <f aca="false">IF(RESET=1,0,S552+N552)</f>
        <v>484.66423371377</v>
      </c>
      <c r="T552" s="2" t="e">
        <f aca="false">IF(RESET=1,0,T552+IF(H552=0,1,0))</f>
        <v>#N/A</v>
      </c>
      <c r="U552" s="2" t="n">
        <f aca="false">IF(RESET=1,0,U552+H552)</f>
        <v>31</v>
      </c>
      <c r="V552" s="14" t="e">
        <f aca="false">R552/(T552+0.00001)</f>
        <v>#N/A</v>
      </c>
      <c r="W552" s="14" t="n">
        <f aca="false">S552/(U552+0.0001)</f>
        <v>15.6342796866387</v>
      </c>
      <c r="X552" s="39" t="n">
        <f aca="false">IF(Informed=1,K552,0)</f>
        <v>2.17030628527743</v>
      </c>
      <c r="Y552" s="39" t="n">
        <f aca="false">IF(Informed=0,K552,0)</f>
        <v>0</v>
      </c>
      <c r="Z552" s="39" t="n">
        <f aca="false">IF(Informed=1,N552,0)</f>
        <v>0</v>
      </c>
      <c r="AA552" s="39" t="n">
        <f aca="false">IF(Informed=0,N552,0)</f>
        <v>0</v>
      </c>
      <c r="AB552" s="43" t="n">
        <f aca="false">IF(Arterial=0,IF(Informed=1,1,0),0)</f>
        <v>1</v>
      </c>
      <c r="AC552" s="43" t="n">
        <f aca="false">IF(Arterial=0,IF(Informed=0,1,0),0)</f>
        <v>0</v>
      </c>
      <c r="AD552" s="43" t="n">
        <f aca="false">IF(Arterial=1,IF(Informed=1,1,0),0)</f>
        <v>0</v>
      </c>
      <c r="AE552" s="43" t="n">
        <f aca="false">IF(Arterial=1,IF(Informed=0,1,0),0)</f>
        <v>0</v>
      </c>
      <c r="AF552" s="35" t="n">
        <f aca="false">IF(AB552=1,(X552-G$1030)^2,0)</f>
        <v>72.9208734114723</v>
      </c>
      <c r="AG552" s="35" t="n">
        <f aca="false">IF(AC552=1,(Y552-H$1030)^2,0)</f>
        <v>0</v>
      </c>
      <c r="AH552" s="35" t="n">
        <f aca="false">IF(AD552=1,(Z552-I$1030)^2,0)</f>
        <v>0</v>
      </c>
      <c r="AI552" s="35" t="n">
        <f aca="false">IF(AE552=1,(AA552-J$1030)^2,0)</f>
        <v>0</v>
      </c>
      <c r="AJ552" s="37" t="n">
        <f aca="true">IF(RAND()&lt;$D$6,1,0)</f>
        <v>0</v>
      </c>
      <c r="AK552" s="14" t="n">
        <f aca="false">AK551+IF((AJ552=1),IF((H552=0),1,0),0)</f>
        <v>0</v>
      </c>
      <c r="AL552" s="14" t="n">
        <f aca="false">AL551+IF((AJ552=1),IF((H552=1),1,0),0)</f>
        <v>0</v>
      </c>
      <c r="AM552" s="37" t="n">
        <f aca="false">IF(AK552=0,9999,IF($H552=0,IF($AJ552&lt;1,AM551+1,0),AM551))</f>
        <v>9999</v>
      </c>
      <c r="AN552" s="37" t="n">
        <f aca="false">IF(AL552=0,9999,IF($H552=1,IF($AJ552&lt;1,AN551+1,0),AN551))</f>
        <v>9999</v>
      </c>
      <c r="AO552" s="37" t="n">
        <f aca="false">IF($A552-AM552&gt;0,1/(1+AM552),0)</f>
        <v>0</v>
      </c>
      <c r="AP552" s="37" t="n">
        <f aca="false">IF($A552-AN552&gt;0,1/(1+AN552),0)</f>
        <v>0</v>
      </c>
      <c r="AQ552" s="7" t="n">
        <f aca="false">IF(AK552=0,0,MAX(MIN(1,AO552^Power),0))</f>
        <v>0</v>
      </c>
      <c r="AR552" s="7" t="n">
        <f aca="false">IF(AL552=0,0,MAX(MIN(1,AP552^Power),0))</f>
        <v>0</v>
      </c>
      <c r="AS552" s="7" t="n">
        <f aca="false">IF($AJ552=1,IF($H552=0,K552,AS551),AS551)</f>
        <v>0</v>
      </c>
      <c r="AT552" s="7" t="n">
        <f aca="false">IF($AJ552=1,IF($H552=1,N552,AT551),AT551)</f>
        <v>0</v>
      </c>
    </row>
    <row r="553" customFormat="false" ht="13" hidden="false" customHeight="false" outlineLevel="0" collapsed="false">
      <c r="A553" s="16" t="n">
        <v>536</v>
      </c>
      <c r="B553" s="37" t="n">
        <f aca="true">IF(RAND()&lt;$D$8,1,0)</f>
        <v>0</v>
      </c>
      <c r="C553" s="20" t="n">
        <f aca="true">-LN(RAND())/$D$2</f>
        <v>0.515095057831725</v>
      </c>
      <c r="D553" s="38" t="n">
        <f aca="false">D552+C553</f>
        <v>566.104479895098</v>
      </c>
      <c r="E553" s="39" t="n">
        <f aca="false">MAX($E$3,AS552)</f>
        <v>0</v>
      </c>
      <c r="F553" s="39" t="n">
        <f aca="false">MAX($E$3,AT552)</f>
        <v>0</v>
      </c>
      <c r="G553" s="40" t="n">
        <v>0.5</v>
      </c>
      <c r="H553" s="38" t="n">
        <f aca="true">IF((B553=1),(IF((F553&lt;E553),1,(IF((F553=E553),(IF(RAND()&lt;G553,1,0)),0)))),(IF((RAND()&lt;G553),1,0)))</f>
        <v>1</v>
      </c>
      <c r="I553" s="38" t="n">
        <f aca="true">IF((H553=1),0,$D$3+$D$5*(RAND()-0.5))</f>
        <v>0</v>
      </c>
      <c r="J553" s="38" t="n">
        <f aca="false">I553+MAX(D553,J552)</f>
        <v>567.759691122544</v>
      </c>
      <c r="K553" s="38" t="n">
        <f aca="false">IF((H553=0),J553-D553,0)</f>
        <v>0</v>
      </c>
      <c r="L553" s="38" t="n">
        <f aca="true">IF(($H553=0),0,$D$4+$D$5*(RAND()-0.5))</f>
        <v>1.86933844432559</v>
      </c>
      <c r="M553" s="38" t="n">
        <f aca="false">L553+MAX(D553,M552)</f>
        <v>610.643317855849</v>
      </c>
      <c r="N553" s="38" t="n">
        <f aca="false">IF((H553=1),M553-D553,0)</f>
        <v>44.5388379607505</v>
      </c>
      <c r="O553" s="16" t="n">
        <v>536</v>
      </c>
      <c r="P553" s="41" t="n">
        <f aca="false">IF((Arterial=0),P552+1,P552)</f>
        <v>245</v>
      </c>
      <c r="Q553" s="41" t="n">
        <f aca="false">IF((Arterial=1),Q552+1,Q552)</f>
        <v>291</v>
      </c>
      <c r="R553" s="42" t="n">
        <f aca="false">IF((RESET=1),0,R553+K553)</f>
        <v>679.282622307983</v>
      </c>
      <c r="S553" s="14" t="e">
        <f aca="false">IF(RESET=1,0,S553+N553)</f>
        <v>#N/A</v>
      </c>
      <c r="T553" s="2" t="n">
        <f aca="false">IF(RESET=1,0,T553+IF(H553=0,1,0))</f>
        <v>32</v>
      </c>
      <c r="U553" s="2" t="e">
        <f aca="false">IF(RESET=1,0,U553+H553)</f>
        <v>#N/A</v>
      </c>
      <c r="V553" s="14" t="n">
        <f aca="false">R553/(T553+0.00001)</f>
        <v>21.2275753135072</v>
      </c>
      <c r="W553" s="14" t="e">
        <f aca="false">S553/(U553+0.0001)</f>
        <v>#N/A</v>
      </c>
      <c r="X553" s="39" t="n">
        <f aca="false">IF(Informed=1,K553,0)</f>
        <v>0</v>
      </c>
      <c r="Y553" s="39" t="n">
        <f aca="false">IF(Informed=0,K553,0)</f>
        <v>0</v>
      </c>
      <c r="Z553" s="39" t="n">
        <f aca="false">IF(Informed=1,N553,0)</f>
        <v>0</v>
      </c>
      <c r="AA553" s="39" t="n">
        <f aca="false">IF(Informed=0,N553,0)</f>
        <v>44.5388379607505</v>
      </c>
      <c r="AB553" s="43" t="n">
        <f aca="false">IF(Arterial=0,IF(Informed=1,1,0),0)</f>
        <v>0</v>
      </c>
      <c r="AC553" s="43" t="n">
        <f aca="false">IF(Arterial=0,IF(Informed=0,1,0),0)</f>
        <v>0</v>
      </c>
      <c r="AD553" s="43" t="n">
        <f aca="false">IF(Arterial=1,IF(Informed=1,1,0),0)</f>
        <v>0</v>
      </c>
      <c r="AE553" s="43" t="n">
        <f aca="false">IF(Arterial=1,IF(Informed=0,1,0),0)</f>
        <v>1</v>
      </c>
      <c r="AF553" s="35" t="n">
        <f aca="false">IF(AB553=1,(X553-G$1030)^2,0)</f>
        <v>0</v>
      </c>
      <c r="AG553" s="35" t="n">
        <f aca="false">IF(AC553=1,(Y553-H$1030)^2,0)</f>
        <v>0</v>
      </c>
      <c r="AH553" s="35" t="n">
        <f aca="false">IF(AD553=1,(Z553-I$1030)^2,0)</f>
        <v>0</v>
      </c>
      <c r="AI553" s="35" t="n">
        <f aca="false">IF(AE553=1,(AA553-J$1030)^2,0)</f>
        <v>224.237536158515</v>
      </c>
      <c r="AJ553" s="37" t="n">
        <f aca="true">IF(RAND()&lt;$D$6,1,0)</f>
        <v>0</v>
      </c>
      <c r="AK553" s="14" t="n">
        <f aca="false">AK552+IF((AJ553=1),IF((H553=0),1,0),0)</f>
        <v>0</v>
      </c>
      <c r="AL553" s="14" t="n">
        <f aca="false">AL552+IF((AJ553=1),IF((H553=1),1,0),0)</f>
        <v>0</v>
      </c>
      <c r="AM553" s="37" t="n">
        <f aca="false">IF(AK553=0,9999,IF($H553=0,IF($AJ553&lt;1,AM552+1,0),AM552))</f>
        <v>9999</v>
      </c>
      <c r="AN553" s="37" t="n">
        <f aca="false">IF(AL553=0,9999,IF($H553=1,IF($AJ553&lt;1,AN552+1,0),AN552))</f>
        <v>9999</v>
      </c>
      <c r="AO553" s="37" t="n">
        <f aca="false">IF($A553-AM553&gt;0,1/(1+AM553),0)</f>
        <v>0</v>
      </c>
      <c r="AP553" s="37" t="n">
        <f aca="false">IF($A553-AN553&gt;0,1/(1+AN553),0)</f>
        <v>0</v>
      </c>
      <c r="AQ553" s="7" t="n">
        <f aca="false">IF(AK553=0,0,MAX(MIN(1,AO553^Power),0))</f>
        <v>0</v>
      </c>
      <c r="AR553" s="7" t="n">
        <f aca="false">IF(AL553=0,0,MAX(MIN(1,AP553^Power),0))</f>
        <v>0</v>
      </c>
      <c r="AS553" s="7" t="n">
        <f aca="false">IF($AJ553=1,IF($H553=0,K553,AS552),AS552)</f>
        <v>0</v>
      </c>
      <c r="AT553" s="7" t="n">
        <f aca="false">IF($AJ553=1,IF($H553=1,N553,AT552),AT552)</f>
        <v>0</v>
      </c>
    </row>
    <row r="554" customFormat="false" ht="13" hidden="false" customHeight="false" outlineLevel="0" collapsed="false">
      <c r="A554" s="16" t="n">
        <v>537</v>
      </c>
      <c r="B554" s="37" t="n">
        <f aca="true">IF(RAND()&lt;$D$8,1,0)</f>
        <v>1</v>
      </c>
      <c r="C554" s="20" t="n">
        <f aca="true">-LN(RAND())/$D$2</f>
        <v>1.34874294068407</v>
      </c>
      <c r="D554" s="38" t="n">
        <f aca="false">D553+C554</f>
        <v>567.453222835782</v>
      </c>
      <c r="E554" s="39" t="n">
        <f aca="false">MAX($E$3,AS553)</f>
        <v>0</v>
      </c>
      <c r="F554" s="39" t="n">
        <f aca="false">MAX($E$3,AT553)</f>
        <v>0</v>
      </c>
      <c r="G554" s="40" t="n">
        <v>0.5</v>
      </c>
      <c r="H554" s="38" t="n">
        <f aca="true">IF((B554=1),(IF((F554&lt;E554),1,(IF((F554=E554),(IF(RAND()&lt;G554,1,0)),0)))),(IF((RAND()&lt;G554),1,0)))</f>
        <v>1</v>
      </c>
      <c r="I554" s="38" t="n">
        <f aca="true">IF((H554=1),0,$D$3+$D$5*(RAND()-0.5))</f>
        <v>0</v>
      </c>
      <c r="J554" s="38" t="n">
        <f aca="false">I554+MAX(D554,J553)</f>
        <v>567.759691122544</v>
      </c>
      <c r="K554" s="38" t="n">
        <f aca="false">IF((H554=0),J554-D554,0)</f>
        <v>0</v>
      </c>
      <c r="L554" s="38" t="n">
        <f aca="true">IF(($H554=0),0,$D$4+$D$5*(RAND()-0.5))</f>
        <v>1.83542475609587</v>
      </c>
      <c r="M554" s="38" t="n">
        <f aca="false">L554+MAX(D554,M553)</f>
        <v>612.478742611945</v>
      </c>
      <c r="N554" s="38" t="n">
        <f aca="false">IF((H554=1),M554-D554,0)</f>
        <v>45.0255197761624</v>
      </c>
      <c r="O554" s="16" t="n">
        <v>537</v>
      </c>
      <c r="P554" s="41" t="n">
        <f aca="false">IF((Arterial=0),P553+1,P553)</f>
        <v>245</v>
      </c>
      <c r="Q554" s="41" t="n">
        <f aca="false">IF((Arterial=1),Q553+1,Q553)</f>
        <v>292</v>
      </c>
      <c r="R554" s="42" t="n">
        <f aca="false">IF((RESET=1),0,R554+K554)</f>
        <v>891.571350026012</v>
      </c>
      <c r="S554" s="14" t="e">
        <f aca="false">IF(RESET=1,0,S554+N554)</f>
        <v>#N/A</v>
      </c>
      <c r="T554" s="2" t="n">
        <f aca="false">IF(RESET=1,0,T554+IF(H554=0,1,0))</f>
        <v>42</v>
      </c>
      <c r="U554" s="2" t="e">
        <f aca="false">IF(RESET=1,0,U554+H554)</f>
        <v>#N/A</v>
      </c>
      <c r="V554" s="14" t="n">
        <f aca="false">R554/(T554+0.00001)</f>
        <v>21.2278842320755</v>
      </c>
      <c r="W554" s="14" t="e">
        <f aca="false">S554/(U554+0.0001)</f>
        <v>#N/A</v>
      </c>
      <c r="X554" s="39" t="n">
        <f aca="false">IF(Informed=1,K554,0)</f>
        <v>0</v>
      </c>
      <c r="Y554" s="39" t="n">
        <f aca="false">IF(Informed=0,K554,0)</f>
        <v>0</v>
      </c>
      <c r="Z554" s="39" t="n">
        <f aca="false">IF(Informed=1,N554,0)</f>
        <v>45.0255197761624</v>
      </c>
      <c r="AA554" s="39" t="n">
        <f aca="false">IF(Informed=0,N554,0)</f>
        <v>0</v>
      </c>
      <c r="AB554" s="43" t="n">
        <f aca="false">IF(Arterial=0,IF(Informed=1,1,0),0)</f>
        <v>0</v>
      </c>
      <c r="AC554" s="43" t="n">
        <f aca="false">IF(Arterial=0,IF(Informed=0,1,0),0)</f>
        <v>0</v>
      </c>
      <c r="AD554" s="43" t="n">
        <f aca="false">IF(Arterial=1,IF(Informed=1,1,0),0)</f>
        <v>1</v>
      </c>
      <c r="AE554" s="43" t="n">
        <f aca="false">IF(Arterial=1,IF(Informed=0,1,0),0)</f>
        <v>0</v>
      </c>
      <c r="AF554" s="35" t="n">
        <f aca="false">IF(AB554=1,(X554-G$1030)^2,0)</f>
        <v>0</v>
      </c>
      <c r="AG554" s="35" t="n">
        <f aca="false">IF(AC554=1,(Y554-H$1030)^2,0)</f>
        <v>0</v>
      </c>
      <c r="AH554" s="35" t="n">
        <f aca="false">IF(AD554=1,(Z554-I$1030)^2,0)</f>
        <v>277.245310400648</v>
      </c>
      <c r="AI554" s="35" t="n">
        <f aca="false">IF(AE554=1,(AA554-J$1030)^2,0)</f>
        <v>0</v>
      </c>
      <c r="AJ554" s="37" t="n">
        <f aca="true">IF(RAND()&lt;$D$6,1,0)</f>
        <v>0</v>
      </c>
      <c r="AK554" s="14" t="n">
        <f aca="false">AK553+IF((AJ554=1),IF((H554=0),1,0),0)</f>
        <v>0</v>
      </c>
      <c r="AL554" s="14" t="n">
        <f aca="false">AL553+IF((AJ554=1),IF((H554=1),1,0),0)</f>
        <v>0</v>
      </c>
      <c r="AM554" s="37" t="n">
        <f aca="false">IF(AK554=0,9999,IF($H554=0,IF($AJ554&lt;1,AM553+1,0),AM553))</f>
        <v>9999</v>
      </c>
      <c r="AN554" s="37" t="n">
        <f aca="false">IF(AL554=0,9999,IF($H554=1,IF($AJ554&lt;1,AN553+1,0),AN553))</f>
        <v>9999</v>
      </c>
      <c r="AO554" s="37" t="n">
        <f aca="false">IF($A554-AM554&gt;0,1/(1+AM554),0)</f>
        <v>0</v>
      </c>
      <c r="AP554" s="37" t="n">
        <f aca="false">IF($A554-AN554&gt;0,1/(1+AN554),0)</f>
        <v>0</v>
      </c>
      <c r="AQ554" s="7" t="n">
        <f aca="false">IF(AK554=0,0,MAX(MIN(1,AO554^Power),0))</f>
        <v>0</v>
      </c>
      <c r="AR554" s="7" t="n">
        <f aca="false">IF(AL554=0,0,MAX(MIN(1,AP554^Power),0))</f>
        <v>0</v>
      </c>
      <c r="AS554" s="7" t="n">
        <f aca="false">IF($AJ554=1,IF($H554=0,K554,AS553),AS553)</f>
        <v>0</v>
      </c>
      <c r="AT554" s="7" t="n">
        <f aca="false">IF($AJ554=1,IF($H554=1,N554,AT553),AT553)</f>
        <v>0</v>
      </c>
    </row>
    <row r="555" customFormat="false" ht="13" hidden="false" customHeight="false" outlineLevel="0" collapsed="false">
      <c r="A555" s="16" t="n">
        <v>538</v>
      </c>
      <c r="B555" s="37" t="n">
        <f aca="true">IF(RAND()&lt;$D$8,1,0)</f>
        <v>0</v>
      </c>
      <c r="C555" s="20" t="n">
        <f aca="true">-LN(RAND())/$D$2</f>
        <v>0.0291175897170837</v>
      </c>
      <c r="D555" s="38" t="n">
        <f aca="false">D554+C555</f>
        <v>567.482340425499</v>
      </c>
      <c r="E555" s="39" t="n">
        <f aca="false">MAX($E$3,AS554)</f>
        <v>0</v>
      </c>
      <c r="F555" s="39" t="n">
        <f aca="false">MAX($E$3,AT554)</f>
        <v>0</v>
      </c>
      <c r="G555" s="40" t="n">
        <v>0.5</v>
      </c>
      <c r="H555" s="38" t="n">
        <f aca="true">IF((B555=1),(IF((F555&lt;E555),1,(IF((F555=E555),(IF(RAND()&lt;G555,1,0)),0)))),(IF((RAND()&lt;G555),1,0)))</f>
        <v>0</v>
      </c>
      <c r="I555" s="38" t="n">
        <f aca="true">IF((H555=1),0,$D$3+$D$5*(RAND()-0.5))</f>
        <v>2.16097380331999</v>
      </c>
      <c r="J555" s="38" t="n">
        <f aca="false">I555+MAX(D555,J554)</f>
        <v>569.920664925864</v>
      </c>
      <c r="K555" s="38" t="n">
        <f aca="false">IF((H555=0),J555-D555,0)</f>
        <v>2.43832450036462</v>
      </c>
      <c r="L555" s="38" t="n">
        <f aca="true">IF(($H555=0),0,$D$4+$D$5*(RAND()-0.5))</f>
        <v>0</v>
      </c>
      <c r="M555" s="38" t="n">
        <f aca="false">L555+MAX(D555,M554)</f>
        <v>612.478742611945</v>
      </c>
      <c r="N555" s="38" t="n">
        <f aca="false">IF((H555=1),M555-D555,0)</f>
        <v>0</v>
      </c>
      <c r="O555" s="16" t="n">
        <v>538</v>
      </c>
      <c r="P555" s="41" t="n">
        <f aca="false">IF((Arterial=0),P554+1,P554)</f>
        <v>246</v>
      </c>
      <c r="Q555" s="41" t="n">
        <f aca="false">IF((Arterial=1),Q554+1,Q554)</f>
        <v>292</v>
      </c>
      <c r="R555" s="42" t="e">
        <f aca="false">IF((RESET=1),0,R555+K555)</f>
        <v>#N/A</v>
      </c>
      <c r="S555" s="14" t="n">
        <f aca="false">IF(RESET=1,0,S555+N555)</f>
        <v>507.457372983657</v>
      </c>
      <c r="T555" s="2" t="e">
        <f aca="false">IF(RESET=1,0,T555+IF(H555=0,1,0))</f>
        <v>#N/A</v>
      </c>
      <c r="U555" s="2" t="n">
        <f aca="false">IF(RESET=1,0,U555+H555)</f>
        <v>33</v>
      </c>
      <c r="V555" s="14" t="e">
        <f aca="false">R555/(T555+0.00001)</f>
        <v>#N/A</v>
      </c>
      <c r="W555" s="14" t="n">
        <f aca="false">S555/(U555+0.0001)</f>
        <v>15.3774495526879</v>
      </c>
      <c r="X555" s="39" t="n">
        <f aca="false">IF(Informed=1,K555,0)</f>
        <v>0</v>
      </c>
      <c r="Y555" s="39" t="n">
        <f aca="false">IF(Informed=0,K555,0)</f>
        <v>2.43832450036462</v>
      </c>
      <c r="Z555" s="39" t="n">
        <f aca="false">IF(Informed=1,N555,0)</f>
        <v>0</v>
      </c>
      <c r="AA555" s="39" t="n">
        <f aca="false">IF(Informed=0,N555,0)</f>
        <v>0</v>
      </c>
      <c r="AB555" s="43" t="n">
        <f aca="false">IF(Arterial=0,IF(Informed=1,1,0),0)</f>
        <v>0</v>
      </c>
      <c r="AC555" s="43" t="n">
        <f aca="false">IF(Arterial=0,IF(Informed=0,1,0),0)</f>
        <v>1</v>
      </c>
      <c r="AD555" s="43" t="n">
        <f aca="false">IF(Arterial=1,IF(Informed=1,1,0),0)</f>
        <v>0</v>
      </c>
      <c r="AE555" s="43" t="n">
        <f aca="false">IF(Arterial=1,IF(Informed=0,1,0),0)</f>
        <v>0</v>
      </c>
      <c r="AF555" s="35" t="n">
        <f aca="false">IF(AB555=1,(X555-G$1030)^2,0)</f>
        <v>0</v>
      </c>
      <c r="AG555" s="35" t="n">
        <f aca="false">IF(AC555=1,(Y555-H$1030)^2,0)</f>
        <v>72.0030441458197</v>
      </c>
      <c r="AH555" s="35" t="n">
        <f aca="false">IF(AD555=1,(Z555-I$1030)^2,0)</f>
        <v>0</v>
      </c>
      <c r="AI555" s="35" t="n">
        <f aca="false">IF(AE555=1,(AA555-J$1030)^2,0)</f>
        <v>0</v>
      </c>
      <c r="AJ555" s="37" t="n">
        <f aca="true">IF(RAND()&lt;$D$6,1,0)</f>
        <v>0</v>
      </c>
      <c r="AK555" s="14" t="n">
        <f aca="false">AK554+IF((AJ555=1),IF((H555=0),1,0),0)</f>
        <v>0</v>
      </c>
      <c r="AL555" s="14" t="n">
        <f aca="false">AL554+IF((AJ555=1),IF((H555=1),1,0),0)</f>
        <v>0</v>
      </c>
      <c r="AM555" s="37" t="n">
        <f aca="false">IF(AK555=0,9999,IF($H555=0,IF($AJ555&lt;1,AM554+1,0),AM554))</f>
        <v>9999</v>
      </c>
      <c r="AN555" s="37" t="n">
        <f aca="false">IF(AL555=0,9999,IF($H555=1,IF($AJ555&lt;1,AN554+1,0),AN554))</f>
        <v>9999</v>
      </c>
      <c r="AO555" s="37" t="n">
        <f aca="false">IF($A555-AM555&gt;0,1/(1+AM555),0)</f>
        <v>0</v>
      </c>
      <c r="AP555" s="37" t="n">
        <f aca="false">IF($A555-AN555&gt;0,1/(1+AN555),0)</f>
        <v>0</v>
      </c>
      <c r="AQ555" s="7" t="n">
        <f aca="false">IF(AK555=0,0,MAX(MIN(1,AO555^Power),0))</f>
        <v>0</v>
      </c>
      <c r="AR555" s="7" t="n">
        <f aca="false">IF(AL555=0,0,MAX(MIN(1,AP555^Power),0))</f>
        <v>0</v>
      </c>
      <c r="AS555" s="7" t="n">
        <f aca="false">IF($AJ555=1,IF($H555=0,K555,AS554),AS554)</f>
        <v>0</v>
      </c>
      <c r="AT555" s="7" t="n">
        <f aca="false">IF($AJ555=1,IF($H555=1,N555,AT554),AT554)</f>
        <v>0</v>
      </c>
    </row>
    <row r="556" customFormat="false" ht="13" hidden="false" customHeight="false" outlineLevel="0" collapsed="false">
      <c r="A556" s="16" t="n">
        <v>539</v>
      </c>
      <c r="B556" s="37" t="n">
        <f aca="true">IF(RAND()&lt;$D$8,1,0)</f>
        <v>0</v>
      </c>
      <c r="C556" s="20" t="n">
        <f aca="true">-LN(RAND())/$D$2</f>
        <v>0.712807949558008</v>
      </c>
      <c r="D556" s="38" t="n">
        <f aca="false">D555+C556</f>
        <v>568.195148375057</v>
      </c>
      <c r="E556" s="39" t="n">
        <f aca="false">MAX($E$3,AS555)</f>
        <v>0</v>
      </c>
      <c r="F556" s="39" t="n">
        <f aca="false">MAX($E$3,AT555)</f>
        <v>0</v>
      </c>
      <c r="G556" s="40" t="n">
        <v>0.5</v>
      </c>
      <c r="H556" s="38" t="n">
        <f aca="true">IF((B556=1),(IF((F556&lt;E556),1,(IF((F556=E556),(IF(RAND()&lt;G556,1,0)),0)))),(IF((RAND()&lt;G556),1,0)))</f>
        <v>0</v>
      </c>
      <c r="I556" s="38" t="n">
        <f aca="true">IF((H556=1),0,$D$3+$D$5*(RAND()-0.5))</f>
        <v>2.249566680233</v>
      </c>
      <c r="J556" s="38" t="n">
        <f aca="false">I556+MAX(D556,J555)</f>
        <v>572.170231606097</v>
      </c>
      <c r="K556" s="38" t="n">
        <f aca="false">IF((H556=0),J556-D556,0)</f>
        <v>3.97508323103955</v>
      </c>
      <c r="L556" s="38" t="n">
        <f aca="true">IF(($H556=0),0,$D$4+$D$5*(RAND()-0.5))</f>
        <v>0</v>
      </c>
      <c r="M556" s="38" t="n">
        <f aca="false">L556+MAX(D556,M555)</f>
        <v>612.478742611945</v>
      </c>
      <c r="N556" s="38" t="n">
        <f aca="false">IF((H556=1),M556-D556,0)</f>
        <v>0</v>
      </c>
      <c r="O556" s="16" t="n">
        <v>539</v>
      </c>
      <c r="P556" s="41" t="n">
        <f aca="false">IF((Arterial=0),P555+1,P555)</f>
        <v>247</v>
      </c>
      <c r="Q556" s="41" t="n">
        <f aca="false">IF((Arterial=1),Q555+1,Q555)</f>
        <v>292</v>
      </c>
      <c r="R556" s="42" t="e">
        <f aca="false">IF((RESET=1),0,R556+K556)</f>
        <v>#N/A</v>
      </c>
      <c r="S556" s="14" t="n">
        <f aca="false">IF(RESET=1,0,S556+N556)</f>
        <v>635.825547421237</v>
      </c>
      <c r="T556" s="2" t="e">
        <f aca="false">IF(RESET=1,0,T556+IF(H556=0,1,0))</f>
        <v>#N/A</v>
      </c>
      <c r="U556" s="2" t="n">
        <f aca="false">IF(RESET=1,0,U556+H556)</f>
        <v>44</v>
      </c>
      <c r="V556" s="14" t="e">
        <f aca="false">R556/(T556+0.00001)</f>
        <v>#N/A</v>
      </c>
      <c r="W556" s="14" t="n">
        <f aca="false">S556/(U556+0.0001)</f>
        <v>14.4505477810559</v>
      </c>
      <c r="X556" s="39" t="n">
        <f aca="false">IF(Informed=1,K556,0)</f>
        <v>0</v>
      </c>
      <c r="Y556" s="39" t="n">
        <f aca="false">IF(Informed=0,K556,0)</f>
        <v>3.97508323103955</v>
      </c>
      <c r="Z556" s="39" t="n">
        <f aca="false">IF(Informed=1,N556,0)</f>
        <v>0</v>
      </c>
      <c r="AA556" s="39" t="n">
        <f aca="false">IF(Informed=0,N556,0)</f>
        <v>0</v>
      </c>
      <c r="AB556" s="43" t="n">
        <f aca="false">IF(Arterial=0,IF(Informed=1,1,0),0)</f>
        <v>0</v>
      </c>
      <c r="AC556" s="43" t="n">
        <f aca="false">IF(Arterial=0,IF(Informed=0,1,0),0)</f>
        <v>1</v>
      </c>
      <c r="AD556" s="43" t="n">
        <f aca="false">IF(Arterial=1,IF(Informed=1,1,0),0)</f>
        <v>0</v>
      </c>
      <c r="AE556" s="43" t="n">
        <f aca="false">IF(Arterial=1,IF(Informed=0,1,0),0)</f>
        <v>0</v>
      </c>
      <c r="AF556" s="35" t="n">
        <f aca="false">IF(AB556=1,(X556-G$1030)^2,0)</f>
        <v>0</v>
      </c>
      <c r="AG556" s="35" t="n">
        <f aca="false">IF(AC556=1,(Y556-H$1030)^2,0)</f>
        <v>48.2844597583095</v>
      </c>
      <c r="AH556" s="35" t="n">
        <f aca="false">IF(AD556=1,(Z556-I$1030)^2,0)</f>
        <v>0</v>
      </c>
      <c r="AI556" s="35" t="n">
        <f aca="false">IF(AE556=1,(AA556-J$1030)^2,0)</f>
        <v>0</v>
      </c>
      <c r="AJ556" s="37" t="n">
        <f aca="true">IF(RAND()&lt;$D$6,1,0)</f>
        <v>0</v>
      </c>
      <c r="AK556" s="14" t="n">
        <f aca="false">AK555+IF((AJ556=1),IF((H556=0),1,0),0)</f>
        <v>0</v>
      </c>
      <c r="AL556" s="14" t="n">
        <f aca="false">AL555+IF((AJ556=1),IF((H556=1),1,0),0)</f>
        <v>0</v>
      </c>
      <c r="AM556" s="37" t="n">
        <f aca="false">IF(AK556=0,9999,IF($H556=0,IF($AJ556&lt;1,AM555+1,0),AM555))</f>
        <v>9999</v>
      </c>
      <c r="AN556" s="37" t="n">
        <f aca="false">IF(AL556=0,9999,IF($H556=1,IF($AJ556&lt;1,AN555+1,0),AN555))</f>
        <v>9999</v>
      </c>
      <c r="AO556" s="37" t="n">
        <f aca="false">IF($A556-AM556&gt;0,1/(1+AM556),0)</f>
        <v>0</v>
      </c>
      <c r="AP556" s="37" t="n">
        <f aca="false">IF($A556-AN556&gt;0,1/(1+AN556),0)</f>
        <v>0</v>
      </c>
      <c r="AQ556" s="7" t="n">
        <f aca="false">IF(AK556=0,0,MAX(MIN(1,AO556^Power),0))</f>
        <v>0</v>
      </c>
      <c r="AR556" s="7" t="n">
        <f aca="false">IF(AL556=0,0,MAX(MIN(1,AP556^Power),0))</f>
        <v>0</v>
      </c>
      <c r="AS556" s="7" t="n">
        <f aca="false">IF($AJ556=1,IF($H556=0,K556,AS555),AS555)</f>
        <v>0</v>
      </c>
      <c r="AT556" s="7" t="n">
        <f aca="false">IF($AJ556=1,IF($H556=1,N556,AT555),AT555)</f>
        <v>0</v>
      </c>
    </row>
    <row r="557" customFormat="false" ht="13" hidden="false" customHeight="false" outlineLevel="0" collapsed="false">
      <c r="A557" s="16" t="n">
        <v>540</v>
      </c>
      <c r="B557" s="37" t="n">
        <f aca="true">IF(RAND()&lt;$D$8,1,0)</f>
        <v>1</v>
      </c>
      <c r="C557" s="20" t="n">
        <f aca="true">-LN(RAND())/$D$2</f>
        <v>0.0801091626593361</v>
      </c>
      <c r="D557" s="38" t="n">
        <f aca="false">D556+C557</f>
        <v>568.275257537717</v>
      </c>
      <c r="E557" s="39" t="n">
        <f aca="false">MAX($E$3,AS556)</f>
        <v>0</v>
      </c>
      <c r="F557" s="39" t="n">
        <f aca="false">MAX($E$3,AT556)</f>
        <v>0</v>
      </c>
      <c r="G557" s="40" t="n">
        <v>0.5</v>
      </c>
      <c r="H557" s="38" t="n">
        <f aca="true">IF((B557=1),(IF((F557&lt;E557),1,(IF((F557=E557),(IF(RAND()&lt;G557,1,0)),0)))),(IF((RAND()&lt;G557),1,0)))</f>
        <v>0</v>
      </c>
      <c r="I557" s="38" t="n">
        <f aca="true">IF((H557=1),0,$D$3+$D$5*(RAND()-0.5))</f>
        <v>2.00635583860156</v>
      </c>
      <c r="J557" s="38" t="n">
        <f aca="false">I557+MAX(D557,J556)</f>
        <v>574.176587444698</v>
      </c>
      <c r="K557" s="38" t="n">
        <f aca="false">IF((H557=0),J557-D557,0)</f>
        <v>5.90132990698169</v>
      </c>
      <c r="L557" s="38" t="n">
        <f aca="true">IF(($H557=0),0,$D$4+$D$5*(RAND()-0.5))</f>
        <v>0</v>
      </c>
      <c r="M557" s="38" t="n">
        <f aca="false">L557+MAX(D557,M556)</f>
        <v>612.478742611945</v>
      </c>
      <c r="N557" s="38" t="n">
        <f aca="false">IF((H557=1),M557-D557,0)</f>
        <v>0</v>
      </c>
      <c r="O557" s="16" t="n">
        <v>540</v>
      </c>
      <c r="P557" s="41" t="n">
        <f aca="false">IF((Arterial=0),P556+1,P556)</f>
        <v>248</v>
      </c>
      <c r="Q557" s="41" t="n">
        <f aca="false">IF((Arterial=1),Q556+1,Q556)</f>
        <v>292</v>
      </c>
      <c r="R557" s="42" t="e">
        <f aca="false">IF((RESET=1),0,R557+K557)</f>
        <v>#N/A</v>
      </c>
      <c r="S557" s="14" t="n">
        <f aca="false">IF(RESET=1,0,S557+N557)</f>
        <v>616.05689167272</v>
      </c>
      <c r="T557" s="2" t="e">
        <f aca="false">IF(RESET=1,0,T557+IF(H557=0,1,0))</f>
        <v>#N/A</v>
      </c>
      <c r="U557" s="2" t="n">
        <f aca="false">IF(RESET=1,0,U557+H557)</f>
        <v>38</v>
      </c>
      <c r="V557" s="14" t="e">
        <f aca="false">R557/(T557+0.00001)</f>
        <v>#N/A</v>
      </c>
      <c r="W557" s="14" t="n">
        <f aca="false">S557/(U557+0.0001)</f>
        <v>16.2119808019642</v>
      </c>
      <c r="X557" s="39" t="n">
        <f aca="false">IF(Informed=1,K557,0)</f>
        <v>5.90132990698169</v>
      </c>
      <c r="Y557" s="39" t="n">
        <f aca="false">IF(Informed=0,K557,0)</f>
        <v>0</v>
      </c>
      <c r="Z557" s="39" t="n">
        <f aca="false">IF(Informed=1,N557,0)</f>
        <v>0</v>
      </c>
      <c r="AA557" s="39" t="n">
        <f aca="false">IF(Informed=0,N557,0)</f>
        <v>0</v>
      </c>
      <c r="AB557" s="43" t="n">
        <f aca="false">IF(Arterial=0,IF(Informed=1,1,0),0)</f>
        <v>1</v>
      </c>
      <c r="AC557" s="43" t="n">
        <f aca="false">IF(Arterial=0,IF(Informed=0,1,0),0)</f>
        <v>0</v>
      </c>
      <c r="AD557" s="43" t="n">
        <f aca="false">IF(Arterial=1,IF(Informed=1,1,0),0)</f>
        <v>0</v>
      </c>
      <c r="AE557" s="43" t="n">
        <f aca="false">IF(Arterial=1,IF(Informed=0,1,0),0)</f>
        <v>0</v>
      </c>
      <c r="AF557" s="35" t="n">
        <f aca="false">IF(AB557=1,(X557-G$1030)^2,0)</f>
        <v>23.1202137087407</v>
      </c>
      <c r="AG557" s="35" t="n">
        <f aca="false">IF(AC557=1,(Y557-H$1030)^2,0)</f>
        <v>0</v>
      </c>
      <c r="AH557" s="35" t="n">
        <f aca="false">IF(AD557=1,(Z557-I$1030)^2,0)</f>
        <v>0</v>
      </c>
      <c r="AI557" s="35" t="n">
        <f aca="false">IF(AE557=1,(AA557-J$1030)^2,0)</f>
        <v>0</v>
      </c>
      <c r="AJ557" s="37" t="n">
        <f aca="true">IF(RAND()&lt;$D$6,1,0)</f>
        <v>0</v>
      </c>
      <c r="AK557" s="14" t="n">
        <f aca="false">AK556+IF((AJ557=1),IF((H557=0),1,0),0)</f>
        <v>0</v>
      </c>
      <c r="AL557" s="14" t="n">
        <f aca="false">AL556+IF((AJ557=1),IF((H557=1),1,0),0)</f>
        <v>0</v>
      </c>
      <c r="AM557" s="37" t="n">
        <f aca="false">IF(AK557=0,9999,IF($H557=0,IF($AJ557&lt;1,AM556+1,0),AM556))</f>
        <v>9999</v>
      </c>
      <c r="AN557" s="37" t="n">
        <f aca="false">IF(AL557=0,9999,IF($H557=1,IF($AJ557&lt;1,AN556+1,0),AN556))</f>
        <v>9999</v>
      </c>
      <c r="AO557" s="37" t="n">
        <f aca="false">IF($A557-AM557&gt;0,1/(1+AM557),0)</f>
        <v>0</v>
      </c>
      <c r="AP557" s="37" t="n">
        <f aca="false">IF($A557-AN557&gt;0,1/(1+AN557),0)</f>
        <v>0</v>
      </c>
      <c r="AQ557" s="7" t="n">
        <f aca="false">IF(AK557=0,0,MAX(MIN(1,AO557^Power),0))</f>
        <v>0</v>
      </c>
      <c r="AR557" s="7" t="n">
        <f aca="false">IF(AL557=0,0,MAX(MIN(1,AP557^Power),0))</f>
        <v>0</v>
      </c>
      <c r="AS557" s="7" t="n">
        <f aca="false">IF($AJ557=1,IF($H557=0,K557,AS556),AS556)</f>
        <v>0</v>
      </c>
      <c r="AT557" s="7" t="n">
        <f aca="false">IF($AJ557=1,IF($H557=1,N557,AT556),AT556)</f>
        <v>0</v>
      </c>
    </row>
    <row r="558" customFormat="false" ht="13" hidden="false" customHeight="false" outlineLevel="0" collapsed="false">
      <c r="A558" s="16" t="n">
        <v>541</v>
      </c>
      <c r="B558" s="37" t="n">
        <f aca="true">IF(RAND()&lt;$D$8,1,0)</f>
        <v>0</v>
      </c>
      <c r="C558" s="20" t="n">
        <f aca="true">-LN(RAND())/$D$2</f>
        <v>3.6365077473444</v>
      </c>
      <c r="D558" s="38" t="n">
        <f aca="false">D557+C558</f>
        <v>571.911765285061</v>
      </c>
      <c r="E558" s="39" t="n">
        <f aca="false">MAX($E$3,AS557)</f>
        <v>0</v>
      </c>
      <c r="F558" s="39" t="n">
        <f aca="false">MAX($E$3,AT557)</f>
        <v>0</v>
      </c>
      <c r="G558" s="40" t="n">
        <v>0.5</v>
      </c>
      <c r="H558" s="38" t="n">
        <f aca="true">IF((B558=1),(IF((F558&lt;E558),1,(IF((F558=E558),(IF(RAND()&lt;G558,1,0)),0)))),(IF((RAND()&lt;G558),1,0)))</f>
        <v>1</v>
      </c>
      <c r="I558" s="38" t="n">
        <f aca="true">IF((H558=1),0,$D$3+$D$5*(RAND()-0.5))</f>
        <v>0</v>
      </c>
      <c r="J558" s="38" t="n">
        <f aca="false">I558+MAX(D558,J557)</f>
        <v>574.176587444698</v>
      </c>
      <c r="K558" s="38" t="n">
        <f aca="false">IF((H558=0),J558-D558,0)</f>
        <v>0</v>
      </c>
      <c r="L558" s="38" t="n">
        <f aca="true">IF(($H558=0),0,$D$4+$D$5*(RAND()-0.5))</f>
        <v>1.77114122684862</v>
      </c>
      <c r="M558" s="38" t="n">
        <f aca="false">L558+MAX(D558,M557)</f>
        <v>614.249883838793</v>
      </c>
      <c r="N558" s="38" t="n">
        <f aca="false">IF((H558=1),M558-D558,0)</f>
        <v>42.3381185537321</v>
      </c>
      <c r="O558" s="16" t="n">
        <v>541</v>
      </c>
      <c r="P558" s="41" t="n">
        <f aca="false">IF((Arterial=0),P557+1,P557)</f>
        <v>248</v>
      </c>
      <c r="Q558" s="41" t="n">
        <f aca="false">IF((Arterial=1),Q557+1,Q557)</f>
        <v>293</v>
      </c>
      <c r="R558" s="42" t="n">
        <f aca="false">IF((RESET=1),0,R558+K558)</f>
        <v>776.711508331931</v>
      </c>
      <c r="S558" s="14" t="e">
        <f aca="false">IF(RESET=1,0,S558+N558)</f>
        <v>#N/A</v>
      </c>
      <c r="T558" s="2" t="n">
        <f aca="false">IF(RESET=1,0,T558+IF(H558=0,1,0))</f>
        <v>43</v>
      </c>
      <c r="U558" s="2" t="e">
        <f aca="false">IF(RESET=1,0,U558+H558)</f>
        <v>#N/A</v>
      </c>
      <c r="V558" s="14" t="n">
        <f aca="false">R558/(T558+0.00001)</f>
        <v>18.0630541325905</v>
      </c>
      <c r="W558" s="14" t="e">
        <f aca="false">S558/(U558+0.0001)</f>
        <v>#N/A</v>
      </c>
      <c r="X558" s="39" t="n">
        <f aca="false">IF(Informed=1,K558,0)</f>
        <v>0</v>
      </c>
      <c r="Y558" s="39" t="n">
        <f aca="false">IF(Informed=0,K558,0)</f>
        <v>0</v>
      </c>
      <c r="Z558" s="39" t="n">
        <f aca="false">IF(Informed=1,N558,0)</f>
        <v>0</v>
      </c>
      <c r="AA558" s="39" t="n">
        <f aca="false">IF(Informed=0,N558,0)</f>
        <v>42.3381185537321</v>
      </c>
      <c r="AB558" s="43" t="n">
        <f aca="false">IF(Arterial=0,IF(Informed=1,1,0),0)</f>
        <v>0</v>
      </c>
      <c r="AC558" s="43" t="n">
        <f aca="false">IF(Arterial=0,IF(Informed=0,1,0),0)</f>
        <v>0</v>
      </c>
      <c r="AD558" s="43" t="n">
        <f aca="false">IF(Arterial=1,IF(Informed=1,1,0),0)</f>
        <v>0</v>
      </c>
      <c r="AE558" s="43" t="n">
        <f aca="false">IF(Arterial=1,IF(Informed=0,1,0),0)</f>
        <v>1</v>
      </c>
      <c r="AF558" s="35" t="n">
        <f aca="false">IF(AB558=1,(X558-G$1030)^2,0)</f>
        <v>0</v>
      </c>
      <c r="AG558" s="35" t="n">
        <f aca="false">IF(AC558=1,(Y558-H$1030)^2,0)</f>
        <v>0</v>
      </c>
      <c r="AH558" s="35" t="n">
        <f aca="false">IF(AD558=1,(Z558-I$1030)^2,0)</f>
        <v>0</v>
      </c>
      <c r="AI558" s="35" t="n">
        <f aca="false">IF(AE558=1,(AA558-J$1030)^2,0)</f>
        <v>163.171079385192</v>
      </c>
      <c r="AJ558" s="37" t="n">
        <f aca="true">IF(RAND()&lt;$D$6,1,0)</f>
        <v>0</v>
      </c>
      <c r="AK558" s="14" t="n">
        <f aca="false">AK557+IF((AJ558=1),IF((H558=0),1,0),0)</f>
        <v>0</v>
      </c>
      <c r="AL558" s="14" t="n">
        <f aca="false">AL557+IF((AJ558=1),IF((H558=1),1,0),0)</f>
        <v>0</v>
      </c>
      <c r="AM558" s="37" t="n">
        <f aca="false">IF(AK558=0,9999,IF($H558=0,IF($AJ558&lt;1,AM557+1,0),AM557))</f>
        <v>9999</v>
      </c>
      <c r="AN558" s="37" t="n">
        <f aca="false">IF(AL558=0,9999,IF($H558=1,IF($AJ558&lt;1,AN557+1,0),AN557))</f>
        <v>9999</v>
      </c>
      <c r="AO558" s="37" t="n">
        <f aca="false">IF($A558-AM558&gt;0,1/(1+AM558),0)</f>
        <v>0</v>
      </c>
      <c r="AP558" s="37" t="n">
        <f aca="false">IF($A558-AN558&gt;0,1/(1+AN558),0)</f>
        <v>0</v>
      </c>
      <c r="AQ558" s="7" t="n">
        <f aca="false">IF(AK558=0,0,MAX(MIN(1,AO558^Power),0))</f>
        <v>0</v>
      </c>
      <c r="AR558" s="7" t="n">
        <f aca="false">IF(AL558=0,0,MAX(MIN(1,AP558^Power),0))</f>
        <v>0</v>
      </c>
      <c r="AS558" s="7" t="n">
        <f aca="false">IF($AJ558=1,IF($H558=0,K558,AS557),AS557)</f>
        <v>0</v>
      </c>
      <c r="AT558" s="7" t="n">
        <f aca="false">IF($AJ558=1,IF($H558=1,N558,AT557),AT557)</f>
        <v>0</v>
      </c>
    </row>
    <row r="559" customFormat="false" ht="13" hidden="false" customHeight="false" outlineLevel="0" collapsed="false">
      <c r="A559" s="16" t="n">
        <v>542</v>
      </c>
      <c r="B559" s="37" t="n">
        <f aca="true">IF(RAND()&lt;$D$8,1,0)</f>
        <v>1</v>
      </c>
      <c r="C559" s="20" t="n">
        <f aca="true">-LN(RAND())/$D$2</f>
        <v>1.78835987321076</v>
      </c>
      <c r="D559" s="38" t="n">
        <f aca="false">D558+C559</f>
        <v>573.700125158272</v>
      </c>
      <c r="E559" s="39" t="n">
        <f aca="false">MAX($E$3,AS558)</f>
        <v>0</v>
      </c>
      <c r="F559" s="39" t="n">
        <f aca="false">MAX($E$3,AT558)</f>
        <v>0</v>
      </c>
      <c r="G559" s="40" t="n">
        <v>0.5</v>
      </c>
      <c r="H559" s="38" t="n">
        <f aca="true">IF((B559=1),(IF((F559&lt;E559),1,(IF((F559=E559),(IF(RAND()&lt;G559,1,0)),0)))),(IF((RAND()&lt;G559),1,0)))</f>
        <v>1</v>
      </c>
      <c r="I559" s="38" t="n">
        <f aca="true">IF((H559=1),0,$D$3+$D$5*(RAND()-0.5))</f>
        <v>0</v>
      </c>
      <c r="J559" s="38" t="n">
        <f aca="false">I559+MAX(D559,J558)</f>
        <v>574.176587444698</v>
      </c>
      <c r="K559" s="38" t="n">
        <f aca="false">IF((H559=0),J559-D559,0)</f>
        <v>0</v>
      </c>
      <c r="L559" s="38" t="n">
        <f aca="true">IF(($H559=0),0,$D$4+$D$5*(RAND()-0.5))</f>
        <v>2.00089452227551</v>
      </c>
      <c r="M559" s="38" t="n">
        <f aca="false">L559+MAX(D559,M558)</f>
        <v>616.250778361069</v>
      </c>
      <c r="N559" s="38" t="n">
        <f aca="false">IF((H559=1),M559-D559,0)</f>
        <v>42.5506532027969</v>
      </c>
      <c r="O559" s="16" t="n">
        <v>542</v>
      </c>
      <c r="P559" s="41" t="n">
        <f aca="false">IF((Arterial=0),P558+1,P558)</f>
        <v>248</v>
      </c>
      <c r="Q559" s="41" t="n">
        <f aca="false">IF((Arterial=1),Q558+1,Q558)</f>
        <v>294</v>
      </c>
      <c r="R559" s="42" t="n">
        <f aca="false">IF((RESET=1),0,R559+K559)</f>
        <v>844.333511552324</v>
      </c>
      <c r="S559" s="14" t="e">
        <f aca="false">IF(RESET=1,0,S559+N559)</f>
        <v>#N/A</v>
      </c>
      <c r="T559" s="2" t="n">
        <f aca="false">IF(RESET=1,0,T559+IF(H559=0,1,0))</f>
        <v>44</v>
      </c>
      <c r="U559" s="2" t="e">
        <f aca="false">IF(RESET=1,0,U559+H559)</f>
        <v>#N/A</v>
      </c>
      <c r="V559" s="14" t="n">
        <f aca="false">R559/(T559+0.00001)</f>
        <v>19.1893936285997</v>
      </c>
      <c r="W559" s="14" t="e">
        <f aca="false">S559/(U559+0.0001)</f>
        <v>#N/A</v>
      </c>
      <c r="X559" s="39" t="n">
        <f aca="false">IF(Informed=1,K559,0)</f>
        <v>0</v>
      </c>
      <c r="Y559" s="39" t="n">
        <f aca="false">IF(Informed=0,K559,0)</f>
        <v>0</v>
      </c>
      <c r="Z559" s="39" t="n">
        <f aca="false">IF(Informed=1,N559,0)</f>
        <v>42.5506532027969</v>
      </c>
      <c r="AA559" s="39" t="n">
        <f aca="false">IF(Informed=0,N559,0)</f>
        <v>0</v>
      </c>
      <c r="AB559" s="43" t="n">
        <f aca="false">IF(Arterial=0,IF(Informed=1,1,0),0)</f>
        <v>0</v>
      </c>
      <c r="AC559" s="43" t="n">
        <f aca="false">IF(Arterial=0,IF(Informed=0,1,0),0)</f>
        <v>0</v>
      </c>
      <c r="AD559" s="43" t="n">
        <f aca="false">IF(Arterial=1,IF(Informed=1,1,0),0)</f>
        <v>1</v>
      </c>
      <c r="AE559" s="43" t="n">
        <f aca="false">IF(Arterial=1,IF(Informed=0,1,0),0)</f>
        <v>0</v>
      </c>
      <c r="AF559" s="35" t="n">
        <f aca="false">IF(AB559=1,(X559-G$1030)^2,0)</f>
        <v>0</v>
      </c>
      <c r="AG559" s="35" t="n">
        <f aca="false">IF(AC559=1,(Y559-H$1030)^2,0)</f>
        <v>0</v>
      </c>
      <c r="AH559" s="35" t="n">
        <f aca="false">IF(AD559=1,(Z559-I$1030)^2,0)</f>
        <v>200.953827580844</v>
      </c>
      <c r="AI559" s="35" t="n">
        <f aca="false">IF(AE559=1,(AA559-J$1030)^2,0)</f>
        <v>0</v>
      </c>
      <c r="AJ559" s="37" t="n">
        <f aca="true">IF(RAND()&lt;$D$6,1,0)</f>
        <v>0</v>
      </c>
      <c r="AK559" s="14" t="n">
        <f aca="false">AK558+IF((AJ559=1),IF((H559=0),1,0),0)</f>
        <v>0</v>
      </c>
      <c r="AL559" s="14" t="n">
        <f aca="false">AL558+IF((AJ559=1),IF((H559=1),1,0),0)</f>
        <v>0</v>
      </c>
      <c r="AM559" s="37" t="n">
        <f aca="false">IF(AK559=0,9999,IF($H559=0,IF($AJ559&lt;1,AM558+1,0),AM558))</f>
        <v>9999</v>
      </c>
      <c r="AN559" s="37" t="n">
        <f aca="false">IF(AL559=0,9999,IF($H559=1,IF($AJ559&lt;1,AN558+1,0),AN558))</f>
        <v>9999</v>
      </c>
      <c r="AO559" s="37" t="n">
        <f aca="false">IF($A559-AM559&gt;0,1/(1+AM559),0)</f>
        <v>0</v>
      </c>
      <c r="AP559" s="37" t="n">
        <f aca="false">IF($A559-AN559&gt;0,1/(1+AN559),0)</f>
        <v>0</v>
      </c>
      <c r="AQ559" s="7" t="n">
        <f aca="false">IF(AK559=0,0,MAX(MIN(1,AO559^Power),0))</f>
        <v>0</v>
      </c>
      <c r="AR559" s="7" t="n">
        <f aca="false">IF(AL559=0,0,MAX(MIN(1,AP559^Power),0))</f>
        <v>0</v>
      </c>
      <c r="AS559" s="7" t="n">
        <f aca="false">IF($AJ559=1,IF($H559=0,K559,AS558),AS558)</f>
        <v>0</v>
      </c>
      <c r="AT559" s="7" t="n">
        <f aca="false">IF($AJ559=1,IF($H559=1,N559,AT558),AT558)</f>
        <v>0</v>
      </c>
    </row>
    <row r="560" customFormat="false" ht="13" hidden="false" customHeight="false" outlineLevel="0" collapsed="false">
      <c r="A560" s="16" t="n">
        <v>543</v>
      </c>
      <c r="B560" s="37" t="n">
        <f aca="true">IF(RAND()&lt;$D$8,1,0)</f>
        <v>1</v>
      </c>
      <c r="C560" s="20" t="n">
        <f aca="true">-LN(RAND())/$D$2</f>
        <v>0.953205420576086</v>
      </c>
      <c r="D560" s="38" t="n">
        <f aca="false">D559+C560</f>
        <v>574.653330578848</v>
      </c>
      <c r="E560" s="39" t="n">
        <f aca="false">MAX($E$3,AS559)</f>
        <v>0</v>
      </c>
      <c r="F560" s="39" t="n">
        <f aca="false">MAX($E$3,AT559)</f>
        <v>0</v>
      </c>
      <c r="G560" s="40" t="n">
        <v>0.5</v>
      </c>
      <c r="H560" s="38" t="n">
        <f aca="true">IF((B560=1),(IF((F560&lt;E560),1,(IF((F560=E560),(IF(RAND()&lt;G560,1,0)),0)))),(IF((RAND()&lt;G560),1,0)))</f>
        <v>0</v>
      </c>
      <c r="I560" s="38" t="n">
        <f aca="true">IF((H560=1),0,$D$3+$D$5*(RAND()-0.5))</f>
        <v>2.21393945028715</v>
      </c>
      <c r="J560" s="38" t="n">
        <f aca="false">I560+MAX(D560,J559)</f>
        <v>576.867270029135</v>
      </c>
      <c r="K560" s="38" t="n">
        <f aca="false">IF((H560=0),J560-D560,0)</f>
        <v>2.21393945028717</v>
      </c>
      <c r="L560" s="38" t="n">
        <f aca="true">IF(($H560=0),0,$D$4+$D$5*(RAND()-0.5))</f>
        <v>0</v>
      </c>
      <c r="M560" s="38" t="n">
        <f aca="false">L560+MAX(D560,M559)</f>
        <v>616.250778361069</v>
      </c>
      <c r="N560" s="38" t="n">
        <f aca="false">IF((H560=1),M560-D560,0)</f>
        <v>0</v>
      </c>
      <c r="O560" s="16" t="n">
        <v>543</v>
      </c>
      <c r="P560" s="41" t="n">
        <f aca="false">IF((Arterial=0),P559+1,P559)</f>
        <v>249</v>
      </c>
      <c r="Q560" s="41" t="n">
        <f aca="false">IF((Arterial=1),Q559+1,Q559)</f>
        <v>294</v>
      </c>
      <c r="R560" s="42" t="e">
        <f aca="false">IF((RESET=1),0,R560+K560)</f>
        <v>#N/A</v>
      </c>
      <c r="S560" s="14" t="n">
        <f aca="false">IF(RESET=1,0,S560+N560)</f>
        <v>702.877974589606</v>
      </c>
      <c r="T560" s="2" t="e">
        <f aca="false">IF(RESET=1,0,T560+IF(H560=0,1,0))</f>
        <v>#N/A</v>
      </c>
      <c r="U560" s="2" t="n">
        <f aca="false">IF(RESET=1,0,U560+H560)</f>
        <v>41</v>
      </c>
      <c r="V560" s="14" t="e">
        <f aca="false">R560/(T560+0.00001)</f>
        <v>#N/A</v>
      </c>
      <c r="W560" s="14" t="n">
        <f aca="false">S560/(U560+0.0001)</f>
        <v>17.1433234209089</v>
      </c>
      <c r="X560" s="39" t="n">
        <f aca="false">IF(Informed=1,K560,0)</f>
        <v>2.21393945028717</v>
      </c>
      <c r="Y560" s="39" t="n">
        <f aca="false">IF(Informed=0,K560,0)</f>
        <v>0</v>
      </c>
      <c r="Z560" s="39" t="n">
        <f aca="false">IF(Informed=1,N560,0)</f>
        <v>0</v>
      </c>
      <c r="AA560" s="39" t="n">
        <f aca="false">IF(Informed=0,N560,0)</f>
        <v>0</v>
      </c>
      <c r="AB560" s="43" t="n">
        <f aca="false">IF(Arterial=0,IF(Informed=1,1,0),0)</f>
        <v>1</v>
      </c>
      <c r="AC560" s="43" t="n">
        <f aca="false">IF(Arterial=0,IF(Informed=0,1,0),0)</f>
        <v>0</v>
      </c>
      <c r="AD560" s="43" t="n">
        <f aca="false">IF(Arterial=1,IF(Informed=1,1,0),0)</f>
        <v>0</v>
      </c>
      <c r="AE560" s="43" t="n">
        <f aca="false">IF(Arterial=1,IF(Informed=0,1,0),0)</f>
        <v>0</v>
      </c>
      <c r="AF560" s="35" t="n">
        <f aca="false">IF(AB560=1,(X560-G$1030)^2,0)</f>
        <v>72.177577613246</v>
      </c>
      <c r="AG560" s="35" t="n">
        <f aca="false">IF(AC560=1,(Y560-H$1030)^2,0)</f>
        <v>0</v>
      </c>
      <c r="AH560" s="35" t="n">
        <f aca="false">IF(AD560=1,(Z560-I$1030)^2,0)</f>
        <v>0</v>
      </c>
      <c r="AI560" s="35" t="n">
        <f aca="false">IF(AE560=1,(AA560-J$1030)^2,0)</f>
        <v>0</v>
      </c>
      <c r="AJ560" s="37" t="n">
        <f aca="true">IF(RAND()&lt;$D$6,1,0)</f>
        <v>0</v>
      </c>
      <c r="AK560" s="14" t="n">
        <f aca="false">AK559+IF((AJ560=1),IF((H560=0),1,0),0)</f>
        <v>0</v>
      </c>
      <c r="AL560" s="14" t="n">
        <f aca="false">AL559+IF((AJ560=1),IF((H560=1),1,0),0)</f>
        <v>0</v>
      </c>
      <c r="AM560" s="37" t="n">
        <f aca="false">IF(AK560=0,9999,IF($H560=0,IF($AJ560&lt;1,AM559+1,0),AM559))</f>
        <v>9999</v>
      </c>
      <c r="AN560" s="37" t="n">
        <f aca="false">IF(AL560=0,9999,IF($H560=1,IF($AJ560&lt;1,AN559+1,0),AN559))</f>
        <v>9999</v>
      </c>
      <c r="AO560" s="37" t="n">
        <f aca="false">IF($A560-AM560&gt;0,1/(1+AM560),0)</f>
        <v>0</v>
      </c>
      <c r="AP560" s="37" t="n">
        <f aca="false">IF($A560-AN560&gt;0,1/(1+AN560),0)</f>
        <v>0</v>
      </c>
      <c r="AQ560" s="7" t="n">
        <f aca="false">IF(AK560=0,0,MAX(MIN(1,AO560^Power),0))</f>
        <v>0</v>
      </c>
      <c r="AR560" s="7" t="n">
        <f aca="false">IF(AL560=0,0,MAX(MIN(1,AP560^Power),0))</f>
        <v>0</v>
      </c>
      <c r="AS560" s="7" t="n">
        <f aca="false">IF($AJ560=1,IF($H560=0,K560,AS559),AS559)</f>
        <v>0</v>
      </c>
      <c r="AT560" s="7" t="n">
        <f aca="false">IF($AJ560=1,IF($H560=1,N560,AT559),AT559)</f>
        <v>0</v>
      </c>
    </row>
    <row r="561" customFormat="false" ht="13" hidden="false" customHeight="false" outlineLevel="0" collapsed="false">
      <c r="A561" s="16" t="n">
        <v>544</v>
      </c>
      <c r="B561" s="37" t="n">
        <f aca="true">IF(RAND()&lt;$D$8,1,0)</f>
        <v>1</v>
      </c>
      <c r="C561" s="20" t="n">
        <f aca="true">-LN(RAND())/$D$2</f>
        <v>4.17417713716376</v>
      </c>
      <c r="D561" s="38" t="n">
        <f aca="false">D560+C561</f>
        <v>578.827507716012</v>
      </c>
      <c r="E561" s="39" t="n">
        <f aca="false">MAX($E$3,AS560)</f>
        <v>0</v>
      </c>
      <c r="F561" s="39" t="n">
        <f aca="false">MAX($E$3,AT560)</f>
        <v>0</v>
      </c>
      <c r="G561" s="40" t="n">
        <v>0.5</v>
      </c>
      <c r="H561" s="38" t="n">
        <f aca="true">IF((B561=1),(IF((F561&lt;E561),1,(IF((F561=E561),(IF(RAND()&lt;G561,1,0)),0)))),(IF((RAND()&lt;G561),1,0)))</f>
        <v>1</v>
      </c>
      <c r="I561" s="38" t="n">
        <f aca="true">IF((H561=1),0,$D$3+$D$5*(RAND()-0.5))</f>
        <v>0</v>
      </c>
      <c r="J561" s="38" t="n">
        <f aca="false">I561+MAX(D561,J560)</f>
        <v>578.827507716012</v>
      </c>
      <c r="K561" s="38" t="n">
        <f aca="false">IF((H561=0),J561-D561,0)</f>
        <v>0</v>
      </c>
      <c r="L561" s="38" t="n">
        <f aca="true">IF(($H561=0),0,$D$4+$D$5*(RAND()-0.5))</f>
        <v>2.09401395687505</v>
      </c>
      <c r="M561" s="38" t="n">
        <f aca="false">L561+MAX(D561,M560)</f>
        <v>618.344792317944</v>
      </c>
      <c r="N561" s="38" t="n">
        <f aca="false">IF((H561=1),M561-D561,0)</f>
        <v>39.5172846019322</v>
      </c>
      <c r="O561" s="16" t="n">
        <v>544</v>
      </c>
      <c r="P561" s="41" t="n">
        <f aca="false">IF((Arterial=0),P560+1,P560)</f>
        <v>249</v>
      </c>
      <c r="Q561" s="41" t="n">
        <f aca="false">IF((Arterial=1),Q560+1,Q560)</f>
        <v>295</v>
      </c>
      <c r="R561" s="42" t="n">
        <f aca="false">IF((RESET=1),0,R561+K561)</f>
        <v>680.742636198265</v>
      </c>
      <c r="S561" s="14" t="e">
        <f aca="false">IF(RESET=1,0,S561+N561)</f>
        <v>#N/A</v>
      </c>
      <c r="T561" s="2" t="n">
        <f aca="false">IF(RESET=1,0,T561+IF(H561=0,1,0))</f>
        <v>37</v>
      </c>
      <c r="U561" s="2" t="e">
        <f aca="false">IF(RESET=1,0,U561+H561)</f>
        <v>#N/A</v>
      </c>
      <c r="V561" s="14" t="n">
        <f aca="false">R561/(T561+0.00001)</f>
        <v>18.3984446544275</v>
      </c>
      <c r="W561" s="14" t="e">
        <f aca="false">S561/(U561+0.0001)</f>
        <v>#N/A</v>
      </c>
      <c r="X561" s="39" t="n">
        <f aca="false">IF(Informed=1,K561,0)</f>
        <v>0</v>
      </c>
      <c r="Y561" s="39" t="n">
        <f aca="false">IF(Informed=0,K561,0)</f>
        <v>0</v>
      </c>
      <c r="Z561" s="39" t="n">
        <f aca="false">IF(Informed=1,N561,0)</f>
        <v>39.5172846019322</v>
      </c>
      <c r="AA561" s="39" t="n">
        <f aca="false">IF(Informed=0,N561,0)</f>
        <v>0</v>
      </c>
      <c r="AB561" s="43" t="n">
        <f aca="false">IF(Arterial=0,IF(Informed=1,1,0),0)</f>
        <v>0</v>
      </c>
      <c r="AC561" s="43" t="n">
        <f aca="false">IF(Arterial=0,IF(Informed=0,1,0),0)</f>
        <v>0</v>
      </c>
      <c r="AD561" s="43" t="n">
        <f aca="false">IF(Arterial=1,IF(Informed=1,1,0),0)</f>
        <v>1</v>
      </c>
      <c r="AE561" s="43" t="n">
        <f aca="false">IF(Arterial=1,IF(Informed=0,1,0),0)</f>
        <v>0</v>
      </c>
      <c r="AF561" s="35" t="n">
        <f aca="false">IF(AB561=1,(X561-G$1030)^2,0)</f>
        <v>0</v>
      </c>
      <c r="AG561" s="35" t="n">
        <f aca="false">IF(AC561=1,(Y561-H$1030)^2,0)</f>
        <v>0</v>
      </c>
      <c r="AH561" s="35" t="n">
        <f aca="false">IF(AD561=1,(Z561-I$1030)^2,0)</f>
        <v>124.154187739312</v>
      </c>
      <c r="AI561" s="35" t="n">
        <f aca="false">IF(AE561=1,(AA561-J$1030)^2,0)</f>
        <v>0</v>
      </c>
      <c r="AJ561" s="37" t="n">
        <f aca="true">IF(RAND()&lt;$D$6,1,0)</f>
        <v>0</v>
      </c>
      <c r="AK561" s="14" t="n">
        <f aca="false">AK560+IF((AJ561=1),IF((H561=0),1,0),0)</f>
        <v>0</v>
      </c>
      <c r="AL561" s="14" t="n">
        <f aca="false">AL560+IF((AJ561=1),IF((H561=1),1,0),0)</f>
        <v>0</v>
      </c>
      <c r="AM561" s="37" t="n">
        <f aca="false">IF(AK561=0,9999,IF($H561=0,IF($AJ561&lt;1,AM560+1,0),AM560))</f>
        <v>9999</v>
      </c>
      <c r="AN561" s="37" t="n">
        <f aca="false">IF(AL561=0,9999,IF($H561=1,IF($AJ561&lt;1,AN560+1,0),AN560))</f>
        <v>9999</v>
      </c>
      <c r="AO561" s="37" t="n">
        <f aca="false">IF($A561-AM561&gt;0,1/(1+AM561),0)</f>
        <v>0</v>
      </c>
      <c r="AP561" s="37" t="n">
        <f aca="false">IF($A561-AN561&gt;0,1/(1+AN561),0)</f>
        <v>0</v>
      </c>
      <c r="AQ561" s="7" t="n">
        <f aca="false">IF(AK561=0,0,MAX(MIN(1,AO561^Power),0))</f>
        <v>0</v>
      </c>
      <c r="AR561" s="7" t="n">
        <f aca="false">IF(AL561=0,0,MAX(MIN(1,AP561^Power),0))</f>
        <v>0</v>
      </c>
      <c r="AS561" s="7" t="n">
        <f aca="false">IF($AJ561=1,IF($H561=0,K561,AS560),AS560)</f>
        <v>0</v>
      </c>
      <c r="AT561" s="7" t="n">
        <f aca="false">IF($AJ561=1,IF($H561=1,N561,AT560),AT560)</f>
        <v>0</v>
      </c>
    </row>
    <row r="562" customFormat="false" ht="13" hidden="false" customHeight="false" outlineLevel="0" collapsed="false">
      <c r="A562" s="16" t="n">
        <v>545</v>
      </c>
      <c r="B562" s="37" t="n">
        <f aca="true">IF(RAND()&lt;$D$8,1,0)</f>
        <v>1</v>
      </c>
      <c r="C562" s="20" t="n">
        <f aca="true">-LN(RAND())/$D$2</f>
        <v>1.08338560095228</v>
      </c>
      <c r="D562" s="38" t="n">
        <f aca="false">D561+C562</f>
        <v>579.910893316964</v>
      </c>
      <c r="E562" s="39" t="n">
        <f aca="false">MAX($E$3,AS561)</f>
        <v>0</v>
      </c>
      <c r="F562" s="39" t="n">
        <f aca="false">MAX($E$3,AT561)</f>
        <v>0</v>
      </c>
      <c r="G562" s="40" t="n">
        <v>0.5</v>
      </c>
      <c r="H562" s="38" t="n">
        <f aca="true">IF((B562=1),(IF((F562&lt;E562),1,(IF((F562=E562),(IF(RAND()&lt;G562,1,0)),0)))),(IF((RAND()&lt;G562),1,0)))</f>
        <v>1</v>
      </c>
      <c r="I562" s="38" t="n">
        <f aca="true">IF((H562=1),0,$D$3+$D$5*(RAND()-0.5))</f>
        <v>0</v>
      </c>
      <c r="J562" s="38" t="n">
        <f aca="false">I562+MAX(D562,J561)</f>
        <v>579.910893316964</v>
      </c>
      <c r="K562" s="38" t="n">
        <f aca="false">IF((H562=0),J562-D562,0)</f>
        <v>0</v>
      </c>
      <c r="L562" s="38" t="n">
        <f aca="true">IF(($H562=0),0,$D$4+$D$5*(RAND()-0.5))</f>
        <v>1.95048499904045</v>
      </c>
      <c r="M562" s="38" t="n">
        <f aca="false">L562+MAX(D562,M561)</f>
        <v>620.295277316984</v>
      </c>
      <c r="N562" s="38" t="n">
        <f aca="false">IF((H562=1),M562-D562,0)</f>
        <v>40.3843840000203</v>
      </c>
      <c r="O562" s="16" t="n">
        <v>545</v>
      </c>
      <c r="P562" s="41" t="n">
        <f aca="false">IF((Arterial=0),P561+1,P561)</f>
        <v>249</v>
      </c>
      <c r="Q562" s="41" t="n">
        <f aca="false">IF((Arterial=1),Q561+1,Q561)</f>
        <v>296</v>
      </c>
      <c r="R562" s="42" t="n">
        <f aca="false">IF((RESET=1),0,R562+K562)</f>
        <v>780.964259168764</v>
      </c>
      <c r="S562" s="14" t="e">
        <f aca="false">IF(RESET=1,0,S562+N562)</f>
        <v>#N/A</v>
      </c>
      <c r="T562" s="2" t="n">
        <f aca="false">IF(RESET=1,0,T562+IF(H562=0,1,0))</f>
        <v>38</v>
      </c>
      <c r="U562" s="2" t="e">
        <f aca="false">IF(RESET=1,0,U562+H562)</f>
        <v>#N/A</v>
      </c>
      <c r="V562" s="14" t="n">
        <f aca="false">R562/(T562+0.00001)</f>
        <v>20.5516856224186</v>
      </c>
      <c r="W562" s="14" t="e">
        <f aca="false">S562/(U562+0.0001)</f>
        <v>#N/A</v>
      </c>
      <c r="X562" s="39" t="n">
        <f aca="false">IF(Informed=1,K562,0)</f>
        <v>0</v>
      </c>
      <c r="Y562" s="39" t="n">
        <f aca="false">IF(Informed=0,K562,0)</f>
        <v>0</v>
      </c>
      <c r="Z562" s="39" t="n">
        <f aca="false">IF(Informed=1,N562,0)</f>
        <v>40.3843840000203</v>
      </c>
      <c r="AA562" s="39" t="n">
        <f aca="false">IF(Informed=0,N562,0)</f>
        <v>0</v>
      </c>
      <c r="AB562" s="43" t="n">
        <f aca="false">IF(Arterial=0,IF(Informed=1,1,0),0)</f>
        <v>0</v>
      </c>
      <c r="AC562" s="43" t="n">
        <f aca="false">IF(Arterial=0,IF(Informed=0,1,0),0)</f>
        <v>0</v>
      </c>
      <c r="AD562" s="43" t="n">
        <f aca="false">IF(Arterial=1,IF(Informed=1,1,0),0)</f>
        <v>1</v>
      </c>
      <c r="AE562" s="43" t="n">
        <f aca="false">IF(Arterial=1,IF(Informed=0,1,0),0)</f>
        <v>0</v>
      </c>
      <c r="AF562" s="35" t="n">
        <f aca="false">IF(AB562=1,(X562-G$1030)^2,0)</f>
        <v>0</v>
      </c>
      <c r="AG562" s="35" t="n">
        <f aca="false">IF(AC562=1,(Y562-H$1030)^2,0)</f>
        <v>0</v>
      </c>
      <c r="AH562" s="35" t="n">
        <f aca="false">IF(AD562=1,(Z562-I$1030)^2,0)</f>
        <v>144.229272150173</v>
      </c>
      <c r="AI562" s="35" t="n">
        <f aca="false">IF(AE562=1,(AA562-J$1030)^2,0)</f>
        <v>0</v>
      </c>
      <c r="AJ562" s="37" t="n">
        <f aca="true">IF(RAND()&lt;$D$6,1,0)</f>
        <v>0</v>
      </c>
      <c r="AK562" s="14" t="n">
        <f aca="false">AK561+IF((AJ562=1),IF((H562=0),1,0),0)</f>
        <v>0</v>
      </c>
      <c r="AL562" s="14" t="n">
        <f aca="false">AL561+IF((AJ562=1),IF((H562=1),1,0),0)</f>
        <v>0</v>
      </c>
      <c r="AM562" s="37" t="n">
        <f aca="false">IF(AK562=0,9999,IF($H562=0,IF($AJ562&lt;1,AM561+1,0),AM561))</f>
        <v>9999</v>
      </c>
      <c r="AN562" s="37" t="n">
        <f aca="false">IF(AL562=0,9999,IF($H562=1,IF($AJ562&lt;1,AN561+1,0),AN561))</f>
        <v>9999</v>
      </c>
      <c r="AO562" s="37" t="n">
        <f aca="false">IF($A562-AM562&gt;0,1/(1+AM562),0)</f>
        <v>0</v>
      </c>
      <c r="AP562" s="37" t="n">
        <f aca="false">IF($A562-AN562&gt;0,1/(1+AN562),0)</f>
        <v>0</v>
      </c>
      <c r="AQ562" s="7" t="n">
        <f aca="false">IF(AK562=0,0,MAX(MIN(1,AO562^Power),0))</f>
        <v>0</v>
      </c>
      <c r="AR562" s="7" t="n">
        <f aca="false">IF(AL562=0,0,MAX(MIN(1,AP562^Power),0))</f>
        <v>0</v>
      </c>
      <c r="AS562" s="7" t="n">
        <f aca="false">IF($AJ562=1,IF($H562=0,K562,AS561),AS561)</f>
        <v>0</v>
      </c>
      <c r="AT562" s="7" t="n">
        <f aca="false">IF($AJ562=1,IF($H562=1,N562,AT561),AT561)</f>
        <v>0</v>
      </c>
    </row>
    <row r="563" customFormat="false" ht="13" hidden="false" customHeight="false" outlineLevel="0" collapsed="false">
      <c r="A563" s="16" t="n">
        <v>546</v>
      </c>
      <c r="B563" s="37" t="n">
        <f aca="true">IF(RAND()&lt;$D$8,1,0)</f>
        <v>0</v>
      </c>
      <c r="C563" s="20" t="n">
        <f aca="true">-LN(RAND())/$D$2</f>
        <v>1.66689253232839</v>
      </c>
      <c r="D563" s="38" t="n">
        <f aca="false">D562+C563</f>
        <v>581.577785849292</v>
      </c>
      <c r="E563" s="39" t="n">
        <f aca="false">MAX($E$3,AS562)</f>
        <v>0</v>
      </c>
      <c r="F563" s="39" t="n">
        <f aca="false">MAX($E$3,AT562)</f>
        <v>0</v>
      </c>
      <c r="G563" s="40" t="n">
        <v>0.5</v>
      </c>
      <c r="H563" s="38" t="n">
        <f aca="true">IF((B563=1),(IF((F563&lt;E563),1,(IF((F563=E563),(IF(RAND()&lt;G563,1,0)),0)))),(IF((RAND()&lt;G563),1,0)))</f>
        <v>0</v>
      </c>
      <c r="I563" s="38" t="n">
        <f aca="true">IF((H563=1),0,$D$3+$D$5*(RAND()-0.5))</f>
        <v>2.1080624954306</v>
      </c>
      <c r="J563" s="38" t="n">
        <f aca="false">I563+MAX(D563,J562)</f>
        <v>583.685848344723</v>
      </c>
      <c r="K563" s="38" t="n">
        <f aca="false">IF((H563=0),J563-D563,0)</f>
        <v>2.10806249543055</v>
      </c>
      <c r="L563" s="38" t="n">
        <f aca="true">IF(($H563=0),0,$D$4+$D$5*(RAND()-0.5))</f>
        <v>0</v>
      </c>
      <c r="M563" s="38" t="n">
        <f aca="false">L563+MAX(D563,M562)</f>
        <v>620.295277316984</v>
      </c>
      <c r="N563" s="38" t="n">
        <f aca="false">IF((H563=1),M563-D563,0)</f>
        <v>0</v>
      </c>
      <c r="O563" s="16" t="n">
        <v>546</v>
      </c>
      <c r="P563" s="41" t="n">
        <f aca="false">IF((Arterial=0),P562+1,P562)</f>
        <v>250</v>
      </c>
      <c r="Q563" s="41" t="n">
        <f aca="false">IF((Arterial=1),Q562+1,Q562)</f>
        <v>296</v>
      </c>
      <c r="R563" s="42" t="e">
        <f aca="false">IF((RESET=1),0,R563+K563)</f>
        <v>#N/A</v>
      </c>
      <c r="S563" s="14" t="n">
        <f aca="false">IF(RESET=1,0,S563+N563)</f>
        <v>597.801060379298</v>
      </c>
      <c r="T563" s="2" t="e">
        <f aca="false">IF(RESET=1,0,T563+IF(H563=0,1,0))</f>
        <v>#N/A</v>
      </c>
      <c r="U563" s="2" t="n">
        <f aca="false">IF(RESET=1,0,U563+H563)</f>
        <v>37</v>
      </c>
      <c r="V563" s="14" t="e">
        <f aca="false">R563/(T563+0.00001)</f>
        <v>#N/A</v>
      </c>
      <c r="W563" s="14" t="n">
        <f aca="false">S563/(U563+0.0001)</f>
        <v>16.1567417487871</v>
      </c>
      <c r="X563" s="39" t="n">
        <f aca="false">IF(Informed=1,K563,0)</f>
        <v>0</v>
      </c>
      <c r="Y563" s="39" t="n">
        <f aca="false">IF(Informed=0,K563,0)</f>
        <v>2.10806249543055</v>
      </c>
      <c r="Z563" s="39" t="n">
        <f aca="false">IF(Informed=1,N563,0)</f>
        <v>0</v>
      </c>
      <c r="AA563" s="39" t="n">
        <f aca="false">IF(Informed=0,N563,0)</f>
        <v>0</v>
      </c>
      <c r="AB563" s="43" t="n">
        <f aca="false">IF(Arterial=0,IF(Informed=1,1,0),0)</f>
        <v>0</v>
      </c>
      <c r="AC563" s="43" t="n">
        <f aca="false">IF(Arterial=0,IF(Informed=0,1,0),0)</f>
        <v>1</v>
      </c>
      <c r="AD563" s="43" t="n">
        <f aca="false">IF(Arterial=1,IF(Informed=1,1,0),0)</f>
        <v>0</v>
      </c>
      <c r="AE563" s="43" t="n">
        <f aca="false">IF(Arterial=1,IF(Informed=0,1,0),0)</f>
        <v>0</v>
      </c>
      <c r="AF563" s="35" t="n">
        <f aca="false">IF(AB563=1,(X563-G$1030)^2,0)</f>
        <v>0</v>
      </c>
      <c r="AG563" s="35" t="n">
        <f aca="false">IF(AC563=1,(Y563-H$1030)^2,0)</f>
        <v>77.7169676981262</v>
      </c>
      <c r="AH563" s="35" t="n">
        <f aca="false">IF(AD563=1,(Z563-I$1030)^2,0)</f>
        <v>0</v>
      </c>
      <c r="AI563" s="35" t="n">
        <f aca="false">IF(AE563=1,(AA563-J$1030)^2,0)</f>
        <v>0</v>
      </c>
      <c r="AJ563" s="37" t="n">
        <f aca="true">IF(RAND()&lt;$D$6,1,0)</f>
        <v>0</v>
      </c>
      <c r="AK563" s="14" t="n">
        <f aca="false">AK562+IF((AJ563=1),IF((H563=0),1,0),0)</f>
        <v>0</v>
      </c>
      <c r="AL563" s="14" t="n">
        <f aca="false">AL562+IF((AJ563=1),IF((H563=1),1,0),0)</f>
        <v>0</v>
      </c>
      <c r="AM563" s="37" t="n">
        <f aca="false">IF(AK563=0,9999,IF($H563=0,IF($AJ563&lt;1,AM562+1,0),AM562))</f>
        <v>9999</v>
      </c>
      <c r="AN563" s="37" t="n">
        <f aca="false">IF(AL563=0,9999,IF($H563=1,IF($AJ563&lt;1,AN562+1,0),AN562))</f>
        <v>9999</v>
      </c>
      <c r="AO563" s="37" t="n">
        <f aca="false">IF($A563-AM563&gt;0,1/(1+AM563),0)</f>
        <v>0</v>
      </c>
      <c r="AP563" s="37" t="n">
        <f aca="false">IF($A563-AN563&gt;0,1/(1+AN563),0)</f>
        <v>0</v>
      </c>
      <c r="AQ563" s="7" t="n">
        <f aca="false">IF(AK563=0,0,MAX(MIN(1,AO563^Power),0))</f>
        <v>0</v>
      </c>
      <c r="AR563" s="7" t="n">
        <f aca="false">IF(AL563=0,0,MAX(MIN(1,AP563^Power),0))</f>
        <v>0</v>
      </c>
      <c r="AS563" s="7" t="n">
        <f aca="false">IF($AJ563=1,IF($H563=0,K563,AS562),AS562)</f>
        <v>0</v>
      </c>
      <c r="AT563" s="7" t="n">
        <f aca="false">IF($AJ563=1,IF($H563=1,N563,AT562),AT562)</f>
        <v>0</v>
      </c>
    </row>
    <row r="564" customFormat="false" ht="13" hidden="false" customHeight="false" outlineLevel="0" collapsed="false">
      <c r="A564" s="16" t="n">
        <v>547</v>
      </c>
      <c r="B564" s="37" t="n">
        <f aca="true">IF(RAND()&lt;$D$8,1,0)</f>
        <v>0</v>
      </c>
      <c r="C564" s="20" t="n">
        <f aca="true">-LN(RAND())/$D$2</f>
        <v>0.270730287690087</v>
      </c>
      <c r="D564" s="38" t="n">
        <f aca="false">D563+C564</f>
        <v>581.848516136982</v>
      </c>
      <c r="E564" s="39" t="n">
        <f aca="false">MAX($E$3,AS563)</f>
        <v>0</v>
      </c>
      <c r="F564" s="39" t="n">
        <f aca="false">MAX($E$3,AT563)</f>
        <v>0</v>
      </c>
      <c r="G564" s="40" t="n">
        <v>0.5</v>
      </c>
      <c r="H564" s="38" t="n">
        <f aca="true">IF((B564=1),(IF((F564&lt;E564),1,(IF((F564=E564),(IF(RAND()&lt;G564,1,0)),0)))),(IF((RAND()&lt;G564),1,0)))</f>
        <v>0</v>
      </c>
      <c r="I564" s="38" t="n">
        <f aca="true">IF((H564=1),0,$D$3+$D$5*(RAND()-0.5))</f>
        <v>2.10896148218934</v>
      </c>
      <c r="J564" s="38" t="n">
        <f aca="false">I564+MAX(D564,J563)</f>
        <v>585.794809826912</v>
      </c>
      <c r="K564" s="38" t="n">
        <f aca="false">IF((H564=0),J564-D564,0)</f>
        <v>3.9462936899298</v>
      </c>
      <c r="L564" s="38" t="n">
        <f aca="true">IF(($H564=0),0,$D$4+$D$5*(RAND()-0.5))</f>
        <v>0</v>
      </c>
      <c r="M564" s="38" t="n">
        <f aca="false">L564+MAX(D564,M563)</f>
        <v>620.295277316984</v>
      </c>
      <c r="N564" s="38" t="n">
        <f aca="false">IF((H564=1),M564-D564,0)</f>
        <v>0</v>
      </c>
      <c r="O564" s="16" t="n">
        <v>547</v>
      </c>
      <c r="P564" s="41" t="n">
        <f aca="false">IF((Arterial=0),P563+1,P563)</f>
        <v>251</v>
      </c>
      <c r="Q564" s="41" t="n">
        <f aca="false">IF((Arterial=1),Q563+1,Q563)</f>
        <v>296</v>
      </c>
      <c r="R564" s="42" t="e">
        <f aca="false">IF((RESET=1),0,R564+K564)</f>
        <v>#N/A</v>
      </c>
      <c r="S564" s="14" t="n">
        <f aca="false">IF(RESET=1,0,S564+N564)</f>
        <v>620.953565017252</v>
      </c>
      <c r="T564" s="2" t="e">
        <f aca="false">IF(RESET=1,0,T564+IF(H564=0,1,0))</f>
        <v>#N/A</v>
      </c>
      <c r="U564" s="2" t="n">
        <f aca="false">IF(RESET=1,0,U564+H564)</f>
        <v>39</v>
      </c>
      <c r="V564" s="14" t="e">
        <f aca="false">R564/(T564+0.00001)</f>
        <v>#N/A</v>
      </c>
      <c r="W564" s="14" t="n">
        <f aca="false">S564/(U564+0.0001)</f>
        <v>15.9218454572489</v>
      </c>
      <c r="X564" s="39" t="n">
        <f aca="false">IF(Informed=1,K564,0)</f>
        <v>0</v>
      </c>
      <c r="Y564" s="39" t="n">
        <f aca="false">IF(Informed=0,K564,0)</f>
        <v>3.9462936899298</v>
      </c>
      <c r="Z564" s="39" t="n">
        <f aca="false">IF(Informed=1,N564,0)</f>
        <v>0</v>
      </c>
      <c r="AA564" s="39" t="n">
        <f aca="false">IF(Informed=0,N564,0)</f>
        <v>0</v>
      </c>
      <c r="AB564" s="43" t="n">
        <f aca="false">IF(Arterial=0,IF(Informed=1,1,0),0)</f>
        <v>0</v>
      </c>
      <c r="AC564" s="43" t="n">
        <f aca="false">IF(Arterial=0,IF(Informed=0,1,0),0)</f>
        <v>1</v>
      </c>
      <c r="AD564" s="43" t="n">
        <f aca="false">IF(Arterial=1,IF(Informed=1,1,0),0)</f>
        <v>0</v>
      </c>
      <c r="AE564" s="43" t="n">
        <f aca="false">IF(Arterial=1,IF(Informed=0,1,0),0)</f>
        <v>0</v>
      </c>
      <c r="AF564" s="35" t="n">
        <f aca="false">IF(AB564=1,(X564-G$1030)^2,0)</f>
        <v>0</v>
      </c>
      <c r="AG564" s="35" t="n">
        <f aca="false">IF(AC564=1,(Y564-H$1030)^2,0)</f>
        <v>48.6853884808968</v>
      </c>
      <c r="AH564" s="35" t="n">
        <f aca="false">IF(AD564=1,(Z564-I$1030)^2,0)</f>
        <v>0</v>
      </c>
      <c r="AI564" s="35" t="n">
        <f aca="false">IF(AE564=1,(AA564-J$1030)^2,0)</f>
        <v>0</v>
      </c>
      <c r="AJ564" s="37" t="n">
        <f aca="true">IF(RAND()&lt;$D$6,1,0)</f>
        <v>0</v>
      </c>
      <c r="AK564" s="14" t="n">
        <f aca="false">AK563+IF((AJ564=1),IF((H564=0),1,0),0)</f>
        <v>0</v>
      </c>
      <c r="AL564" s="14" t="n">
        <f aca="false">AL563+IF((AJ564=1),IF((H564=1),1,0),0)</f>
        <v>0</v>
      </c>
      <c r="AM564" s="37" t="n">
        <f aca="false">IF(AK564=0,9999,IF($H564=0,IF($AJ564&lt;1,AM563+1,0),AM563))</f>
        <v>9999</v>
      </c>
      <c r="AN564" s="37" t="n">
        <f aca="false">IF(AL564=0,9999,IF($H564=1,IF($AJ564&lt;1,AN563+1,0),AN563))</f>
        <v>9999</v>
      </c>
      <c r="AO564" s="37" t="n">
        <f aca="false">IF($A564-AM564&gt;0,1/(1+AM564),0)</f>
        <v>0</v>
      </c>
      <c r="AP564" s="37" t="n">
        <f aca="false">IF($A564-AN564&gt;0,1/(1+AN564),0)</f>
        <v>0</v>
      </c>
      <c r="AQ564" s="7" t="n">
        <f aca="false">IF(AK564=0,0,MAX(MIN(1,AO564^Power),0))</f>
        <v>0</v>
      </c>
      <c r="AR564" s="7" t="n">
        <f aca="false">IF(AL564=0,0,MAX(MIN(1,AP564^Power),0))</f>
        <v>0</v>
      </c>
      <c r="AS564" s="7" t="n">
        <f aca="false">IF($AJ564=1,IF($H564=0,K564,AS563),AS563)</f>
        <v>0</v>
      </c>
      <c r="AT564" s="7" t="n">
        <f aca="false">IF($AJ564=1,IF($H564=1,N564,AT563),AT563)</f>
        <v>0</v>
      </c>
    </row>
    <row r="565" customFormat="false" ht="13" hidden="false" customHeight="false" outlineLevel="0" collapsed="false">
      <c r="A565" s="16" t="n">
        <v>548</v>
      </c>
      <c r="B565" s="37" t="n">
        <f aca="true">IF(RAND()&lt;$D$8,1,0)</f>
        <v>0</v>
      </c>
      <c r="C565" s="20" t="n">
        <f aca="true">-LN(RAND())/$D$2</f>
        <v>0.484685647126093</v>
      </c>
      <c r="D565" s="38" t="n">
        <f aca="false">D564+C565</f>
        <v>582.333201784108</v>
      </c>
      <c r="E565" s="39" t="n">
        <f aca="false">MAX($E$3,AS564)</f>
        <v>0</v>
      </c>
      <c r="F565" s="39" t="n">
        <f aca="false">MAX($E$3,AT564)</f>
        <v>0</v>
      </c>
      <c r="G565" s="40" t="n">
        <v>0.5</v>
      </c>
      <c r="H565" s="38" t="n">
        <f aca="true">IF((B565=1),(IF((F565&lt;E565),1,(IF((F565=E565),(IF(RAND()&lt;G565,1,0)),0)))),(IF((RAND()&lt;G565),1,0)))</f>
        <v>0</v>
      </c>
      <c r="I565" s="38" t="n">
        <f aca="true">IF((H565=1),0,$D$3+$D$5*(RAND()-0.5))</f>
        <v>1.77871684548806</v>
      </c>
      <c r="J565" s="38" t="n">
        <f aca="false">I565+MAX(D565,J564)</f>
        <v>587.5735266724</v>
      </c>
      <c r="K565" s="38" t="n">
        <f aca="false">IF((H565=0),J565-D565,0)</f>
        <v>5.24032488829175</v>
      </c>
      <c r="L565" s="38" t="n">
        <f aca="true">IF(($H565=0),0,$D$4+$D$5*(RAND()-0.5))</f>
        <v>0</v>
      </c>
      <c r="M565" s="38" t="n">
        <f aca="false">L565+MAX(D565,M564)</f>
        <v>620.295277316984</v>
      </c>
      <c r="N565" s="38" t="n">
        <f aca="false">IF((H565=1),M565-D565,0)</f>
        <v>0</v>
      </c>
      <c r="O565" s="16" t="n">
        <v>548</v>
      </c>
      <c r="P565" s="41" t="n">
        <f aca="false">IF((Arterial=0),P564+1,P564)</f>
        <v>252</v>
      </c>
      <c r="Q565" s="41" t="n">
        <f aca="false">IF((Arterial=1),Q564+1,Q564)</f>
        <v>296</v>
      </c>
      <c r="R565" s="42" t="e">
        <f aca="false">IF((RESET=1),0,R565+K565)</f>
        <v>#N/A</v>
      </c>
      <c r="S565" s="14" t="n">
        <f aca="false">IF(RESET=1,0,S565+N565)</f>
        <v>798.436420391678</v>
      </c>
      <c r="T565" s="2" t="e">
        <f aca="false">IF(RESET=1,0,T565+IF(H565=0,1,0))</f>
        <v>#N/A</v>
      </c>
      <c r="U565" s="2" t="n">
        <f aca="false">IF(RESET=1,0,U565+H565)</f>
        <v>43</v>
      </c>
      <c r="V565" s="14" t="e">
        <f aca="false">R565/(T565+0.00001)</f>
        <v>#N/A</v>
      </c>
      <c r="W565" s="14" t="n">
        <f aca="false">S565/(U565+0.0001)</f>
        <v>18.5682456643514</v>
      </c>
      <c r="X565" s="39" t="n">
        <f aca="false">IF(Informed=1,K565,0)</f>
        <v>0</v>
      </c>
      <c r="Y565" s="39" t="n">
        <f aca="false">IF(Informed=0,K565,0)</f>
        <v>5.24032488829175</v>
      </c>
      <c r="Z565" s="39" t="n">
        <f aca="false">IF(Informed=1,N565,0)</f>
        <v>0</v>
      </c>
      <c r="AA565" s="39" t="n">
        <f aca="false">IF(Informed=0,N565,0)</f>
        <v>0</v>
      </c>
      <c r="AB565" s="43" t="n">
        <f aca="false">IF(Arterial=0,IF(Informed=1,1,0),0)</f>
        <v>0</v>
      </c>
      <c r="AC565" s="43" t="n">
        <f aca="false">IF(Arterial=0,IF(Informed=0,1,0),0)</f>
        <v>1</v>
      </c>
      <c r="AD565" s="43" t="n">
        <f aca="false">IF(Arterial=1,IF(Informed=1,1,0),0)</f>
        <v>0</v>
      </c>
      <c r="AE565" s="43" t="n">
        <f aca="false">IF(Arterial=1,IF(Informed=0,1,0),0)</f>
        <v>0</v>
      </c>
      <c r="AF565" s="35" t="n">
        <f aca="false">IF(AB565=1,(X565-G$1030)^2,0)</f>
        <v>0</v>
      </c>
      <c r="AG565" s="35" t="n">
        <f aca="false">IF(AC565=1,(Y565-H$1030)^2,0)</f>
        <v>32.3017216912917</v>
      </c>
      <c r="AH565" s="35" t="n">
        <f aca="false">IF(AD565=1,(Z565-I$1030)^2,0)</f>
        <v>0</v>
      </c>
      <c r="AI565" s="35" t="n">
        <f aca="false">IF(AE565=1,(AA565-J$1030)^2,0)</f>
        <v>0</v>
      </c>
      <c r="AJ565" s="37" t="n">
        <f aca="true">IF(RAND()&lt;$D$6,1,0)</f>
        <v>0</v>
      </c>
      <c r="AK565" s="14" t="n">
        <f aca="false">AK564+IF((AJ565=1),IF((H565=0),1,0),0)</f>
        <v>0</v>
      </c>
      <c r="AL565" s="14" t="n">
        <f aca="false">AL564+IF((AJ565=1),IF((H565=1),1,0),0)</f>
        <v>0</v>
      </c>
      <c r="AM565" s="37" t="n">
        <f aca="false">IF(AK565=0,9999,IF($H565=0,IF($AJ565&lt;1,AM564+1,0),AM564))</f>
        <v>9999</v>
      </c>
      <c r="AN565" s="37" t="n">
        <f aca="false">IF(AL565=0,9999,IF($H565=1,IF($AJ565&lt;1,AN564+1,0),AN564))</f>
        <v>9999</v>
      </c>
      <c r="AO565" s="37" t="n">
        <f aca="false">IF($A565-AM565&gt;0,1/(1+AM565),0)</f>
        <v>0</v>
      </c>
      <c r="AP565" s="37" t="n">
        <f aca="false">IF($A565-AN565&gt;0,1/(1+AN565),0)</f>
        <v>0</v>
      </c>
      <c r="AQ565" s="7" t="n">
        <f aca="false">IF(AK565=0,0,MAX(MIN(1,AO565^Power),0))</f>
        <v>0</v>
      </c>
      <c r="AR565" s="7" t="n">
        <f aca="false">IF(AL565=0,0,MAX(MIN(1,AP565^Power),0))</f>
        <v>0</v>
      </c>
      <c r="AS565" s="7" t="n">
        <f aca="false">IF($AJ565=1,IF($H565=0,K565,AS564),AS564)</f>
        <v>0</v>
      </c>
      <c r="AT565" s="7" t="n">
        <f aca="false">IF($AJ565=1,IF($H565=1,N565,AT564),AT564)</f>
        <v>0</v>
      </c>
    </row>
    <row r="566" customFormat="false" ht="13" hidden="false" customHeight="false" outlineLevel="0" collapsed="false">
      <c r="A566" s="16" t="n">
        <v>549</v>
      </c>
      <c r="B566" s="37" t="n">
        <f aca="true">IF(RAND()&lt;$D$8,1,0)</f>
        <v>1</v>
      </c>
      <c r="C566" s="20" t="n">
        <f aca="true">-LN(RAND())/$D$2</f>
        <v>0.177028366209831</v>
      </c>
      <c r="D566" s="38" t="n">
        <f aca="false">D565+C566</f>
        <v>582.510230150318</v>
      </c>
      <c r="E566" s="39" t="n">
        <f aca="false">MAX($E$3,AS565)</f>
        <v>0</v>
      </c>
      <c r="F566" s="39" t="n">
        <f aca="false">MAX($E$3,AT565)</f>
        <v>0</v>
      </c>
      <c r="G566" s="40" t="n">
        <v>0.5</v>
      </c>
      <c r="H566" s="38" t="n">
        <f aca="true">IF((B566=1),(IF((F566&lt;E566),1,(IF((F566=E566),(IF(RAND()&lt;G566,1,0)),0)))),(IF((RAND()&lt;G566),1,0)))</f>
        <v>0</v>
      </c>
      <c r="I566" s="38" t="n">
        <f aca="true">IF((H566=1),0,$D$3+$D$5*(RAND()-0.5))</f>
        <v>2.10397244655538</v>
      </c>
      <c r="J566" s="38" t="n">
        <f aca="false">I566+MAX(D566,J565)</f>
        <v>589.677499118956</v>
      </c>
      <c r="K566" s="38" t="n">
        <f aca="false">IF((H566=0),J566-D566,0)</f>
        <v>7.16726896863736</v>
      </c>
      <c r="L566" s="38" t="n">
        <f aca="true">IF(($H566=0),0,$D$4+$D$5*(RAND()-0.5))</f>
        <v>0</v>
      </c>
      <c r="M566" s="38" t="n">
        <f aca="false">L566+MAX(D566,M565)</f>
        <v>620.295277316984</v>
      </c>
      <c r="N566" s="38" t="n">
        <f aca="false">IF((H566=1),M566-D566,0)</f>
        <v>0</v>
      </c>
      <c r="O566" s="16" t="n">
        <v>549</v>
      </c>
      <c r="P566" s="41" t="n">
        <f aca="false">IF((Arterial=0),P565+1,P565)</f>
        <v>253</v>
      </c>
      <c r="Q566" s="41" t="n">
        <f aca="false">IF((Arterial=1),Q565+1,Q565)</f>
        <v>296</v>
      </c>
      <c r="R566" s="42" t="e">
        <f aca="false">IF((RESET=1),0,R566+K566)</f>
        <v>#N/A</v>
      </c>
      <c r="S566" s="14" t="n">
        <f aca="false">IF(RESET=1,0,S566+N566)</f>
        <v>568.649519953617</v>
      </c>
      <c r="T566" s="2" t="e">
        <f aca="false">IF(RESET=1,0,T566+IF(H566=0,1,0))</f>
        <v>#N/A</v>
      </c>
      <c r="U566" s="2" t="n">
        <f aca="false">IF(RESET=1,0,U566+H566)</f>
        <v>37</v>
      </c>
      <c r="V566" s="14" t="e">
        <f aca="false">R566/(T566+0.00001)</f>
        <v>#N/A</v>
      </c>
      <c r="W566" s="14" t="n">
        <f aca="false">S566/(U566+0.0001)</f>
        <v>15.368864407221</v>
      </c>
      <c r="X566" s="39" t="n">
        <f aca="false">IF(Informed=1,K566,0)</f>
        <v>7.16726896863736</v>
      </c>
      <c r="Y566" s="39" t="n">
        <f aca="false">IF(Informed=0,K566,0)</f>
        <v>0</v>
      </c>
      <c r="Z566" s="39" t="n">
        <f aca="false">IF(Informed=1,N566,0)</f>
        <v>0</v>
      </c>
      <c r="AA566" s="39" t="n">
        <f aca="false">IF(Informed=0,N566,0)</f>
        <v>0</v>
      </c>
      <c r="AB566" s="43" t="n">
        <f aca="false">IF(Arterial=0,IF(Informed=1,1,0),0)</f>
        <v>1</v>
      </c>
      <c r="AC566" s="43" t="n">
        <f aca="false">IF(Arterial=0,IF(Informed=0,1,0),0)</f>
        <v>0</v>
      </c>
      <c r="AD566" s="43" t="n">
        <f aca="false">IF(Arterial=1,IF(Informed=1,1,0),0)</f>
        <v>0</v>
      </c>
      <c r="AE566" s="43" t="n">
        <f aca="false">IF(Arterial=1,IF(Informed=0,1,0),0)</f>
        <v>0</v>
      </c>
      <c r="AF566" s="35" t="n">
        <f aca="false">IF(AB566=1,(X566-G$1030)^2,0)</f>
        <v>12.5486634584345</v>
      </c>
      <c r="AG566" s="35" t="n">
        <f aca="false">IF(AC566=1,(Y566-H$1030)^2,0)</f>
        <v>0</v>
      </c>
      <c r="AH566" s="35" t="n">
        <f aca="false">IF(AD566=1,(Z566-I$1030)^2,0)</f>
        <v>0</v>
      </c>
      <c r="AI566" s="35" t="n">
        <f aca="false">IF(AE566=1,(AA566-J$1030)^2,0)</f>
        <v>0</v>
      </c>
      <c r="AJ566" s="37" t="n">
        <f aca="true">IF(RAND()&lt;$D$6,1,0)</f>
        <v>0</v>
      </c>
      <c r="AK566" s="14" t="n">
        <f aca="false">AK565+IF((AJ566=1),IF((H566=0),1,0),0)</f>
        <v>0</v>
      </c>
      <c r="AL566" s="14" t="n">
        <f aca="false">AL565+IF((AJ566=1),IF((H566=1),1,0),0)</f>
        <v>0</v>
      </c>
      <c r="AM566" s="37" t="n">
        <f aca="false">IF(AK566=0,9999,IF($H566=0,IF($AJ566&lt;1,AM565+1,0),AM565))</f>
        <v>9999</v>
      </c>
      <c r="AN566" s="37" t="n">
        <f aca="false">IF(AL566=0,9999,IF($H566=1,IF($AJ566&lt;1,AN565+1,0),AN565))</f>
        <v>9999</v>
      </c>
      <c r="AO566" s="37" t="n">
        <f aca="false">IF($A566-AM566&gt;0,1/(1+AM566),0)</f>
        <v>0</v>
      </c>
      <c r="AP566" s="37" t="n">
        <f aca="false">IF($A566-AN566&gt;0,1/(1+AN566),0)</f>
        <v>0</v>
      </c>
      <c r="AQ566" s="7" t="n">
        <f aca="false">IF(AK566=0,0,MAX(MIN(1,AO566^Power),0))</f>
        <v>0</v>
      </c>
      <c r="AR566" s="7" t="n">
        <f aca="false">IF(AL566=0,0,MAX(MIN(1,AP566^Power),0))</f>
        <v>0</v>
      </c>
      <c r="AS566" s="7" t="n">
        <f aca="false">IF($AJ566=1,IF($H566=0,K566,AS565),AS565)</f>
        <v>0</v>
      </c>
      <c r="AT566" s="7" t="n">
        <f aca="false">IF($AJ566=1,IF($H566=1,N566,AT565),AT565)</f>
        <v>0</v>
      </c>
    </row>
    <row r="567" customFormat="false" ht="13" hidden="false" customHeight="false" outlineLevel="0" collapsed="false">
      <c r="A567" s="16" t="n">
        <v>550</v>
      </c>
      <c r="B567" s="37" t="n">
        <f aca="true">IF(RAND()&lt;$D$8,1,0)</f>
        <v>0</v>
      </c>
      <c r="C567" s="20" t="n">
        <f aca="true">-LN(RAND())/$D$2</f>
        <v>0.571518243141655</v>
      </c>
      <c r="D567" s="38" t="n">
        <f aca="false">D566+C567</f>
        <v>583.08174839346</v>
      </c>
      <c r="E567" s="39" t="n">
        <f aca="false">MAX($E$3,AS566)</f>
        <v>0</v>
      </c>
      <c r="F567" s="39" t="n">
        <f aca="false">MAX($E$3,AT566)</f>
        <v>0</v>
      </c>
      <c r="G567" s="40" t="n">
        <v>0.5</v>
      </c>
      <c r="H567" s="38" t="n">
        <f aca="true">IF((B567=1),(IF((F567&lt;E567),1,(IF((F567=E567),(IF(RAND()&lt;G567,1,0)),0)))),(IF((RAND()&lt;G567),1,0)))</f>
        <v>0</v>
      </c>
      <c r="I567" s="38" t="n">
        <f aca="true">IF((H567=1),0,$D$3+$D$5*(RAND()-0.5))</f>
        <v>2.20109866739195</v>
      </c>
      <c r="J567" s="38" t="n">
        <f aca="false">I567+MAX(D567,J566)</f>
        <v>591.878597786348</v>
      </c>
      <c r="K567" s="38" t="n">
        <f aca="false">IF((H567=0),J567-D567,0)</f>
        <v>8.79684939288768</v>
      </c>
      <c r="L567" s="38" t="n">
        <f aca="true">IF(($H567=0),0,$D$4+$D$5*(RAND()-0.5))</f>
        <v>0</v>
      </c>
      <c r="M567" s="38" t="n">
        <f aca="false">L567+MAX(D567,M566)</f>
        <v>620.295277316984</v>
      </c>
      <c r="N567" s="38" t="n">
        <f aca="false">IF((H567=1),M567-D567,0)</f>
        <v>0</v>
      </c>
      <c r="O567" s="16" t="n">
        <v>550</v>
      </c>
      <c r="P567" s="41" t="n">
        <f aca="false">IF((Arterial=0),P566+1,P566)</f>
        <v>254</v>
      </c>
      <c r="Q567" s="41" t="n">
        <f aca="false">IF((Arterial=1),Q566+1,Q566)</f>
        <v>296</v>
      </c>
      <c r="R567" s="42" t="e">
        <f aca="false">IF((RESET=1),0,R567+K567)</f>
        <v>#N/A</v>
      </c>
      <c r="S567" s="14" t="n">
        <f aca="false">IF(RESET=1,0,S567+N567)</f>
        <v>602.345447039515</v>
      </c>
      <c r="T567" s="2" t="e">
        <f aca="false">IF(RESET=1,0,T567+IF(H567=0,1,0))</f>
        <v>#N/A</v>
      </c>
      <c r="U567" s="2" t="n">
        <f aca="false">IF(RESET=1,0,U567+H567)</f>
        <v>39</v>
      </c>
      <c r="V567" s="14" t="e">
        <f aca="false">R567/(T567+0.00001)</f>
        <v>#N/A</v>
      </c>
      <c r="W567" s="14" t="n">
        <f aca="false">S567/(U567+0.0001)</f>
        <v>15.4447154504608</v>
      </c>
      <c r="X567" s="39" t="n">
        <f aca="false">IF(Informed=1,K567,0)</f>
        <v>0</v>
      </c>
      <c r="Y567" s="39" t="n">
        <f aca="false">IF(Informed=0,K567,0)</f>
        <v>8.79684939288768</v>
      </c>
      <c r="Z567" s="39" t="n">
        <f aca="false">IF(Informed=1,N567,0)</f>
        <v>0</v>
      </c>
      <c r="AA567" s="39" t="n">
        <f aca="false">IF(Informed=0,N567,0)</f>
        <v>0</v>
      </c>
      <c r="AB567" s="43" t="n">
        <f aca="false">IF(Arterial=0,IF(Informed=1,1,0),0)</f>
        <v>0</v>
      </c>
      <c r="AC567" s="43" t="n">
        <f aca="false">IF(Arterial=0,IF(Informed=0,1,0),0)</f>
        <v>1</v>
      </c>
      <c r="AD567" s="43" t="n">
        <f aca="false">IF(Arterial=1,IF(Informed=1,1,0),0)</f>
        <v>0</v>
      </c>
      <c r="AE567" s="43" t="n">
        <f aca="false">IF(Arterial=1,IF(Informed=0,1,0),0)</f>
        <v>0</v>
      </c>
      <c r="AF567" s="35" t="n">
        <f aca="false">IF(AB567=1,(X567-G$1030)^2,0)</f>
        <v>0</v>
      </c>
      <c r="AG567" s="35" t="n">
        <f aca="false">IF(AC567=1,(Y567-H$1030)^2,0)</f>
        <v>4.5238561433324</v>
      </c>
      <c r="AH567" s="35" t="n">
        <f aca="false">IF(AD567=1,(Z567-I$1030)^2,0)</f>
        <v>0</v>
      </c>
      <c r="AI567" s="35" t="n">
        <f aca="false">IF(AE567=1,(AA567-J$1030)^2,0)</f>
        <v>0</v>
      </c>
      <c r="AJ567" s="37" t="n">
        <f aca="true">IF(RAND()&lt;$D$6,1,0)</f>
        <v>0</v>
      </c>
      <c r="AK567" s="14" t="n">
        <f aca="false">AK566+IF((AJ567=1),IF((H567=0),1,0),0)</f>
        <v>0</v>
      </c>
      <c r="AL567" s="14" t="n">
        <f aca="false">AL566+IF((AJ567=1),IF((H567=1),1,0),0)</f>
        <v>0</v>
      </c>
      <c r="AM567" s="37" t="n">
        <f aca="false">IF(AK567=0,9999,IF($H567=0,IF($AJ567&lt;1,AM566+1,0),AM566))</f>
        <v>9999</v>
      </c>
      <c r="AN567" s="37" t="n">
        <f aca="false">IF(AL567=0,9999,IF($H567=1,IF($AJ567&lt;1,AN566+1,0),AN566))</f>
        <v>9999</v>
      </c>
      <c r="AO567" s="37" t="n">
        <f aca="false">IF($A567-AM567&gt;0,1/(1+AM567),0)</f>
        <v>0</v>
      </c>
      <c r="AP567" s="37" t="n">
        <f aca="false">IF($A567-AN567&gt;0,1/(1+AN567),0)</f>
        <v>0</v>
      </c>
      <c r="AQ567" s="7" t="n">
        <f aca="false">IF(AK567=0,0,MAX(MIN(1,AO567^Power),0))</f>
        <v>0</v>
      </c>
      <c r="AR567" s="7" t="n">
        <f aca="false">IF(AL567=0,0,MAX(MIN(1,AP567^Power),0))</f>
        <v>0</v>
      </c>
      <c r="AS567" s="7" t="n">
        <f aca="false">IF($AJ567=1,IF($H567=0,K567,AS566),AS566)</f>
        <v>0</v>
      </c>
      <c r="AT567" s="7" t="n">
        <f aca="false">IF($AJ567=1,IF($H567=1,N567,AT566),AT566)</f>
        <v>0</v>
      </c>
    </row>
    <row r="568" customFormat="false" ht="13" hidden="false" customHeight="false" outlineLevel="0" collapsed="false">
      <c r="A568" s="16" t="n">
        <v>551</v>
      </c>
      <c r="B568" s="37" t="n">
        <f aca="true">IF(RAND()&lt;$D$8,1,0)</f>
        <v>0</v>
      </c>
      <c r="C568" s="20" t="n">
        <f aca="true">-LN(RAND())/$D$2</f>
        <v>0.0248277092919668</v>
      </c>
      <c r="D568" s="38" t="n">
        <f aca="false">D567+C568</f>
        <v>583.106576102752</v>
      </c>
      <c r="E568" s="39" t="n">
        <f aca="false">MAX($E$3,AS567)</f>
        <v>0</v>
      </c>
      <c r="F568" s="39" t="n">
        <f aca="false">MAX($E$3,AT567)</f>
        <v>0</v>
      </c>
      <c r="G568" s="40" t="n">
        <v>0.5</v>
      </c>
      <c r="H568" s="38" t="n">
        <f aca="true">IF((B568=1),(IF((F568&lt;E568),1,(IF((F568=E568),(IF(RAND()&lt;G568,1,0)),0)))),(IF((RAND()&lt;G568),1,0)))</f>
        <v>0</v>
      </c>
      <c r="I568" s="38" t="n">
        <f aca="true">IF((H568=1),0,$D$3+$D$5*(RAND()-0.5))</f>
        <v>1.98103350676423</v>
      </c>
      <c r="J568" s="38" t="n">
        <f aca="false">I568+MAX(D568,J567)</f>
        <v>593.859631293112</v>
      </c>
      <c r="K568" s="38" t="n">
        <f aca="false">IF((H568=0),J568-D568,0)</f>
        <v>10.75305519036</v>
      </c>
      <c r="L568" s="38" t="n">
        <f aca="true">IF(($H568=0),0,$D$4+$D$5*(RAND()-0.5))</f>
        <v>0</v>
      </c>
      <c r="M568" s="38" t="n">
        <f aca="false">L568+MAX(D568,M567)</f>
        <v>620.295277316984</v>
      </c>
      <c r="N568" s="38" t="n">
        <f aca="false">IF((H568=1),M568-D568,0)</f>
        <v>0</v>
      </c>
      <c r="O568" s="16" t="n">
        <v>551</v>
      </c>
      <c r="P568" s="41" t="n">
        <f aca="false">IF((Arterial=0),P567+1,P567)</f>
        <v>255</v>
      </c>
      <c r="Q568" s="41" t="n">
        <f aca="false">IF((Arterial=1),Q567+1,Q567)</f>
        <v>296</v>
      </c>
      <c r="R568" s="42" t="e">
        <f aca="false">IF((RESET=1),0,R568+K568)</f>
        <v>#N/A</v>
      </c>
      <c r="S568" s="14" t="n">
        <f aca="false">IF(RESET=1,0,S568+N568)</f>
        <v>792.733920113126</v>
      </c>
      <c r="T568" s="2" t="e">
        <f aca="false">IF(RESET=1,0,T568+IF(H568=0,1,0))</f>
        <v>#N/A</v>
      </c>
      <c r="U568" s="2" t="n">
        <f aca="false">IF(RESET=1,0,U568+H568)</f>
        <v>45</v>
      </c>
      <c r="V568" s="14" t="e">
        <f aca="false">R568/(T568+0.00001)</f>
        <v>#N/A</v>
      </c>
      <c r="W568" s="14" t="n">
        <f aca="false">S568/(U568+0.0001)</f>
        <v>17.6162701885802</v>
      </c>
      <c r="X568" s="39" t="n">
        <f aca="false">IF(Informed=1,K568,0)</f>
        <v>0</v>
      </c>
      <c r="Y568" s="39" t="n">
        <f aca="false">IF(Informed=0,K568,0)</f>
        <v>10.75305519036</v>
      </c>
      <c r="Z568" s="39" t="n">
        <f aca="false">IF(Informed=1,N568,0)</f>
        <v>0</v>
      </c>
      <c r="AA568" s="39" t="n">
        <f aca="false">IF(Informed=0,N568,0)</f>
        <v>0</v>
      </c>
      <c r="AB568" s="43" t="n">
        <f aca="false">IF(Arterial=0,IF(Informed=1,1,0),0)</f>
        <v>0</v>
      </c>
      <c r="AC568" s="43" t="n">
        <f aca="false">IF(Arterial=0,IF(Informed=0,1,0),0)</f>
        <v>1</v>
      </c>
      <c r="AD568" s="43" t="n">
        <f aca="false">IF(Arterial=1,IF(Informed=1,1,0),0)</f>
        <v>0</v>
      </c>
      <c r="AE568" s="43" t="n">
        <f aca="false">IF(Arterial=1,IF(Informed=0,1,0),0)</f>
        <v>0</v>
      </c>
      <c r="AF568" s="35" t="n">
        <f aca="false">IF(AB568=1,(X568-G$1030)^2,0)</f>
        <v>0</v>
      </c>
      <c r="AG568" s="35" t="n">
        <f aca="false">IF(AC568=1,(Y568-H$1030)^2,0)</f>
        <v>0.029148753510493</v>
      </c>
      <c r="AH568" s="35" t="n">
        <f aca="false">IF(AD568=1,(Z568-I$1030)^2,0)</f>
        <v>0</v>
      </c>
      <c r="AI568" s="35" t="n">
        <f aca="false">IF(AE568=1,(AA568-J$1030)^2,0)</f>
        <v>0</v>
      </c>
      <c r="AJ568" s="37" t="n">
        <f aca="true">IF(RAND()&lt;$D$6,1,0)</f>
        <v>0</v>
      </c>
      <c r="AK568" s="14" t="n">
        <f aca="false">AK567+IF((AJ568=1),IF((H568=0),1,0),0)</f>
        <v>0</v>
      </c>
      <c r="AL568" s="14" t="n">
        <f aca="false">AL567+IF((AJ568=1),IF((H568=1),1,0),0)</f>
        <v>0</v>
      </c>
      <c r="AM568" s="37" t="n">
        <f aca="false">IF(AK568=0,9999,IF($H568=0,IF($AJ568&lt;1,AM567+1,0),AM567))</f>
        <v>9999</v>
      </c>
      <c r="AN568" s="37" t="n">
        <f aca="false">IF(AL568=0,9999,IF($H568=1,IF($AJ568&lt;1,AN567+1,0),AN567))</f>
        <v>9999</v>
      </c>
      <c r="AO568" s="37" t="n">
        <f aca="false">IF($A568-AM568&gt;0,1/(1+AM568),0)</f>
        <v>0</v>
      </c>
      <c r="AP568" s="37" t="n">
        <f aca="false">IF($A568-AN568&gt;0,1/(1+AN568),0)</f>
        <v>0</v>
      </c>
      <c r="AQ568" s="7" t="n">
        <f aca="false">IF(AK568=0,0,MAX(MIN(1,AO568^Power),0))</f>
        <v>0</v>
      </c>
      <c r="AR568" s="7" t="n">
        <f aca="false">IF(AL568=0,0,MAX(MIN(1,AP568^Power),0))</f>
        <v>0</v>
      </c>
      <c r="AS568" s="7" t="n">
        <f aca="false">IF($AJ568=1,IF($H568=0,K568,AS567),AS567)</f>
        <v>0</v>
      </c>
      <c r="AT568" s="7" t="n">
        <f aca="false">IF($AJ568=1,IF($H568=1,N568,AT567),AT567)</f>
        <v>0</v>
      </c>
    </row>
    <row r="569" customFormat="false" ht="13" hidden="false" customHeight="false" outlineLevel="0" collapsed="false">
      <c r="A569" s="16" t="n">
        <v>552</v>
      </c>
      <c r="B569" s="37" t="n">
        <f aca="true">IF(RAND()&lt;$D$8,1,0)</f>
        <v>1</v>
      </c>
      <c r="C569" s="20" t="n">
        <f aca="true">-LN(RAND())/$D$2</f>
        <v>1.67251632246342</v>
      </c>
      <c r="D569" s="38" t="n">
        <f aca="false">D568+C569</f>
        <v>584.779092425215</v>
      </c>
      <c r="E569" s="39" t="n">
        <f aca="false">MAX($E$3,AS568)</f>
        <v>0</v>
      </c>
      <c r="F569" s="39" t="n">
        <f aca="false">MAX($E$3,AT568)</f>
        <v>0</v>
      </c>
      <c r="G569" s="40" t="n">
        <v>0.5</v>
      </c>
      <c r="H569" s="38" t="n">
        <f aca="true">IF((B569=1),(IF((F569&lt;E569),1,(IF((F569=E569),(IF(RAND()&lt;G569,1,0)),0)))),(IF((RAND()&lt;G569),1,0)))</f>
        <v>1</v>
      </c>
      <c r="I569" s="38" t="n">
        <f aca="true">IF((H569=1),0,$D$3+$D$5*(RAND()-0.5))</f>
        <v>0</v>
      </c>
      <c r="J569" s="38" t="n">
        <f aca="false">I569+MAX(D569,J568)</f>
        <v>593.859631293112</v>
      </c>
      <c r="K569" s="38" t="n">
        <f aca="false">IF((H569=0),J569-D569,0)</f>
        <v>0</v>
      </c>
      <c r="L569" s="38" t="n">
        <f aca="true">IF(($H569=0),0,$D$4+$D$5*(RAND()-0.5))</f>
        <v>1.79874695799093</v>
      </c>
      <c r="M569" s="38" t="n">
        <f aca="false">L569+MAX(D569,M568)</f>
        <v>622.094024274975</v>
      </c>
      <c r="N569" s="38" t="n">
        <f aca="false">IF((H569=1),M569-D569,0)</f>
        <v>37.31493184976</v>
      </c>
      <c r="O569" s="16" t="n">
        <v>552</v>
      </c>
      <c r="P569" s="41" t="n">
        <f aca="false">IF((Arterial=0),P568+1,P568)</f>
        <v>255</v>
      </c>
      <c r="Q569" s="41" t="n">
        <f aca="false">IF((Arterial=1),Q568+1,Q568)</f>
        <v>297</v>
      </c>
      <c r="R569" s="42" t="n">
        <f aca="false">IF((RESET=1),0,R569+K569)</f>
        <v>789.025440615785</v>
      </c>
      <c r="S569" s="14" t="e">
        <f aca="false">IF(RESET=1,0,S569+N569)</f>
        <v>#N/A</v>
      </c>
      <c r="T569" s="2" t="n">
        <f aca="false">IF(RESET=1,0,T569+IF(H569=0,1,0))</f>
        <v>45</v>
      </c>
      <c r="U569" s="2" t="e">
        <f aca="false">IF(RESET=1,0,U569+H569)</f>
        <v>#N/A</v>
      </c>
      <c r="V569" s="14" t="n">
        <f aca="false">R569/(T569+0.00001)</f>
        <v>17.5338947839297</v>
      </c>
      <c r="W569" s="14" t="e">
        <f aca="false">S569/(U569+0.0001)</f>
        <v>#N/A</v>
      </c>
      <c r="X569" s="39" t="n">
        <f aca="false">IF(Informed=1,K569,0)</f>
        <v>0</v>
      </c>
      <c r="Y569" s="39" t="n">
        <f aca="false">IF(Informed=0,K569,0)</f>
        <v>0</v>
      </c>
      <c r="Z569" s="39" t="n">
        <f aca="false">IF(Informed=1,N569,0)</f>
        <v>37.31493184976</v>
      </c>
      <c r="AA569" s="39" t="n">
        <f aca="false">IF(Informed=0,N569,0)</f>
        <v>0</v>
      </c>
      <c r="AB569" s="43" t="n">
        <f aca="false">IF(Arterial=0,IF(Informed=1,1,0),0)</f>
        <v>0</v>
      </c>
      <c r="AC569" s="43" t="n">
        <f aca="false">IF(Arterial=0,IF(Informed=0,1,0),0)</f>
        <v>0</v>
      </c>
      <c r="AD569" s="43" t="n">
        <f aca="false">IF(Arterial=1,IF(Informed=1,1,0),0)</f>
        <v>1</v>
      </c>
      <c r="AE569" s="43" t="n">
        <f aca="false">IF(Arterial=1,IF(Informed=0,1,0),0)</f>
        <v>0</v>
      </c>
      <c r="AF569" s="35" t="n">
        <f aca="false">IF(AB569=1,(X569-G$1030)^2,0)</f>
        <v>0</v>
      </c>
      <c r="AG569" s="35" t="n">
        <f aca="false">IF(AC569=1,(Y569-H$1030)^2,0)</f>
        <v>0</v>
      </c>
      <c r="AH569" s="35" t="n">
        <f aca="false">IF(AD569=1,(Z569-I$1030)^2,0)</f>
        <v>79.9253353800685</v>
      </c>
      <c r="AI569" s="35" t="n">
        <f aca="false">IF(AE569=1,(AA569-J$1030)^2,0)</f>
        <v>0</v>
      </c>
      <c r="AJ569" s="37" t="n">
        <f aca="true">IF(RAND()&lt;$D$6,1,0)</f>
        <v>0</v>
      </c>
      <c r="AK569" s="14" t="n">
        <f aca="false">AK568+IF((AJ569=1),IF((H569=0),1,0),0)</f>
        <v>0</v>
      </c>
      <c r="AL569" s="14" t="n">
        <f aca="false">AL568+IF((AJ569=1),IF((H569=1),1,0),0)</f>
        <v>0</v>
      </c>
      <c r="AM569" s="37" t="n">
        <f aca="false">IF(AK569=0,9999,IF($H569=0,IF($AJ569&lt;1,AM568+1,0),AM568))</f>
        <v>9999</v>
      </c>
      <c r="AN569" s="37" t="n">
        <f aca="false">IF(AL569=0,9999,IF($H569=1,IF($AJ569&lt;1,AN568+1,0),AN568))</f>
        <v>9999</v>
      </c>
      <c r="AO569" s="37" t="n">
        <f aca="false">IF($A569-AM569&gt;0,1/(1+AM569),0)</f>
        <v>0</v>
      </c>
      <c r="AP569" s="37" t="n">
        <f aca="false">IF($A569-AN569&gt;0,1/(1+AN569),0)</f>
        <v>0</v>
      </c>
      <c r="AQ569" s="7" t="n">
        <f aca="false">IF(AK569=0,0,MAX(MIN(1,AO569^Power),0))</f>
        <v>0</v>
      </c>
      <c r="AR569" s="7" t="n">
        <f aca="false">IF(AL569=0,0,MAX(MIN(1,AP569^Power),0))</f>
        <v>0</v>
      </c>
      <c r="AS569" s="7" t="n">
        <f aca="false">IF($AJ569=1,IF($H569=0,K569,AS568),AS568)</f>
        <v>0</v>
      </c>
      <c r="AT569" s="7" t="n">
        <f aca="false">IF($AJ569=1,IF($H569=1,N569,AT568),AT568)</f>
        <v>0</v>
      </c>
    </row>
    <row r="570" customFormat="false" ht="13" hidden="false" customHeight="false" outlineLevel="0" collapsed="false">
      <c r="A570" s="16" t="n">
        <v>553</v>
      </c>
      <c r="B570" s="37" t="n">
        <f aca="true">IF(RAND()&lt;$D$8,1,0)</f>
        <v>1</v>
      </c>
      <c r="C570" s="20" t="n">
        <f aca="true">-LN(RAND())/$D$2</f>
        <v>0.0234662515040774</v>
      </c>
      <c r="D570" s="38" t="n">
        <f aca="false">D569+C570</f>
        <v>584.802558676719</v>
      </c>
      <c r="E570" s="39" t="n">
        <f aca="false">MAX($E$3,AS569)</f>
        <v>0</v>
      </c>
      <c r="F570" s="39" t="n">
        <f aca="false">MAX($E$3,AT569)</f>
        <v>0</v>
      </c>
      <c r="G570" s="40" t="n">
        <v>0.5</v>
      </c>
      <c r="H570" s="38" t="n">
        <f aca="true">IF((B570=1),(IF((F570&lt;E570),1,(IF((F570=E570),(IF(RAND()&lt;G570,1,0)),0)))),(IF((RAND()&lt;G570),1,0)))</f>
        <v>1</v>
      </c>
      <c r="I570" s="38" t="n">
        <f aca="true">IF((H570=1),0,$D$3+$D$5*(RAND()-0.5))</f>
        <v>0</v>
      </c>
      <c r="J570" s="38" t="n">
        <f aca="false">I570+MAX(D570,J569)</f>
        <v>593.859631293112</v>
      </c>
      <c r="K570" s="38" t="n">
        <f aca="false">IF((H570=0),J570-D570,0)</f>
        <v>0</v>
      </c>
      <c r="L570" s="38" t="n">
        <f aca="true">IF(($H570=0),0,$D$4+$D$5*(RAND()-0.5))</f>
        <v>1.97606414607019</v>
      </c>
      <c r="M570" s="38" t="n">
        <f aca="false">L570+MAX(D570,M569)</f>
        <v>624.070088421045</v>
      </c>
      <c r="N570" s="38" t="n">
        <f aca="false">IF((H570=1),M570-D570,0)</f>
        <v>39.2675297443261</v>
      </c>
      <c r="O570" s="16" t="n">
        <v>553</v>
      </c>
      <c r="P570" s="41" t="n">
        <f aca="false">IF((Arterial=0),P569+1,P569)</f>
        <v>255</v>
      </c>
      <c r="Q570" s="41" t="n">
        <f aca="false">IF((Arterial=1),Q569+1,Q569)</f>
        <v>298</v>
      </c>
      <c r="R570" s="42" t="n">
        <f aca="false">IF((RESET=1),0,R570+K570)</f>
        <v>879.18035258252</v>
      </c>
      <c r="S570" s="14" t="e">
        <f aca="false">IF(RESET=1,0,S570+N570)</f>
        <v>#N/A</v>
      </c>
      <c r="T570" s="2" t="n">
        <f aca="false">IF(RESET=1,0,T570+IF(H570=0,1,0))</f>
        <v>42</v>
      </c>
      <c r="U570" s="2" t="e">
        <f aca="false">IF(RESET=1,0,U570+H570)</f>
        <v>#N/A</v>
      </c>
      <c r="V570" s="14" t="n">
        <f aca="false">R570/(T570+0.00001)</f>
        <v>20.9328605536646</v>
      </c>
      <c r="W570" s="14" t="e">
        <f aca="false">S570/(U570+0.0001)</f>
        <v>#N/A</v>
      </c>
      <c r="X570" s="39" t="n">
        <f aca="false">IF(Informed=1,K570,0)</f>
        <v>0</v>
      </c>
      <c r="Y570" s="39" t="n">
        <f aca="false">IF(Informed=0,K570,0)</f>
        <v>0</v>
      </c>
      <c r="Z570" s="39" t="n">
        <f aca="false">IF(Informed=1,N570,0)</f>
        <v>39.2675297443261</v>
      </c>
      <c r="AA570" s="39" t="n">
        <f aca="false">IF(Informed=0,N570,0)</f>
        <v>0</v>
      </c>
      <c r="AB570" s="43" t="n">
        <f aca="false">IF(Arterial=0,IF(Informed=1,1,0),0)</f>
        <v>0</v>
      </c>
      <c r="AC570" s="43" t="n">
        <f aca="false">IF(Arterial=0,IF(Informed=0,1,0),0)</f>
        <v>0</v>
      </c>
      <c r="AD570" s="43" t="n">
        <f aca="false">IF(Arterial=1,IF(Informed=1,1,0),0)</f>
        <v>1</v>
      </c>
      <c r="AE570" s="43" t="n">
        <f aca="false">IF(Arterial=1,IF(Informed=0,1,0),0)</f>
        <v>0</v>
      </c>
      <c r="AF570" s="35" t="n">
        <f aca="false">IF(AB570=1,(X570-G$1030)^2,0)</f>
        <v>0</v>
      </c>
      <c r="AG570" s="35" t="n">
        <f aca="false">IF(AC570=1,(Y570-H$1030)^2,0)</f>
        <v>0</v>
      </c>
      <c r="AH570" s="35" t="n">
        <f aca="false">IF(AD570=1,(Z570-I$1030)^2,0)</f>
        <v>118.650803297503</v>
      </c>
      <c r="AI570" s="35" t="n">
        <f aca="false">IF(AE570=1,(AA570-J$1030)^2,0)</f>
        <v>0</v>
      </c>
      <c r="AJ570" s="37" t="n">
        <f aca="true">IF(RAND()&lt;$D$6,1,0)</f>
        <v>0</v>
      </c>
      <c r="AK570" s="14" t="n">
        <f aca="false">AK569+IF((AJ570=1),IF((H570=0),1,0),0)</f>
        <v>0</v>
      </c>
      <c r="AL570" s="14" t="n">
        <f aca="false">AL569+IF((AJ570=1),IF((H570=1),1,0),0)</f>
        <v>0</v>
      </c>
      <c r="AM570" s="37" t="n">
        <f aca="false">IF(AK570=0,9999,IF($H570=0,IF($AJ570&lt;1,AM569+1,0),AM569))</f>
        <v>9999</v>
      </c>
      <c r="AN570" s="37" t="n">
        <f aca="false">IF(AL570=0,9999,IF($H570=1,IF($AJ570&lt;1,AN569+1,0),AN569))</f>
        <v>9999</v>
      </c>
      <c r="AO570" s="37" t="n">
        <f aca="false">IF($A570-AM570&gt;0,1/(1+AM570),0)</f>
        <v>0</v>
      </c>
      <c r="AP570" s="37" t="n">
        <f aca="false">IF($A570-AN570&gt;0,1/(1+AN570),0)</f>
        <v>0</v>
      </c>
      <c r="AQ570" s="7" t="n">
        <f aca="false">IF(AK570=0,0,MAX(MIN(1,AO570^Power),0))</f>
        <v>0</v>
      </c>
      <c r="AR570" s="7" t="n">
        <f aca="false">IF(AL570=0,0,MAX(MIN(1,AP570^Power),0))</f>
        <v>0</v>
      </c>
      <c r="AS570" s="7" t="n">
        <f aca="false">IF($AJ570=1,IF($H570=0,K570,AS569),AS569)</f>
        <v>0</v>
      </c>
      <c r="AT570" s="7" t="n">
        <f aca="false">IF($AJ570=1,IF($H570=1,N570,AT569),AT569)</f>
        <v>0</v>
      </c>
    </row>
    <row r="571" customFormat="false" ht="13" hidden="false" customHeight="false" outlineLevel="0" collapsed="false">
      <c r="A571" s="16" t="n">
        <v>554</v>
      </c>
      <c r="B571" s="37" t="n">
        <f aca="true">IF(RAND()&lt;$D$8,1,0)</f>
        <v>0</v>
      </c>
      <c r="C571" s="20" t="n">
        <f aca="true">-LN(RAND())/$D$2</f>
        <v>0.555733170876067</v>
      </c>
      <c r="D571" s="38" t="n">
        <f aca="false">D570+C571</f>
        <v>585.358291847595</v>
      </c>
      <c r="E571" s="39" t="n">
        <f aca="false">MAX($E$3,AS570)</f>
        <v>0</v>
      </c>
      <c r="F571" s="39" t="n">
        <f aca="false">MAX($E$3,AT570)</f>
        <v>0</v>
      </c>
      <c r="G571" s="40" t="n">
        <v>0.5</v>
      </c>
      <c r="H571" s="38" t="n">
        <f aca="true">IF((B571=1),(IF((F571&lt;E571),1,(IF((F571=E571),(IF(RAND()&lt;G571,1,0)),0)))),(IF((RAND()&lt;G571),1,0)))</f>
        <v>1</v>
      </c>
      <c r="I571" s="38" t="n">
        <f aca="true">IF((H571=1),0,$D$3+$D$5*(RAND()-0.5))</f>
        <v>0</v>
      </c>
      <c r="J571" s="38" t="n">
        <f aca="false">I571+MAX(D571,J570)</f>
        <v>593.859631293112</v>
      </c>
      <c r="K571" s="38" t="n">
        <f aca="false">IF((H571=0),J571-D571,0)</f>
        <v>0</v>
      </c>
      <c r="L571" s="38" t="n">
        <f aca="true">IF(($H571=0),0,$D$4+$D$5*(RAND()-0.5))</f>
        <v>2.14875041949109</v>
      </c>
      <c r="M571" s="38" t="n">
        <f aca="false">L571+MAX(D571,M570)</f>
        <v>626.218838840536</v>
      </c>
      <c r="N571" s="38" t="n">
        <f aca="false">IF((H571=1),M571-D571,0)</f>
        <v>40.8605469929411</v>
      </c>
      <c r="O571" s="16" t="n">
        <v>554</v>
      </c>
      <c r="P571" s="41" t="n">
        <f aca="false">IF((Arterial=0),P570+1,P570)</f>
        <v>255</v>
      </c>
      <c r="Q571" s="41" t="n">
        <f aca="false">IF((Arterial=1),Q570+1,Q570)</f>
        <v>299</v>
      </c>
      <c r="R571" s="42" t="n">
        <f aca="false">IF((RESET=1),0,R571+K571)</f>
        <v>1001.42808432267</v>
      </c>
      <c r="S571" s="14" t="e">
        <f aca="false">IF(RESET=1,0,S571+N571)</f>
        <v>#N/A</v>
      </c>
      <c r="T571" s="2" t="n">
        <f aca="false">IF(RESET=1,0,T571+IF(H571=0,1,0))</f>
        <v>49</v>
      </c>
      <c r="U571" s="2" t="e">
        <f aca="false">IF(RESET=1,0,U571+H571)</f>
        <v>#N/A</v>
      </c>
      <c r="V571" s="14" t="n">
        <f aca="false">R571/(T571+0.00001)</f>
        <v>20.4373036724414</v>
      </c>
      <c r="W571" s="14" t="e">
        <f aca="false">S571/(U571+0.0001)</f>
        <v>#N/A</v>
      </c>
      <c r="X571" s="39" t="n">
        <f aca="false">IF(Informed=1,K571,0)</f>
        <v>0</v>
      </c>
      <c r="Y571" s="39" t="n">
        <f aca="false">IF(Informed=0,K571,0)</f>
        <v>0</v>
      </c>
      <c r="Z571" s="39" t="n">
        <f aca="false">IF(Informed=1,N571,0)</f>
        <v>0</v>
      </c>
      <c r="AA571" s="39" t="n">
        <f aca="false">IF(Informed=0,N571,0)</f>
        <v>40.8605469929411</v>
      </c>
      <c r="AB571" s="43" t="n">
        <f aca="false">IF(Arterial=0,IF(Informed=1,1,0),0)</f>
        <v>0</v>
      </c>
      <c r="AC571" s="43" t="n">
        <f aca="false">IF(Arterial=0,IF(Informed=0,1,0),0)</f>
        <v>0</v>
      </c>
      <c r="AD571" s="43" t="n">
        <f aca="false">IF(Arterial=1,IF(Informed=1,1,0),0)</f>
        <v>0</v>
      </c>
      <c r="AE571" s="43" t="n">
        <f aca="false">IF(Arterial=1,IF(Informed=0,1,0),0)</f>
        <v>1</v>
      </c>
      <c r="AF571" s="35" t="n">
        <f aca="false">IF(AB571=1,(X571-G$1030)^2,0)</f>
        <v>0</v>
      </c>
      <c r="AG571" s="35" t="n">
        <f aca="false">IF(AC571=1,(Y571-H$1030)^2,0)</f>
        <v>0</v>
      </c>
      <c r="AH571" s="35" t="n">
        <f aca="false">IF(AD571=1,(Z571-I$1030)^2,0)</f>
        <v>0</v>
      </c>
      <c r="AI571" s="35" t="n">
        <f aca="false">IF(AE571=1,(AA571-J$1030)^2,0)</f>
        <v>127.60576115956</v>
      </c>
      <c r="AJ571" s="37" t="n">
        <f aca="true">IF(RAND()&lt;$D$6,1,0)</f>
        <v>0</v>
      </c>
      <c r="AK571" s="14" t="n">
        <f aca="false">AK570+IF((AJ571=1),IF((H571=0),1,0),0)</f>
        <v>0</v>
      </c>
      <c r="AL571" s="14" t="n">
        <f aca="false">AL570+IF((AJ571=1),IF((H571=1),1,0),0)</f>
        <v>0</v>
      </c>
      <c r="AM571" s="37" t="n">
        <f aca="false">IF(AK571=0,9999,IF($H571=0,IF($AJ571&lt;1,AM570+1,0),AM570))</f>
        <v>9999</v>
      </c>
      <c r="AN571" s="37" t="n">
        <f aca="false">IF(AL571=0,9999,IF($H571=1,IF($AJ571&lt;1,AN570+1,0),AN570))</f>
        <v>9999</v>
      </c>
      <c r="AO571" s="37" t="n">
        <f aca="false">IF($A571-AM571&gt;0,1/(1+AM571),0)</f>
        <v>0</v>
      </c>
      <c r="AP571" s="37" t="n">
        <f aca="false">IF($A571-AN571&gt;0,1/(1+AN571),0)</f>
        <v>0</v>
      </c>
      <c r="AQ571" s="7" t="n">
        <f aca="false">IF(AK571=0,0,MAX(MIN(1,AO571^Power),0))</f>
        <v>0</v>
      </c>
      <c r="AR571" s="7" t="n">
        <f aca="false">IF(AL571=0,0,MAX(MIN(1,AP571^Power),0))</f>
        <v>0</v>
      </c>
      <c r="AS571" s="7" t="n">
        <f aca="false">IF($AJ571=1,IF($H571=0,K571,AS570),AS570)</f>
        <v>0</v>
      </c>
      <c r="AT571" s="7" t="n">
        <f aca="false">IF($AJ571=1,IF($H571=1,N571,AT570),AT570)</f>
        <v>0</v>
      </c>
    </row>
    <row r="572" customFormat="false" ht="13" hidden="false" customHeight="false" outlineLevel="0" collapsed="false">
      <c r="A572" s="16" t="n">
        <v>555</v>
      </c>
      <c r="B572" s="37" t="n">
        <f aca="true">IF(RAND()&lt;$D$8,1,0)</f>
        <v>1</v>
      </c>
      <c r="C572" s="20" t="n">
        <f aca="true">-LN(RAND())/$D$2</f>
        <v>0.570367049509189</v>
      </c>
      <c r="D572" s="38" t="n">
        <f aca="false">D571+C572</f>
        <v>585.928658897105</v>
      </c>
      <c r="E572" s="39" t="n">
        <f aca="false">MAX($E$3,AS571)</f>
        <v>0</v>
      </c>
      <c r="F572" s="39" t="n">
        <f aca="false">MAX($E$3,AT571)</f>
        <v>0</v>
      </c>
      <c r="G572" s="40" t="n">
        <v>0.5</v>
      </c>
      <c r="H572" s="38" t="n">
        <f aca="true">IF((B572=1),(IF((F572&lt;E572),1,(IF((F572=E572),(IF(RAND()&lt;G572,1,0)),0)))),(IF((RAND()&lt;G572),1,0)))</f>
        <v>1</v>
      </c>
      <c r="I572" s="38" t="n">
        <f aca="true">IF((H572=1),0,$D$3+$D$5*(RAND()-0.5))</f>
        <v>0</v>
      </c>
      <c r="J572" s="38" t="n">
        <f aca="false">I572+MAX(D572,J571)</f>
        <v>593.859631293112</v>
      </c>
      <c r="K572" s="38" t="n">
        <f aca="false">IF((H572=0),J572-D572,0)</f>
        <v>0</v>
      </c>
      <c r="L572" s="38" t="n">
        <f aca="true">IF(($H572=0),0,$D$4+$D$5*(RAND()-0.5))</f>
        <v>2.09094288239205</v>
      </c>
      <c r="M572" s="38" t="n">
        <f aca="false">L572+MAX(D572,M571)</f>
        <v>628.309781722928</v>
      </c>
      <c r="N572" s="38" t="n">
        <f aca="false">IF((H572=1),M572-D572,0)</f>
        <v>42.3811228258239</v>
      </c>
      <c r="O572" s="16" t="n">
        <v>555</v>
      </c>
      <c r="P572" s="41" t="n">
        <f aca="false">IF((Arterial=0),P571+1,P571)</f>
        <v>255</v>
      </c>
      <c r="Q572" s="41" t="n">
        <f aca="false">IF((Arterial=1),Q571+1,Q571)</f>
        <v>300</v>
      </c>
      <c r="R572" s="42" t="n">
        <f aca="false">IF((RESET=1),0,R572+K572)</f>
        <v>740.104707215921</v>
      </c>
      <c r="S572" s="14" t="e">
        <f aca="false">IF(RESET=1,0,S572+N572)</f>
        <v>#N/A</v>
      </c>
      <c r="T572" s="2" t="n">
        <f aca="false">IF(RESET=1,0,T572+IF(H572=0,1,0))</f>
        <v>40</v>
      </c>
      <c r="U572" s="2" t="e">
        <f aca="false">IF(RESET=1,0,U572+H572)</f>
        <v>#N/A</v>
      </c>
      <c r="V572" s="14" t="n">
        <f aca="false">R572/(T572+0.00001)</f>
        <v>18.5026130547448</v>
      </c>
      <c r="W572" s="14" t="e">
        <f aca="false">S572/(U572+0.0001)</f>
        <v>#N/A</v>
      </c>
      <c r="X572" s="39" t="n">
        <f aca="false">IF(Informed=1,K572,0)</f>
        <v>0</v>
      </c>
      <c r="Y572" s="39" t="n">
        <f aca="false">IF(Informed=0,K572,0)</f>
        <v>0</v>
      </c>
      <c r="Z572" s="39" t="n">
        <f aca="false">IF(Informed=1,N572,0)</f>
        <v>42.3811228258239</v>
      </c>
      <c r="AA572" s="39" t="n">
        <f aca="false">IF(Informed=0,N572,0)</f>
        <v>0</v>
      </c>
      <c r="AB572" s="43" t="n">
        <f aca="false">IF(Arterial=0,IF(Informed=1,1,0),0)</f>
        <v>0</v>
      </c>
      <c r="AC572" s="43" t="n">
        <f aca="false">IF(Arterial=0,IF(Informed=0,1,0),0)</f>
        <v>0</v>
      </c>
      <c r="AD572" s="43" t="n">
        <f aca="false">IF(Arterial=1,IF(Informed=1,1,0),0)</f>
        <v>1</v>
      </c>
      <c r="AE572" s="43" t="n">
        <f aca="false">IF(Arterial=1,IF(Informed=0,1,0),0)</f>
        <v>0</v>
      </c>
      <c r="AF572" s="35" t="n">
        <f aca="false">IF(AB572=1,(X572-G$1030)^2,0)</f>
        <v>0</v>
      </c>
      <c r="AG572" s="35" t="n">
        <f aca="false">IF(AC572=1,(Y572-H$1030)^2,0)</f>
        <v>0</v>
      </c>
      <c r="AH572" s="35" t="n">
        <f aca="false">IF(AD572=1,(Z572-I$1030)^2,0)</f>
        <v>196.176104451815</v>
      </c>
      <c r="AI572" s="35" t="n">
        <f aca="false">IF(AE572=1,(AA572-J$1030)^2,0)</f>
        <v>0</v>
      </c>
      <c r="AJ572" s="37" t="n">
        <f aca="true">IF(RAND()&lt;$D$6,1,0)</f>
        <v>0</v>
      </c>
      <c r="AK572" s="14" t="n">
        <f aca="false">AK571+IF((AJ572=1),IF((H572=0),1,0),0)</f>
        <v>0</v>
      </c>
      <c r="AL572" s="14" t="n">
        <f aca="false">AL571+IF((AJ572=1),IF((H572=1),1,0),0)</f>
        <v>0</v>
      </c>
      <c r="AM572" s="37" t="n">
        <f aca="false">IF(AK572=0,9999,IF($H572=0,IF($AJ572&lt;1,AM571+1,0),AM571))</f>
        <v>9999</v>
      </c>
      <c r="AN572" s="37" t="n">
        <f aca="false">IF(AL572=0,9999,IF($H572=1,IF($AJ572&lt;1,AN571+1,0),AN571))</f>
        <v>9999</v>
      </c>
      <c r="AO572" s="37" t="n">
        <f aca="false">IF($A572-AM572&gt;0,1/(1+AM572),0)</f>
        <v>0</v>
      </c>
      <c r="AP572" s="37" t="n">
        <f aca="false">IF($A572-AN572&gt;0,1/(1+AN572),0)</f>
        <v>0</v>
      </c>
      <c r="AQ572" s="7" t="n">
        <f aca="false">IF(AK572=0,0,MAX(MIN(1,AO572^Power),0))</f>
        <v>0</v>
      </c>
      <c r="AR572" s="7" t="n">
        <f aca="false">IF(AL572=0,0,MAX(MIN(1,AP572^Power),0))</f>
        <v>0</v>
      </c>
      <c r="AS572" s="7" t="n">
        <f aca="false">IF($AJ572=1,IF($H572=0,K572,AS571),AS571)</f>
        <v>0</v>
      </c>
      <c r="AT572" s="7" t="n">
        <f aca="false">IF($AJ572=1,IF($H572=1,N572,AT571),AT571)</f>
        <v>0</v>
      </c>
    </row>
    <row r="573" customFormat="false" ht="13" hidden="false" customHeight="false" outlineLevel="0" collapsed="false">
      <c r="A573" s="16" t="n">
        <v>556</v>
      </c>
      <c r="B573" s="37" t="n">
        <f aca="true">IF(RAND()&lt;$D$8,1,0)</f>
        <v>1</v>
      </c>
      <c r="C573" s="20" t="n">
        <f aca="true">-LN(RAND())/$D$2</f>
        <v>1.12495312123487</v>
      </c>
      <c r="D573" s="38" t="n">
        <f aca="false">D572+C573</f>
        <v>587.053612018339</v>
      </c>
      <c r="E573" s="39" t="n">
        <f aca="false">MAX($E$3,AS572)</f>
        <v>0</v>
      </c>
      <c r="F573" s="39" t="n">
        <f aca="false">MAX($E$3,AT572)</f>
        <v>0</v>
      </c>
      <c r="G573" s="40" t="n">
        <v>0.5</v>
      </c>
      <c r="H573" s="38" t="n">
        <f aca="true">IF((B573=1),(IF((F573&lt;E573),1,(IF((F573=E573),(IF(RAND()&lt;G573,1,0)),0)))),(IF((RAND()&lt;G573),1,0)))</f>
        <v>1</v>
      </c>
      <c r="I573" s="38" t="n">
        <f aca="true">IF((H573=1),0,$D$3+$D$5*(RAND()-0.5))</f>
        <v>0</v>
      </c>
      <c r="J573" s="38" t="n">
        <f aca="false">I573+MAX(D573,J572)</f>
        <v>593.859631293112</v>
      </c>
      <c r="K573" s="38" t="n">
        <f aca="false">IF((H573=0),J573-D573,0)</f>
        <v>0</v>
      </c>
      <c r="L573" s="38" t="n">
        <f aca="true">IF(($H573=0),0,$D$4+$D$5*(RAND()-0.5))</f>
        <v>1.78795447481869</v>
      </c>
      <c r="M573" s="38" t="n">
        <f aca="false">L573+MAX(D573,M572)</f>
        <v>630.097736197747</v>
      </c>
      <c r="N573" s="38" t="n">
        <f aca="false">IF((H573=1),M573-D573,0)</f>
        <v>43.0441241794077</v>
      </c>
      <c r="O573" s="16" t="n">
        <v>556</v>
      </c>
      <c r="P573" s="41" t="n">
        <f aca="false">IF((Arterial=0),P572+1,P572)</f>
        <v>255</v>
      </c>
      <c r="Q573" s="41" t="n">
        <f aca="false">IF((Arterial=1),Q572+1,Q572)</f>
        <v>301</v>
      </c>
      <c r="R573" s="42" t="n">
        <f aca="false">IF((RESET=1),0,R573+K573)</f>
        <v>743.682280932381</v>
      </c>
      <c r="S573" s="14" t="e">
        <f aca="false">IF(RESET=1,0,S573+N573)</f>
        <v>#N/A</v>
      </c>
      <c r="T573" s="2" t="n">
        <f aca="false">IF(RESET=1,0,T573+IF(H573=0,1,0))</f>
        <v>40</v>
      </c>
      <c r="U573" s="2" t="e">
        <f aca="false">IF(RESET=1,0,U573+H573)</f>
        <v>#N/A</v>
      </c>
      <c r="V573" s="14" t="n">
        <f aca="false">R573/(T573+0.00001)</f>
        <v>18.5920523752964</v>
      </c>
      <c r="W573" s="14" t="e">
        <f aca="false">S573/(U573+0.0001)</f>
        <v>#N/A</v>
      </c>
      <c r="X573" s="39" t="n">
        <f aca="false">IF(Informed=1,K573,0)</f>
        <v>0</v>
      </c>
      <c r="Y573" s="39" t="n">
        <f aca="false">IF(Informed=0,K573,0)</f>
        <v>0</v>
      </c>
      <c r="Z573" s="39" t="n">
        <f aca="false">IF(Informed=1,N573,0)</f>
        <v>43.0441241794077</v>
      </c>
      <c r="AA573" s="39" t="n">
        <f aca="false">IF(Informed=0,N573,0)</f>
        <v>0</v>
      </c>
      <c r="AB573" s="43" t="n">
        <f aca="false">IF(Arterial=0,IF(Informed=1,1,0),0)</f>
        <v>0</v>
      </c>
      <c r="AC573" s="43" t="n">
        <f aca="false">IF(Arterial=0,IF(Informed=0,1,0),0)</f>
        <v>0</v>
      </c>
      <c r="AD573" s="43" t="n">
        <f aca="false">IF(Arterial=1,IF(Informed=1,1,0),0)</f>
        <v>1</v>
      </c>
      <c r="AE573" s="43" t="n">
        <f aca="false">IF(Arterial=1,IF(Informed=0,1,0),0)</f>
        <v>0</v>
      </c>
      <c r="AF573" s="35" t="n">
        <f aca="false">IF(AB573=1,(X573-G$1030)^2,0)</f>
        <v>0</v>
      </c>
      <c r="AG573" s="35" t="n">
        <f aca="false">IF(AC573=1,(Y573-H$1030)^2,0)</f>
        <v>0</v>
      </c>
      <c r="AH573" s="35" t="n">
        <f aca="false">IF(AD573=1,(Z573-I$1030)^2,0)</f>
        <v>215.18805109525</v>
      </c>
      <c r="AI573" s="35" t="n">
        <f aca="false">IF(AE573=1,(AA573-J$1030)^2,0)</f>
        <v>0</v>
      </c>
      <c r="AJ573" s="37" t="n">
        <f aca="true">IF(RAND()&lt;$D$6,1,0)</f>
        <v>0</v>
      </c>
      <c r="AK573" s="14" t="n">
        <f aca="false">AK572+IF((AJ573=1),IF((H573=0),1,0),0)</f>
        <v>0</v>
      </c>
      <c r="AL573" s="14" t="n">
        <f aca="false">AL572+IF((AJ573=1),IF((H573=1),1,0),0)</f>
        <v>0</v>
      </c>
      <c r="AM573" s="37" t="n">
        <f aca="false">IF(AK573=0,9999,IF($H573=0,IF($AJ573&lt;1,AM572+1,0),AM572))</f>
        <v>9999</v>
      </c>
      <c r="AN573" s="37" t="n">
        <f aca="false">IF(AL573=0,9999,IF($H573=1,IF($AJ573&lt;1,AN572+1,0),AN572))</f>
        <v>9999</v>
      </c>
      <c r="AO573" s="37" t="n">
        <f aca="false">IF($A573-AM573&gt;0,1/(1+AM573),0)</f>
        <v>0</v>
      </c>
      <c r="AP573" s="37" t="n">
        <f aca="false">IF($A573-AN573&gt;0,1/(1+AN573),0)</f>
        <v>0</v>
      </c>
      <c r="AQ573" s="7" t="n">
        <f aca="false">IF(AK573=0,0,MAX(MIN(1,AO573^Power),0))</f>
        <v>0</v>
      </c>
      <c r="AR573" s="7" t="n">
        <f aca="false">IF(AL573=0,0,MAX(MIN(1,AP573^Power),0))</f>
        <v>0</v>
      </c>
      <c r="AS573" s="7" t="n">
        <f aca="false">IF($AJ573=1,IF($H573=0,K573,AS572),AS572)</f>
        <v>0</v>
      </c>
      <c r="AT573" s="7" t="n">
        <f aca="false">IF($AJ573=1,IF($H573=1,N573,AT572),AT572)</f>
        <v>0</v>
      </c>
    </row>
    <row r="574" customFormat="false" ht="13" hidden="false" customHeight="false" outlineLevel="0" collapsed="false">
      <c r="A574" s="16" t="n">
        <v>557</v>
      </c>
      <c r="B574" s="37" t="n">
        <f aca="true">IF(RAND()&lt;$D$8,1,0)</f>
        <v>0</v>
      </c>
      <c r="C574" s="20" t="n">
        <f aca="true">-LN(RAND())/$D$2</f>
        <v>0.050631467854868</v>
      </c>
      <c r="D574" s="38" t="n">
        <f aca="false">D573+C574</f>
        <v>587.104243486194</v>
      </c>
      <c r="E574" s="39" t="n">
        <f aca="false">MAX($E$3,AS573)</f>
        <v>0</v>
      </c>
      <c r="F574" s="39" t="n">
        <f aca="false">MAX($E$3,AT573)</f>
        <v>0</v>
      </c>
      <c r="G574" s="40" t="n">
        <v>0.5</v>
      </c>
      <c r="H574" s="38" t="n">
        <f aca="true">IF((B574=1),(IF((F574&lt;E574),1,(IF((F574=E574),(IF(RAND()&lt;G574,1,0)),0)))),(IF((RAND()&lt;G574),1,0)))</f>
        <v>1</v>
      </c>
      <c r="I574" s="38" t="n">
        <f aca="true">IF((H574=1),0,$D$3+$D$5*(RAND()-0.5))</f>
        <v>0</v>
      </c>
      <c r="J574" s="38" t="n">
        <f aca="false">I574+MAX(D574,J573)</f>
        <v>593.859631293112</v>
      </c>
      <c r="K574" s="38" t="n">
        <f aca="false">IF((H574=0),J574-D574,0)</f>
        <v>0</v>
      </c>
      <c r="L574" s="38" t="n">
        <f aca="true">IF(($H574=0),0,$D$4+$D$5*(RAND()-0.5))</f>
        <v>1.92475970490692</v>
      </c>
      <c r="M574" s="38" t="n">
        <f aca="false">L574+MAX(D574,M573)</f>
        <v>632.022495902654</v>
      </c>
      <c r="N574" s="38" t="n">
        <f aca="false">IF((H574=1),M574-D574,0)</f>
        <v>44.9182524164598</v>
      </c>
      <c r="O574" s="16" t="n">
        <v>557</v>
      </c>
      <c r="P574" s="41" t="n">
        <f aca="false">IF((Arterial=0),P573+1,P573)</f>
        <v>255</v>
      </c>
      <c r="Q574" s="41" t="n">
        <f aca="false">IF((Arterial=1),Q573+1,Q573)</f>
        <v>302</v>
      </c>
      <c r="R574" s="42" t="n">
        <f aca="false">IF((RESET=1),0,R574+K574)</f>
        <v>823.898041612607</v>
      </c>
      <c r="S574" s="14" t="e">
        <f aca="false">IF(RESET=1,0,S574+N574)</f>
        <v>#N/A</v>
      </c>
      <c r="T574" s="2" t="n">
        <f aca="false">IF(RESET=1,0,T574+IF(H574=0,1,0))</f>
        <v>41</v>
      </c>
      <c r="U574" s="2" t="e">
        <f aca="false">IF(RESET=1,0,U574+H574)</f>
        <v>#N/A</v>
      </c>
      <c r="V574" s="14" t="n">
        <f aca="false">R574/(T574+0.00001)</f>
        <v>20.0950692844369</v>
      </c>
      <c r="W574" s="14" t="e">
        <f aca="false">S574/(U574+0.0001)</f>
        <v>#N/A</v>
      </c>
      <c r="X574" s="39" t="n">
        <f aca="false">IF(Informed=1,K574,0)</f>
        <v>0</v>
      </c>
      <c r="Y574" s="39" t="n">
        <f aca="false">IF(Informed=0,K574,0)</f>
        <v>0</v>
      </c>
      <c r="Z574" s="39" t="n">
        <f aca="false">IF(Informed=1,N574,0)</f>
        <v>0</v>
      </c>
      <c r="AA574" s="39" t="n">
        <f aca="false">IF(Informed=0,N574,0)</f>
        <v>44.9182524164598</v>
      </c>
      <c r="AB574" s="43" t="n">
        <f aca="false">IF(Arterial=0,IF(Informed=1,1,0),0)</f>
        <v>0</v>
      </c>
      <c r="AC574" s="43" t="n">
        <f aca="false">IF(Arterial=0,IF(Informed=0,1,0),0)</f>
        <v>0</v>
      </c>
      <c r="AD574" s="43" t="n">
        <f aca="false">IF(Arterial=1,IF(Informed=1,1,0),0)</f>
        <v>0</v>
      </c>
      <c r="AE574" s="43" t="n">
        <f aca="false">IF(Arterial=1,IF(Informed=0,1,0),0)</f>
        <v>1</v>
      </c>
      <c r="AF574" s="35" t="n">
        <f aca="false">IF(AB574=1,(X574-G$1030)^2,0)</f>
        <v>0</v>
      </c>
      <c r="AG574" s="35" t="n">
        <f aca="false">IF(AC574=1,(Y574-H$1030)^2,0)</f>
        <v>0</v>
      </c>
      <c r="AH574" s="35" t="n">
        <f aca="false">IF(AD574=1,(Z574-I$1030)^2,0)</f>
        <v>0</v>
      </c>
      <c r="AI574" s="35" t="n">
        <f aca="false">IF(AE574=1,(AA574-J$1030)^2,0)</f>
        <v>235.744622805618</v>
      </c>
      <c r="AJ574" s="37" t="n">
        <f aca="true">IF(RAND()&lt;$D$6,1,0)</f>
        <v>0</v>
      </c>
      <c r="AK574" s="14" t="n">
        <f aca="false">AK573+IF((AJ574=1),IF((H574=0),1,0),0)</f>
        <v>0</v>
      </c>
      <c r="AL574" s="14" t="n">
        <f aca="false">AL573+IF((AJ574=1),IF((H574=1),1,0),0)</f>
        <v>0</v>
      </c>
      <c r="AM574" s="37" t="n">
        <f aca="false">IF(AK574=0,9999,IF($H574=0,IF($AJ574&lt;1,AM573+1,0),AM573))</f>
        <v>9999</v>
      </c>
      <c r="AN574" s="37" t="n">
        <f aca="false">IF(AL574=0,9999,IF($H574=1,IF($AJ574&lt;1,AN573+1,0),AN573))</f>
        <v>9999</v>
      </c>
      <c r="AO574" s="37" t="n">
        <f aca="false">IF($A574-AM574&gt;0,1/(1+AM574),0)</f>
        <v>0</v>
      </c>
      <c r="AP574" s="37" t="n">
        <f aca="false">IF($A574-AN574&gt;0,1/(1+AN574),0)</f>
        <v>0</v>
      </c>
      <c r="AQ574" s="7" t="n">
        <f aca="false">IF(AK574=0,0,MAX(MIN(1,AO574^Power),0))</f>
        <v>0</v>
      </c>
      <c r="AR574" s="7" t="n">
        <f aca="false">IF(AL574=0,0,MAX(MIN(1,AP574^Power),0))</f>
        <v>0</v>
      </c>
      <c r="AS574" s="7" t="n">
        <f aca="false">IF($AJ574=1,IF($H574=0,K574,AS573),AS573)</f>
        <v>0</v>
      </c>
      <c r="AT574" s="7" t="n">
        <f aca="false">IF($AJ574=1,IF($H574=1,N574,AT573),AT573)</f>
        <v>0</v>
      </c>
    </row>
    <row r="575" customFormat="false" ht="13" hidden="false" customHeight="false" outlineLevel="0" collapsed="false">
      <c r="A575" s="16" t="n">
        <v>558</v>
      </c>
      <c r="B575" s="37" t="n">
        <f aca="true">IF(RAND()&lt;$D$8,1,0)</f>
        <v>0</v>
      </c>
      <c r="C575" s="20" t="n">
        <f aca="true">-LN(RAND())/$D$2</f>
        <v>1.6400488429664</v>
      </c>
      <c r="D575" s="38" t="n">
        <f aca="false">D574+C575</f>
        <v>588.744292329161</v>
      </c>
      <c r="E575" s="39" t="n">
        <f aca="false">MAX($E$3,AS574)</f>
        <v>0</v>
      </c>
      <c r="F575" s="39" t="n">
        <f aca="false">MAX($E$3,AT574)</f>
        <v>0</v>
      </c>
      <c r="G575" s="40" t="n">
        <v>0.5</v>
      </c>
      <c r="H575" s="38" t="n">
        <f aca="true">IF((B575=1),(IF((F575&lt;E575),1,(IF((F575=E575),(IF(RAND()&lt;G575,1,0)),0)))),(IF((RAND()&lt;G575),1,0)))</f>
        <v>1</v>
      </c>
      <c r="I575" s="38" t="n">
        <f aca="true">IF((H575=1),0,$D$3+$D$5*(RAND()-0.5))</f>
        <v>0</v>
      </c>
      <c r="J575" s="38" t="n">
        <f aca="false">I575+MAX(D575,J574)</f>
        <v>593.859631293112</v>
      </c>
      <c r="K575" s="38" t="n">
        <f aca="false">IF((H575=0),J575-D575,0)</f>
        <v>0</v>
      </c>
      <c r="L575" s="38" t="n">
        <f aca="true">IF(($H575=0),0,$D$4+$D$5*(RAND()-0.5))</f>
        <v>2.01147805093695</v>
      </c>
      <c r="M575" s="38" t="n">
        <f aca="false">L575+MAX(D575,M574)</f>
        <v>634.033973953591</v>
      </c>
      <c r="N575" s="38" t="n">
        <f aca="false">IF((H575=1),M575-D575,0)</f>
        <v>45.2896816244304</v>
      </c>
      <c r="O575" s="16" t="n">
        <v>558</v>
      </c>
      <c r="P575" s="41" t="n">
        <f aca="false">IF((Arterial=0),P574+1,P574)</f>
        <v>255</v>
      </c>
      <c r="Q575" s="41" t="n">
        <f aca="false">IF((Arterial=1),Q574+1,Q574)</f>
        <v>303</v>
      </c>
      <c r="R575" s="42" t="n">
        <f aca="false">IF((RESET=1),0,R575+K575)</f>
        <v>1095.82829248076</v>
      </c>
      <c r="S575" s="14" t="e">
        <f aca="false">IF(RESET=1,0,S575+N575)</f>
        <v>#N/A</v>
      </c>
      <c r="T575" s="2" t="n">
        <f aca="false">IF(RESET=1,0,T575+IF(H575=0,1,0))</f>
        <v>54</v>
      </c>
      <c r="U575" s="2" t="e">
        <f aca="false">IF(RESET=1,0,U575+H575)</f>
        <v>#N/A</v>
      </c>
      <c r="V575" s="14" t="n">
        <f aca="false">R575/(T575+0.00001)</f>
        <v>20.2931127694377</v>
      </c>
      <c r="W575" s="14" t="e">
        <f aca="false">S575/(U575+0.0001)</f>
        <v>#N/A</v>
      </c>
      <c r="X575" s="39" t="n">
        <f aca="false">IF(Informed=1,K575,0)</f>
        <v>0</v>
      </c>
      <c r="Y575" s="39" t="n">
        <f aca="false">IF(Informed=0,K575,0)</f>
        <v>0</v>
      </c>
      <c r="Z575" s="39" t="n">
        <f aca="false">IF(Informed=1,N575,0)</f>
        <v>0</v>
      </c>
      <c r="AA575" s="39" t="n">
        <f aca="false">IF(Informed=0,N575,0)</f>
        <v>45.2896816244304</v>
      </c>
      <c r="AB575" s="43" t="n">
        <f aca="false">IF(Arterial=0,IF(Informed=1,1,0),0)</f>
        <v>0</v>
      </c>
      <c r="AC575" s="43" t="n">
        <f aca="false">IF(Arterial=0,IF(Informed=0,1,0),0)</f>
        <v>0</v>
      </c>
      <c r="AD575" s="43" t="n">
        <f aca="false">IF(Arterial=1,IF(Informed=1,1,0),0)</f>
        <v>0</v>
      </c>
      <c r="AE575" s="43" t="n">
        <f aca="false">IF(Arterial=1,IF(Informed=0,1,0),0)</f>
        <v>1</v>
      </c>
      <c r="AF575" s="35" t="n">
        <f aca="false">IF(AB575=1,(X575-G$1030)^2,0)</f>
        <v>0</v>
      </c>
      <c r="AG575" s="35" t="n">
        <f aca="false">IF(AC575=1,(Y575-H$1030)^2,0)</f>
        <v>0</v>
      </c>
      <c r="AH575" s="35" t="n">
        <f aca="false">IF(AD575=1,(Z575-I$1030)^2,0)</f>
        <v>0</v>
      </c>
      <c r="AI575" s="35" t="n">
        <f aca="false">IF(AE575=1,(AA575-J$1030)^2,0)</f>
        <v>247.288413811407</v>
      </c>
      <c r="AJ575" s="37" t="n">
        <f aca="true">IF(RAND()&lt;$D$6,1,0)</f>
        <v>0</v>
      </c>
      <c r="AK575" s="14" t="n">
        <f aca="false">AK574+IF((AJ575=1),IF((H575=0),1,0),0)</f>
        <v>0</v>
      </c>
      <c r="AL575" s="14" t="n">
        <f aca="false">AL574+IF((AJ575=1),IF((H575=1),1,0),0)</f>
        <v>0</v>
      </c>
      <c r="AM575" s="37" t="n">
        <f aca="false">IF(AK575=0,9999,IF($H575=0,IF($AJ575&lt;1,AM574+1,0),AM574))</f>
        <v>9999</v>
      </c>
      <c r="AN575" s="37" t="n">
        <f aca="false">IF(AL575=0,9999,IF($H575=1,IF($AJ575&lt;1,AN574+1,0),AN574))</f>
        <v>9999</v>
      </c>
      <c r="AO575" s="37" t="n">
        <f aca="false">IF($A575-AM575&gt;0,1/(1+AM575),0)</f>
        <v>0</v>
      </c>
      <c r="AP575" s="37" t="n">
        <f aca="false">IF($A575-AN575&gt;0,1/(1+AN575),0)</f>
        <v>0</v>
      </c>
      <c r="AQ575" s="7" t="n">
        <f aca="false">IF(AK575=0,0,MAX(MIN(1,AO575^Power),0))</f>
        <v>0</v>
      </c>
      <c r="AR575" s="7" t="n">
        <f aca="false">IF(AL575=0,0,MAX(MIN(1,AP575^Power),0))</f>
        <v>0</v>
      </c>
      <c r="AS575" s="7" t="n">
        <f aca="false">IF($AJ575=1,IF($H575=0,K575,AS574),AS574)</f>
        <v>0</v>
      </c>
      <c r="AT575" s="7" t="n">
        <f aca="false">IF($AJ575=1,IF($H575=1,N575,AT574),AT574)</f>
        <v>0</v>
      </c>
    </row>
    <row r="576" customFormat="false" ht="13" hidden="false" customHeight="false" outlineLevel="0" collapsed="false">
      <c r="A576" s="16" t="n">
        <v>559</v>
      </c>
      <c r="B576" s="37" t="n">
        <f aca="true">IF(RAND()&lt;$D$8,1,0)</f>
        <v>0</v>
      </c>
      <c r="C576" s="20" t="n">
        <f aca="true">-LN(RAND())/$D$2</f>
        <v>0.750924510428554</v>
      </c>
      <c r="D576" s="38" t="n">
        <f aca="false">D575+C576</f>
        <v>589.495216839589</v>
      </c>
      <c r="E576" s="39" t="n">
        <f aca="false">MAX($E$3,AS575)</f>
        <v>0</v>
      </c>
      <c r="F576" s="39" t="n">
        <f aca="false">MAX($E$3,AT575)</f>
        <v>0</v>
      </c>
      <c r="G576" s="40" t="n">
        <v>0.5</v>
      </c>
      <c r="H576" s="38" t="n">
        <f aca="true">IF((B576=1),(IF((F576&lt;E576),1,(IF((F576=E576),(IF(RAND()&lt;G576,1,0)),0)))),(IF((RAND()&lt;G576),1,0)))</f>
        <v>1</v>
      </c>
      <c r="I576" s="38" t="n">
        <f aca="true">IF((H576=1),0,$D$3+$D$5*(RAND()-0.5))</f>
        <v>0</v>
      </c>
      <c r="J576" s="38" t="n">
        <f aca="false">I576+MAX(D576,J575)</f>
        <v>593.859631293112</v>
      </c>
      <c r="K576" s="38" t="n">
        <f aca="false">IF((H576=0),J576-D576,0)</f>
        <v>0</v>
      </c>
      <c r="L576" s="38" t="n">
        <f aca="true">IF(($H576=0),0,$D$4+$D$5*(RAND()-0.5))</f>
        <v>2.18789368423921</v>
      </c>
      <c r="M576" s="38" t="n">
        <f aca="false">L576+MAX(D576,M575)</f>
        <v>636.22186763783</v>
      </c>
      <c r="N576" s="38" t="n">
        <f aca="false">IF((H576=1),M576-D576,0)</f>
        <v>46.7266507982411</v>
      </c>
      <c r="O576" s="16" t="n">
        <v>559</v>
      </c>
      <c r="P576" s="41" t="n">
        <f aca="false">IF((Arterial=0),P575+1,P575)</f>
        <v>255</v>
      </c>
      <c r="Q576" s="41" t="n">
        <f aca="false">IF((Arterial=1),Q575+1,Q575)</f>
        <v>304</v>
      </c>
      <c r="R576" s="42" t="n">
        <f aca="false">IF((RESET=1),0,R576+K576)</f>
        <v>854.770248820689</v>
      </c>
      <c r="S576" s="14" t="e">
        <f aca="false">IF(RESET=1,0,S576+N576)</f>
        <v>#N/A</v>
      </c>
      <c r="T576" s="2" t="n">
        <f aca="false">IF(RESET=1,0,T576+IF(H576=0,1,0))</f>
        <v>42</v>
      </c>
      <c r="U576" s="2" t="e">
        <f aca="false">IF(RESET=1,0,U576+H576)</f>
        <v>#N/A</v>
      </c>
      <c r="V576" s="14" t="n">
        <f aca="false">R576/(T576+0.00001)</f>
        <v>20.3516677453336</v>
      </c>
      <c r="W576" s="14" t="e">
        <f aca="false">S576/(U576+0.0001)</f>
        <v>#N/A</v>
      </c>
      <c r="X576" s="39" t="n">
        <f aca="false">IF(Informed=1,K576,0)</f>
        <v>0</v>
      </c>
      <c r="Y576" s="39" t="n">
        <f aca="false">IF(Informed=0,K576,0)</f>
        <v>0</v>
      </c>
      <c r="Z576" s="39" t="n">
        <f aca="false">IF(Informed=1,N576,0)</f>
        <v>0</v>
      </c>
      <c r="AA576" s="39" t="n">
        <f aca="false">IF(Informed=0,N576,0)</f>
        <v>46.7266507982411</v>
      </c>
      <c r="AB576" s="43" t="n">
        <f aca="false">IF(Arterial=0,IF(Informed=1,1,0),0)</f>
        <v>0</v>
      </c>
      <c r="AC576" s="43" t="n">
        <f aca="false">IF(Arterial=0,IF(Informed=0,1,0),0)</f>
        <v>0</v>
      </c>
      <c r="AD576" s="43" t="n">
        <f aca="false">IF(Arterial=1,IF(Informed=1,1,0),0)</f>
        <v>0</v>
      </c>
      <c r="AE576" s="43" t="n">
        <f aca="false">IF(Arterial=1,IF(Informed=0,1,0),0)</f>
        <v>1</v>
      </c>
      <c r="AF576" s="35" t="n">
        <f aca="false">IF(AB576=1,(X576-G$1030)^2,0)</f>
        <v>0</v>
      </c>
      <c r="AG576" s="35" t="n">
        <f aca="false">IF(AC576=1,(Y576-H$1030)^2,0)</f>
        <v>0</v>
      </c>
      <c r="AH576" s="35" t="n">
        <f aca="false">IF(AD576=1,(Z576-I$1030)^2,0)</f>
        <v>0</v>
      </c>
      <c r="AI576" s="35" t="n">
        <f aca="false">IF(AE576=1,(AA576-J$1030)^2,0)</f>
        <v>294.547143375898</v>
      </c>
      <c r="AJ576" s="37" t="n">
        <f aca="true">IF(RAND()&lt;$D$6,1,0)</f>
        <v>0</v>
      </c>
      <c r="AK576" s="14" t="n">
        <f aca="false">AK575+IF((AJ576=1),IF((H576=0),1,0),0)</f>
        <v>0</v>
      </c>
      <c r="AL576" s="14" t="n">
        <f aca="false">AL575+IF((AJ576=1),IF((H576=1),1,0),0)</f>
        <v>0</v>
      </c>
      <c r="AM576" s="37" t="n">
        <f aca="false">IF(AK576=0,9999,IF($H576=0,IF($AJ576&lt;1,AM575+1,0),AM575))</f>
        <v>9999</v>
      </c>
      <c r="AN576" s="37" t="n">
        <f aca="false">IF(AL576=0,9999,IF($H576=1,IF($AJ576&lt;1,AN575+1,0),AN575))</f>
        <v>9999</v>
      </c>
      <c r="AO576" s="37" t="n">
        <f aca="false">IF($A576-AM576&gt;0,1/(1+AM576),0)</f>
        <v>0</v>
      </c>
      <c r="AP576" s="37" t="n">
        <f aca="false">IF($A576-AN576&gt;0,1/(1+AN576),0)</f>
        <v>0</v>
      </c>
      <c r="AQ576" s="7" t="n">
        <f aca="false">IF(AK576=0,0,MAX(MIN(1,AO576^Power),0))</f>
        <v>0</v>
      </c>
      <c r="AR576" s="7" t="n">
        <f aca="false">IF(AL576=0,0,MAX(MIN(1,AP576^Power),0))</f>
        <v>0</v>
      </c>
      <c r="AS576" s="7" t="n">
        <f aca="false">IF($AJ576=1,IF($H576=0,K576,AS575),AS575)</f>
        <v>0</v>
      </c>
      <c r="AT576" s="7" t="n">
        <f aca="false">IF($AJ576=1,IF($H576=1,N576,AT575),AT575)</f>
        <v>0</v>
      </c>
    </row>
    <row r="577" customFormat="false" ht="13" hidden="false" customHeight="false" outlineLevel="0" collapsed="false">
      <c r="A577" s="16" t="n">
        <v>560</v>
      </c>
      <c r="B577" s="37" t="n">
        <f aca="true">IF(RAND()&lt;$D$8,1,0)</f>
        <v>0</v>
      </c>
      <c r="C577" s="20" t="n">
        <f aca="true">-LN(RAND())/$D$2</f>
        <v>0.144583308574889</v>
      </c>
      <c r="D577" s="38" t="n">
        <f aca="false">D576+C577</f>
        <v>589.639800148164</v>
      </c>
      <c r="E577" s="39" t="n">
        <f aca="false">MAX($E$3,AS576)</f>
        <v>0</v>
      </c>
      <c r="F577" s="39" t="n">
        <f aca="false">MAX($E$3,AT576)</f>
        <v>0</v>
      </c>
      <c r="G577" s="40" t="n">
        <v>0.5</v>
      </c>
      <c r="H577" s="38" t="n">
        <f aca="true">IF((B577=1),(IF((F577&lt;E577),1,(IF((F577=E577),(IF(RAND()&lt;G577,1,0)),0)))),(IF((RAND()&lt;G577),1,0)))</f>
        <v>0</v>
      </c>
      <c r="I577" s="38" t="n">
        <f aca="true">IF((H577=1),0,$D$3+$D$5*(RAND()-0.5))</f>
        <v>2.11393779180925</v>
      </c>
      <c r="J577" s="38" t="n">
        <f aca="false">I577+MAX(D577,J576)</f>
        <v>595.973569084921</v>
      </c>
      <c r="K577" s="38" t="n">
        <f aca="false">IF((H577=0),J577-D577,0)</f>
        <v>6.333768936757</v>
      </c>
      <c r="L577" s="38" t="n">
        <f aca="true">IF(($H577=0),0,$D$4+$D$5*(RAND()-0.5))</f>
        <v>0</v>
      </c>
      <c r="M577" s="38" t="n">
        <f aca="false">L577+MAX(D577,M576)</f>
        <v>636.22186763783</v>
      </c>
      <c r="N577" s="38" t="n">
        <f aca="false">IF((H577=1),M577-D577,0)</f>
        <v>0</v>
      </c>
      <c r="O577" s="16" t="n">
        <v>560</v>
      </c>
      <c r="P577" s="41" t="n">
        <f aca="false">IF((Arterial=0),P576+1,P576)</f>
        <v>256</v>
      </c>
      <c r="Q577" s="41" t="n">
        <f aca="false">IF((Arterial=1),Q576+1,Q576)</f>
        <v>304</v>
      </c>
      <c r="R577" s="42" t="e">
        <f aca="false">IF((RESET=1),0,R577+K577)</f>
        <v>#N/A</v>
      </c>
      <c r="S577" s="14" t="n">
        <f aca="false">IF(RESET=1,0,S577+N577)</f>
        <v>562.089077759383</v>
      </c>
      <c r="T577" s="2" t="e">
        <f aca="false">IF(RESET=1,0,T577+IF(H577=0,1,0))</f>
        <v>#N/A</v>
      </c>
      <c r="U577" s="2" t="n">
        <f aca="false">IF(RESET=1,0,U577+H577)</f>
        <v>33</v>
      </c>
      <c r="V577" s="14" t="e">
        <f aca="false">R577/(T577+0.00001)</f>
        <v>#N/A</v>
      </c>
      <c r="W577" s="14" t="n">
        <f aca="false">S577/(U577+0.0001)</f>
        <v>17.0329507413427</v>
      </c>
      <c r="X577" s="39" t="n">
        <f aca="false">IF(Informed=1,K577,0)</f>
        <v>0</v>
      </c>
      <c r="Y577" s="39" t="n">
        <f aca="false">IF(Informed=0,K577,0)</f>
        <v>6.333768936757</v>
      </c>
      <c r="Z577" s="39" t="n">
        <f aca="false">IF(Informed=1,N577,0)</f>
        <v>0</v>
      </c>
      <c r="AA577" s="39" t="n">
        <f aca="false">IF(Informed=0,N577,0)</f>
        <v>0</v>
      </c>
      <c r="AB577" s="43" t="n">
        <f aca="false">IF(Arterial=0,IF(Informed=1,1,0),0)</f>
        <v>0</v>
      </c>
      <c r="AC577" s="43" t="n">
        <f aca="false">IF(Arterial=0,IF(Informed=0,1,0),0)</f>
        <v>1</v>
      </c>
      <c r="AD577" s="43" t="n">
        <f aca="false">IF(Arterial=1,IF(Informed=1,1,0),0)</f>
        <v>0</v>
      </c>
      <c r="AE577" s="43" t="n">
        <f aca="false">IF(Arterial=1,IF(Informed=0,1,0),0)</f>
        <v>0</v>
      </c>
      <c r="AF577" s="35" t="n">
        <f aca="false">IF(AB577=1,(X577-G$1030)^2,0)</f>
        <v>0</v>
      </c>
      <c r="AG577" s="35" t="n">
        <f aca="false">IF(AC577=1,(Y577-H$1030)^2,0)</f>
        <v>21.0682497624454</v>
      </c>
      <c r="AH577" s="35" t="n">
        <f aca="false">IF(AD577=1,(Z577-I$1030)^2,0)</f>
        <v>0</v>
      </c>
      <c r="AI577" s="35" t="n">
        <f aca="false">IF(AE577=1,(AA577-J$1030)^2,0)</f>
        <v>0</v>
      </c>
      <c r="AJ577" s="37" t="n">
        <f aca="true">IF(RAND()&lt;$D$6,1,0)</f>
        <v>0</v>
      </c>
      <c r="AK577" s="14" t="n">
        <f aca="false">AK576+IF((AJ577=1),IF((H577=0),1,0),0)</f>
        <v>0</v>
      </c>
      <c r="AL577" s="14" t="n">
        <f aca="false">AL576+IF((AJ577=1),IF((H577=1),1,0),0)</f>
        <v>0</v>
      </c>
      <c r="AM577" s="37" t="n">
        <f aca="false">IF(AK577=0,9999,IF($H577=0,IF($AJ577&lt;1,AM576+1,0),AM576))</f>
        <v>9999</v>
      </c>
      <c r="AN577" s="37" t="n">
        <f aca="false">IF(AL577=0,9999,IF($H577=1,IF($AJ577&lt;1,AN576+1,0),AN576))</f>
        <v>9999</v>
      </c>
      <c r="AO577" s="37" t="n">
        <f aca="false">IF($A577-AM577&gt;0,1/(1+AM577),0)</f>
        <v>0</v>
      </c>
      <c r="AP577" s="37" t="n">
        <f aca="false">IF($A577-AN577&gt;0,1/(1+AN577),0)</f>
        <v>0</v>
      </c>
      <c r="AQ577" s="7" t="n">
        <f aca="false">IF(AK577=0,0,MAX(MIN(1,AO577^Power),0))</f>
        <v>0</v>
      </c>
      <c r="AR577" s="7" t="n">
        <f aca="false">IF(AL577=0,0,MAX(MIN(1,AP577^Power),0))</f>
        <v>0</v>
      </c>
      <c r="AS577" s="7" t="n">
        <f aca="false">IF($AJ577=1,IF($H577=0,K577,AS576),AS576)</f>
        <v>0</v>
      </c>
      <c r="AT577" s="7" t="n">
        <f aca="false">IF($AJ577=1,IF($H577=1,N577,AT576),AT576)</f>
        <v>0</v>
      </c>
    </row>
    <row r="578" customFormat="false" ht="13" hidden="false" customHeight="false" outlineLevel="0" collapsed="false">
      <c r="A578" s="16" t="n">
        <v>561</v>
      </c>
      <c r="B578" s="37" t="n">
        <f aca="true">IF(RAND()&lt;$D$8,1,0)</f>
        <v>1</v>
      </c>
      <c r="C578" s="20" t="n">
        <f aca="true">-LN(RAND())/$D$2</f>
        <v>2.21670554697558</v>
      </c>
      <c r="D578" s="38" t="n">
        <f aca="false">D577+C578</f>
        <v>591.85650569514</v>
      </c>
      <c r="E578" s="39" t="n">
        <f aca="false">MAX($E$3,AS577)</f>
        <v>0</v>
      </c>
      <c r="F578" s="39" t="n">
        <f aca="false">MAX($E$3,AT577)</f>
        <v>0</v>
      </c>
      <c r="G578" s="40" t="n">
        <v>0.5</v>
      </c>
      <c r="H578" s="38" t="n">
        <f aca="true">IF((B578=1),(IF((F578&lt;E578),1,(IF((F578=E578),(IF(RAND()&lt;G578,1,0)),0)))),(IF((RAND()&lt;G578),1,0)))</f>
        <v>0</v>
      </c>
      <c r="I578" s="38" t="n">
        <f aca="true">IF((H578=1),0,$D$3+$D$5*(RAND()-0.5))</f>
        <v>1.78913836773514</v>
      </c>
      <c r="J578" s="38" t="n">
        <f aca="false">I578+MAX(D578,J577)</f>
        <v>597.762707452656</v>
      </c>
      <c r="K578" s="38" t="n">
        <f aca="false">IF((H578=0),J578-D578,0)</f>
        <v>5.90620175751656</v>
      </c>
      <c r="L578" s="38" t="n">
        <f aca="true">IF(($H578=0),0,$D$4+$D$5*(RAND()-0.5))</f>
        <v>0</v>
      </c>
      <c r="M578" s="38" t="n">
        <f aca="false">L578+MAX(D578,M577)</f>
        <v>636.22186763783</v>
      </c>
      <c r="N578" s="38" t="n">
        <f aca="false">IF((H578=1),M578-D578,0)</f>
        <v>0</v>
      </c>
      <c r="O578" s="16" t="n">
        <v>561</v>
      </c>
      <c r="P578" s="41" t="n">
        <f aca="false">IF((Arterial=0),P577+1,P577)</f>
        <v>257</v>
      </c>
      <c r="Q578" s="41" t="n">
        <f aca="false">IF((Arterial=1),Q577+1,Q577)</f>
        <v>304</v>
      </c>
      <c r="R578" s="42" t="e">
        <f aca="false">IF((RESET=1),0,R578+K578)</f>
        <v>#N/A</v>
      </c>
      <c r="S578" s="14" t="n">
        <f aca="false">IF(RESET=1,0,S578+N578)</f>
        <v>708.817432849714</v>
      </c>
      <c r="T578" s="2" t="e">
        <f aca="false">IF(RESET=1,0,T578+IF(H578=0,1,0))</f>
        <v>#N/A</v>
      </c>
      <c r="U578" s="2" t="n">
        <f aca="false">IF(RESET=1,0,U578+H578)</f>
        <v>39</v>
      </c>
      <c r="V578" s="14" t="e">
        <f aca="false">R578/(T578+0.00001)</f>
        <v>#N/A</v>
      </c>
      <c r="W578" s="14" t="n">
        <f aca="false">S578/(U578+0.0001)</f>
        <v>18.1747593685584</v>
      </c>
      <c r="X578" s="39" t="n">
        <f aca="false">IF(Informed=1,K578,0)</f>
        <v>5.90620175751656</v>
      </c>
      <c r="Y578" s="39" t="n">
        <f aca="false">IF(Informed=0,K578,0)</f>
        <v>0</v>
      </c>
      <c r="Z578" s="39" t="n">
        <f aca="false">IF(Informed=1,N578,0)</f>
        <v>0</v>
      </c>
      <c r="AA578" s="39" t="n">
        <f aca="false">IF(Informed=0,N578,0)</f>
        <v>0</v>
      </c>
      <c r="AB578" s="43" t="n">
        <f aca="false">IF(Arterial=0,IF(Informed=1,1,0),0)</f>
        <v>1</v>
      </c>
      <c r="AC578" s="43" t="n">
        <f aca="false">IF(Arterial=0,IF(Informed=0,1,0),0)</f>
        <v>0</v>
      </c>
      <c r="AD578" s="43" t="n">
        <f aca="false">IF(Arterial=1,IF(Informed=1,1,0),0)</f>
        <v>0</v>
      </c>
      <c r="AE578" s="43" t="n">
        <f aca="false">IF(Arterial=1,IF(Informed=0,1,0),0)</f>
        <v>0</v>
      </c>
      <c r="AF578" s="35" t="n">
        <f aca="false">IF(AB578=1,(X578-G$1030)^2,0)</f>
        <v>23.0733863348549</v>
      </c>
      <c r="AG578" s="35" t="n">
        <f aca="false">IF(AC578=1,(Y578-H$1030)^2,0)</f>
        <v>0</v>
      </c>
      <c r="AH578" s="35" t="n">
        <f aca="false">IF(AD578=1,(Z578-I$1030)^2,0)</f>
        <v>0</v>
      </c>
      <c r="AI578" s="35" t="n">
        <f aca="false">IF(AE578=1,(AA578-J$1030)^2,0)</f>
        <v>0</v>
      </c>
      <c r="AJ578" s="37" t="n">
        <f aca="true">IF(RAND()&lt;$D$6,1,0)</f>
        <v>0</v>
      </c>
      <c r="AK578" s="14" t="n">
        <f aca="false">AK577+IF((AJ578=1),IF((H578=0),1,0),0)</f>
        <v>0</v>
      </c>
      <c r="AL578" s="14" t="n">
        <f aca="false">AL577+IF((AJ578=1),IF((H578=1),1,0),0)</f>
        <v>0</v>
      </c>
      <c r="AM578" s="37" t="n">
        <f aca="false">IF(AK578=0,9999,IF($H578=0,IF($AJ578&lt;1,AM577+1,0),AM577))</f>
        <v>9999</v>
      </c>
      <c r="AN578" s="37" t="n">
        <f aca="false">IF(AL578=0,9999,IF($H578=1,IF($AJ578&lt;1,AN577+1,0),AN577))</f>
        <v>9999</v>
      </c>
      <c r="AO578" s="37" t="n">
        <f aca="false">IF($A578-AM578&gt;0,1/(1+AM578),0)</f>
        <v>0</v>
      </c>
      <c r="AP578" s="37" t="n">
        <f aca="false">IF($A578-AN578&gt;0,1/(1+AN578),0)</f>
        <v>0</v>
      </c>
      <c r="AQ578" s="7" t="n">
        <f aca="false">IF(AK578=0,0,MAX(MIN(1,AO578^Power),0))</f>
        <v>0</v>
      </c>
      <c r="AR578" s="7" t="n">
        <f aca="false">IF(AL578=0,0,MAX(MIN(1,AP578^Power),0))</f>
        <v>0</v>
      </c>
      <c r="AS578" s="7" t="n">
        <f aca="false">IF($AJ578=1,IF($H578=0,K578,AS577),AS577)</f>
        <v>0</v>
      </c>
      <c r="AT578" s="7" t="n">
        <f aca="false">IF($AJ578=1,IF($H578=1,N578,AT577),AT577)</f>
        <v>0</v>
      </c>
    </row>
    <row r="579" customFormat="false" ht="13" hidden="false" customHeight="false" outlineLevel="0" collapsed="false">
      <c r="A579" s="16" t="n">
        <v>562</v>
      </c>
      <c r="B579" s="37" t="n">
        <f aca="true">IF(RAND()&lt;$D$8,1,0)</f>
        <v>1</v>
      </c>
      <c r="C579" s="20" t="n">
        <f aca="true">-LN(RAND())/$D$2</f>
        <v>0.99391039842503</v>
      </c>
      <c r="D579" s="38" t="n">
        <f aca="false">D578+C579</f>
        <v>592.850416093565</v>
      </c>
      <c r="E579" s="39" t="n">
        <f aca="false">MAX($E$3,AS578)</f>
        <v>0</v>
      </c>
      <c r="F579" s="39" t="n">
        <f aca="false">MAX($E$3,AT578)</f>
        <v>0</v>
      </c>
      <c r="G579" s="40" t="n">
        <v>0.5</v>
      </c>
      <c r="H579" s="38" t="n">
        <f aca="true">IF((B579=1),(IF((F579&lt;E579),1,(IF((F579=E579),(IF(RAND()&lt;G579,1,0)),0)))),(IF((RAND()&lt;G579),1,0)))</f>
        <v>1</v>
      </c>
      <c r="I579" s="38" t="n">
        <f aca="true">IF((H579=1),0,$D$3+$D$5*(RAND()-0.5))</f>
        <v>0</v>
      </c>
      <c r="J579" s="38" t="n">
        <f aca="false">I579+MAX(D579,J578)</f>
        <v>597.762707452656</v>
      </c>
      <c r="K579" s="38" t="n">
        <f aca="false">IF((H579=0),J579-D579,0)</f>
        <v>0</v>
      </c>
      <c r="L579" s="38" t="n">
        <f aca="true">IF(($H579=0),0,$D$4+$D$5*(RAND()-0.5))</f>
        <v>2.14678263299593</v>
      </c>
      <c r="M579" s="38" t="n">
        <f aca="false">L579+MAX(D579,M578)</f>
        <v>638.368650270826</v>
      </c>
      <c r="N579" s="38" t="n">
        <f aca="false">IF((H579=1),M579-D579,0)</f>
        <v>45.5182341772616</v>
      </c>
      <c r="O579" s="16" t="n">
        <v>562</v>
      </c>
      <c r="P579" s="41" t="n">
        <f aca="false">IF((Arterial=0),P578+1,P578)</f>
        <v>257</v>
      </c>
      <c r="Q579" s="41" t="n">
        <f aca="false">IF((Arterial=1),Q578+1,Q578)</f>
        <v>305</v>
      </c>
      <c r="R579" s="42" t="n">
        <f aca="false">IF((RESET=1),0,R579+K579)</f>
        <v>927.118288974172</v>
      </c>
      <c r="S579" s="14" t="e">
        <f aca="false">IF(RESET=1,0,S579+N579)</f>
        <v>#N/A</v>
      </c>
      <c r="T579" s="2" t="n">
        <f aca="false">IF(RESET=1,0,T579+IF(H579=0,1,0))</f>
        <v>40</v>
      </c>
      <c r="U579" s="2" t="e">
        <f aca="false">IF(RESET=1,0,U579+H579)</f>
        <v>#N/A</v>
      </c>
      <c r="V579" s="14" t="n">
        <f aca="false">R579/(T579+0.00001)</f>
        <v>23.1779514298664</v>
      </c>
      <c r="W579" s="14" t="e">
        <f aca="false">S579/(U579+0.0001)</f>
        <v>#N/A</v>
      </c>
      <c r="X579" s="39" t="n">
        <f aca="false">IF(Informed=1,K579,0)</f>
        <v>0</v>
      </c>
      <c r="Y579" s="39" t="n">
        <f aca="false">IF(Informed=0,K579,0)</f>
        <v>0</v>
      </c>
      <c r="Z579" s="39" t="n">
        <f aca="false">IF(Informed=1,N579,0)</f>
        <v>45.5182341772616</v>
      </c>
      <c r="AA579" s="39" t="n">
        <f aca="false">IF(Informed=0,N579,0)</f>
        <v>0</v>
      </c>
      <c r="AB579" s="43" t="n">
        <f aca="false">IF(Arterial=0,IF(Informed=1,1,0),0)</f>
        <v>0</v>
      </c>
      <c r="AC579" s="43" t="n">
        <f aca="false">IF(Arterial=0,IF(Informed=0,1,0),0)</f>
        <v>0</v>
      </c>
      <c r="AD579" s="43" t="n">
        <f aca="false">IF(Arterial=1,IF(Informed=1,1,0),0)</f>
        <v>1</v>
      </c>
      <c r="AE579" s="43" t="n">
        <f aca="false">IF(Arterial=1,IF(Informed=0,1,0),0)</f>
        <v>0</v>
      </c>
      <c r="AF579" s="35" t="n">
        <f aca="false">IF(AB579=1,(X579-G$1030)^2,0)</f>
        <v>0</v>
      </c>
      <c r="AG579" s="35" t="n">
        <f aca="false">IF(AC579=1,(Y579-H$1030)^2,0)</f>
        <v>0</v>
      </c>
      <c r="AH579" s="35" t="n">
        <f aca="false">IF(AD579=1,(Z579-I$1030)^2,0)</f>
        <v>293.896142440206</v>
      </c>
      <c r="AI579" s="35" t="n">
        <f aca="false">IF(AE579=1,(AA579-J$1030)^2,0)</f>
        <v>0</v>
      </c>
      <c r="AJ579" s="37" t="n">
        <f aca="true">IF(RAND()&lt;$D$6,1,0)</f>
        <v>0</v>
      </c>
      <c r="AK579" s="14" t="n">
        <f aca="false">AK578+IF((AJ579=1),IF((H579=0),1,0),0)</f>
        <v>0</v>
      </c>
      <c r="AL579" s="14" t="n">
        <f aca="false">AL578+IF((AJ579=1),IF((H579=1),1,0),0)</f>
        <v>0</v>
      </c>
      <c r="AM579" s="37" t="n">
        <f aca="false">IF(AK579=0,9999,IF($H579=0,IF($AJ579&lt;1,AM578+1,0),AM578))</f>
        <v>9999</v>
      </c>
      <c r="AN579" s="37" t="n">
        <f aca="false">IF(AL579=0,9999,IF($H579=1,IF($AJ579&lt;1,AN578+1,0),AN578))</f>
        <v>9999</v>
      </c>
      <c r="AO579" s="37" t="n">
        <f aca="false">IF($A579-AM579&gt;0,1/(1+AM579),0)</f>
        <v>0</v>
      </c>
      <c r="AP579" s="37" t="n">
        <f aca="false">IF($A579-AN579&gt;0,1/(1+AN579),0)</f>
        <v>0</v>
      </c>
      <c r="AQ579" s="7" t="n">
        <f aca="false">IF(AK579=0,0,MAX(MIN(1,AO579^Power),0))</f>
        <v>0</v>
      </c>
      <c r="AR579" s="7" t="n">
        <f aca="false">IF(AL579=0,0,MAX(MIN(1,AP579^Power),0))</f>
        <v>0</v>
      </c>
      <c r="AS579" s="7" t="n">
        <f aca="false">IF($AJ579=1,IF($H579=0,K579,AS578),AS578)</f>
        <v>0</v>
      </c>
      <c r="AT579" s="7" t="n">
        <f aca="false">IF($AJ579=1,IF($H579=1,N579,AT578),AT578)</f>
        <v>0</v>
      </c>
    </row>
    <row r="580" customFormat="false" ht="13" hidden="false" customHeight="false" outlineLevel="0" collapsed="false">
      <c r="A580" s="16" t="n">
        <v>563</v>
      </c>
      <c r="B580" s="37" t="n">
        <f aca="true">IF(RAND()&lt;$D$8,1,0)</f>
        <v>1</v>
      </c>
      <c r="C580" s="20" t="n">
        <f aca="true">-LN(RAND())/$D$2</f>
        <v>0.724386949212825</v>
      </c>
      <c r="D580" s="38" t="n">
        <f aca="false">D579+C580</f>
        <v>593.574803042777</v>
      </c>
      <c r="E580" s="39" t="n">
        <f aca="false">MAX($E$3,AS579)</f>
        <v>0</v>
      </c>
      <c r="F580" s="39" t="n">
        <f aca="false">MAX($E$3,AT579)</f>
        <v>0</v>
      </c>
      <c r="G580" s="40" t="n">
        <v>0.5</v>
      </c>
      <c r="H580" s="38" t="n">
        <f aca="true">IF((B580=1),(IF((F580&lt;E580),1,(IF((F580=E580),(IF(RAND()&lt;G580,1,0)),0)))),(IF((RAND()&lt;G580),1,0)))</f>
        <v>0</v>
      </c>
      <c r="I580" s="38" t="n">
        <f aca="true">IF((H580=1),0,$D$3+$D$5*(RAND()-0.5))</f>
        <v>1.78588910158967</v>
      </c>
      <c r="J580" s="38" t="n">
        <f aca="false">I580+MAX(D580,J579)</f>
        <v>599.548596554246</v>
      </c>
      <c r="K580" s="38" t="n">
        <f aca="false">IF((H580=0),J580-D580,0)</f>
        <v>5.97379351146844</v>
      </c>
      <c r="L580" s="38" t="n">
        <f aca="true">IF(($H580=0),0,$D$4+$D$5*(RAND()-0.5))</f>
        <v>0</v>
      </c>
      <c r="M580" s="38" t="n">
        <f aca="false">L580+MAX(D580,M579)</f>
        <v>638.368650270826</v>
      </c>
      <c r="N580" s="38" t="n">
        <f aca="false">IF((H580=1),M580-D580,0)</f>
        <v>0</v>
      </c>
      <c r="O580" s="16" t="n">
        <v>563</v>
      </c>
      <c r="P580" s="41" t="n">
        <f aca="false">IF((Arterial=0),P579+1,P579)</f>
        <v>258</v>
      </c>
      <c r="Q580" s="41" t="n">
        <f aca="false">IF((Arterial=1),Q579+1,Q579)</f>
        <v>305</v>
      </c>
      <c r="R580" s="42" t="e">
        <f aca="false">IF((RESET=1),0,R580+K580)</f>
        <v>#N/A</v>
      </c>
      <c r="S580" s="14" t="n">
        <f aca="false">IF(RESET=1,0,S580+N580)</f>
        <v>649.916127814045</v>
      </c>
      <c r="T580" s="2" t="e">
        <f aca="false">IF(RESET=1,0,T580+IF(H580=0,1,0))</f>
        <v>#N/A</v>
      </c>
      <c r="U580" s="2" t="n">
        <f aca="false">IF(RESET=1,0,U580+H580)</f>
        <v>42</v>
      </c>
      <c r="V580" s="14" t="e">
        <f aca="false">R580/(T580+0.00001)</f>
        <v>#N/A</v>
      </c>
      <c r="W580" s="14" t="n">
        <f aca="false">S580/(U580+0.0001)</f>
        <v>15.4741566761518</v>
      </c>
      <c r="X580" s="39" t="n">
        <f aca="false">IF(Informed=1,K580,0)</f>
        <v>5.97379351146844</v>
      </c>
      <c r="Y580" s="39" t="n">
        <f aca="false">IF(Informed=0,K580,0)</f>
        <v>0</v>
      </c>
      <c r="Z580" s="39" t="n">
        <f aca="false">IF(Informed=1,N580,0)</f>
        <v>0</v>
      </c>
      <c r="AA580" s="39" t="n">
        <f aca="false">IF(Informed=0,N580,0)</f>
        <v>0</v>
      </c>
      <c r="AB580" s="43" t="n">
        <f aca="false">IF(Arterial=0,IF(Informed=1,1,0),0)</f>
        <v>1</v>
      </c>
      <c r="AC580" s="43" t="n">
        <f aca="false">IF(Arterial=0,IF(Informed=0,1,0),0)</f>
        <v>0</v>
      </c>
      <c r="AD580" s="43" t="n">
        <f aca="false">IF(Arterial=1,IF(Informed=1,1,0),0)</f>
        <v>0</v>
      </c>
      <c r="AE580" s="43" t="n">
        <f aca="false">IF(Arterial=1,IF(Informed=0,1,0),0)</f>
        <v>0</v>
      </c>
      <c r="AF580" s="35" t="n">
        <f aca="false">IF(AB580=1,(X580-G$1030)^2,0)</f>
        <v>22.4286041787814</v>
      </c>
      <c r="AG580" s="35" t="n">
        <f aca="false">IF(AC580=1,(Y580-H$1030)^2,0)</f>
        <v>0</v>
      </c>
      <c r="AH580" s="35" t="n">
        <f aca="false">IF(AD580=1,(Z580-I$1030)^2,0)</f>
        <v>0</v>
      </c>
      <c r="AI580" s="35" t="n">
        <f aca="false">IF(AE580=1,(AA580-J$1030)^2,0)</f>
        <v>0</v>
      </c>
      <c r="AJ580" s="37" t="n">
        <f aca="true">IF(RAND()&lt;$D$6,1,0)</f>
        <v>0</v>
      </c>
      <c r="AK580" s="14" t="n">
        <f aca="false">AK579+IF((AJ580=1),IF((H580=0),1,0),0)</f>
        <v>0</v>
      </c>
      <c r="AL580" s="14" t="n">
        <f aca="false">AL579+IF((AJ580=1),IF((H580=1),1,0),0)</f>
        <v>0</v>
      </c>
      <c r="AM580" s="37" t="n">
        <f aca="false">IF(AK580=0,9999,IF($H580=0,IF($AJ580&lt;1,AM579+1,0),AM579))</f>
        <v>9999</v>
      </c>
      <c r="AN580" s="37" t="n">
        <f aca="false">IF(AL580=0,9999,IF($H580=1,IF($AJ580&lt;1,AN579+1,0),AN579))</f>
        <v>9999</v>
      </c>
      <c r="AO580" s="37" t="n">
        <f aca="false">IF($A580-AM580&gt;0,1/(1+AM580),0)</f>
        <v>0</v>
      </c>
      <c r="AP580" s="37" t="n">
        <f aca="false">IF($A580-AN580&gt;0,1/(1+AN580),0)</f>
        <v>0</v>
      </c>
      <c r="AQ580" s="7" t="n">
        <f aca="false">IF(AK580=0,0,MAX(MIN(1,AO580^Power),0))</f>
        <v>0</v>
      </c>
      <c r="AR580" s="7" t="n">
        <f aca="false">IF(AL580=0,0,MAX(MIN(1,AP580^Power),0))</f>
        <v>0</v>
      </c>
      <c r="AS580" s="7" t="n">
        <f aca="false">IF($AJ580=1,IF($H580=0,K580,AS579),AS579)</f>
        <v>0</v>
      </c>
      <c r="AT580" s="7" t="n">
        <f aca="false">IF($AJ580=1,IF($H580=1,N580,AT579),AT579)</f>
        <v>0</v>
      </c>
    </row>
    <row r="581" customFormat="false" ht="13" hidden="false" customHeight="false" outlineLevel="0" collapsed="false">
      <c r="A581" s="16" t="n">
        <v>564</v>
      </c>
      <c r="B581" s="37" t="n">
        <f aca="true">IF(RAND()&lt;$D$8,1,0)</f>
        <v>0</v>
      </c>
      <c r="C581" s="20" t="n">
        <f aca="true">-LN(RAND())/$D$2</f>
        <v>0.131242667470872</v>
      </c>
      <c r="D581" s="38" t="n">
        <f aca="false">D580+C581</f>
        <v>593.706045710248</v>
      </c>
      <c r="E581" s="39" t="n">
        <f aca="false">MAX($E$3,AS580)</f>
        <v>0</v>
      </c>
      <c r="F581" s="39" t="n">
        <f aca="false">MAX($E$3,AT580)</f>
        <v>0</v>
      </c>
      <c r="G581" s="40" t="n">
        <v>0.5</v>
      </c>
      <c r="H581" s="38" t="n">
        <f aca="true">IF((B581=1),(IF((F581&lt;E581),1,(IF((F581=E581),(IF(RAND()&lt;G581,1,0)),0)))),(IF((RAND()&lt;G581),1,0)))</f>
        <v>1</v>
      </c>
      <c r="I581" s="38" t="n">
        <f aca="true">IF((H581=1),0,$D$3+$D$5*(RAND()-0.5))</f>
        <v>0</v>
      </c>
      <c r="J581" s="38" t="n">
        <f aca="false">I581+MAX(D581,J580)</f>
        <v>599.548596554246</v>
      </c>
      <c r="K581" s="38" t="n">
        <f aca="false">IF((H581=0),J581-D581,0)</f>
        <v>0</v>
      </c>
      <c r="L581" s="38" t="n">
        <f aca="true">IF(($H581=0),0,$D$4+$D$5*(RAND()-0.5))</f>
        <v>1.95500199691522</v>
      </c>
      <c r="M581" s="38" t="n">
        <f aca="false">L581+MAX(D581,M580)</f>
        <v>640.323652267741</v>
      </c>
      <c r="N581" s="38" t="n">
        <f aca="false">IF((H581=1),M581-D581,0)</f>
        <v>46.6176065574931</v>
      </c>
      <c r="O581" s="16" t="n">
        <v>564</v>
      </c>
      <c r="P581" s="41" t="n">
        <f aca="false">IF((Arterial=0),P580+1,P580)</f>
        <v>258</v>
      </c>
      <c r="Q581" s="41" t="n">
        <f aca="false">IF((Arterial=1),Q580+1,Q580)</f>
        <v>306</v>
      </c>
      <c r="R581" s="42" t="n">
        <f aca="false">IF((RESET=1),0,R581+K581)</f>
        <v>686.076631898815</v>
      </c>
      <c r="S581" s="14" t="e">
        <f aca="false">IF(RESET=1,0,S581+N581)</f>
        <v>#N/A</v>
      </c>
      <c r="T581" s="2" t="n">
        <f aca="false">IF(RESET=1,0,T581+IF(H581=0,1,0))</f>
        <v>33</v>
      </c>
      <c r="U581" s="2" t="e">
        <f aca="false">IF(RESET=1,0,U581+H581)</f>
        <v>#N/A</v>
      </c>
      <c r="V581" s="14" t="n">
        <f aca="false">R581/(T581+0.00001)</f>
        <v>20.7901946665718</v>
      </c>
      <c r="W581" s="14" t="e">
        <f aca="false">S581/(U581+0.0001)</f>
        <v>#N/A</v>
      </c>
      <c r="X581" s="39" t="n">
        <f aca="false">IF(Informed=1,K581,0)</f>
        <v>0</v>
      </c>
      <c r="Y581" s="39" t="n">
        <f aca="false">IF(Informed=0,K581,0)</f>
        <v>0</v>
      </c>
      <c r="Z581" s="39" t="n">
        <f aca="false">IF(Informed=1,N581,0)</f>
        <v>0</v>
      </c>
      <c r="AA581" s="39" t="n">
        <f aca="false">IF(Informed=0,N581,0)</f>
        <v>46.6176065574931</v>
      </c>
      <c r="AB581" s="43" t="n">
        <f aca="false">IF(Arterial=0,IF(Informed=1,1,0),0)</f>
        <v>0</v>
      </c>
      <c r="AC581" s="43" t="n">
        <f aca="false">IF(Arterial=0,IF(Informed=0,1,0),0)</f>
        <v>0</v>
      </c>
      <c r="AD581" s="43" t="n">
        <f aca="false">IF(Arterial=1,IF(Informed=1,1,0),0)</f>
        <v>0</v>
      </c>
      <c r="AE581" s="43" t="n">
        <f aca="false">IF(Arterial=1,IF(Informed=0,1,0),0)</f>
        <v>1</v>
      </c>
      <c r="AF581" s="35" t="n">
        <f aca="false">IF(AB581=1,(X581-G$1030)^2,0)</f>
        <v>0</v>
      </c>
      <c r="AG581" s="35" t="n">
        <f aca="false">IF(AC581=1,(Y581-H$1030)^2,0)</f>
        <v>0</v>
      </c>
      <c r="AH581" s="35" t="n">
        <f aca="false">IF(AD581=1,(Z581-I$1030)^2,0)</f>
        <v>0</v>
      </c>
      <c r="AI581" s="35" t="n">
        <f aca="false">IF(AE581=1,(AA581-J$1030)^2,0)</f>
        <v>290.816117543504</v>
      </c>
      <c r="AJ581" s="37" t="n">
        <f aca="true">IF(RAND()&lt;$D$6,1,0)</f>
        <v>0</v>
      </c>
      <c r="AK581" s="14" t="n">
        <f aca="false">AK580+IF((AJ581=1),IF((H581=0),1,0),0)</f>
        <v>0</v>
      </c>
      <c r="AL581" s="14" t="n">
        <f aca="false">AL580+IF((AJ581=1),IF((H581=1),1,0),0)</f>
        <v>0</v>
      </c>
      <c r="AM581" s="37" t="n">
        <f aca="false">IF(AK581=0,9999,IF($H581=0,IF($AJ581&lt;1,AM580+1,0),AM580))</f>
        <v>9999</v>
      </c>
      <c r="AN581" s="37" t="n">
        <f aca="false">IF(AL581=0,9999,IF($H581=1,IF($AJ581&lt;1,AN580+1,0),AN580))</f>
        <v>9999</v>
      </c>
      <c r="AO581" s="37" t="n">
        <f aca="false">IF($A581-AM581&gt;0,1/(1+AM581),0)</f>
        <v>0</v>
      </c>
      <c r="AP581" s="37" t="n">
        <f aca="false">IF($A581-AN581&gt;0,1/(1+AN581),0)</f>
        <v>0</v>
      </c>
      <c r="AQ581" s="7" t="n">
        <f aca="false">IF(AK581=0,0,MAX(MIN(1,AO581^Power),0))</f>
        <v>0</v>
      </c>
      <c r="AR581" s="7" t="n">
        <f aca="false">IF(AL581=0,0,MAX(MIN(1,AP581^Power),0))</f>
        <v>0</v>
      </c>
      <c r="AS581" s="7" t="n">
        <f aca="false">IF($AJ581=1,IF($H581=0,K581,AS580),AS580)</f>
        <v>0</v>
      </c>
      <c r="AT581" s="7" t="n">
        <f aca="false">IF($AJ581=1,IF($H581=1,N581,AT580),AT580)</f>
        <v>0</v>
      </c>
    </row>
    <row r="582" customFormat="false" ht="13" hidden="false" customHeight="false" outlineLevel="0" collapsed="false">
      <c r="A582" s="16" t="n">
        <v>565</v>
      </c>
      <c r="B582" s="37" t="n">
        <f aca="true">IF(RAND()&lt;$D$8,1,0)</f>
        <v>1</v>
      </c>
      <c r="C582" s="20" t="n">
        <f aca="true">-LN(RAND())/$D$2</f>
        <v>0.255875598383554</v>
      </c>
      <c r="D582" s="38" t="n">
        <f aca="false">D581+C582</f>
        <v>593.961921308632</v>
      </c>
      <c r="E582" s="39" t="n">
        <f aca="false">MAX($E$3,AS581)</f>
        <v>0</v>
      </c>
      <c r="F582" s="39" t="n">
        <f aca="false">MAX($E$3,AT581)</f>
        <v>0</v>
      </c>
      <c r="G582" s="40" t="n">
        <v>0.5</v>
      </c>
      <c r="H582" s="38" t="n">
        <f aca="true">IF((B582=1),(IF((F582&lt;E582),1,(IF((F582=E582),(IF(RAND()&lt;G582,1,0)),0)))),(IF((RAND()&lt;G582),1,0)))</f>
        <v>1</v>
      </c>
      <c r="I582" s="38" t="n">
        <f aca="true">IF((H582=1),0,$D$3+$D$5*(RAND()-0.5))</f>
        <v>0</v>
      </c>
      <c r="J582" s="38" t="n">
        <f aca="false">I582+MAX(D582,J581)</f>
        <v>599.548596554246</v>
      </c>
      <c r="K582" s="38" t="n">
        <f aca="false">IF((H582=0),J582-D582,0)</f>
        <v>0</v>
      </c>
      <c r="L582" s="38" t="n">
        <f aca="true">IF(($H582=0),0,$D$4+$D$5*(RAND()-0.5))</f>
        <v>2.14659926518792</v>
      </c>
      <c r="M582" s="38" t="n">
        <f aca="false">L582+MAX(D582,M581)</f>
        <v>642.470251532929</v>
      </c>
      <c r="N582" s="38" t="n">
        <f aca="false">IF((H582=1),M582-D582,0)</f>
        <v>48.5083302242974</v>
      </c>
      <c r="O582" s="16" t="n">
        <v>565</v>
      </c>
      <c r="P582" s="41" t="n">
        <f aca="false">IF((Arterial=0),P581+1,P581)</f>
        <v>258</v>
      </c>
      <c r="Q582" s="41" t="n">
        <f aca="false">IF((Arterial=1),Q581+1,Q581)</f>
        <v>307</v>
      </c>
      <c r="R582" s="42" t="n">
        <f aca="false">IF((RESET=1),0,R582+K582)</f>
        <v>828.47827956052</v>
      </c>
      <c r="S582" s="14" t="e">
        <f aca="false">IF(RESET=1,0,S582+N582)</f>
        <v>#N/A</v>
      </c>
      <c r="T582" s="2" t="n">
        <f aca="false">IF(RESET=1,0,T582+IF(H582=0,1,0))</f>
        <v>37</v>
      </c>
      <c r="U582" s="2" t="e">
        <f aca="false">IF(RESET=1,0,U582+H582)</f>
        <v>#N/A</v>
      </c>
      <c r="V582" s="14" t="n">
        <f aca="false">R582/(T582+0.00001)</f>
        <v>22.3912988012847</v>
      </c>
      <c r="W582" s="14" t="e">
        <f aca="false">S582/(U582+0.0001)</f>
        <v>#N/A</v>
      </c>
      <c r="X582" s="39" t="n">
        <f aca="false">IF(Informed=1,K582,0)</f>
        <v>0</v>
      </c>
      <c r="Y582" s="39" t="n">
        <f aca="false">IF(Informed=0,K582,0)</f>
        <v>0</v>
      </c>
      <c r="Z582" s="39" t="n">
        <f aca="false">IF(Informed=1,N582,0)</f>
        <v>48.5083302242974</v>
      </c>
      <c r="AA582" s="39" t="n">
        <f aca="false">IF(Informed=0,N582,0)</f>
        <v>0</v>
      </c>
      <c r="AB582" s="43" t="n">
        <f aca="false">IF(Arterial=0,IF(Informed=1,1,0),0)</f>
        <v>0</v>
      </c>
      <c r="AC582" s="43" t="n">
        <f aca="false">IF(Arterial=0,IF(Informed=0,1,0),0)</f>
        <v>0</v>
      </c>
      <c r="AD582" s="43" t="n">
        <f aca="false">IF(Arterial=1,IF(Informed=1,1,0),0)</f>
        <v>1</v>
      </c>
      <c r="AE582" s="43" t="n">
        <f aca="false">IF(Arterial=1,IF(Informed=0,1,0),0)</f>
        <v>0</v>
      </c>
      <c r="AF582" s="35" t="n">
        <f aca="false">IF(AB582=1,(X582-G$1030)^2,0)</f>
        <v>0</v>
      </c>
      <c r="AG582" s="35" t="n">
        <f aca="false">IF(AC582=1,(Y582-H$1030)^2,0)</f>
        <v>0</v>
      </c>
      <c r="AH582" s="35" t="n">
        <f aca="false">IF(AD582=1,(Z582-I$1030)^2,0)</f>
        <v>405.35763827257</v>
      </c>
      <c r="AI582" s="35" t="n">
        <f aca="false">IF(AE582=1,(AA582-J$1030)^2,0)</f>
        <v>0</v>
      </c>
      <c r="AJ582" s="37" t="n">
        <f aca="true">IF(RAND()&lt;$D$6,1,0)</f>
        <v>0</v>
      </c>
      <c r="AK582" s="14" t="n">
        <f aca="false">AK581+IF((AJ582=1),IF((H582=0),1,0),0)</f>
        <v>0</v>
      </c>
      <c r="AL582" s="14" t="n">
        <f aca="false">AL581+IF((AJ582=1),IF((H582=1),1,0),0)</f>
        <v>0</v>
      </c>
      <c r="AM582" s="37" t="n">
        <f aca="false">IF(AK582=0,9999,IF($H582=0,IF($AJ582&lt;1,AM581+1,0),AM581))</f>
        <v>9999</v>
      </c>
      <c r="AN582" s="37" t="n">
        <f aca="false">IF(AL582=0,9999,IF($H582=1,IF($AJ582&lt;1,AN581+1,0),AN581))</f>
        <v>9999</v>
      </c>
      <c r="AO582" s="37" t="n">
        <f aca="false">IF($A582-AM582&gt;0,1/(1+AM582),0)</f>
        <v>0</v>
      </c>
      <c r="AP582" s="37" t="n">
        <f aca="false">IF($A582-AN582&gt;0,1/(1+AN582),0)</f>
        <v>0</v>
      </c>
      <c r="AQ582" s="7" t="n">
        <f aca="false">IF(AK582=0,0,MAX(MIN(1,AO582^Power),0))</f>
        <v>0</v>
      </c>
      <c r="AR582" s="7" t="n">
        <f aca="false">IF(AL582=0,0,MAX(MIN(1,AP582^Power),0))</f>
        <v>0</v>
      </c>
      <c r="AS582" s="7" t="n">
        <f aca="false">IF($AJ582=1,IF($H582=0,K582,AS581),AS581)</f>
        <v>0</v>
      </c>
      <c r="AT582" s="7" t="n">
        <f aca="false">IF($AJ582=1,IF($H582=1,N582,AT581),AT581)</f>
        <v>0</v>
      </c>
    </row>
    <row r="583" customFormat="false" ht="13" hidden="false" customHeight="false" outlineLevel="0" collapsed="false">
      <c r="A583" s="16" t="n">
        <v>566</v>
      </c>
      <c r="B583" s="37" t="n">
        <f aca="true">IF(RAND()&lt;$D$8,1,0)</f>
        <v>1</v>
      </c>
      <c r="C583" s="20" t="n">
        <f aca="true">-LN(RAND())/$D$2</f>
        <v>0.337264636387126</v>
      </c>
      <c r="D583" s="38" t="n">
        <f aca="false">D582+C583</f>
        <v>594.299185945019</v>
      </c>
      <c r="E583" s="39" t="n">
        <f aca="false">MAX($E$3,AS582)</f>
        <v>0</v>
      </c>
      <c r="F583" s="39" t="n">
        <f aca="false">MAX($E$3,AT582)</f>
        <v>0</v>
      </c>
      <c r="G583" s="40" t="n">
        <v>0.5</v>
      </c>
      <c r="H583" s="38" t="n">
        <f aca="true">IF((B583=1),(IF((F583&lt;E583),1,(IF((F583=E583),(IF(RAND()&lt;G583,1,0)),0)))),(IF((RAND()&lt;G583),1,0)))</f>
        <v>1</v>
      </c>
      <c r="I583" s="38" t="n">
        <f aca="true">IF((H583=1),0,$D$3+$D$5*(RAND()-0.5))</f>
        <v>0</v>
      </c>
      <c r="J583" s="38" t="n">
        <f aca="false">I583+MAX(D583,J582)</f>
        <v>599.548596554246</v>
      </c>
      <c r="K583" s="38" t="n">
        <f aca="false">IF((H583=0),J583-D583,0)</f>
        <v>0</v>
      </c>
      <c r="L583" s="38" t="n">
        <f aca="true">IF(($H583=0),0,$D$4+$D$5*(RAND()-0.5))</f>
        <v>1.99869263376046</v>
      </c>
      <c r="M583" s="38" t="n">
        <f aca="false">L583+MAX(D583,M582)</f>
        <v>644.46894416669</v>
      </c>
      <c r="N583" s="38" t="n">
        <f aca="false">IF((H583=1),M583-D583,0)</f>
        <v>50.1697582216708</v>
      </c>
      <c r="O583" s="16" t="n">
        <v>566</v>
      </c>
      <c r="P583" s="41" t="n">
        <f aca="false">IF((Arterial=0),P582+1,P582)</f>
        <v>258</v>
      </c>
      <c r="Q583" s="41" t="n">
        <f aca="false">IF((Arterial=1),Q582+1,Q582)</f>
        <v>308</v>
      </c>
      <c r="R583" s="42" t="n">
        <f aca="false">IF((RESET=1),0,R583+K583)</f>
        <v>916.971640820518</v>
      </c>
      <c r="S583" s="14" t="e">
        <f aca="false">IF(RESET=1,0,S583+N583)</f>
        <v>#N/A</v>
      </c>
      <c r="T583" s="2" t="n">
        <f aca="false">IF(RESET=1,0,T583+IF(H583=0,1,0))</f>
        <v>44</v>
      </c>
      <c r="U583" s="2" t="e">
        <f aca="false">IF(RESET=1,0,U583+H583)</f>
        <v>#N/A</v>
      </c>
      <c r="V583" s="14" t="n">
        <f aca="false">R583/(T583+0.00001)</f>
        <v>20.84025982768</v>
      </c>
      <c r="W583" s="14" t="e">
        <f aca="false">S583/(U583+0.0001)</f>
        <v>#N/A</v>
      </c>
      <c r="X583" s="39" t="n">
        <f aca="false">IF(Informed=1,K583,0)</f>
        <v>0</v>
      </c>
      <c r="Y583" s="39" t="n">
        <f aca="false">IF(Informed=0,K583,0)</f>
        <v>0</v>
      </c>
      <c r="Z583" s="39" t="n">
        <f aca="false">IF(Informed=1,N583,0)</f>
        <v>50.1697582216708</v>
      </c>
      <c r="AA583" s="39" t="n">
        <f aca="false">IF(Informed=0,N583,0)</f>
        <v>0</v>
      </c>
      <c r="AB583" s="43" t="n">
        <f aca="false">IF(Arterial=0,IF(Informed=1,1,0),0)</f>
        <v>0</v>
      </c>
      <c r="AC583" s="43" t="n">
        <f aca="false">IF(Arterial=0,IF(Informed=0,1,0),0)</f>
        <v>0</v>
      </c>
      <c r="AD583" s="43" t="n">
        <f aca="false">IF(Arterial=1,IF(Informed=1,1,0),0)</f>
        <v>1</v>
      </c>
      <c r="AE583" s="43" t="n">
        <f aca="false">IF(Arterial=1,IF(Informed=0,1,0),0)</f>
        <v>0</v>
      </c>
      <c r="AF583" s="35" t="n">
        <f aca="false">IF(AB583=1,(X583-G$1030)^2,0)</f>
        <v>0</v>
      </c>
      <c r="AG583" s="35" t="n">
        <f aca="false">IF(AC583=1,(Y583-H$1030)^2,0)</f>
        <v>0</v>
      </c>
      <c r="AH583" s="35" t="n">
        <f aca="false">IF(AD583=1,(Z583-I$1030)^2,0)</f>
        <v>475.018687251335</v>
      </c>
      <c r="AI583" s="35" t="n">
        <f aca="false">IF(AE583=1,(AA583-J$1030)^2,0)</f>
        <v>0</v>
      </c>
      <c r="AJ583" s="37" t="n">
        <f aca="true">IF(RAND()&lt;$D$6,1,0)</f>
        <v>0</v>
      </c>
      <c r="AK583" s="14" t="n">
        <f aca="false">AK582+IF((AJ583=1),IF((H583=0),1,0),0)</f>
        <v>0</v>
      </c>
      <c r="AL583" s="14" t="n">
        <f aca="false">AL582+IF((AJ583=1),IF((H583=1),1,0),0)</f>
        <v>0</v>
      </c>
      <c r="AM583" s="37" t="n">
        <f aca="false">IF(AK583=0,9999,IF($H583=0,IF($AJ583&lt;1,AM582+1,0),AM582))</f>
        <v>9999</v>
      </c>
      <c r="AN583" s="37" t="n">
        <f aca="false">IF(AL583=0,9999,IF($H583=1,IF($AJ583&lt;1,AN582+1,0),AN582))</f>
        <v>9999</v>
      </c>
      <c r="AO583" s="37" t="n">
        <f aca="false">IF($A583-AM583&gt;0,1/(1+AM583),0)</f>
        <v>0</v>
      </c>
      <c r="AP583" s="37" t="n">
        <f aca="false">IF($A583-AN583&gt;0,1/(1+AN583),0)</f>
        <v>0</v>
      </c>
      <c r="AQ583" s="7" t="n">
        <f aca="false">IF(AK583=0,0,MAX(MIN(1,AO583^Power),0))</f>
        <v>0</v>
      </c>
      <c r="AR583" s="7" t="n">
        <f aca="false">IF(AL583=0,0,MAX(MIN(1,AP583^Power),0))</f>
        <v>0</v>
      </c>
      <c r="AS583" s="7" t="n">
        <f aca="false">IF($AJ583=1,IF($H583=0,K583,AS582),AS582)</f>
        <v>0</v>
      </c>
      <c r="AT583" s="7" t="n">
        <f aca="false">IF($AJ583=1,IF($H583=1,N583,AT582),AT582)</f>
        <v>0</v>
      </c>
    </row>
    <row r="584" customFormat="false" ht="13" hidden="false" customHeight="false" outlineLevel="0" collapsed="false">
      <c r="A584" s="16" t="n">
        <v>567</v>
      </c>
      <c r="B584" s="37" t="n">
        <f aca="true">IF(RAND()&lt;$D$8,1,0)</f>
        <v>0</v>
      </c>
      <c r="C584" s="20" t="n">
        <f aca="true">-LN(RAND())/$D$2</f>
        <v>0.549636021479705</v>
      </c>
      <c r="D584" s="38" t="n">
        <f aca="false">D583+C584</f>
        <v>594.848821966499</v>
      </c>
      <c r="E584" s="39" t="n">
        <f aca="false">MAX($E$3,AS583)</f>
        <v>0</v>
      </c>
      <c r="F584" s="39" t="n">
        <f aca="false">MAX($E$3,AT583)</f>
        <v>0</v>
      </c>
      <c r="G584" s="40" t="n">
        <v>0.5</v>
      </c>
      <c r="H584" s="38" t="n">
        <f aca="true">IF((B584=1),(IF((F584&lt;E584),1,(IF((F584=E584),(IF(RAND()&lt;G584,1,0)),0)))),(IF((RAND()&lt;G584),1,0)))</f>
        <v>1</v>
      </c>
      <c r="I584" s="38" t="n">
        <f aca="true">IF((H584=1),0,$D$3+$D$5*(RAND()-0.5))</f>
        <v>0</v>
      </c>
      <c r="J584" s="38" t="n">
        <f aca="false">I584+MAX(D584,J583)</f>
        <v>599.548596554246</v>
      </c>
      <c r="K584" s="38" t="n">
        <f aca="false">IF((H584=0),J584-D584,0)</f>
        <v>0</v>
      </c>
      <c r="L584" s="38" t="n">
        <f aca="true">IF(($H584=0),0,$D$4+$D$5*(RAND()-0.5))</f>
        <v>1.85654632893809</v>
      </c>
      <c r="M584" s="38" t="n">
        <f aca="false">L584+MAX(D584,M583)</f>
        <v>646.325490495628</v>
      </c>
      <c r="N584" s="38" t="n">
        <f aca="false">IF((H584=1),M584-D584,0)</f>
        <v>51.4766685291291</v>
      </c>
      <c r="O584" s="16" t="n">
        <v>567</v>
      </c>
      <c r="P584" s="41" t="n">
        <f aca="false">IF((Arterial=0),P583+1,P583)</f>
        <v>258</v>
      </c>
      <c r="Q584" s="41" t="n">
        <f aca="false">IF((Arterial=1),Q583+1,Q583)</f>
        <v>309</v>
      </c>
      <c r="R584" s="42" t="n">
        <f aca="false">IF((RESET=1),0,R584+K584)</f>
        <v>894.679384598121</v>
      </c>
      <c r="S584" s="14" t="e">
        <f aca="false">IF(RESET=1,0,S584+N584)</f>
        <v>#N/A</v>
      </c>
      <c r="T584" s="2" t="n">
        <f aca="false">IF(RESET=1,0,T584+IF(H584=0,1,0))</f>
        <v>39</v>
      </c>
      <c r="U584" s="2" t="e">
        <f aca="false">IF(RESET=1,0,U584+H584)</f>
        <v>#N/A</v>
      </c>
      <c r="V584" s="14" t="n">
        <f aca="false">R584/(T584+0.00001)</f>
        <v>22.9404911588002</v>
      </c>
      <c r="W584" s="14" t="e">
        <f aca="false">S584/(U584+0.0001)</f>
        <v>#N/A</v>
      </c>
      <c r="X584" s="39" t="n">
        <f aca="false">IF(Informed=1,K584,0)</f>
        <v>0</v>
      </c>
      <c r="Y584" s="39" t="n">
        <f aca="false">IF(Informed=0,K584,0)</f>
        <v>0</v>
      </c>
      <c r="Z584" s="39" t="n">
        <f aca="false">IF(Informed=1,N584,0)</f>
        <v>0</v>
      </c>
      <c r="AA584" s="39" t="n">
        <f aca="false">IF(Informed=0,N584,0)</f>
        <v>51.4766685291291</v>
      </c>
      <c r="AB584" s="43" t="n">
        <f aca="false">IF(Arterial=0,IF(Informed=1,1,0),0)</f>
        <v>0</v>
      </c>
      <c r="AC584" s="43" t="n">
        <f aca="false">IF(Arterial=0,IF(Informed=0,1,0),0)</f>
        <v>0</v>
      </c>
      <c r="AD584" s="43" t="n">
        <f aca="false">IF(Arterial=1,IF(Informed=1,1,0),0)</f>
        <v>0</v>
      </c>
      <c r="AE584" s="43" t="n">
        <f aca="false">IF(Arterial=1,IF(Informed=0,1,0),0)</f>
        <v>1</v>
      </c>
      <c r="AF584" s="35" t="n">
        <f aca="false">IF(AB584=1,(X584-G$1030)^2,0)</f>
        <v>0</v>
      </c>
      <c r="AG584" s="35" t="n">
        <f aca="false">IF(AC584=1,(Y584-H$1030)^2,0)</f>
        <v>0</v>
      </c>
      <c r="AH584" s="35" t="n">
        <f aca="false">IF(AD584=1,(Z584-I$1030)^2,0)</f>
        <v>0</v>
      </c>
      <c r="AI584" s="35" t="n">
        <f aca="false">IF(AE584=1,(AA584-J$1030)^2,0)</f>
        <v>480.152990604221</v>
      </c>
      <c r="AJ584" s="37" t="n">
        <f aca="true">IF(RAND()&lt;$D$6,1,0)</f>
        <v>0</v>
      </c>
      <c r="AK584" s="14" t="n">
        <f aca="false">AK583+IF((AJ584=1),IF((H584=0),1,0),0)</f>
        <v>0</v>
      </c>
      <c r="AL584" s="14" t="n">
        <f aca="false">AL583+IF((AJ584=1),IF((H584=1),1,0),0)</f>
        <v>0</v>
      </c>
      <c r="AM584" s="37" t="n">
        <f aca="false">IF(AK584=0,9999,IF($H584=0,IF($AJ584&lt;1,AM583+1,0),AM583))</f>
        <v>9999</v>
      </c>
      <c r="AN584" s="37" t="n">
        <f aca="false">IF(AL584=0,9999,IF($H584=1,IF($AJ584&lt;1,AN583+1,0),AN583))</f>
        <v>9999</v>
      </c>
      <c r="AO584" s="37" t="n">
        <f aca="false">IF($A584-AM584&gt;0,1/(1+AM584),0)</f>
        <v>0</v>
      </c>
      <c r="AP584" s="37" t="n">
        <f aca="false">IF($A584-AN584&gt;0,1/(1+AN584),0)</f>
        <v>0</v>
      </c>
      <c r="AQ584" s="7" t="n">
        <f aca="false">IF(AK584=0,0,MAX(MIN(1,AO584^Power),0))</f>
        <v>0</v>
      </c>
      <c r="AR584" s="7" t="n">
        <f aca="false">IF(AL584=0,0,MAX(MIN(1,AP584^Power),0))</f>
        <v>0</v>
      </c>
      <c r="AS584" s="7" t="n">
        <f aca="false">IF($AJ584=1,IF($H584=0,K584,AS583),AS583)</f>
        <v>0</v>
      </c>
      <c r="AT584" s="7" t="n">
        <f aca="false">IF($AJ584=1,IF($H584=1,N584,AT583),AT583)</f>
        <v>0</v>
      </c>
    </row>
    <row r="585" customFormat="false" ht="13" hidden="false" customHeight="false" outlineLevel="0" collapsed="false">
      <c r="A585" s="16" t="n">
        <v>568</v>
      </c>
      <c r="B585" s="37" t="n">
        <f aca="true">IF(RAND()&lt;$D$8,1,0)</f>
        <v>1</v>
      </c>
      <c r="C585" s="20" t="n">
        <f aca="true">-LN(RAND())/$D$2</f>
        <v>0.63421053773937</v>
      </c>
      <c r="D585" s="38" t="n">
        <f aca="false">D584+C585</f>
        <v>595.483032504238</v>
      </c>
      <c r="E585" s="39" t="n">
        <f aca="false">MAX($E$3,AS584)</f>
        <v>0</v>
      </c>
      <c r="F585" s="39" t="n">
        <f aca="false">MAX($E$3,AT584)</f>
        <v>0</v>
      </c>
      <c r="G585" s="40" t="n">
        <v>0.5</v>
      </c>
      <c r="H585" s="38" t="n">
        <f aca="true">IF((B585=1),(IF((F585&lt;E585),1,(IF((F585=E585),(IF(RAND()&lt;G585,1,0)),0)))),(IF((RAND()&lt;G585),1,0)))</f>
        <v>1</v>
      </c>
      <c r="I585" s="38" t="n">
        <f aca="true">IF((H585=1),0,$D$3+$D$5*(RAND()-0.5))</f>
        <v>0</v>
      </c>
      <c r="J585" s="38" t="n">
        <f aca="false">I585+MAX(D585,J584)</f>
        <v>599.548596554246</v>
      </c>
      <c r="K585" s="38" t="n">
        <f aca="false">IF((H585=0),J585-D585,0)</f>
        <v>0</v>
      </c>
      <c r="L585" s="38" t="n">
        <f aca="true">IF(($H585=0),0,$D$4+$D$5*(RAND()-0.5))</f>
        <v>1.99860230031005</v>
      </c>
      <c r="M585" s="38" t="n">
        <f aca="false">L585+MAX(D585,M584)</f>
        <v>648.324092795938</v>
      </c>
      <c r="N585" s="38" t="n">
        <f aca="false">IF((H585=1),M585-D585,0)</f>
        <v>52.8410602916998</v>
      </c>
      <c r="O585" s="16" t="n">
        <v>568</v>
      </c>
      <c r="P585" s="41" t="n">
        <f aca="false">IF((Arterial=0),P584+1,P584)</f>
        <v>258</v>
      </c>
      <c r="Q585" s="41" t="n">
        <f aca="false">IF((Arterial=1),Q584+1,Q584)</f>
        <v>310</v>
      </c>
      <c r="R585" s="42" t="n">
        <f aca="false">IF((RESET=1),0,R585+K585)</f>
        <v>1062.7397316444</v>
      </c>
      <c r="S585" s="14" t="e">
        <f aca="false">IF(RESET=1,0,S585+N585)</f>
        <v>#N/A</v>
      </c>
      <c r="T585" s="2" t="n">
        <f aca="false">IF(RESET=1,0,T585+IF(H585=0,1,0))</f>
        <v>51</v>
      </c>
      <c r="U585" s="2" t="e">
        <f aca="false">IF(RESET=1,0,U585+H585)</f>
        <v>#N/A</v>
      </c>
      <c r="V585" s="14" t="n">
        <f aca="false">R585/(T585+0.00001)</f>
        <v>20.8380298679235</v>
      </c>
      <c r="W585" s="14" t="e">
        <f aca="false">S585/(U585+0.0001)</f>
        <v>#N/A</v>
      </c>
      <c r="X585" s="39" t="n">
        <f aca="false">IF(Informed=1,K585,0)</f>
        <v>0</v>
      </c>
      <c r="Y585" s="39" t="n">
        <f aca="false">IF(Informed=0,K585,0)</f>
        <v>0</v>
      </c>
      <c r="Z585" s="39" t="n">
        <f aca="false">IF(Informed=1,N585,0)</f>
        <v>52.8410602916998</v>
      </c>
      <c r="AA585" s="39" t="n">
        <f aca="false">IF(Informed=0,N585,0)</f>
        <v>0</v>
      </c>
      <c r="AB585" s="43" t="n">
        <f aca="false">IF(Arterial=0,IF(Informed=1,1,0),0)</f>
        <v>0</v>
      </c>
      <c r="AC585" s="43" t="n">
        <f aca="false">IF(Arterial=0,IF(Informed=0,1,0),0)</f>
        <v>0</v>
      </c>
      <c r="AD585" s="43" t="n">
        <f aca="false">IF(Arterial=1,IF(Informed=1,1,0),0)</f>
        <v>1</v>
      </c>
      <c r="AE585" s="43" t="n">
        <f aca="false">IF(Arterial=1,IF(Informed=0,1,0),0)</f>
        <v>0</v>
      </c>
      <c r="AF585" s="35" t="n">
        <f aca="false">IF(AB585=1,(X585-G$1030)^2,0)</f>
        <v>0</v>
      </c>
      <c r="AG585" s="35" t="n">
        <f aca="false">IF(AC585=1,(Y585-H$1030)^2,0)</f>
        <v>0</v>
      </c>
      <c r="AH585" s="35" t="n">
        <f aca="false">IF(AD585=1,(Z585-I$1030)^2,0)</f>
        <v>598.596190141679</v>
      </c>
      <c r="AI585" s="35" t="n">
        <f aca="false">IF(AE585=1,(AA585-J$1030)^2,0)</f>
        <v>0</v>
      </c>
      <c r="AJ585" s="37" t="n">
        <f aca="true">IF(RAND()&lt;$D$6,1,0)</f>
        <v>0</v>
      </c>
      <c r="AK585" s="14" t="n">
        <f aca="false">AK584+IF((AJ585=1),IF((H585=0),1,0),0)</f>
        <v>0</v>
      </c>
      <c r="AL585" s="14" t="n">
        <f aca="false">AL584+IF((AJ585=1),IF((H585=1),1,0),0)</f>
        <v>0</v>
      </c>
      <c r="AM585" s="37" t="n">
        <f aca="false">IF(AK585=0,9999,IF($H585=0,IF($AJ585&lt;1,AM584+1,0),AM584))</f>
        <v>9999</v>
      </c>
      <c r="AN585" s="37" t="n">
        <f aca="false">IF(AL585=0,9999,IF($H585=1,IF($AJ585&lt;1,AN584+1,0),AN584))</f>
        <v>9999</v>
      </c>
      <c r="AO585" s="37" t="n">
        <f aca="false">IF($A585-AM585&gt;0,1/(1+AM585),0)</f>
        <v>0</v>
      </c>
      <c r="AP585" s="37" t="n">
        <f aca="false">IF($A585-AN585&gt;0,1/(1+AN585),0)</f>
        <v>0</v>
      </c>
      <c r="AQ585" s="7" t="n">
        <f aca="false">IF(AK585=0,0,MAX(MIN(1,AO585^Power),0))</f>
        <v>0</v>
      </c>
      <c r="AR585" s="7" t="n">
        <f aca="false">IF(AL585=0,0,MAX(MIN(1,AP585^Power),0))</f>
        <v>0</v>
      </c>
      <c r="AS585" s="7" t="n">
        <f aca="false">IF($AJ585=1,IF($H585=0,K585,AS584),AS584)</f>
        <v>0</v>
      </c>
      <c r="AT585" s="7" t="n">
        <f aca="false">IF($AJ585=1,IF($H585=1,N585,AT584),AT584)</f>
        <v>0</v>
      </c>
    </row>
    <row r="586" customFormat="false" ht="13" hidden="false" customHeight="false" outlineLevel="0" collapsed="false">
      <c r="A586" s="16" t="n">
        <v>569</v>
      </c>
      <c r="B586" s="37" t="n">
        <f aca="true">IF(RAND()&lt;$D$8,1,0)</f>
        <v>0</v>
      </c>
      <c r="C586" s="20" t="n">
        <f aca="true">-LN(RAND())/$D$2</f>
        <v>0.996730971076333</v>
      </c>
      <c r="D586" s="38" t="n">
        <f aca="false">D585+C586</f>
        <v>596.479763475314</v>
      </c>
      <c r="E586" s="39" t="n">
        <f aca="false">MAX($E$3,AS585)</f>
        <v>0</v>
      </c>
      <c r="F586" s="39" t="n">
        <f aca="false">MAX($E$3,AT585)</f>
        <v>0</v>
      </c>
      <c r="G586" s="40" t="n">
        <v>0.5</v>
      </c>
      <c r="H586" s="38" t="n">
        <f aca="true">IF((B586=1),(IF((F586&lt;E586),1,(IF((F586=E586),(IF(RAND()&lt;G586,1,0)),0)))),(IF((RAND()&lt;G586),1,0)))</f>
        <v>1</v>
      </c>
      <c r="I586" s="38" t="n">
        <f aca="true">IF((H586=1),0,$D$3+$D$5*(RAND()-0.5))</f>
        <v>0</v>
      </c>
      <c r="J586" s="38" t="n">
        <f aca="false">I586+MAX(D586,J585)</f>
        <v>599.548596554246</v>
      </c>
      <c r="K586" s="38" t="n">
        <f aca="false">IF((H586=0),J586-D586,0)</f>
        <v>0</v>
      </c>
      <c r="L586" s="38" t="n">
        <f aca="true">IF(($H586=0),0,$D$4+$D$5*(RAND()-0.5))</f>
        <v>2.07210094421791</v>
      </c>
      <c r="M586" s="38" t="n">
        <f aca="false">L586+MAX(D586,M585)</f>
        <v>650.396193740156</v>
      </c>
      <c r="N586" s="38" t="n">
        <f aca="false">IF((H586=1),M586-D586,0)</f>
        <v>53.9164302648414</v>
      </c>
      <c r="O586" s="16" t="n">
        <v>569</v>
      </c>
      <c r="P586" s="41" t="n">
        <f aca="false">IF((Arterial=0),P585+1,P585)</f>
        <v>258</v>
      </c>
      <c r="Q586" s="41" t="n">
        <f aca="false">IF((Arterial=1),Q585+1,Q585)</f>
        <v>311</v>
      </c>
      <c r="R586" s="42" t="n">
        <f aca="false">IF((RESET=1),0,R586+K586)</f>
        <v>789.227542632756</v>
      </c>
      <c r="S586" s="14" t="e">
        <f aca="false">IF(RESET=1,0,S586+N586)</f>
        <v>#N/A</v>
      </c>
      <c r="T586" s="2" t="n">
        <f aca="false">IF(RESET=1,0,T586+IF(H586=0,1,0))</f>
        <v>45</v>
      </c>
      <c r="U586" s="2" t="e">
        <f aca="false">IF(RESET=1,0,U586+H586)</f>
        <v>#N/A</v>
      </c>
      <c r="V586" s="14" t="n">
        <f aca="false">R586/(T586+0.00001)</f>
        <v>17.5383859388644</v>
      </c>
      <c r="W586" s="14" t="e">
        <f aca="false">S586/(U586+0.0001)</f>
        <v>#N/A</v>
      </c>
      <c r="X586" s="39" t="n">
        <f aca="false">IF(Informed=1,K586,0)</f>
        <v>0</v>
      </c>
      <c r="Y586" s="39" t="n">
        <f aca="false">IF(Informed=0,K586,0)</f>
        <v>0</v>
      </c>
      <c r="Z586" s="39" t="n">
        <f aca="false">IF(Informed=1,N586,0)</f>
        <v>0</v>
      </c>
      <c r="AA586" s="39" t="n">
        <f aca="false">IF(Informed=0,N586,0)</f>
        <v>53.9164302648414</v>
      </c>
      <c r="AB586" s="43" t="n">
        <f aca="false">IF(Arterial=0,IF(Informed=1,1,0),0)</f>
        <v>0</v>
      </c>
      <c r="AC586" s="43" t="n">
        <f aca="false">IF(Arterial=0,IF(Informed=0,1,0),0)</f>
        <v>0</v>
      </c>
      <c r="AD586" s="43" t="n">
        <f aca="false">IF(Arterial=1,IF(Informed=1,1,0),0)</f>
        <v>0</v>
      </c>
      <c r="AE586" s="43" t="n">
        <f aca="false">IF(Arterial=1,IF(Informed=0,1,0),0)</f>
        <v>1</v>
      </c>
      <c r="AF586" s="35" t="n">
        <f aca="false">IF(AB586=1,(X586-G$1030)^2,0)</f>
        <v>0</v>
      </c>
      <c r="AG586" s="35" t="n">
        <f aca="false">IF(AC586=1,(Y586-H$1030)^2,0)</f>
        <v>0</v>
      </c>
      <c r="AH586" s="35" t="n">
        <f aca="false">IF(AD586=1,(Z586-I$1030)^2,0)</f>
        <v>0</v>
      </c>
      <c r="AI586" s="35" t="n">
        <f aca="false">IF(AE586=1,(AA586-J$1030)^2,0)</f>
        <v>593.027466519488</v>
      </c>
      <c r="AJ586" s="37" t="n">
        <f aca="true">IF(RAND()&lt;$D$6,1,0)</f>
        <v>0</v>
      </c>
      <c r="AK586" s="14" t="n">
        <f aca="false">AK585+IF((AJ586=1),IF((H586=0),1,0),0)</f>
        <v>0</v>
      </c>
      <c r="AL586" s="14" t="n">
        <f aca="false">AL585+IF((AJ586=1),IF((H586=1),1,0),0)</f>
        <v>0</v>
      </c>
      <c r="AM586" s="37" t="n">
        <f aca="false">IF(AK586=0,9999,IF($H586=0,IF($AJ586&lt;1,AM585+1,0),AM585))</f>
        <v>9999</v>
      </c>
      <c r="AN586" s="37" t="n">
        <f aca="false">IF(AL586=0,9999,IF($H586=1,IF($AJ586&lt;1,AN585+1,0),AN585))</f>
        <v>9999</v>
      </c>
      <c r="AO586" s="37" t="n">
        <f aca="false">IF($A586-AM586&gt;0,1/(1+AM586),0)</f>
        <v>0</v>
      </c>
      <c r="AP586" s="37" t="n">
        <f aca="false">IF($A586-AN586&gt;0,1/(1+AN586),0)</f>
        <v>0</v>
      </c>
      <c r="AQ586" s="7" t="n">
        <f aca="false">IF(AK586=0,0,MAX(MIN(1,AO586^Power),0))</f>
        <v>0</v>
      </c>
      <c r="AR586" s="7" t="n">
        <f aca="false">IF(AL586=0,0,MAX(MIN(1,AP586^Power),0))</f>
        <v>0</v>
      </c>
      <c r="AS586" s="7" t="n">
        <f aca="false">IF($AJ586=1,IF($H586=0,K586,AS585),AS585)</f>
        <v>0</v>
      </c>
      <c r="AT586" s="7" t="n">
        <f aca="false">IF($AJ586=1,IF($H586=1,N586,AT585),AT585)</f>
        <v>0</v>
      </c>
    </row>
    <row r="587" customFormat="false" ht="13" hidden="false" customHeight="false" outlineLevel="0" collapsed="false">
      <c r="A587" s="16" t="n">
        <v>570</v>
      </c>
      <c r="B587" s="37" t="n">
        <f aca="true">IF(RAND()&lt;$D$8,1,0)</f>
        <v>1</v>
      </c>
      <c r="C587" s="20" t="n">
        <f aca="true">-LN(RAND())/$D$2</f>
        <v>0.194404216909748</v>
      </c>
      <c r="D587" s="38" t="n">
        <f aca="false">D586+C587</f>
        <v>596.674167692224</v>
      </c>
      <c r="E587" s="39" t="n">
        <f aca="false">MAX($E$3,AS586)</f>
        <v>0</v>
      </c>
      <c r="F587" s="39" t="n">
        <f aca="false">MAX($E$3,AT586)</f>
        <v>0</v>
      </c>
      <c r="G587" s="40" t="n">
        <v>0.5</v>
      </c>
      <c r="H587" s="38" t="n">
        <f aca="true">IF((B587=1),(IF((F587&lt;E587),1,(IF((F587=E587),(IF(RAND()&lt;G587,1,0)),0)))),(IF((RAND()&lt;G587),1,0)))</f>
        <v>1</v>
      </c>
      <c r="I587" s="38" t="n">
        <f aca="true">IF((H587=1),0,$D$3+$D$5*(RAND()-0.5))</f>
        <v>0</v>
      </c>
      <c r="J587" s="38" t="n">
        <f aca="false">I587+MAX(D587,J586)</f>
        <v>599.548596554246</v>
      </c>
      <c r="K587" s="38" t="n">
        <f aca="false">IF((H587=0),J587-D587,0)</f>
        <v>0</v>
      </c>
      <c r="L587" s="38" t="n">
        <f aca="true">IF(($H587=0),0,$D$4+$D$5*(RAND()-0.5))</f>
        <v>2.12871549827951</v>
      </c>
      <c r="M587" s="38" t="n">
        <f aca="false">L587+MAX(D587,M586)</f>
        <v>652.524909238435</v>
      </c>
      <c r="N587" s="38" t="n">
        <f aca="false">IF((H587=1),M587-D587,0)</f>
        <v>55.8507415462111</v>
      </c>
      <c r="O587" s="16" t="n">
        <v>570</v>
      </c>
      <c r="P587" s="41" t="n">
        <f aca="false">IF((Arterial=0),P586+1,P586)</f>
        <v>258</v>
      </c>
      <c r="Q587" s="41" t="n">
        <f aca="false">IF((Arterial=1),Q586+1,Q586)</f>
        <v>312</v>
      </c>
      <c r="R587" s="42" t="n">
        <f aca="false">IF((RESET=1),0,R587+K587)</f>
        <v>894.831018891177</v>
      </c>
      <c r="S587" s="14" t="e">
        <f aca="false">IF(RESET=1,0,S587+N587)</f>
        <v>#N/A</v>
      </c>
      <c r="T587" s="2" t="n">
        <f aca="false">IF(RESET=1,0,T587+IF(H587=0,1,0))</f>
        <v>38</v>
      </c>
      <c r="U587" s="2" t="e">
        <f aca="false">IF(RESET=1,0,U587+H587)</f>
        <v>#N/A</v>
      </c>
      <c r="V587" s="14" t="n">
        <f aca="false">R587/(T587+0.00001)</f>
        <v>23.5481785107735</v>
      </c>
      <c r="W587" s="14" t="e">
        <f aca="false">S587/(U587+0.0001)</f>
        <v>#N/A</v>
      </c>
      <c r="X587" s="39" t="n">
        <f aca="false">IF(Informed=1,K587,0)</f>
        <v>0</v>
      </c>
      <c r="Y587" s="39" t="n">
        <f aca="false">IF(Informed=0,K587,0)</f>
        <v>0</v>
      </c>
      <c r="Z587" s="39" t="n">
        <f aca="false">IF(Informed=1,N587,0)</f>
        <v>55.8507415462111</v>
      </c>
      <c r="AA587" s="39" t="n">
        <f aca="false">IF(Informed=0,N587,0)</f>
        <v>0</v>
      </c>
      <c r="AB587" s="43" t="n">
        <f aca="false">IF(Arterial=0,IF(Informed=1,1,0),0)</f>
        <v>0</v>
      </c>
      <c r="AC587" s="43" t="n">
        <f aca="false">IF(Arterial=0,IF(Informed=0,1,0),0)</f>
        <v>0</v>
      </c>
      <c r="AD587" s="43" t="n">
        <f aca="false">IF(Arterial=1,IF(Informed=1,1,0),0)</f>
        <v>1</v>
      </c>
      <c r="AE587" s="43" t="n">
        <f aca="false">IF(Arterial=1,IF(Informed=0,1,0),0)</f>
        <v>0</v>
      </c>
      <c r="AF587" s="35" t="n">
        <f aca="false">IF(AB587=1,(X587-G$1030)^2,0)</f>
        <v>0</v>
      </c>
      <c r="AG587" s="35" t="n">
        <f aca="false">IF(AC587=1,(Y587-H$1030)^2,0)</f>
        <v>0</v>
      </c>
      <c r="AH587" s="35" t="n">
        <f aca="false">IF(AD587=1,(Z587-I$1030)^2,0)</f>
        <v>754.925451898181</v>
      </c>
      <c r="AI587" s="35" t="n">
        <f aca="false">IF(AE587=1,(AA587-J$1030)^2,0)</f>
        <v>0</v>
      </c>
      <c r="AJ587" s="37" t="n">
        <f aca="true">IF(RAND()&lt;$D$6,1,0)</f>
        <v>0</v>
      </c>
      <c r="AK587" s="14" t="n">
        <f aca="false">AK586+IF((AJ587=1),IF((H587=0),1,0),0)</f>
        <v>0</v>
      </c>
      <c r="AL587" s="14" t="n">
        <f aca="false">AL586+IF((AJ587=1),IF((H587=1),1,0),0)</f>
        <v>0</v>
      </c>
      <c r="AM587" s="37" t="n">
        <f aca="false">IF(AK587=0,9999,IF($H587=0,IF($AJ587&lt;1,AM586+1,0),AM586))</f>
        <v>9999</v>
      </c>
      <c r="AN587" s="37" t="n">
        <f aca="false">IF(AL587=0,9999,IF($H587=1,IF($AJ587&lt;1,AN586+1,0),AN586))</f>
        <v>9999</v>
      </c>
      <c r="AO587" s="37" t="n">
        <f aca="false">IF($A587-AM587&gt;0,1/(1+AM587),0)</f>
        <v>0</v>
      </c>
      <c r="AP587" s="37" t="n">
        <f aca="false">IF($A587-AN587&gt;0,1/(1+AN587),0)</f>
        <v>0</v>
      </c>
      <c r="AQ587" s="7" t="n">
        <f aca="false">IF(AK587=0,0,MAX(MIN(1,AO587^Power),0))</f>
        <v>0</v>
      </c>
      <c r="AR587" s="7" t="n">
        <f aca="false">IF(AL587=0,0,MAX(MIN(1,AP587^Power),0))</f>
        <v>0</v>
      </c>
      <c r="AS587" s="7" t="n">
        <f aca="false">IF($AJ587=1,IF($H587=0,K587,AS586),AS586)</f>
        <v>0</v>
      </c>
      <c r="AT587" s="7" t="n">
        <f aca="false">IF($AJ587=1,IF($H587=1,N587,AT586),AT586)</f>
        <v>0</v>
      </c>
    </row>
    <row r="588" customFormat="false" ht="13" hidden="false" customHeight="false" outlineLevel="0" collapsed="false">
      <c r="A588" s="16" t="n">
        <v>571</v>
      </c>
      <c r="B588" s="37" t="n">
        <f aca="true">IF(RAND()&lt;$D$8,1,0)</f>
        <v>0</v>
      </c>
      <c r="C588" s="20" t="n">
        <f aca="true">-LN(RAND())/$D$2</f>
        <v>1.45095382095093</v>
      </c>
      <c r="D588" s="38" t="n">
        <f aca="false">D587+C588</f>
        <v>598.125121513175</v>
      </c>
      <c r="E588" s="39" t="n">
        <f aca="false">MAX($E$3,AS587)</f>
        <v>0</v>
      </c>
      <c r="F588" s="39" t="n">
        <f aca="false">MAX($E$3,AT587)</f>
        <v>0</v>
      </c>
      <c r="G588" s="40" t="n">
        <v>0.5</v>
      </c>
      <c r="H588" s="38" t="n">
        <f aca="true">IF((B588=1),(IF((F588&lt;E588),1,(IF((F588=E588),(IF(RAND()&lt;G588,1,0)),0)))),(IF((RAND()&lt;G588),1,0)))</f>
        <v>0</v>
      </c>
      <c r="I588" s="38" t="n">
        <f aca="true">IF((H588=1),0,$D$3+$D$5*(RAND()-0.5))</f>
        <v>1.89912503100014</v>
      </c>
      <c r="J588" s="38" t="n">
        <f aca="false">I588+MAX(D588,J587)</f>
        <v>601.447721585246</v>
      </c>
      <c r="K588" s="38" t="n">
        <f aca="false">IF((H588=0),J588-D588,0)</f>
        <v>3.32260007207094</v>
      </c>
      <c r="L588" s="38" t="n">
        <f aca="true">IF(($H588=0),0,$D$4+$D$5*(RAND()-0.5))</f>
        <v>0</v>
      </c>
      <c r="M588" s="38" t="n">
        <f aca="false">L588+MAX(D588,M587)</f>
        <v>652.524909238435</v>
      </c>
      <c r="N588" s="38" t="n">
        <f aca="false">IF((H588=1),M588-D588,0)</f>
        <v>0</v>
      </c>
      <c r="O588" s="16" t="n">
        <v>571</v>
      </c>
      <c r="P588" s="41" t="n">
        <f aca="false">IF((Arterial=0),P587+1,P587)</f>
        <v>259</v>
      </c>
      <c r="Q588" s="41" t="n">
        <f aca="false">IF((Arterial=1),Q587+1,Q587)</f>
        <v>312</v>
      </c>
      <c r="R588" s="42" t="e">
        <f aca="false">IF((RESET=1),0,R588+K588)</f>
        <v>#N/A</v>
      </c>
      <c r="S588" s="14" t="n">
        <f aca="false">IF(RESET=1,0,S588+N588)</f>
        <v>593.155711858904</v>
      </c>
      <c r="T588" s="2" t="e">
        <f aca="false">IF(RESET=1,0,T588+IF(H588=0,1,0))</f>
        <v>#N/A</v>
      </c>
      <c r="U588" s="2" t="n">
        <f aca="false">IF(RESET=1,0,U588+H588)</f>
        <v>37</v>
      </c>
      <c r="V588" s="14" t="e">
        <f aca="false">R588/(T588+0.00001)</f>
        <v>#N/A</v>
      </c>
      <c r="W588" s="14" t="n">
        <f aca="false">S588/(U588+0.0001)</f>
        <v>16.0311921280998</v>
      </c>
      <c r="X588" s="39" t="n">
        <f aca="false">IF(Informed=1,K588,0)</f>
        <v>0</v>
      </c>
      <c r="Y588" s="39" t="n">
        <f aca="false">IF(Informed=0,K588,0)</f>
        <v>3.32260007207094</v>
      </c>
      <c r="Z588" s="39" t="n">
        <f aca="false">IF(Informed=1,N588,0)</f>
        <v>0</v>
      </c>
      <c r="AA588" s="39" t="n">
        <f aca="false">IF(Informed=0,N588,0)</f>
        <v>0</v>
      </c>
      <c r="AB588" s="43" t="n">
        <f aca="false">IF(Arterial=0,IF(Informed=1,1,0),0)</f>
        <v>0</v>
      </c>
      <c r="AC588" s="43" t="n">
        <f aca="false">IF(Arterial=0,IF(Informed=0,1,0),0)</f>
        <v>1</v>
      </c>
      <c r="AD588" s="43" t="n">
        <f aca="false">IF(Arterial=1,IF(Informed=1,1,0),0)</f>
        <v>0</v>
      </c>
      <c r="AE588" s="43" t="n">
        <f aca="false">IF(Arterial=1,IF(Informed=0,1,0),0)</f>
        <v>0</v>
      </c>
      <c r="AF588" s="35" t="n">
        <f aca="false">IF(AB588=1,(X588-G$1030)^2,0)</f>
        <v>0</v>
      </c>
      <c r="AG588" s="35" t="n">
        <f aca="false">IF(AC588=1,(Y588-H$1030)^2,0)</f>
        <v>57.7780161201123</v>
      </c>
      <c r="AH588" s="35" t="n">
        <f aca="false">IF(AD588=1,(Z588-I$1030)^2,0)</f>
        <v>0</v>
      </c>
      <c r="AI588" s="35" t="n">
        <f aca="false">IF(AE588=1,(AA588-J$1030)^2,0)</f>
        <v>0</v>
      </c>
      <c r="AJ588" s="37" t="n">
        <f aca="true">IF(RAND()&lt;$D$6,1,0)</f>
        <v>0</v>
      </c>
      <c r="AK588" s="14" t="n">
        <f aca="false">AK587+IF((AJ588=1),IF((H588=0),1,0),0)</f>
        <v>0</v>
      </c>
      <c r="AL588" s="14" t="n">
        <f aca="false">AL587+IF((AJ588=1),IF((H588=1),1,0),0)</f>
        <v>0</v>
      </c>
      <c r="AM588" s="37" t="n">
        <f aca="false">IF(AK588=0,9999,IF($H588=0,IF($AJ588&lt;1,AM587+1,0),AM587))</f>
        <v>9999</v>
      </c>
      <c r="AN588" s="37" t="n">
        <f aca="false">IF(AL588=0,9999,IF($H588=1,IF($AJ588&lt;1,AN587+1,0),AN587))</f>
        <v>9999</v>
      </c>
      <c r="AO588" s="37" t="n">
        <f aca="false">IF($A588-AM588&gt;0,1/(1+AM588),0)</f>
        <v>0</v>
      </c>
      <c r="AP588" s="37" t="n">
        <f aca="false">IF($A588-AN588&gt;0,1/(1+AN588),0)</f>
        <v>0</v>
      </c>
      <c r="AQ588" s="7" t="n">
        <f aca="false">IF(AK588=0,0,MAX(MIN(1,AO588^Power),0))</f>
        <v>0</v>
      </c>
      <c r="AR588" s="7" t="n">
        <f aca="false">IF(AL588=0,0,MAX(MIN(1,AP588^Power),0))</f>
        <v>0</v>
      </c>
      <c r="AS588" s="7" t="n">
        <f aca="false">IF($AJ588=1,IF($H588=0,K588,AS587),AS587)</f>
        <v>0</v>
      </c>
      <c r="AT588" s="7" t="n">
        <f aca="false">IF($AJ588=1,IF($H588=1,N588,AT587),AT587)</f>
        <v>0</v>
      </c>
    </row>
    <row r="589" customFormat="false" ht="13" hidden="false" customHeight="false" outlineLevel="0" collapsed="false">
      <c r="A589" s="16" t="n">
        <v>572</v>
      </c>
      <c r="B589" s="37" t="n">
        <f aca="true">IF(RAND()&lt;$D$8,1,0)</f>
        <v>1</v>
      </c>
      <c r="C589" s="20" t="n">
        <f aca="true">-LN(RAND())/$D$2</f>
        <v>1.67514716282549</v>
      </c>
      <c r="D589" s="38" t="n">
        <f aca="false">D588+C589</f>
        <v>599.800268676001</v>
      </c>
      <c r="E589" s="39" t="n">
        <f aca="false">MAX($E$3,AS588)</f>
        <v>0</v>
      </c>
      <c r="F589" s="39" t="n">
        <f aca="false">MAX($E$3,AT588)</f>
        <v>0</v>
      </c>
      <c r="G589" s="40" t="n">
        <v>0.5</v>
      </c>
      <c r="H589" s="38" t="n">
        <f aca="true">IF((B589=1),(IF((F589&lt;E589),1,(IF((F589=E589),(IF(RAND()&lt;G589,1,0)),0)))),(IF((RAND()&lt;G589),1,0)))</f>
        <v>1</v>
      </c>
      <c r="I589" s="38" t="n">
        <f aca="true">IF((H589=1),0,$D$3+$D$5*(RAND()-0.5))</f>
        <v>0</v>
      </c>
      <c r="J589" s="38" t="n">
        <f aca="false">I589+MAX(D589,J588)</f>
        <v>601.447721585246</v>
      </c>
      <c r="K589" s="38" t="n">
        <f aca="false">IF((H589=0),J589-D589,0)</f>
        <v>0</v>
      </c>
      <c r="L589" s="38" t="n">
        <f aca="true">IF(($H589=0),0,$D$4+$D$5*(RAND()-0.5))</f>
        <v>1.79176209165521</v>
      </c>
      <c r="M589" s="38" t="n">
        <f aca="false">L589+MAX(D589,M588)</f>
        <v>654.316671330091</v>
      </c>
      <c r="N589" s="38" t="n">
        <f aca="false">IF((H589=1),M589-D589,0)</f>
        <v>54.5164026540899</v>
      </c>
      <c r="O589" s="16" t="n">
        <v>572</v>
      </c>
      <c r="P589" s="41" t="n">
        <f aca="false">IF((Arterial=0),P588+1,P588)</f>
        <v>259</v>
      </c>
      <c r="Q589" s="41" t="n">
        <f aca="false">IF((Arterial=1),Q588+1,Q588)</f>
        <v>313</v>
      </c>
      <c r="R589" s="42" t="n">
        <f aca="false">IF((RESET=1),0,R589+K589)</f>
        <v>913.484966522007</v>
      </c>
      <c r="S589" s="14" t="e">
        <f aca="false">IF(RESET=1,0,S589+N589)</f>
        <v>#N/A</v>
      </c>
      <c r="T589" s="2" t="n">
        <f aca="false">IF(RESET=1,0,T589+IF(H589=0,1,0))</f>
        <v>42</v>
      </c>
      <c r="U589" s="2" t="e">
        <f aca="false">IF(RESET=1,0,U589+H589)</f>
        <v>#N/A</v>
      </c>
      <c r="V589" s="14" t="n">
        <f aca="false">R589/(T589+0.00001)</f>
        <v>21.7496368815628</v>
      </c>
      <c r="W589" s="14" t="e">
        <f aca="false">S589/(U589+0.0001)</f>
        <v>#N/A</v>
      </c>
      <c r="X589" s="39" t="n">
        <f aca="false">IF(Informed=1,K589,0)</f>
        <v>0</v>
      </c>
      <c r="Y589" s="39" t="n">
        <f aca="false">IF(Informed=0,K589,0)</f>
        <v>0</v>
      </c>
      <c r="Z589" s="39" t="n">
        <f aca="false">IF(Informed=1,N589,0)</f>
        <v>54.5164026540899</v>
      </c>
      <c r="AA589" s="39" t="n">
        <f aca="false">IF(Informed=0,N589,0)</f>
        <v>0</v>
      </c>
      <c r="AB589" s="43" t="n">
        <f aca="false">IF(Arterial=0,IF(Informed=1,1,0),0)</f>
        <v>0</v>
      </c>
      <c r="AC589" s="43" t="n">
        <f aca="false">IF(Arterial=0,IF(Informed=0,1,0),0)</f>
        <v>0</v>
      </c>
      <c r="AD589" s="43" t="n">
        <f aca="false">IF(Arterial=1,IF(Informed=1,1,0),0)</f>
        <v>1</v>
      </c>
      <c r="AE589" s="43" t="n">
        <f aca="false">IF(Arterial=1,IF(Informed=0,1,0),0)</f>
        <v>0</v>
      </c>
      <c r="AF589" s="35" t="n">
        <f aca="false">IF(AB589=1,(X589-G$1030)^2,0)</f>
        <v>0</v>
      </c>
      <c r="AG589" s="35" t="n">
        <f aca="false">IF(AC589=1,(Y589-H$1030)^2,0)</f>
        <v>0</v>
      </c>
      <c r="AH589" s="35" t="n">
        <f aca="false">IF(AD589=1,(Z589-I$1030)^2,0)</f>
        <v>683.381570223629</v>
      </c>
      <c r="AI589" s="35" t="n">
        <f aca="false">IF(AE589=1,(AA589-J$1030)^2,0)</f>
        <v>0</v>
      </c>
      <c r="AJ589" s="37" t="n">
        <f aca="true">IF(RAND()&lt;$D$6,1,0)</f>
        <v>0</v>
      </c>
      <c r="AK589" s="14" t="n">
        <f aca="false">AK588+IF((AJ589=1),IF((H589=0),1,0),0)</f>
        <v>0</v>
      </c>
      <c r="AL589" s="14" t="n">
        <f aca="false">AL588+IF((AJ589=1),IF((H589=1),1,0),0)</f>
        <v>0</v>
      </c>
      <c r="AM589" s="37" t="n">
        <f aca="false">IF(AK589=0,9999,IF($H589=0,IF($AJ589&lt;1,AM588+1,0),AM588))</f>
        <v>9999</v>
      </c>
      <c r="AN589" s="37" t="n">
        <f aca="false">IF(AL589=0,9999,IF($H589=1,IF($AJ589&lt;1,AN588+1,0),AN588))</f>
        <v>9999</v>
      </c>
      <c r="AO589" s="37" t="n">
        <f aca="false">IF($A589-AM589&gt;0,1/(1+AM589),0)</f>
        <v>0</v>
      </c>
      <c r="AP589" s="37" t="n">
        <f aca="false">IF($A589-AN589&gt;0,1/(1+AN589),0)</f>
        <v>0</v>
      </c>
      <c r="AQ589" s="7" t="n">
        <f aca="false">IF(AK589=0,0,MAX(MIN(1,AO589^Power),0))</f>
        <v>0</v>
      </c>
      <c r="AR589" s="7" t="n">
        <f aca="false">IF(AL589=0,0,MAX(MIN(1,AP589^Power),0))</f>
        <v>0</v>
      </c>
      <c r="AS589" s="7" t="n">
        <f aca="false">IF($AJ589=1,IF($H589=0,K589,AS588),AS588)</f>
        <v>0</v>
      </c>
      <c r="AT589" s="7" t="n">
        <f aca="false">IF($AJ589=1,IF($H589=1,N589,AT588),AT588)</f>
        <v>0</v>
      </c>
    </row>
    <row r="590" customFormat="false" ht="13" hidden="false" customHeight="false" outlineLevel="0" collapsed="false">
      <c r="A590" s="16" t="n">
        <v>573</v>
      </c>
      <c r="B590" s="37" t="n">
        <f aca="true">IF(RAND()&lt;$D$8,1,0)</f>
        <v>1</v>
      </c>
      <c r="C590" s="20" t="n">
        <f aca="true">-LN(RAND())/$D$2</f>
        <v>0.0776400919674575</v>
      </c>
      <c r="D590" s="38" t="n">
        <f aca="false">D589+C590</f>
        <v>599.877908767968</v>
      </c>
      <c r="E590" s="39" t="n">
        <f aca="false">MAX($E$3,AS589)</f>
        <v>0</v>
      </c>
      <c r="F590" s="39" t="n">
        <f aca="false">MAX($E$3,AT589)</f>
        <v>0</v>
      </c>
      <c r="G590" s="40" t="n">
        <v>0.5</v>
      </c>
      <c r="H590" s="38" t="n">
        <f aca="true">IF((B590=1),(IF((F590&lt;E590),1,(IF((F590=E590),(IF(RAND()&lt;G590,1,0)),0)))),(IF((RAND()&lt;G590),1,0)))</f>
        <v>1</v>
      </c>
      <c r="I590" s="38" t="n">
        <f aca="true">IF((H590=1),0,$D$3+$D$5*(RAND()-0.5))</f>
        <v>0</v>
      </c>
      <c r="J590" s="38" t="n">
        <f aca="false">I590+MAX(D590,J589)</f>
        <v>601.447721585246</v>
      </c>
      <c r="K590" s="38" t="n">
        <f aca="false">IF((H590=0),J590-D590,0)</f>
        <v>0</v>
      </c>
      <c r="L590" s="38" t="n">
        <f aca="true">IF(($H590=0),0,$D$4+$D$5*(RAND()-0.5))</f>
        <v>2.24091164944441</v>
      </c>
      <c r="M590" s="38" t="n">
        <f aca="false">L590+MAX(D590,M589)</f>
        <v>656.557582979535</v>
      </c>
      <c r="N590" s="38" t="n">
        <f aca="false">IF((H590=1),M590-D590,0)</f>
        <v>56.6796742115669</v>
      </c>
      <c r="O590" s="16" t="n">
        <v>573</v>
      </c>
      <c r="P590" s="41" t="n">
        <f aca="false">IF((Arterial=0),P589+1,P589)</f>
        <v>259</v>
      </c>
      <c r="Q590" s="41" t="n">
        <f aca="false">IF((Arterial=1),Q589+1,Q589)</f>
        <v>314</v>
      </c>
      <c r="R590" s="42" t="n">
        <f aca="false">IF((RESET=1),0,R590+K590)</f>
        <v>1126.26586791982</v>
      </c>
      <c r="S590" s="14" t="e">
        <f aca="false">IF(RESET=1,0,S590+N590)</f>
        <v>#N/A</v>
      </c>
      <c r="T590" s="2" t="n">
        <f aca="false">IF(RESET=1,0,T590+IF(H590=0,1,0))</f>
        <v>46</v>
      </c>
      <c r="U590" s="2" t="e">
        <f aca="false">IF(RESET=1,0,U590+H590)</f>
        <v>#N/A</v>
      </c>
      <c r="V590" s="14" t="n">
        <f aca="false">R590/(T590+0.00001)</f>
        <v>24.4840352843362</v>
      </c>
      <c r="W590" s="14" t="e">
        <f aca="false">S590/(U590+0.0001)</f>
        <v>#N/A</v>
      </c>
      <c r="X590" s="39" t="n">
        <f aca="false">IF(Informed=1,K590,0)</f>
        <v>0</v>
      </c>
      <c r="Y590" s="39" t="n">
        <f aca="false">IF(Informed=0,K590,0)</f>
        <v>0</v>
      </c>
      <c r="Z590" s="39" t="n">
        <f aca="false">IF(Informed=1,N590,0)</f>
        <v>56.6796742115669</v>
      </c>
      <c r="AA590" s="39" t="n">
        <f aca="false">IF(Informed=0,N590,0)</f>
        <v>0</v>
      </c>
      <c r="AB590" s="43" t="n">
        <f aca="false">IF(Arterial=0,IF(Informed=1,1,0),0)</f>
        <v>0</v>
      </c>
      <c r="AC590" s="43" t="n">
        <f aca="false">IF(Arterial=0,IF(Informed=0,1,0),0)</f>
        <v>0</v>
      </c>
      <c r="AD590" s="43" t="n">
        <f aca="false">IF(Arterial=1,IF(Informed=1,1,0),0)</f>
        <v>1</v>
      </c>
      <c r="AE590" s="43" t="n">
        <f aca="false">IF(Arterial=1,IF(Informed=0,1,0),0)</f>
        <v>0</v>
      </c>
      <c r="AF590" s="35" t="n">
        <f aca="false">IF(AB590=1,(X590-G$1030)^2,0)</f>
        <v>0</v>
      </c>
      <c r="AG590" s="35" t="n">
        <f aca="false">IF(AC590=1,(Y590-H$1030)^2,0)</f>
        <v>0</v>
      </c>
      <c r="AH590" s="35" t="n">
        <f aca="false">IF(AD590=1,(Z590-I$1030)^2,0)</f>
        <v>801.163934497495</v>
      </c>
      <c r="AI590" s="35" t="n">
        <f aca="false">IF(AE590=1,(AA590-J$1030)^2,0)</f>
        <v>0</v>
      </c>
      <c r="AJ590" s="37" t="n">
        <f aca="true">IF(RAND()&lt;$D$6,1,0)</f>
        <v>0</v>
      </c>
      <c r="AK590" s="14" t="n">
        <f aca="false">AK589+IF((AJ590=1),IF((H590=0),1,0),0)</f>
        <v>0</v>
      </c>
      <c r="AL590" s="14" t="n">
        <f aca="false">AL589+IF((AJ590=1),IF((H590=1),1,0),0)</f>
        <v>0</v>
      </c>
      <c r="AM590" s="37" t="n">
        <f aca="false">IF(AK590=0,9999,IF($H590=0,IF($AJ590&lt;1,AM589+1,0),AM589))</f>
        <v>9999</v>
      </c>
      <c r="AN590" s="37" t="n">
        <f aca="false">IF(AL590=0,9999,IF($H590=1,IF($AJ590&lt;1,AN589+1,0),AN589))</f>
        <v>9999</v>
      </c>
      <c r="AO590" s="37" t="n">
        <f aca="false">IF($A590-AM590&gt;0,1/(1+AM590),0)</f>
        <v>0</v>
      </c>
      <c r="AP590" s="37" t="n">
        <f aca="false">IF($A590-AN590&gt;0,1/(1+AN590),0)</f>
        <v>0</v>
      </c>
      <c r="AQ590" s="7" t="n">
        <f aca="false">IF(AK590=0,0,MAX(MIN(1,AO590^Power),0))</f>
        <v>0</v>
      </c>
      <c r="AR590" s="7" t="n">
        <f aca="false">IF(AL590=0,0,MAX(MIN(1,AP590^Power),0))</f>
        <v>0</v>
      </c>
      <c r="AS590" s="7" t="n">
        <f aca="false">IF($AJ590=1,IF($H590=0,K590,AS589),AS589)</f>
        <v>0</v>
      </c>
      <c r="AT590" s="7" t="n">
        <f aca="false">IF($AJ590=1,IF($H590=1,N590,AT589),AT589)</f>
        <v>0</v>
      </c>
    </row>
    <row r="591" customFormat="false" ht="13" hidden="false" customHeight="false" outlineLevel="0" collapsed="false">
      <c r="A591" s="16" t="n">
        <v>574</v>
      </c>
      <c r="B591" s="37" t="n">
        <f aca="true">IF(RAND()&lt;$D$8,1,0)</f>
        <v>0</v>
      </c>
      <c r="C591" s="20" t="n">
        <f aca="true">-LN(RAND())/$D$2</f>
        <v>1.99811204047405</v>
      </c>
      <c r="D591" s="38" t="n">
        <f aca="false">D590+C591</f>
        <v>601.876020808442</v>
      </c>
      <c r="E591" s="39" t="n">
        <f aca="false">MAX($E$3,AS590)</f>
        <v>0</v>
      </c>
      <c r="F591" s="39" t="n">
        <f aca="false">MAX($E$3,AT590)</f>
        <v>0</v>
      </c>
      <c r="G591" s="40" t="n">
        <v>0.5</v>
      </c>
      <c r="H591" s="38" t="n">
        <f aca="true">IF((B591=1),(IF((F591&lt;E591),1,(IF((F591=E591),(IF(RAND()&lt;G591,1,0)),0)))),(IF((RAND()&lt;G591),1,0)))</f>
        <v>0</v>
      </c>
      <c r="I591" s="38" t="n">
        <f aca="true">IF((H591=1),0,$D$3+$D$5*(RAND()-0.5))</f>
        <v>2.16234076213768</v>
      </c>
      <c r="J591" s="38" t="n">
        <f aca="false">I591+MAX(D591,J590)</f>
        <v>604.03836157058</v>
      </c>
      <c r="K591" s="38" t="n">
        <f aca="false">IF((H591=0),J591-D591,0)</f>
        <v>2.16234076213766</v>
      </c>
      <c r="L591" s="38" t="n">
        <f aca="true">IF(($H591=0),0,$D$4+$D$5*(RAND()-0.5))</f>
        <v>0</v>
      </c>
      <c r="M591" s="38" t="n">
        <f aca="false">L591+MAX(D591,M590)</f>
        <v>656.557582979535</v>
      </c>
      <c r="N591" s="38" t="n">
        <f aca="false">IF((H591=1),M591-D591,0)</f>
        <v>0</v>
      </c>
      <c r="O591" s="16" t="n">
        <v>574</v>
      </c>
      <c r="P591" s="41" t="n">
        <f aca="false">IF((Arterial=0),P590+1,P590)</f>
        <v>260</v>
      </c>
      <c r="Q591" s="41" t="n">
        <f aca="false">IF((Arterial=1),Q590+1,Q590)</f>
        <v>314</v>
      </c>
      <c r="R591" s="42" t="e">
        <f aca="false">IF((RESET=1),0,R591+K591)</f>
        <v>#N/A</v>
      </c>
      <c r="S591" s="14" t="n">
        <f aca="false">IF(RESET=1,0,S591+N591)</f>
        <v>643.728718065095</v>
      </c>
      <c r="T591" s="2" t="e">
        <f aca="false">IF(RESET=1,0,T591+IF(H591=0,1,0))</f>
        <v>#N/A</v>
      </c>
      <c r="U591" s="2" t="n">
        <f aca="false">IF(RESET=1,0,U591+H591)</f>
        <v>42</v>
      </c>
      <c r="V591" s="14" t="e">
        <f aca="false">R591/(T591+0.00001)</f>
        <v>#N/A</v>
      </c>
      <c r="W591" s="14" t="n">
        <f aca="false">S591/(U591+0.0001)</f>
        <v>15.3268377471743</v>
      </c>
      <c r="X591" s="39" t="n">
        <f aca="false">IF(Informed=1,K591,0)</f>
        <v>0</v>
      </c>
      <c r="Y591" s="39" t="n">
        <f aca="false">IF(Informed=0,K591,0)</f>
        <v>2.16234076213766</v>
      </c>
      <c r="Z591" s="39" t="n">
        <f aca="false">IF(Informed=1,N591,0)</f>
        <v>0</v>
      </c>
      <c r="AA591" s="39" t="n">
        <f aca="false">IF(Informed=0,N591,0)</f>
        <v>0</v>
      </c>
      <c r="AB591" s="43" t="n">
        <f aca="false">IF(Arterial=0,IF(Informed=1,1,0),0)</f>
        <v>0</v>
      </c>
      <c r="AC591" s="43" t="n">
        <f aca="false">IF(Arterial=0,IF(Informed=0,1,0),0)</f>
        <v>1</v>
      </c>
      <c r="AD591" s="43" t="n">
        <f aca="false">IF(Arterial=1,IF(Informed=1,1,0),0)</f>
        <v>0</v>
      </c>
      <c r="AE591" s="43" t="n">
        <f aca="false">IF(Arterial=1,IF(Informed=0,1,0),0)</f>
        <v>0</v>
      </c>
      <c r="AF591" s="35" t="n">
        <f aca="false">IF(AB591=1,(X591-G$1030)^2,0)</f>
        <v>0</v>
      </c>
      <c r="AG591" s="35" t="n">
        <f aca="false">IF(AC591=1,(Y591-H$1030)^2,0)</f>
        <v>76.7629095265078</v>
      </c>
      <c r="AH591" s="35" t="n">
        <f aca="false">IF(AD591=1,(Z591-I$1030)^2,0)</f>
        <v>0</v>
      </c>
      <c r="AI591" s="35" t="n">
        <f aca="false">IF(AE591=1,(AA591-J$1030)^2,0)</f>
        <v>0</v>
      </c>
      <c r="AJ591" s="37" t="n">
        <f aca="true">IF(RAND()&lt;$D$6,1,0)</f>
        <v>0</v>
      </c>
      <c r="AK591" s="14" t="n">
        <f aca="false">AK590+IF((AJ591=1),IF((H591=0),1,0),0)</f>
        <v>0</v>
      </c>
      <c r="AL591" s="14" t="n">
        <f aca="false">AL590+IF((AJ591=1),IF((H591=1),1,0),0)</f>
        <v>0</v>
      </c>
      <c r="AM591" s="37" t="n">
        <f aca="false">IF(AK591=0,9999,IF($H591=0,IF($AJ591&lt;1,AM590+1,0),AM590))</f>
        <v>9999</v>
      </c>
      <c r="AN591" s="37" t="n">
        <f aca="false">IF(AL591=0,9999,IF($H591=1,IF($AJ591&lt;1,AN590+1,0),AN590))</f>
        <v>9999</v>
      </c>
      <c r="AO591" s="37" t="n">
        <f aca="false">IF($A591-AM591&gt;0,1/(1+AM591),0)</f>
        <v>0</v>
      </c>
      <c r="AP591" s="37" t="n">
        <f aca="false">IF($A591-AN591&gt;0,1/(1+AN591),0)</f>
        <v>0</v>
      </c>
      <c r="AQ591" s="7" t="n">
        <f aca="false">IF(AK591=0,0,MAX(MIN(1,AO591^Power),0))</f>
        <v>0</v>
      </c>
      <c r="AR591" s="7" t="n">
        <f aca="false">IF(AL591=0,0,MAX(MIN(1,AP591^Power),0))</f>
        <v>0</v>
      </c>
      <c r="AS591" s="7" t="n">
        <f aca="false">IF($AJ591=1,IF($H591=0,K591,AS590),AS590)</f>
        <v>0</v>
      </c>
      <c r="AT591" s="7" t="n">
        <f aca="false">IF($AJ591=1,IF($H591=1,N591,AT590),AT590)</f>
        <v>0</v>
      </c>
    </row>
    <row r="592" customFormat="false" ht="13" hidden="false" customHeight="false" outlineLevel="0" collapsed="false">
      <c r="A592" s="16" t="n">
        <v>575</v>
      </c>
      <c r="B592" s="37" t="n">
        <f aca="true">IF(RAND()&lt;$D$8,1,0)</f>
        <v>0</v>
      </c>
      <c r="C592" s="20" t="n">
        <f aca="true">-LN(RAND())/$D$2</f>
        <v>0.211245300001058</v>
      </c>
      <c r="D592" s="38" t="n">
        <f aca="false">D591+C592</f>
        <v>602.087266108443</v>
      </c>
      <c r="E592" s="39" t="n">
        <f aca="false">MAX($E$3,AS591)</f>
        <v>0</v>
      </c>
      <c r="F592" s="39" t="n">
        <f aca="false">MAX($E$3,AT591)</f>
        <v>0</v>
      </c>
      <c r="G592" s="40" t="n">
        <v>0.5</v>
      </c>
      <c r="H592" s="38" t="n">
        <f aca="true">IF((B592=1),(IF((F592&lt;E592),1,(IF((F592=E592),(IF(RAND()&lt;G592,1,0)),0)))),(IF((RAND()&lt;G592),1,0)))</f>
        <v>1</v>
      </c>
      <c r="I592" s="38" t="n">
        <f aca="true">IF((H592=1),0,$D$3+$D$5*(RAND()-0.5))</f>
        <v>0</v>
      </c>
      <c r="J592" s="38" t="n">
        <f aca="false">I592+MAX(D592,J591)</f>
        <v>604.03836157058</v>
      </c>
      <c r="K592" s="38" t="n">
        <f aca="false">IF((H592=0),J592-D592,0)</f>
        <v>0</v>
      </c>
      <c r="L592" s="38" t="n">
        <f aca="true">IF(($H592=0),0,$D$4+$D$5*(RAND()-0.5))</f>
        <v>2.07362349000048</v>
      </c>
      <c r="M592" s="38" t="n">
        <f aca="false">L592+MAX(D592,M591)</f>
        <v>658.631206469535</v>
      </c>
      <c r="N592" s="38" t="n">
        <f aca="false">IF((H592=1),M592-D592,0)</f>
        <v>56.5439403610922</v>
      </c>
      <c r="O592" s="16" t="n">
        <v>575</v>
      </c>
      <c r="P592" s="41" t="n">
        <f aca="false">IF((Arterial=0),P591+1,P591)</f>
        <v>260</v>
      </c>
      <c r="Q592" s="41" t="n">
        <f aca="false">IF((Arterial=1),Q591+1,Q591)</f>
        <v>315</v>
      </c>
      <c r="R592" s="42" t="n">
        <f aca="false">IF((RESET=1),0,R592+K592)</f>
        <v>950.240807289539</v>
      </c>
      <c r="S592" s="14" t="e">
        <f aca="false">IF(RESET=1,0,S592+N592)</f>
        <v>#N/A</v>
      </c>
      <c r="T592" s="2" t="n">
        <f aca="false">IF(RESET=1,0,T592+IF(H592=0,1,0))</f>
        <v>42</v>
      </c>
      <c r="U592" s="2" t="e">
        <f aca="false">IF(RESET=1,0,U592+H592)</f>
        <v>#N/A</v>
      </c>
      <c r="V592" s="14" t="n">
        <f aca="false">R592/(T592+0.00001)</f>
        <v>22.62477573909</v>
      </c>
      <c r="W592" s="14" t="e">
        <f aca="false">S592/(U592+0.0001)</f>
        <v>#N/A</v>
      </c>
      <c r="X592" s="39" t="n">
        <f aca="false">IF(Informed=1,K592,0)</f>
        <v>0</v>
      </c>
      <c r="Y592" s="39" t="n">
        <f aca="false">IF(Informed=0,K592,0)</f>
        <v>0</v>
      </c>
      <c r="Z592" s="39" t="n">
        <f aca="false">IF(Informed=1,N592,0)</f>
        <v>0</v>
      </c>
      <c r="AA592" s="39" t="n">
        <f aca="false">IF(Informed=0,N592,0)</f>
        <v>56.5439403610922</v>
      </c>
      <c r="AB592" s="43" t="n">
        <f aca="false">IF(Arterial=0,IF(Informed=1,1,0),0)</f>
        <v>0</v>
      </c>
      <c r="AC592" s="43" t="n">
        <f aca="false">IF(Arterial=0,IF(Informed=0,1,0),0)</f>
        <v>0</v>
      </c>
      <c r="AD592" s="43" t="n">
        <f aca="false">IF(Arterial=1,IF(Informed=1,1,0),0)</f>
        <v>0</v>
      </c>
      <c r="AE592" s="43" t="n">
        <f aca="false">IF(Arterial=1,IF(Informed=0,1,0),0)</f>
        <v>1</v>
      </c>
      <c r="AF592" s="35" t="n">
        <f aca="false">IF(AB592=1,(X592-G$1030)^2,0)</f>
        <v>0</v>
      </c>
      <c r="AG592" s="35" t="n">
        <f aca="false">IF(AC592=1,(Y592-H$1030)^2,0)</f>
        <v>0</v>
      </c>
      <c r="AH592" s="35" t="n">
        <f aca="false">IF(AD592=1,(Z592-I$1030)^2,0)</f>
        <v>0</v>
      </c>
      <c r="AI592" s="35" t="n">
        <f aca="false">IF(AE592=1,(AA592-J$1030)^2,0)</f>
        <v>727.902343524477</v>
      </c>
      <c r="AJ592" s="37" t="n">
        <f aca="true">IF(RAND()&lt;$D$6,1,0)</f>
        <v>0</v>
      </c>
      <c r="AK592" s="14" t="n">
        <f aca="false">AK591+IF((AJ592=1),IF((H592=0),1,0),0)</f>
        <v>0</v>
      </c>
      <c r="AL592" s="14" t="n">
        <f aca="false">AL591+IF((AJ592=1),IF((H592=1),1,0),0)</f>
        <v>0</v>
      </c>
      <c r="AM592" s="37" t="n">
        <f aca="false">IF(AK592=0,9999,IF($H592=0,IF($AJ592&lt;1,AM591+1,0),AM591))</f>
        <v>9999</v>
      </c>
      <c r="AN592" s="37" t="n">
        <f aca="false">IF(AL592=0,9999,IF($H592=1,IF($AJ592&lt;1,AN591+1,0),AN591))</f>
        <v>9999</v>
      </c>
      <c r="AO592" s="37" t="n">
        <f aca="false">IF($A592-AM592&gt;0,1/(1+AM592),0)</f>
        <v>0</v>
      </c>
      <c r="AP592" s="37" t="n">
        <f aca="false">IF($A592-AN592&gt;0,1/(1+AN592),0)</f>
        <v>0</v>
      </c>
      <c r="AQ592" s="7" t="n">
        <f aca="false">IF(AK592=0,0,MAX(MIN(1,AO592^Power),0))</f>
        <v>0</v>
      </c>
      <c r="AR592" s="7" t="n">
        <f aca="false">IF(AL592=0,0,MAX(MIN(1,AP592^Power),0))</f>
        <v>0</v>
      </c>
      <c r="AS592" s="7" t="n">
        <f aca="false">IF($AJ592=1,IF($H592=0,K592,AS591),AS591)</f>
        <v>0</v>
      </c>
      <c r="AT592" s="7" t="n">
        <f aca="false">IF($AJ592=1,IF($H592=1,N592,AT591),AT591)</f>
        <v>0</v>
      </c>
    </row>
    <row r="593" customFormat="false" ht="13" hidden="false" customHeight="false" outlineLevel="0" collapsed="false">
      <c r="A593" s="16" t="n">
        <v>576</v>
      </c>
      <c r="B593" s="37" t="n">
        <f aca="true">IF(RAND()&lt;$D$8,1,0)</f>
        <v>1</v>
      </c>
      <c r="C593" s="20" t="n">
        <f aca="true">-LN(RAND())/$D$2</f>
        <v>1.4825183220489</v>
      </c>
      <c r="D593" s="38" t="n">
        <f aca="false">D592+C593</f>
        <v>603.569784430492</v>
      </c>
      <c r="E593" s="39" t="n">
        <f aca="false">MAX($E$3,AS592)</f>
        <v>0</v>
      </c>
      <c r="F593" s="39" t="n">
        <f aca="false">MAX($E$3,AT592)</f>
        <v>0</v>
      </c>
      <c r="G593" s="40" t="n">
        <v>0.5</v>
      </c>
      <c r="H593" s="38" t="n">
        <f aca="true">IF((B593=1),(IF((F593&lt;E593),1,(IF((F593=E593),(IF(RAND()&lt;G593,1,0)),0)))),(IF((RAND()&lt;G593),1,0)))</f>
        <v>1</v>
      </c>
      <c r="I593" s="38" t="n">
        <f aca="true">IF((H593=1),0,$D$3+$D$5*(RAND()-0.5))</f>
        <v>0</v>
      </c>
      <c r="J593" s="38" t="n">
        <f aca="false">I593+MAX(D593,J592)</f>
        <v>604.03836157058</v>
      </c>
      <c r="K593" s="38" t="n">
        <f aca="false">IF((H593=0),J593-D593,0)</f>
        <v>0</v>
      </c>
      <c r="L593" s="38" t="n">
        <f aca="true">IF(($H593=0),0,$D$4+$D$5*(RAND()-0.5))</f>
        <v>2.15342057151164</v>
      </c>
      <c r="M593" s="38" t="n">
        <f aca="false">L593+MAX(D593,M592)</f>
        <v>660.784627041047</v>
      </c>
      <c r="N593" s="38" t="n">
        <f aca="false">IF((H593=1),M593-D593,0)</f>
        <v>57.2148426105549</v>
      </c>
      <c r="O593" s="16" t="n">
        <v>576</v>
      </c>
      <c r="P593" s="41" t="n">
        <f aca="false">IF((Arterial=0),P592+1,P592)</f>
        <v>260</v>
      </c>
      <c r="Q593" s="41" t="n">
        <f aca="false">IF((Arterial=1),Q592+1,Q592)</f>
        <v>316</v>
      </c>
      <c r="R593" s="42" t="n">
        <f aca="false">IF((RESET=1),0,R593+K593)</f>
        <v>954.391317581273</v>
      </c>
      <c r="S593" s="14" t="e">
        <f aca="false">IF(RESET=1,0,S593+N593)</f>
        <v>#N/A</v>
      </c>
      <c r="T593" s="2" t="n">
        <f aca="false">IF(RESET=1,0,T593+IF(H593=0,1,0))</f>
        <v>43</v>
      </c>
      <c r="U593" s="2" t="e">
        <f aca="false">IF(RESET=1,0,U593+H593)</f>
        <v>#N/A</v>
      </c>
      <c r="V593" s="14" t="n">
        <f aca="false">R593/(T593+0.00001)</f>
        <v>22.1951417588338</v>
      </c>
      <c r="W593" s="14" t="e">
        <f aca="false">S593/(U593+0.0001)</f>
        <v>#N/A</v>
      </c>
      <c r="X593" s="39" t="n">
        <f aca="false">IF(Informed=1,K593,0)</f>
        <v>0</v>
      </c>
      <c r="Y593" s="39" t="n">
        <f aca="false">IF(Informed=0,K593,0)</f>
        <v>0</v>
      </c>
      <c r="Z593" s="39" t="n">
        <f aca="false">IF(Informed=1,N593,0)</f>
        <v>57.2148426105549</v>
      </c>
      <c r="AA593" s="39" t="n">
        <f aca="false">IF(Informed=0,N593,0)</f>
        <v>0</v>
      </c>
      <c r="AB593" s="43" t="n">
        <f aca="false">IF(Arterial=0,IF(Informed=1,1,0),0)</f>
        <v>0</v>
      </c>
      <c r="AC593" s="43" t="n">
        <f aca="false">IF(Arterial=0,IF(Informed=0,1,0),0)</f>
        <v>0</v>
      </c>
      <c r="AD593" s="43" t="n">
        <f aca="false">IF(Arterial=1,IF(Informed=1,1,0),0)</f>
        <v>1</v>
      </c>
      <c r="AE593" s="43" t="n">
        <f aca="false">IF(Arterial=1,IF(Informed=0,1,0),0)</f>
        <v>0</v>
      </c>
      <c r="AF593" s="35" t="n">
        <f aca="false">IF(AB593=1,(X593-G$1030)^2,0)</f>
        <v>0</v>
      </c>
      <c r="AG593" s="35" t="n">
        <f aca="false">IF(AC593=1,(Y593-H$1030)^2,0)</f>
        <v>0</v>
      </c>
      <c r="AH593" s="35" t="n">
        <f aca="false">IF(AD593=1,(Z593-I$1030)^2,0)</f>
        <v>831.746050903014</v>
      </c>
      <c r="AI593" s="35" t="n">
        <f aca="false">IF(AE593=1,(AA593-J$1030)^2,0)</f>
        <v>0</v>
      </c>
      <c r="AJ593" s="37" t="n">
        <f aca="true">IF(RAND()&lt;$D$6,1,0)</f>
        <v>0</v>
      </c>
      <c r="AK593" s="14" t="n">
        <f aca="false">AK592+IF((AJ593=1),IF((H593=0),1,0),0)</f>
        <v>0</v>
      </c>
      <c r="AL593" s="14" t="n">
        <f aca="false">AL592+IF((AJ593=1),IF((H593=1),1,0),0)</f>
        <v>0</v>
      </c>
      <c r="AM593" s="37" t="n">
        <f aca="false">IF(AK593=0,9999,IF($H593=0,IF($AJ593&lt;1,AM592+1,0),AM592))</f>
        <v>9999</v>
      </c>
      <c r="AN593" s="37" t="n">
        <f aca="false">IF(AL593=0,9999,IF($H593=1,IF($AJ593&lt;1,AN592+1,0),AN592))</f>
        <v>9999</v>
      </c>
      <c r="AO593" s="37" t="n">
        <f aca="false">IF($A593-AM593&gt;0,1/(1+AM593),0)</f>
        <v>0</v>
      </c>
      <c r="AP593" s="37" t="n">
        <f aca="false">IF($A593-AN593&gt;0,1/(1+AN593),0)</f>
        <v>0</v>
      </c>
      <c r="AQ593" s="7" t="n">
        <f aca="false">IF(AK593=0,0,MAX(MIN(1,AO593^Power),0))</f>
        <v>0</v>
      </c>
      <c r="AR593" s="7" t="n">
        <f aca="false">IF(AL593=0,0,MAX(MIN(1,AP593^Power),0))</f>
        <v>0</v>
      </c>
      <c r="AS593" s="7" t="n">
        <f aca="false">IF($AJ593=1,IF($H593=0,K593,AS592),AS592)</f>
        <v>0</v>
      </c>
      <c r="AT593" s="7" t="n">
        <f aca="false">IF($AJ593=1,IF($H593=1,N593,AT592),AT592)</f>
        <v>0</v>
      </c>
    </row>
    <row r="594" customFormat="false" ht="13" hidden="false" customHeight="false" outlineLevel="0" collapsed="false">
      <c r="A594" s="16" t="n">
        <v>577</v>
      </c>
      <c r="B594" s="37" t="n">
        <f aca="true">IF(RAND()&lt;$D$8,1,0)</f>
        <v>1</v>
      </c>
      <c r="C594" s="20" t="n">
        <f aca="true">-LN(RAND())/$D$2</f>
        <v>1.53852082147606</v>
      </c>
      <c r="D594" s="38" t="n">
        <f aca="false">D593+C594</f>
        <v>605.108305251968</v>
      </c>
      <c r="E594" s="39" t="n">
        <f aca="false">MAX($E$3,AS593)</f>
        <v>0</v>
      </c>
      <c r="F594" s="39" t="n">
        <f aca="false">MAX($E$3,AT593)</f>
        <v>0</v>
      </c>
      <c r="G594" s="40" t="n">
        <v>0.5</v>
      </c>
      <c r="H594" s="38" t="n">
        <f aca="true">IF((B594=1),(IF((F594&lt;E594),1,(IF((F594=E594),(IF(RAND()&lt;G594,1,0)),0)))),(IF((RAND()&lt;G594),1,0)))</f>
        <v>1</v>
      </c>
      <c r="I594" s="38" t="n">
        <f aca="true">IF((H594=1),0,$D$3+$D$5*(RAND()-0.5))</f>
        <v>0</v>
      </c>
      <c r="J594" s="38" t="n">
        <f aca="false">I594+MAX(D594,J593)</f>
        <v>605.108305251968</v>
      </c>
      <c r="K594" s="38" t="n">
        <f aca="false">IF((H594=0),J594-D594,0)</f>
        <v>0</v>
      </c>
      <c r="L594" s="38" t="n">
        <f aca="true">IF(($H594=0),0,$D$4+$D$5*(RAND()-0.5))</f>
        <v>2.24562297427919</v>
      </c>
      <c r="M594" s="38" t="n">
        <f aca="false">L594+MAX(D594,M593)</f>
        <v>663.030250015326</v>
      </c>
      <c r="N594" s="38" t="n">
        <f aca="false">IF((H594=1),M594-D594,0)</f>
        <v>57.9219447633581</v>
      </c>
      <c r="O594" s="16" t="n">
        <v>577</v>
      </c>
      <c r="P594" s="41" t="n">
        <f aca="false">IF((Arterial=0),P593+1,P593)</f>
        <v>260</v>
      </c>
      <c r="Q594" s="41" t="n">
        <f aca="false">IF((Arterial=1),Q593+1,Q593)</f>
        <v>317</v>
      </c>
      <c r="R594" s="42" t="n">
        <f aca="false">IF((RESET=1),0,R594+K594)</f>
        <v>893.535650218501</v>
      </c>
      <c r="S594" s="14" t="e">
        <f aca="false">IF(RESET=1,0,S594+N594)</f>
        <v>#N/A</v>
      </c>
      <c r="T594" s="2" t="n">
        <f aca="false">IF(RESET=1,0,T594+IF(H594=0,1,0))</f>
        <v>42</v>
      </c>
      <c r="U594" s="2" t="e">
        <f aca="false">IF(RESET=1,0,U594+H594)</f>
        <v>#N/A</v>
      </c>
      <c r="V594" s="14" t="n">
        <f aca="false">R594/(T594+0.00001)</f>
        <v>21.2746532731421</v>
      </c>
      <c r="W594" s="14" t="e">
        <f aca="false">S594/(U594+0.0001)</f>
        <v>#N/A</v>
      </c>
      <c r="X594" s="39" t="n">
        <f aca="false">IF(Informed=1,K594,0)</f>
        <v>0</v>
      </c>
      <c r="Y594" s="39" t="n">
        <f aca="false">IF(Informed=0,K594,0)</f>
        <v>0</v>
      </c>
      <c r="Z594" s="39" t="n">
        <f aca="false">IF(Informed=1,N594,0)</f>
        <v>57.9219447633581</v>
      </c>
      <c r="AA594" s="39" t="n">
        <f aca="false">IF(Informed=0,N594,0)</f>
        <v>0</v>
      </c>
      <c r="AB594" s="43" t="n">
        <f aca="false">IF(Arterial=0,IF(Informed=1,1,0),0)</f>
        <v>0</v>
      </c>
      <c r="AC594" s="43" t="n">
        <f aca="false">IF(Arterial=0,IF(Informed=0,1,0),0)</f>
        <v>0</v>
      </c>
      <c r="AD594" s="43" t="n">
        <f aca="false">IF(Arterial=1,IF(Informed=1,1,0),0)</f>
        <v>1</v>
      </c>
      <c r="AE594" s="43" t="n">
        <f aca="false">IF(Arterial=1,IF(Informed=0,1,0),0)</f>
        <v>0</v>
      </c>
      <c r="AF594" s="35" t="n">
        <f aca="false">IF(AB594=1,(X594-G$1030)^2,0)</f>
        <v>0</v>
      </c>
      <c r="AG594" s="35" t="n">
        <f aca="false">IF(AC594=1,(Y594-H$1030)^2,0)</f>
        <v>0</v>
      </c>
      <c r="AH594" s="35" t="n">
        <f aca="false">IF(AD594=1,(Z594-I$1030)^2,0)</f>
        <v>873.031707586484</v>
      </c>
      <c r="AI594" s="35" t="n">
        <f aca="false">IF(AE594=1,(AA594-J$1030)^2,0)</f>
        <v>0</v>
      </c>
      <c r="AJ594" s="37" t="n">
        <f aca="true">IF(RAND()&lt;$D$6,1,0)</f>
        <v>0</v>
      </c>
      <c r="AK594" s="14" t="n">
        <f aca="false">AK593+IF((AJ594=1),IF((H594=0),1,0),0)</f>
        <v>0</v>
      </c>
      <c r="AL594" s="14" t="n">
        <f aca="false">AL593+IF((AJ594=1),IF((H594=1),1,0),0)</f>
        <v>0</v>
      </c>
      <c r="AM594" s="37" t="n">
        <f aca="false">IF(AK594=0,9999,IF($H594=0,IF($AJ594&lt;1,AM593+1,0),AM593))</f>
        <v>9999</v>
      </c>
      <c r="AN594" s="37" t="n">
        <f aca="false">IF(AL594=0,9999,IF($H594=1,IF($AJ594&lt;1,AN593+1,0),AN593))</f>
        <v>9999</v>
      </c>
      <c r="AO594" s="37" t="n">
        <f aca="false">IF($A594-AM594&gt;0,1/(1+AM594),0)</f>
        <v>0</v>
      </c>
      <c r="AP594" s="37" t="n">
        <f aca="false">IF($A594-AN594&gt;0,1/(1+AN594),0)</f>
        <v>0</v>
      </c>
      <c r="AQ594" s="7" t="n">
        <f aca="false">IF(AK594=0,0,MAX(MIN(1,AO594^Power),0))</f>
        <v>0</v>
      </c>
      <c r="AR594" s="7" t="n">
        <f aca="false">IF(AL594=0,0,MAX(MIN(1,AP594^Power),0))</f>
        <v>0</v>
      </c>
      <c r="AS594" s="7" t="n">
        <f aca="false">IF($AJ594=1,IF($H594=0,K594,AS593),AS593)</f>
        <v>0</v>
      </c>
      <c r="AT594" s="7" t="n">
        <f aca="false">IF($AJ594=1,IF($H594=1,N594,AT593),AT593)</f>
        <v>0</v>
      </c>
    </row>
    <row r="595" customFormat="false" ht="13" hidden="false" customHeight="false" outlineLevel="0" collapsed="false">
      <c r="A595" s="16" t="n">
        <v>578</v>
      </c>
      <c r="B595" s="37" t="n">
        <f aca="true">IF(RAND()&lt;$D$8,1,0)</f>
        <v>0</v>
      </c>
      <c r="C595" s="20" t="n">
        <f aca="true">-LN(RAND())/$D$2</f>
        <v>3.15735466839543</v>
      </c>
      <c r="D595" s="38" t="n">
        <f aca="false">D594+C595</f>
        <v>608.265659920364</v>
      </c>
      <c r="E595" s="39" t="n">
        <f aca="false">MAX($E$3,AS594)</f>
        <v>0</v>
      </c>
      <c r="F595" s="39" t="n">
        <f aca="false">MAX($E$3,AT594)</f>
        <v>0</v>
      </c>
      <c r="G595" s="40" t="n">
        <v>0.5</v>
      </c>
      <c r="H595" s="38" t="n">
        <f aca="true">IF((B595=1),(IF((F595&lt;E595),1,(IF((F595=E595),(IF(RAND()&lt;G595,1,0)),0)))),(IF((RAND()&lt;G595),1,0)))</f>
        <v>0</v>
      </c>
      <c r="I595" s="38" t="n">
        <f aca="true">IF((H595=1),0,$D$3+$D$5*(RAND()-0.5))</f>
        <v>2.22799820617247</v>
      </c>
      <c r="J595" s="38" t="n">
        <f aca="false">I595+MAX(D595,J594)</f>
        <v>610.493658126536</v>
      </c>
      <c r="K595" s="38" t="n">
        <f aca="false">IF((H595=0),J595-D595,0)</f>
        <v>2.22799820617252</v>
      </c>
      <c r="L595" s="38" t="n">
        <f aca="true">IF(($H595=0),0,$D$4+$D$5*(RAND()-0.5))</f>
        <v>0</v>
      </c>
      <c r="M595" s="38" t="n">
        <f aca="false">L595+MAX(D595,M594)</f>
        <v>663.030250015326</v>
      </c>
      <c r="N595" s="38" t="n">
        <f aca="false">IF((H595=1),M595-D595,0)</f>
        <v>0</v>
      </c>
      <c r="O595" s="16" t="n">
        <v>578</v>
      </c>
      <c r="P595" s="41" t="n">
        <f aca="false">IF((Arterial=0),P594+1,P594)</f>
        <v>261</v>
      </c>
      <c r="Q595" s="41" t="n">
        <f aca="false">IF((Arterial=1),Q594+1,Q594)</f>
        <v>317</v>
      </c>
      <c r="R595" s="42" t="e">
        <f aca="false">IF((RESET=1),0,R595+K595)</f>
        <v>#N/A</v>
      </c>
      <c r="S595" s="14" t="n">
        <f aca="false">IF(RESET=1,0,S595+N595)</f>
        <v>568.310670353172</v>
      </c>
      <c r="T595" s="2" t="e">
        <f aca="false">IF(RESET=1,0,T595+IF(H595=0,1,0))</f>
        <v>#N/A</v>
      </c>
      <c r="U595" s="2" t="n">
        <f aca="false">IF(RESET=1,0,U595+H595)</f>
        <v>36</v>
      </c>
      <c r="V595" s="14" t="e">
        <f aca="false">R595/(T595+0.00001)</f>
        <v>#N/A</v>
      </c>
      <c r="W595" s="14" t="n">
        <f aca="false">S595/(U595+0.0001)</f>
        <v>15.7863636588002</v>
      </c>
      <c r="X595" s="39" t="n">
        <f aca="false">IF(Informed=1,K595,0)</f>
        <v>0</v>
      </c>
      <c r="Y595" s="39" t="n">
        <f aca="false">IF(Informed=0,K595,0)</f>
        <v>2.22799820617252</v>
      </c>
      <c r="Z595" s="39" t="n">
        <f aca="false">IF(Informed=1,N595,0)</f>
        <v>0</v>
      </c>
      <c r="AA595" s="39" t="n">
        <f aca="false">IF(Informed=0,N595,0)</f>
        <v>0</v>
      </c>
      <c r="AB595" s="43" t="n">
        <f aca="false">IF(Arterial=0,IF(Informed=1,1,0),0)</f>
        <v>0</v>
      </c>
      <c r="AC595" s="43" t="n">
        <f aca="false">IF(Arterial=0,IF(Informed=0,1,0),0)</f>
        <v>1</v>
      </c>
      <c r="AD595" s="43" t="n">
        <f aca="false">IF(Arterial=1,IF(Informed=1,1,0),0)</f>
        <v>0</v>
      </c>
      <c r="AE595" s="43" t="n">
        <f aca="false">IF(Arterial=1,IF(Informed=0,1,0),0)</f>
        <v>0</v>
      </c>
      <c r="AF595" s="35" t="n">
        <f aca="false">IF(AB595=1,(X595-G$1030)^2,0)</f>
        <v>0</v>
      </c>
      <c r="AG595" s="35" t="n">
        <f aca="false">IF(AC595=1,(Y595-H$1030)^2,0)</f>
        <v>75.6167123241178</v>
      </c>
      <c r="AH595" s="35" t="n">
        <f aca="false">IF(AD595=1,(Z595-I$1030)^2,0)</f>
        <v>0</v>
      </c>
      <c r="AI595" s="35" t="n">
        <f aca="false">IF(AE595=1,(AA595-J$1030)^2,0)</f>
        <v>0</v>
      </c>
      <c r="AJ595" s="37" t="n">
        <f aca="true">IF(RAND()&lt;$D$6,1,0)</f>
        <v>0</v>
      </c>
      <c r="AK595" s="14" t="n">
        <f aca="false">AK594+IF((AJ595=1),IF((H595=0),1,0),0)</f>
        <v>0</v>
      </c>
      <c r="AL595" s="14" t="n">
        <f aca="false">AL594+IF((AJ595=1),IF((H595=1),1,0),0)</f>
        <v>0</v>
      </c>
      <c r="AM595" s="37" t="n">
        <f aca="false">IF(AK595=0,9999,IF($H595=0,IF($AJ595&lt;1,AM594+1,0),AM594))</f>
        <v>9999</v>
      </c>
      <c r="AN595" s="37" t="n">
        <f aca="false">IF(AL595=0,9999,IF($H595=1,IF($AJ595&lt;1,AN594+1,0),AN594))</f>
        <v>9999</v>
      </c>
      <c r="AO595" s="37" t="n">
        <f aca="false">IF($A595-AM595&gt;0,1/(1+AM595),0)</f>
        <v>0</v>
      </c>
      <c r="AP595" s="37" t="n">
        <f aca="false">IF($A595-AN595&gt;0,1/(1+AN595),0)</f>
        <v>0</v>
      </c>
      <c r="AQ595" s="7" t="n">
        <f aca="false">IF(AK595=0,0,MAX(MIN(1,AO595^Power),0))</f>
        <v>0</v>
      </c>
      <c r="AR595" s="7" t="n">
        <f aca="false">IF(AL595=0,0,MAX(MIN(1,AP595^Power),0))</f>
        <v>0</v>
      </c>
      <c r="AS595" s="7" t="n">
        <f aca="false">IF($AJ595=1,IF($H595=0,K595,AS594),AS594)</f>
        <v>0</v>
      </c>
      <c r="AT595" s="7" t="n">
        <f aca="false">IF($AJ595=1,IF($H595=1,N595,AT594),AT594)</f>
        <v>0</v>
      </c>
    </row>
    <row r="596" customFormat="false" ht="13" hidden="false" customHeight="false" outlineLevel="0" collapsed="false">
      <c r="A596" s="16" t="n">
        <v>579</v>
      </c>
      <c r="B596" s="37" t="n">
        <f aca="true">IF(RAND()&lt;$D$8,1,0)</f>
        <v>1</v>
      </c>
      <c r="C596" s="20" t="n">
        <f aca="true">-LN(RAND())/$D$2</f>
        <v>3.68721440461581</v>
      </c>
      <c r="D596" s="38" t="n">
        <f aca="false">D595+C596</f>
        <v>611.95287432498</v>
      </c>
      <c r="E596" s="39" t="n">
        <f aca="false">MAX($E$3,AS595)</f>
        <v>0</v>
      </c>
      <c r="F596" s="39" t="n">
        <f aca="false">MAX($E$3,AT595)</f>
        <v>0</v>
      </c>
      <c r="G596" s="40" t="n">
        <v>0.5</v>
      </c>
      <c r="H596" s="38" t="n">
        <f aca="true">IF((B596=1),(IF((F596&lt;E596),1,(IF((F596=E596),(IF(RAND()&lt;G596,1,0)),0)))),(IF((RAND()&lt;G596),1,0)))</f>
        <v>1</v>
      </c>
      <c r="I596" s="38" t="n">
        <f aca="true">IF((H596=1),0,$D$3+$D$5*(RAND()-0.5))</f>
        <v>0</v>
      </c>
      <c r="J596" s="38" t="n">
        <f aca="false">I596+MAX(D596,J595)</f>
        <v>611.95287432498</v>
      </c>
      <c r="K596" s="38" t="n">
        <f aca="false">IF((H596=0),J596-D596,0)</f>
        <v>0</v>
      </c>
      <c r="L596" s="38" t="n">
        <f aca="true">IF(($H596=0),0,$D$4+$D$5*(RAND()-0.5))</f>
        <v>2.05081114448357</v>
      </c>
      <c r="M596" s="38" t="n">
        <f aca="false">L596+MAX(D596,M595)</f>
        <v>665.08106115981</v>
      </c>
      <c r="N596" s="38" t="n">
        <f aca="false">IF((H596=1),M596-D596,0)</f>
        <v>53.1281868348303</v>
      </c>
      <c r="O596" s="16" t="n">
        <v>579</v>
      </c>
      <c r="P596" s="41" t="n">
        <f aca="false">IF((Arterial=0),P595+1,P595)</f>
        <v>261</v>
      </c>
      <c r="Q596" s="41" t="n">
        <f aca="false">IF((Arterial=1),Q595+1,Q595)</f>
        <v>318</v>
      </c>
      <c r="R596" s="42" t="n">
        <f aca="false">IF((RESET=1),0,R596+K596)</f>
        <v>690.179424269563</v>
      </c>
      <c r="S596" s="14" t="e">
        <f aca="false">IF(RESET=1,0,S596+N596)</f>
        <v>#N/A</v>
      </c>
      <c r="T596" s="2" t="n">
        <f aca="false">IF(RESET=1,0,T596+IF(H596=0,1,0))</f>
        <v>36</v>
      </c>
      <c r="U596" s="2" t="e">
        <f aca="false">IF(RESET=1,0,U596+H596)</f>
        <v>#N/A</v>
      </c>
      <c r="V596" s="14" t="n">
        <f aca="false">R596/(T596+0.00001)</f>
        <v>19.1716453486975</v>
      </c>
      <c r="W596" s="14" t="e">
        <f aca="false">S596/(U596+0.0001)</f>
        <v>#N/A</v>
      </c>
      <c r="X596" s="39" t="n">
        <f aca="false">IF(Informed=1,K596,0)</f>
        <v>0</v>
      </c>
      <c r="Y596" s="39" t="n">
        <f aca="false">IF(Informed=0,K596,0)</f>
        <v>0</v>
      </c>
      <c r="Z596" s="39" t="n">
        <f aca="false">IF(Informed=1,N596,0)</f>
        <v>53.1281868348303</v>
      </c>
      <c r="AA596" s="39" t="n">
        <f aca="false">IF(Informed=0,N596,0)</f>
        <v>0</v>
      </c>
      <c r="AB596" s="43" t="n">
        <f aca="false">IF(Arterial=0,IF(Informed=1,1,0),0)</f>
        <v>0</v>
      </c>
      <c r="AC596" s="43" t="n">
        <f aca="false">IF(Arterial=0,IF(Informed=0,1,0),0)</f>
        <v>0</v>
      </c>
      <c r="AD596" s="43" t="n">
        <f aca="false">IF(Arterial=1,IF(Informed=1,1,0),0)</f>
        <v>1</v>
      </c>
      <c r="AE596" s="43" t="n">
        <f aca="false">IF(Arterial=1,IF(Informed=0,1,0),0)</f>
        <v>0</v>
      </c>
      <c r="AF596" s="35" t="n">
        <f aca="false">IF(AB596=1,(X596-G$1030)^2,0)</f>
        <v>0</v>
      </c>
      <c r="AG596" s="35" t="n">
        <f aca="false">IF(AC596=1,(Y596-H$1030)^2,0)</f>
        <v>0</v>
      </c>
      <c r="AH596" s="35" t="n">
        <f aca="false">IF(AD596=1,(Z596-I$1030)^2,0)</f>
        <v>612.7284372951</v>
      </c>
      <c r="AI596" s="35" t="n">
        <f aca="false">IF(AE596=1,(AA596-J$1030)^2,0)</f>
        <v>0</v>
      </c>
      <c r="AJ596" s="37" t="n">
        <f aca="true">IF(RAND()&lt;$D$6,1,0)</f>
        <v>0</v>
      </c>
      <c r="AK596" s="14" t="n">
        <f aca="false">AK595+IF((AJ596=1),IF((H596=0),1,0),0)</f>
        <v>0</v>
      </c>
      <c r="AL596" s="14" t="n">
        <f aca="false">AL595+IF((AJ596=1),IF((H596=1),1,0),0)</f>
        <v>0</v>
      </c>
      <c r="AM596" s="37" t="n">
        <f aca="false">IF(AK596=0,9999,IF($H596=0,IF($AJ596&lt;1,AM595+1,0),AM595))</f>
        <v>9999</v>
      </c>
      <c r="AN596" s="37" t="n">
        <f aca="false">IF(AL596=0,9999,IF($H596=1,IF($AJ596&lt;1,AN595+1,0),AN595))</f>
        <v>9999</v>
      </c>
      <c r="AO596" s="37" t="n">
        <f aca="false">IF($A596-AM596&gt;0,1/(1+AM596),0)</f>
        <v>0</v>
      </c>
      <c r="AP596" s="37" t="n">
        <f aca="false">IF($A596-AN596&gt;0,1/(1+AN596),0)</f>
        <v>0</v>
      </c>
      <c r="AQ596" s="7" t="n">
        <f aca="false">IF(AK596=0,0,MAX(MIN(1,AO596^Power),0))</f>
        <v>0</v>
      </c>
      <c r="AR596" s="7" t="n">
        <f aca="false">IF(AL596=0,0,MAX(MIN(1,AP596^Power),0))</f>
        <v>0</v>
      </c>
      <c r="AS596" s="7" t="n">
        <f aca="false">IF($AJ596=1,IF($H596=0,K596,AS595),AS595)</f>
        <v>0</v>
      </c>
      <c r="AT596" s="7" t="n">
        <f aca="false">IF($AJ596=1,IF($H596=1,N596,AT595),AT595)</f>
        <v>0</v>
      </c>
    </row>
    <row r="597" customFormat="false" ht="13" hidden="false" customHeight="false" outlineLevel="0" collapsed="false">
      <c r="A597" s="16" t="n">
        <v>580</v>
      </c>
      <c r="B597" s="37" t="n">
        <f aca="true">IF(RAND()&lt;$D$8,1,0)</f>
        <v>0</v>
      </c>
      <c r="C597" s="20" t="n">
        <f aca="true">-LN(RAND())/$D$2</f>
        <v>1.67457661008588</v>
      </c>
      <c r="D597" s="38" t="n">
        <f aca="false">D596+C597</f>
        <v>613.627450935065</v>
      </c>
      <c r="E597" s="39" t="n">
        <f aca="false">MAX($E$3,AS596)</f>
        <v>0</v>
      </c>
      <c r="F597" s="39" t="n">
        <f aca="false">MAX($E$3,AT596)</f>
        <v>0</v>
      </c>
      <c r="G597" s="40" t="n">
        <v>0.5</v>
      </c>
      <c r="H597" s="38" t="n">
        <f aca="true">IF((B597=1),(IF((F597&lt;E597),1,(IF((F597=E597),(IF(RAND()&lt;G597,1,0)),0)))),(IF((RAND()&lt;G597),1,0)))</f>
        <v>0</v>
      </c>
      <c r="I597" s="38" t="n">
        <f aca="true">IF((H597=1),0,$D$3+$D$5*(RAND()-0.5))</f>
        <v>1.91165761058696</v>
      </c>
      <c r="J597" s="38" t="n">
        <f aca="false">I597+MAX(D597,J596)</f>
        <v>615.539108545652</v>
      </c>
      <c r="K597" s="38" t="n">
        <f aca="false">IF((H597=0),J597-D597,0)</f>
        <v>1.91165761058699</v>
      </c>
      <c r="L597" s="38" t="n">
        <f aca="true">IF(($H597=0),0,$D$4+$D$5*(RAND()-0.5))</f>
        <v>0</v>
      </c>
      <c r="M597" s="38" t="n">
        <f aca="false">L597+MAX(D597,M596)</f>
        <v>665.08106115981</v>
      </c>
      <c r="N597" s="38" t="n">
        <f aca="false">IF((H597=1),M597-D597,0)</f>
        <v>0</v>
      </c>
      <c r="O597" s="16" t="n">
        <v>580</v>
      </c>
      <c r="P597" s="41" t="n">
        <f aca="false">IF((Arterial=0),P596+1,P596)</f>
        <v>262</v>
      </c>
      <c r="Q597" s="41" t="n">
        <f aca="false">IF((Arterial=1),Q596+1,Q596)</f>
        <v>318</v>
      </c>
      <c r="R597" s="42" t="e">
        <f aca="false">IF((RESET=1),0,R597+K597)</f>
        <v>#N/A</v>
      </c>
      <c r="S597" s="14" t="n">
        <f aca="false">IF(RESET=1,0,S597+N597)</f>
        <v>556.654541882235</v>
      </c>
      <c r="T597" s="2" t="e">
        <f aca="false">IF(RESET=1,0,T597+IF(H597=0,1,0))</f>
        <v>#N/A</v>
      </c>
      <c r="U597" s="2" t="n">
        <f aca="false">IF(RESET=1,0,U597+H597)</f>
        <v>35</v>
      </c>
      <c r="V597" s="14" t="e">
        <f aca="false">R597/(T597+0.00001)</f>
        <v>#N/A</v>
      </c>
      <c r="W597" s="14" t="n">
        <f aca="false">S597/(U597+0.0001)</f>
        <v>15.9043700412923</v>
      </c>
      <c r="X597" s="39" t="n">
        <f aca="false">IF(Informed=1,K597,0)</f>
        <v>0</v>
      </c>
      <c r="Y597" s="39" t="n">
        <f aca="false">IF(Informed=0,K597,0)</f>
        <v>1.91165761058699</v>
      </c>
      <c r="Z597" s="39" t="n">
        <f aca="false">IF(Informed=1,N597,0)</f>
        <v>0</v>
      </c>
      <c r="AA597" s="39" t="n">
        <f aca="false">IF(Informed=0,N597,0)</f>
        <v>0</v>
      </c>
      <c r="AB597" s="43" t="n">
        <f aca="false">IF(Arterial=0,IF(Informed=1,1,0),0)</f>
        <v>0</v>
      </c>
      <c r="AC597" s="43" t="n">
        <f aca="false">IF(Arterial=0,IF(Informed=0,1,0),0)</f>
        <v>1</v>
      </c>
      <c r="AD597" s="43" t="n">
        <f aca="false">IF(Arterial=1,IF(Informed=1,1,0),0)</f>
        <v>0</v>
      </c>
      <c r="AE597" s="43" t="n">
        <f aca="false">IF(Arterial=1,IF(Informed=0,1,0),0)</f>
        <v>0</v>
      </c>
      <c r="AF597" s="35" t="n">
        <f aca="false">IF(AB597=1,(X597-G$1030)^2,0)</f>
        <v>0</v>
      </c>
      <c r="AG597" s="35" t="n">
        <f aca="false">IF(AC597=1,(Y597-H$1030)^2,0)</f>
        <v>81.2184446020473</v>
      </c>
      <c r="AH597" s="35" t="n">
        <f aca="false">IF(AD597=1,(Z597-I$1030)^2,0)</f>
        <v>0</v>
      </c>
      <c r="AI597" s="35" t="n">
        <f aca="false">IF(AE597=1,(AA597-J$1030)^2,0)</f>
        <v>0</v>
      </c>
      <c r="AJ597" s="37" t="n">
        <f aca="true">IF(RAND()&lt;$D$6,1,0)</f>
        <v>0</v>
      </c>
      <c r="AK597" s="14" t="n">
        <f aca="false">AK596+IF((AJ597=1),IF((H597=0),1,0),0)</f>
        <v>0</v>
      </c>
      <c r="AL597" s="14" t="n">
        <f aca="false">AL596+IF((AJ597=1),IF((H597=1),1,0),0)</f>
        <v>0</v>
      </c>
      <c r="AM597" s="37" t="n">
        <f aca="false">IF(AK597=0,9999,IF($H597=0,IF($AJ597&lt;1,AM596+1,0),AM596))</f>
        <v>9999</v>
      </c>
      <c r="AN597" s="37" t="n">
        <f aca="false">IF(AL597=0,9999,IF($H597=1,IF($AJ597&lt;1,AN596+1,0),AN596))</f>
        <v>9999</v>
      </c>
      <c r="AO597" s="37" t="n">
        <f aca="false">IF($A597-AM597&gt;0,1/(1+AM597),0)</f>
        <v>0</v>
      </c>
      <c r="AP597" s="37" t="n">
        <f aca="false">IF($A597-AN597&gt;0,1/(1+AN597),0)</f>
        <v>0</v>
      </c>
      <c r="AQ597" s="7" t="n">
        <f aca="false">IF(AK597=0,0,MAX(MIN(1,AO597^Power),0))</f>
        <v>0</v>
      </c>
      <c r="AR597" s="7" t="n">
        <f aca="false">IF(AL597=0,0,MAX(MIN(1,AP597^Power),0))</f>
        <v>0</v>
      </c>
      <c r="AS597" s="7" t="n">
        <f aca="false">IF($AJ597=1,IF($H597=0,K597,AS596),AS596)</f>
        <v>0</v>
      </c>
      <c r="AT597" s="7" t="n">
        <f aca="false">IF($AJ597=1,IF($H597=1,N597,AT596),AT596)</f>
        <v>0</v>
      </c>
    </row>
    <row r="598" customFormat="false" ht="13" hidden="false" customHeight="false" outlineLevel="0" collapsed="false">
      <c r="A598" s="16" t="n">
        <v>581</v>
      </c>
      <c r="B598" s="37" t="n">
        <f aca="true">IF(RAND()&lt;$D$8,1,0)</f>
        <v>1</v>
      </c>
      <c r="C598" s="20" t="n">
        <f aca="true">-LN(RAND())/$D$2</f>
        <v>2.10605211740171</v>
      </c>
      <c r="D598" s="38" t="n">
        <f aca="false">D597+C598</f>
        <v>615.733503052467</v>
      </c>
      <c r="E598" s="39" t="n">
        <f aca="false">MAX($E$3,AS597)</f>
        <v>0</v>
      </c>
      <c r="F598" s="39" t="n">
        <f aca="false">MAX($E$3,AT597)</f>
        <v>0</v>
      </c>
      <c r="G598" s="40" t="n">
        <v>0.5</v>
      </c>
      <c r="H598" s="38" t="n">
        <f aca="true">IF((B598=1),(IF((F598&lt;E598),1,(IF((F598=E598),(IF(RAND()&lt;G598,1,0)),0)))),(IF((RAND()&lt;G598),1,0)))</f>
        <v>0</v>
      </c>
      <c r="I598" s="38" t="n">
        <f aca="true">IF((H598=1),0,$D$3+$D$5*(RAND()-0.5))</f>
        <v>1.90040393605052</v>
      </c>
      <c r="J598" s="38" t="n">
        <f aca="false">I598+MAX(D598,J597)</f>
        <v>617.633906988518</v>
      </c>
      <c r="K598" s="38" t="n">
        <f aca="false">IF((H598=0),J598-D598,0)</f>
        <v>1.90040393605057</v>
      </c>
      <c r="L598" s="38" t="n">
        <f aca="true">IF(($H598=0),0,$D$4+$D$5*(RAND()-0.5))</f>
        <v>0</v>
      </c>
      <c r="M598" s="38" t="n">
        <f aca="false">L598+MAX(D598,M597)</f>
        <v>665.08106115981</v>
      </c>
      <c r="N598" s="38" t="n">
        <f aca="false">IF((H598=1),M598-D598,0)</f>
        <v>0</v>
      </c>
      <c r="O598" s="16" t="n">
        <v>581</v>
      </c>
      <c r="P598" s="41" t="n">
        <f aca="false">IF((Arterial=0),P597+1,P597)</f>
        <v>263</v>
      </c>
      <c r="Q598" s="41" t="n">
        <f aca="false">IF((Arterial=1),Q597+1,Q597)</f>
        <v>318</v>
      </c>
      <c r="R598" s="42" t="e">
        <f aca="false">IF((RESET=1),0,R598+K598)</f>
        <v>#N/A</v>
      </c>
      <c r="S598" s="14" t="n">
        <f aca="false">IF(RESET=1,0,S598+N598)</f>
        <v>610.814221114162</v>
      </c>
      <c r="T598" s="2" t="e">
        <f aca="false">IF(RESET=1,0,T598+IF(H598=0,1,0))</f>
        <v>#N/A</v>
      </c>
      <c r="U598" s="2" t="n">
        <f aca="false">IF(RESET=1,0,U598+H598)</f>
        <v>43</v>
      </c>
      <c r="V598" s="14" t="e">
        <f aca="false">R598/(T598+0.00001)</f>
        <v>#N/A</v>
      </c>
      <c r="W598" s="14" t="n">
        <f aca="false">S598/(U598+0.0001)</f>
        <v>14.2049488516111</v>
      </c>
      <c r="X598" s="39" t="n">
        <f aca="false">IF(Informed=1,K598,0)</f>
        <v>1.90040393605057</v>
      </c>
      <c r="Y598" s="39" t="n">
        <f aca="false">IF(Informed=0,K598,0)</f>
        <v>0</v>
      </c>
      <c r="Z598" s="39" t="n">
        <f aca="false">IF(Informed=1,N598,0)</f>
        <v>0</v>
      </c>
      <c r="AA598" s="39" t="n">
        <f aca="false">IF(Informed=0,N598,0)</f>
        <v>0</v>
      </c>
      <c r="AB598" s="43" t="n">
        <f aca="false">IF(Arterial=0,IF(Informed=1,1,0),0)</f>
        <v>1</v>
      </c>
      <c r="AC598" s="43" t="n">
        <f aca="false">IF(Arterial=0,IF(Informed=0,1,0),0)</f>
        <v>0</v>
      </c>
      <c r="AD598" s="43" t="n">
        <f aca="false">IF(Arterial=1,IF(Informed=1,1,0),0)</f>
        <v>0</v>
      </c>
      <c r="AE598" s="43" t="n">
        <f aca="false">IF(Arterial=1,IF(Informed=0,1,0),0)</f>
        <v>0</v>
      </c>
      <c r="AF598" s="35" t="n">
        <f aca="false">IF(AB598=1,(X598-G$1030)^2,0)</f>
        <v>77.6033137935537</v>
      </c>
      <c r="AG598" s="35" t="n">
        <f aca="false">IF(AC598=1,(Y598-H$1030)^2,0)</f>
        <v>0</v>
      </c>
      <c r="AH598" s="35" t="n">
        <f aca="false">IF(AD598=1,(Z598-I$1030)^2,0)</f>
        <v>0</v>
      </c>
      <c r="AI598" s="35" t="n">
        <f aca="false">IF(AE598=1,(AA598-J$1030)^2,0)</f>
        <v>0</v>
      </c>
      <c r="AJ598" s="37" t="n">
        <f aca="true">IF(RAND()&lt;$D$6,1,0)</f>
        <v>0</v>
      </c>
      <c r="AK598" s="14" t="n">
        <f aca="false">AK597+IF((AJ598=1),IF((H598=0),1,0),0)</f>
        <v>0</v>
      </c>
      <c r="AL598" s="14" t="n">
        <f aca="false">AL597+IF((AJ598=1),IF((H598=1),1,0),0)</f>
        <v>0</v>
      </c>
      <c r="AM598" s="37" t="n">
        <f aca="false">IF(AK598=0,9999,IF($H598=0,IF($AJ598&lt;1,AM597+1,0),AM597))</f>
        <v>9999</v>
      </c>
      <c r="AN598" s="37" t="n">
        <f aca="false">IF(AL598=0,9999,IF($H598=1,IF($AJ598&lt;1,AN597+1,0),AN597))</f>
        <v>9999</v>
      </c>
      <c r="AO598" s="37" t="n">
        <f aca="false">IF($A598-AM598&gt;0,1/(1+AM598),0)</f>
        <v>0</v>
      </c>
      <c r="AP598" s="37" t="n">
        <f aca="false">IF($A598-AN598&gt;0,1/(1+AN598),0)</f>
        <v>0</v>
      </c>
      <c r="AQ598" s="7" t="n">
        <f aca="false">IF(AK598=0,0,MAX(MIN(1,AO598^Power),0))</f>
        <v>0</v>
      </c>
      <c r="AR598" s="7" t="n">
        <f aca="false">IF(AL598=0,0,MAX(MIN(1,AP598^Power),0))</f>
        <v>0</v>
      </c>
      <c r="AS598" s="7" t="n">
        <f aca="false">IF($AJ598=1,IF($H598=0,K598,AS597),AS597)</f>
        <v>0</v>
      </c>
      <c r="AT598" s="7" t="n">
        <f aca="false">IF($AJ598=1,IF($H598=1,N598,AT597),AT597)</f>
        <v>0</v>
      </c>
    </row>
    <row r="599" customFormat="false" ht="13" hidden="false" customHeight="false" outlineLevel="0" collapsed="false">
      <c r="A599" s="16" t="n">
        <v>582</v>
      </c>
      <c r="B599" s="37" t="n">
        <f aca="true">IF(RAND()&lt;$D$8,1,0)</f>
        <v>0</v>
      </c>
      <c r="C599" s="20" t="n">
        <f aca="true">-LN(RAND())/$D$2</f>
        <v>0.219466709769183</v>
      </c>
      <c r="D599" s="38" t="n">
        <f aca="false">D598+C599</f>
        <v>615.952969762236</v>
      </c>
      <c r="E599" s="39" t="n">
        <f aca="false">MAX($E$3,AS598)</f>
        <v>0</v>
      </c>
      <c r="F599" s="39" t="n">
        <f aca="false">MAX($E$3,AT598)</f>
        <v>0</v>
      </c>
      <c r="G599" s="40" t="n">
        <v>0.5</v>
      </c>
      <c r="H599" s="38" t="n">
        <f aca="true">IF((B599=1),(IF((F599&lt;E599),1,(IF((F599=E599),(IF(RAND()&lt;G599,1,0)),0)))),(IF((RAND()&lt;G599),1,0)))</f>
        <v>1</v>
      </c>
      <c r="I599" s="38" t="n">
        <f aca="true">IF((H599=1),0,$D$3+$D$5*(RAND()-0.5))</f>
        <v>0</v>
      </c>
      <c r="J599" s="38" t="n">
        <f aca="false">I599+MAX(D599,J598)</f>
        <v>617.633906988518</v>
      </c>
      <c r="K599" s="38" t="n">
        <f aca="false">IF((H599=0),J599-D599,0)</f>
        <v>0</v>
      </c>
      <c r="L599" s="38" t="n">
        <f aca="true">IF(($H599=0),0,$D$4+$D$5*(RAND()-0.5))</f>
        <v>1.99726767314629</v>
      </c>
      <c r="M599" s="38" t="n">
        <f aca="false">L599+MAX(D599,M598)</f>
        <v>667.078328832956</v>
      </c>
      <c r="N599" s="38" t="n">
        <f aca="false">IF((H599=1),M599-D599,0)</f>
        <v>51.1253590707198</v>
      </c>
      <c r="O599" s="16" t="n">
        <v>582</v>
      </c>
      <c r="P599" s="41" t="n">
        <f aca="false">IF((Arterial=0),P598+1,P598)</f>
        <v>263</v>
      </c>
      <c r="Q599" s="41" t="n">
        <f aca="false">IF((Arterial=1),Q598+1,Q598)</f>
        <v>319</v>
      </c>
      <c r="R599" s="42" t="n">
        <f aca="false">IF((RESET=1),0,R599+K599)</f>
        <v>960.97231054389</v>
      </c>
      <c r="S599" s="14" t="e">
        <f aca="false">IF(RESET=1,0,S599+N599)</f>
        <v>#N/A</v>
      </c>
      <c r="T599" s="2" t="n">
        <f aca="false">IF(RESET=1,0,T599+IF(H599=0,1,0))</f>
        <v>42</v>
      </c>
      <c r="U599" s="2" t="e">
        <f aca="false">IF(RESET=1,0,U599+H599)</f>
        <v>#N/A</v>
      </c>
      <c r="V599" s="14" t="n">
        <f aca="false">R599/(T599+0.00001)</f>
        <v>22.8802876605003</v>
      </c>
      <c r="W599" s="14" t="e">
        <f aca="false">S599/(U599+0.0001)</f>
        <v>#N/A</v>
      </c>
      <c r="X599" s="39" t="n">
        <f aca="false">IF(Informed=1,K599,0)</f>
        <v>0</v>
      </c>
      <c r="Y599" s="39" t="n">
        <f aca="false">IF(Informed=0,K599,0)</f>
        <v>0</v>
      </c>
      <c r="Z599" s="39" t="n">
        <f aca="false">IF(Informed=1,N599,0)</f>
        <v>0</v>
      </c>
      <c r="AA599" s="39" t="n">
        <f aca="false">IF(Informed=0,N599,0)</f>
        <v>51.1253590707198</v>
      </c>
      <c r="AB599" s="43" t="n">
        <f aca="false">IF(Arterial=0,IF(Informed=1,1,0),0)</f>
        <v>0</v>
      </c>
      <c r="AC599" s="43" t="n">
        <f aca="false">IF(Arterial=0,IF(Informed=0,1,0),0)</f>
        <v>0</v>
      </c>
      <c r="AD599" s="43" t="n">
        <f aca="false">IF(Arterial=1,IF(Informed=1,1,0),0)</f>
        <v>0</v>
      </c>
      <c r="AE599" s="43" t="n">
        <f aca="false">IF(Arterial=1,IF(Informed=0,1,0),0)</f>
        <v>1</v>
      </c>
      <c r="AF599" s="35" t="n">
        <f aca="false">IF(AB599=1,(X599-G$1030)^2,0)</f>
        <v>0</v>
      </c>
      <c r="AG599" s="35" t="n">
        <f aca="false">IF(AC599=1,(Y599-H$1030)^2,0)</f>
        <v>0</v>
      </c>
      <c r="AH599" s="35" t="n">
        <f aca="false">IF(AD599=1,(Z599-I$1030)^2,0)</f>
        <v>0</v>
      </c>
      <c r="AI599" s="35" t="n">
        <f aca="false">IF(AE599=1,(AA599-J$1030)^2,0)</f>
        <v>464.880346726573</v>
      </c>
      <c r="AJ599" s="37" t="n">
        <f aca="true">IF(RAND()&lt;$D$6,1,0)</f>
        <v>0</v>
      </c>
      <c r="AK599" s="14" t="n">
        <f aca="false">AK598+IF((AJ599=1),IF((H599=0),1,0),0)</f>
        <v>0</v>
      </c>
      <c r="AL599" s="14" t="n">
        <f aca="false">AL598+IF((AJ599=1),IF((H599=1),1,0),0)</f>
        <v>0</v>
      </c>
      <c r="AM599" s="37" t="n">
        <f aca="false">IF(AK599=0,9999,IF($H599=0,IF($AJ599&lt;1,AM598+1,0),AM598))</f>
        <v>9999</v>
      </c>
      <c r="AN599" s="37" t="n">
        <f aca="false">IF(AL599=0,9999,IF($H599=1,IF($AJ599&lt;1,AN598+1,0),AN598))</f>
        <v>9999</v>
      </c>
      <c r="AO599" s="37" t="n">
        <f aca="false">IF($A599-AM599&gt;0,1/(1+AM599),0)</f>
        <v>0</v>
      </c>
      <c r="AP599" s="37" t="n">
        <f aca="false">IF($A599-AN599&gt;0,1/(1+AN599),0)</f>
        <v>0</v>
      </c>
      <c r="AQ599" s="7" t="n">
        <f aca="false">IF(AK599=0,0,MAX(MIN(1,AO599^Power),0))</f>
        <v>0</v>
      </c>
      <c r="AR599" s="7" t="n">
        <f aca="false">IF(AL599=0,0,MAX(MIN(1,AP599^Power),0))</f>
        <v>0</v>
      </c>
      <c r="AS599" s="7" t="n">
        <f aca="false">IF($AJ599=1,IF($H599=0,K599,AS598),AS598)</f>
        <v>0</v>
      </c>
      <c r="AT599" s="7" t="n">
        <f aca="false">IF($AJ599=1,IF($H599=1,N599,AT598),AT598)</f>
        <v>0</v>
      </c>
    </row>
    <row r="600" customFormat="false" ht="13" hidden="false" customHeight="false" outlineLevel="0" collapsed="false">
      <c r="A600" s="16" t="n">
        <v>583</v>
      </c>
      <c r="B600" s="37" t="n">
        <f aca="true">IF(RAND()&lt;$D$8,1,0)</f>
        <v>0</v>
      </c>
      <c r="C600" s="20" t="n">
        <f aca="true">-LN(RAND())/$D$2</f>
        <v>1.833896359878</v>
      </c>
      <c r="D600" s="38" t="n">
        <f aca="false">D599+C600</f>
        <v>617.786866122114</v>
      </c>
      <c r="E600" s="39" t="n">
        <f aca="false">MAX($E$3,AS599)</f>
        <v>0</v>
      </c>
      <c r="F600" s="39" t="n">
        <f aca="false">MAX($E$3,AT599)</f>
        <v>0</v>
      </c>
      <c r="G600" s="40" t="n">
        <v>0.5</v>
      </c>
      <c r="H600" s="38" t="n">
        <f aca="true">IF((B600=1),(IF((F600&lt;E600),1,(IF((F600=E600),(IF(RAND()&lt;G600,1,0)),0)))),(IF((RAND()&lt;G600),1,0)))</f>
        <v>0</v>
      </c>
      <c r="I600" s="38" t="n">
        <f aca="true">IF((H600=1),0,$D$3+$D$5*(RAND()-0.5))</f>
        <v>1.81334049919807</v>
      </c>
      <c r="J600" s="38" t="n">
        <f aca="false">I600+MAX(D600,J599)</f>
        <v>619.600206621312</v>
      </c>
      <c r="K600" s="38" t="n">
        <f aca="false">IF((H600=0),J600-D600,0)</f>
        <v>1.81334049919803</v>
      </c>
      <c r="L600" s="38" t="n">
        <f aca="true">IF(($H600=0),0,$D$4+$D$5*(RAND()-0.5))</f>
        <v>0</v>
      </c>
      <c r="M600" s="38" t="n">
        <f aca="false">L600+MAX(D600,M599)</f>
        <v>667.078328832956</v>
      </c>
      <c r="N600" s="38" t="n">
        <f aca="false">IF((H600=1),M600-D600,0)</f>
        <v>0</v>
      </c>
      <c r="O600" s="16" t="n">
        <v>583</v>
      </c>
      <c r="P600" s="41" t="n">
        <f aca="false">IF((Arterial=0),P599+1,P599)</f>
        <v>264</v>
      </c>
      <c r="Q600" s="41" t="n">
        <f aca="false">IF((Arterial=1),Q599+1,Q599)</f>
        <v>319</v>
      </c>
      <c r="R600" s="42" t="e">
        <f aca="false">IF((RESET=1),0,R600+K600)</f>
        <v>#N/A</v>
      </c>
      <c r="S600" s="14" t="n">
        <f aca="false">IF(RESET=1,0,S600+N600)</f>
        <v>630.298346458401</v>
      </c>
      <c r="T600" s="2" t="e">
        <f aca="false">IF(RESET=1,0,T600+IF(H600=0,1,0))</f>
        <v>#N/A</v>
      </c>
      <c r="U600" s="2" t="n">
        <f aca="false">IF(RESET=1,0,U600+H600)</f>
        <v>39</v>
      </c>
      <c r="V600" s="14" t="e">
        <f aca="false">R600/(T600+0.00001)</f>
        <v>#N/A</v>
      </c>
      <c r="W600" s="14" t="n">
        <f aca="false">S600/(U600+0.0001)</f>
        <v>16.1614546234087</v>
      </c>
      <c r="X600" s="39" t="n">
        <f aca="false">IF(Informed=1,K600,0)</f>
        <v>0</v>
      </c>
      <c r="Y600" s="39" t="n">
        <f aca="false">IF(Informed=0,K600,0)</f>
        <v>1.81334049919803</v>
      </c>
      <c r="Z600" s="39" t="n">
        <f aca="false">IF(Informed=1,N600,0)</f>
        <v>0</v>
      </c>
      <c r="AA600" s="39" t="n">
        <f aca="false">IF(Informed=0,N600,0)</f>
        <v>0</v>
      </c>
      <c r="AB600" s="43" t="n">
        <f aca="false">IF(Arterial=0,IF(Informed=1,1,0),0)</f>
        <v>0</v>
      </c>
      <c r="AC600" s="43" t="n">
        <f aca="false">IF(Arterial=0,IF(Informed=0,1,0),0)</f>
        <v>1</v>
      </c>
      <c r="AD600" s="43" t="n">
        <f aca="false">IF(Arterial=1,IF(Informed=1,1,0),0)</f>
        <v>0</v>
      </c>
      <c r="AE600" s="43" t="n">
        <f aca="false">IF(Arterial=1,IF(Informed=0,1,0),0)</f>
        <v>0</v>
      </c>
      <c r="AF600" s="35" t="n">
        <f aca="false">IF(AB600=1,(X600-G$1030)^2,0)</f>
        <v>0</v>
      </c>
      <c r="AG600" s="35" t="n">
        <f aca="false">IF(AC600=1,(Y600-H$1030)^2,0)</f>
        <v>83.000203570532</v>
      </c>
      <c r="AH600" s="35" t="n">
        <f aca="false">IF(AD600=1,(Z600-I$1030)^2,0)</f>
        <v>0</v>
      </c>
      <c r="AI600" s="35" t="n">
        <f aca="false">IF(AE600=1,(AA600-J$1030)^2,0)</f>
        <v>0</v>
      </c>
      <c r="AJ600" s="37" t="n">
        <f aca="true">IF(RAND()&lt;$D$6,1,0)</f>
        <v>0</v>
      </c>
      <c r="AK600" s="14" t="n">
        <f aca="false">AK599+IF((AJ600=1),IF((H600=0),1,0),0)</f>
        <v>0</v>
      </c>
      <c r="AL600" s="14" t="n">
        <f aca="false">AL599+IF((AJ600=1),IF((H600=1),1,0),0)</f>
        <v>0</v>
      </c>
      <c r="AM600" s="37" t="n">
        <f aca="false">IF(AK600=0,9999,IF($H600=0,IF($AJ600&lt;1,AM599+1,0),AM599))</f>
        <v>9999</v>
      </c>
      <c r="AN600" s="37" t="n">
        <f aca="false">IF(AL600=0,9999,IF($H600=1,IF($AJ600&lt;1,AN599+1,0),AN599))</f>
        <v>9999</v>
      </c>
      <c r="AO600" s="37" t="n">
        <f aca="false">IF($A600-AM600&gt;0,1/(1+AM600),0)</f>
        <v>0</v>
      </c>
      <c r="AP600" s="37" t="n">
        <f aca="false">IF($A600-AN600&gt;0,1/(1+AN600),0)</f>
        <v>0</v>
      </c>
      <c r="AQ600" s="7" t="n">
        <f aca="false">IF(AK600=0,0,MAX(MIN(1,AO600^Power),0))</f>
        <v>0</v>
      </c>
      <c r="AR600" s="7" t="n">
        <f aca="false">IF(AL600=0,0,MAX(MIN(1,AP600^Power),0))</f>
        <v>0</v>
      </c>
      <c r="AS600" s="7" t="n">
        <f aca="false">IF($AJ600=1,IF($H600=0,K600,AS599),AS599)</f>
        <v>0</v>
      </c>
      <c r="AT600" s="7" t="n">
        <f aca="false">IF($AJ600=1,IF($H600=1,N600,AT599),AT599)</f>
        <v>0</v>
      </c>
    </row>
    <row r="601" customFormat="false" ht="13" hidden="false" customHeight="false" outlineLevel="0" collapsed="false">
      <c r="A601" s="16" t="n">
        <v>584</v>
      </c>
      <c r="B601" s="37" t="n">
        <f aca="true">IF(RAND()&lt;$D$8,1,0)</f>
        <v>0</v>
      </c>
      <c r="C601" s="20" t="n">
        <f aca="true">-LN(RAND())/$D$2</f>
        <v>3.05787470029669</v>
      </c>
      <c r="D601" s="38" t="n">
        <f aca="false">D600+C601</f>
        <v>620.844740822411</v>
      </c>
      <c r="E601" s="39" t="n">
        <f aca="false">MAX($E$3,AS600)</f>
        <v>0</v>
      </c>
      <c r="F601" s="39" t="n">
        <f aca="false">MAX($E$3,AT600)</f>
        <v>0</v>
      </c>
      <c r="G601" s="40" t="n">
        <v>0.5</v>
      </c>
      <c r="H601" s="38" t="n">
        <f aca="true">IF((B601=1),(IF((F601&lt;E601),1,(IF((F601=E601),(IF(RAND()&lt;G601,1,0)),0)))),(IF((RAND()&lt;G601),1,0)))</f>
        <v>1</v>
      </c>
      <c r="I601" s="38" t="n">
        <f aca="true">IF((H601=1),0,$D$3+$D$5*(RAND()-0.5))</f>
        <v>0</v>
      </c>
      <c r="J601" s="38" t="n">
        <f aca="false">I601+MAX(D601,J600)</f>
        <v>620.844740822411</v>
      </c>
      <c r="K601" s="38" t="n">
        <f aca="false">IF((H601=0),J601-D601,0)</f>
        <v>0</v>
      </c>
      <c r="L601" s="38" t="n">
        <f aca="true">IF(($H601=0),0,$D$4+$D$5*(RAND()-0.5))</f>
        <v>2.02685294894826</v>
      </c>
      <c r="M601" s="38" t="n">
        <f aca="false">L601+MAX(D601,M600)</f>
        <v>669.105181781904</v>
      </c>
      <c r="N601" s="38" t="n">
        <f aca="false">IF((H601=1),M601-D601,0)</f>
        <v>48.2604409594933</v>
      </c>
      <c r="O601" s="16" t="n">
        <v>584</v>
      </c>
      <c r="P601" s="41" t="n">
        <f aca="false">IF((Arterial=0),P600+1,P600)</f>
        <v>264</v>
      </c>
      <c r="Q601" s="41" t="n">
        <f aca="false">IF((Arterial=1),Q600+1,Q600)</f>
        <v>320</v>
      </c>
      <c r="R601" s="42" t="n">
        <f aca="false">IF((RESET=1),0,R601+K601)</f>
        <v>754.964223297911</v>
      </c>
      <c r="S601" s="14" t="e">
        <f aca="false">IF(RESET=1,0,S601+N601)</f>
        <v>#N/A</v>
      </c>
      <c r="T601" s="2" t="n">
        <f aca="false">IF(RESET=1,0,T601+IF(H601=0,1,0))</f>
        <v>36</v>
      </c>
      <c r="U601" s="2" t="e">
        <f aca="false">IF(RESET=1,0,U601+H601)</f>
        <v>#N/A</v>
      </c>
      <c r="V601" s="14" t="n">
        <f aca="false">R601/(T601+0.00001)</f>
        <v>20.9712225996024</v>
      </c>
      <c r="W601" s="14" t="e">
        <f aca="false">S601/(U601+0.0001)</f>
        <v>#N/A</v>
      </c>
      <c r="X601" s="39" t="n">
        <f aca="false">IF(Informed=1,K601,0)</f>
        <v>0</v>
      </c>
      <c r="Y601" s="39" t="n">
        <f aca="false">IF(Informed=0,K601,0)</f>
        <v>0</v>
      </c>
      <c r="Z601" s="39" t="n">
        <f aca="false">IF(Informed=1,N601,0)</f>
        <v>0</v>
      </c>
      <c r="AA601" s="39" t="n">
        <f aca="false">IF(Informed=0,N601,0)</f>
        <v>48.2604409594933</v>
      </c>
      <c r="AB601" s="43" t="n">
        <f aca="false">IF(Arterial=0,IF(Informed=1,1,0),0)</f>
        <v>0</v>
      </c>
      <c r="AC601" s="43" t="n">
        <f aca="false">IF(Arterial=0,IF(Informed=0,1,0),0)</f>
        <v>0</v>
      </c>
      <c r="AD601" s="43" t="n">
        <f aca="false">IF(Arterial=1,IF(Informed=1,1,0),0)</f>
        <v>0</v>
      </c>
      <c r="AE601" s="43" t="n">
        <f aca="false">IF(Arterial=1,IF(Informed=0,1,0),0)</f>
        <v>1</v>
      </c>
      <c r="AF601" s="35" t="n">
        <f aca="false">IF(AB601=1,(X601-G$1030)^2,0)</f>
        <v>0</v>
      </c>
      <c r="AG601" s="35" t="n">
        <f aca="false">IF(AC601=1,(Y601-H$1030)^2,0)</f>
        <v>0</v>
      </c>
      <c r="AH601" s="35" t="n">
        <f aca="false">IF(AD601=1,(Z601-I$1030)^2,0)</f>
        <v>0</v>
      </c>
      <c r="AI601" s="35" t="n">
        <f aca="false">IF(AE601=1,(AA601-J$1030)^2,0)</f>
        <v>349.546621950778</v>
      </c>
      <c r="AJ601" s="37" t="n">
        <f aca="true">IF(RAND()&lt;$D$6,1,0)</f>
        <v>0</v>
      </c>
      <c r="AK601" s="14" t="n">
        <f aca="false">AK600+IF((AJ601=1),IF((H601=0),1,0),0)</f>
        <v>0</v>
      </c>
      <c r="AL601" s="14" t="n">
        <f aca="false">AL600+IF((AJ601=1),IF((H601=1),1,0),0)</f>
        <v>0</v>
      </c>
      <c r="AM601" s="37" t="n">
        <f aca="false">IF(AK601=0,9999,IF($H601=0,IF($AJ601&lt;1,AM600+1,0),AM600))</f>
        <v>9999</v>
      </c>
      <c r="AN601" s="37" t="n">
        <f aca="false">IF(AL601=0,9999,IF($H601=1,IF($AJ601&lt;1,AN600+1,0),AN600))</f>
        <v>9999</v>
      </c>
      <c r="AO601" s="37" t="n">
        <f aca="false">IF($A601-AM601&gt;0,1/(1+AM601),0)</f>
        <v>0</v>
      </c>
      <c r="AP601" s="37" t="n">
        <f aca="false">IF($A601-AN601&gt;0,1/(1+AN601),0)</f>
        <v>0</v>
      </c>
      <c r="AQ601" s="7" t="n">
        <f aca="false">IF(AK601=0,0,MAX(MIN(1,AO601^Power),0))</f>
        <v>0</v>
      </c>
      <c r="AR601" s="7" t="n">
        <f aca="false">IF(AL601=0,0,MAX(MIN(1,AP601^Power),0))</f>
        <v>0</v>
      </c>
      <c r="AS601" s="7" t="n">
        <f aca="false">IF($AJ601=1,IF($H601=0,K601,AS600),AS600)</f>
        <v>0</v>
      </c>
      <c r="AT601" s="7" t="n">
        <f aca="false">IF($AJ601=1,IF($H601=1,N601,AT600),AT600)</f>
        <v>0</v>
      </c>
    </row>
    <row r="602" customFormat="false" ht="13" hidden="false" customHeight="false" outlineLevel="0" collapsed="false">
      <c r="A602" s="16" t="n">
        <v>585</v>
      </c>
      <c r="B602" s="37" t="n">
        <f aca="true">IF(RAND()&lt;$D$8,1,0)</f>
        <v>1</v>
      </c>
      <c r="C602" s="20" t="n">
        <f aca="true">-LN(RAND())/$D$2</f>
        <v>0.168903083908173</v>
      </c>
      <c r="D602" s="38" t="n">
        <f aca="false">D601+C602</f>
        <v>621.013643906319</v>
      </c>
      <c r="E602" s="39" t="n">
        <f aca="false">MAX($E$3,AS601)</f>
        <v>0</v>
      </c>
      <c r="F602" s="39" t="n">
        <f aca="false">MAX($E$3,AT601)</f>
        <v>0</v>
      </c>
      <c r="G602" s="40" t="n">
        <v>0.5</v>
      </c>
      <c r="H602" s="38" t="n">
        <f aca="true">IF((B602=1),(IF((F602&lt;E602),1,(IF((F602=E602),(IF(RAND()&lt;G602,1,0)),0)))),(IF((RAND()&lt;G602),1,0)))</f>
        <v>0</v>
      </c>
      <c r="I602" s="38" t="n">
        <f aca="true">IF((H602=1),0,$D$3+$D$5*(RAND()-0.5))</f>
        <v>1.90743369098403</v>
      </c>
      <c r="J602" s="38" t="n">
        <f aca="false">I602+MAX(D602,J601)</f>
        <v>622.921077597303</v>
      </c>
      <c r="K602" s="38" t="n">
        <f aca="false">IF((H602=0),J602-D602,0)</f>
        <v>1.90743369098402</v>
      </c>
      <c r="L602" s="38" t="n">
        <f aca="true">IF(($H602=0),0,$D$4+$D$5*(RAND()-0.5))</f>
        <v>0</v>
      </c>
      <c r="M602" s="38" t="n">
        <f aca="false">L602+MAX(D602,M601)</f>
        <v>669.105181781904</v>
      </c>
      <c r="N602" s="38" t="n">
        <f aca="false">IF((H602=1),M602-D602,0)</f>
        <v>0</v>
      </c>
      <c r="O602" s="16" t="n">
        <v>585</v>
      </c>
      <c r="P602" s="41" t="n">
        <f aca="false">IF((Arterial=0),P601+1,P601)</f>
        <v>265</v>
      </c>
      <c r="Q602" s="41" t="n">
        <f aca="false">IF((Arterial=1),Q601+1,Q601)</f>
        <v>320</v>
      </c>
      <c r="R602" s="42" t="e">
        <f aca="false">IF((RESET=1),0,R602+K602)</f>
        <v>#N/A</v>
      </c>
      <c r="S602" s="14" t="n">
        <f aca="false">IF(RESET=1,0,S602+N602)</f>
        <v>623.630840498816</v>
      </c>
      <c r="T602" s="2" t="e">
        <f aca="false">IF(RESET=1,0,T602+IF(H602=0,1,0))</f>
        <v>#N/A</v>
      </c>
      <c r="U602" s="2" t="n">
        <f aca="false">IF(RESET=1,0,U602+H602)</f>
        <v>40</v>
      </c>
      <c r="V602" s="14" t="e">
        <f aca="false">R602/(T602+0.00001)</f>
        <v>#N/A</v>
      </c>
      <c r="W602" s="14" t="n">
        <f aca="false">S602/(U602+0.0001)</f>
        <v>15.5907320356403</v>
      </c>
      <c r="X602" s="39" t="n">
        <f aca="false">IF(Informed=1,K602,0)</f>
        <v>1.90743369098402</v>
      </c>
      <c r="Y602" s="39" t="n">
        <f aca="false">IF(Informed=0,K602,0)</f>
        <v>0</v>
      </c>
      <c r="Z602" s="39" t="n">
        <f aca="false">IF(Informed=1,N602,0)</f>
        <v>0</v>
      </c>
      <c r="AA602" s="39" t="n">
        <f aca="false">IF(Informed=0,N602,0)</f>
        <v>0</v>
      </c>
      <c r="AB602" s="43" t="n">
        <f aca="false">IF(Arterial=0,IF(Informed=1,1,0),0)</f>
        <v>1</v>
      </c>
      <c r="AC602" s="43" t="n">
        <f aca="false">IF(Arterial=0,IF(Informed=0,1,0),0)</f>
        <v>0</v>
      </c>
      <c r="AD602" s="43" t="n">
        <f aca="false">IF(Arterial=1,IF(Informed=1,1,0),0)</f>
        <v>0</v>
      </c>
      <c r="AE602" s="43" t="n">
        <f aca="false">IF(Arterial=1,IF(Informed=0,1,0),0)</f>
        <v>0</v>
      </c>
      <c r="AF602" s="35" t="n">
        <f aca="false">IF(AB602=1,(X602-G$1030)^2,0)</f>
        <v>77.4795091319864</v>
      </c>
      <c r="AG602" s="35" t="n">
        <f aca="false">IF(AC602=1,(Y602-H$1030)^2,0)</f>
        <v>0</v>
      </c>
      <c r="AH602" s="35" t="n">
        <f aca="false">IF(AD602=1,(Z602-I$1030)^2,0)</f>
        <v>0</v>
      </c>
      <c r="AI602" s="35" t="n">
        <f aca="false">IF(AE602=1,(AA602-J$1030)^2,0)</f>
        <v>0</v>
      </c>
      <c r="AJ602" s="37" t="n">
        <f aca="true">IF(RAND()&lt;$D$6,1,0)</f>
        <v>0</v>
      </c>
      <c r="AK602" s="14" t="n">
        <f aca="false">AK601+IF((AJ602=1),IF((H602=0),1,0),0)</f>
        <v>0</v>
      </c>
      <c r="AL602" s="14" t="n">
        <f aca="false">AL601+IF((AJ602=1),IF((H602=1),1,0),0)</f>
        <v>0</v>
      </c>
      <c r="AM602" s="37" t="n">
        <f aca="false">IF(AK602=0,9999,IF($H602=0,IF($AJ602&lt;1,AM601+1,0),AM601))</f>
        <v>9999</v>
      </c>
      <c r="AN602" s="37" t="n">
        <f aca="false">IF(AL602=0,9999,IF($H602=1,IF($AJ602&lt;1,AN601+1,0),AN601))</f>
        <v>9999</v>
      </c>
      <c r="AO602" s="37" t="n">
        <f aca="false">IF($A602-AM602&gt;0,1/(1+AM602),0)</f>
        <v>0</v>
      </c>
      <c r="AP602" s="37" t="n">
        <f aca="false">IF($A602-AN602&gt;0,1/(1+AN602),0)</f>
        <v>0</v>
      </c>
      <c r="AQ602" s="7" t="n">
        <f aca="false">IF(AK602=0,0,MAX(MIN(1,AO602^Power),0))</f>
        <v>0</v>
      </c>
      <c r="AR602" s="7" t="n">
        <f aca="false">IF(AL602=0,0,MAX(MIN(1,AP602^Power),0))</f>
        <v>0</v>
      </c>
      <c r="AS602" s="7" t="n">
        <f aca="false">IF($AJ602=1,IF($H602=0,K602,AS601),AS601)</f>
        <v>0</v>
      </c>
      <c r="AT602" s="7" t="n">
        <f aca="false">IF($AJ602=1,IF($H602=1,N602,AT601),AT601)</f>
        <v>0</v>
      </c>
    </row>
    <row r="603" customFormat="false" ht="13" hidden="false" customHeight="false" outlineLevel="0" collapsed="false">
      <c r="A603" s="16" t="n">
        <v>586</v>
      </c>
      <c r="B603" s="37" t="n">
        <f aca="true">IF(RAND()&lt;$D$8,1,0)</f>
        <v>1</v>
      </c>
      <c r="C603" s="20" t="n">
        <f aca="true">-LN(RAND())/$D$2</f>
        <v>0.304893090005562</v>
      </c>
      <c r="D603" s="38" t="n">
        <f aca="false">D602+C603</f>
        <v>621.318536996325</v>
      </c>
      <c r="E603" s="39" t="n">
        <f aca="false">MAX($E$3,AS602)</f>
        <v>0</v>
      </c>
      <c r="F603" s="39" t="n">
        <f aca="false">MAX($E$3,AT602)</f>
        <v>0</v>
      </c>
      <c r="G603" s="40" t="n">
        <v>0.5</v>
      </c>
      <c r="H603" s="38" t="n">
        <f aca="true">IF((B603=1),(IF((F603&lt;E603),1,(IF((F603=E603),(IF(RAND()&lt;G603,1,0)),0)))),(IF((RAND()&lt;G603),1,0)))</f>
        <v>1</v>
      </c>
      <c r="I603" s="38" t="n">
        <f aca="true">IF((H603=1),0,$D$3+$D$5*(RAND()-0.5))</f>
        <v>0</v>
      </c>
      <c r="J603" s="38" t="n">
        <f aca="false">I603+MAX(D603,J602)</f>
        <v>622.921077597303</v>
      </c>
      <c r="K603" s="38" t="n">
        <f aca="false">IF((H603=0),J603-D603,0)</f>
        <v>0</v>
      </c>
      <c r="L603" s="38" t="n">
        <f aca="true">IF(($H603=0),0,$D$4+$D$5*(RAND()-0.5))</f>
        <v>2.13503189328997</v>
      </c>
      <c r="M603" s="38" t="n">
        <f aca="false">L603+MAX(D603,M602)</f>
        <v>671.240213675194</v>
      </c>
      <c r="N603" s="38" t="n">
        <f aca="false">IF((H603=1),M603-D603,0)</f>
        <v>49.9216766788695</v>
      </c>
      <c r="O603" s="16" t="n">
        <v>586</v>
      </c>
      <c r="P603" s="41" t="n">
        <f aca="false">IF((Arterial=0),P602+1,P602)</f>
        <v>265</v>
      </c>
      <c r="Q603" s="41" t="n">
        <f aca="false">IF((Arterial=1),Q602+1,Q602)</f>
        <v>321</v>
      </c>
      <c r="R603" s="42" t="n">
        <f aca="false">IF((RESET=1),0,R603+K603)</f>
        <v>890.127680333112</v>
      </c>
      <c r="S603" s="14" t="e">
        <f aca="false">IF(RESET=1,0,S603+N603)</f>
        <v>#N/A</v>
      </c>
      <c r="T603" s="2" t="n">
        <f aca="false">IF(RESET=1,0,T603+IF(H603=0,1,0))</f>
        <v>41</v>
      </c>
      <c r="U603" s="2" t="e">
        <f aca="false">IF(RESET=1,0,U603+H603)</f>
        <v>#N/A</v>
      </c>
      <c r="V603" s="14" t="n">
        <f aca="false">R603/(T603+0.00001)</f>
        <v>21.710425932411</v>
      </c>
      <c r="W603" s="14" t="e">
        <f aca="false">S603/(U603+0.0001)</f>
        <v>#N/A</v>
      </c>
      <c r="X603" s="39" t="n">
        <f aca="false">IF(Informed=1,K603,0)</f>
        <v>0</v>
      </c>
      <c r="Y603" s="39" t="n">
        <f aca="false">IF(Informed=0,K603,0)</f>
        <v>0</v>
      </c>
      <c r="Z603" s="39" t="n">
        <f aca="false">IF(Informed=1,N603,0)</f>
        <v>49.9216766788695</v>
      </c>
      <c r="AA603" s="39" t="n">
        <f aca="false">IF(Informed=0,N603,0)</f>
        <v>0</v>
      </c>
      <c r="AB603" s="43" t="n">
        <f aca="false">IF(Arterial=0,IF(Informed=1,1,0),0)</f>
        <v>0</v>
      </c>
      <c r="AC603" s="43" t="n">
        <f aca="false">IF(Arterial=0,IF(Informed=0,1,0),0)</f>
        <v>0</v>
      </c>
      <c r="AD603" s="43" t="n">
        <f aca="false">IF(Arterial=1,IF(Informed=1,1,0),0)</f>
        <v>1</v>
      </c>
      <c r="AE603" s="43" t="n">
        <f aca="false">IF(Arterial=1,IF(Informed=0,1,0),0)</f>
        <v>0</v>
      </c>
      <c r="AF603" s="35" t="n">
        <f aca="false">IF(AB603=1,(X603-G$1030)^2,0)</f>
        <v>0</v>
      </c>
      <c r="AG603" s="35" t="n">
        <f aca="false">IF(AC603=1,(Y603-H$1030)^2,0)</f>
        <v>0</v>
      </c>
      <c r="AH603" s="35" t="n">
        <f aca="false">IF(AD603=1,(Z603-I$1030)^2,0)</f>
        <v>464.266395244489</v>
      </c>
      <c r="AI603" s="35" t="n">
        <f aca="false">IF(AE603=1,(AA603-J$1030)^2,0)</f>
        <v>0</v>
      </c>
      <c r="AJ603" s="37" t="n">
        <f aca="true">IF(RAND()&lt;$D$6,1,0)</f>
        <v>0</v>
      </c>
      <c r="AK603" s="14" t="n">
        <f aca="false">AK602+IF((AJ603=1),IF((H603=0),1,0),0)</f>
        <v>0</v>
      </c>
      <c r="AL603" s="14" t="n">
        <f aca="false">AL602+IF((AJ603=1),IF((H603=1),1,0),0)</f>
        <v>0</v>
      </c>
      <c r="AM603" s="37" t="n">
        <f aca="false">IF(AK603=0,9999,IF($H603=0,IF($AJ603&lt;1,AM602+1,0),AM602))</f>
        <v>9999</v>
      </c>
      <c r="AN603" s="37" t="n">
        <f aca="false">IF(AL603=0,9999,IF($H603=1,IF($AJ603&lt;1,AN602+1,0),AN602))</f>
        <v>9999</v>
      </c>
      <c r="AO603" s="37" t="n">
        <f aca="false">IF($A603-AM603&gt;0,1/(1+AM603),0)</f>
        <v>0</v>
      </c>
      <c r="AP603" s="37" t="n">
        <f aca="false">IF($A603-AN603&gt;0,1/(1+AN603),0)</f>
        <v>0</v>
      </c>
      <c r="AQ603" s="7" t="n">
        <f aca="false">IF(AK603=0,0,MAX(MIN(1,AO603^Power),0))</f>
        <v>0</v>
      </c>
      <c r="AR603" s="7" t="n">
        <f aca="false">IF(AL603=0,0,MAX(MIN(1,AP603^Power),0))</f>
        <v>0</v>
      </c>
      <c r="AS603" s="7" t="n">
        <f aca="false">IF($AJ603=1,IF($H603=0,K603,AS602),AS602)</f>
        <v>0</v>
      </c>
      <c r="AT603" s="7" t="n">
        <f aca="false">IF($AJ603=1,IF($H603=1,N603,AT602),AT602)</f>
        <v>0</v>
      </c>
    </row>
    <row r="604" customFormat="false" ht="13" hidden="false" customHeight="false" outlineLevel="0" collapsed="false">
      <c r="A604" s="16" t="n">
        <v>587</v>
      </c>
      <c r="B604" s="37" t="n">
        <f aca="true">IF(RAND()&lt;$D$8,1,0)</f>
        <v>0</v>
      </c>
      <c r="C604" s="20" t="n">
        <f aca="true">-LN(RAND())/$D$2</f>
        <v>0.996383636432437</v>
      </c>
      <c r="D604" s="38" t="n">
        <f aca="false">D603+C604</f>
        <v>622.314920632757</v>
      </c>
      <c r="E604" s="39" t="n">
        <f aca="false">MAX($E$3,AS603)</f>
        <v>0</v>
      </c>
      <c r="F604" s="39" t="n">
        <f aca="false">MAX($E$3,AT603)</f>
        <v>0</v>
      </c>
      <c r="G604" s="40" t="n">
        <v>0.5</v>
      </c>
      <c r="H604" s="38" t="n">
        <f aca="true">IF((B604=1),(IF((F604&lt;E604),1,(IF((F604=E604),(IF(RAND()&lt;G604,1,0)),0)))),(IF((RAND()&lt;G604),1,0)))</f>
        <v>0</v>
      </c>
      <c r="I604" s="38" t="n">
        <f aca="true">IF((H604=1),0,$D$3+$D$5*(RAND()-0.5))</f>
        <v>1.76071128830374</v>
      </c>
      <c r="J604" s="38" t="n">
        <f aca="false">I604+MAX(D604,J603)</f>
        <v>624.681788885607</v>
      </c>
      <c r="K604" s="38" t="n">
        <f aca="false">IF((H604=0),J604-D604,0)</f>
        <v>2.36686825284971</v>
      </c>
      <c r="L604" s="38" t="n">
        <f aca="true">IF(($H604=0),0,$D$4+$D$5*(RAND()-0.5))</f>
        <v>0</v>
      </c>
      <c r="M604" s="38" t="n">
        <f aca="false">L604+MAX(D604,M603)</f>
        <v>671.240213675194</v>
      </c>
      <c r="N604" s="38" t="n">
        <f aca="false">IF((H604=1),M604-D604,0)</f>
        <v>0</v>
      </c>
      <c r="O604" s="16" t="n">
        <v>587</v>
      </c>
      <c r="P604" s="41" t="n">
        <f aca="false">IF((Arterial=0),P603+1,P603)</f>
        <v>266</v>
      </c>
      <c r="Q604" s="41" t="n">
        <f aca="false">IF((Arterial=1),Q603+1,Q603)</f>
        <v>321</v>
      </c>
      <c r="R604" s="42" t="e">
        <f aca="false">IF((RESET=1),0,R604+K604)</f>
        <v>#N/A</v>
      </c>
      <c r="S604" s="14" t="n">
        <f aca="false">IF(RESET=1,0,S604+N604)</f>
        <v>806.155722253038</v>
      </c>
      <c r="T604" s="2" t="e">
        <f aca="false">IF(RESET=1,0,T604+IF(H604=0,1,0))</f>
        <v>#N/A</v>
      </c>
      <c r="U604" s="2" t="n">
        <f aca="false">IF(RESET=1,0,U604+H604)</f>
        <v>47</v>
      </c>
      <c r="V604" s="14" t="e">
        <f aca="false">R604/(T604+0.00001)</f>
        <v>#N/A</v>
      </c>
      <c r="W604" s="14" t="n">
        <f aca="false">S604/(U604+0.0001)</f>
        <v>17.1522129155691</v>
      </c>
      <c r="X604" s="39" t="n">
        <f aca="false">IF(Informed=1,K604,0)</f>
        <v>0</v>
      </c>
      <c r="Y604" s="39" t="n">
        <f aca="false">IF(Informed=0,K604,0)</f>
        <v>2.36686825284971</v>
      </c>
      <c r="Z604" s="39" t="n">
        <f aca="false">IF(Informed=1,N604,0)</f>
        <v>0</v>
      </c>
      <c r="AA604" s="39" t="n">
        <f aca="false">IF(Informed=0,N604,0)</f>
        <v>0</v>
      </c>
      <c r="AB604" s="43" t="n">
        <f aca="false">IF(Arterial=0,IF(Informed=1,1,0),0)</f>
        <v>0</v>
      </c>
      <c r="AC604" s="43" t="n">
        <f aca="false">IF(Arterial=0,IF(Informed=0,1,0),0)</f>
        <v>1</v>
      </c>
      <c r="AD604" s="43" t="n">
        <f aca="false">IF(Arterial=1,IF(Informed=1,1,0),0)</f>
        <v>0</v>
      </c>
      <c r="AE604" s="43" t="n">
        <f aca="false">IF(Arterial=1,IF(Informed=0,1,0),0)</f>
        <v>0</v>
      </c>
      <c r="AF604" s="35" t="n">
        <f aca="false">IF(AB604=1,(X604-G$1030)^2,0)</f>
        <v>0</v>
      </c>
      <c r="AG604" s="35" t="n">
        <f aca="false">IF(AC604=1,(Y604-H$1030)^2,0)</f>
        <v>73.2208285084394</v>
      </c>
      <c r="AH604" s="35" t="n">
        <f aca="false">IF(AD604=1,(Z604-I$1030)^2,0)</f>
        <v>0</v>
      </c>
      <c r="AI604" s="35" t="n">
        <f aca="false">IF(AE604=1,(AA604-J$1030)^2,0)</f>
        <v>0</v>
      </c>
      <c r="AJ604" s="37" t="n">
        <f aca="true">IF(RAND()&lt;$D$6,1,0)</f>
        <v>0</v>
      </c>
      <c r="AK604" s="14" t="n">
        <f aca="false">AK603+IF((AJ604=1),IF((H604=0),1,0),0)</f>
        <v>0</v>
      </c>
      <c r="AL604" s="14" t="n">
        <f aca="false">AL603+IF((AJ604=1),IF((H604=1),1,0),0)</f>
        <v>0</v>
      </c>
      <c r="AM604" s="37" t="n">
        <f aca="false">IF(AK604=0,9999,IF($H604=0,IF($AJ604&lt;1,AM603+1,0),AM603))</f>
        <v>9999</v>
      </c>
      <c r="AN604" s="37" t="n">
        <f aca="false">IF(AL604=0,9999,IF($H604=1,IF($AJ604&lt;1,AN603+1,0),AN603))</f>
        <v>9999</v>
      </c>
      <c r="AO604" s="37" t="n">
        <f aca="false">IF($A604-AM604&gt;0,1/(1+AM604),0)</f>
        <v>0</v>
      </c>
      <c r="AP604" s="37" t="n">
        <f aca="false">IF($A604-AN604&gt;0,1/(1+AN604),0)</f>
        <v>0</v>
      </c>
      <c r="AQ604" s="7" t="n">
        <f aca="false">IF(AK604=0,0,MAX(MIN(1,AO604^Power),0))</f>
        <v>0</v>
      </c>
      <c r="AR604" s="7" t="n">
        <f aca="false">IF(AL604=0,0,MAX(MIN(1,AP604^Power),0))</f>
        <v>0</v>
      </c>
      <c r="AS604" s="7" t="n">
        <f aca="false">IF($AJ604=1,IF($H604=0,K604,AS603),AS603)</f>
        <v>0</v>
      </c>
      <c r="AT604" s="7" t="n">
        <f aca="false">IF($AJ604=1,IF($H604=1,N604,AT603),AT603)</f>
        <v>0</v>
      </c>
    </row>
    <row r="605" customFormat="false" ht="13" hidden="false" customHeight="false" outlineLevel="0" collapsed="false">
      <c r="A605" s="16" t="n">
        <v>588</v>
      </c>
      <c r="B605" s="37" t="n">
        <f aca="true">IF(RAND()&lt;$D$8,1,0)</f>
        <v>0</v>
      </c>
      <c r="C605" s="20" t="n">
        <f aca="true">-LN(RAND())/$D$2</f>
        <v>0.97913835431249</v>
      </c>
      <c r="D605" s="38" t="n">
        <f aca="false">D604+C605</f>
        <v>623.29405898707</v>
      </c>
      <c r="E605" s="39" t="n">
        <f aca="false">MAX($E$3,AS604)</f>
        <v>0</v>
      </c>
      <c r="F605" s="39" t="n">
        <f aca="false">MAX($E$3,AT604)</f>
        <v>0</v>
      </c>
      <c r="G605" s="40" t="n">
        <v>0.5</v>
      </c>
      <c r="H605" s="38" t="n">
        <f aca="true">IF((B605=1),(IF((F605&lt;E605),1,(IF((F605=E605),(IF(RAND()&lt;G605,1,0)),0)))),(IF((RAND()&lt;G605),1,0)))</f>
        <v>1</v>
      </c>
      <c r="I605" s="38" t="n">
        <f aca="true">IF((H605=1),0,$D$3+$D$5*(RAND()-0.5))</f>
        <v>0</v>
      </c>
      <c r="J605" s="38" t="n">
        <f aca="false">I605+MAX(D605,J604)</f>
        <v>624.681788885607</v>
      </c>
      <c r="K605" s="38" t="n">
        <f aca="false">IF((H605=0),J605-D605,0)</f>
        <v>0</v>
      </c>
      <c r="L605" s="38" t="n">
        <f aca="true">IF(($H605=0),0,$D$4+$D$5*(RAND()-0.5))</f>
        <v>2.10170583991736</v>
      </c>
      <c r="M605" s="38" t="n">
        <f aca="false">L605+MAX(D605,M604)</f>
        <v>673.341919515112</v>
      </c>
      <c r="N605" s="38" t="n">
        <f aca="false">IF((H605=1),M605-D605,0)</f>
        <v>50.047860528042</v>
      </c>
      <c r="O605" s="16" t="n">
        <v>588</v>
      </c>
      <c r="P605" s="41" t="n">
        <f aca="false">IF((Arterial=0),P604+1,P604)</f>
        <v>266</v>
      </c>
      <c r="Q605" s="41" t="n">
        <f aca="false">IF((Arterial=1),Q604+1,Q604)</f>
        <v>322</v>
      </c>
      <c r="R605" s="42" t="n">
        <f aca="false">IF((RESET=1),0,R605+K605)</f>
        <v>920.06762385887</v>
      </c>
      <c r="S605" s="14" t="e">
        <f aca="false">IF(RESET=1,0,S605+N605)</f>
        <v>#N/A</v>
      </c>
      <c r="T605" s="2" t="n">
        <f aca="false">IF(RESET=1,0,T605+IF(H605=0,1,0))</f>
        <v>45</v>
      </c>
      <c r="U605" s="2" t="e">
        <f aca="false">IF(RESET=1,0,U605+H605)</f>
        <v>#N/A</v>
      </c>
      <c r="V605" s="14" t="n">
        <f aca="false">R605/(T605+0.00001)</f>
        <v>20.445942653321</v>
      </c>
      <c r="W605" s="14" t="e">
        <f aca="false">S605/(U605+0.0001)</f>
        <v>#N/A</v>
      </c>
      <c r="X605" s="39" t="n">
        <f aca="false">IF(Informed=1,K605,0)</f>
        <v>0</v>
      </c>
      <c r="Y605" s="39" t="n">
        <f aca="false">IF(Informed=0,K605,0)</f>
        <v>0</v>
      </c>
      <c r="Z605" s="39" t="n">
        <f aca="false">IF(Informed=1,N605,0)</f>
        <v>0</v>
      </c>
      <c r="AA605" s="39" t="n">
        <f aca="false">IF(Informed=0,N605,0)</f>
        <v>50.047860528042</v>
      </c>
      <c r="AB605" s="43" t="n">
        <f aca="false">IF(Arterial=0,IF(Informed=1,1,0),0)</f>
        <v>0</v>
      </c>
      <c r="AC605" s="43" t="n">
        <f aca="false">IF(Arterial=0,IF(Informed=0,1,0),0)</f>
        <v>0</v>
      </c>
      <c r="AD605" s="43" t="n">
        <f aca="false">IF(Arterial=1,IF(Informed=1,1,0),0)</f>
        <v>0</v>
      </c>
      <c r="AE605" s="43" t="n">
        <f aca="false">IF(Arterial=1,IF(Informed=0,1,0),0)</f>
        <v>1</v>
      </c>
      <c r="AF605" s="35" t="n">
        <f aca="false">IF(AB605=1,(X605-G$1030)^2,0)</f>
        <v>0</v>
      </c>
      <c r="AG605" s="35" t="n">
        <f aca="false">IF(AC605=1,(Y605-H$1030)^2,0)</f>
        <v>0</v>
      </c>
      <c r="AH605" s="35" t="n">
        <f aca="false">IF(AD605=1,(Z605-I$1030)^2,0)</f>
        <v>0</v>
      </c>
      <c r="AI605" s="35" t="n">
        <f aca="false">IF(AE605=1,(AA605-J$1030)^2,0)</f>
        <v>419.57727648545</v>
      </c>
      <c r="AJ605" s="37" t="n">
        <f aca="true">IF(RAND()&lt;$D$6,1,0)</f>
        <v>0</v>
      </c>
      <c r="AK605" s="14" t="n">
        <f aca="false">AK604+IF((AJ605=1),IF((H605=0),1,0),0)</f>
        <v>0</v>
      </c>
      <c r="AL605" s="14" t="n">
        <f aca="false">AL604+IF((AJ605=1),IF((H605=1),1,0),0)</f>
        <v>0</v>
      </c>
      <c r="AM605" s="37" t="n">
        <f aca="false">IF(AK605=0,9999,IF($H605=0,IF($AJ605&lt;1,AM604+1,0),AM604))</f>
        <v>9999</v>
      </c>
      <c r="AN605" s="37" t="n">
        <f aca="false">IF(AL605=0,9999,IF($H605=1,IF($AJ605&lt;1,AN604+1,0),AN604))</f>
        <v>9999</v>
      </c>
      <c r="AO605" s="37" t="n">
        <f aca="false">IF($A605-AM605&gt;0,1/(1+AM605),0)</f>
        <v>0</v>
      </c>
      <c r="AP605" s="37" t="n">
        <f aca="false">IF($A605-AN605&gt;0,1/(1+AN605),0)</f>
        <v>0</v>
      </c>
      <c r="AQ605" s="7" t="n">
        <f aca="false">IF(AK605=0,0,MAX(MIN(1,AO605^Power),0))</f>
        <v>0</v>
      </c>
      <c r="AR605" s="7" t="n">
        <f aca="false">IF(AL605=0,0,MAX(MIN(1,AP605^Power),0))</f>
        <v>0</v>
      </c>
      <c r="AS605" s="7" t="n">
        <f aca="false">IF($AJ605=1,IF($H605=0,K605,AS604),AS604)</f>
        <v>0</v>
      </c>
      <c r="AT605" s="7" t="n">
        <f aca="false">IF($AJ605=1,IF($H605=1,N605,AT604),AT604)</f>
        <v>0</v>
      </c>
    </row>
    <row r="606" customFormat="false" ht="13" hidden="false" customHeight="false" outlineLevel="0" collapsed="false">
      <c r="A606" s="16" t="n">
        <v>589</v>
      </c>
      <c r="B606" s="37" t="n">
        <f aca="true">IF(RAND()&lt;$D$8,1,0)</f>
        <v>1</v>
      </c>
      <c r="C606" s="20" t="n">
        <f aca="true">-LN(RAND())/$D$2</f>
        <v>0.373819111968305</v>
      </c>
      <c r="D606" s="38" t="n">
        <f aca="false">D605+C606</f>
        <v>623.667878099038</v>
      </c>
      <c r="E606" s="39" t="n">
        <f aca="false">MAX($E$3,AS605)</f>
        <v>0</v>
      </c>
      <c r="F606" s="39" t="n">
        <f aca="false">MAX($E$3,AT605)</f>
        <v>0</v>
      </c>
      <c r="G606" s="40" t="n">
        <v>0.5</v>
      </c>
      <c r="H606" s="38" t="n">
        <f aca="true">IF((B606=1),(IF((F606&lt;E606),1,(IF((F606=E606),(IF(RAND()&lt;G606,1,0)),0)))),(IF((RAND()&lt;G606),1,0)))</f>
        <v>1</v>
      </c>
      <c r="I606" s="38" t="n">
        <f aca="true">IF((H606=1),0,$D$3+$D$5*(RAND()-0.5))</f>
        <v>0</v>
      </c>
      <c r="J606" s="38" t="n">
        <f aca="false">I606+MAX(D606,J605)</f>
        <v>624.681788885607</v>
      </c>
      <c r="K606" s="38" t="n">
        <f aca="false">IF((H606=0),J606-D606,0)</f>
        <v>0</v>
      </c>
      <c r="L606" s="38" t="n">
        <f aca="true">IF(($H606=0),0,$D$4+$D$5*(RAND()-0.5))</f>
        <v>1.80495591629923</v>
      </c>
      <c r="M606" s="38" t="n">
        <f aca="false">L606+MAX(D606,M605)</f>
        <v>675.146875431411</v>
      </c>
      <c r="N606" s="38" t="n">
        <f aca="false">IF((H606=1),M606-D606,0)</f>
        <v>51.478997332373</v>
      </c>
      <c r="O606" s="16" t="n">
        <v>589</v>
      </c>
      <c r="P606" s="41" t="n">
        <f aca="false">IF((Arterial=0),P605+1,P605)</f>
        <v>266</v>
      </c>
      <c r="Q606" s="41" t="n">
        <f aca="false">IF((Arterial=1),Q605+1,Q605)</f>
        <v>323</v>
      </c>
      <c r="R606" s="42" t="n">
        <f aca="false">IF((RESET=1),0,R606+K606)</f>
        <v>963.706864865382</v>
      </c>
      <c r="S606" s="14" t="e">
        <f aca="false">IF(RESET=1,0,S606+N606)</f>
        <v>#N/A</v>
      </c>
      <c r="T606" s="2" t="n">
        <f aca="false">IF(RESET=1,0,T606+IF(H606=0,1,0))</f>
        <v>42</v>
      </c>
      <c r="U606" s="2" t="e">
        <f aca="false">IF(RESET=1,0,U606+H606)</f>
        <v>#N/A</v>
      </c>
      <c r="V606" s="14" t="n">
        <f aca="false">R606/(T606+0.00001)</f>
        <v>22.9453960812243</v>
      </c>
      <c r="W606" s="14" t="e">
        <f aca="false">S606/(U606+0.0001)</f>
        <v>#N/A</v>
      </c>
      <c r="X606" s="39" t="n">
        <f aca="false">IF(Informed=1,K606,0)</f>
        <v>0</v>
      </c>
      <c r="Y606" s="39" t="n">
        <f aca="false">IF(Informed=0,K606,0)</f>
        <v>0</v>
      </c>
      <c r="Z606" s="39" t="n">
        <f aca="false">IF(Informed=1,N606,0)</f>
        <v>51.478997332373</v>
      </c>
      <c r="AA606" s="39" t="n">
        <f aca="false">IF(Informed=0,N606,0)</f>
        <v>0</v>
      </c>
      <c r="AB606" s="43" t="n">
        <f aca="false">IF(Arterial=0,IF(Informed=1,1,0),0)</f>
        <v>0</v>
      </c>
      <c r="AC606" s="43" t="n">
        <f aca="false">IF(Arterial=0,IF(Informed=0,1,0),0)</f>
        <v>0</v>
      </c>
      <c r="AD606" s="43" t="n">
        <f aca="false">IF(Arterial=1,IF(Informed=1,1,0),0)</f>
        <v>1</v>
      </c>
      <c r="AE606" s="43" t="n">
        <f aca="false">IF(Arterial=1,IF(Informed=0,1,0),0)</f>
        <v>0</v>
      </c>
      <c r="AF606" s="35" t="n">
        <f aca="false">IF(AB606=1,(X606-G$1030)^2,0)</f>
        <v>0</v>
      </c>
      <c r="AG606" s="35" t="n">
        <f aca="false">IF(AC606=1,(Y606-H$1030)^2,0)</f>
        <v>0</v>
      </c>
      <c r="AH606" s="35" t="n">
        <f aca="false">IF(AD606=1,(Z606-I$1030)^2,0)</f>
        <v>533.802326634858</v>
      </c>
      <c r="AI606" s="35" t="n">
        <f aca="false">IF(AE606=1,(AA606-J$1030)^2,0)</f>
        <v>0</v>
      </c>
      <c r="AJ606" s="37" t="n">
        <f aca="true">IF(RAND()&lt;$D$6,1,0)</f>
        <v>0</v>
      </c>
      <c r="AK606" s="14" t="n">
        <f aca="false">AK605+IF((AJ606=1),IF((H606=0),1,0),0)</f>
        <v>0</v>
      </c>
      <c r="AL606" s="14" t="n">
        <f aca="false">AL605+IF((AJ606=1),IF((H606=1),1,0),0)</f>
        <v>0</v>
      </c>
      <c r="AM606" s="37" t="n">
        <f aca="false">IF(AK606=0,9999,IF($H606=0,IF($AJ606&lt;1,AM605+1,0),AM605))</f>
        <v>9999</v>
      </c>
      <c r="AN606" s="37" t="n">
        <f aca="false">IF(AL606=0,9999,IF($H606=1,IF($AJ606&lt;1,AN605+1,0),AN605))</f>
        <v>9999</v>
      </c>
      <c r="AO606" s="37" t="n">
        <f aca="false">IF($A606-AM606&gt;0,1/(1+AM606),0)</f>
        <v>0</v>
      </c>
      <c r="AP606" s="37" t="n">
        <f aca="false">IF($A606-AN606&gt;0,1/(1+AN606),0)</f>
        <v>0</v>
      </c>
      <c r="AQ606" s="7" t="n">
        <f aca="false">IF(AK606=0,0,MAX(MIN(1,AO606^Power),0))</f>
        <v>0</v>
      </c>
      <c r="AR606" s="7" t="n">
        <f aca="false">IF(AL606=0,0,MAX(MIN(1,AP606^Power),0))</f>
        <v>0</v>
      </c>
      <c r="AS606" s="7" t="n">
        <f aca="false">IF($AJ606=1,IF($H606=0,K606,AS605),AS605)</f>
        <v>0</v>
      </c>
      <c r="AT606" s="7" t="n">
        <f aca="false">IF($AJ606=1,IF($H606=1,N606,AT605),AT605)</f>
        <v>0</v>
      </c>
    </row>
    <row r="607" customFormat="false" ht="13" hidden="false" customHeight="false" outlineLevel="0" collapsed="false">
      <c r="A607" s="16" t="n">
        <v>590</v>
      </c>
      <c r="B607" s="37" t="n">
        <f aca="true">IF(RAND()&lt;$D$8,1,0)</f>
        <v>0</v>
      </c>
      <c r="C607" s="20" t="n">
        <f aca="true">-LN(RAND())/$D$2</f>
        <v>0.288124236927034</v>
      </c>
      <c r="D607" s="38" t="n">
        <f aca="false">D606+C607</f>
        <v>623.956002335965</v>
      </c>
      <c r="E607" s="39" t="n">
        <f aca="false">MAX($E$3,AS606)</f>
        <v>0</v>
      </c>
      <c r="F607" s="39" t="n">
        <f aca="false">MAX($E$3,AT606)</f>
        <v>0</v>
      </c>
      <c r="G607" s="40" t="n">
        <v>0.5</v>
      </c>
      <c r="H607" s="38" t="n">
        <f aca="true">IF((B607=1),(IF((F607&lt;E607),1,(IF((F607=E607),(IF(RAND()&lt;G607,1,0)),0)))),(IF((RAND()&lt;G607),1,0)))</f>
        <v>0</v>
      </c>
      <c r="I607" s="38" t="n">
        <f aca="true">IF((H607=1),0,$D$3+$D$5*(RAND()-0.5))</f>
        <v>1.98803340442773</v>
      </c>
      <c r="J607" s="38" t="n">
        <f aca="false">I607+MAX(D607,J606)</f>
        <v>626.669822290035</v>
      </c>
      <c r="K607" s="38" t="n">
        <f aca="false">IF((H607=0),J607-D607,0)</f>
        <v>2.71381995406966</v>
      </c>
      <c r="L607" s="38" t="n">
        <f aca="true">IF(($H607=0),0,$D$4+$D$5*(RAND()-0.5))</f>
        <v>0</v>
      </c>
      <c r="M607" s="38" t="n">
        <f aca="false">L607+MAX(D607,M606)</f>
        <v>675.146875431411</v>
      </c>
      <c r="N607" s="38" t="n">
        <f aca="false">IF((H607=1),M607-D607,0)</f>
        <v>0</v>
      </c>
      <c r="O607" s="16" t="n">
        <v>590</v>
      </c>
      <c r="P607" s="41" t="n">
        <f aca="false">IF((Arterial=0),P606+1,P606)</f>
        <v>267</v>
      </c>
      <c r="Q607" s="41" t="n">
        <f aca="false">IF((Arterial=1),Q606+1,Q606)</f>
        <v>323</v>
      </c>
      <c r="R607" s="42" t="e">
        <f aca="false">IF((RESET=1),0,R607+K607)</f>
        <v>#N/A</v>
      </c>
      <c r="S607" s="14" t="n">
        <f aca="false">IF(RESET=1,0,S607+N607)</f>
        <v>553.067696899187</v>
      </c>
      <c r="T607" s="2" t="e">
        <f aca="false">IF(RESET=1,0,T607+IF(H607=0,1,0))</f>
        <v>#N/A</v>
      </c>
      <c r="U607" s="2" t="n">
        <f aca="false">IF(RESET=1,0,U607+H607)</f>
        <v>33</v>
      </c>
      <c r="V607" s="14" t="e">
        <f aca="false">R607/(T607+0.00001)</f>
        <v>#N/A</v>
      </c>
      <c r="W607" s="14" t="n">
        <f aca="false">S607/(U607+0.0001)</f>
        <v>16.7595763921681</v>
      </c>
      <c r="X607" s="39" t="n">
        <f aca="false">IF(Informed=1,K607,0)</f>
        <v>0</v>
      </c>
      <c r="Y607" s="39" t="n">
        <f aca="false">IF(Informed=0,K607,0)</f>
        <v>2.71381995406966</v>
      </c>
      <c r="Z607" s="39" t="n">
        <f aca="false">IF(Informed=1,N607,0)</f>
        <v>0</v>
      </c>
      <c r="AA607" s="39" t="n">
        <f aca="false">IF(Informed=0,N607,0)</f>
        <v>0</v>
      </c>
      <c r="AB607" s="43" t="n">
        <f aca="false">IF(Arterial=0,IF(Informed=1,1,0),0)</f>
        <v>0</v>
      </c>
      <c r="AC607" s="43" t="n">
        <f aca="false">IF(Arterial=0,IF(Informed=0,1,0),0)</f>
        <v>1</v>
      </c>
      <c r="AD607" s="43" t="n">
        <f aca="false">IF(Arterial=1,IF(Informed=1,1,0),0)</f>
        <v>0</v>
      </c>
      <c r="AE607" s="43" t="n">
        <f aca="false">IF(Arterial=1,IF(Informed=0,1,0),0)</f>
        <v>0</v>
      </c>
      <c r="AF607" s="35" t="n">
        <f aca="false">IF(AB607=1,(X607-G$1030)^2,0)</f>
        <v>0</v>
      </c>
      <c r="AG607" s="35" t="n">
        <f aca="false">IF(AC607=1,(Y607-H$1030)^2,0)</f>
        <v>67.4035301722009</v>
      </c>
      <c r="AH607" s="35" t="n">
        <f aca="false">IF(AD607=1,(Z607-I$1030)^2,0)</f>
        <v>0</v>
      </c>
      <c r="AI607" s="35" t="n">
        <f aca="false">IF(AE607=1,(AA607-J$1030)^2,0)</f>
        <v>0</v>
      </c>
      <c r="AJ607" s="37" t="n">
        <f aca="true">IF(RAND()&lt;$D$6,1,0)</f>
        <v>0</v>
      </c>
      <c r="AK607" s="14" t="n">
        <f aca="false">AK606+IF((AJ607=1),IF((H607=0),1,0),0)</f>
        <v>0</v>
      </c>
      <c r="AL607" s="14" t="n">
        <f aca="false">AL606+IF((AJ607=1),IF((H607=1),1,0),0)</f>
        <v>0</v>
      </c>
      <c r="AM607" s="37" t="n">
        <f aca="false">IF(AK607=0,9999,IF($H607=0,IF($AJ607&lt;1,AM606+1,0),AM606))</f>
        <v>9999</v>
      </c>
      <c r="AN607" s="37" t="n">
        <f aca="false">IF(AL607=0,9999,IF($H607=1,IF($AJ607&lt;1,AN606+1,0),AN606))</f>
        <v>9999</v>
      </c>
      <c r="AO607" s="37" t="n">
        <f aca="false">IF($A607-AM607&gt;0,1/(1+AM607),0)</f>
        <v>0</v>
      </c>
      <c r="AP607" s="37" t="n">
        <f aca="false">IF($A607-AN607&gt;0,1/(1+AN607),0)</f>
        <v>0</v>
      </c>
      <c r="AQ607" s="7" t="n">
        <f aca="false">IF(AK607=0,0,MAX(MIN(1,AO607^Power),0))</f>
        <v>0</v>
      </c>
      <c r="AR607" s="7" t="n">
        <f aca="false">IF(AL607=0,0,MAX(MIN(1,AP607^Power),0))</f>
        <v>0</v>
      </c>
      <c r="AS607" s="7" t="n">
        <f aca="false">IF($AJ607=1,IF($H607=0,K607,AS606),AS606)</f>
        <v>0</v>
      </c>
      <c r="AT607" s="7" t="n">
        <f aca="false">IF($AJ607=1,IF($H607=1,N607,AT606),AT606)</f>
        <v>0</v>
      </c>
    </row>
    <row r="608" customFormat="false" ht="13" hidden="false" customHeight="false" outlineLevel="0" collapsed="false">
      <c r="A608" s="16" t="n">
        <v>591</v>
      </c>
      <c r="B608" s="37" t="n">
        <f aca="true">IF(RAND()&lt;$D$8,1,0)</f>
        <v>0</v>
      </c>
      <c r="C608" s="20" t="n">
        <f aca="true">-LN(RAND())/$D$2</f>
        <v>0.177422621316702</v>
      </c>
      <c r="D608" s="38" t="n">
        <f aca="false">D607+C608</f>
        <v>624.133424957282</v>
      </c>
      <c r="E608" s="39" t="n">
        <f aca="false">MAX($E$3,AS607)</f>
        <v>0</v>
      </c>
      <c r="F608" s="39" t="n">
        <f aca="false">MAX($E$3,AT607)</f>
        <v>0</v>
      </c>
      <c r="G608" s="40" t="n">
        <v>0.5</v>
      </c>
      <c r="H608" s="38" t="n">
        <f aca="true">IF((B608=1),(IF((F608&lt;E608),1,(IF((F608=E608),(IF(RAND()&lt;G608,1,0)),0)))),(IF((RAND()&lt;G608),1,0)))</f>
        <v>1</v>
      </c>
      <c r="I608" s="38" t="n">
        <f aca="true">IF((H608=1),0,$D$3+$D$5*(RAND()-0.5))</f>
        <v>0</v>
      </c>
      <c r="J608" s="38" t="n">
        <f aca="false">I608+MAX(D608,J607)</f>
        <v>626.669822290035</v>
      </c>
      <c r="K608" s="38" t="n">
        <f aca="false">IF((H608=0),J608-D608,0)</f>
        <v>0</v>
      </c>
      <c r="L608" s="38" t="n">
        <f aca="true">IF(($H608=0),0,$D$4+$D$5*(RAND()-0.5))</f>
        <v>1.91189649255965</v>
      </c>
      <c r="M608" s="38" t="n">
        <f aca="false">L608+MAX(D608,M607)</f>
        <v>677.058771923971</v>
      </c>
      <c r="N608" s="38" t="n">
        <f aca="false">IF((H608=1),M608-D608,0)</f>
        <v>52.9253469666888</v>
      </c>
      <c r="O608" s="16" t="n">
        <v>591</v>
      </c>
      <c r="P608" s="41" t="n">
        <f aca="false">IF((Arterial=0),P607+1,P607)</f>
        <v>267</v>
      </c>
      <c r="Q608" s="41" t="n">
        <f aca="false">IF((Arterial=1),Q607+1,Q607)</f>
        <v>324</v>
      </c>
      <c r="R608" s="42" t="n">
        <f aca="false">IF((RESET=1),0,R608+K608)</f>
        <v>669.860238118027</v>
      </c>
      <c r="S608" s="14" t="e">
        <f aca="false">IF(RESET=1,0,S608+N608)</f>
        <v>#N/A</v>
      </c>
      <c r="T608" s="2" t="n">
        <f aca="false">IF(RESET=1,0,T608+IF(H608=0,1,0))</f>
        <v>35</v>
      </c>
      <c r="U608" s="2" t="e">
        <f aca="false">IF(RESET=1,0,U608+H608)</f>
        <v>#N/A</v>
      </c>
      <c r="V608" s="14" t="n">
        <f aca="false">R608/(T608+0.00001)</f>
        <v>19.1388584779841</v>
      </c>
      <c r="W608" s="14" t="e">
        <f aca="false">S608/(U608+0.0001)</f>
        <v>#N/A</v>
      </c>
      <c r="X608" s="39" t="n">
        <f aca="false">IF(Informed=1,K608,0)</f>
        <v>0</v>
      </c>
      <c r="Y608" s="39" t="n">
        <f aca="false">IF(Informed=0,K608,0)</f>
        <v>0</v>
      </c>
      <c r="Z608" s="39" t="n">
        <f aca="false">IF(Informed=1,N608,0)</f>
        <v>0</v>
      </c>
      <c r="AA608" s="39" t="n">
        <f aca="false">IF(Informed=0,N608,0)</f>
        <v>52.9253469666888</v>
      </c>
      <c r="AB608" s="43" t="n">
        <f aca="false">IF(Arterial=0,IF(Informed=1,1,0),0)</f>
        <v>0</v>
      </c>
      <c r="AC608" s="43" t="n">
        <f aca="false">IF(Arterial=0,IF(Informed=0,1,0),0)</f>
        <v>0</v>
      </c>
      <c r="AD608" s="43" t="n">
        <f aca="false">IF(Arterial=1,IF(Informed=1,1,0),0)</f>
        <v>0</v>
      </c>
      <c r="AE608" s="43" t="n">
        <f aca="false">IF(Arterial=1,IF(Informed=0,1,0),0)</f>
        <v>1</v>
      </c>
      <c r="AF608" s="35" t="n">
        <f aca="false">IF(AB608=1,(X608-G$1030)^2,0)</f>
        <v>0</v>
      </c>
      <c r="AG608" s="35" t="n">
        <f aca="false">IF(AC608=1,(Y608-H$1030)^2,0)</f>
        <v>0</v>
      </c>
      <c r="AH608" s="35" t="n">
        <f aca="false">IF(AD608=1,(Z608-I$1030)^2,0)</f>
        <v>0</v>
      </c>
      <c r="AI608" s="35" t="n">
        <f aca="false">IF(AE608=1,(AA608-J$1030)^2,0)</f>
        <v>545.739683889964</v>
      </c>
      <c r="AJ608" s="37" t="n">
        <f aca="true">IF(RAND()&lt;$D$6,1,0)</f>
        <v>0</v>
      </c>
      <c r="AK608" s="14" t="n">
        <f aca="false">AK607+IF((AJ608=1),IF((H608=0),1,0),0)</f>
        <v>0</v>
      </c>
      <c r="AL608" s="14" t="n">
        <f aca="false">AL607+IF((AJ608=1),IF((H608=1),1,0),0)</f>
        <v>0</v>
      </c>
      <c r="AM608" s="37" t="n">
        <f aca="false">IF(AK608=0,9999,IF($H608=0,IF($AJ608&lt;1,AM607+1,0),AM607))</f>
        <v>9999</v>
      </c>
      <c r="AN608" s="37" t="n">
        <f aca="false">IF(AL608=0,9999,IF($H608=1,IF($AJ608&lt;1,AN607+1,0),AN607))</f>
        <v>9999</v>
      </c>
      <c r="AO608" s="37" t="n">
        <f aca="false">IF($A608-AM608&gt;0,1/(1+AM608),0)</f>
        <v>0</v>
      </c>
      <c r="AP608" s="37" t="n">
        <f aca="false">IF($A608-AN608&gt;0,1/(1+AN608),0)</f>
        <v>0</v>
      </c>
      <c r="AQ608" s="7" t="n">
        <f aca="false">IF(AK608=0,0,MAX(MIN(1,AO608^Power),0))</f>
        <v>0</v>
      </c>
      <c r="AR608" s="7" t="n">
        <f aca="false">IF(AL608=0,0,MAX(MIN(1,AP608^Power),0))</f>
        <v>0</v>
      </c>
      <c r="AS608" s="7" t="n">
        <f aca="false">IF($AJ608=1,IF($H608=0,K608,AS607),AS607)</f>
        <v>0</v>
      </c>
      <c r="AT608" s="7" t="n">
        <f aca="false">IF($AJ608=1,IF($H608=1,N608,AT607),AT607)</f>
        <v>0</v>
      </c>
    </row>
    <row r="609" customFormat="false" ht="13" hidden="false" customHeight="false" outlineLevel="0" collapsed="false">
      <c r="A609" s="16" t="n">
        <v>592</v>
      </c>
      <c r="B609" s="37" t="n">
        <f aca="true">IF(RAND()&lt;$D$8,1,0)</f>
        <v>0</v>
      </c>
      <c r="C609" s="20" t="n">
        <f aca="true">-LN(RAND())/$D$2</f>
        <v>0.65746332174961</v>
      </c>
      <c r="D609" s="38" t="n">
        <f aca="false">D608+C609</f>
        <v>624.790888279031</v>
      </c>
      <c r="E609" s="39" t="n">
        <f aca="false">MAX($E$3,AS608)</f>
        <v>0</v>
      </c>
      <c r="F609" s="39" t="n">
        <f aca="false">MAX($E$3,AT608)</f>
        <v>0</v>
      </c>
      <c r="G609" s="40" t="n">
        <v>0.5</v>
      </c>
      <c r="H609" s="38" t="n">
        <f aca="true">IF((B609=1),(IF((F609&lt;E609),1,(IF((F609=E609),(IF(RAND()&lt;G609,1,0)),0)))),(IF((RAND()&lt;G609),1,0)))</f>
        <v>0</v>
      </c>
      <c r="I609" s="38" t="n">
        <f aca="true">IF((H609=1),0,$D$3+$D$5*(RAND()-0.5))</f>
        <v>2.00596173393926</v>
      </c>
      <c r="J609" s="38" t="n">
        <f aca="false">I609+MAX(D609,J608)</f>
        <v>628.675784023974</v>
      </c>
      <c r="K609" s="38" t="n">
        <f aca="false">IF((H609=0),J609-D609,0)</f>
        <v>3.88489574494258</v>
      </c>
      <c r="L609" s="38" t="n">
        <f aca="true">IF(($H609=0),0,$D$4+$D$5*(RAND()-0.5))</f>
        <v>0</v>
      </c>
      <c r="M609" s="38" t="n">
        <f aca="false">L609+MAX(D609,M608)</f>
        <v>677.058771923971</v>
      </c>
      <c r="N609" s="38" t="n">
        <f aca="false">IF((H609=1),M609-D609,0)</f>
        <v>0</v>
      </c>
      <c r="O609" s="16" t="n">
        <v>592</v>
      </c>
      <c r="P609" s="41" t="n">
        <f aca="false">IF((Arterial=0),P608+1,P608)</f>
        <v>268</v>
      </c>
      <c r="Q609" s="41" t="n">
        <f aca="false">IF((Arterial=1),Q608+1,Q608)</f>
        <v>324</v>
      </c>
      <c r="R609" s="42" t="e">
        <f aca="false">IF((RESET=1),0,R609+K609)</f>
        <v>#N/A</v>
      </c>
      <c r="S609" s="14" t="n">
        <f aca="false">IF(RESET=1,0,S609+N609)</f>
        <v>710.728944139909</v>
      </c>
      <c r="T609" s="2" t="e">
        <f aca="false">IF(RESET=1,0,T609+IF(H609=0,1,0))</f>
        <v>#N/A</v>
      </c>
      <c r="U609" s="2" t="n">
        <f aca="false">IF(RESET=1,0,U609+H609)</f>
        <v>44</v>
      </c>
      <c r="V609" s="14" t="e">
        <f aca="false">R609/(T609+0.00001)</f>
        <v>#N/A</v>
      </c>
      <c r="W609" s="14" t="n">
        <f aca="false">S609/(U609+0.0001)</f>
        <v>16.1528938375119</v>
      </c>
      <c r="X609" s="39" t="n">
        <f aca="false">IF(Informed=1,K609,0)</f>
        <v>0</v>
      </c>
      <c r="Y609" s="39" t="n">
        <f aca="false">IF(Informed=0,K609,0)</f>
        <v>3.88489574494258</v>
      </c>
      <c r="Z609" s="39" t="n">
        <f aca="false">IF(Informed=1,N609,0)</f>
        <v>0</v>
      </c>
      <c r="AA609" s="39" t="n">
        <f aca="false">IF(Informed=0,N609,0)</f>
        <v>0</v>
      </c>
      <c r="AB609" s="43" t="n">
        <f aca="false">IF(Arterial=0,IF(Informed=1,1,0),0)</f>
        <v>0</v>
      </c>
      <c r="AC609" s="43" t="n">
        <f aca="false">IF(Arterial=0,IF(Informed=0,1,0),0)</f>
        <v>1</v>
      </c>
      <c r="AD609" s="43" t="n">
        <f aca="false">IF(Arterial=1,IF(Informed=1,1,0),0)</f>
        <v>0</v>
      </c>
      <c r="AE609" s="43" t="n">
        <f aca="false">IF(Arterial=1,IF(Informed=0,1,0),0)</f>
        <v>0</v>
      </c>
      <c r="AF609" s="35" t="n">
        <f aca="false">IF(AB609=1,(X609-G$1030)^2,0)</f>
        <v>0</v>
      </c>
      <c r="AG609" s="35" t="n">
        <f aca="false">IF(AC609=1,(Y609-H$1030)^2,0)</f>
        <v>49.5459654745418</v>
      </c>
      <c r="AH609" s="35" t="n">
        <f aca="false">IF(AD609=1,(Z609-I$1030)^2,0)</f>
        <v>0</v>
      </c>
      <c r="AI609" s="35" t="n">
        <f aca="false">IF(AE609=1,(AA609-J$1030)^2,0)</f>
        <v>0</v>
      </c>
      <c r="AJ609" s="37" t="n">
        <f aca="true">IF(RAND()&lt;$D$6,1,0)</f>
        <v>0</v>
      </c>
      <c r="AK609" s="14" t="n">
        <f aca="false">AK608+IF((AJ609=1),IF((H609=0),1,0),0)</f>
        <v>0</v>
      </c>
      <c r="AL609" s="14" t="n">
        <f aca="false">AL608+IF((AJ609=1),IF((H609=1),1,0),0)</f>
        <v>0</v>
      </c>
      <c r="AM609" s="37" t="n">
        <f aca="false">IF(AK609=0,9999,IF($H609=0,IF($AJ609&lt;1,AM608+1,0),AM608))</f>
        <v>9999</v>
      </c>
      <c r="AN609" s="37" t="n">
        <f aca="false">IF(AL609=0,9999,IF($H609=1,IF($AJ609&lt;1,AN608+1,0),AN608))</f>
        <v>9999</v>
      </c>
      <c r="AO609" s="37" t="n">
        <f aca="false">IF($A609-AM609&gt;0,1/(1+AM609),0)</f>
        <v>0</v>
      </c>
      <c r="AP609" s="37" t="n">
        <f aca="false">IF($A609-AN609&gt;0,1/(1+AN609),0)</f>
        <v>0</v>
      </c>
      <c r="AQ609" s="7" t="n">
        <f aca="false">IF(AK609=0,0,MAX(MIN(1,AO609^Power),0))</f>
        <v>0</v>
      </c>
      <c r="AR609" s="7" t="n">
        <f aca="false">IF(AL609=0,0,MAX(MIN(1,AP609^Power),0))</f>
        <v>0</v>
      </c>
      <c r="AS609" s="7" t="n">
        <f aca="false">IF($AJ609=1,IF($H609=0,K609,AS608),AS608)</f>
        <v>0</v>
      </c>
      <c r="AT609" s="7" t="n">
        <f aca="false">IF($AJ609=1,IF($H609=1,N609,AT608),AT608)</f>
        <v>0</v>
      </c>
    </row>
    <row r="610" customFormat="false" ht="13" hidden="false" customHeight="false" outlineLevel="0" collapsed="false">
      <c r="A610" s="16" t="n">
        <v>593</v>
      </c>
      <c r="B610" s="37" t="n">
        <f aca="true">IF(RAND()&lt;$D$8,1,0)</f>
        <v>0</v>
      </c>
      <c r="C610" s="20" t="n">
        <f aca="true">-LN(RAND())/$D$2</f>
        <v>0.429856785074072</v>
      </c>
      <c r="D610" s="38" t="n">
        <f aca="false">D609+C610</f>
        <v>625.220745064105</v>
      </c>
      <c r="E610" s="39" t="n">
        <f aca="false">MAX($E$3,AS609)</f>
        <v>0</v>
      </c>
      <c r="F610" s="39" t="n">
        <f aca="false">MAX($E$3,AT609)</f>
        <v>0</v>
      </c>
      <c r="G610" s="40" t="n">
        <v>0.5</v>
      </c>
      <c r="H610" s="38" t="n">
        <f aca="true">IF((B610=1),(IF((F610&lt;E610),1,(IF((F610=E610),(IF(RAND()&lt;G610,1,0)),0)))),(IF((RAND()&lt;G610),1,0)))</f>
        <v>1</v>
      </c>
      <c r="I610" s="38" t="n">
        <f aca="true">IF((H610=1),0,$D$3+$D$5*(RAND()-0.5))</f>
        <v>0</v>
      </c>
      <c r="J610" s="38" t="n">
        <f aca="false">I610+MAX(D610,J609)</f>
        <v>628.675784023974</v>
      </c>
      <c r="K610" s="38" t="n">
        <f aca="false">IF((H610=0),J610-D610,0)</f>
        <v>0</v>
      </c>
      <c r="L610" s="38" t="n">
        <f aca="true">IF(($H610=0),0,$D$4+$D$5*(RAND()-0.5))</f>
        <v>1.77440742489457</v>
      </c>
      <c r="M610" s="38" t="n">
        <f aca="false">L610+MAX(D610,M609)</f>
        <v>678.833179348865</v>
      </c>
      <c r="N610" s="38" t="n">
        <f aca="false">IF((H610=1),M610-D610,0)</f>
        <v>53.6124342847597</v>
      </c>
      <c r="O610" s="16" t="n">
        <v>593</v>
      </c>
      <c r="P610" s="41" t="n">
        <f aca="false">IF((Arterial=0),P609+1,P609)</f>
        <v>268</v>
      </c>
      <c r="Q610" s="41" t="n">
        <f aca="false">IF((Arterial=1),Q609+1,Q609)</f>
        <v>325</v>
      </c>
      <c r="R610" s="42" t="n">
        <f aca="false">IF((RESET=1),0,R610+K610)</f>
        <v>823.568743278474</v>
      </c>
      <c r="S610" s="14" t="e">
        <f aca="false">IF(RESET=1,0,S610+N610)</f>
        <v>#N/A</v>
      </c>
      <c r="T610" s="2" t="n">
        <f aca="false">IF(RESET=1,0,T610+IF(H610=0,1,0))</f>
        <v>38</v>
      </c>
      <c r="U610" s="2" t="e">
        <f aca="false">IF(RESET=1,0,U610+H610)</f>
        <v>#N/A</v>
      </c>
      <c r="V610" s="14" t="n">
        <f aca="false">R610/(T610+0.00001)</f>
        <v>21.6728559618398</v>
      </c>
      <c r="W610" s="14" t="e">
        <f aca="false">S610/(U610+0.0001)</f>
        <v>#N/A</v>
      </c>
      <c r="X610" s="39" t="n">
        <f aca="false">IF(Informed=1,K610,0)</f>
        <v>0</v>
      </c>
      <c r="Y610" s="39" t="n">
        <f aca="false">IF(Informed=0,K610,0)</f>
        <v>0</v>
      </c>
      <c r="Z610" s="39" t="n">
        <f aca="false">IF(Informed=1,N610,0)</f>
        <v>0</v>
      </c>
      <c r="AA610" s="39" t="n">
        <f aca="false">IF(Informed=0,N610,0)</f>
        <v>53.6124342847597</v>
      </c>
      <c r="AB610" s="43" t="n">
        <f aca="false">IF(Arterial=0,IF(Informed=1,1,0),0)</f>
        <v>0</v>
      </c>
      <c r="AC610" s="43" t="n">
        <f aca="false">IF(Arterial=0,IF(Informed=0,1,0),0)</f>
        <v>0</v>
      </c>
      <c r="AD610" s="43" t="n">
        <f aca="false">IF(Arterial=1,IF(Informed=1,1,0),0)</f>
        <v>0</v>
      </c>
      <c r="AE610" s="43" t="n">
        <f aca="false">IF(Arterial=1,IF(Informed=0,1,0),0)</f>
        <v>1</v>
      </c>
      <c r="AF610" s="35" t="n">
        <f aca="false">IF(AB610=1,(X610-G$1030)^2,0)</f>
        <v>0</v>
      </c>
      <c r="AG610" s="35" t="n">
        <f aca="false">IF(AC610=1,(Y610-H$1030)^2,0)</f>
        <v>0</v>
      </c>
      <c r="AH610" s="35" t="n">
        <f aca="false">IF(AD610=1,(Z610-I$1030)^2,0)</f>
        <v>0</v>
      </c>
      <c r="AI610" s="35" t="n">
        <f aca="false">IF(AE610=1,(AA610-J$1030)^2,0)</f>
        <v>578.31396545577</v>
      </c>
      <c r="AJ610" s="37" t="n">
        <f aca="true">IF(RAND()&lt;$D$6,1,0)</f>
        <v>0</v>
      </c>
      <c r="AK610" s="14" t="n">
        <f aca="false">AK609+IF((AJ610=1),IF((H610=0),1,0),0)</f>
        <v>0</v>
      </c>
      <c r="AL610" s="14" t="n">
        <f aca="false">AL609+IF((AJ610=1),IF((H610=1),1,0),0)</f>
        <v>0</v>
      </c>
      <c r="AM610" s="37" t="n">
        <f aca="false">IF(AK610=0,9999,IF($H610=0,IF($AJ610&lt;1,AM609+1,0),AM609))</f>
        <v>9999</v>
      </c>
      <c r="AN610" s="37" t="n">
        <f aca="false">IF(AL610=0,9999,IF($H610=1,IF($AJ610&lt;1,AN609+1,0),AN609))</f>
        <v>9999</v>
      </c>
      <c r="AO610" s="37" t="n">
        <f aca="false">IF($A610-AM610&gt;0,1/(1+AM610),0)</f>
        <v>0</v>
      </c>
      <c r="AP610" s="37" t="n">
        <f aca="false">IF($A610-AN610&gt;0,1/(1+AN610),0)</f>
        <v>0</v>
      </c>
      <c r="AQ610" s="7" t="n">
        <f aca="false">IF(AK610=0,0,MAX(MIN(1,AO610^Power),0))</f>
        <v>0</v>
      </c>
      <c r="AR610" s="7" t="n">
        <f aca="false">IF(AL610=0,0,MAX(MIN(1,AP610^Power),0))</f>
        <v>0</v>
      </c>
      <c r="AS610" s="7" t="n">
        <f aca="false">IF($AJ610=1,IF($H610=0,K610,AS609),AS609)</f>
        <v>0</v>
      </c>
      <c r="AT610" s="7" t="n">
        <f aca="false">IF($AJ610=1,IF($H610=1,N610,AT609),AT609)</f>
        <v>0</v>
      </c>
    </row>
    <row r="611" customFormat="false" ht="13" hidden="false" customHeight="false" outlineLevel="0" collapsed="false">
      <c r="A611" s="16" t="n">
        <v>594</v>
      </c>
      <c r="B611" s="37" t="n">
        <f aca="true">IF(RAND()&lt;$D$8,1,0)</f>
        <v>0</v>
      </c>
      <c r="C611" s="20" t="n">
        <f aca="true">-LN(RAND())/$D$2</f>
        <v>0.309699049649363</v>
      </c>
      <c r="D611" s="38" t="n">
        <f aca="false">D610+C611</f>
        <v>625.530444113755</v>
      </c>
      <c r="E611" s="39" t="n">
        <f aca="false">MAX($E$3,AS610)</f>
        <v>0</v>
      </c>
      <c r="F611" s="39" t="n">
        <f aca="false">MAX($E$3,AT610)</f>
        <v>0</v>
      </c>
      <c r="G611" s="40" t="n">
        <v>0.5</v>
      </c>
      <c r="H611" s="38" t="n">
        <f aca="true">IF((B611=1),(IF((F611&lt;E611),1,(IF((F611=E611),(IF(RAND()&lt;G611,1,0)),0)))),(IF((RAND()&lt;G611),1,0)))</f>
        <v>1</v>
      </c>
      <c r="I611" s="38" t="n">
        <f aca="true">IF((H611=1),0,$D$3+$D$5*(RAND()-0.5))</f>
        <v>0</v>
      </c>
      <c r="J611" s="38" t="n">
        <f aca="false">I611+MAX(D611,J610)</f>
        <v>628.675784023974</v>
      </c>
      <c r="K611" s="38" t="n">
        <f aca="false">IF((H611=0),J611-D611,0)</f>
        <v>0</v>
      </c>
      <c r="L611" s="38" t="n">
        <f aca="true">IF(($H611=0),0,$D$4+$D$5*(RAND()-0.5))</f>
        <v>2.19603374667436</v>
      </c>
      <c r="M611" s="38" t="n">
        <f aca="false">L611+MAX(D611,M610)</f>
        <v>681.02921309554</v>
      </c>
      <c r="N611" s="38" t="n">
        <f aca="false">IF((H611=1),M611-D611,0)</f>
        <v>55.4987689817848</v>
      </c>
      <c r="O611" s="16" t="n">
        <v>594</v>
      </c>
      <c r="P611" s="41" t="n">
        <f aca="false">IF((Arterial=0),P610+1,P610)</f>
        <v>268</v>
      </c>
      <c r="Q611" s="41" t="n">
        <f aca="false">IF((Arterial=1),Q610+1,Q610)</f>
        <v>326</v>
      </c>
      <c r="R611" s="42" t="n">
        <f aca="false">IF((RESET=1),0,R611+K611)</f>
        <v>746.117258464773</v>
      </c>
      <c r="S611" s="14" t="e">
        <f aca="false">IF(RESET=1,0,S611+N611)</f>
        <v>#N/A</v>
      </c>
      <c r="T611" s="2" t="n">
        <f aca="false">IF(RESET=1,0,T611+IF(H611=0,1,0))</f>
        <v>41</v>
      </c>
      <c r="U611" s="2" t="e">
        <f aca="false">IF(RESET=1,0,U611+H611)</f>
        <v>#N/A</v>
      </c>
      <c r="V611" s="14" t="n">
        <f aca="false">R611/(T611+0.00001)</f>
        <v>18.1979774752439</v>
      </c>
      <c r="W611" s="14" t="e">
        <f aca="false">S611/(U611+0.0001)</f>
        <v>#N/A</v>
      </c>
      <c r="X611" s="39" t="n">
        <f aca="false">IF(Informed=1,K611,0)</f>
        <v>0</v>
      </c>
      <c r="Y611" s="39" t="n">
        <f aca="false">IF(Informed=0,K611,0)</f>
        <v>0</v>
      </c>
      <c r="Z611" s="39" t="n">
        <f aca="false">IF(Informed=1,N611,0)</f>
        <v>0</v>
      </c>
      <c r="AA611" s="39" t="n">
        <f aca="false">IF(Informed=0,N611,0)</f>
        <v>55.4987689817848</v>
      </c>
      <c r="AB611" s="43" t="n">
        <f aca="false">IF(Arterial=0,IF(Informed=1,1,0),0)</f>
        <v>0</v>
      </c>
      <c r="AC611" s="43" t="n">
        <f aca="false">IF(Arterial=0,IF(Informed=0,1,0),0)</f>
        <v>0</v>
      </c>
      <c r="AD611" s="43" t="n">
        <f aca="false">IF(Arterial=1,IF(Informed=1,1,0),0)</f>
        <v>0</v>
      </c>
      <c r="AE611" s="43" t="n">
        <f aca="false">IF(Arterial=1,IF(Informed=0,1,0),0)</f>
        <v>1</v>
      </c>
      <c r="AF611" s="35" t="n">
        <f aca="false">IF(AB611=1,(X611-G$1030)^2,0)</f>
        <v>0</v>
      </c>
      <c r="AG611" s="35" t="n">
        <f aca="false">IF(AC611=1,(Y611-H$1030)^2,0)</f>
        <v>0</v>
      </c>
      <c r="AH611" s="35" t="n">
        <f aca="false">IF(AD611=1,(Z611-I$1030)^2,0)</f>
        <v>0</v>
      </c>
      <c r="AI611" s="35" t="n">
        <f aca="false">IF(AE611=1,(AA611-J$1030)^2,0)</f>
        <v>672.59797859874</v>
      </c>
      <c r="AJ611" s="37" t="n">
        <f aca="true">IF(RAND()&lt;$D$6,1,0)</f>
        <v>0</v>
      </c>
      <c r="AK611" s="14" t="n">
        <f aca="false">AK610+IF((AJ611=1),IF((H611=0),1,0),0)</f>
        <v>0</v>
      </c>
      <c r="AL611" s="14" t="n">
        <f aca="false">AL610+IF((AJ611=1),IF((H611=1),1,0),0)</f>
        <v>0</v>
      </c>
      <c r="AM611" s="37" t="n">
        <f aca="false">IF(AK611=0,9999,IF($H611=0,IF($AJ611&lt;1,AM610+1,0),AM610))</f>
        <v>9999</v>
      </c>
      <c r="AN611" s="37" t="n">
        <f aca="false">IF(AL611=0,9999,IF($H611=1,IF($AJ611&lt;1,AN610+1,0),AN610))</f>
        <v>9999</v>
      </c>
      <c r="AO611" s="37" t="n">
        <f aca="false">IF($A611-AM611&gt;0,1/(1+AM611),0)</f>
        <v>0</v>
      </c>
      <c r="AP611" s="37" t="n">
        <f aca="false">IF($A611-AN611&gt;0,1/(1+AN611),0)</f>
        <v>0</v>
      </c>
      <c r="AQ611" s="7" t="n">
        <f aca="false">IF(AK611=0,0,MAX(MIN(1,AO611^Power),0))</f>
        <v>0</v>
      </c>
      <c r="AR611" s="7" t="n">
        <f aca="false">IF(AL611=0,0,MAX(MIN(1,AP611^Power),0))</f>
        <v>0</v>
      </c>
      <c r="AS611" s="7" t="n">
        <f aca="false">IF($AJ611=1,IF($H611=0,K611,AS610),AS610)</f>
        <v>0</v>
      </c>
      <c r="AT611" s="7" t="n">
        <f aca="false">IF($AJ611=1,IF($H611=1,N611,AT610),AT610)</f>
        <v>0</v>
      </c>
    </row>
    <row r="612" customFormat="false" ht="13" hidden="false" customHeight="false" outlineLevel="0" collapsed="false">
      <c r="A612" s="16" t="n">
        <v>595</v>
      </c>
      <c r="B612" s="37" t="n">
        <f aca="true">IF(RAND()&lt;$D$8,1,0)</f>
        <v>0</v>
      </c>
      <c r="C612" s="20" t="n">
        <f aca="true">-LN(RAND())/$D$2</f>
        <v>0.762595287867651</v>
      </c>
      <c r="D612" s="38" t="n">
        <f aca="false">D611+C612</f>
        <v>626.293039401622</v>
      </c>
      <c r="E612" s="39" t="n">
        <f aca="false">MAX($E$3,AS611)</f>
        <v>0</v>
      </c>
      <c r="F612" s="39" t="n">
        <f aca="false">MAX($E$3,AT611)</f>
        <v>0</v>
      </c>
      <c r="G612" s="40" t="n">
        <v>0.5</v>
      </c>
      <c r="H612" s="38" t="n">
        <f aca="true">IF((B612=1),(IF((F612&lt;E612),1,(IF((F612=E612),(IF(RAND()&lt;G612,1,0)),0)))),(IF((RAND()&lt;G612),1,0)))</f>
        <v>1</v>
      </c>
      <c r="I612" s="38" t="n">
        <f aca="true">IF((H612=1),0,$D$3+$D$5*(RAND()-0.5))</f>
        <v>0</v>
      </c>
      <c r="J612" s="38" t="n">
        <f aca="false">I612+MAX(D612,J611)</f>
        <v>628.675784023974</v>
      </c>
      <c r="K612" s="38" t="n">
        <f aca="false">IF((H612=0),J612-D612,0)</f>
        <v>0</v>
      </c>
      <c r="L612" s="38" t="n">
        <f aca="true">IF(($H612=0),0,$D$4+$D$5*(RAND()-0.5))</f>
        <v>2.14257732143583</v>
      </c>
      <c r="M612" s="38" t="n">
        <f aca="false">L612+MAX(D612,M611)</f>
        <v>683.171790416975</v>
      </c>
      <c r="N612" s="38" t="n">
        <f aca="false">IF((H612=1),M612-D612,0)</f>
        <v>56.878751015353</v>
      </c>
      <c r="O612" s="16" t="n">
        <v>595</v>
      </c>
      <c r="P612" s="41" t="n">
        <f aca="false">IF((Arterial=0),P611+1,P611)</f>
        <v>268</v>
      </c>
      <c r="Q612" s="41" t="n">
        <f aca="false">IF((Arterial=1),Q611+1,Q611)</f>
        <v>327</v>
      </c>
      <c r="R612" s="42" t="n">
        <f aca="false">IF((RESET=1),0,R612+K612)</f>
        <v>714.146047116695</v>
      </c>
      <c r="S612" s="14" t="e">
        <f aca="false">IF(RESET=1,0,S612+N612)</f>
        <v>#N/A</v>
      </c>
      <c r="T612" s="2" t="n">
        <f aca="false">IF(RESET=1,0,T612+IF(H612=0,1,0))</f>
        <v>33</v>
      </c>
      <c r="U612" s="2" t="e">
        <f aca="false">IF(RESET=1,0,U612+H612)</f>
        <v>#N/A</v>
      </c>
      <c r="V612" s="14" t="n">
        <f aca="false">R612/(T612+0.00001)</f>
        <v>21.6407827487536</v>
      </c>
      <c r="W612" s="14" t="e">
        <f aca="false">S612/(U612+0.0001)</f>
        <v>#N/A</v>
      </c>
      <c r="X612" s="39" t="n">
        <f aca="false">IF(Informed=1,K612,0)</f>
        <v>0</v>
      </c>
      <c r="Y612" s="39" t="n">
        <f aca="false">IF(Informed=0,K612,0)</f>
        <v>0</v>
      </c>
      <c r="Z612" s="39" t="n">
        <f aca="false">IF(Informed=1,N612,0)</f>
        <v>0</v>
      </c>
      <c r="AA612" s="39" t="n">
        <f aca="false">IF(Informed=0,N612,0)</f>
        <v>56.878751015353</v>
      </c>
      <c r="AB612" s="43" t="n">
        <f aca="false">IF(Arterial=0,IF(Informed=1,1,0),0)</f>
        <v>0</v>
      </c>
      <c r="AC612" s="43" t="n">
        <f aca="false">IF(Arterial=0,IF(Informed=0,1,0),0)</f>
        <v>0</v>
      </c>
      <c r="AD612" s="43" t="n">
        <f aca="false">IF(Arterial=1,IF(Informed=1,1,0),0)</f>
        <v>0</v>
      </c>
      <c r="AE612" s="43" t="n">
        <f aca="false">IF(Arterial=1,IF(Informed=0,1,0),0)</f>
        <v>1</v>
      </c>
      <c r="AF612" s="35" t="n">
        <f aca="false">IF(AB612=1,(X612-G$1030)^2,0)</f>
        <v>0</v>
      </c>
      <c r="AG612" s="35" t="n">
        <f aca="false">IF(AC612=1,(Y612-H$1030)^2,0)</f>
        <v>0</v>
      </c>
      <c r="AH612" s="35" t="n">
        <f aca="false">IF(AD612=1,(Z612-I$1030)^2,0)</f>
        <v>0</v>
      </c>
      <c r="AI612" s="35" t="n">
        <f aca="false">IF(AE612=1,(AA612-J$1030)^2,0)</f>
        <v>746.080600527809</v>
      </c>
      <c r="AJ612" s="37" t="n">
        <f aca="true">IF(RAND()&lt;$D$6,1,0)</f>
        <v>0</v>
      </c>
      <c r="AK612" s="14" t="n">
        <f aca="false">AK611+IF((AJ612=1),IF((H612=0),1,0),0)</f>
        <v>0</v>
      </c>
      <c r="AL612" s="14" t="n">
        <f aca="false">AL611+IF((AJ612=1),IF((H612=1),1,0),0)</f>
        <v>0</v>
      </c>
      <c r="AM612" s="37" t="n">
        <f aca="false">IF(AK612=0,9999,IF($H612=0,IF($AJ612&lt;1,AM611+1,0),AM611))</f>
        <v>9999</v>
      </c>
      <c r="AN612" s="37" t="n">
        <f aca="false">IF(AL612=0,9999,IF($H612=1,IF($AJ612&lt;1,AN611+1,0),AN611))</f>
        <v>9999</v>
      </c>
      <c r="AO612" s="37" t="n">
        <f aca="false">IF($A612-AM612&gt;0,1/(1+AM612),0)</f>
        <v>0</v>
      </c>
      <c r="AP612" s="37" t="n">
        <f aca="false">IF($A612-AN612&gt;0,1/(1+AN612),0)</f>
        <v>0</v>
      </c>
      <c r="AQ612" s="7" t="n">
        <f aca="false">IF(AK612=0,0,MAX(MIN(1,AO612^Power),0))</f>
        <v>0</v>
      </c>
      <c r="AR612" s="7" t="n">
        <f aca="false">IF(AL612=0,0,MAX(MIN(1,AP612^Power),0))</f>
        <v>0</v>
      </c>
      <c r="AS612" s="7" t="n">
        <f aca="false">IF($AJ612=1,IF($H612=0,K612,AS611),AS611)</f>
        <v>0</v>
      </c>
      <c r="AT612" s="7" t="n">
        <f aca="false">IF($AJ612=1,IF($H612=1,N612,AT611),AT611)</f>
        <v>0</v>
      </c>
    </row>
    <row r="613" customFormat="false" ht="13" hidden="false" customHeight="false" outlineLevel="0" collapsed="false">
      <c r="A613" s="16" t="n">
        <v>596</v>
      </c>
      <c r="B613" s="37" t="n">
        <f aca="true">IF(RAND()&lt;$D$8,1,0)</f>
        <v>1</v>
      </c>
      <c r="C613" s="20" t="n">
        <f aca="true">-LN(RAND())/$D$2</f>
        <v>1.59964103575235</v>
      </c>
      <c r="D613" s="38" t="n">
        <f aca="false">D612+C613</f>
        <v>627.892680437375</v>
      </c>
      <c r="E613" s="39" t="n">
        <f aca="false">MAX($E$3,AS612)</f>
        <v>0</v>
      </c>
      <c r="F613" s="39" t="n">
        <f aca="false">MAX($E$3,AT612)</f>
        <v>0</v>
      </c>
      <c r="G613" s="40" t="n">
        <v>0.5</v>
      </c>
      <c r="H613" s="38" t="n">
        <f aca="true">IF((B613=1),(IF((F613&lt;E613),1,(IF((F613=E613),(IF(RAND()&lt;G613,1,0)),0)))),(IF((RAND()&lt;G613),1,0)))</f>
        <v>0</v>
      </c>
      <c r="I613" s="38" t="n">
        <f aca="true">IF((H613=1),0,$D$3+$D$5*(RAND()-0.5))</f>
        <v>1.87659470493814</v>
      </c>
      <c r="J613" s="38" t="n">
        <f aca="false">I613+MAX(D613,J612)</f>
        <v>630.552378728912</v>
      </c>
      <c r="K613" s="38" t="n">
        <f aca="false">IF((H613=0),J613-D613,0)</f>
        <v>2.65969829153732</v>
      </c>
      <c r="L613" s="38" t="n">
        <f aca="true">IF(($H613=0),0,$D$4+$D$5*(RAND()-0.5))</f>
        <v>0</v>
      </c>
      <c r="M613" s="38" t="n">
        <f aca="false">L613+MAX(D613,M612)</f>
        <v>683.171790416975</v>
      </c>
      <c r="N613" s="38" t="n">
        <f aca="false">IF((H613=1),M613-D613,0)</f>
        <v>0</v>
      </c>
      <c r="O613" s="16" t="n">
        <v>596</v>
      </c>
      <c r="P613" s="41" t="n">
        <f aca="false">IF((Arterial=0),P612+1,P612)</f>
        <v>269</v>
      </c>
      <c r="Q613" s="41" t="n">
        <f aca="false">IF((Arterial=1),Q612+1,Q612)</f>
        <v>327</v>
      </c>
      <c r="R613" s="42" t="e">
        <f aca="false">IF((RESET=1),0,R613+K613)</f>
        <v>#N/A</v>
      </c>
      <c r="S613" s="14" t="n">
        <f aca="false">IF(RESET=1,0,S613+N613)</f>
        <v>623.248477153929</v>
      </c>
      <c r="T613" s="2" t="e">
        <f aca="false">IF(RESET=1,0,T613+IF(H613=0,1,0))</f>
        <v>#N/A</v>
      </c>
      <c r="U613" s="2" t="n">
        <f aca="false">IF(RESET=1,0,U613+H613)</f>
        <v>37</v>
      </c>
      <c r="V613" s="14" t="e">
        <f aca="false">R613/(T613+0.00001)</f>
        <v>#N/A</v>
      </c>
      <c r="W613" s="14" t="n">
        <f aca="false">S613/(U613+0.0001)</f>
        <v>16.8445079108956</v>
      </c>
      <c r="X613" s="39" t="n">
        <f aca="false">IF(Informed=1,K613,0)</f>
        <v>2.65969829153732</v>
      </c>
      <c r="Y613" s="39" t="n">
        <f aca="false">IF(Informed=0,K613,0)</f>
        <v>0</v>
      </c>
      <c r="Z613" s="39" t="n">
        <f aca="false">IF(Informed=1,N613,0)</f>
        <v>0</v>
      </c>
      <c r="AA613" s="39" t="n">
        <f aca="false">IF(Informed=0,N613,0)</f>
        <v>0</v>
      </c>
      <c r="AB613" s="43" t="n">
        <f aca="false">IF(Arterial=0,IF(Informed=1,1,0),0)</f>
        <v>1</v>
      </c>
      <c r="AC613" s="43" t="n">
        <f aca="false">IF(Arterial=0,IF(Informed=0,1,0),0)</f>
        <v>0</v>
      </c>
      <c r="AD613" s="43" t="n">
        <f aca="false">IF(Arterial=1,IF(Informed=1,1,0),0)</f>
        <v>0</v>
      </c>
      <c r="AE613" s="43" t="n">
        <f aca="false">IF(Arterial=1,IF(Informed=0,1,0),0)</f>
        <v>0</v>
      </c>
      <c r="AF613" s="35" t="n">
        <f aca="false">IF(AB613=1,(X613-G$1030)^2,0)</f>
        <v>64.8021771992806</v>
      </c>
      <c r="AG613" s="35" t="n">
        <f aca="false">IF(AC613=1,(Y613-H$1030)^2,0)</f>
        <v>0</v>
      </c>
      <c r="AH613" s="35" t="n">
        <f aca="false">IF(AD613=1,(Z613-I$1030)^2,0)</f>
        <v>0</v>
      </c>
      <c r="AI613" s="35" t="n">
        <f aca="false">IF(AE613=1,(AA613-J$1030)^2,0)</f>
        <v>0</v>
      </c>
      <c r="AJ613" s="37" t="n">
        <f aca="true">IF(RAND()&lt;$D$6,1,0)</f>
        <v>0</v>
      </c>
      <c r="AK613" s="14" t="n">
        <f aca="false">AK612+IF((AJ613=1),IF((H613=0),1,0),0)</f>
        <v>0</v>
      </c>
      <c r="AL613" s="14" t="n">
        <f aca="false">AL612+IF((AJ613=1),IF((H613=1),1,0),0)</f>
        <v>0</v>
      </c>
      <c r="AM613" s="37" t="n">
        <f aca="false">IF(AK613=0,9999,IF($H613=0,IF($AJ613&lt;1,AM612+1,0),AM612))</f>
        <v>9999</v>
      </c>
      <c r="AN613" s="37" t="n">
        <f aca="false">IF(AL613=0,9999,IF($H613=1,IF($AJ613&lt;1,AN612+1,0),AN612))</f>
        <v>9999</v>
      </c>
      <c r="AO613" s="37" t="n">
        <f aca="false">IF($A613-AM613&gt;0,1/(1+AM613),0)</f>
        <v>0</v>
      </c>
      <c r="AP613" s="37" t="n">
        <f aca="false">IF($A613-AN613&gt;0,1/(1+AN613),0)</f>
        <v>0</v>
      </c>
      <c r="AQ613" s="7" t="n">
        <f aca="false">IF(AK613=0,0,MAX(MIN(1,AO613^Power),0))</f>
        <v>0</v>
      </c>
      <c r="AR613" s="7" t="n">
        <f aca="false">IF(AL613=0,0,MAX(MIN(1,AP613^Power),0))</f>
        <v>0</v>
      </c>
      <c r="AS613" s="7" t="n">
        <f aca="false">IF($AJ613=1,IF($H613=0,K613,AS612),AS612)</f>
        <v>0</v>
      </c>
      <c r="AT613" s="7" t="n">
        <f aca="false">IF($AJ613=1,IF($H613=1,N613,AT612),AT612)</f>
        <v>0</v>
      </c>
    </row>
    <row r="614" customFormat="false" ht="13" hidden="false" customHeight="false" outlineLevel="0" collapsed="false">
      <c r="A614" s="16" t="n">
        <v>597</v>
      </c>
      <c r="B614" s="37" t="n">
        <f aca="true">IF(RAND()&lt;$D$8,1,0)</f>
        <v>1</v>
      </c>
      <c r="C614" s="20" t="n">
        <f aca="true">-LN(RAND())/$D$2</f>
        <v>1.75888150317067</v>
      </c>
      <c r="D614" s="38" t="n">
        <f aca="false">D613+C614</f>
        <v>629.651561940545</v>
      </c>
      <c r="E614" s="39" t="n">
        <f aca="false">MAX($E$3,AS613)</f>
        <v>0</v>
      </c>
      <c r="F614" s="39" t="n">
        <f aca="false">MAX($E$3,AT613)</f>
        <v>0</v>
      </c>
      <c r="G614" s="40" t="n">
        <v>0.5</v>
      </c>
      <c r="H614" s="38" t="n">
        <f aca="true">IF((B614=1),(IF((F614&lt;E614),1,(IF((F614=E614),(IF(RAND()&lt;G614,1,0)),0)))),(IF((RAND()&lt;G614),1,0)))</f>
        <v>1</v>
      </c>
      <c r="I614" s="38" t="n">
        <f aca="true">IF((H614=1),0,$D$3+$D$5*(RAND()-0.5))</f>
        <v>0</v>
      </c>
      <c r="J614" s="38" t="n">
        <f aca="false">I614+MAX(D614,J613)</f>
        <v>630.552378728912</v>
      </c>
      <c r="K614" s="38" t="n">
        <f aca="false">IF((H614=0),J614-D614,0)</f>
        <v>0</v>
      </c>
      <c r="L614" s="38" t="n">
        <f aca="true">IF(($H614=0),0,$D$4+$D$5*(RAND()-0.5))</f>
        <v>1.91203706451167</v>
      </c>
      <c r="M614" s="38" t="n">
        <f aca="false">L614+MAX(D614,M613)</f>
        <v>685.083827481487</v>
      </c>
      <c r="N614" s="38" t="n">
        <f aca="false">IF((H614=1),M614-D614,0)</f>
        <v>55.4322655409417</v>
      </c>
      <c r="O614" s="16" t="n">
        <v>597</v>
      </c>
      <c r="P614" s="41" t="n">
        <f aca="false">IF((Arterial=0),P613+1,P613)</f>
        <v>269</v>
      </c>
      <c r="Q614" s="41" t="n">
        <f aca="false">IF((Arterial=1),Q613+1,Q613)</f>
        <v>328</v>
      </c>
      <c r="R614" s="42" t="n">
        <f aca="false">IF((RESET=1),0,R614+K614)</f>
        <v>1126.2470192809</v>
      </c>
      <c r="S614" s="14" t="e">
        <f aca="false">IF(RESET=1,0,S614+N614)</f>
        <v>#N/A</v>
      </c>
      <c r="T614" s="2" t="n">
        <f aca="false">IF(RESET=1,0,T614+IF(H614=0,1,0))</f>
        <v>45</v>
      </c>
      <c r="U614" s="2" t="e">
        <f aca="false">IF(RESET=1,0,U614+H614)</f>
        <v>#N/A</v>
      </c>
      <c r="V614" s="14" t="n">
        <f aca="false">R614/(T614+0.00001)</f>
        <v>25.0277059778631</v>
      </c>
      <c r="W614" s="14" t="e">
        <f aca="false">S614/(U614+0.0001)</f>
        <v>#N/A</v>
      </c>
      <c r="X614" s="39" t="n">
        <f aca="false">IF(Informed=1,K614,0)</f>
        <v>0</v>
      </c>
      <c r="Y614" s="39" t="n">
        <f aca="false">IF(Informed=0,K614,0)</f>
        <v>0</v>
      </c>
      <c r="Z614" s="39" t="n">
        <f aca="false">IF(Informed=1,N614,0)</f>
        <v>55.4322655409417</v>
      </c>
      <c r="AA614" s="39" t="n">
        <f aca="false">IF(Informed=0,N614,0)</f>
        <v>0</v>
      </c>
      <c r="AB614" s="43" t="n">
        <f aca="false">IF(Arterial=0,IF(Informed=1,1,0),0)</f>
        <v>0</v>
      </c>
      <c r="AC614" s="43" t="n">
        <f aca="false">IF(Arterial=0,IF(Informed=0,1,0),0)</f>
        <v>0</v>
      </c>
      <c r="AD614" s="43" t="n">
        <f aca="false">IF(Arterial=1,IF(Informed=1,1,0),0)</f>
        <v>1</v>
      </c>
      <c r="AE614" s="43" t="n">
        <f aca="false">IF(Arterial=1,IF(Informed=0,1,0),0)</f>
        <v>0</v>
      </c>
      <c r="AF614" s="35" t="n">
        <f aca="false">IF(AB614=1,(X614-G$1030)^2,0)</f>
        <v>0</v>
      </c>
      <c r="AG614" s="35" t="n">
        <f aca="false">IF(AC614=1,(Y614-H$1030)^2,0)</f>
        <v>0</v>
      </c>
      <c r="AH614" s="35" t="n">
        <f aca="false">IF(AD614=1,(Z614-I$1030)^2,0)</f>
        <v>732.104558666886</v>
      </c>
      <c r="AI614" s="35" t="n">
        <f aca="false">IF(AE614=1,(AA614-J$1030)^2,0)</f>
        <v>0</v>
      </c>
      <c r="AJ614" s="37" t="n">
        <f aca="true">IF(RAND()&lt;$D$6,1,0)</f>
        <v>0</v>
      </c>
      <c r="AK614" s="14" t="n">
        <f aca="false">AK613+IF((AJ614=1),IF((H614=0),1,0),0)</f>
        <v>0</v>
      </c>
      <c r="AL614" s="14" t="n">
        <f aca="false">AL613+IF((AJ614=1),IF((H614=1),1,0),0)</f>
        <v>0</v>
      </c>
      <c r="AM614" s="37" t="n">
        <f aca="false">IF(AK614=0,9999,IF($H614=0,IF($AJ614&lt;1,AM613+1,0),AM613))</f>
        <v>9999</v>
      </c>
      <c r="AN614" s="37" t="n">
        <f aca="false">IF(AL614=0,9999,IF($H614=1,IF($AJ614&lt;1,AN613+1,0),AN613))</f>
        <v>9999</v>
      </c>
      <c r="AO614" s="37" t="n">
        <f aca="false">IF($A614-AM614&gt;0,1/(1+AM614),0)</f>
        <v>0</v>
      </c>
      <c r="AP614" s="37" t="n">
        <f aca="false">IF($A614-AN614&gt;0,1/(1+AN614),0)</f>
        <v>0</v>
      </c>
      <c r="AQ614" s="7" t="n">
        <f aca="false">IF(AK614=0,0,MAX(MIN(1,AO614^Power),0))</f>
        <v>0</v>
      </c>
      <c r="AR614" s="7" t="n">
        <f aca="false">IF(AL614=0,0,MAX(MIN(1,AP614^Power),0))</f>
        <v>0</v>
      </c>
      <c r="AS614" s="7" t="n">
        <f aca="false">IF($AJ614=1,IF($H614=0,K614,AS613),AS613)</f>
        <v>0</v>
      </c>
      <c r="AT614" s="7" t="n">
        <f aca="false">IF($AJ614=1,IF($H614=1,N614,AT613),AT613)</f>
        <v>0</v>
      </c>
    </row>
    <row r="615" customFormat="false" ht="13" hidden="false" customHeight="false" outlineLevel="0" collapsed="false">
      <c r="A615" s="16" t="n">
        <v>598</v>
      </c>
      <c r="B615" s="37" t="n">
        <f aca="true">IF(RAND()&lt;$D$8,1,0)</f>
        <v>0</v>
      </c>
      <c r="C615" s="20" t="n">
        <f aca="true">-LN(RAND())/$D$2</f>
        <v>2.09528880576478</v>
      </c>
      <c r="D615" s="38" t="n">
        <f aca="false">D614+C615</f>
        <v>631.74685074631</v>
      </c>
      <c r="E615" s="39" t="n">
        <f aca="false">MAX($E$3,AS614)</f>
        <v>0</v>
      </c>
      <c r="F615" s="39" t="n">
        <f aca="false">MAX($E$3,AT614)</f>
        <v>0</v>
      </c>
      <c r="G615" s="40" t="n">
        <v>0.5</v>
      </c>
      <c r="H615" s="38" t="n">
        <f aca="true">IF((B615=1),(IF((F615&lt;E615),1,(IF((F615=E615),(IF(RAND()&lt;G615,1,0)),0)))),(IF((RAND()&lt;G615),1,0)))</f>
        <v>1</v>
      </c>
      <c r="I615" s="38" t="n">
        <f aca="true">IF((H615=1),0,$D$3+$D$5*(RAND()-0.5))</f>
        <v>0</v>
      </c>
      <c r="J615" s="38" t="n">
        <f aca="false">I615+MAX(D615,J614)</f>
        <v>631.74685074631</v>
      </c>
      <c r="K615" s="38" t="n">
        <f aca="false">IF((H615=0),J615-D615,0)</f>
        <v>0</v>
      </c>
      <c r="L615" s="38" t="n">
        <f aca="true">IF(($H615=0),0,$D$4+$D$5*(RAND()-0.5))</f>
        <v>1.96635136308505</v>
      </c>
      <c r="M615" s="38" t="n">
        <f aca="false">L615+MAX(D615,M614)</f>
        <v>687.050178844572</v>
      </c>
      <c r="N615" s="38" t="n">
        <f aca="false">IF((H615=1),M615-D615,0)</f>
        <v>55.303328098262</v>
      </c>
      <c r="O615" s="16" t="n">
        <v>598</v>
      </c>
      <c r="P615" s="41" t="n">
        <f aca="false">IF((Arterial=0),P614+1,P614)</f>
        <v>269</v>
      </c>
      <c r="Q615" s="41" t="n">
        <f aca="false">IF((Arterial=1),Q614+1,Q614)</f>
        <v>329</v>
      </c>
      <c r="R615" s="42" t="n">
        <f aca="false">IF((RESET=1),0,R615+K615)</f>
        <v>846.171149047997</v>
      </c>
      <c r="S615" s="14" t="e">
        <f aca="false">IF(RESET=1,0,S615+N615)</f>
        <v>#N/A</v>
      </c>
      <c r="T615" s="2" t="n">
        <f aca="false">IF(RESET=1,0,T615+IF(H615=0,1,0))</f>
        <v>42</v>
      </c>
      <c r="U615" s="2" t="e">
        <f aca="false">IF(RESET=1,0,U615+H615)</f>
        <v>#N/A</v>
      </c>
      <c r="V615" s="14" t="n">
        <f aca="false">R615/(T615+0.00001)</f>
        <v>20.1469273233029</v>
      </c>
      <c r="W615" s="14" t="e">
        <f aca="false">S615/(U615+0.0001)</f>
        <v>#N/A</v>
      </c>
      <c r="X615" s="39" t="n">
        <f aca="false">IF(Informed=1,K615,0)</f>
        <v>0</v>
      </c>
      <c r="Y615" s="39" t="n">
        <f aca="false">IF(Informed=0,K615,0)</f>
        <v>0</v>
      </c>
      <c r="Z615" s="39" t="n">
        <f aca="false">IF(Informed=1,N615,0)</f>
        <v>0</v>
      </c>
      <c r="AA615" s="39" t="n">
        <f aca="false">IF(Informed=0,N615,0)</f>
        <v>55.303328098262</v>
      </c>
      <c r="AB615" s="43" t="n">
        <f aca="false">IF(Arterial=0,IF(Informed=1,1,0),0)</f>
        <v>0</v>
      </c>
      <c r="AC615" s="43" t="n">
        <f aca="false">IF(Arterial=0,IF(Informed=0,1,0),0)</f>
        <v>0</v>
      </c>
      <c r="AD615" s="43" t="n">
        <f aca="false">IF(Arterial=1,IF(Informed=1,1,0),0)</f>
        <v>0</v>
      </c>
      <c r="AE615" s="43" t="n">
        <f aca="false">IF(Arterial=1,IF(Informed=0,1,0),0)</f>
        <v>1</v>
      </c>
      <c r="AF615" s="35" t="n">
        <f aca="false">IF(AB615=1,(X615-G$1030)^2,0)</f>
        <v>0</v>
      </c>
      <c r="AG615" s="35" t="n">
        <f aca="false">IF(AC615=1,(Y615-H$1030)^2,0)</f>
        <v>0</v>
      </c>
      <c r="AH615" s="35" t="n">
        <f aca="false">IF(AD615=1,(Z615-I$1030)^2,0)</f>
        <v>0</v>
      </c>
      <c r="AI615" s="35" t="n">
        <f aca="false">IF(AE615=1,(AA615-J$1030)^2,0)</f>
        <v>662.498854898834</v>
      </c>
      <c r="AJ615" s="37" t="n">
        <f aca="true">IF(RAND()&lt;$D$6,1,0)</f>
        <v>0</v>
      </c>
      <c r="AK615" s="14" t="n">
        <f aca="false">AK614+IF((AJ615=1),IF((H615=0),1,0),0)</f>
        <v>0</v>
      </c>
      <c r="AL615" s="14" t="n">
        <f aca="false">AL614+IF((AJ615=1),IF((H615=1),1,0),0)</f>
        <v>0</v>
      </c>
      <c r="AM615" s="37" t="n">
        <f aca="false">IF(AK615=0,9999,IF($H615=0,IF($AJ615&lt;1,AM614+1,0),AM614))</f>
        <v>9999</v>
      </c>
      <c r="AN615" s="37" t="n">
        <f aca="false">IF(AL615=0,9999,IF($H615=1,IF($AJ615&lt;1,AN614+1,0),AN614))</f>
        <v>9999</v>
      </c>
      <c r="AO615" s="37" t="n">
        <f aca="false">IF($A615-AM615&gt;0,1/(1+AM615),0)</f>
        <v>0</v>
      </c>
      <c r="AP615" s="37" t="n">
        <f aca="false">IF($A615-AN615&gt;0,1/(1+AN615),0)</f>
        <v>0</v>
      </c>
      <c r="AQ615" s="7" t="n">
        <f aca="false">IF(AK615=0,0,MAX(MIN(1,AO615^Power),0))</f>
        <v>0</v>
      </c>
      <c r="AR615" s="7" t="n">
        <f aca="false">IF(AL615=0,0,MAX(MIN(1,AP615^Power),0))</f>
        <v>0</v>
      </c>
      <c r="AS615" s="7" t="n">
        <f aca="false">IF($AJ615=1,IF($H615=0,K615,AS614),AS614)</f>
        <v>0</v>
      </c>
      <c r="AT615" s="7" t="n">
        <f aca="false">IF($AJ615=1,IF($H615=1,N615,AT614),AT614)</f>
        <v>0</v>
      </c>
    </row>
    <row r="616" customFormat="false" ht="13" hidden="false" customHeight="false" outlineLevel="0" collapsed="false">
      <c r="A616" s="16" t="n">
        <v>599</v>
      </c>
      <c r="B616" s="37" t="n">
        <f aca="true">IF(RAND()&lt;$D$8,1,0)</f>
        <v>1</v>
      </c>
      <c r="C616" s="20" t="n">
        <f aca="true">-LN(RAND())/$D$2</f>
        <v>0.017791815989613</v>
      </c>
      <c r="D616" s="38" t="n">
        <f aca="false">D615+C616</f>
        <v>631.7646425623</v>
      </c>
      <c r="E616" s="39" t="n">
        <f aca="false">MAX($E$3,AS615)</f>
        <v>0</v>
      </c>
      <c r="F616" s="39" t="n">
        <f aca="false">MAX($E$3,AT615)</f>
        <v>0</v>
      </c>
      <c r="G616" s="40" t="n">
        <v>0.5</v>
      </c>
      <c r="H616" s="38" t="n">
        <f aca="true">IF((B616=1),(IF((F616&lt;E616),1,(IF((F616=E616),(IF(RAND()&lt;G616,1,0)),0)))),(IF((RAND()&lt;G616),1,0)))</f>
        <v>0</v>
      </c>
      <c r="I616" s="38" t="n">
        <f aca="true">IF((H616=1),0,$D$3+$D$5*(RAND()-0.5))</f>
        <v>1.75739713095058</v>
      </c>
      <c r="J616" s="38" t="n">
        <f aca="false">I616+MAX(D616,J615)</f>
        <v>633.52203969325</v>
      </c>
      <c r="K616" s="38" t="n">
        <f aca="false">IF((H616=0),J616-D616,0)</f>
        <v>1.75739713095061</v>
      </c>
      <c r="L616" s="38" t="n">
        <f aca="true">IF(($H616=0),0,$D$4+$D$5*(RAND()-0.5))</f>
        <v>0</v>
      </c>
      <c r="M616" s="38" t="n">
        <f aca="false">L616+MAX(D616,M615)</f>
        <v>687.050178844572</v>
      </c>
      <c r="N616" s="38" t="n">
        <f aca="false">IF((H616=1),M616-D616,0)</f>
        <v>0</v>
      </c>
      <c r="O616" s="16" t="n">
        <v>599</v>
      </c>
      <c r="P616" s="41" t="n">
        <f aca="false">IF((Arterial=0),P615+1,P615)</f>
        <v>270</v>
      </c>
      <c r="Q616" s="41" t="n">
        <f aca="false">IF((Arterial=1),Q615+1,Q615)</f>
        <v>329</v>
      </c>
      <c r="R616" s="42" t="e">
        <f aca="false">IF((RESET=1),0,R616+K616)</f>
        <v>#N/A</v>
      </c>
      <c r="S616" s="14" t="n">
        <f aca="false">IF(RESET=1,0,S616+N616)</f>
        <v>630.735795302745</v>
      </c>
      <c r="T616" s="2" t="e">
        <f aca="false">IF(RESET=1,0,T616+IF(H616=0,1,0))</f>
        <v>#N/A</v>
      </c>
      <c r="U616" s="2" t="n">
        <f aca="false">IF(RESET=1,0,U616+H616)</f>
        <v>34</v>
      </c>
      <c r="V616" s="14" t="e">
        <f aca="false">R616/(T616+0.00001)</f>
        <v>#N/A</v>
      </c>
      <c r="W616" s="14" t="n">
        <f aca="false">S616/(U616+0.0001)</f>
        <v>18.5509982412624</v>
      </c>
      <c r="X616" s="39" t="n">
        <f aca="false">IF(Informed=1,K616,0)</f>
        <v>1.75739713095061</v>
      </c>
      <c r="Y616" s="39" t="n">
        <f aca="false">IF(Informed=0,K616,0)</f>
        <v>0</v>
      </c>
      <c r="Z616" s="39" t="n">
        <f aca="false">IF(Informed=1,N616,0)</f>
        <v>0</v>
      </c>
      <c r="AA616" s="39" t="n">
        <f aca="false">IF(Informed=0,N616,0)</f>
        <v>0</v>
      </c>
      <c r="AB616" s="43" t="n">
        <f aca="false">IF(Arterial=0,IF(Informed=1,1,0),0)</f>
        <v>1</v>
      </c>
      <c r="AC616" s="43" t="n">
        <f aca="false">IF(Arterial=0,IF(Informed=0,1,0),0)</f>
        <v>0</v>
      </c>
      <c r="AD616" s="43" t="n">
        <f aca="false">IF(Arterial=1,IF(Informed=1,1,0),0)</f>
        <v>0</v>
      </c>
      <c r="AE616" s="43" t="n">
        <f aca="false">IF(Arterial=1,IF(Informed=0,1,0),0)</f>
        <v>0</v>
      </c>
      <c r="AF616" s="35" t="n">
        <f aca="false">IF(AB616=1,(X616-G$1030)^2,0)</f>
        <v>80.1433370872811</v>
      </c>
      <c r="AG616" s="35" t="n">
        <f aca="false">IF(AC616=1,(Y616-H$1030)^2,0)</f>
        <v>0</v>
      </c>
      <c r="AH616" s="35" t="n">
        <f aca="false">IF(AD616=1,(Z616-I$1030)^2,0)</f>
        <v>0</v>
      </c>
      <c r="AI616" s="35" t="n">
        <f aca="false">IF(AE616=1,(AA616-J$1030)^2,0)</f>
        <v>0</v>
      </c>
      <c r="AJ616" s="37" t="n">
        <f aca="true">IF(RAND()&lt;$D$6,1,0)</f>
        <v>0</v>
      </c>
      <c r="AK616" s="14" t="n">
        <f aca="false">AK615+IF((AJ616=1),IF((H616=0),1,0),0)</f>
        <v>0</v>
      </c>
      <c r="AL616" s="14" t="n">
        <f aca="false">AL615+IF((AJ616=1),IF((H616=1),1,0),0)</f>
        <v>0</v>
      </c>
      <c r="AM616" s="37" t="n">
        <f aca="false">IF(AK616=0,9999,IF($H616=0,IF($AJ616&lt;1,AM615+1,0),AM615))</f>
        <v>9999</v>
      </c>
      <c r="AN616" s="37" t="n">
        <f aca="false">IF(AL616=0,9999,IF($H616=1,IF($AJ616&lt;1,AN615+1,0),AN615))</f>
        <v>9999</v>
      </c>
      <c r="AO616" s="37" t="n">
        <f aca="false">IF($A616-AM616&gt;0,1/(1+AM616),0)</f>
        <v>0</v>
      </c>
      <c r="AP616" s="37" t="n">
        <f aca="false">IF($A616-AN616&gt;0,1/(1+AN616),0)</f>
        <v>0</v>
      </c>
      <c r="AQ616" s="7" t="n">
        <f aca="false">IF(AK616=0,0,MAX(MIN(1,AO616^Power),0))</f>
        <v>0</v>
      </c>
      <c r="AR616" s="7" t="n">
        <f aca="false">IF(AL616=0,0,MAX(MIN(1,AP616^Power),0))</f>
        <v>0</v>
      </c>
      <c r="AS616" s="7" t="n">
        <f aca="false">IF($AJ616=1,IF($H616=0,K616,AS615),AS615)</f>
        <v>0</v>
      </c>
      <c r="AT616" s="7" t="n">
        <f aca="false">IF($AJ616=1,IF($H616=1,N616,AT615),AT615)</f>
        <v>0</v>
      </c>
    </row>
    <row r="617" customFormat="false" ht="13" hidden="false" customHeight="false" outlineLevel="0" collapsed="false">
      <c r="A617" s="16" t="n">
        <v>600</v>
      </c>
      <c r="B617" s="37" t="n">
        <f aca="true">IF(RAND()&lt;$D$8,1,0)</f>
        <v>1</v>
      </c>
      <c r="C617" s="20" t="n">
        <f aca="true">-LN(RAND())/$D$2</f>
        <v>0.165384099807243</v>
      </c>
      <c r="D617" s="38" t="n">
        <f aca="false">D616+C617</f>
        <v>631.930026662107</v>
      </c>
      <c r="E617" s="39" t="n">
        <f aca="false">MAX($E$3,AS616)</f>
        <v>0</v>
      </c>
      <c r="F617" s="39" t="n">
        <f aca="false">MAX($E$3,AT616)</f>
        <v>0</v>
      </c>
      <c r="G617" s="40" t="n">
        <v>0.5</v>
      </c>
      <c r="H617" s="38" t="n">
        <f aca="true">IF((B617=1),(IF((F617&lt;E617),1,(IF((F617=E617),(IF(RAND()&lt;G617,1,0)),0)))),(IF((RAND()&lt;G617),1,0)))</f>
        <v>0</v>
      </c>
      <c r="I617" s="38" t="n">
        <f aca="true">IF((H617=1),0,$D$3+$D$5*(RAND()-0.5))</f>
        <v>2.08277284498887</v>
      </c>
      <c r="J617" s="38" t="n">
        <f aca="false">I617+MAX(D617,J616)</f>
        <v>635.604812538239</v>
      </c>
      <c r="K617" s="38" t="n">
        <f aca="false">IF((H617=0),J617-D617,0)</f>
        <v>3.67478587613221</v>
      </c>
      <c r="L617" s="38" t="n">
        <f aca="true">IF(($H617=0),0,$D$4+$D$5*(RAND()-0.5))</f>
        <v>0</v>
      </c>
      <c r="M617" s="38" t="n">
        <f aca="false">L617+MAX(D617,M616)</f>
        <v>687.050178844572</v>
      </c>
      <c r="N617" s="38" t="n">
        <f aca="false">IF((H617=1),M617-D617,0)</f>
        <v>0</v>
      </c>
      <c r="O617" s="16" t="n">
        <v>600</v>
      </c>
      <c r="P617" s="41" t="n">
        <f aca="false">IF((Arterial=0),P616+1,P616)</f>
        <v>271</v>
      </c>
      <c r="Q617" s="41" t="n">
        <f aca="false">IF((Arterial=1),Q616+1,Q616)</f>
        <v>329</v>
      </c>
      <c r="R617" s="42" t="e">
        <f aca="false">IF((RESET=1),0,R617+K617)</f>
        <v>#N/A</v>
      </c>
      <c r="S617" s="14" t="n">
        <f aca="false">IF(RESET=1,0,S617+N617)</f>
        <v>672.57495254781</v>
      </c>
      <c r="T617" s="2" t="e">
        <f aca="false">IF(RESET=1,0,T617+IF(H617=0,1,0))</f>
        <v>#N/A</v>
      </c>
      <c r="U617" s="2" t="n">
        <f aca="false">IF(RESET=1,0,U617+H617)</f>
        <v>44</v>
      </c>
      <c r="V617" s="14" t="e">
        <f aca="false">R617/(T617+0.00001)</f>
        <v>#N/A</v>
      </c>
      <c r="W617" s="14" t="n">
        <f aca="false">S617/(U617+0.0001)</f>
        <v>15.2857596357238</v>
      </c>
      <c r="X617" s="39" t="n">
        <f aca="false">IF(Informed=1,K617,0)</f>
        <v>3.67478587613221</v>
      </c>
      <c r="Y617" s="39" t="n">
        <f aca="false">IF(Informed=0,K617,0)</f>
        <v>0</v>
      </c>
      <c r="Z617" s="39" t="n">
        <f aca="false">IF(Informed=1,N617,0)</f>
        <v>0</v>
      </c>
      <c r="AA617" s="39" t="n">
        <f aca="false">IF(Informed=0,N617,0)</f>
        <v>0</v>
      </c>
      <c r="AB617" s="43" t="n">
        <f aca="false">IF(Arterial=0,IF(Informed=1,1,0),0)</f>
        <v>1</v>
      </c>
      <c r="AC617" s="43" t="n">
        <f aca="false">IF(Arterial=0,IF(Informed=0,1,0),0)</f>
        <v>0</v>
      </c>
      <c r="AD617" s="43" t="n">
        <f aca="false">IF(Arterial=1,IF(Informed=1,1,0),0)</f>
        <v>0</v>
      </c>
      <c r="AE617" s="43" t="n">
        <f aca="false">IF(Arterial=1,IF(Informed=0,1,0),0)</f>
        <v>0</v>
      </c>
      <c r="AF617" s="35" t="n">
        <f aca="false">IF(AB617=1,(X617-G$1030)^2,0)</f>
        <v>49.4897105962248</v>
      </c>
      <c r="AG617" s="35" t="n">
        <f aca="false">IF(AC617=1,(Y617-H$1030)^2,0)</f>
        <v>0</v>
      </c>
      <c r="AH617" s="35" t="n">
        <f aca="false">IF(AD617=1,(Z617-I$1030)^2,0)</f>
        <v>0</v>
      </c>
      <c r="AI617" s="35" t="n">
        <f aca="false">IF(AE617=1,(AA617-J$1030)^2,0)</f>
        <v>0</v>
      </c>
      <c r="AJ617" s="37" t="n">
        <f aca="true">IF(RAND()&lt;$D$6,1,0)</f>
        <v>0</v>
      </c>
      <c r="AK617" s="14" t="n">
        <f aca="false">AK616+IF((AJ617=1),IF((H617=0),1,0),0)</f>
        <v>0</v>
      </c>
      <c r="AL617" s="14" t="n">
        <f aca="false">AL616+IF((AJ617=1),IF((H617=1),1,0),0)</f>
        <v>0</v>
      </c>
      <c r="AM617" s="37" t="n">
        <f aca="false">IF(AK617=0,9999,IF($H617=0,IF($AJ617&lt;1,AM616+1,0),AM616))</f>
        <v>9999</v>
      </c>
      <c r="AN617" s="37" t="n">
        <f aca="false">IF(AL617=0,9999,IF($H617=1,IF($AJ617&lt;1,AN616+1,0),AN616))</f>
        <v>9999</v>
      </c>
      <c r="AO617" s="37" t="n">
        <f aca="false">IF($A617-AM617&gt;0,1/(1+AM617),0)</f>
        <v>0</v>
      </c>
      <c r="AP617" s="37" t="n">
        <f aca="false">IF($A617-AN617&gt;0,1/(1+AN617),0)</f>
        <v>0</v>
      </c>
      <c r="AQ617" s="7" t="n">
        <f aca="false">IF(AK617=0,0,MAX(MIN(1,AO617^Power),0))</f>
        <v>0</v>
      </c>
      <c r="AR617" s="7" t="n">
        <f aca="false">IF(AL617=0,0,MAX(MIN(1,AP617^Power),0))</f>
        <v>0</v>
      </c>
      <c r="AS617" s="7" t="n">
        <f aca="false">IF($AJ617=1,IF($H617=0,K617,AS616),AS616)</f>
        <v>0</v>
      </c>
      <c r="AT617" s="7" t="n">
        <f aca="false">IF($AJ617=1,IF($H617=1,N617,AT616),AT616)</f>
        <v>0</v>
      </c>
    </row>
    <row r="618" customFormat="false" ht="13" hidden="false" customHeight="false" outlineLevel="0" collapsed="false">
      <c r="A618" s="16" t="n">
        <v>601</v>
      </c>
      <c r="B618" s="37" t="n">
        <f aca="true">IF(RAND()&lt;$D$8,1,0)</f>
        <v>1</v>
      </c>
      <c r="C618" s="20" t="n">
        <f aca="true">-LN(RAND())/$D$2</f>
        <v>0.559615885376875</v>
      </c>
      <c r="D618" s="38" t="n">
        <f aca="false">D617+C618</f>
        <v>632.489642547484</v>
      </c>
      <c r="E618" s="39" t="n">
        <f aca="false">MAX($E$3,AS617)</f>
        <v>0</v>
      </c>
      <c r="F618" s="39" t="n">
        <f aca="false">MAX($E$3,AT617)</f>
        <v>0</v>
      </c>
      <c r="G618" s="40" t="n">
        <v>0.5</v>
      </c>
      <c r="H618" s="38" t="n">
        <f aca="true">IF((B618=1),(IF((F618&lt;E618),1,(IF((F618=E618),(IF(RAND()&lt;G618,1,0)),0)))),(IF((RAND()&lt;G618),1,0)))</f>
        <v>1</v>
      </c>
      <c r="I618" s="38" t="n">
        <f aca="true">IF((H618=1),0,$D$3+$D$5*(RAND()-0.5))</f>
        <v>0</v>
      </c>
      <c r="J618" s="38" t="n">
        <f aca="false">I618+MAX(D618,J617)</f>
        <v>635.604812538239</v>
      </c>
      <c r="K618" s="38" t="n">
        <f aca="false">IF((H618=0),J618-D618,0)</f>
        <v>0</v>
      </c>
      <c r="L618" s="38" t="n">
        <f aca="true">IF(($H618=0),0,$D$4+$D$5*(RAND()-0.5))</f>
        <v>1.82181968201269</v>
      </c>
      <c r="M618" s="38" t="n">
        <f aca="false">L618+MAX(D618,M617)</f>
        <v>688.871998526585</v>
      </c>
      <c r="N618" s="38" t="n">
        <f aca="false">IF((H618=1),M618-D618,0)</f>
        <v>56.3823559791009</v>
      </c>
      <c r="O618" s="16" t="n">
        <v>601</v>
      </c>
      <c r="P618" s="41" t="n">
        <f aca="false">IF((Arterial=0),P617+1,P617)</f>
        <v>271</v>
      </c>
      <c r="Q618" s="41" t="n">
        <f aca="false">IF((Arterial=1),Q617+1,Q617)</f>
        <v>330</v>
      </c>
      <c r="R618" s="42" t="n">
        <f aca="false">IF((RESET=1),0,R618+K618)</f>
        <v>828.492556528072</v>
      </c>
      <c r="S618" s="14" t="e">
        <f aca="false">IF(RESET=1,0,S618+N618)</f>
        <v>#N/A</v>
      </c>
      <c r="T618" s="2" t="n">
        <f aca="false">IF(RESET=1,0,T618+IF(H618=0,1,0))</f>
        <v>38</v>
      </c>
      <c r="U618" s="2" t="e">
        <f aca="false">IF(RESET=1,0,U618+H618)</f>
        <v>#N/A</v>
      </c>
      <c r="V618" s="14" t="n">
        <f aca="false">R618/(T618+0.00001)</f>
        <v>21.8024299606256</v>
      </c>
      <c r="W618" s="14" t="e">
        <f aca="false">S618/(U618+0.0001)</f>
        <v>#N/A</v>
      </c>
      <c r="X618" s="39" t="n">
        <f aca="false">IF(Informed=1,K618,0)</f>
        <v>0</v>
      </c>
      <c r="Y618" s="39" t="n">
        <f aca="false">IF(Informed=0,K618,0)</f>
        <v>0</v>
      </c>
      <c r="Z618" s="39" t="n">
        <f aca="false">IF(Informed=1,N618,0)</f>
        <v>56.3823559791009</v>
      </c>
      <c r="AA618" s="39" t="n">
        <f aca="false">IF(Informed=0,N618,0)</f>
        <v>0</v>
      </c>
      <c r="AB618" s="43" t="n">
        <f aca="false">IF(Arterial=0,IF(Informed=1,1,0),0)</f>
        <v>0</v>
      </c>
      <c r="AC618" s="43" t="n">
        <f aca="false">IF(Arterial=0,IF(Informed=0,1,0),0)</f>
        <v>0</v>
      </c>
      <c r="AD618" s="43" t="n">
        <f aca="false">IF(Arterial=1,IF(Informed=1,1,0),0)</f>
        <v>1</v>
      </c>
      <c r="AE618" s="43" t="n">
        <f aca="false">IF(Arterial=1,IF(Informed=0,1,0),0)</f>
        <v>0</v>
      </c>
      <c r="AF618" s="35" t="n">
        <f aca="false">IF(AB618=1,(X618-G$1030)^2,0)</f>
        <v>0</v>
      </c>
      <c r="AG618" s="35" t="n">
        <f aca="false">IF(AC618=1,(Y618-H$1030)^2,0)</f>
        <v>0</v>
      </c>
      <c r="AH618" s="35" t="n">
        <f aca="false">IF(AD618=1,(Z618-I$1030)^2,0)</f>
        <v>784.42124297667</v>
      </c>
      <c r="AI618" s="35" t="n">
        <f aca="false">IF(AE618=1,(AA618-J$1030)^2,0)</f>
        <v>0</v>
      </c>
      <c r="AJ618" s="37" t="n">
        <f aca="true">IF(RAND()&lt;$D$6,1,0)</f>
        <v>0</v>
      </c>
      <c r="AK618" s="14" t="n">
        <f aca="false">AK617+IF((AJ618=1),IF((H618=0),1,0),0)</f>
        <v>0</v>
      </c>
      <c r="AL618" s="14" t="n">
        <f aca="false">AL617+IF((AJ618=1),IF((H618=1),1,0),0)</f>
        <v>0</v>
      </c>
      <c r="AM618" s="37" t="n">
        <f aca="false">IF(AK618=0,9999,IF($H618=0,IF($AJ618&lt;1,AM617+1,0),AM617))</f>
        <v>9999</v>
      </c>
      <c r="AN618" s="37" t="n">
        <f aca="false">IF(AL618=0,9999,IF($H618=1,IF($AJ618&lt;1,AN617+1,0),AN617))</f>
        <v>9999</v>
      </c>
      <c r="AO618" s="37" t="n">
        <f aca="false">IF($A618-AM618&gt;0,1/(1+AM618),0)</f>
        <v>0</v>
      </c>
      <c r="AP618" s="37" t="n">
        <f aca="false">IF($A618-AN618&gt;0,1/(1+AN618),0)</f>
        <v>0</v>
      </c>
      <c r="AQ618" s="7" t="n">
        <f aca="false">IF(AK618=0,0,MAX(MIN(1,AO618^Power),0))</f>
        <v>0</v>
      </c>
      <c r="AR618" s="7" t="n">
        <f aca="false">IF(AL618=0,0,MAX(MIN(1,AP618^Power),0))</f>
        <v>0</v>
      </c>
      <c r="AS618" s="7" t="n">
        <f aca="false">IF($AJ618=1,IF($H618=0,K618,AS617),AS617)</f>
        <v>0</v>
      </c>
      <c r="AT618" s="7" t="n">
        <f aca="false">IF($AJ618=1,IF($H618=1,N618,AT617),AT617)</f>
        <v>0</v>
      </c>
    </row>
    <row r="619" customFormat="false" ht="13" hidden="false" customHeight="false" outlineLevel="0" collapsed="false">
      <c r="A619" s="16" t="n">
        <v>602</v>
      </c>
      <c r="B619" s="37" t="n">
        <f aca="true">IF(RAND()&lt;$D$8,1,0)</f>
        <v>0</v>
      </c>
      <c r="C619" s="20" t="n">
        <f aca="true">-LN(RAND())/$D$2</f>
        <v>0.228274257100738</v>
      </c>
      <c r="D619" s="38" t="n">
        <f aca="false">D618+C619</f>
        <v>632.717916804585</v>
      </c>
      <c r="E619" s="39" t="n">
        <f aca="false">MAX($E$3,AS618)</f>
        <v>0</v>
      </c>
      <c r="F619" s="39" t="n">
        <f aca="false">MAX($E$3,AT618)</f>
        <v>0</v>
      </c>
      <c r="G619" s="40" t="n">
        <v>0.5</v>
      </c>
      <c r="H619" s="38" t="n">
        <f aca="true">IF((B619=1),(IF((F619&lt;E619),1,(IF((F619=E619),(IF(RAND()&lt;G619,1,0)),0)))),(IF((RAND()&lt;G619),1,0)))</f>
        <v>0</v>
      </c>
      <c r="I619" s="38" t="n">
        <f aca="true">IF((H619=1),0,$D$3+$D$5*(RAND()-0.5))</f>
        <v>1.90455728392952</v>
      </c>
      <c r="J619" s="38" t="n">
        <f aca="false">I619+MAX(D619,J618)</f>
        <v>637.509369822169</v>
      </c>
      <c r="K619" s="38" t="n">
        <f aca="false">IF((H619=0),J619-D619,0)</f>
        <v>4.7914530175841</v>
      </c>
      <c r="L619" s="38" t="n">
        <f aca="true">IF(($H619=0),0,$D$4+$D$5*(RAND()-0.5))</f>
        <v>0</v>
      </c>
      <c r="M619" s="38" t="n">
        <f aca="false">L619+MAX(D619,M618)</f>
        <v>688.871998526585</v>
      </c>
      <c r="N619" s="38" t="n">
        <f aca="false">IF((H619=1),M619-D619,0)</f>
        <v>0</v>
      </c>
      <c r="O619" s="16" t="n">
        <v>602</v>
      </c>
      <c r="P619" s="41" t="n">
        <f aca="false">IF((Arterial=0),P618+1,P618)</f>
        <v>272</v>
      </c>
      <c r="Q619" s="41" t="n">
        <f aca="false">IF((Arterial=1),Q618+1,Q618)</f>
        <v>330</v>
      </c>
      <c r="R619" s="42" t="e">
        <f aca="false">IF((RESET=1),0,R619+K619)</f>
        <v>#N/A</v>
      </c>
      <c r="S619" s="14" t="n">
        <f aca="false">IF(RESET=1,0,S619+N619)</f>
        <v>598.915730240287</v>
      </c>
      <c r="T619" s="2" t="e">
        <f aca="false">IF(RESET=1,0,T619+IF(H619=0,1,0))</f>
        <v>#N/A</v>
      </c>
      <c r="U619" s="2" t="n">
        <f aca="false">IF(RESET=1,0,U619+H619)</f>
        <v>37</v>
      </c>
      <c r="V619" s="14" t="e">
        <f aca="false">R619/(T619+0.00001)</f>
        <v>#N/A</v>
      </c>
      <c r="W619" s="14" t="n">
        <f aca="false">S619/(U619+0.0001)</f>
        <v>16.1868678798243</v>
      </c>
      <c r="X619" s="39" t="n">
        <f aca="false">IF(Informed=1,K619,0)</f>
        <v>0</v>
      </c>
      <c r="Y619" s="39" t="n">
        <f aca="false">IF(Informed=0,K619,0)</f>
        <v>4.7914530175841</v>
      </c>
      <c r="Z619" s="39" t="n">
        <f aca="false">IF(Informed=1,N619,0)</f>
        <v>0</v>
      </c>
      <c r="AA619" s="39" t="n">
        <f aca="false">IF(Informed=0,N619,0)</f>
        <v>0</v>
      </c>
      <c r="AB619" s="43" t="n">
        <f aca="false">IF(Arterial=0,IF(Informed=1,1,0),0)</f>
        <v>0</v>
      </c>
      <c r="AC619" s="43" t="n">
        <f aca="false">IF(Arterial=0,IF(Informed=0,1,0),0)</f>
        <v>1</v>
      </c>
      <c r="AD619" s="43" t="n">
        <f aca="false">IF(Arterial=1,IF(Informed=1,1,0),0)</f>
        <v>0</v>
      </c>
      <c r="AE619" s="43" t="n">
        <f aca="false">IF(Arterial=1,IF(Informed=0,1,0),0)</f>
        <v>0</v>
      </c>
      <c r="AF619" s="35" t="n">
        <f aca="false">IF(AB619=1,(X619-G$1030)^2,0)</f>
        <v>0</v>
      </c>
      <c r="AG619" s="35" t="n">
        <f aca="false">IF(AC619=1,(Y619-H$1030)^2,0)</f>
        <v>37.605498617556</v>
      </c>
      <c r="AH619" s="35" t="n">
        <f aca="false">IF(AD619=1,(Z619-I$1030)^2,0)</f>
        <v>0</v>
      </c>
      <c r="AI619" s="35" t="n">
        <f aca="false">IF(AE619=1,(AA619-J$1030)^2,0)</f>
        <v>0</v>
      </c>
      <c r="AJ619" s="37" t="n">
        <f aca="true">IF(RAND()&lt;$D$6,1,0)</f>
        <v>0</v>
      </c>
      <c r="AK619" s="14" t="n">
        <f aca="false">AK618+IF((AJ619=1),IF((H619=0),1,0),0)</f>
        <v>0</v>
      </c>
      <c r="AL619" s="14" t="n">
        <f aca="false">AL618+IF((AJ619=1),IF((H619=1),1,0),0)</f>
        <v>0</v>
      </c>
      <c r="AM619" s="37" t="n">
        <f aca="false">IF(AK619=0,9999,IF($H619=0,IF($AJ619&lt;1,AM618+1,0),AM618))</f>
        <v>9999</v>
      </c>
      <c r="AN619" s="37" t="n">
        <f aca="false">IF(AL619=0,9999,IF($H619=1,IF($AJ619&lt;1,AN618+1,0),AN618))</f>
        <v>9999</v>
      </c>
      <c r="AO619" s="37" t="n">
        <f aca="false">IF($A619-AM619&gt;0,1/(1+AM619),0)</f>
        <v>0</v>
      </c>
      <c r="AP619" s="37" t="n">
        <f aca="false">IF($A619-AN619&gt;0,1/(1+AN619),0)</f>
        <v>0</v>
      </c>
      <c r="AQ619" s="7" t="n">
        <f aca="false">IF(AK619=0,0,MAX(MIN(1,AO619^Power),0))</f>
        <v>0</v>
      </c>
      <c r="AR619" s="7" t="n">
        <f aca="false">IF(AL619=0,0,MAX(MIN(1,AP619^Power),0))</f>
        <v>0</v>
      </c>
      <c r="AS619" s="7" t="n">
        <f aca="false">IF($AJ619=1,IF($H619=0,K619,AS618),AS618)</f>
        <v>0</v>
      </c>
      <c r="AT619" s="7" t="n">
        <f aca="false">IF($AJ619=1,IF($H619=1,N619,AT618),AT618)</f>
        <v>0</v>
      </c>
    </row>
    <row r="620" customFormat="false" ht="13" hidden="false" customHeight="false" outlineLevel="0" collapsed="false">
      <c r="A620" s="16" t="n">
        <v>603</v>
      </c>
      <c r="B620" s="37" t="n">
        <f aca="true">IF(RAND()&lt;$D$8,1,0)</f>
        <v>1</v>
      </c>
      <c r="C620" s="20" t="n">
        <f aca="true">-LN(RAND())/$D$2</f>
        <v>1.29445538496973</v>
      </c>
      <c r="D620" s="38" t="n">
        <f aca="false">D619+C620</f>
        <v>634.012372189554</v>
      </c>
      <c r="E620" s="39" t="n">
        <f aca="false">MAX($E$3,AS619)</f>
        <v>0</v>
      </c>
      <c r="F620" s="39" t="n">
        <f aca="false">MAX($E$3,AT619)</f>
        <v>0</v>
      </c>
      <c r="G620" s="40" t="n">
        <v>0.5</v>
      </c>
      <c r="H620" s="38" t="n">
        <f aca="true">IF((B620=1),(IF((F620&lt;E620),1,(IF((F620=E620),(IF(RAND()&lt;G620,1,0)),0)))),(IF((RAND()&lt;G620),1,0)))</f>
        <v>1</v>
      </c>
      <c r="I620" s="38" t="n">
        <f aca="true">IF((H620=1),0,$D$3+$D$5*(RAND()-0.5))</f>
        <v>0</v>
      </c>
      <c r="J620" s="38" t="n">
        <f aca="false">I620+MAX(D620,J619)</f>
        <v>637.509369822169</v>
      </c>
      <c r="K620" s="38" t="n">
        <f aca="false">IF((H620=0),J620-D620,0)</f>
        <v>0</v>
      </c>
      <c r="L620" s="38" t="n">
        <f aca="true">IF(($H620=0),0,$D$4+$D$5*(RAND()-0.5))</f>
        <v>2.12441388404752</v>
      </c>
      <c r="M620" s="38" t="n">
        <f aca="false">L620+MAX(D620,M619)</f>
        <v>690.996412410632</v>
      </c>
      <c r="N620" s="38" t="n">
        <f aca="false">IF((H620=1),M620-D620,0)</f>
        <v>56.9840402210779</v>
      </c>
      <c r="O620" s="16" t="n">
        <v>603</v>
      </c>
      <c r="P620" s="41" t="n">
        <f aca="false">IF((Arterial=0),P619+1,P619)</f>
        <v>272</v>
      </c>
      <c r="Q620" s="41" t="n">
        <f aca="false">IF((Arterial=1),Q619+1,Q619)</f>
        <v>331</v>
      </c>
      <c r="R620" s="42" t="n">
        <f aca="false">IF((RESET=1),0,R620+K620)</f>
        <v>833.278867641701</v>
      </c>
      <c r="S620" s="14" t="e">
        <f aca="false">IF(RESET=1,0,S620+N620)</f>
        <v>#N/A</v>
      </c>
      <c r="T620" s="2" t="n">
        <f aca="false">IF(RESET=1,0,T620+IF(H620=0,1,0))</f>
        <v>36</v>
      </c>
      <c r="U620" s="2" t="e">
        <f aca="false">IF(RESET=1,0,U620+H620)</f>
        <v>#N/A</v>
      </c>
      <c r="V620" s="14" t="n">
        <f aca="false">R620/(T620+0.00001)</f>
        <v>23.1466287826504</v>
      </c>
      <c r="W620" s="14" t="e">
        <f aca="false">S620/(U620+0.0001)</f>
        <v>#N/A</v>
      </c>
      <c r="X620" s="39" t="n">
        <f aca="false">IF(Informed=1,K620,0)</f>
        <v>0</v>
      </c>
      <c r="Y620" s="39" t="n">
        <f aca="false">IF(Informed=0,K620,0)</f>
        <v>0</v>
      </c>
      <c r="Z620" s="39" t="n">
        <f aca="false">IF(Informed=1,N620,0)</f>
        <v>56.9840402210779</v>
      </c>
      <c r="AA620" s="39" t="n">
        <f aca="false">IF(Informed=0,N620,0)</f>
        <v>0</v>
      </c>
      <c r="AB620" s="43" t="n">
        <f aca="false">IF(Arterial=0,IF(Informed=1,1,0),0)</f>
        <v>0</v>
      </c>
      <c r="AC620" s="43" t="n">
        <f aca="false">IF(Arterial=0,IF(Informed=0,1,0),0)</f>
        <v>0</v>
      </c>
      <c r="AD620" s="43" t="n">
        <f aca="false">IF(Arterial=1,IF(Informed=1,1,0),0)</f>
        <v>1</v>
      </c>
      <c r="AE620" s="43" t="n">
        <f aca="false">IF(Arterial=1,IF(Informed=0,1,0),0)</f>
        <v>0</v>
      </c>
      <c r="AF620" s="35" t="n">
        <f aca="false">IF(AB620=1,(X620-G$1030)^2,0)</f>
        <v>0</v>
      </c>
      <c r="AG620" s="35" t="n">
        <f aca="false">IF(AC620=1,(Y620-H$1030)^2,0)</f>
        <v>0</v>
      </c>
      <c r="AH620" s="35" t="n">
        <f aca="false">IF(AD620=1,(Z620-I$1030)^2,0)</f>
        <v>818.486635212454</v>
      </c>
      <c r="AI620" s="35" t="n">
        <f aca="false">IF(AE620=1,(AA620-J$1030)^2,0)</f>
        <v>0</v>
      </c>
      <c r="AJ620" s="37" t="n">
        <f aca="true">IF(RAND()&lt;$D$6,1,0)</f>
        <v>0</v>
      </c>
      <c r="AK620" s="14" t="n">
        <f aca="false">AK619+IF((AJ620=1),IF((H620=0),1,0),0)</f>
        <v>0</v>
      </c>
      <c r="AL620" s="14" t="n">
        <f aca="false">AL619+IF((AJ620=1),IF((H620=1),1,0),0)</f>
        <v>0</v>
      </c>
      <c r="AM620" s="37" t="n">
        <f aca="false">IF(AK620=0,9999,IF($H620=0,IF($AJ620&lt;1,AM619+1,0),AM619))</f>
        <v>9999</v>
      </c>
      <c r="AN620" s="37" t="n">
        <f aca="false">IF(AL620=0,9999,IF($H620=1,IF($AJ620&lt;1,AN619+1,0),AN619))</f>
        <v>9999</v>
      </c>
      <c r="AO620" s="37" t="n">
        <f aca="false">IF($A620-AM620&gt;0,1/(1+AM620),0)</f>
        <v>0</v>
      </c>
      <c r="AP620" s="37" t="n">
        <f aca="false">IF($A620-AN620&gt;0,1/(1+AN620),0)</f>
        <v>0</v>
      </c>
      <c r="AQ620" s="7" t="n">
        <f aca="false">IF(AK620=0,0,MAX(MIN(1,AO620^Power),0))</f>
        <v>0</v>
      </c>
      <c r="AR620" s="7" t="n">
        <f aca="false">IF(AL620=0,0,MAX(MIN(1,AP620^Power),0))</f>
        <v>0</v>
      </c>
      <c r="AS620" s="7" t="n">
        <f aca="false">IF($AJ620=1,IF($H620=0,K620,AS619),AS619)</f>
        <v>0</v>
      </c>
      <c r="AT620" s="7" t="n">
        <f aca="false">IF($AJ620=1,IF($H620=1,N620,AT619),AT619)</f>
        <v>0</v>
      </c>
    </row>
    <row r="621" customFormat="false" ht="13" hidden="false" customHeight="false" outlineLevel="0" collapsed="false">
      <c r="A621" s="16" t="n">
        <v>604</v>
      </c>
      <c r="B621" s="37" t="n">
        <f aca="true">IF(RAND()&lt;$D$8,1,0)</f>
        <v>1</v>
      </c>
      <c r="C621" s="20" t="n">
        <f aca="true">-LN(RAND())/$D$2</f>
        <v>0.477331889564634</v>
      </c>
      <c r="D621" s="38" t="n">
        <f aca="false">D620+C621</f>
        <v>634.489704079119</v>
      </c>
      <c r="E621" s="39" t="n">
        <f aca="false">MAX($E$3,AS620)</f>
        <v>0</v>
      </c>
      <c r="F621" s="39" t="n">
        <f aca="false">MAX($E$3,AT620)</f>
        <v>0</v>
      </c>
      <c r="G621" s="40" t="n">
        <v>0.5</v>
      </c>
      <c r="H621" s="38" t="n">
        <f aca="true">IF((B621=1),(IF((F621&lt;E621),1,(IF((F621=E621),(IF(RAND()&lt;G621,1,0)),0)))),(IF((RAND()&lt;G621),1,0)))</f>
        <v>0</v>
      </c>
      <c r="I621" s="38" t="n">
        <f aca="true">IF((H621=1),0,$D$3+$D$5*(RAND()-0.5))</f>
        <v>2.17689087930811</v>
      </c>
      <c r="J621" s="38" t="n">
        <f aca="false">I621+MAX(D621,J620)</f>
        <v>639.686260701477</v>
      </c>
      <c r="K621" s="38" t="n">
        <f aca="false">IF((H621=0),J621-D621,0)</f>
        <v>5.19655662235778</v>
      </c>
      <c r="L621" s="38" t="n">
        <f aca="true">IF(($H621=0),0,$D$4+$D$5*(RAND()-0.5))</f>
        <v>0</v>
      </c>
      <c r="M621" s="38" t="n">
        <f aca="false">L621+MAX(D621,M620)</f>
        <v>690.996412410632</v>
      </c>
      <c r="N621" s="38" t="n">
        <f aca="false">IF((H621=1),M621-D621,0)</f>
        <v>0</v>
      </c>
      <c r="O621" s="16" t="n">
        <v>604</v>
      </c>
      <c r="P621" s="41" t="n">
        <f aca="false">IF((Arterial=0),P620+1,P620)</f>
        <v>273</v>
      </c>
      <c r="Q621" s="41" t="n">
        <f aca="false">IF((Arterial=1),Q620+1,Q620)</f>
        <v>331</v>
      </c>
      <c r="R621" s="42" t="e">
        <f aca="false">IF((RESET=1),0,R621+K621)</f>
        <v>#N/A</v>
      </c>
      <c r="S621" s="14" t="n">
        <f aca="false">IF(RESET=1,0,S621+N621)</f>
        <v>797.982744911789</v>
      </c>
      <c r="T621" s="2" t="e">
        <f aca="false">IF(RESET=1,0,T621+IF(H621=0,1,0))</f>
        <v>#N/A</v>
      </c>
      <c r="U621" s="2" t="n">
        <f aca="false">IF(RESET=1,0,U621+H621)</f>
        <v>44</v>
      </c>
      <c r="V621" s="14" t="e">
        <f aca="false">R621/(T621+0.00001)</f>
        <v>#N/A</v>
      </c>
      <c r="W621" s="14" t="n">
        <f aca="false">S621/(U621+0.0001)</f>
        <v>18.1359302572446</v>
      </c>
      <c r="X621" s="39" t="n">
        <f aca="false">IF(Informed=1,K621,0)</f>
        <v>5.19655662235778</v>
      </c>
      <c r="Y621" s="39" t="n">
        <f aca="false">IF(Informed=0,K621,0)</f>
        <v>0</v>
      </c>
      <c r="Z621" s="39" t="n">
        <f aca="false">IF(Informed=1,N621,0)</f>
        <v>0</v>
      </c>
      <c r="AA621" s="39" t="n">
        <f aca="false">IF(Informed=0,N621,0)</f>
        <v>0</v>
      </c>
      <c r="AB621" s="43" t="n">
        <f aca="false">IF(Arterial=0,IF(Informed=1,1,0),0)</f>
        <v>1</v>
      </c>
      <c r="AC621" s="43" t="n">
        <f aca="false">IF(Arterial=0,IF(Informed=0,1,0),0)</f>
        <v>0</v>
      </c>
      <c r="AD621" s="43" t="n">
        <f aca="false">IF(Arterial=1,IF(Informed=1,1,0),0)</f>
        <v>0</v>
      </c>
      <c r="AE621" s="43" t="n">
        <f aca="false">IF(Arterial=1,IF(Informed=0,1,0),0)</f>
        <v>0</v>
      </c>
      <c r="AF621" s="35" t="n">
        <f aca="false">IF(AB621=1,(X621-G$1030)^2,0)</f>
        <v>30.3945099905213</v>
      </c>
      <c r="AG621" s="35" t="n">
        <f aca="false">IF(AC621=1,(Y621-H$1030)^2,0)</f>
        <v>0</v>
      </c>
      <c r="AH621" s="35" t="n">
        <f aca="false">IF(AD621=1,(Z621-I$1030)^2,0)</f>
        <v>0</v>
      </c>
      <c r="AI621" s="35" t="n">
        <f aca="false">IF(AE621=1,(AA621-J$1030)^2,0)</f>
        <v>0</v>
      </c>
      <c r="AJ621" s="37" t="n">
        <f aca="true">IF(RAND()&lt;$D$6,1,0)</f>
        <v>0</v>
      </c>
      <c r="AK621" s="14" t="n">
        <f aca="false">AK620+IF((AJ621=1),IF((H621=0),1,0),0)</f>
        <v>0</v>
      </c>
      <c r="AL621" s="14" t="n">
        <f aca="false">AL620+IF((AJ621=1),IF((H621=1),1,0),0)</f>
        <v>0</v>
      </c>
      <c r="AM621" s="37" t="n">
        <f aca="false">IF(AK621=0,9999,IF($H621=0,IF($AJ621&lt;1,AM620+1,0),AM620))</f>
        <v>9999</v>
      </c>
      <c r="AN621" s="37" t="n">
        <f aca="false">IF(AL621=0,9999,IF($H621=1,IF($AJ621&lt;1,AN620+1,0),AN620))</f>
        <v>9999</v>
      </c>
      <c r="AO621" s="37" t="n">
        <f aca="false">IF($A621-AM621&gt;0,1/(1+AM621),0)</f>
        <v>0</v>
      </c>
      <c r="AP621" s="37" t="n">
        <f aca="false">IF($A621-AN621&gt;0,1/(1+AN621),0)</f>
        <v>0</v>
      </c>
      <c r="AQ621" s="7" t="n">
        <f aca="false">IF(AK621=0,0,MAX(MIN(1,AO621^Power),0))</f>
        <v>0</v>
      </c>
      <c r="AR621" s="7" t="n">
        <f aca="false">IF(AL621=0,0,MAX(MIN(1,AP621^Power),0))</f>
        <v>0</v>
      </c>
      <c r="AS621" s="7" t="n">
        <f aca="false">IF($AJ621=1,IF($H621=0,K621,AS620),AS620)</f>
        <v>0</v>
      </c>
      <c r="AT621" s="7" t="n">
        <f aca="false">IF($AJ621=1,IF($H621=1,N621,AT620),AT620)</f>
        <v>0</v>
      </c>
    </row>
    <row r="622" customFormat="false" ht="13" hidden="false" customHeight="false" outlineLevel="0" collapsed="false">
      <c r="A622" s="16" t="n">
        <v>605</v>
      </c>
      <c r="B622" s="37" t="n">
        <f aca="true">IF(RAND()&lt;$D$8,1,0)</f>
        <v>1</v>
      </c>
      <c r="C622" s="20" t="n">
        <f aca="true">-LN(RAND())/$D$2</f>
        <v>1.29984189000261</v>
      </c>
      <c r="D622" s="38" t="n">
        <f aca="false">D621+C622</f>
        <v>635.789545969122</v>
      </c>
      <c r="E622" s="39" t="n">
        <f aca="false">MAX($E$3,AS621)</f>
        <v>0</v>
      </c>
      <c r="F622" s="39" t="n">
        <f aca="false">MAX($E$3,AT621)</f>
        <v>0</v>
      </c>
      <c r="G622" s="40" t="n">
        <v>0.5</v>
      </c>
      <c r="H622" s="38" t="n">
        <f aca="true">IF((B622=1),(IF((F622&lt;E622),1,(IF((F622=E622),(IF(RAND()&lt;G622,1,0)),0)))),(IF((RAND()&lt;G622),1,0)))</f>
        <v>0</v>
      </c>
      <c r="I622" s="38" t="n">
        <f aca="true">IF((H622=1),0,$D$3+$D$5*(RAND()-0.5))</f>
        <v>2.20198026607452</v>
      </c>
      <c r="J622" s="38" t="n">
        <f aca="false">I622+MAX(D622,J621)</f>
        <v>641.888240967551</v>
      </c>
      <c r="K622" s="38" t="n">
        <f aca="false">IF((H622=0),J622-D622,0)</f>
        <v>6.09869499842966</v>
      </c>
      <c r="L622" s="38" t="n">
        <f aca="true">IF(($H622=0),0,$D$4+$D$5*(RAND()-0.5))</f>
        <v>0</v>
      </c>
      <c r="M622" s="38" t="n">
        <f aca="false">L622+MAX(D622,M621)</f>
        <v>690.996412410632</v>
      </c>
      <c r="N622" s="38" t="n">
        <f aca="false">IF((H622=1),M622-D622,0)</f>
        <v>0</v>
      </c>
      <c r="O622" s="16" t="n">
        <v>605</v>
      </c>
      <c r="P622" s="41" t="n">
        <f aca="false">IF((Arterial=0),P621+1,P621)</f>
        <v>274</v>
      </c>
      <c r="Q622" s="41" t="n">
        <f aca="false">IF((Arterial=1),Q621+1,Q621)</f>
        <v>331</v>
      </c>
      <c r="R622" s="42" t="e">
        <f aca="false">IF((RESET=1),0,R622+K622)</f>
        <v>#N/A</v>
      </c>
      <c r="S622" s="14" t="n">
        <f aca="false">IF(RESET=1,0,S622+N622)</f>
        <v>716.533284081561</v>
      </c>
      <c r="T622" s="2" t="e">
        <f aca="false">IF(RESET=1,0,T622+IF(H622=0,1,0))</f>
        <v>#N/A</v>
      </c>
      <c r="U622" s="2" t="n">
        <f aca="false">IF(RESET=1,0,U622+H622)</f>
        <v>41</v>
      </c>
      <c r="V622" s="14" t="e">
        <f aca="false">R622/(T622+0.00001)</f>
        <v>#N/A</v>
      </c>
      <c r="W622" s="14" t="n">
        <f aca="false">S622/(U622+0.0001)</f>
        <v>17.4763789376504</v>
      </c>
      <c r="X622" s="39" t="n">
        <f aca="false">IF(Informed=1,K622,0)</f>
        <v>6.09869499842966</v>
      </c>
      <c r="Y622" s="39" t="n">
        <f aca="false">IF(Informed=0,K622,0)</f>
        <v>0</v>
      </c>
      <c r="Z622" s="39" t="n">
        <f aca="false">IF(Informed=1,N622,0)</f>
        <v>0</v>
      </c>
      <c r="AA622" s="39" t="n">
        <f aca="false">IF(Informed=0,N622,0)</f>
        <v>0</v>
      </c>
      <c r="AB622" s="43" t="n">
        <f aca="false">IF(Arterial=0,IF(Informed=1,1,0),0)</f>
        <v>1</v>
      </c>
      <c r="AC622" s="43" t="n">
        <f aca="false">IF(Arterial=0,IF(Informed=0,1,0),0)</f>
        <v>0</v>
      </c>
      <c r="AD622" s="43" t="n">
        <f aca="false">IF(Arterial=1,IF(Informed=1,1,0),0)</f>
        <v>0</v>
      </c>
      <c r="AE622" s="43" t="n">
        <f aca="false">IF(Arterial=1,IF(Informed=0,1,0),0)</f>
        <v>0</v>
      </c>
      <c r="AF622" s="35" t="n">
        <f aca="false">IF(AB622=1,(X622-G$1030)^2,0)</f>
        <v>21.2611664704413</v>
      </c>
      <c r="AG622" s="35" t="n">
        <f aca="false">IF(AC622=1,(Y622-H$1030)^2,0)</f>
        <v>0</v>
      </c>
      <c r="AH622" s="35" t="n">
        <f aca="false">IF(AD622=1,(Z622-I$1030)^2,0)</f>
        <v>0</v>
      </c>
      <c r="AI622" s="35" t="n">
        <f aca="false">IF(AE622=1,(AA622-J$1030)^2,0)</f>
        <v>0</v>
      </c>
      <c r="AJ622" s="37" t="n">
        <f aca="true">IF(RAND()&lt;$D$6,1,0)</f>
        <v>0</v>
      </c>
      <c r="AK622" s="14" t="n">
        <f aca="false">AK621+IF((AJ622=1),IF((H622=0),1,0),0)</f>
        <v>0</v>
      </c>
      <c r="AL622" s="14" t="n">
        <f aca="false">AL621+IF((AJ622=1),IF((H622=1),1,0),0)</f>
        <v>0</v>
      </c>
      <c r="AM622" s="37" t="n">
        <f aca="false">IF(AK622=0,9999,IF($H622=0,IF($AJ622&lt;1,AM621+1,0),AM621))</f>
        <v>9999</v>
      </c>
      <c r="AN622" s="37" t="n">
        <f aca="false">IF(AL622=0,9999,IF($H622=1,IF($AJ622&lt;1,AN621+1,0),AN621))</f>
        <v>9999</v>
      </c>
      <c r="AO622" s="37" t="n">
        <f aca="false">IF($A622-AM622&gt;0,1/(1+AM622),0)</f>
        <v>0</v>
      </c>
      <c r="AP622" s="37" t="n">
        <f aca="false">IF($A622-AN622&gt;0,1/(1+AN622),0)</f>
        <v>0</v>
      </c>
      <c r="AQ622" s="7" t="n">
        <f aca="false">IF(AK622=0,0,MAX(MIN(1,AO622^Power),0))</f>
        <v>0</v>
      </c>
      <c r="AR622" s="7" t="n">
        <f aca="false">IF(AL622=0,0,MAX(MIN(1,AP622^Power),0))</f>
        <v>0</v>
      </c>
      <c r="AS622" s="7" t="n">
        <f aca="false">IF($AJ622=1,IF($H622=0,K622,AS621),AS621)</f>
        <v>0</v>
      </c>
      <c r="AT622" s="7" t="n">
        <f aca="false">IF($AJ622=1,IF($H622=1,N622,AT621),AT621)</f>
        <v>0</v>
      </c>
    </row>
    <row r="623" customFormat="false" ht="13" hidden="false" customHeight="false" outlineLevel="0" collapsed="false">
      <c r="A623" s="16" t="n">
        <v>606</v>
      </c>
      <c r="B623" s="37" t="n">
        <f aca="true">IF(RAND()&lt;$D$8,1,0)</f>
        <v>1</v>
      </c>
      <c r="C623" s="20" t="n">
        <f aca="true">-LN(RAND())/$D$2</f>
        <v>0.752740289283179</v>
      </c>
      <c r="D623" s="38" t="n">
        <f aca="false">D622+C623</f>
        <v>636.542286258405</v>
      </c>
      <c r="E623" s="39" t="n">
        <f aca="false">MAX($E$3,AS622)</f>
        <v>0</v>
      </c>
      <c r="F623" s="39" t="n">
        <f aca="false">MAX($E$3,AT622)</f>
        <v>0</v>
      </c>
      <c r="G623" s="40" t="n">
        <v>0.5</v>
      </c>
      <c r="H623" s="38" t="n">
        <f aca="true">IF((B623=1),(IF((F623&lt;E623),1,(IF((F623=E623),(IF(RAND()&lt;G623,1,0)),0)))),(IF((RAND()&lt;G623),1,0)))</f>
        <v>1</v>
      </c>
      <c r="I623" s="38" t="n">
        <f aca="true">IF((H623=1),0,$D$3+$D$5*(RAND()-0.5))</f>
        <v>0</v>
      </c>
      <c r="J623" s="38" t="n">
        <f aca="false">I623+MAX(D623,J622)</f>
        <v>641.888240967551</v>
      </c>
      <c r="K623" s="38" t="n">
        <f aca="false">IF((H623=0),J623-D623,0)</f>
        <v>0</v>
      </c>
      <c r="L623" s="38" t="n">
        <f aca="true">IF(($H623=0),0,$D$4+$D$5*(RAND()-0.5))</f>
        <v>1.9219008011262</v>
      </c>
      <c r="M623" s="38" t="n">
        <f aca="false">L623+MAX(D623,M622)</f>
        <v>692.918313211759</v>
      </c>
      <c r="N623" s="38" t="n">
        <f aca="false">IF((H623=1),M623-D623,0)</f>
        <v>56.3760269533535</v>
      </c>
      <c r="O623" s="16" t="n">
        <v>606</v>
      </c>
      <c r="P623" s="41" t="n">
        <f aca="false">IF((Arterial=0),P622+1,P622)</f>
        <v>274</v>
      </c>
      <c r="Q623" s="41" t="n">
        <f aca="false">IF((Arterial=1),Q622+1,Q622)</f>
        <v>332</v>
      </c>
      <c r="R623" s="42" t="n">
        <f aca="false">IF((RESET=1),0,R623+K623)</f>
        <v>930.269093193055</v>
      </c>
      <c r="S623" s="14" t="e">
        <f aca="false">IF(RESET=1,0,S623+N623)</f>
        <v>#N/A</v>
      </c>
      <c r="T623" s="2" t="n">
        <f aca="false">IF(RESET=1,0,T623+IF(H623=0,1,0))</f>
        <v>43</v>
      </c>
      <c r="U623" s="2" t="e">
        <f aca="false">IF(RESET=1,0,U623+H623)</f>
        <v>#N/A</v>
      </c>
      <c r="V623" s="14" t="n">
        <f aca="false">R623/(T623+0.00001)</f>
        <v>21.634159926778</v>
      </c>
      <c r="W623" s="14" t="e">
        <f aca="false">S623/(U623+0.0001)</f>
        <v>#N/A</v>
      </c>
      <c r="X623" s="39" t="n">
        <f aca="false">IF(Informed=1,K623,0)</f>
        <v>0</v>
      </c>
      <c r="Y623" s="39" t="n">
        <f aca="false">IF(Informed=0,K623,0)</f>
        <v>0</v>
      </c>
      <c r="Z623" s="39" t="n">
        <f aca="false">IF(Informed=1,N623,0)</f>
        <v>56.3760269533535</v>
      </c>
      <c r="AA623" s="39" t="n">
        <f aca="false">IF(Informed=0,N623,0)</f>
        <v>0</v>
      </c>
      <c r="AB623" s="43" t="n">
        <f aca="false">IF(Arterial=0,IF(Informed=1,1,0),0)</f>
        <v>0</v>
      </c>
      <c r="AC623" s="43" t="n">
        <f aca="false">IF(Arterial=0,IF(Informed=0,1,0),0)</f>
        <v>0</v>
      </c>
      <c r="AD623" s="43" t="n">
        <f aca="false">IF(Arterial=1,IF(Informed=1,1,0),0)</f>
        <v>1</v>
      </c>
      <c r="AE623" s="43" t="n">
        <f aca="false">IF(Arterial=1,IF(Informed=0,1,0),0)</f>
        <v>0</v>
      </c>
      <c r="AF623" s="35" t="n">
        <f aca="false">IF(AB623=1,(X623-G$1030)^2,0)</f>
        <v>0</v>
      </c>
      <c r="AG623" s="35" t="n">
        <f aca="false">IF(AC623=1,(Y623-H$1030)^2,0)</f>
        <v>0</v>
      </c>
      <c r="AH623" s="35" t="n">
        <f aca="false">IF(AD623=1,(Z623-I$1030)^2,0)</f>
        <v>784.066762387825</v>
      </c>
      <c r="AI623" s="35" t="n">
        <f aca="false">IF(AE623=1,(AA623-J$1030)^2,0)</f>
        <v>0</v>
      </c>
      <c r="AJ623" s="37" t="n">
        <f aca="true">IF(RAND()&lt;$D$6,1,0)</f>
        <v>0</v>
      </c>
      <c r="AK623" s="14" t="n">
        <f aca="false">AK622+IF((AJ623=1),IF((H623=0),1,0),0)</f>
        <v>0</v>
      </c>
      <c r="AL623" s="14" t="n">
        <f aca="false">AL622+IF((AJ623=1),IF((H623=1),1,0),0)</f>
        <v>0</v>
      </c>
      <c r="AM623" s="37" t="n">
        <f aca="false">IF(AK623=0,9999,IF($H623=0,IF($AJ623&lt;1,AM622+1,0),AM622))</f>
        <v>9999</v>
      </c>
      <c r="AN623" s="37" t="n">
        <f aca="false">IF(AL623=0,9999,IF($H623=1,IF($AJ623&lt;1,AN622+1,0),AN622))</f>
        <v>9999</v>
      </c>
      <c r="AO623" s="37" t="n">
        <f aca="false">IF($A623-AM623&gt;0,1/(1+AM623),0)</f>
        <v>0</v>
      </c>
      <c r="AP623" s="37" t="n">
        <f aca="false">IF($A623-AN623&gt;0,1/(1+AN623),0)</f>
        <v>0</v>
      </c>
      <c r="AQ623" s="7" t="n">
        <f aca="false">IF(AK623=0,0,MAX(MIN(1,AO623^Power),0))</f>
        <v>0</v>
      </c>
      <c r="AR623" s="7" t="n">
        <f aca="false">IF(AL623=0,0,MAX(MIN(1,AP623^Power),0))</f>
        <v>0</v>
      </c>
      <c r="AS623" s="7" t="n">
        <f aca="false">IF($AJ623=1,IF($H623=0,K623,AS622),AS622)</f>
        <v>0</v>
      </c>
      <c r="AT623" s="7" t="n">
        <f aca="false">IF($AJ623=1,IF($H623=1,N623,AT622),AT622)</f>
        <v>0</v>
      </c>
    </row>
    <row r="624" customFormat="false" ht="13" hidden="false" customHeight="false" outlineLevel="0" collapsed="false">
      <c r="A624" s="16" t="n">
        <v>607</v>
      </c>
      <c r="B624" s="37" t="n">
        <f aca="true">IF(RAND()&lt;$D$8,1,0)</f>
        <v>1</v>
      </c>
      <c r="C624" s="20" t="n">
        <f aca="true">-LN(RAND())/$D$2</f>
        <v>0.439661387884542</v>
      </c>
      <c r="D624" s="38" t="n">
        <f aca="false">D623+C624</f>
        <v>636.98194764629</v>
      </c>
      <c r="E624" s="39" t="n">
        <f aca="false">MAX($E$3,AS623)</f>
        <v>0</v>
      </c>
      <c r="F624" s="39" t="n">
        <f aca="false">MAX($E$3,AT623)</f>
        <v>0</v>
      </c>
      <c r="G624" s="40" t="n">
        <v>0.5</v>
      </c>
      <c r="H624" s="38" t="n">
        <f aca="true">IF((B624=1),(IF((F624&lt;E624),1,(IF((F624=E624),(IF(RAND()&lt;G624,1,0)),0)))),(IF((RAND()&lt;G624),1,0)))</f>
        <v>1</v>
      </c>
      <c r="I624" s="38" t="n">
        <f aca="true">IF((H624=1),0,$D$3+$D$5*(RAND()-0.5))</f>
        <v>0</v>
      </c>
      <c r="J624" s="38" t="n">
        <f aca="false">I624+MAX(D624,J623)</f>
        <v>641.888240967551</v>
      </c>
      <c r="K624" s="38" t="n">
        <f aca="false">IF((H624=0),J624-D624,0)</f>
        <v>0</v>
      </c>
      <c r="L624" s="38" t="n">
        <f aca="true">IF(($H624=0),0,$D$4+$D$5*(RAND()-0.5))</f>
        <v>1.95399405518383</v>
      </c>
      <c r="M624" s="38" t="n">
        <f aca="false">L624+MAX(D624,M623)</f>
        <v>694.872307266942</v>
      </c>
      <c r="N624" s="38" t="n">
        <f aca="false">IF((H624=1),M624-D624,0)</f>
        <v>57.8903596206527</v>
      </c>
      <c r="O624" s="16" t="n">
        <v>607</v>
      </c>
      <c r="P624" s="41" t="n">
        <f aca="false">IF((Arterial=0),P623+1,P623)</f>
        <v>274</v>
      </c>
      <c r="Q624" s="41" t="n">
        <f aca="false">IF((Arterial=1),Q623+1,Q623)</f>
        <v>333</v>
      </c>
      <c r="R624" s="42" t="n">
        <f aca="false">IF((RESET=1),0,R624+K624)</f>
        <v>1090.72929263324</v>
      </c>
      <c r="S624" s="14" t="e">
        <f aca="false">IF(RESET=1,0,S624+N624)</f>
        <v>#N/A</v>
      </c>
      <c r="T624" s="2" t="n">
        <f aca="false">IF(RESET=1,0,T624+IF(H624=0,1,0))</f>
        <v>46</v>
      </c>
      <c r="U624" s="2" t="e">
        <f aca="false">IF(RESET=1,0,U624+H624)</f>
        <v>#N/A</v>
      </c>
      <c r="V624" s="14" t="n">
        <f aca="false">R624/(T624+0.00001)</f>
        <v>23.7115012069179</v>
      </c>
      <c r="W624" s="14" t="e">
        <f aca="false">S624/(U624+0.0001)</f>
        <v>#N/A</v>
      </c>
      <c r="X624" s="39" t="n">
        <f aca="false">IF(Informed=1,K624,0)</f>
        <v>0</v>
      </c>
      <c r="Y624" s="39" t="n">
        <f aca="false">IF(Informed=0,K624,0)</f>
        <v>0</v>
      </c>
      <c r="Z624" s="39" t="n">
        <f aca="false">IF(Informed=1,N624,0)</f>
        <v>57.8903596206527</v>
      </c>
      <c r="AA624" s="39" t="n">
        <f aca="false">IF(Informed=0,N624,0)</f>
        <v>0</v>
      </c>
      <c r="AB624" s="43" t="n">
        <f aca="false">IF(Arterial=0,IF(Informed=1,1,0),0)</f>
        <v>0</v>
      </c>
      <c r="AC624" s="43" t="n">
        <f aca="false">IF(Arterial=0,IF(Informed=0,1,0),0)</f>
        <v>0</v>
      </c>
      <c r="AD624" s="43" t="n">
        <f aca="false">IF(Arterial=1,IF(Informed=1,1,0),0)</f>
        <v>1</v>
      </c>
      <c r="AE624" s="43" t="n">
        <f aca="false">IF(Arterial=1,IF(Informed=0,1,0),0)</f>
        <v>0</v>
      </c>
      <c r="AF624" s="35" t="n">
        <f aca="false">IF(AB624=1,(X624-G$1030)^2,0)</f>
        <v>0</v>
      </c>
      <c r="AG624" s="35" t="n">
        <f aca="false">IF(AC624=1,(Y624-H$1030)^2,0)</f>
        <v>0</v>
      </c>
      <c r="AH624" s="35" t="n">
        <f aca="false">IF(AD624=1,(Z624-I$1030)^2,0)</f>
        <v>871.16620583785</v>
      </c>
      <c r="AI624" s="35" t="n">
        <f aca="false">IF(AE624=1,(AA624-J$1030)^2,0)</f>
        <v>0</v>
      </c>
      <c r="AJ624" s="37" t="n">
        <f aca="true">IF(RAND()&lt;$D$6,1,0)</f>
        <v>0</v>
      </c>
      <c r="AK624" s="14" t="n">
        <f aca="false">AK623+IF((AJ624=1),IF((H624=0),1,0),0)</f>
        <v>0</v>
      </c>
      <c r="AL624" s="14" t="n">
        <f aca="false">AL623+IF((AJ624=1),IF((H624=1),1,0),0)</f>
        <v>0</v>
      </c>
      <c r="AM624" s="37" t="n">
        <f aca="false">IF(AK624=0,9999,IF($H624=0,IF($AJ624&lt;1,AM623+1,0),AM623))</f>
        <v>9999</v>
      </c>
      <c r="AN624" s="37" t="n">
        <f aca="false">IF(AL624=0,9999,IF($H624=1,IF($AJ624&lt;1,AN623+1,0),AN623))</f>
        <v>9999</v>
      </c>
      <c r="AO624" s="37" t="n">
        <f aca="false">IF($A624-AM624&gt;0,1/(1+AM624),0)</f>
        <v>0</v>
      </c>
      <c r="AP624" s="37" t="n">
        <f aca="false">IF($A624-AN624&gt;0,1/(1+AN624),0)</f>
        <v>0</v>
      </c>
      <c r="AQ624" s="7" t="n">
        <f aca="false">IF(AK624=0,0,MAX(MIN(1,AO624^Power),0))</f>
        <v>0</v>
      </c>
      <c r="AR624" s="7" t="n">
        <f aca="false">IF(AL624=0,0,MAX(MIN(1,AP624^Power),0))</f>
        <v>0</v>
      </c>
      <c r="AS624" s="7" t="n">
        <f aca="false">IF($AJ624=1,IF($H624=0,K624,AS623),AS623)</f>
        <v>0</v>
      </c>
      <c r="AT624" s="7" t="n">
        <f aca="false">IF($AJ624=1,IF($H624=1,N624,AT623),AT623)</f>
        <v>0</v>
      </c>
    </row>
    <row r="625" customFormat="false" ht="13" hidden="false" customHeight="false" outlineLevel="0" collapsed="false">
      <c r="A625" s="16" t="n">
        <v>608</v>
      </c>
      <c r="B625" s="37" t="n">
        <f aca="true">IF(RAND()&lt;$D$8,1,0)</f>
        <v>1</v>
      </c>
      <c r="C625" s="20" t="n">
        <f aca="true">-LN(RAND())/$D$2</f>
        <v>0.918723918769647</v>
      </c>
      <c r="D625" s="38" t="n">
        <f aca="false">D624+C625</f>
        <v>637.900671565059</v>
      </c>
      <c r="E625" s="39" t="n">
        <f aca="false">MAX($E$3,AS624)</f>
        <v>0</v>
      </c>
      <c r="F625" s="39" t="n">
        <f aca="false">MAX($E$3,AT624)</f>
        <v>0</v>
      </c>
      <c r="G625" s="40" t="n">
        <v>0.5</v>
      </c>
      <c r="H625" s="38" t="n">
        <f aca="true">IF((B625=1),(IF((F625&lt;E625),1,(IF((F625=E625),(IF(RAND()&lt;G625,1,0)),0)))),(IF((RAND()&lt;G625),1,0)))</f>
        <v>0</v>
      </c>
      <c r="I625" s="38" t="n">
        <f aca="true">IF((H625=1),0,$D$3+$D$5*(RAND()-0.5))</f>
        <v>1.85999275844033</v>
      </c>
      <c r="J625" s="38" t="n">
        <f aca="false">I625+MAX(D625,J624)</f>
        <v>643.748233725992</v>
      </c>
      <c r="K625" s="38" t="n">
        <f aca="false">IF((H625=0),J625-D625,0)</f>
        <v>5.84756216093251</v>
      </c>
      <c r="L625" s="38" t="n">
        <f aca="true">IF(($H625=0),0,$D$4+$D$5*(RAND()-0.5))</f>
        <v>0</v>
      </c>
      <c r="M625" s="38" t="n">
        <f aca="false">L625+MAX(D625,M624)</f>
        <v>694.872307266942</v>
      </c>
      <c r="N625" s="38" t="n">
        <f aca="false">IF((H625=1),M625-D625,0)</f>
        <v>0</v>
      </c>
      <c r="O625" s="16" t="n">
        <v>608</v>
      </c>
      <c r="P625" s="41" t="n">
        <f aca="false">IF((Arterial=0),P624+1,P624)</f>
        <v>275</v>
      </c>
      <c r="Q625" s="41" t="n">
        <f aca="false">IF((Arterial=1),Q624+1,Q624)</f>
        <v>333</v>
      </c>
      <c r="R625" s="42" t="e">
        <f aca="false">IF((RESET=1),0,R625+K625)</f>
        <v>#N/A</v>
      </c>
      <c r="S625" s="14" t="n">
        <f aca="false">IF(RESET=1,0,S625+N625)</f>
        <v>651.544348493314</v>
      </c>
      <c r="T625" s="2" t="e">
        <f aca="false">IF(RESET=1,0,T625+IF(H625=0,1,0))</f>
        <v>#N/A</v>
      </c>
      <c r="U625" s="2" t="n">
        <f aca="false">IF(RESET=1,0,U625+H625)</f>
        <v>43</v>
      </c>
      <c r="V625" s="14" t="e">
        <f aca="false">R625/(T625+0.00001)</f>
        <v>#N/A</v>
      </c>
      <c r="W625" s="14" t="n">
        <f aca="false">S625/(U625+0.0001)</f>
        <v>15.1521589134284</v>
      </c>
      <c r="X625" s="39" t="n">
        <f aca="false">IF(Informed=1,K625,0)</f>
        <v>5.84756216093251</v>
      </c>
      <c r="Y625" s="39" t="n">
        <f aca="false">IF(Informed=0,K625,0)</f>
        <v>0</v>
      </c>
      <c r="Z625" s="39" t="n">
        <f aca="false">IF(Informed=1,N625,0)</f>
        <v>0</v>
      </c>
      <c r="AA625" s="39" t="n">
        <f aca="false">IF(Informed=0,N625,0)</f>
        <v>0</v>
      </c>
      <c r="AB625" s="43" t="n">
        <f aca="false">IF(Arterial=0,IF(Informed=1,1,0),0)</f>
        <v>1</v>
      </c>
      <c r="AC625" s="43" t="n">
        <f aca="false">IF(Arterial=0,IF(Informed=0,1,0),0)</f>
        <v>0</v>
      </c>
      <c r="AD625" s="43" t="n">
        <f aca="false">IF(Arterial=1,IF(Informed=1,1,0),0)</f>
        <v>0</v>
      </c>
      <c r="AE625" s="43" t="n">
        <f aca="false">IF(Arterial=1,IF(Informed=0,1,0),0)</f>
        <v>0</v>
      </c>
      <c r="AF625" s="35" t="n">
        <f aca="false">IF(AB625=1,(X625-G$1030)^2,0)</f>
        <v>23.6401727836186</v>
      </c>
      <c r="AG625" s="35" t="n">
        <f aca="false">IF(AC625=1,(Y625-H$1030)^2,0)</f>
        <v>0</v>
      </c>
      <c r="AH625" s="35" t="n">
        <f aca="false">IF(AD625=1,(Z625-I$1030)^2,0)</f>
        <v>0</v>
      </c>
      <c r="AI625" s="35" t="n">
        <f aca="false">IF(AE625=1,(AA625-J$1030)^2,0)</f>
        <v>0</v>
      </c>
      <c r="AJ625" s="37" t="n">
        <f aca="true">IF(RAND()&lt;$D$6,1,0)</f>
        <v>0</v>
      </c>
      <c r="AK625" s="14" t="n">
        <f aca="false">AK624+IF((AJ625=1),IF((H625=0),1,0),0)</f>
        <v>0</v>
      </c>
      <c r="AL625" s="14" t="n">
        <f aca="false">AL624+IF((AJ625=1),IF((H625=1),1,0),0)</f>
        <v>0</v>
      </c>
      <c r="AM625" s="37" t="n">
        <f aca="false">IF(AK625=0,9999,IF($H625=0,IF($AJ625&lt;1,AM624+1,0),AM624))</f>
        <v>9999</v>
      </c>
      <c r="AN625" s="37" t="n">
        <f aca="false">IF(AL625=0,9999,IF($H625=1,IF($AJ625&lt;1,AN624+1,0),AN624))</f>
        <v>9999</v>
      </c>
      <c r="AO625" s="37" t="n">
        <f aca="false">IF($A625-AM625&gt;0,1/(1+AM625),0)</f>
        <v>0</v>
      </c>
      <c r="AP625" s="37" t="n">
        <f aca="false">IF($A625-AN625&gt;0,1/(1+AN625),0)</f>
        <v>0</v>
      </c>
      <c r="AQ625" s="7" t="n">
        <f aca="false">IF(AK625=0,0,MAX(MIN(1,AO625^Power),0))</f>
        <v>0</v>
      </c>
      <c r="AR625" s="7" t="n">
        <f aca="false">IF(AL625=0,0,MAX(MIN(1,AP625^Power),0))</f>
        <v>0</v>
      </c>
      <c r="AS625" s="7" t="n">
        <f aca="false">IF($AJ625=1,IF($H625=0,K625,AS624),AS624)</f>
        <v>0</v>
      </c>
      <c r="AT625" s="7" t="n">
        <f aca="false">IF($AJ625=1,IF($H625=1,N625,AT624),AT624)</f>
        <v>0</v>
      </c>
    </row>
    <row r="626" customFormat="false" ht="13" hidden="false" customHeight="false" outlineLevel="0" collapsed="false">
      <c r="A626" s="16" t="n">
        <v>609</v>
      </c>
      <c r="B626" s="37" t="n">
        <f aca="true">IF(RAND()&lt;$D$8,1,0)</f>
        <v>1</v>
      </c>
      <c r="C626" s="20" t="n">
        <f aca="true">-LN(RAND())/$D$2</f>
        <v>1.53045497681288</v>
      </c>
      <c r="D626" s="38" t="n">
        <f aca="false">D625+C626</f>
        <v>639.431126541872</v>
      </c>
      <c r="E626" s="39" t="n">
        <f aca="false">MAX($E$3,AS625)</f>
        <v>0</v>
      </c>
      <c r="F626" s="39" t="n">
        <f aca="false">MAX($E$3,AT625)</f>
        <v>0</v>
      </c>
      <c r="G626" s="40" t="n">
        <v>0.5</v>
      </c>
      <c r="H626" s="38" t="n">
        <f aca="true">IF((B626=1),(IF((F626&lt;E626),1,(IF((F626=E626),(IF(RAND()&lt;G626,1,0)),0)))),(IF((RAND()&lt;G626),1,0)))</f>
        <v>0</v>
      </c>
      <c r="I626" s="38" t="n">
        <f aca="true">IF((H626=1),0,$D$3+$D$5*(RAND()-0.5))</f>
        <v>1.79097836733019</v>
      </c>
      <c r="J626" s="38" t="n">
        <f aca="false">I626+MAX(D626,J625)</f>
        <v>645.539212093322</v>
      </c>
      <c r="K626" s="38" t="n">
        <f aca="false">IF((H626=0),J626-D626,0)</f>
        <v>6.1080855514499</v>
      </c>
      <c r="L626" s="38" t="n">
        <f aca="true">IF(($H626=0),0,$D$4+$D$5*(RAND()-0.5))</f>
        <v>0</v>
      </c>
      <c r="M626" s="38" t="n">
        <f aca="false">L626+MAX(D626,M625)</f>
        <v>694.872307266942</v>
      </c>
      <c r="N626" s="38" t="n">
        <f aca="false">IF((H626=1),M626-D626,0)</f>
        <v>0</v>
      </c>
      <c r="O626" s="16" t="n">
        <v>609</v>
      </c>
      <c r="P626" s="41" t="n">
        <f aca="false">IF((Arterial=0),P625+1,P625)</f>
        <v>276</v>
      </c>
      <c r="Q626" s="41" t="n">
        <f aca="false">IF((Arterial=1),Q625+1,Q625)</f>
        <v>333</v>
      </c>
      <c r="R626" s="42" t="e">
        <f aca="false">IF((RESET=1),0,R626+K626)</f>
        <v>#N/A</v>
      </c>
      <c r="S626" s="14" t="n">
        <f aca="false">IF(RESET=1,0,S626+N626)</f>
        <v>611.33922842192</v>
      </c>
      <c r="T626" s="2" t="e">
        <f aca="false">IF(RESET=1,0,T626+IF(H626=0,1,0))</f>
        <v>#N/A</v>
      </c>
      <c r="U626" s="2" t="n">
        <f aca="false">IF(RESET=1,0,U626+H626)</f>
        <v>37</v>
      </c>
      <c r="V626" s="14" t="e">
        <f aca="false">R626/(T626+0.00001)</f>
        <v>#N/A</v>
      </c>
      <c r="W626" s="14" t="n">
        <f aca="false">S626/(U626+0.0001)</f>
        <v>16.5226371934649</v>
      </c>
      <c r="X626" s="39" t="n">
        <f aca="false">IF(Informed=1,K626,0)</f>
        <v>6.1080855514499</v>
      </c>
      <c r="Y626" s="39" t="n">
        <f aca="false">IF(Informed=0,K626,0)</f>
        <v>0</v>
      </c>
      <c r="Z626" s="39" t="n">
        <f aca="false">IF(Informed=1,N626,0)</f>
        <v>0</v>
      </c>
      <c r="AA626" s="39" t="n">
        <f aca="false">IF(Informed=0,N626,0)</f>
        <v>0</v>
      </c>
      <c r="AB626" s="43" t="n">
        <f aca="false">IF(Arterial=0,IF(Informed=1,1,0),0)</f>
        <v>1</v>
      </c>
      <c r="AC626" s="43" t="n">
        <f aca="false">IF(Arterial=0,IF(Informed=0,1,0),0)</f>
        <v>0</v>
      </c>
      <c r="AD626" s="43" t="n">
        <f aca="false">IF(Arterial=1,IF(Informed=1,1,0),0)</f>
        <v>0</v>
      </c>
      <c r="AE626" s="43" t="n">
        <f aca="false">IF(Arterial=1,IF(Informed=0,1,0),0)</f>
        <v>0</v>
      </c>
      <c r="AF626" s="35" t="n">
        <f aca="false">IF(AB626=1,(X626-G$1030)^2,0)</f>
        <v>21.1746552876831</v>
      </c>
      <c r="AG626" s="35" t="n">
        <f aca="false">IF(AC626=1,(Y626-H$1030)^2,0)</f>
        <v>0</v>
      </c>
      <c r="AH626" s="35" t="n">
        <f aca="false">IF(AD626=1,(Z626-I$1030)^2,0)</f>
        <v>0</v>
      </c>
      <c r="AI626" s="35" t="n">
        <f aca="false">IF(AE626=1,(AA626-J$1030)^2,0)</f>
        <v>0</v>
      </c>
      <c r="AJ626" s="37" t="n">
        <f aca="true">IF(RAND()&lt;$D$6,1,0)</f>
        <v>0</v>
      </c>
      <c r="AK626" s="14" t="n">
        <f aca="false">AK625+IF((AJ626=1),IF((H626=0),1,0),0)</f>
        <v>0</v>
      </c>
      <c r="AL626" s="14" t="n">
        <f aca="false">AL625+IF((AJ626=1),IF((H626=1),1,0),0)</f>
        <v>0</v>
      </c>
      <c r="AM626" s="37" t="n">
        <f aca="false">IF(AK626=0,9999,IF($H626=0,IF($AJ626&lt;1,AM625+1,0),AM625))</f>
        <v>9999</v>
      </c>
      <c r="AN626" s="37" t="n">
        <f aca="false">IF(AL626=0,9999,IF($H626=1,IF($AJ626&lt;1,AN625+1,0),AN625))</f>
        <v>9999</v>
      </c>
      <c r="AO626" s="37" t="n">
        <f aca="false">IF($A626-AM626&gt;0,1/(1+AM626),0)</f>
        <v>0</v>
      </c>
      <c r="AP626" s="37" t="n">
        <f aca="false">IF($A626-AN626&gt;0,1/(1+AN626),0)</f>
        <v>0</v>
      </c>
      <c r="AQ626" s="7" t="n">
        <f aca="false">IF(AK626=0,0,MAX(MIN(1,AO626^Power),0))</f>
        <v>0</v>
      </c>
      <c r="AR626" s="7" t="n">
        <f aca="false">IF(AL626=0,0,MAX(MIN(1,AP626^Power),0))</f>
        <v>0</v>
      </c>
      <c r="AS626" s="7" t="n">
        <f aca="false">IF($AJ626=1,IF($H626=0,K626,AS625),AS625)</f>
        <v>0</v>
      </c>
      <c r="AT626" s="7" t="n">
        <f aca="false">IF($AJ626=1,IF($H626=1,N626,AT625),AT625)</f>
        <v>0</v>
      </c>
    </row>
    <row r="627" customFormat="false" ht="13" hidden="false" customHeight="false" outlineLevel="0" collapsed="false">
      <c r="A627" s="16" t="n">
        <v>610</v>
      </c>
      <c r="B627" s="37" t="n">
        <f aca="true">IF(RAND()&lt;$D$8,1,0)</f>
        <v>0</v>
      </c>
      <c r="C627" s="20" t="n">
        <f aca="true">-LN(RAND())/$D$2</f>
        <v>1.50285688266199</v>
      </c>
      <c r="D627" s="38" t="n">
        <f aca="false">D626+C627</f>
        <v>640.933983424534</v>
      </c>
      <c r="E627" s="39" t="n">
        <f aca="false">MAX($E$3,AS626)</f>
        <v>0</v>
      </c>
      <c r="F627" s="39" t="n">
        <f aca="false">MAX($E$3,AT626)</f>
        <v>0</v>
      </c>
      <c r="G627" s="40" t="n">
        <v>0.5</v>
      </c>
      <c r="H627" s="38" t="n">
        <f aca="true">IF((B627=1),(IF((F627&lt;E627),1,(IF((F627=E627),(IF(RAND()&lt;G627,1,0)),0)))),(IF((RAND()&lt;G627),1,0)))</f>
        <v>1</v>
      </c>
      <c r="I627" s="38" t="n">
        <f aca="true">IF((H627=1),0,$D$3+$D$5*(RAND()-0.5))</f>
        <v>0</v>
      </c>
      <c r="J627" s="38" t="n">
        <f aca="false">I627+MAX(D627,J626)</f>
        <v>645.539212093322</v>
      </c>
      <c r="K627" s="38" t="n">
        <f aca="false">IF((H627=0),J627-D627,0)</f>
        <v>0</v>
      </c>
      <c r="L627" s="38" t="n">
        <f aca="true">IF(($H627=0),0,$D$4+$D$5*(RAND()-0.5))</f>
        <v>2.04089848130658</v>
      </c>
      <c r="M627" s="38" t="n">
        <f aca="false">L627+MAX(D627,M626)</f>
        <v>696.913205748249</v>
      </c>
      <c r="N627" s="38" t="n">
        <f aca="false">IF((H627=1),M627-D627,0)</f>
        <v>55.9792223237149</v>
      </c>
      <c r="O627" s="16" t="n">
        <v>610</v>
      </c>
      <c r="P627" s="41" t="n">
        <f aca="false">IF((Arterial=0),P626+1,P626)</f>
        <v>276</v>
      </c>
      <c r="Q627" s="41" t="n">
        <f aca="false">IF((Arterial=1),Q626+1,Q626)</f>
        <v>334</v>
      </c>
      <c r="R627" s="42" t="n">
        <f aca="false">IF((RESET=1),0,R627+K627)</f>
        <v>822.835261169308</v>
      </c>
      <c r="S627" s="14" t="e">
        <f aca="false">IF(RESET=1,0,S627+N627)</f>
        <v>#N/A</v>
      </c>
      <c r="T627" s="2" t="n">
        <f aca="false">IF(RESET=1,0,T627+IF(H627=0,1,0))</f>
        <v>39</v>
      </c>
      <c r="U627" s="2" t="e">
        <f aca="false">IF(RESET=1,0,U627+H627)</f>
        <v>#N/A</v>
      </c>
      <c r="V627" s="14" t="n">
        <f aca="false">R627/(T627+0.00001)</f>
        <v>21.0983346201529</v>
      </c>
      <c r="W627" s="14" t="e">
        <f aca="false">S627/(U627+0.0001)</f>
        <v>#N/A</v>
      </c>
      <c r="X627" s="39" t="n">
        <f aca="false">IF(Informed=1,K627,0)</f>
        <v>0</v>
      </c>
      <c r="Y627" s="39" t="n">
        <f aca="false">IF(Informed=0,K627,0)</f>
        <v>0</v>
      </c>
      <c r="Z627" s="39" t="n">
        <f aca="false">IF(Informed=1,N627,0)</f>
        <v>0</v>
      </c>
      <c r="AA627" s="39" t="n">
        <f aca="false">IF(Informed=0,N627,0)</f>
        <v>55.9792223237149</v>
      </c>
      <c r="AB627" s="43" t="n">
        <f aca="false">IF(Arterial=0,IF(Informed=1,1,0),0)</f>
        <v>0</v>
      </c>
      <c r="AC627" s="43" t="n">
        <f aca="false">IF(Arterial=0,IF(Informed=0,1,0),0)</f>
        <v>0</v>
      </c>
      <c r="AD627" s="43" t="n">
        <f aca="false">IF(Arterial=1,IF(Informed=1,1,0),0)</f>
        <v>0</v>
      </c>
      <c r="AE627" s="43" t="n">
        <f aca="false">IF(Arterial=1,IF(Informed=0,1,0),0)</f>
        <v>1</v>
      </c>
      <c r="AF627" s="35" t="n">
        <f aca="false">IF(AB627=1,(X627-G$1030)^2,0)</f>
        <v>0</v>
      </c>
      <c r="AG627" s="35" t="n">
        <f aca="false">IF(AC627=1,(Y627-H$1030)^2,0)</f>
        <v>0</v>
      </c>
      <c r="AH627" s="35" t="n">
        <f aca="false">IF(AD627=1,(Z627-I$1030)^2,0)</f>
        <v>0</v>
      </c>
      <c r="AI627" s="35" t="n">
        <f aca="false">IF(AE627=1,(AA627-J$1030)^2,0)</f>
        <v>697.749442631543</v>
      </c>
      <c r="AJ627" s="37" t="n">
        <f aca="true">IF(RAND()&lt;$D$6,1,0)</f>
        <v>0</v>
      </c>
      <c r="AK627" s="14" t="n">
        <f aca="false">AK626+IF((AJ627=1),IF((H627=0),1,0),0)</f>
        <v>0</v>
      </c>
      <c r="AL627" s="14" t="n">
        <f aca="false">AL626+IF((AJ627=1),IF((H627=1),1,0),0)</f>
        <v>0</v>
      </c>
      <c r="AM627" s="37" t="n">
        <f aca="false">IF(AK627=0,9999,IF($H627=0,IF($AJ627&lt;1,AM626+1,0),AM626))</f>
        <v>9999</v>
      </c>
      <c r="AN627" s="37" t="n">
        <f aca="false">IF(AL627=0,9999,IF($H627=1,IF($AJ627&lt;1,AN626+1,0),AN626))</f>
        <v>9999</v>
      </c>
      <c r="AO627" s="37" t="n">
        <f aca="false">IF($A627-AM627&gt;0,1/(1+AM627),0)</f>
        <v>0</v>
      </c>
      <c r="AP627" s="37" t="n">
        <f aca="false">IF($A627-AN627&gt;0,1/(1+AN627),0)</f>
        <v>0</v>
      </c>
      <c r="AQ627" s="7" t="n">
        <f aca="false">IF(AK627=0,0,MAX(MIN(1,AO627^Power),0))</f>
        <v>0</v>
      </c>
      <c r="AR627" s="7" t="n">
        <f aca="false">IF(AL627=0,0,MAX(MIN(1,AP627^Power),0))</f>
        <v>0</v>
      </c>
      <c r="AS627" s="7" t="n">
        <f aca="false">IF($AJ627=1,IF($H627=0,K627,AS626),AS626)</f>
        <v>0</v>
      </c>
      <c r="AT627" s="7" t="n">
        <f aca="false">IF($AJ627=1,IF($H627=1,N627,AT626),AT626)</f>
        <v>0</v>
      </c>
    </row>
    <row r="628" customFormat="false" ht="13" hidden="false" customHeight="false" outlineLevel="0" collapsed="false">
      <c r="A628" s="16" t="n">
        <v>611</v>
      </c>
      <c r="B628" s="37" t="n">
        <f aca="true">IF(RAND()&lt;$D$8,1,0)</f>
        <v>1</v>
      </c>
      <c r="C628" s="20" t="n">
        <f aca="true">-LN(RAND())/$D$2</f>
        <v>0.00522383039822222</v>
      </c>
      <c r="D628" s="38" t="n">
        <f aca="false">D627+C628</f>
        <v>640.939207254932</v>
      </c>
      <c r="E628" s="39" t="n">
        <f aca="false">MAX($E$3,AS627)</f>
        <v>0</v>
      </c>
      <c r="F628" s="39" t="n">
        <f aca="false">MAX($E$3,AT627)</f>
        <v>0</v>
      </c>
      <c r="G628" s="40" t="n">
        <v>0.5</v>
      </c>
      <c r="H628" s="38" t="n">
        <f aca="true">IF((B628=1),(IF((F628&lt;E628),1,(IF((F628=E628),(IF(RAND()&lt;G628,1,0)),0)))),(IF((RAND()&lt;G628),1,0)))</f>
        <v>0</v>
      </c>
      <c r="I628" s="38" t="n">
        <f aca="true">IF((H628=1),0,$D$3+$D$5*(RAND()-0.5))</f>
        <v>1.84930789374077</v>
      </c>
      <c r="J628" s="38" t="n">
        <f aca="false">I628+MAX(D628,J627)</f>
        <v>647.388519987063</v>
      </c>
      <c r="K628" s="38" t="n">
        <f aca="false">IF((H628=0),J628-D628,0)</f>
        <v>6.44931273213047</v>
      </c>
      <c r="L628" s="38" t="n">
        <f aca="true">IF(($H628=0),0,$D$4+$D$5*(RAND()-0.5))</f>
        <v>0</v>
      </c>
      <c r="M628" s="38" t="n">
        <f aca="false">L628+MAX(D628,M627)</f>
        <v>696.913205748249</v>
      </c>
      <c r="N628" s="38" t="n">
        <f aca="false">IF((H628=1),M628-D628,0)</f>
        <v>0</v>
      </c>
      <c r="O628" s="16" t="n">
        <v>611</v>
      </c>
      <c r="P628" s="41" t="n">
        <f aca="false">IF((Arterial=0),P627+1,P627)</f>
        <v>277</v>
      </c>
      <c r="Q628" s="41" t="n">
        <f aca="false">IF((Arterial=1),Q627+1,Q627)</f>
        <v>334</v>
      </c>
      <c r="R628" s="42" t="e">
        <f aca="false">IF((RESET=1),0,R628+K628)</f>
        <v>#N/A</v>
      </c>
      <c r="S628" s="14" t="n">
        <f aca="false">IF(RESET=1,0,S628+N628)</f>
        <v>680.187106440869</v>
      </c>
      <c r="T628" s="2" t="e">
        <f aca="false">IF(RESET=1,0,T628+IF(H628=0,1,0))</f>
        <v>#N/A</v>
      </c>
      <c r="U628" s="2" t="n">
        <f aca="false">IF(RESET=1,0,U628+H628)</f>
        <v>37</v>
      </c>
      <c r="V628" s="14" t="e">
        <f aca="false">R628/(T628+0.00001)</f>
        <v>#N/A</v>
      </c>
      <c r="W628" s="14" t="n">
        <f aca="false">S628/(U628+0.0001)</f>
        <v>18.3833856243867</v>
      </c>
      <c r="X628" s="39" t="n">
        <f aca="false">IF(Informed=1,K628,0)</f>
        <v>6.44931273213047</v>
      </c>
      <c r="Y628" s="39" t="n">
        <f aca="false">IF(Informed=0,K628,0)</f>
        <v>0</v>
      </c>
      <c r="Z628" s="39" t="n">
        <f aca="false">IF(Informed=1,N628,0)</f>
        <v>0</v>
      </c>
      <c r="AA628" s="39" t="n">
        <f aca="false">IF(Informed=0,N628,0)</f>
        <v>0</v>
      </c>
      <c r="AB628" s="43" t="n">
        <f aca="false">IF(Arterial=0,IF(Informed=1,1,0),0)</f>
        <v>1</v>
      </c>
      <c r="AC628" s="43" t="n">
        <f aca="false">IF(Arterial=0,IF(Informed=0,1,0),0)</f>
        <v>0</v>
      </c>
      <c r="AD628" s="43" t="n">
        <f aca="false">IF(Arterial=1,IF(Informed=1,1,0),0)</f>
        <v>0</v>
      </c>
      <c r="AE628" s="43" t="n">
        <f aca="false">IF(Arterial=1,IF(Informed=0,1,0),0)</f>
        <v>0</v>
      </c>
      <c r="AF628" s="35" t="n">
        <f aca="false">IF(AB628=1,(X628-G$1030)^2,0)</f>
        <v>18.1507142757963</v>
      </c>
      <c r="AG628" s="35" t="n">
        <f aca="false">IF(AC628=1,(Y628-H$1030)^2,0)</f>
        <v>0</v>
      </c>
      <c r="AH628" s="35" t="n">
        <f aca="false">IF(AD628=1,(Z628-I$1030)^2,0)</f>
        <v>0</v>
      </c>
      <c r="AI628" s="35" t="n">
        <f aca="false">IF(AE628=1,(AA628-J$1030)^2,0)</f>
        <v>0</v>
      </c>
      <c r="AJ628" s="37" t="n">
        <f aca="true">IF(RAND()&lt;$D$6,1,0)</f>
        <v>0</v>
      </c>
      <c r="AK628" s="14" t="n">
        <f aca="false">AK627+IF((AJ628=1),IF((H628=0),1,0),0)</f>
        <v>0</v>
      </c>
      <c r="AL628" s="14" t="n">
        <f aca="false">AL627+IF((AJ628=1),IF((H628=1),1,0),0)</f>
        <v>0</v>
      </c>
      <c r="AM628" s="37" t="n">
        <f aca="false">IF(AK628=0,9999,IF($H628=0,IF($AJ628&lt;1,AM627+1,0),AM627))</f>
        <v>9999</v>
      </c>
      <c r="AN628" s="37" t="n">
        <f aca="false">IF(AL628=0,9999,IF($H628=1,IF($AJ628&lt;1,AN627+1,0),AN627))</f>
        <v>9999</v>
      </c>
      <c r="AO628" s="37" t="n">
        <f aca="false">IF($A628-AM628&gt;0,1/(1+AM628),0)</f>
        <v>0</v>
      </c>
      <c r="AP628" s="37" t="n">
        <f aca="false">IF($A628-AN628&gt;0,1/(1+AN628),0)</f>
        <v>0</v>
      </c>
      <c r="AQ628" s="7" t="n">
        <f aca="false">IF(AK628=0,0,MAX(MIN(1,AO628^Power),0))</f>
        <v>0</v>
      </c>
      <c r="AR628" s="7" t="n">
        <f aca="false">IF(AL628=0,0,MAX(MIN(1,AP628^Power),0))</f>
        <v>0</v>
      </c>
      <c r="AS628" s="7" t="n">
        <f aca="false">IF($AJ628=1,IF($H628=0,K628,AS627),AS627)</f>
        <v>0</v>
      </c>
      <c r="AT628" s="7" t="n">
        <f aca="false">IF($AJ628=1,IF($H628=1,N628,AT627),AT627)</f>
        <v>0</v>
      </c>
    </row>
    <row r="629" customFormat="false" ht="13" hidden="false" customHeight="false" outlineLevel="0" collapsed="false">
      <c r="A629" s="16" t="n">
        <v>612</v>
      </c>
      <c r="B629" s="37" t="n">
        <f aca="true">IF(RAND()&lt;$D$8,1,0)</f>
        <v>1</v>
      </c>
      <c r="C629" s="20" t="n">
        <f aca="true">-LN(RAND())/$D$2</f>
        <v>0.246498163582767</v>
      </c>
      <c r="D629" s="38" t="n">
        <f aca="false">D628+C629</f>
        <v>641.185705418515</v>
      </c>
      <c r="E629" s="39" t="n">
        <f aca="false">MAX($E$3,AS628)</f>
        <v>0</v>
      </c>
      <c r="F629" s="39" t="n">
        <f aca="false">MAX($E$3,AT628)</f>
        <v>0</v>
      </c>
      <c r="G629" s="40" t="n">
        <v>0.5</v>
      </c>
      <c r="H629" s="38" t="n">
        <f aca="true">IF((B629=1),(IF((F629&lt;E629),1,(IF((F629=E629),(IF(RAND()&lt;G629,1,0)),0)))),(IF((RAND()&lt;G629),1,0)))</f>
        <v>1</v>
      </c>
      <c r="I629" s="38" t="n">
        <f aca="true">IF((H629=1),0,$D$3+$D$5*(RAND()-0.5))</f>
        <v>0</v>
      </c>
      <c r="J629" s="38" t="n">
        <f aca="false">I629+MAX(D629,J628)</f>
        <v>647.388519987063</v>
      </c>
      <c r="K629" s="38" t="n">
        <f aca="false">IF((H629=0),J629-D629,0)</f>
        <v>0</v>
      </c>
      <c r="L629" s="38" t="n">
        <f aca="true">IF(($H629=0),0,$D$4+$D$5*(RAND()-0.5))</f>
        <v>1.95434722603381</v>
      </c>
      <c r="M629" s="38" t="n">
        <f aca="false">L629+MAX(D629,M628)</f>
        <v>698.867552974283</v>
      </c>
      <c r="N629" s="38" t="n">
        <f aca="false">IF((H629=1),M629-D629,0)</f>
        <v>57.6818475557678</v>
      </c>
      <c r="O629" s="16" t="n">
        <v>612</v>
      </c>
      <c r="P629" s="41" t="n">
        <f aca="false">IF((Arterial=0),P628+1,P628)</f>
        <v>277</v>
      </c>
      <c r="Q629" s="41" t="n">
        <f aca="false">IF((Arterial=1),Q628+1,Q628)</f>
        <v>335</v>
      </c>
      <c r="R629" s="42" t="n">
        <f aca="false">IF((RESET=1),0,R629+K629)</f>
        <v>766.32996322826</v>
      </c>
      <c r="S629" s="14" t="e">
        <f aca="false">IF(RESET=1,0,S629+N629)</f>
        <v>#N/A</v>
      </c>
      <c r="T629" s="2" t="n">
        <f aca="false">IF(RESET=1,0,T629+IF(H629=0,1,0))</f>
        <v>36</v>
      </c>
      <c r="U629" s="2" t="e">
        <f aca="false">IF(RESET=1,0,U629+H629)</f>
        <v>#N/A</v>
      </c>
      <c r="V629" s="14" t="n">
        <f aca="false">R629/(T629+0.00001)</f>
        <v>21.286937509969</v>
      </c>
      <c r="W629" s="14" t="e">
        <f aca="false">S629/(U629+0.0001)</f>
        <v>#N/A</v>
      </c>
      <c r="X629" s="39" t="n">
        <f aca="false">IF(Informed=1,K629,0)</f>
        <v>0</v>
      </c>
      <c r="Y629" s="39" t="n">
        <f aca="false">IF(Informed=0,K629,0)</f>
        <v>0</v>
      </c>
      <c r="Z629" s="39" t="n">
        <f aca="false">IF(Informed=1,N629,0)</f>
        <v>57.6818475557678</v>
      </c>
      <c r="AA629" s="39" t="n">
        <f aca="false">IF(Informed=0,N629,0)</f>
        <v>0</v>
      </c>
      <c r="AB629" s="43" t="n">
        <f aca="false">IF(Arterial=0,IF(Informed=1,1,0),0)</f>
        <v>0</v>
      </c>
      <c r="AC629" s="43" t="n">
        <f aca="false">IF(Arterial=0,IF(Informed=0,1,0),0)</f>
        <v>0</v>
      </c>
      <c r="AD629" s="43" t="n">
        <f aca="false">IF(Arterial=1,IF(Informed=1,1,0),0)</f>
        <v>1</v>
      </c>
      <c r="AE629" s="43" t="n">
        <f aca="false">IF(Arterial=1,IF(Informed=0,1,0),0)</f>
        <v>0</v>
      </c>
      <c r="AF629" s="35" t="n">
        <f aca="false">IF(AB629=1,(X629-G$1030)^2,0)</f>
        <v>0</v>
      </c>
      <c r="AG629" s="35" t="n">
        <f aca="false">IF(AC629=1,(Y629-H$1030)^2,0)</f>
        <v>0</v>
      </c>
      <c r="AH629" s="35" t="n">
        <f aca="false">IF(AD629=1,(Z629-I$1030)^2,0)</f>
        <v>858.900997063201</v>
      </c>
      <c r="AI629" s="35" t="n">
        <f aca="false">IF(AE629=1,(AA629-J$1030)^2,0)</f>
        <v>0</v>
      </c>
      <c r="AJ629" s="37" t="n">
        <f aca="true">IF(RAND()&lt;$D$6,1,0)</f>
        <v>0</v>
      </c>
      <c r="AK629" s="14" t="n">
        <f aca="false">AK628+IF((AJ629=1),IF((H629=0),1,0),0)</f>
        <v>0</v>
      </c>
      <c r="AL629" s="14" t="n">
        <f aca="false">AL628+IF((AJ629=1),IF((H629=1),1,0),0)</f>
        <v>0</v>
      </c>
      <c r="AM629" s="37" t="n">
        <f aca="false">IF(AK629=0,9999,IF($H629=0,IF($AJ629&lt;1,AM628+1,0),AM628))</f>
        <v>9999</v>
      </c>
      <c r="AN629" s="37" t="n">
        <f aca="false">IF(AL629=0,9999,IF($H629=1,IF($AJ629&lt;1,AN628+1,0),AN628))</f>
        <v>9999</v>
      </c>
      <c r="AO629" s="37" t="n">
        <f aca="false">IF($A629-AM629&gt;0,1/(1+AM629),0)</f>
        <v>0</v>
      </c>
      <c r="AP629" s="37" t="n">
        <f aca="false">IF($A629-AN629&gt;0,1/(1+AN629),0)</f>
        <v>0</v>
      </c>
      <c r="AQ629" s="7" t="n">
        <f aca="false">IF(AK629=0,0,MAX(MIN(1,AO629^Power),0))</f>
        <v>0</v>
      </c>
      <c r="AR629" s="7" t="n">
        <f aca="false">IF(AL629=0,0,MAX(MIN(1,AP629^Power),0))</f>
        <v>0</v>
      </c>
      <c r="AS629" s="7" t="n">
        <f aca="false">IF($AJ629=1,IF($H629=0,K629,AS628),AS628)</f>
        <v>0</v>
      </c>
      <c r="AT629" s="7" t="n">
        <f aca="false">IF($AJ629=1,IF($H629=1,N629,AT628),AT628)</f>
        <v>0</v>
      </c>
    </row>
    <row r="630" customFormat="false" ht="13" hidden="false" customHeight="false" outlineLevel="0" collapsed="false">
      <c r="A630" s="16" t="n">
        <v>613</v>
      </c>
      <c r="B630" s="37" t="n">
        <f aca="true">IF(RAND()&lt;$D$8,1,0)</f>
        <v>0</v>
      </c>
      <c r="C630" s="20" t="n">
        <f aca="true">-LN(RAND())/$D$2</f>
        <v>0.470014498836838</v>
      </c>
      <c r="D630" s="38" t="n">
        <f aca="false">D629+C630</f>
        <v>641.655719917352</v>
      </c>
      <c r="E630" s="39" t="n">
        <f aca="false">MAX($E$3,AS629)</f>
        <v>0</v>
      </c>
      <c r="F630" s="39" t="n">
        <f aca="false">MAX($E$3,AT629)</f>
        <v>0</v>
      </c>
      <c r="G630" s="40" t="n">
        <v>0.5</v>
      </c>
      <c r="H630" s="38" t="n">
        <f aca="true">IF((B630=1),(IF((F630&lt;E630),1,(IF((F630=E630),(IF(RAND()&lt;G630,1,0)),0)))),(IF((RAND()&lt;G630),1,0)))</f>
        <v>0</v>
      </c>
      <c r="I630" s="38" t="n">
        <f aca="true">IF((H630=1),0,$D$3+$D$5*(RAND()-0.5))</f>
        <v>2.24631233163363</v>
      </c>
      <c r="J630" s="38" t="n">
        <f aca="false">I630+MAX(D630,J629)</f>
        <v>649.634832318696</v>
      </c>
      <c r="K630" s="38" t="n">
        <f aca="false">IF((H630=0),J630-D630,0)</f>
        <v>7.97911240134454</v>
      </c>
      <c r="L630" s="38" t="n">
        <f aca="true">IF(($H630=0),0,$D$4+$D$5*(RAND()-0.5))</f>
        <v>0</v>
      </c>
      <c r="M630" s="38" t="n">
        <f aca="false">L630+MAX(D630,M629)</f>
        <v>698.867552974283</v>
      </c>
      <c r="N630" s="38" t="n">
        <f aca="false">IF((H630=1),M630-D630,0)</f>
        <v>0</v>
      </c>
      <c r="O630" s="16" t="n">
        <v>613</v>
      </c>
      <c r="P630" s="41" t="n">
        <f aca="false">IF((Arterial=0),P629+1,P629)</f>
        <v>278</v>
      </c>
      <c r="Q630" s="41" t="n">
        <f aca="false">IF((Arterial=1),Q629+1,Q629)</f>
        <v>335</v>
      </c>
      <c r="R630" s="42" t="e">
        <f aca="false">IF((RESET=1),0,R630+K630)</f>
        <v>#N/A</v>
      </c>
      <c r="S630" s="14" t="n">
        <f aca="false">IF(RESET=1,0,S630+N630)</f>
        <v>609.788242661858</v>
      </c>
      <c r="T630" s="2" t="e">
        <f aca="false">IF(RESET=1,0,T630+IF(H630=0,1,0))</f>
        <v>#N/A</v>
      </c>
      <c r="U630" s="2" t="n">
        <f aca="false">IF(RESET=1,0,U630+H630)</f>
        <v>37</v>
      </c>
      <c r="V630" s="14" t="e">
        <f aca="false">R630/(T630+0.00001)</f>
        <v>#N/A</v>
      </c>
      <c r="W630" s="14" t="n">
        <f aca="false">S630/(U630+0.0001)</f>
        <v>16.4807187727022</v>
      </c>
      <c r="X630" s="39" t="n">
        <f aca="false">IF(Informed=1,K630,0)</f>
        <v>0</v>
      </c>
      <c r="Y630" s="39" t="n">
        <f aca="false">IF(Informed=0,K630,0)</f>
        <v>7.97911240134454</v>
      </c>
      <c r="Z630" s="39" t="n">
        <f aca="false">IF(Informed=1,N630,0)</f>
        <v>0</v>
      </c>
      <c r="AA630" s="39" t="n">
        <f aca="false">IF(Informed=0,N630,0)</f>
        <v>0</v>
      </c>
      <c r="AB630" s="43" t="n">
        <f aca="false">IF(Arterial=0,IF(Informed=1,1,0),0)</f>
        <v>0</v>
      </c>
      <c r="AC630" s="43" t="n">
        <f aca="false">IF(Arterial=0,IF(Informed=0,1,0),0)</f>
        <v>1</v>
      </c>
      <c r="AD630" s="43" t="n">
        <f aca="false">IF(Arterial=1,IF(Informed=1,1,0),0)</f>
        <v>0</v>
      </c>
      <c r="AE630" s="43" t="n">
        <f aca="false">IF(Arterial=1,IF(Informed=0,1,0),0)</f>
        <v>0</v>
      </c>
      <c r="AF630" s="35" t="n">
        <f aca="false">IF(AB630=1,(X630-G$1030)^2,0)</f>
        <v>0</v>
      </c>
      <c r="AG630" s="35" t="n">
        <f aca="false">IF(AC630=1,(Y630-H$1030)^2,0)</f>
        <v>8.67109818984831</v>
      </c>
      <c r="AH630" s="35" t="n">
        <f aca="false">IF(AD630=1,(Z630-I$1030)^2,0)</f>
        <v>0</v>
      </c>
      <c r="AI630" s="35" t="n">
        <f aca="false">IF(AE630=1,(AA630-J$1030)^2,0)</f>
        <v>0</v>
      </c>
      <c r="AJ630" s="37" t="n">
        <f aca="true">IF(RAND()&lt;$D$6,1,0)</f>
        <v>0</v>
      </c>
      <c r="AK630" s="14" t="n">
        <f aca="false">AK629+IF((AJ630=1),IF((H630=0),1,0),0)</f>
        <v>0</v>
      </c>
      <c r="AL630" s="14" t="n">
        <f aca="false">AL629+IF((AJ630=1),IF((H630=1),1,0),0)</f>
        <v>0</v>
      </c>
      <c r="AM630" s="37" t="n">
        <f aca="false">IF(AK630=0,9999,IF($H630=0,IF($AJ630&lt;1,AM629+1,0),AM629))</f>
        <v>9999</v>
      </c>
      <c r="AN630" s="37" t="n">
        <f aca="false">IF(AL630=0,9999,IF($H630=1,IF($AJ630&lt;1,AN629+1,0),AN629))</f>
        <v>9999</v>
      </c>
      <c r="AO630" s="37" t="n">
        <f aca="false">IF($A630-AM630&gt;0,1/(1+AM630),0)</f>
        <v>0</v>
      </c>
      <c r="AP630" s="37" t="n">
        <f aca="false">IF($A630-AN630&gt;0,1/(1+AN630),0)</f>
        <v>0</v>
      </c>
      <c r="AQ630" s="7" t="n">
        <f aca="false">IF(AK630=0,0,MAX(MIN(1,AO630^Power),0))</f>
        <v>0</v>
      </c>
      <c r="AR630" s="7" t="n">
        <f aca="false">IF(AL630=0,0,MAX(MIN(1,AP630^Power),0))</f>
        <v>0</v>
      </c>
      <c r="AS630" s="7" t="n">
        <f aca="false">IF($AJ630=1,IF($H630=0,K630,AS629),AS629)</f>
        <v>0</v>
      </c>
      <c r="AT630" s="7" t="n">
        <f aca="false">IF($AJ630=1,IF($H630=1,N630,AT629),AT629)</f>
        <v>0</v>
      </c>
    </row>
    <row r="631" customFormat="false" ht="13" hidden="false" customHeight="false" outlineLevel="0" collapsed="false">
      <c r="A631" s="16" t="n">
        <v>614</v>
      </c>
      <c r="B631" s="37" t="n">
        <f aca="true">IF(RAND()&lt;$D$8,1,0)</f>
        <v>1</v>
      </c>
      <c r="C631" s="20" t="n">
        <f aca="true">-LN(RAND())/$D$2</f>
        <v>0.0383158399628847</v>
      </c>
      <c r="D631" s="38" t="n">
        <f aca="false">D630+C631</f>
        <v>641.694035757315</v>
      </c>
      <c r="E631" s="39" t="n">
        <f aca="false">MAX($E$3,AS630)</f>
        <v>0</v>
      </c>
      <c r="F631" s="39" t="n">
        <f aca="false">MAX($E$3,AT630)</f>
        <v>0</v>
      </c>
      <c r="G631" s="40" t="n">
        <v>0.5</v>
      </c>
      <c r="H631" s="38" t="n">
        <f aca="true">IF((B631=1),(IF((F631&lt;E631),1,(IF((F631=E631),(IF(RAND()&lt;G631,1,0)),0)))),(IF((RAND()&lt;G631),1,0)))</f>
        <v>1</v>
      </c>
      <c r="I631" s="38" t="n">
        <f aca="true">IF((H631=1),0,$D$3+$D$5*(RAND()-0.5))</f>
        <v>0</v>
      </c>
      <c r="J631" s="38" t="n">
        <f aca="false">I631+MAX(D631,J630)</f>
        <v>649.634832318696</v>
      </c>
      <c r="K631" s="38" t="n">
        <f aca="false">IF((H631=0),J631-D631,0)</f>
        <v>0</v>
      </c>
      <c r="L631" s="38" t="n">
        <f aca="true">IF(($H631=0),0,$D$4+$D$5*(RAND()-0.5))</f>
        <v>2.15708921631164</v>
      </c>
      <c r="M631" s="38" t="n">
        <f aca="false">L631+MAX(D631,M630)</f>
        <v>701.024642190594</v>
      </c>
      <c r="N631" s="38" t="n">
        <f aca="false">IF((H631=1),M631-D631,0)</f>
        <v>59.3306064332797</v>
      </c>
      <c r="O631" s="16" t="n">
        <v>614</v>
      </c>
      <c r="P631" s="41" t="n">
        <f aca="false">IF((Arterial=0),P630+1,P630)</f>
        <v>278</v>
      </c>
      <c r="Q631" s="41" t="n">
        <f aca="false">IF((Arterial=1),Q630+1,Q630)</f>
        <v>336</v>
      </c>
      <c r="R631" s="42" t="n">
        <f aca="false">IF((RESET=1),0,R631+K631)</f>
        <v>1075.84805044346</v>
      </c>
      <c r="S631" s="14" t="e">
        <f aca="false">IF(RESET=1,0,S631+N631)</f>
        <v>#N/A</v>
      </c>
      <c r="T631" s="2" t="n">
        <f aca="false">IF(RESET=1,0,T631+IF(H631=0,1,0))</f>
        <v>51</v>
      </c>
      <c r="U631" s="2" t="e">
        <f aca="false">IF(RESET=1,0,U631+H631)</f>
        <v>#N/A</v>
      </c>
      <c r="V631" s="14" t="n">
        <f aca="false">R631/(T631+0.00001)</f>
        <v>21.0950556763314</v>
      </c>
      <c r="W631" s="14" t="e">
        <f aca="false">S631/(U631+0.0001)</f>
        <v>#N/A</v>
      </c>
      <c r="X631" s="39" t="n">
        <f aca="false">IF(Informed=1,K631,0)</f>
        <v>0</v>
      </c>
      <c r="Y631" s="39" t="n">
        <f aca="false">IF(Informed=0,K631,0)</f>
        <v>0</v>
      </c>
      <c r="Z631" s="39" t="n">
        <f aca="false">IF(Informed=1,N631,0)</f>
        <v>59.3306064332797</v>
      </c>
      <c r="AA631" s="39" t="n">
        <f aca="false">IF(Informed=0,N631,0)</f>
        <v>0</v>
      </c>
      <c r="AB631" s="43" t="n">
        <f aca="false">IF(Arterial=0,IF(Informed=1,1,0),0)</f>
        <v>0</v>
      </c>
      <c r="AC631" s="43" t="n">
        <f aca="false">IF(Arterial=0,IF(Informed=0,1,0),0)</f>
        <v>0</v>
      </c>
      <c r="AD631" s="43" t="n">
        <f aca="false">IF(Arterial=1,IF(Informed=1,1,0),0)</f>
        <v>1</v>
      </c>
      <c r="AE631" s="43" t="n">
        <f aca="false">IF(Arterial=1,IF(Informed=0,1,0),0)</f>
        <v>0</v>
      </c>
      <c r="AF631" s="35" t="n">
        <f aca="false">IF(AB631=1,(X631-G$1030)^2,0)</f>
        <v>0</v>
      </c>
      <c r="AG631" s="35" t="n">
        <f aca="false">IF(AC631=1,(Y631-H$1030)^2,0)</f>
        <v>0</v>
      </c>
      <c r="AH631" s="35" t="n">
        <f aca="false">IF(AD631=1,(Z631-I$1030)^2,0)</f>
        <v>958.259797830534</v>
      </c>
      <c r="AI631" s="35" t="n">
        <f aca="false">IF(AE631=1,(AA631-J$1030)^2,0)</f>
        <v>0</v>
      </c>
      <c r="AJ631" s="37" t="n">
        <f aca="true">IF(RAND()&lt;$D$6,1,0)</f>
        <v>0</v>
      </c>
      <c r="AK631" s="14" t="n">
        <f aca="false">AK630+IF((AJ631=1),IF((H631=0),1,0),0)</f>
        <v>0</v>
      </c>
      <c r="AL631" s="14" t="n">
        <f aca="false">AL630+IF((AJ631=1),IF((H631=1),1,0),0)</f>
        <v>0</v>
      </c>
      <c r="AM631" s="37" t="n">
        <f aca="false">IF(AK631=0,9999,IF($H631=0,IF($AJ631&lt;1,AM630+1,0),AM630))</f>
        <v>9999</v>
      </c>
      <c r="AN631" s="37" t="n">
        <f aca="false">IF(AL631=0,9999,IF($H631=1,IF($AJ631&lt;1,AN630+1,0),AN630))</f>
        <v>9999</v>
      </c>
      <c r="AO631" s="37" t="n">
        <f aca="false">IF($A631-AM631&gt;0,1/(1+AM631),0)</f>
        <v>0</v>
      </c>
      <c r="AP631" s="37" t="n">
        <f aca="false">IF($A631-AN631&gt;0,1/(1+AN631),0)</f>
        <v>0</v>
      </c>
      <c r="AQ631" s="7" t="n">
        <f aca="false">IF(AK631=0,0,MAX(MIN(1,AO631^Power),0))</f>
        <v>0</v>
      </c>
      <c r="AR631" s="7" t="n">
        <f aca="false">IF(AL631=0,0,MAX(MIN(1,AP631^Power),0))</f>
        <v>0</v>
      </c>
      <c r="AS631" s="7" t="n">
        <f aca="false">IF($AJ631=1,IF($H631=0,K631,AS630),AS630)</f>
        <v>0</v>
      </c>
      <c r="AT631" s="7" t="n">
        <f aca="false">IF($AJ631=1,IF($H631=1,N631,AT630),AT630)</f>
        <v>0</v>
      </c>
    </row>
    <row r="632" customFormat="false" ht="13" hidden="false" customHeight="false" outlineLevel="0" collapsed="false">
      <c r="A632" s="16" t="n">
        <v>615</v>
      </c>
      <c r="B632" s="37" t="n">
        <f aca="true">IF(RAND()&lt;$D$8,1,0)</f>
        <v>1</v>
      </c>
      <c r="C632" s="20" t="n">
        <f aca="true">-LN(RAND())/$D$2</f>
        <v>0.481484084205641</v>
      </c>
      <c r="D632" s="38" t="n">
        <f aca="false">D631+C632</f>
        <v>642.17551984152</v>
      </c>
      <c r="E632" s="39" t="n">
        <f aca="false">MAX($E$3,AS631)</f>
        <v>0</v>
      </c>
      <c r="F632" s="39" t="n">
        <f aca="false">MAX($E$3,AT631)</f>
        <v>0</v>
      </c>
      <c r="G632" s="40" t="n">
        <v>0.5</v>
      </c>
      <c r="H632" s="38" t="n">
        <f aca="true">IF((B632=1),(IF((F632&lt;E632),1,(IF((F632=E632),(IF(RAND()&lt;G632,1,0)),0)))),(IF((RAND()&lt;G632),1,0)))</f>
        <v>0</v>
      </c>
      <c r="I632" s="38" t="n">
        <f aca="true">IF((H632=1),0,$D$3+$D$5*(RAND()-0.5))</f>
        <v>2.20713593416903</v>
      </c>
      <c r="J632" s="38" t="n">
        <f aca="false">I632+MAX(D632,J631)</f>
        <v>651.841968252865</v>
      </c>
      <c r="K632" s="38" t="n">
        <f aca="false">IF((H632=0),J632-D632,0)</f>
        <v>9.66644841134507</v>
      </c>
      <c r="L632" s="38" t="n">
        <f aca="true">IF(($H632=0),0,$D$4+$D$5*(RAND()-0.5))</f>
        <v>0</v>
      </c>
      <c r="M632" s="38" t="n">
        <f aca="false">L632+MAX(D632,M631)</f>
        <v>701.024642190594</v>
      </c>
      <c r="N632" s="38" t="n">
        <f aca="false">IF((H632=1),M632-D632,0)</f>
        <v>0</v>
      </c>
      <c r="O632" s="16" t="n">
        <v>615</v>
      </c>
      <c r="P632" s="41" t="n">
        <f aca="false">IF((Arterial=0),P631+1,P631)</f>
        <v>279</v>
      </c>
      <c r="Q632" s="41" t="n">
        <f aca="false">IF((Arterial=1),Q631+1,Q631)</f>
        <v>336</v>
      </c>
      <c r="R632" s="42" t="e">
        <f aca="false">IF((RESET=1),0,R632+K632)</f>
        <v>#N/A</v>
      </c>
      <c r="S632" s="14" t="n">
        <f aca="false">IF(RESET=1,0,S632+N632)</f>
        <v>422.696098970147</v>
      </c>
      <c r="T632" s="2" t="e">
        <f aca="false">IF(RESET=1,0,T632+IF(H632=0,1,0))</f>
        <v>#N/A</v>
      </c>
      <c r="U632" s="2" t="n">
        <f aca="false">IF(RESET=1,0,U632+H632)</f>
        <v>30</v>
      </c>
      <c r="V632" s="14" t="e">
        <f aca="false">R632/(T632+0.00001)</f>
        <v>#N/A</v>
      </c>
      <c r="W632" s="14" t="n">
        <f aca="false">S632/(U632+0.0001)</f>
        <v>14.0898229995949</v>
      </c>
      <c r="X632" s="39" t="n">
        <f aca="false">IF(Informed=1,K632,0)</f>
        <v>9.66644841134507</v>
      </c>
      <c r="Y632" s="39" t="n">
        <f aca="false">IF(Informed=0,K632,0)</f>
        <v>0</v>
      </c>
      <c r="Z632" s="39" t="n">
        <f aca="false">IF(Informed=1,N632,0)</f>
        <v>0</v>
      </c>
      <c r="AA632" s="39" t="n">
        <f aca="false">IF(Informed=0,N632,0)</f>
        <v>0</v>
      </c>
      <c r="AB632" s="43" t="n">
        <f aca="false">IF(Arterial=0,IF(Informed=1,1,0),0)</f>
        <v>1</v>
      </c>
      <c r="AC632" s="43" t="n">
        <f aca="false">IF(Arterial=0,IF(Informed=0,1,0),0)</f>
        <v>0</v>
      </c>
      <c r="AD632" s="43" t="n">
        <f aca="false">IF(Arterial=1,IF(Informed=1,1,0),0)</f>
        <v>0</v>
      </c>
      <c r="AE632" s="43" t="n">
        <f aca="false">IF(Arterial=1,IF(Informed=0,1,0),0)</f>
        <v>0</v>
      </c>
      <c r="AF632" s="35" t="n">
        <f aca="false">IF(AB632=1,(X632-G$1030)^2,0)</f>
        <v>1.0883284791056</v>
      </c>
      <c r="AG632" s="35" t="n">
        <f aca="false">IF(AC632=1,(Y632-H$1030)^2,0)</f>
        <v>0</v>
      </c>
      <c r="AH632" s="35" t="n">
        <f aca="false">IF(AD632=1,(Z632-I$1030)^2,0)</f>
        <v>0</v>
      </c>
      <c r="AI632" s="35" t="n">
        <f aca="false">IF(AE632=1,(AA632-J$1030)^2,0)</f>
        <v>0</v>
      </c>
      <c r="AJ632" s="37" t="n">
        <f aca="true">IF(RAND()&lt;$D$6,1,0)</f>
        <v>0</v>
      </c>
      <c r="AK632" s="14" t="n">
        <f aca="false">AK631+IF((AJ632=1),IF((H632=0),1,0),0)</f>
        <v>0</v>
      </c>
      <c r="AL632" s="14" t="n">
        <f aca="false">AL631+IF((AJ632=1),IF((H632=1),1,0),0)</f>
        <v>0</v>
      </c>
      <c r="AM632" s="37" t="n">
        <f aca="false">IF(AK632=0,9999,IF($H632=0,IF($AJ632&lt;1,AM631+1,0),AM631))</f>
        <v>9999</v>
      </c>
      <c r="AN632" s="37" t="n">
        <f aca="false">IF(AL632=0,9999,IF($H632=1,IF($AJ632&lt;1,AN631+1,0),AN631))</f>
        <v>9999</v>
      </c>
      <c r="AO632" s="37" t="n">
        <f aca="false">IF($A632-AM632&gt;0,1/(1+AM632),0)</f>
        <v>0</v>
      </c>
      <c r="AP632" s="37" t="n">
        <f aca="false">IF($A632-AN632&gt;0,1/(1+AN632),0)</f>
        <v>0</v>
      </c>
      <c r="AQ632" s="7" t="n">
        <f aca="false">IF(AK632=0,0,MAX(MIN(1,AO632^Power),0))</f>
        <v>0</v>
      </c>
      <c r="AR632" s="7" t="n">
        <f aca="false">IF(AL632=0,0,MAX(MIN(1,AP632^Power),0))</f>
        <v>0</v>
      </c>
      <c r="AS632" s="7" t="n">
        <f aca="false">IF($AJ632=1,IF($H632=0,K632,AS631),AS631)</f>
        <v>0</v>
      </c>
      <c r="AT632" s="7" t="n">
        <f aca="false">IF($AJ632=1,IF($H632=1,N632,AT631),AT631)</f>
        <v>0</v>
      </c>
    </row>
    <row r="633" customFormat="false" ht="13" hidden="false" customHeight="false" outlineLevel="0" collapsed="false">
      <c r="A633" s="16" t="n">
        <v>616</v>
      </c>
      <c r="B633" s="37" t="n">
        <f aca="true">IF(RAND()&lt;$D$8,1,0)</f>
        <v>0</v>
      </c>
      <c r="C633" s="20" t="n">
        <f aca="true">-LN(RAND())/$D$2</f>
        <v>0.192509065303986</v>
      </c>
      <c r="D633" s="38" t="n">
        <f aca="false">D632+C633</f>
        <v>642.368028906824</v>
      </c>
      <c r="E633" s="39" t="n">
        <f aca="false">MAX($E$3,AS632)</f>
        <v>0</v>
      </c>
      <c r="F633" s="39" t="n">
        <f aca="false">MAX($E$3,AT632)</f>
        <v>0</v>
      </c>
      <c r="G633" s="40" t="n">
        <v>0.5</v>
      </c>
      <c r="H633" s="38" t="n">
        <f aca="true">IF((B633=1),(IF((F633&lt;E633),1,(IF((F633=E633),(IF(RAND()&lt;G633,1,0)),0)))),(IF((RAND()&lt;G633),1,0)))</f>
        <v>0</v>
      </c>
      <c r="I633" s="38" t="n">
        <f aca="true">IF((H633=1),0,$D$3+$D$5*(RAND()-0.5))</f>
        <v>2.12541151954971</v>
      </c>
      <c r="J633" s="38" t="n">
        <f aca="false">I633+MAX(D633,J632)</f>
        <v>653.967379772415</v>
      </c>
      <c r="K633" s="38" t="n">
        <f aca="false">IF((H633=0),J633-D633,0)</f>
        <v>11.5993508655909</v>
      </c>
      <c r="L633" s="38" t="n">
        <f aca="true">IF(($H633=0),0,$D$4+$D$5*(RAND()-0.5))</f>
        <v>0</v>
      </c>
      <c r="M633" s="38" t="n">
        <f aca="false">L633+MAX(D633,M632)</f>
        <v>701.024642190594</v>
      </c>
      <c r="N633" s="38" t="n">
        <f aca="false">IF((H633=1),M633-D633,0)</f>
        <v>0</v>
      </c>
      <c r="O633" s="16" t="n">
        <v>616</v>
      </c>
      <c r="P633" s="41" t="n">
        <f aca="false">IF((Arterial=0),P632+1,P632)</f>
        <v>280</v>
      </c>
      <c r="Q633" s="41" t="n">
        <f aca="false">IF((Arterial=1),Q632+1,Q632)</f>
        <v>336</v>
      </c>
      <c r="R633" s="42" t="e">
        <f aca="false">IF((RESET=1),0,R633+K633)</f>
        <v>#N/A</v>
      </c>
      <c r="S633" s="14" t="n">
        <f aca="false">IF(RESET=1,0,S633+N633)</f>
        <v>777.908485412377</v>
      </c>
      <c r="T633" s="2" t="e">
        <f aca="false">IF(RESET=1,0,T633+IF(H633=0,1,0))</f>
        <v>#N/A</v>
      </c>
      <c r="U633" s="2" t="n">
        <f aca="false">IF(RESET=1,0,U633+H633)</f>
        <v>46</v>
      </c>
      <c r="V633" s="14" t="e">
        <f aca="false">R633/(T633+0.00001)</f>
        <v>#N/A</v>
      </c>
      <c r="W633" s="14" t="n">
        <f aca="false">S633/(U633+0.0001)</f>
        <v>16.9110172676228</v>
      </c>
      <c r="X633" s="39" t="n">
        <f aca="false">IF(Informed=1,K633,0)</f>
        <v>0</v>
      </c>
      <c r="Y633" s="39" t="n">
        <f aca="false">IF(Informed=0,K633,0)</f>
        <v>11.5993508655909</v>
      </c>
      <c r="Z633" s="39" t="n">
        <f aca="false">IF(Informed=1,N633,0)</f>
        <v>0</v>
      </c>
      <c r="AA633" s="39" t="n">
        <f aca="false">IF(Informed=0,N633,0)</f>
        <v>0</v>
      </c>
      <c r="AB633" s="43" t="n">
        <f aca="false">IF(Arterial=0,IF(Informed=1,1,0),0)</f>
        <v>0</v>
      </c>
      <c r="AC633" s="43" t="n">
        <f aca="false">IF(Arterial=0,IF(Informed=0,1,0),0)</f>
        <v>1</v>
      </c>
      <c r="AD633" s="43" t="n">
        <f aca="false">IF(Arterial=1,IF(Informed=1,1,0),0)</f>
        <v>0</v>
      </c>
      <c r="AE633" s="43" t="n">
        <f aca="false">IF(Arterial=1,IF(Informed=0,1,0),0)</f>
        <v>0</v>
      </c>
      <c r="AF633" s="35" t="n">
        <f aca="false">IF(AB633=1,(X633-G$1030)^2,0)</f>
        <v>0</v>
      </c>
      <c r="AG633" s="35" t="n">
        <f aca="false">IF(AC633=1,(Y633-H$1030)^2,0)</f>
        <v>0.45638889999599</v>
      </c>
      <c r="AH633" s="35" t="n">
        <f aca="false">IF(AD633=1,(Z633-I$1030)^2,0)</f>
        <v>0</v>
      </c>
      <c r="AI633" s="35" t="n">
        <f aca="false">IF(AE633=1,(AA633-J$1030)^2,0)</f>
        <v>0</v>
      </c>
      <c r="AJ633" s="37" t="n">
        <f aca="true">IF(RAND()&lt;$D$6,1,0)</f>
        <v>0</v>
      </c>
      <c r="AK633" s="14" t="n">
        <f aca="false">AK632+IF((AJ633=1),IF((H633=0),1,0),0)</f>
        <v>0</v>
      </c>
      <c r="AL633" s="14" t="n">
        <f aca="false">AL632+IF((AJ633=1),IF((H633=1),1,0),0)</f>
        <v>0</v>
      </c>
      <c r="AM633" s="37" t="n">
        <f aca="false">IF(AK633=0,9999,IF($H633=0,IF($AJ633&lt;1,AM632+1,0),AM632))</f>
        <v>9999</v>
      </c>
      <c r="AN633" s="37" t="n">
        <f aca="false">IF(AL633=0,9999,IF($H633=1,IF($AJ633&lt;1,AN632+1,0),AN632))</f>
        <v>9999</v>
      </c>
      <c r="AO633" s="37" t="n">
        <f aca="false">IF($A633-AM633&gt;0,1/(1+AM633),0)</f>
        <v>0</v>
      </c>
      <c r="AP633" s="37" t="n">
        <f aca="false">IF($A633-AN633&gt;0,1/(1+AN633),0)</f>
        <v>0</v>
      </c>
      <c r="AQ633" s="7" t="n">
        <f aca="false">IF(AK633=0,0,MAX(MIN(1,AO633^Power),0))</f>
        <v>0</v>
      </c>
      <c r="AR633" s="7" t="n">
        <f aca="false">IF(AL633=0,0,MAX(MIN(1,AP633^Power),0))</f>
        <v>0</v>
      </c>
      <c r="AS633" s="7" t="n">
        <f aca="false">IF($AJ633=1,IF($H633=0,K633,AS632),AS632)</f>
        <v>0</v>
      </c>
      <c r="AT633" s="7" t="n">
        <f aca="false">IF($AJ633=1,IF($H633=1,N633,AT632),AT632)</f>
        <v>0</v>
      </c>
    </row>
    <row r="634" customFormat="false" ht="13" hidden="false" customHeight="false" outlineLevel="0" collapsed="false">
      <c r="A634" s="16" t="n">
        <v>617</v>
      </c>
      <c r="B634" s="37" t="n">
        <f aca="true">IF(RAND()&lt;$D$8,1,0)</f>
        <v>0</v>
      </c>
      <c r="C634" s="20" t="n">
        <f aca="true">-LN(RAND())/$D$2</f>
        <v>0.0782581146253065</v>
      </c>
      <c r="D634" s="38" t="n">
        <f aca="false">D633+C634</f>
        <v>642.44628702145</v>
      </c>
      <c r="E634" s="39" t="n">
        <f aca="false">MAX($E$3,AS633)</f>
        <v>0</v>
      </c>
      <c r="F634" s="39" t="n">
        <f aca="false">MAX($E$3,AT633)</f>
        <v>0</v>
      </c>
      <c r="G634" s="40" t="n">
        <v>0.5</v>
      </c>
      <c r="H634" s="38" t="n">
        <f aca="true">IF((B634=1),(IF((F634&lt;E634),1,(IF((F634=E634),(IF(RAND()&lt;G634,1,0)),0)))),(IF((RAND()&lt;G634),1,0)))</f>
        <v>0</v>
      </c>
      <c r="I634" s="38" t="n">
        <f aca="true">IF((H634=1),0,$D$3+$D$5*(RAND()-0.5))</f>
        <v>1.95571367538982</v>
      </c>
      <c r="J634" s="38" t="n">
        <f aca="false">I634+MAX(D634,J633)</f>
        <v>655.923093447805</v>
      </c>
      <c r="K634" s="38" t="n">
        <f aca="false">IF((H634=0),J634-D634,0)</f>
        <v>13.4768064263553</v>
      </c>
      <c r="L634" s="38" t="n">
        <f aca="true">IF(($H634=0),0,$D$4+$D$5*(RAND()-0.5))</f>
        <v>0</v>
      </c>
      <c r="M634" s="38" t="n">
        <f aca="false">L634+MAX(D634,M633)</f>
        <v>701.024642190594</v>
      </c>
      <c r="N634" s="38" t="n">
        <f aca="false">IF((H634=1),M634-D634,0)</f>
        <v>0</v>
      </c>
      <c r="O634" s="16" t="n">
        <v>617</v>
      </c>
      <c r="P634" s="41" t="n">
        <f aca="false">IF((Arterial=0),P633+1,P633)</f>
        <v>281</v>
      </c>
      <c r="Q634" s="41" t="n">
        <f aca="false">IF((Arterial=1),Q633+1,Q633)</f>
        <v>336</v>
      </c>
      <c r="R634" s="42" t="e">
        <f aca="false">IF((RESET=1),0,R634+K634)</f>
        <v>#N/A</v>
      </c>
      <c r="S634" s="14" t="n">
        <f aca="false">IF(RESET=1,0,S634+N634)</f>
        <v>678.173153151035</v>
      </c>
      <c r="T634" s="2" t="e">
        <f aca="false">IF(RESET=1,0,T634+IF(H634=0,1,0))</f>
        <v>#N/A</v>
      </c>
      <c r="U634" s="2" t="n">
        <f aca="false">IF(RESET=1,0,U634+H634)</f>
        <v>48</v>
      </c>
      <c r="V634" s="14" t="e">
        <f aca="false">R634/(T634+0.00001)</f>
        <v>#N/A</v>
      </c>
      <c r="W634" s="14" t="n">
        <f aca="false">S634/(U634+0.0001)</f>
        <v>14.1285779227759</v>
      </c>
      <c r="X634" s="39" t="n">
        <f aca="false">IF(Informed=1,K634,0)</f>
        <v>0</v>
      </c>
      <c r="Y634" s="39" t="n">
        <f aca="false">IF(Informed=0,K634,0)</f>
        <v>13.4768064263553</v>
      </c>
      <c r="Z634" s="39" t="n">
        <f aca="false">IF(Informed=1,N634,0)</f>
        <v>0</v>
      </c>
      <c r="AA634" s="39" t="n">
        <f aca="false">IF(Informed=0,N634,0)</f>
        <v>0</v>
      </c>
      <c r="AB634" s="43" t="n">
        <f aca="false">IF(Arterial=0,IF(Informed=1,1,0),0)</f>
        <v>0</v>
      </c>
      <c r="AC634" s="43" t="n">
        <f aca="false">IF(Arterial=0,IF(Informed=0,1,0),0)</f>
        <v>1</v>
      </c>
      <c r="AD634" s="43" t="n">
        <f aca="false">IF(Arterial=1,IF(Informed=1,1,0),0)</f>
        <v>0</v>
      </c>
      <c r="AE634" s="43" t="n">
        <f aca="false">IF(Arterial=1,IF(Informed=0,1,0),0)</f>
        <v>0</v>
      </c>
      <c r="AF634" s="35" t="n">
        <f aca="false">IF(AB634=1,(X634-G$1030)^2,0)</f>
        <v>0</v>
      </c>
      <c r="AG634" s="35" t="n">
        <f aca="false">IF(AC634=1,(Y634-H$1030)^2,0)</f>
        <v>6.51791712324298</v>
      </c>
      <c r="AH634" s="35" t="n">
        <f aca="false">IF(AD634=1,(Z634-I$1030)^2,0)</f>
        <v>0</v>
      </c>
      <c r="AI634" s="35" t="n">
        <f aca="false">IF(AE634=1,(AA634-J$1030)^2,0)</f>
        <v>0</v>
      </c>
      <c r="AJ634" s="37" t="n">
        <f aca="true">IF(RAND()&lt;$D$6,1,0)</f>
        <v>0</v>
      </c>
      <c r="AK634" s="14" t="n">
        <f aca="false">AK633+IF((AJ634=1),IF((H634=0),1,0),0)</f>
        <v>0</v>
      </c>
      <c r="AL634" s="14" t="n">
        <f aca="false">AL633+IF((AJ634=1),IF((H634=1),1,0),0)</f>
        <v>0</v>
      </c>
      <c r="AM634" s="37" t="n">
        <f aca="false">IF(AK634=0,9999,IF($H634=0,IF($AJ634&lt;1,AM633+1,0),AM633))</f>
        <v>9999</v>
      </c>
      <c r="AN634" s="37" t="n">
        <f aca="false">IF(AL634=0,9999,IF($H634=1,IF($AJ634&lt;1,AN633+1,0),AN633))</f>
        <v>9999</v>
      </c>
      <c r="AO634" s="37" t="n">
        <f aca="false">IF($A634-AM634&gt;0,1/(1+AM634),0)</f>
        <v>0</v>
      </c>
      <c r="AP634" s="37" t="n">
        <f aca="false">IF($A634-AN634&gt;0,1/(1+AN634),0)</f>
        <v>0</v>
      </c>
      <c r="AQ634" s="7" t="n">
        <f aca="false">IF(AK634=0,0,MAX(MIN(1,AO634^Power),0))</f>
        <v>0</v>
      </c>
      <c r="AR634" s="7" t="n">
        <f aca="false">IF(AL634=0,0,MAX(MIN(1,AP634^Power),0))</f>
        <v>0</v>
      </c>
      <c r="AS634" s="7" t="n">
        <f aca="false">IF($AJ634=1,IF($H634=0,K634,AS633),AS633)</f>
        <v>0</v>
      </c>
      <c r="AT634" s="7" t="n">
        <f aca="false">IF($AJ634=1,IF($H634=1,N634,AT633),AT633)</f>
        <v>0</v>
      </c>
    </row>
    <row r="635" customFormat="false" ht="13" hidden="false" customHeight="false" outlineLevel="0" collapsed="false">
      <c r="A635" s="16" t="n">
        <v>618</v>
      </c>
      <c r="B635" s="37" t="n">
        <f aca="true">IF(RAND()&lt;$D$8,1,0)</f>
        <v>1</v>
      </c>
      <c r="C635" s="20" t="n">
        <f aca="true">-LN(RAND())/$D$2</f>
        <v>0.121258923656196</v>
      </c>
      <c r="D635" s="38" t="n">
        <f aca="false">D634+C635</f>
        <v>642.567545945106</v>
      </c>
      <c r="E635" s="39" t="n">
        <f aca="false">MAX($E$3,AS634)</f>
        <v>0</v>
      </c>
      <c r="F635" s="39" t="n">
        <f aca="false">MAX($E$3,AT634)</f>
        <v>0</v>
      </c>
      <c r="G635" s="40" t="n">
        <v>0.5</v>
      </c>
      <c r="H635" s="38" t="n">
        <f aca="true">IF((B635=1),(IF((F635&lt;E635),1,(IF((F635=E635),(IF(RAND()&lt;G635,1,0)),0)))),(IF((RAND()&lt;G635),1,0)))</f>
        <v>1</v>
      </c>
      <c r="I635" s="38" t="n">
        <f aca="true">IF((H635=1),0,$D$3+$D$5*(RAND()-0.5))</f>
        <v>0</v>
      </c>
      <c r="J635" s="38" t="n">
        <f aca="false">I635+MAX(D635,J634)</f>
        <v>655.923093447805</v>
      </c>
      <c r="K635" s="38" t="n">
        <f aca="false">IF((H635=0),J635-D635,0)</f>
        <v>0</v>
      </c>
      <c r="L635" s="38" t="n">
        <f aca="true">IF(($H635=0),0,$D$4+$D$5*(RAND()-0.5))</f>
        <v>1.7757076930802</v>
      </c>
      <c r="M635" s="38" t="n">
        <f aca="false">L635+MAX(D635,M634)</f>
        <v>702.800349883675</v>
      </c>
      <c r="N635" s="38" t="n">
        <f aca="false">IF((H635=1),M635-D635,0)</f>
        <v>60.2328039385689</v>
      </c>
      <c r="O635" s="16" t="n">
        <v>618</v>
      </c>
      <c r="P635" s="41" t="n">
        <f aca="false">IF((Arterial=0),P634+1,P634)</f>
        <v>281</v>
      </c>
      <c r="Q635" s="41" t="n">
        <f aca="false">IF((Arterial=1),Q634+1,Q634)</f>
        <v>337</v>
      </c>
      <c r="R635" s="42" t="n">
        <f aca="false">IF((RESET=1),0,R635+K635)</f>
        <v>783.952040862507</v>
      </c>
      <c r="S635" s="14" t="e">
        <f aca="false">IF(RESET=1,0,S635+N635)</f>
        <v>#N/A</v>
      </c>
      <c r="T635" s="2" t="n">
        <f aca="false">IF(RESET=1,0,T635+IF(H635=0,1,0))</f>
        <v>37</v>
      </c>
      <c r="U635" s="2" t="e">
        <f aca="false">IF(RESET=1,0,U635+H635)</f>
        <v>#N/A</v>
      </c>
      <c r="V635" s="14" t="n">
        <f aca="false">R635/(T635+0.00001)</f>
        <v>21.1878872698279</v>
      </c>
      <c r="W635" s="14" t="e">
        <f aca="false">S635/(U635+0.0001)</f>
        <v>#N/A</v>
      </c>
      <c r="X635" s="39" t="n">
        <f aca="false">IF(Informed=1,K635,0)</f>
        <v>0</v>
      </c>
      <c r="Y635" s="39" t="n">
        <f aca="false">IF(Informed=0,K635,0)</f>
        <v>0</v>
      </c>
      <c r="Z635" s="39" t="n">
        <f aca="false">IF(Informed=1,N635,0)</f>
        <v>60.2328039385689</v>
      </c>
      <c r="AA635" s="39" t="n">
        <f aca="false">IF(Informed=0,N635,0)</f>
        <v>0</v>
      </c>
      <c r="AB635" s="43" t="n">
        <f aca="false">IF(Arterial=0,IF(Informed=1,1,0),0)</f>
        <v>0</v>
      </c>
      <c r="AC635" s="43" t="n">
        <f aca="false">IF(Arterial=0,IF(Informed=0,1,0),0)</f>
        <v>0</v>
      </c>
      <c r="AD635" s="43" t="n">
        <f aca="false">IF(Arterial=1,IF(Informed=1,1,0),0)</f>
        <v>1</v>
      </c>
      <c r="AE635" s="43" t="n">
        <f aca="false">IF(Arterial=1,IF(Informed=0,1,0),0)</f>
        <v>0</v>
      </c>
      <c r="AF635" s="35" t="n">
        <f aca="false">IF(AB635=1,(X635-G$1030)^2,0)</f>
        <v>0</v>
      </c>
      <c r="AG635" s="35" t="n">
        <f aca="false">IF(AC635=1,(Y635-H$1030)^2,0)</f>
        <v>0</v>
      </c>
      <c r="AH635" s="35" t="n">
        <f aca="false">IF(AD635=1,(Z635-I$1030)^2,0)</f>
        <v>1014.93019806498</v>
      </c>
      <c r="AI635" s="35" t="n">
        <f aca="false">IF(AE635=1,(AA635-J$1030)^2,0)</f>
        <v>0</v>
      </c>
      <c r="AJ635" s="37" t="n">
        <f aca="true">IF(RAND()&lt;$D$6,1,0)</f>
        <v>0</v>
      </c>
      <c r="AK635" s="14" t="n">
        <f aca="false">AK634+IF((AJ635=1),IF((H635=0),1,0),0)</f>
        <v>0</v>
      </c>
      <c r="AL635" s="14" t="n">
        <f aca="false">AL634+IF((AJ635=1),IF((H635=1),1,0),0)</f>
        <v>0</v>
      </c>
      <c r="AM635" s="37" t="n">
        <f aca="false">IF(AK635=0,9999,IF($H635=0,IF($AJ635&lt;1,AM634+1,0),AM634))</f>
        <v>9999</v>
      </c>
      <c r="AN635" s="37" t="n">
        <f aca="false">IF(AL635=0,9999,IF($H635=1,IF($AJ635&lt;1,AN634+1,0),AN634))</f>
        <v>9999</v>
      </c>
      <c r="AO635" s="37" t="n">
        <f aca="false">IF($A635-AM635&gt;0,1/(1+AM635),0)</f>
        <v>0</v>
      </c>
      <c r="AP635" s="37" t="n">
        <f aca="false">IF($A635-AN635&gt;0,1/(1+AN635),0)</f>
        <v>0</v>
      </c>
      <c r="AQ635" s="7" t="n">
        <f aca="false">IF(AK635=0,0,MAX(MIN(1,AO635^Power),0))</f>
        <v>0</v>
      </c>
      <c r="AR635" s="7" t="n">
        <f aca="false">IF(AL635=0,0,MAX(MIN(1,AP635^Power),0))</f>
        <v>0</v>
      </c>
      <c r="AS635" s="7" t="n">
        <f aca="false">IF($AJ635=1,IF($H635=0,K635,AS634),AS634)</f>
        <v>0</v>
      </c>
      <c r="AT635" s="7" t="n">
        <f aca="false">IF($AJ635=1,IF($H635=1,N635,AT634),AT634)</f>
        <v>0</v>
      </c>
    </row>
    <row r="636" customFormat="false" ht="13" hidden="false" customHeight="false" outlineLevel="0" collapsed="false">
      <c r="A636" s="16" t="n">
        <v>619</v>
      </c>
      <c r="B636" s="37" t="n">
        <f aca="true">IF(RAND()&lt;$D$8,1,0)</f>
        <v>1</v>
      </c>
      <c r="C636" s="20" t="n">
        <f aca="true">-LN(RAND())/$D$2</f>
        <v>1.44811582053052</v>
      </c>
      <c r="D636" s="38" t="n">
        <f aca="false">D635+C636</f>
        <v>644.015661765636</v>
      </c>
      <c r="E636" s="39" t="n">
        <f aca="false">MAX($E$3,AS635)</f>
        <v>0</v>
      </c>
      <c r="F636" s="39" t="n">
        <f aca="false">MAX($E$3,AT635)</f>
        <v>0</v>
      </c>
      <c r="G636" s="40" t="n">
        <v>0.5</v>
      </c>
      <c r="H636" s="38" t="n">
        <f aca="true">IF((B636=1),(IF((F636&lt;E636),1,(IF((F636=E636),(IF(RAND()&lt;G636,1,0)),0)))),(IF((RAND()&lt;G636),1,0)))</f>
        <v>0</v>
      </c>
      <c r="I636" s="38" t="n">
        <f aca="true">IF((H636=1),0,$D$3+$D$5*(RAND()-0.5))</f>
        <v>1.79502414106818</v>
      </c>
      <c r="J636" s="38" t="n">
        <f aca="false">I636+MAX(D636,J635)</f>
        <v>657.718117588873</v>
      </c>
      <c r="K636" s="38" t="n">
        <f aca="false">IF((H636=0),J636-D636,0)</f>
        <v>13.7024558232368</v>
      </c>
      <c r="L636" s="38" t="n">
        <f aca="true">IF(($H636=0),0,$D$4+$D$5*(RAND()-0.5))</f>
        <v>0</v>
      </c>
      <c r="M636" s="38" t="n">
        <f aca="false">L636+MAX(D636,M635)</f>
        <v>702.800349883675</v>
      </c>
      <c r="N636" s="38" t="n">
        <f aca="false">IF((H636=1),M636-D636,0)</f>
        <v>0</v>
      </c>
      <c r="O636" s="16" t="n">
        <v>619</v>
      </c>
      <c r="P636" s="41" t="n">
        <f aca="false">IF((Arterial=0),P635+1,P635)</f>
        <v>282</v>
      </c>
      <c r="Q636" s="41" t="n">
        <f aca="false">IF((Arterial=1),Q635+1,Q635)</f>
        <v>337</v>
      </c>
      <c r="R636" s="42" t="e">
        <f aca="false">IF((RESET=1),0,R636+K636)</f>
        <v>#N/A</v>
      </c>
      <c r="S636" s="14" t="n">
        <f aca="false">IF(RESET=1,0,S636+N636)</f>
        <v>601.543859340058</v>
      </c>
      <c r="T636" s="2" t="e">
        <f aca="false">IF(RESET=1,0,T636+IF(H636=0,1,0))</f>
        <v>#N/A</v>
      </c>
      <c r="U636" s="2" t="n">
        <f aca="false">IF(RESET=1,0,U636+H636)</f>
        <v>36</v>
      </c>
      <c r="V636" s="14" t="e">
        <f aca="false">R636/(T636+0.00001)</f>
        <v>#N/A</v>
      </c>
      <c r="W636" s="14" t="n">
        <f aca="false">S636/(U636+0.0001)</f>
        <v>16.7095052330426</v>
      </c>
      <c r="X636" s="39" t="n">
        <f aca="false">IF(Informed=1,K636,0)</f>
        <v>13.7024558232368</v>
      </c>
      <c r="Y636" s="39" t="n">
        <f aca="false">IF(Informed=0,K636,0)</f>
        <v>0</v>
      </c>
      <c r="Z636" s="39" t="n">
        <f aca="false">IF(Informed=1,N636,0)</f>
        <v>0</v>
      </c>
      <c r="AA636" s="39" t="n">
        <f aca="false">IF(Informed=0,N636,0)</f>
        <v>0</v>
      </c>
      <c r="AB636" s="43" t="n">
        <f aca="false">IF(Arterial=0,IF(Informed=1,1,0),0)</f>
        <v>1</v>
      </c>
      <c r="AC636" s="43" t="n">
        <f aca="false">IF(Arterial=0,IF(Informed=0,1,0),0)</f>
        <v>0</v>
      </c>
      <c r="AD636" s="43" t="n">
        <f aca="false">IF(Arterial=1,IF(Informed=1,1,0),0)</f>
        <v>0</v>
      </c>
      <c r="AE636" s="43" t="n">
        <f aca="false">IF(Arterial=1,IF(Informed=0,1,0),0)</f>
        <v>0</v>
      </c>
      <c r="AF636" s="35" t="n">
        <f aca="false">IF(AB636=1,(X636-G$1030)^2,0)</f>
        <v>8.95671765208127</v>
      </c>
      <c r="AG636" s="35" t="n">
        <f aca="false">IF(AC636=1,(Y636-H$1030)^2,0)</f>
        <v>0</v>
      </c>
      <c r="AH636" s="35" t="n">
        <f aca="false">IF(AD636=1,(Z636-I$1030)^2,0)</f>
        <v>0</v>
      </c>
      <c r="AI636" s="35" t="n">
        <f aca="false">IF(AE636=1,(AA636-J$1030)^2,0)</f>
        <v>0</v>
      </c>
      <c r="AJ636" s="37" t="n">
        <f aca="true">IF(RAND()&lt;$D$6,1,0)</f>
        <v>0</v>
      </c>
      <c r="AK636" s="14" t="n">
        <f aca="false">AK635+IF((AJ636=1),IF((H636=0),1,0),0)</f>
        <v>0</v>
      </c>
      <c r="AL636" s="14" t="n">
        <f aca="false">AL635+IF((AJ636=1),IF((H636=1),1,0),0)</f>
        <v>0</v>
      </c>
      <c r="AM636" s="37" t="n">
        <f aca="false">IF(AK636=0,9999,IF($H636=0,IF($AJ636&lt;1,AM635+1,0),AM635))</f>
        <v>9999</v>
      </c>
      <c r="AN636" s="37" t="n">
        <f aca="false">IF(AL636=0,9999,IF($H636=1,IF($AJ636&lt;1,AN635+1,0),AN635))</f>
        <v>9999</v>
      </c>
      <c r="AO636" s="37" t="n">
        <f aca="false">IF($A636-AM636&gt;0,1/(1+AM636),0)</f>
        <v>0</v>
      </c>
      <c r="AP636" s="37" t="n">
        <f aca="false">IF($A636-AN636&gt;0,1/(1+AN636),0)</f>
        <v>0</v>
      </c>
      <c r="AQ636" s="7" t="n">
        <f aca="false">IF(AK636=0,0,MAX(MIN(1,AO636^Power),0))</f>
        <v>0</v>
      </c>
      <c r="AR636" s="7" t="n">
        <f aca="false">IF(AL636=0,0,MAX(MIN(1,AP636^Power),0))</f>
        <v>0</v>
      </c>
      <c r="AS636" s="7" t="n">
        <f aca="false">IF($AJ636=1,IF($H636=0,K636,AS635),AS635)</f>
        <v>0</v>
      </c>
      <c r="AT636" s="7" t="n">
        <f aca="false">IF($AJ636=1,IF($H636=1,N636,AT635),AT635)</f>
        <v>0</v>
      </c>
    </row>
    <row r="637" customFormat="false" ht="13" hidden="false" customHeight="false" outlineLevel="0" collapsed="false">
      <c r="A637" s="16" t="n">
        <v>620</v>
      </c>
      <c r="B637" s="37" t="n">
        <f aca="true">IF(RAND()&lt;$D$8,1,0)</f>
        <v>0</v>
      </c>
      <c r="C637" s="20" t="n">
        <f aca="true">-LN(RAND())/$D$2</f>
        <v>0.45918945044367</v>
      </c>
      <c r="D637" s="38" t="n">
        <f aca="false">D636+C637</f>
        <v>644.47485121608</v>
      </c>
      <c r="E637" s="39" t="n">
        <f aca="false">MAX($E$3,AS636)</f>
        <v>0</v>
      </c>
      <c r="F637" s="39" t="n">
        <f aca="false">MAX($E$3,AT636)</f>
        <v>0</v>
      </c>
      <c r="G637" s="40" t="n">
        <v>0.5</v>
      </c>
      <c r="H637" s="38" t="n">
        <f aca="true">IF((B637=1),(IF((F637&lt;E637),1,(IF((F637=E637),(IF(RAND()&lt;G637,1,0)),0)))),(IF((RAND()&lt;G637),1,0)))</f>
        <v>1</v>
      </c>
      <c r="I637" s="38" t="n">
        <f aca="true">IF((H637=1),0,$D$3+$D$5*(RAND()-0.5))</f>
        <v>0</v>
      </c>
      <c r="J637" s="38" t="n">
        <f aca="false">I637+MAX(D637,J636)</f>
        <v>657.718117588873</v>
      </c>
      <c r="K637" s="38" t="n">
        <f aca="false">IF((H637=0),J637-D637,0)</f>
        <v>0</v>
      </c>
      <c r="L637" s="38" t="n">
        <f aca="true">IF(($H637=0),0,$D$4+$D$5*(RAND()-0.5))</f>
        <v>1.93293865723638</v>
      </c>
      <c r="M637" s="38" t="n">
        <f aca="false">L637+MAX(D637,M636)</f>
        <v>704.733288540911</v>
      </c>
      <c r="N637" s="38" t="n">
        <f aca="false">IF((H637=1),M637-D637,0)</f>
        <v>60.2584373248311</v>
      </c>
      <c r="O637" s="16" t="n">
        <v>620</v>
      </c>
      <c r="P637" s="41" t="n">
        <f aca="false">IF((Arterial=0),P636+1,P636)</f>
        <v>282</v>
      </c>
      <c r="Q637" s="41" t="n">
        <f aca="false">IF((Arterial=1),Q636+1,Q636)</f>
        <v>338</v>
      </c>
      <c r="R637" s="42" t="n">
        <f aca="false">IF((RESET=1),0,R637+K637)</f>
        <v>905.020518850644</v>
      </c>
      <c r="S637" s="14" t="e">
        <f aca="false">IF(RESET=1,0,S637+N637)</f>
        <v>#N/A</v>
      </c>
      <c r="T637" s="2" t="n">
        <f aca="false">IF(RESET=1,0,T637+IF(H637=0,1,0))</f>
        <v>45</v>
      </c>
      <c r="U637" s="2" t="e">
        <f aca="false">IF(RESET=1,0,U637+H637)</f>
        <v>#N/A</v>
      </c>
      <c r="V637" s="14" t="n">
        <f aca="false">R637/(T637+0.00001)</f>
        <v>20.1115626163337</v>
      </c>
      <c r="W637" s="14" t="e">
        <f aca="false">S637/(U637+0.0001)</f>
        <v>#N/A</v>
      </c>
      <c r="X637" s="39" t="n">
        <f aca="false">IF(Informed=1,K637,0)</f>
        <v>0</v>
      </c>
      <c r="Y637" s="39" t="n">
        <f aca="false">IF(Informed=0,K637,0)</f>
        <v>0</v>
      </c>
      <c r="Z637" s="39" t="n">
        <f aca="false">IF(Informed=1,N637,0)</f>
        <v>0</v>
      </c>
      <c r="AA637" s="39" t="n">
        <f aca="false">IF(Informed=0,N637,0)</f>
        <v>60.2584373248311</v>
      </c>
      <c r="AB637" s="43" t="n">
        <f aca="false">IF(Arterial=0,IF(Informed=1,1,0),0)</f>
        <v>0</v>
      </c>
      <c r="AC637" s="43" t="n">
        <f aca="false">IF(Arterial=0,IF(Informed=0,1,0),0)</f>
        <v>0</v>
      </c>
      <c r="AD637" s="43" t="n">
        <f aca="false">IF(Arterial=1,IF(Informed=1,1,0),0)</f>
        <v>0</v>
      </c>
      <c r="AE637" s="43" t="n">
        <f aca="false">IF(Arterial=1,IF(Informed=0,1,0),0)</f>
        <v>1</v>
      </c>
      <c r="AF637" s="35" t="n">
        <f aca="false">IF(AB637=1,(X637-G$1030)^2,0)</f>
        <v>0</v>
      </c>
      <c r="AG637" s="35" t="n">
        <f aca="false">IF(AC637=1,(Y637-H$1030)^2,0)</f>
        <v>0</v>
      </c>
      <c r="AH637" s="35" t="n">
        <f aca="false">IF(AD637=1,(Z637-I$1030)^2,0)</f>
        <v>0</v>
      </c>
      <c r="AI637" s="35" t="n">
        <f aca="false">IF(AE637=1,(AA637-J$1030)^2,0)</f>
        <v>942.13160142373</v>
      </c>
      <c r="AJ637" s="37" t="n">
        <f aca="true">IF(RAND()&lt;$D$6,1,0)</f>
        <v>0</v>
      </c>
      <c r="AK637" s="14" t="n">
        <f aca="false">AK636+IF((AJ637=1),IF((H637=0),1,0),0)</f>
        <v>0</v>
      </c>
      <c r="AL637" s="14" t="n">
        <f aca="false">AL636+IF((AJ637=1),IF((H637=1),1,0),0)</f>
        <v>0</v>
      </c>
      <c r="AM637" s="37" t="n">
        <f aca="false">IF(AK637=0,9999,IF($H637=0,IF($AJ637&lt;1,AM636+1,0),AM636))</f>
        <v>9999</v>
      </c>
      <c r="AN637" s="37" t="n">
        <f aca="false">IF(AL637=0,9999,IF($H637=1,IF($AJ637&lt;1,AN636+1,0),AN636))</f>
        <v>9999</v>
      </c>
      <c r="AO637" s="37" t="n">
        <f aca="false">IF($A637-AM637&gt;0,1/(1+AM637),0)</f>
        <v>0</v>
      </c>
      <c r="AP637" s="37" t="n">
        <f aca="false">IF($A637-AN637&gt;0,1/(1+AN637),0)</f>
        <v>0</v>
      </c>
      <c r="AQ637" s="7" t="n">
        <f aca="false">IF(AK637=0,0,MAX(MIN(1,AO637^Power),0))</f>
        <v>0</v>
      </c>
      <c r="AR637" s="7" t="n">
        <f aca="false">IF(AL637=0,0,MAX(MIN(1,AP637^Power),0))</f>
        <v>0</v>
      </c>
      <c r="AS637" s="7" t="n">
        <f aca="false">IF($AJ637=1,IF($H637=0,K637,AS636),AS636)</f>
        <v>0</v>
      </c>
      <c r="AT637" s="7" t="n">
        <f aca="false">IF($AJ637=1,IF($H637=1,N637,AT636),AT636)</f>
        <v>0</v>
      </c>
    </row>
    <row r="638" customFormat="false" ht="13" hidden="false" customHeight="false" outlineLevel="0" collapsed="false">
      <c r="A638" s="16" t="n">
        <v>621</v>
      </c>
      <c r="B638" s="37" t="n">
        <f aca="true">IF(RAND()&lt;$D$8,1,0)</f>
        <v>0</v>
      </c>
      <c r="C638" s="20" t="n">
        <f aca="true">-LN(RAND())/$D$2</f>
        <v>2.36335899744903</v>
      </c>
      <c r="D638" s="38" t="n">
        <f aca="false">D637+C638</f>
        <v>646.838210213529</v>
      </c>
      <c r="E638" s="39" t="n">
        <f aca="false">MAX($E$3,AS637)</f>
        <v>0</v>
      </c>
      <c r="F638" s="39" t="n">
        <f aca="false">MAX($E$3,AT637)</f>
        <v>0</v>
      </c>
      <c r="G638" s="40" t="n">
        <v>0.5</v>
      </c>
      <c r="H638" s="38" t="n">
        <f aca="true">IF((B638=1),(IF((F638&lt;E638),1,(IF((F638=E638),(IF(RAND()&lt;G638,1,0)),0)))),(IF((RAND()&lt;G638),1,0)))</f>
        <v>0</v>
      </c>
      <c r="I638" s="38" t="n">
        <f aca="true">IF((H638=1),0,$D$3+$D$5*(RAND()-0.5))</f>
        <v>2.04392230730489</v>
      </c>
      <c r="J638" s="38" t="n">
        <f aca="false">I638+MAX(D638,J637)</f>
        <v>659.762039896178</v>
      </c>
      <c r="K638" s="38" t="n">
        <f aca="false">IF((H638=0),J638-D638,0)</f>
        <v>12.9238296826491</v>
      </c>
      <c r="L638" s="38" t="n">
        <f aca="true">IF(($H638=0),0,$D$4+$D$5*(RAND()-0.5))</f>
        <v>0</v>
      </c>
      <c r="M638" s="38" t="n">
        <f aca="false">L638+MAX(D638,M637)</f>
        <v>704.733288540911</v>
      </c>
      <c r="N638" s="38" t="n">
        <f aca="false">IF((H638=1),M638-D638,0)</f>
        <v>0</v>
      </c>
      <c r="O638" s="16" t="n">
        <v>621</v>
      </c>
      <c r="P638" s="41" t="n">
        <f aca="false">IF((Arterial=0),P637+1,P637)</f>
        <v>283</v>
      </c>
      <c r="Q638" s="41" t="n">
        <f aca="false">IF((Arterial=1),Q637+1,Q637)</f>
        <v>338</v>
      </c>
      <c r="R638" s="42" t="e">
        <f aca="false">IF((RESET=1),0,R638+K638)</f>
        <v>#N/A</v>
      </c>
      <c r="S638" s="14" t="n">
        <f aca="false">IF(RESET=1,0,S638+N638)</f>
        <v>684.903405676373</v>
      </c>
      <c r="T638" s="2" t="e">
        <f aca="false">IF(RESET=1,0,T638+IF(H638=0,1,0))</f>
        <v>#N/A</v>
      </c>
      <c r="U638" s="2" t="n">
        <f aca="false">IF(RESET=1,0,U638+H638)</f>
        <v>42</v>
      </c>
      <c r="V638" s="14" t="e">
        <f aca="false">R638/(T638+0.00001)</f>
        <v>#N/A</v>
      </c>
      <c r="W638" s="14" t="n">
        <f aca="false">S638/(U638+0.0001)</f>
        <v>16.3071851180443</v>
      </c>
      <c r="X638" s="39" t="n">
        <f aca="false">IF(Informed=1,K638,0)</f>
        <v>0</v>
      </c>
      <c r="Y638" s="39" t="n">
        <f aca="false">IF(Informed=0,K638,0)</f>
        <v>12.9238296826491</v>
      </c>
      <c r="Z638" s="39" t="n">
        <f aca="false">IF(Informed=1,N638,0)</f>
        <v>0</v>
      </c>
      <c r="AA638" s="39" t="n">
        <f aca="false">IF(Informed=0,N638,0)</f>
        <v>0</v>
      </c>
      <c r="AB638" s="43" t="n">
        <f aca="false">IF(Arterial=0,IF(Informed=1,1,0),0)</f>
        <v>0</v>
      </c>
      <c r="AC638" s="43" t="n">
        <f aca="false">IF(Arterial=0,IF(Informed=0,1,0),0)</f>
        <v>1</v>
      </c>
      <c r="AD638" s="43" t="n">
        <f aca="false">IF(Arterial=1,IF(Informed=1,1,0),0)</f>
        <v>0</v>
      </c>
      <c r="AE638" s="43" t="n">
        <f aca="false">IF(Arterial=1,IF(Informed=0,1,0),0)</f>
        <v>0</v>
      </c>
      <c r="AF638" s="35" t="n">
        <f aca="false">IF(AB638=1,(X638-G$1030)^2,0)</f>
        <v>0</v>
      </c>
      <c r="AG638" s="35" t="n">
        <f aca="false">IF(AC638=1,(Y638-H$1030)^2,0)</f>
        <v>4.0001777296909</v>
      </c>
      <c r="AH638" s="35" t="n">
        <f aca="false">IF(AD638=1,(Z638-I$1030)^2,0)</f>
        <v>0</v>
      </c>
      <c r="AI638" s="35" t="n">
        <f aca="false">IF(AE638=1,(AA638-J$1030)^2,0)</f>
        <v>0</v>
      </c>
      <c r="AJ638" s="37" t="n">
        <f aca="true">IF(RAND()&lt;$D$6,1,0)</f>
        <v>0</v>
      </c>
      <c r="AK638" s="14" t="n">
        <f aca="false">AK637+IF((AJ638=1),IF((H638=0),1,0),0)</f>
        <v>0</v>
      </c>
      <c r="AL638" s="14" t="n">
        <f aca="false">AL637+IF((AJ638=1),IF((H638=1),1,0),0)</f>
        <v>0</v>
      </c>
      <c r="AM638" s="37" t="n">
        <f aca="false">IF(AK638=0,9999,IF($H638=0,IF($AJ638&lt;1,AM637+1,0),AM637))</f>
        <v>9999</v>
      </c>
      <c r="AN638" s="37" t="n">
        <f aca="false">IF(AL638=0,9999,IF($H638=1,IF($AJ638&lt;1,AN637+1,0),AN637))</f>
        <v>9999</v>
      </c>
      <c r="AO638" s="37" t="n">
        <f aca="false">IF($A638-AM638&gt;0,1/(1+AM638),0)</f>
        <v>0</v>
      </c>
      <c r="AP638" s="37" t="n">
        <f aca="false">IF($A638-AN638&gt;0,1/(1+AN638),0)</f>
        <v>0</v>
      </c>
      <c r="AQ638" s="7" t="n">
        <f aca="false">IF(AK638=0,0,MAX(MIN(1,AO638^Power),0))</f>
        <v>0</v>
      </c>
      <c r="AR638" s="7" t="n">
        <f aca="false">IF(AL638=0,0,MAX(MIN(1,AP638^Power),0))</f>
        <v>0</v>
      </c>
      <c r="AS638" s="7" t="n">
        <f aca="false">IF($AJ638=1,IF($H638=0,K638,AS637),AS637)</f>
        <v>0</v>
      </c>
      <c r="AT638" s="7" t="n">
        <f aca="false">IF($AJ638=1,IF($H638=1,N638,AT637),AT637)</f>
        <v>0</v>
      </c>
    </row>
    <row r="639" customFormat="false" ht="13" hidden="false" customHeight="false" outlineLevel="0" collapsed="false">
      <c r="A639" s="16" t="n">
        <v>622</v>
      </c>
      <c r="B639" s="37" t="n">
        <f aca="true">IF(RAND()&lt;$D$8,1,0)</f>
        <v>1</v>
      </c>
      <c r="C639" s="20" t="n">
        <f aca="true">-LN(RAND())/$D$2</f>
        <v>0.152887491928922</v>
      </c>
      <c r="D639" s="38" t="n">
        <f aca="false">D638+C639</f>
        <v>646.991097705458</v>
      </c>
      <c r="E639" s="39" t="n">
        <f aca="false">MAX($E$3,AS638)</f>
        <v>0</v>
      </c>
      <c r="F639" s="39" t="n">
        <f aca="false">MAX($E$3,AT638)</f>
        <v>0</v>
      </c>
      <c r="G639" s="40" t="n">
        <v>0.5</v>
      </c>
      <c r="H639" s="38" t="n">
        <f aca="true">IF((B639=1),(IF((F639&lt;E639),1,(IF((F639=E639),(IF(RAND()&lt;G639,1,0)),0)))),(IF((RAND()&lt;G639),1,0)))</f>
        <v>0</v>
      </c>
      <c r="I639" s="38" t="n">
        <f aca="true">IF((H639=1),0,$D$3+$D$5*(RAND()-0.5))</f>
        <v>1.88116530421862</v>
      </c>
      <c r="J639" s="38" t="n">
        <f aca="false">I639+MAX(D639,J638)</f>
        <v>661.643205200397</v>
      </c>
      <c r="K639" s="38" t="n">
        <f aca="false">IF((H639=0),J639-D639,0)</f>
        <v>14.6521074949387</v>
      </c>
      <c r="L639" s="38" t="n">
        <f aca="true">IF(($H639=0),0,$D$4+$D$5*(RAND()-0.5))</f>
        <v>0</v>
      </c>
      <c r="M639" s="38" t="n">
        <f aca="false">L639+MAX(D639,M638)</f>
        <v>704.733288540911</v>
      </c>
      <c r="N639" s="38" t="n">
        <f aca="false">IF((H639=1),M639-D639,0)</f>
        <v>0</v>
      </c>
      <c r="O639" s="16" t="n">
        <v>622</v>
      </c>
      <c r="P639" s="41" t="n">
        <f aca="false">IF((Arterial=0),P638+1,P638)</f>
        <v>284</v>
      </c>
      <c r="Q639" s="41" t="n">
        <f aca="false">IF((Arterial=1),Q638+1,Q638)</f>
        <v>338</v>
      </c>
      <c r="R639" s="42" t="e">
        <f aca="false">IF((RESET=1),0,R639+K639)</f>
        <v>#N/A</v>
      </c>
      <c r="S639" s="14" t="n">
        <f aca="false">IF(RESET=1,0,S639+N639)</f>
        <v>623.696186175359</v>
      </c>
      <c r="T639" s="2" t="e">
        <f aca="false">IF(RESET=1,0,T639+IF(H639=0,1,0))</f>
        <v>#N/A</v>
      </c>
      <c r="U639" s="2" t="n">
        <f aca="false">IF(RESET=1,0,U639+H639)</f>
        <v>35</v>
      </c>
      <c r="V639" s="14" t="e">
        <f aca="false">R639/(T639+0.00001)</f>
        <v>#N/A</v>
      </c>
      <c r="W639" s="14" t="n">
        <f aca="false">S639/(U639+0.0001)</f>
        <v>17.8198401197528</v>
      </c>
      <c r="X639" s="39" t="n">
        <f aca="false">IF(Informed=1,K639,0)</f>
        <v>14.6521074949387</v>
      </c>
      <c r="Y639" s="39" t="n">
        <f aca="false">IF(Informed=0,K639,0)</f>
        <v>0</v>
      </c>
      <c r="Z639" s="39" t="n">
        <f aca="false">IF(Informed=1,N639,0)</f>
        <v>0</v>
      </c>
      <c r="AA639" s="39" t="n">
        <f aca="false">IF(Informed=0,N639,0)</f>
        <v>0</v>
      </c>
      <c r="AB639" s="43" t="n">
        <f aca="false">IF(Arterial=0,IF(Informed=1,1,0),0)</f>
        <v>1</v>
      </c>
      <c r="AC639" s="43" t="n">
        <f aca="false">IF(Arterial=0,IF(Informed=0,1,0),0)</f>
        <v>0</v>
      </c>
      <c r="AD639" s="43" t="n">
        <f aca="false">IF(Arterial=1,IF(Informed=1,1,0),0)</f>
        <v>0</v>
      </c>
      <c r="AE639" s="43" t="n">
        <f aca="false">IF(Arterial=1,IF(Informed=0,1,0),0)</f>
        <v>0</v>
      </c>
      <c r="AF639" s="35" t="n">
        <f aca="false">IF(AB639=1,(X639-G$1030)^2,0)</f>
        <v>15.5427484161755</v>
      </c>
      <c r="AG639" s="35" t="n">
        <f aca="false">IF(AC639=1,(Y639-H$1030)^2,0)</f>
        <v>0</v>
      </c>
      <c r="AH639" s="35" t="n">
        <f aca="false">IF(AD639=1,(Z639-I$1030)^2,0)</f>
        <v>0</v>
      </c>
      <c r="AI639" s="35" t="n">
        <f aca="false">IF(AE639=1,(AA639-J$1030)^2,0)</f>
        <v>0</v>
      </c>
      <c r="AJ639" s="37" t="n">
        <f aca="true">IF(RAND()&lt;$D$6,1,0)</f>
        <v>0</v>
      </c>
      <c r="AK639" s="14" t="n">
        <f aca="false">AK638+IF((AJ639=1),IF((H639=0),1,0),0)</f>
        <v>0</v>
      </c>
      <c r="AL639" s="14" t="n">
        <f aca="false">AL638+IF((AJ639=1),IF((H639=1),1,0),0)</f>
        <v>0</v>
      </c>
      <c r="AM639" s="37" t="n">
        <f aca="false">IF(AK639=0,9999,IF($H639=0,IF($AJ639&lt;1,AM638+1,0),AM638))</f>
        <v>9999</v>
      </c>
      <c r="AN639" s="37" t="n">
        <f aca="false">IF(AL639=0,9999,IF($H639=1,IF($AJ639&lt;1,AN638+1,0),AN638))</f>
        <v>9999</v>
      </c>
      <c r="AO639" s="37" t="n">
        <f aca="false">IF($A639-AM639&gt;0,1/(1+AM639),0)</f>
        <v>0</v>
      </c>
      <c r="AP639" s="37" t="n">
        <f aca="false">IF($A639-AN639&gt;0,1/(1+AN639),0)</f>
        <v>0</v>
      </c>
      <c r="AQ639" s="7" t="n">
        <f aca="false">IF(AK639=0,0,MAX(MIN(1,AO639^Power),0))</f>
        <v>0</v>
      </c>
      <c r="AR639" s="7" t="n">
        <f aca="false">IF(AL639=0,0,MAX(MIN(1,AP639^Power),0))</f>
        <v>0</v>
      </c>
      <c r="AS639" s="7" t="n">
        <f aca="false">IF($AJ639=1,IF($H639=0,K639,AS638),AS638)</f>
        <v>0</v>
      </c>
      <c r="AT639" s="7" t="n">
        <f aca="false">IF($AJ639=1,IF($H639=1,N639,AT638),AT638)</f>
        <v>0</v>
      </c>
    </row>
    <row r="640" customFormat="false" ht="13" hidden="false" customHeight="false" outlineLevel="0" collapsed="false">
      <c r="A640" s="16" t="n">
        <v>623</v>
      </c>
      <c r="B640" s="37" t="n">
        <f aca="true">IF(RAND()&lt;$D$8,1,0)</f>
        <v>0</v>
      </c>
      <c r="C640" s="20" t="n">
        <f aca="true">-LN(RAND())/$D$2</f>
        <v>0.500650565498285</v>
      </c>
      <c r="D640" s="38" t="n">
        <f aca="false">D639+C640</f>
        <v>647.491748270956</v>
      </c>
      <c r="E640" s="39" t="n">
        <f aca="false">MAX($E$3,AS639)</f>
        <v>0</v>
      </c>
      <c r="F640" s="39" t="n">
        <f aca="false">MAX($E$3,AT639)</f>
        <v>0</v>
      </c>
      <c r="G640" s="40" t="n">
        <v>0.5</v>
      </c>
      <c r="H640" s="38" t="n">
        <f aca="true">IF((B640=1),(IF((F640&lt;E640),1,(IF((F640=E640),(IF(RAND()&lt;G640,1,0)),0)))),(IF((RAND()&lt;G640),1,0)))</f>
        <v>0</v>
      </c>
      <c r="I640" s="38" t="n">
        <f aca="true">IF((H640=1),0,$D$3+$D$5*(RAND()-0.5))</f>
        <v>2.22739144225313</v>
      </c>
      <c r="J640" s="38" t="n">
        <f aca="false">I640+MAX(D640,J639)</f>
        <v>663.87059664265</v>
      </c>
      <c r="K640" s="38" t="n">
        <f aca="false">IF((H640=0),J640-D640,0)</f>
        <v>16.3788483716936</v>
      </c>
      <c r="L640" s="38" t="n">
        <f aca="true">IF(($H640=0),0,$D$4+$D$5*(RAND()-0.5))</f>
        <v>0</v>
      </c>
      <c r="M640" s="38" t="n">
        <f aca="false">L640+MAX(D640,M639)</f>
        <v>704.733288540911</v>
      </c>
      <c r="N640" s="38" t="n">
        <f aca="false">IF((H640=1),M640-D640,0)</f>
        <v>0</v>
      </c>
      <c r="O640" s="16" t="n">
        <v>623</v>
      </c>
      <c r="P640" s="41" t="n">
        <f aca="false">IF((Arterial=0),P639+1,P639)</f>
        <v>285</v>
      </c>
      <c r="Q640" s="41" t="n">
        <f aca="false">IF((Arterial=1),Q639+1,Q639)</f>
        <v>338</v>
      </c>
      <c r="R640" s="42" t="e">
        <f aca="false">IF((RESET=1),0,R640+K640)</f>
        <v>#N/A</v>
      </c>
      <c r="S640" s="14" t="n">
        <f aca="false">IF(RESET=1,0,S640+N640)</f>
        <v>534.259789711186</v>
      </c>
      <c r="T640" s="2" t="e">
        <f aca="false">IF(RESET=1,0,T640+IF(H640=0,1,0))</f>
        <v>#N/A</v>
      </c>
      <c r="U640" s="2" t="n">
        <f aca="false">IF(RESET=1,0,U640+H640)</f>
        <v>34</v>
      </c>
      <c r="V640" s="14" t="e">
        <f aca="false">R640/(T640+0.00001)</f>
        <v>#N/A</v>
      </c>
      <c r="W640" s="14" t="n">
        <f aca="false">S640/(U640+0.0001)</f>
        <v>15.7134770106907</v>
      </c>
      <c r="X640" s="39" t="n">
        <f aca="false">IF(Informed=1,K640,0)</f>
        <v>0</v>
      </c>
      <c r="Y640" s="39" t="n">
        <f aca="false">IF(Informed=0,K640,0)</f>
        <v>16.3788483716936</v>
      </c>
      <c r="Z640" s="39" t="n">
        <f aca="false">IF(Informed=1,N640,0)</f>
        <v>0</v>
      </c>
      <c r="AA640" s="39" t="n">
        <f aca="false">IF(Informed=0,N640,0)</f>
        <v>0</v>
      </c>
      <c r="AB640" s="43" t="n">
        <f aca="false">IF(Arterial=0,IF(Informed=1,1,0),0)</f>
        <v>0</v>
      </c>
      <c r="AC640" s="43" t="n">
        <f aca="false">IF(Arterial=0,IF(Informed=0,1,0),0)</f>
        <v>1</v>
      </c>
      <c r="AD640" s="43" t="n">
        <f aca="false">IF(Arterial=1,IF(Informed=1,1,0),0)</f>
        <v>0</v>
      </c>
      <c r="AE640" s="43" t="n">
        <f aca="false">IF(Arterial=1,IF(Informed=0,1,0),0)</f>
        <v>0</v>
      </c>
      <c r="AF640" s="35" t="n">
        <f aca="false">IF(AB640=1,(X640-G$1030)^2,0)</f>
        <v>0</v>
      </c>
      <c r="AG640" s="35" t="n">
        <f aca="false">IF(AC640=1,(Y640-H$1030)^2,0)</f>
        <v>29.7577136538076</v>
      </c>
      <c r="AH640" s="35" t="n">
        <f aca="false">IF(AD640=1,(Z640-I$1030)^2,0)</f>
        <v>0</v>
      </c>
      <c r="AI640" s="35" t="n">
        <f aca="false">IF(AE640=1,(AA640-J$1030)^2,0)</f>
        <v>0</v>
      </c>
      <c r="AJ640" s="37" t="n">
        <f aca="true">IF(RAND()&lt;$D$6,1,0)</f>
        <v>0</v>
      </c>
      <c r="AK640" s="14" t="n">
        <f aca="false">AK639+IF((AJ640=1),IF((H640=0),1,0),0)</f>
        <v>0</v>
      </c>
      <c r="AL640" s="14" t="n">
        <f aca="false">AL639+IF((AJ640=1),IF((H640=1),1,0),0)</f>
        <v>0</v>
      </c>
      <c r="AM640" s="37" t="n">
        <f aca="false">IF(AK640=0,9999,IF($H640=0,IF($AJ640&lt;1,AM639+1,0),AM639))</f>
        <v>9999</v>
      </c>
      <c r="AN640" s="37" t="n">
        <f aca="false">IF(AL640=0,9999,IF($H640=1,IF($AJ640&lt;1,AN639+1,0),AN639))</f>
        <v>9999</v>
      </c>
      <c r="AO640" s="37" t="n">
        <f aca="false">IF($A640-AM640&gt;0,1/(1+AM640),0)</f>
        <v>0</v>
      </c>
      <c r="AP640" s="37" t="n">
        <f aca="false">IF($A640-AN640&gt;0,1/(1+AN640),0)</f>
        <v>0</v>
      </c>
      <c r="AQ640" s="7" t="n">
        <f aca="false">IF(AK640=0,0,MAX(MIN(1,AO640^Power),0))</f>
        <v>0</v>
      </c>
      <c r="AR640" s="7" t="n">
        <f aca="false">IF(AL640=0,0,MAX(MIN(1,AP640^Power),0))</f>
        <v>0</v>
      </c>
      <c r="AS640" s="7" t="n">
        <f aca="false">IF($AJ640=1,IF($H640=0,K640,AS639),AS639)</f>
        <v>0</v>
      </c>
      <c r="AT640" s="7" t="n">
        <f aca="false">IF($AJ640=1,IF($H640=1,N640,AT639),AT639)</f>
        <v>0</v>
      </c>
    </row>
    <row r="641" customFormat="false" ht="13" hidden="false" customHeight="false" outlineLevel="0" collapsed="false">
      <c r="A641" s="16" t="n">
        <v>624</v>
      </c>
      <c r="B641" s="37" t="n">
        <f aca="true">IF(RAND()&lt;$D$8,1,0)</f>
        <v>0</v>
      </c>
      <c r="C641" s="20" t="n">
        <f aca="true">-LN(RAND())/$D$2</f>
        <v>0.0300213138370669</v>
      </c>
      <c r="D641" s="38" t="n">
        <f aca="false">D640+C641</f>
        <v>647.521769584793</v>
      </c>
      <c r="E641" s="39" t="n">
        <f aca="false">MAX($E$3,AS640)</f>
        <v>0</v>
      </c>
      <c r="F641" s="39" t="n">
        <f aca="false">MAX($E$3,AT640)</f>
        <v>0</v>
      </c>
      <c r="G641" s="40" t="n">
        <v>0.5</v>
      </c>
      <c r="H641" s="38" t="n">
        <f aca="true">IF((B641=1),(IF((F641&lt;E641),1,(IF((F641=E641),(IF(RAND()&lt;G641,1,0)),0)))),(IF((RAND()&lt;G641),1,0)))</f>
        <v>1</v>
      </c>
      <c r="I641" s="38" t="n">
        <f aca="true">IF((H641=1),0,$D$3+$D$5*(RAND()-0.5))</f>
        <v>0</v>
      </c>
      <c r="J641" s="38" t="n">
        <f aca="false">I641+MAX(D641,J640)</f>
        <v>663.87059664265</v>
      </c>
      <c r="K641" s="38" t="n">
        <f aca="false">IF((H641=0),J641-D641,0)</f>
        <v>0</v>
      </c>
      <c r="L641" s="38" t="n">
        <f aca="true">IF(($H641=0),0,$D$4+$D$5*(RAND()-0.5))</f>
        <v>2.14829007946021</v>
      </c>
      <c r="M641" s="38" t="n">
        <f aca="false">L641+MAX(D641,M640)</f>
        <v>706.881578620371</v>
      </c>
      <c r="N641" s="38" t="n">
        <f aca="false">IF((H641=1),M641-D641,0)</f>
        <v>59.359809035578</v>
      </c>
      <c r="O641" s="16" t="n">
        <v>624</v>
      </c>
      <c r="P641" s="41" t="n">
        <f aca="false">IF((Arterial=0),P640+1,P640)</f>
        <v>285</v>
      </c>
      <c r="Q641" s="41" t="n">
        <f aca="false">IF((Arterial=1),Q640+1,Q640)</f>
        <v>339</v>
      </c>
      <c r="R641" s="42" t="n">
        <f aca="false">IF((RESET=1),0,R641+K641)</f>
        <v>771.664094572816</v>
      </c>
      <c r="S641" s="14" t="e">
        <f aca="false">IF(RESET=1,0,S641+N641)</f>
        <v>#N/A</v>
      </c>
      <c r="T641" s="2" t="n">
        <f aca="false">IF(RESET=1,0,T641+IF(H641=0,1,0))</f>
        <v>36</v>
      </c>
      <c r="U641" s="2" t="e">
        <f aca="false">IF(RESET=1,0,U641+H641)</f>
        <v>#N/A</v>
      </c>
      <c r="V641" s="14" t="n">
        <f aca="false">R641/(T641+0.00001)</f>
        <v>21.4351077839372</v>
      </c>
      <c r="W641" s="14" t="e">
        <f aca="false">S641/(U641+0.0001)</f>
        <v>#N/A</v>
      </c>
      <c r="X641" s="39" t="n">
        <f aca="false">IF(Informed=1,K641,0)</f>
        <v>0</v>
      </c>
      <c r="Y641" s="39" t="n">
        <f aca="false">IF(Informed=0,K641,0)</f>
        <v>0</v>
      </c>
      <c r="Z641" s="39" t="n">
        <f aca="false">IF(Informed=1,N641,0)</f>
        <v>0</v>
      </c>
      <c r="AA641" s="39" t="n">
        <f aca="false">IF(Informed=0,N641,0)</f>
        <v>59.359809035578</v>
      </c>
      <c r="AB641" s="43" t="n">
        <f aca="false">IF(Arterial=0,IF(Informed=1,1,0),0)</f>
        <v>0</v>
      </c>
      <c r="AC641" s="43" t="n">
        <f aca="false">IF(Arterial=0,IF(Informed=0,1,0),0)</f>
        <v>0</v>
      </c>
      <c r="AD641" s="43" t="n">
        <f aca="false">IF(Arterial=1,IF(Informed=1,1,0),0)</f>
        <v>0</v>
      </c>
      <c r="AE641" s="43" t="n">
        <f aca="false">IF(Arterial=1,IF(Informed=0,1,0),0)</f>
        <v>1</v>
      </c>
      <c r="AF641" s="35" t="n">
        <f aca="false">IF(AB641=1,(X641-G$1030)^2,0)</f>
        <v>0</v>
      </c>
      <c r="AG641" s="35" t="n">
        <f aca="false">IF(AC641=1,(Y641-H$1030)^2,0)</f>
        <v>0</v>
      </c>
      <c r="AH641" s="35" t="n">
        <f aca="false">IF(AD641=1,(Z641-I$1030)^2,0)</f>
        <v>0</v>
      </c>
      <c r="AI641" s="35" t="n">
        <f aca="false">IF(AE641=1,(AA641-J$1030)^2,0)</f>
        <v>887.773849048351</v>
      </c>
      <c r="AJ641" s="37" t="n">
        <f aca="true">IF(RAND()&lt;$D$6,1,0)</f>
        <v>0</v>
      </c>
      <c r="AK641" s="14" t="n">
        <f aca="false">AK640+IF((AJ641=1),IF((H641=0),1,0),0)</f>
        <v>0</v>
      </c>
      <c r="AL641" s="14" t="n">
        <f aca="false">AL640+IF((AJ641=1),IF((H641=1),1,0),0)</f>
        <v>0</v>
      </c>
      <c r="AM641" s="37" t="n">
        <f aca="false">IF(AK641=0,9999,IF($H641=0,IF($AJ641&lt;1,AM640+1,0),AM640))</f>
        <v>9999</v>
      </c>
      <c r="AN641" s="37" t="n">
        <f aca="false">IF(AL641=0,9999,IF($H641=1,IF($AJ641&lt;1,AN640+1,0),AN640))</f>
        <v>9999</v>
      </c>
      <c r="AO641" s="37" t="n">
        <f aca="false">IF($A641-AM641&gt;0,1/(1+AM641),0)</f>
        <v>0</v>
      </c>
      <c r="AP641" s="37" t="n">
        <f aca="false">IF($A641-AN641&gt;0,1/(1+AN641),0)</f>
        <v>0</v>
      </c>
      <c r="AQ641" s="7" t="n">
        <f aca="false">IF(AK641=0,0,MAX(MIN(1,AO641^Power),0))</f>
        <v>0</v>
      </c>
      <c r="AR641" s="7" t="n">
        <f aca="false">IF(AL641=0,0,MAX(MIN(1,AP641^Power),0))</f>
        <v>0</v>
      </c>
      <c r="AS641" s="7" t="n">
        <f aca="false">IF($AJ641=1,IF($H641=0,K641,AS640),AS640)</f>
        <v>0</v>
      </c>
      <c r="AT641" s="7" t="n">
        <f aca="false">IF($AJ641=1,IF($H641=1,N641,AT640),AT640)</f>
        <v>0</v>
      </c>
    </row>
    <row r="642" customFormat="false" ht="13" hidden="false" customHeight="false" outlineLevel="0" collapsed="false">
      <c r="A642" s="16" t="n">
        <v>625</v>
      </c>
      <c r="B642" s="37" t="n">
        <f aca="true">IF(RAND()&lt;$D$8,1,0)</f>
        <v>1</v>
      </c>
      <c r="C642" s="20" t="n">
        <f aca="true">-LN(RAND())/$D$2</f>
        <v>0.0247777930786298</v>
      </c>
      <c r="D642" s="38" t="n">
        <f aca="false">D641+C642</f>
        <v>647.546547377872</v>
      </c>
      <c r="E642" s="39" t="n">
        <f aca="false">MAX($E$3,AS641)</f>
        <v>0</v>
      </c>
      <c r="F642" s="39" t="n">
        <f aca="false">MAX($E$3,AT641)</f>
        <v>0</v>
      </c>
      <c r="G642" s="40" t="n">
        <v>0.5</v>
      </c>
      <c r="H642" s="38" t="n">
        <f aca="true">IF((B642=1),(IF((F642&lt;E642),1,(IF((F642=E642),(IF(RAND()&lt;G642,1,0)),0)))),(IF((RAND()&lt;G642),1,0)))</f>
        <v>0</v>
      </c>
      <c r="I642" s="38" t="n">
        <f aca="true">IF((H642=1),0,$D$3+$D$5*(RAND()-0.5))</f>
        <v>1.80291965463085</v>
      </c>
      <c r="J642" s="38" t="n">
        <f aca="false">I642+MAX(D642,J641)</f>
        <v>665.673516297281</v>
      </c>
      <c r="K642" s="38" t="n">
        <f aca="false">IF((H642=0),J642-D642,0)</f>
        <v>18.1269689194087</v>
      </c>
      <c r="L642" s="38" t="n">
        <f aca="true">IF(($H642=0),0,$D$4+$D$5*(RAND()-0.5))</f>
        <v>0</v>
      </c>
      <c r="M642" s="38" t="n">
        <f aca="false">L642+MAX(D642,M641)</f>
        <v>706.881578620371</v>
      </c>
      <c r="N642" s="38" t="n">
        <f aca="false">IF((H642=1),M642-D642,0)</f>
        <v>0</v>
      </c>
      <c r="O642" s="16" t="n">
        <v>625</v>
      </c>
      <c r="P642" s="41" t="n">
        <f aca="false">IF((Arterial=0),P641+1,P641)</f>
        <v>286</v>
      </c>
      <c r="Q642" s="41" t="n">
        <f aca="false">IF((Arterial=1),Q641+1,Q641)</f>
        <v>339</v>
      </c>
      <c r="R642" s="42" t="e">
        <f aca="false">IF((RESET=1),0,R642+K642)</f>
        <v>#N/A</v>
      </c>
      <c r="S642" s="14" t="n">
        <f aca="false">IF(RESET=1,0,S642+N642)</f>
        <v>723.580169308039</v>
      </c>
      <c r="T642" s="2" t="e">
        <f aca="false">IF(RESET=1,0,T642+IF(H642=0,1,0))</f>
        <v>#N/A</v>
      </c>
      <c r="U642" s="2" t="n">
        <f aca="false">IF(RESET=1,0,U642+H642)</f>
        <v>39</v>
      </c>
      <c r="V642" s="14" t="e">
        <f aca="false">R642/(T642+0.00001)</f>
        <v>#N/A</v>
      </c>
      <c r="W642" s="14" t="n">
        <f aca="false">S642/(U642+0.0001)</f>
        <v>18.5532901020264</v>
      </c>
      <c r="X642" s="39" t="n">
        <f aca="false">IF(Informed=1,K642,0)</f>
        <v>18.1269689194087</v>
      </c>
      <c r="Y642" s="39" t="n">
        <f aca="false">IF(Informed=0,K642,0)</f>
        <v>0</v>
      </c>
      <c r="Z642" s="39" t="n">
        <f aca="false">IF(Informed=1,N642,0)</f>
        <v>0</v>
      </c>
      <c r="AA642" s="39" t="n">
        <f aca="false">IF(Informed=0,N642,0)</f>
        <v>0</v>
      </c>
      <c r="AB642" s="43" t="n">
        <f aca="false">IF(Arterial=0,IF(Informed=1,1,0),0)</f>
        <v>1</v>
      </c>
      <c r="AC642" s="43" t="n">
        <f aca="false">IF(Arterial=0,IF(Informed=0,1,0),0)</f>
        <v>0</v>
      </c>
      <c r="AD642" s="43" t="n">
        <f aca="false">IF(Arterial=1,IF(Informed=1,1,0),0)</f>
        <v>0</v>
      </c>
      <c r="AE642" s="43" t="n">
        <f aca="false">IF(Arterial=1,IF(Informed=0,1,0),0)</f>
        <v>0</v>
      </c>
      <c r="AF642" s="35" t="n">
        <f aca="false">IF(AB642=1,(X642-G$1030)^2,0)</f>
        <v>55.0162009964636</v>
      </c>
      <c r="AG642" s="35" t="n">
        <f aca="false">IF(AC642=1,(Y642-H$1030)^2,0)</f>
        <v>0</v>
      </c>
      <c r="AH642" s="35" t="n">
        <f aca="false">IF(AD642=1,(Z642-I$1030)^2,0)</f>
        <v>0</v>
      </c>
      <c r="AI642" s="35" t="n">
        <f aca="false">IF(AE642=1,(AA642-J$1030)^2,0)</f>
        <v>0</v>
      </c>
      <c r="AJ642" s="37" t="n">
        <f aca="true">IF(RAND()&lt;$D$6,1,0)</f>
        <v>0</v>
      </c>
      <c r="AK642" s="14" t="n">
        <f aca="false">AK641+IF((AJ642=1),IF((H642=0),1,0),0)</f>
        <v>0</v>
      </c>
      <c r="AL642" s="14" t="n">
        <f aca="false">AL641+IF((AJ642=1),IF((H642=1),1,0),0)</f>
        <v>0</v>
      </c>
      <c r="AM642" s="37" t="n">
        <f aca="false">IF(AK642=0,9999,IF($H642=0,IF($AJ642&lt;1,AM641+1,0),AM641))</f>
        <v>9999</v>
      </c>
      <c r="AN642" s="37" t="n">
        <f aca="false">IF(AL642=0,9999,IF($H642=1,IF($AJ642&lt;1,AN641+1,0),AN641))</f>
        <v>9999</v>
      </c>
      <c r="AO642" s="37" t="n">
        <f aca="false">IF($A642-AM642&gt;0,1/(1+AM642),0)</f>
        <v>0</v>
      </c>
      <c r="AP642" s="37" t="n">
        <f aca="false">IF($A642-AN642&gt;0,1/(1+AN642),0)</f>
        <v>0</v>
      </c>
      <c r="AQ642" s="7" t="n">
        <f aca="false">IF(AK642=0,0,MAX(MIN(1,AO642^Power),0))</f>
        <v>0</v>
      </c>
      <c r="AR642" s="7" t="n">
        <f aca="false">IF(AL642=0,0,MAX(MIN(1,AP642^Power),0))</f>
        <v>0</v>
      </c>
      <c r="AS642" s="7" t="n">
        <f aca="false">IF($AJ642=1,IF($H642=0,K642,AS641),AS641)</f>
        <v>0</v>
      </c>
      <c r="AT642" s="7" t="n">
        <f aca="false">IF($AJ642=1,IF($H642=1,N642,AT641),AT641)</f>
        <v>0</v>
      </c>
    </row>
    <row r="643" customFormat="false" ht="13" hidden="false" customHeight="false" outlineLevel="0" collapsed="false">
      <c r="A643" s="16" t="n">
        <v>626</v>
      </c>
      <c r="B643" s="37" t="n">
        <f aca="true">IF(RAND()&lt;$D$8,1,0)</f>
        <v>1</v>
      </c>
      <c r="C643" s="20" t="n">
        <f aca="true">-LN(RAND())/$D$2</f>
        <v>0.993727685876904</v>
      </c>
      <c r="D643" s="38" t="n">
        <f aca="false">D642+C643</f>
        <v>648.540275063749</v>
      </c>
      <c r="E643" s="39" t="n">
        <f aca="false">MAX($E$3,AS642)</f>
        <v>0</v>
      </c>
      <c r="F643" s="39" t="n">
        <f aca="false">MAX($E$3,AT642)</f>
        <v>0</v>
      </c>
      <c r="G643" s="40" t="n">
        <v>0.5</v>
      </c>
      <c r="H643" s="38" t="n">
        <f aca="true">IF((B643=1),(IF((F643&lt;E643),1,(IF((F643=E643),(IF(RAND()&lt;G643,1,0)),0)))),(IF((RAND()&lt;G643),1,0)))</f>
        <v>1</v>
      </c>
      <c r="I643" s="38" t="n">
        <f aca="true">IF((H643=1),0,$D$3+$D$5*(RAND()-0.5))</f>
        <v>0</v>
      </c>
      <c r="J643" s="38" t="n">
        <f aca="false">I643+MAX(D643,J642)</f>
        <v>665.673516297281</v>
      </c>
      <c r="K643" s="38" t="n">
        <f aca="false">IF((H643=0),J643-D643,0)</f>
        <v>0</v>
      </c>
      <c r="L643" s="38" t="n">
        <f aca="true">IF(($H643=0),0,$D$4+$D$5*(RAND()-0.5))</f>
        <v>1.84722773277111</v>
      </c>
      <c r="M643" s="38" t="n">
        <f aca="false">L643+MAX(D643,M642)</f>
        <v>708.728806353142</v>
      </c>
      <c r="N643" s="38" t="n">
        <f aca="false">IF((H643=1),M643-D643,0)</f>
        <v>60.1885312893935</v>
      </c>
      <c r="O643" s="16" t="n">
        <v>626</v>
      </c>
      <c r="P643" s="41" t="n">
        <f aca="false">IF((Arterial=0),P642+1,P642)</f>
        <v>286</v>
      </c>
      <c r="Q643" s="41" t="n">
        <f aca="false">IF((Arterial=1),Q642+1,Q642)</f>
        <v>340</v>
      </c>
      <c r="R643" s="42" t="n">
        <f aca="false">IF((RESET=1),0,R643+K643)</f>
        <v>933.440072278092</v>
      </c>
      <c r="S643" s="14" t="e">
        <f aca="false">IF(RESET=1,0,S643+N643)</f>
        <v>#N/A</v>
      </c>
      <c r="T643" s="2" t="n">
        <f aca="false">IF(RESET=1,0,T643+IF(H643=0,1,0))</f>
        <v>44</v>
      </c>
      <c r="U643" s="2" t="e">
        <f aca="false">IF(RESET=1,0,U643+H643)</f>
        <v>#N/A</v>
      </c>
      <c r="V643" s="14" t="n">
        <f aca="false">R643/(T643+0.00001)</f>
        <v>21.2145422757425</v>
      </c>
      <c r="W643" s="14" t="e">
        <f aca="false">S643/(U643+0.0001)</f>
        <v>#N/A</v>
      </c>
      <c r="X643" s="39" t="n">
        <f aca="false">IF(Informed=1,K643,0)</f>
        <v>0</v>
      </c>
      <c r="Y643" s="39" t="n">
        <f aca="false">IF(Informed=0,K643,0)</f>
        <v>0</v>
      </c>
      <c r="Z643" s="39" t="n">
        <f aca="false">IF(Informed=1,N643,0)</f>
        <v>60.1885312893935</v>
      </c>
      <c r="AA643" s="39" t="n">
        <f aca="false">IF(Informed=0,N643,0)</f>
        <v>0</v>
      </c>
      <c r="AB643" s="43" t="n">
        <f aca="false">IF(Arterial=0,IF(Informed=1,1,0),0)</f>
        <v>0</v>
      </c>
      <c r="AC643" s="43" t="n">
        <f aca="false">IF(Arterial=0,IF(Informed=0,1,0),0)</f>
        <v>0</v>
      </c>
      <c r="AD643" s="43" t="n">
        <f aca="false">IF(Arterial=1,IF(Informed=1,1,0),0)</f>
        <v>1</v>
      </c>
      <c r="AE643" s="43" t="n">
        <f aca="false">IF(Arterial=1,IF(Informed=0,1,0),0)</f>
        <v>0</v>
      </c>
      <c r="AF643" s="35" t="n">
        <f aca="false">IF(AB643=1,(X643-G$1030)^2,0)</f>
        <v>0</v>
      </c>
      <c r="AG643" s="35" t="n">
        <f aca="false">IF(AC643=1,(Y643-H$1030)^2,0)</f>
        <v>0</v>
      </c>
      <c r="AH643" s="35" t="n">
        <f aca="false">IF(AD643=1,(Z643-I$1030)^2,0)</f>
        <v>1012.11128474962</v>
      </c>
      <c r="AI643" s="35" t="n">
        <f aca="false">IF(AE643=1,(AA643-J$1030)^2,0)</f>
        <v>0</v>
      </c>
      <c r="AJ643" s="37" t="n">
        <f aca="true">IF(RAND()&lt;$D$6,1,0)</f>
        <v>0</v>
      </c>
      <c r="AK643" s="14" t="n">
        <f aca="false">AK642+IF((AJ643=1),IF((H643=0),1,0),0)</f>
        <v>0</v>
      </c>
      <c r="AL643" s="14" t="n">
        <f aca="false">AL642+IF((AJ643=1),IF((H643=1),1,0),0)</f>
        <v>0</v>
      </c>
      <c r="AM643" s="37" t="n">
        <f aca="false">IF(AK643=0,9999,IF($H643=0,IF($AJ643&lt;1,AM642+1,0),AM642))</f>
        <v>9999</v>
      </c>
      <c r="AN643" s="37" t="n">
        <f aca="false">IF(AL643=0,9999,IF($H643=1,IF($AJ643&lt;1,AN642+1,0),AN642))</f>
        <v>9999</v>
      </c>
      <c r="AO643" s="37" t="n">
        <f aca="false">IF($A643-AM643&gt;0,1/(1+AM643),0)</f>
        <v>0</v>
      </c>
      <c r="AP643" s="37" t="n">
        <f aca="false">IF($A643-AN643&gt;0,1/(1+AN643),0)</f>
        <v>0</v>
      </c>
      <c r="AQ643" s="7" t="n">
        <f aca="false">IF(AK643=0,0,MAX(MIN(1,AO643^Power),0))</f>
        <v>0</v>
      </c>
      <c r="AR643" s="7" t="n">
        <f aca="false">IF(AL643=0,0,MAX(MIN(1,AP643^Power),0))</f>
        <v>0</v>
      </c>
      <c r="AS643" s="7" t="n">
        <f aca="false">IF($AJ643=1,IF($H643=0,K643,AS642),AS642)</f>
        <v>0</v>
      </c>
      <c r="AT643" s="7" t="n">
        <f aca="false">IF($AJ643=1,IF($H643=1,N643,AT642),AT642)</f>
        <v>0</v>
      </c>
    </row>
    <row r="644" customFormat="false" ht="13" hidden="false" customHeight="false" outlineLevel="0" collapsed="false">
      <c r="A644" s="16" t="n">
        <v>627</v>
      </c>
      <c r="B644" s="37" t="n">
        <f aca="true">IF(RAND()&lt;$D$8,1,0)</f>
        <v>0</v>
      </c>
      <c r="C644" s="20" t="n">
        <f aca="true">-LN(RAND())/$D$2</f>
        <v>1.63175986686666</v>
      </c>
      <c r="D644" s="38" t="n">
        <f aca="false">D643+C644</f>
        <v>650.172034930616</v>
      </c>
      <c r="E644" s="39" t="n">
        <f aca="false">MAX($E$3,AS643)</f>
        <v>0</v>
      </c>
      <c r="F644" s="39" t="n">
        <f aca="false">MAX($E$3,AT643)</f>
        <v>0</v>
      </c>
      <c r="G644" s="40" t="n">
        <v>0.5</v>
      </c>
      <c r="H644" s="38" t="n">
        <f aca="true">IF((B644=1),(IF((F644&lt;E644),1,(IF((F644=E644),(IF(RAND()&lt;G644,1,0)),0)))),(IF((RAND()&lt;G644),1,0)))</f>
        <v>0</v>
      </c>
      <c r="I644" s="38" t="n">
        <f aca="true">IF((H644=1),0,$D$3+$D$5*(RAND()-0.5))</f>
        <v>2.12407928801345</v>
      </c>
      <c r="J644" s="38" t="n">
        <f aca="false">I644+MAX(D644,J643)</f>
        <v>667.797595585294</v>
      </c>
      <c r="K644" s="38" t="n">
        <f aca="false">IF((H644=0),J644-D644,0)</f>
        <v>17.6255606546786</v>
      </c>
      <c r="L644" s="38" t="n">
        <f aca="true">IF(($H644=0),0,$D$4+$D$5*(RAND()-0.5))</f>
        <v>0</v>
      </c>
      <c r="M644" s="38" t="n">
        <f aca="false">L644+MAX(D644,M643)</f>
        <v>708.728806353142</v>
      </c>
      <c r="N644" s="38" t="n">
        <f aca="false">IF((H644=1),M644-D644,0)</f>
        <v>0</v>
      </c>
      <c r="O644" s="16" t="n">
        <v>627</v>
      </c>
      <c r="P644" s="41" t="n">
        <f aca="false">IF((Arterial=0),P643+1,P643)</f>
        <v>287</v>
      </c>
      <c r="Q644" s="41" t="n">
        <f aca="false">IF((Arterial=1),Q643+1,Q643)</f>
        <v>340</v>
      </c>
      <c r="R644" s="42" t="e">
        <f aca="false">IF((RESET=1),0,R644+K644)</f>
        <v>#N/A</v>
      </c>
      <c r="S644" s="14" t="n">
        <f aca="false">IF(RESET=1,0,S644+N644)</f>
        <v>403.311449266544</v>
      </c>
      <c r="T644" s="2" t="e">
        <f aca="false">IF(RESET=1,0,T644+IF(H644=0,1,0))</f>
        <v>#N/A</v>
      </c>
      <c r="U644" s="2" t="n">
        <f aca="false">IF(RESET=1,0,U644+H644)</f>
        <v>30</v>
      </c>
      <c r="V644" s="14" t="e">
        <f aca="false">R644/(T644+0.00001)</f>
        <v>#N/A</v>
      </c>
      <c r="W644" s="14" t="n">
        <f aca="false">S644/(U644+0.0001)</f>
        <v>13.4436701633176</v>
      </c>
      <c r="X644" s="39" t="n">
        <f aca="false">IF(Informed=1,K644,0)</f>
        <v>0</v>
      </c>
      <c r="Y644" s="39" t="n">
        <f aca="false">IF(Informed=0,K644,0)</f>
        <v>17.6255606546786</v>
      </c>
      <c r="Z644" s="39" t="n">
        <f aca="false">IF(Informed=1,N644,0)</f>
        <v>0</v>
      </c>
      <c r="AA644" s="39" t="n">
        <f aca="false">IF(Informed=0,N644,0)</f>
        <v>0</v>
      </c>
      <c r="AB644" s="43" t="n">
        <f aca="false">IF(Arterial=0,IF(Informed=1,1,0),0)</f>
        <v>0</v>
      </c>
      <c r="AC644" s="43" t="n">
        <f aca="false">IF(Arterial=0,IF(Informed=0,1,0),0)</f>
        <v>1</v>
      </c>
      <c r="AD644" s="43" t="n">
        <f aca="false">IF(Arterial=1,IF(Informed=1,1,0),0)</f>
        <v>0</v>
      </c>
      <c r="AE644" s="43" t="n">
        <f aca="false">IF(Arterial=1,IF(Informed=0,1,0),0)</f>
        <v>0</v>
      </c>
      <c r="AF644" s="35" t="n">
        <f aca="false">IF(AB644=1,(X644-G$1030)^2,0)</f>
        <v>0</v>
      </c>
      <c r="AG644" s="35" t="n">
        <f aca="false">IF(AC644=1,(Y644-H$1030)^2,0)</f>
        <v>44.9137935651056</v>
      </c>
      <c r="AH644" s="35" t="n">
        <f aca="false">IF(AD644=1,(Z644-I$1030)^2,0)</f>
        <v>0</v>
      </c>
      <c r="AI644" s="35" t="n">
        <f aca="false">IF(AE644=1,(AA644-J$1030)^2,0)</f>
        <v>0</v>
      </c>
      <c r="AJ644" s="37" t="n">
        <f aca="true">IF(RAND()&lt;$D$6,1,0)</f>
        <v>0</v>
      </c>
      <c r="AK644" s="14" t="n">
        <f aca="false">AK643+IF((AJ644=1),IF((H644=0),1,0),0)</f>
        <v>0</v>
      </c>
      <c r="AL644" s="14" t="n">
        <f aca="false">AL643+IF((AJ644=1),IF((H644=1),1,0),0)</f>
        <v>0</v>
      </c>
      <c r="AM644" s="37" t="n">
        <f aca="false">IF(AK644=0,9999,IF($H644=0,IF($AJ644&lt;1,AM643+1,0),AM643))</f>
        <v>9999</v>
      </c>
      <c r="AN644" s="37" t="n">
        <f aca="false">IF(AL644=0,9999,IF($H644=1,IF($AJ644&lt;1,AN643+1,0),AN643))</f>
        <v>9999</v>
      </c>
      <c r="AO644" s="37" t="n">
        <f aca="false">IF($A644-AM644&gt;0,1/(1+AM644),0)</f>
        <v>0</v>
      </c>
      <c r="AP644" s="37" t="n">
        <f aca="false">IF($A644-AN644&gt;0,1/(1+AN644),0)</f>
        <v>0</v>
      </c>
      <c r="AQ644" s="7" t="n">
        <f aca="false">IF(AK644=0,0,MAX(MIN(1,AO644^Power),0))</f>
        <v>0</v>
      </c>
      <c r="AR644" s="7" t="n">
        <f aca="false">IF(AL644=0,0,MAX(MIN(1,AP644^Power),0))</f>
        <v>0</v>
      </c>
      <c r="AS644" s="7" t="n">
        <f aca="false">IF($AJ644=1,IF($H644=0,K644,AS643),AS643)</f>
        <v>0</v>
      </c>
      <c r="AT644" s="7" t="n">
        <f aca="false">IF($AJ644=1,IF($H644=1,N644,AT643),AT643)</f>
        <v>0</v>
      </c>
    </row>
    <row r="645" customFormat="false" ht="13" hidden="false" customHeight="false" outlineLevel="0" collapsed="false">
      <c r="A645" s="16" t="n">
        <v>628</v>
      </c>
      <c r="B645" s="37" t="n">
        <f aca="true">IF(RAND()&lt;$D$8,1,0)</f>
        <v>0</v>
      </c>
      <c r="C645" s="20" t="n">
        <f aca="true">-LN(RAND())/$D$2</f>
        <v>1.89896835145148</v>
      </c>
      <c r="D645" s="38" t="n">
        <f aca="false">D644+C645</f>
        <v>652.071003282067</v>
      </c>
      <c r="E645" s="39" t="n">
        <f aca="false">MAX($E$3,AS644)</f>
        <v>0</v>
      </c>
      <c r="F645" s="39" t="n">
        <f aca="false">MAX($E$3,AT644)</f>
        <v>0</v>
      </c>
      <c r="G645" s="40" t="n">
        <v>0.5</v>
      </c>
      <c r="H645" s="38" t="n">
        <f aca="true">IF((B645=1),(IF((F645&lt;E645),1,(IF((F645=E645),(IF(RAND()&lt;G645,1,0)),0)))),(IF((RAND()&lt;G645),1,0)))</f>
        <v>0</v>
      </c>
      <c r="I645" s="38" t="n">
        <f aca="true">IF((H645=1),0,$D$3+$D$5*(RAND()-0.5))</f>
        <v>2.15424031856935</v>
      </c>
      <c r="J645" s="38" t="n">
        <f aca="false">I645+MAX(D645,J644)</f>
        <v>669.951835903863</v>
      </c>
      <c r="K645" s="38" t="n">
        <f aca="false">IF((H645=0),J645-D645,0)</f>
        <v>17.8808326217965</v>
      </c>
      <c r="L645" s="38" t="n">
        <f aca="true">IF(($H645=0),0,$D$4+$D$5*(RAND()-0.5))</f>
        <v>0</v>
      </c>
      <c r="M645" s="38" t="n">
        <f aca="false">L645+MAX(D645,M644)</f>
        <v>708.728806353142</v>
      </c>
      <c r="N645" s="38" t="n">
        <f aca="false">IF((H645=1),M645-D645,0)</f>
        <v>0</v>
      </c>
      <c r="O645" s="16" t="n">
        <v>628</v>
      </c>
      <c r="P645" s="41" t="n">
        <f aca="false">IF((Arterial=0),P644+1,P644)</f>
        <v>288</v>
      </c>
      <c r="Q645" s="41" t="n">
        <f aca="false">IF((Arterial=1),Q644+1,Q644)</f>
        <v>340</v>
      </c>
      <c r="R645" s="42" t="e">
        <f aca="false">IF((RESET=1),0,R645+K645)</f>
        <v>#N/A</v>
      </c>
      <c r="S645" s="14" t="n">
        <f aca="false">IF(RESET=1,0,S645+N645)</f>
        <v>715.332370588158</v>
      </c>
      <c r="T645" s="2" t="e">
        <f aca="false">IF(RESET=1,0,T645+IF(H645=0,1,0))</f>
        <v>#N/A</v>
      </c>
      <c r="U645" s="2" t="n">
        <f aca="false">IF(RESET=1,0,U645+H645)</f>
        <v>47</v>
      </c>
      <c r="V645" s="14" t="e">
        <f aca="false">R645/(T645+0.00001)</f>
        <v>#N/A</v>
      </c>
      <c r="W645" s="14" t="n">
        <f aca="false">S645/(U645+0.0001)</f>
        <v>15.219805289524</v>
      </c>
      <c r="X645" s="39" t="n">
        <f aca="false">IF(Informed=1,K645,0)</f>
        <v>0</v>
      </c>
      <c r="Y645" s="39" t="n">
        <f aca="false">IF(Informed=0,K645,0)</f>
        <v>17.8808326217965</v>
      </c>
      <c r="Z645" s="39" t="n">
        <f aca="false">IF(Informed=1,N645,0)</f>
        <v>0</v>
      </c>
      <c r="AA645" s="39" t="n">
        <f aca="false">IF(Informed=0,N645,0)</f>
        <v>0</v>
      </c>
      <c r="AB645" s="43" t="n">
        <f aca="false">IF(Arterial=0,IF(Informed=1,1,0),0)</f>
        <v>0</v>
      </c>
      <c r="AC645" s="43" t="n">
        <f aca="false">IF(Arterial=0,IF(Informed=0,1,0),0)</f>
        <v>1</v>
      </c>
      <c r="AD645" s="43" t="n">
        <f aca="false">IF(Arterial=1,IF(Informed=1,1,0),0)</f>
        <v>0</v>
      </c>
      <c r="AE645" s="43" t="n">
        <f aca="false">IF(Arterial=1,IF(Informed=0,1,0),0)</f>
        <v>0</v>
      </c>
      <c r="AF645" s="35" t="n">
        <f aca="false">IF(AB645=1,(X645-G$1030)^2,0)</f>
        <v>0</v>
      </c>
      <c r="AG645" s="35" t="n">
        <f aca="false">IF(AC645=1,(Y645-H$1030)^2,0)</f>
        <v>48.4005081234035</v>
      </c>
      <c r="AH645" s="35" t="n">
        <f aca="false">IF(AD645=1,(Z645-I$1030)^2,0)</f>
        <v>0</v>
      </c>
      <c r="AI645" s="35" t="n">
        <f aca="false">IF(AE645=1,(AA645-J$1030)^2,0)</f>
        <v>0</v>
      </c>
      <c r="AJ645" s="37" t="n">
        <f aca="true">IF(RAND()&lt;$D$6,1,0)</f>
        <v>0</v>
      </c>
      <c r="AK645" s="14" t="n">
        <f aca="false">AK644+IF((AJ645=1),IF((H645=0),1,0),0)</f>
        <v>0</v>
      </c>
      <c r="AL645" s="14" t="n">
        <f aca="false">AL644+IF((AJ645=1),IF((H645=1),1,0),0)</f>
        <v>0</v>
      </c>
      <c r="AM645" s="37" t="n">
        <f aca="false">IF(AK645=0,9999,IF($H645=0,IF($AJ645&lt;1,AM644+1,0),AM644))</f>
        <v>9999</v>
      </c>
      <c r="AN645" s="37" t="n">
        <f aca="false">IF(AL645=0,9999,IF($H645=1,IF($AJ645&lt;1,AN644+1,0),AN644))</f>
        <v>9999</v>
      </c>
      <c r="AO645" s="37" t="n">
        <f aca="false">IF($A645-AM645&gt;0,1/(1+AM645),0)</f>
        <v>0</v>
      </c>
      <c r="AP645" s="37" t="n">
        <f aca="false">IF($A645-AN645&gt;0,1/(1+AN645),0)</f>
        <v>0</v>
      </c>
      <c r="AQ645" s="7" t="n">
        <f aca="false">IF(AK645=0,0,MAX(MIN(1,AO645^Power),0))</f>
        <v>0</v>
      </c>
      <c r="AR645" s="7" t="n">
        <f aca="false">IF(AL645=0,0,MAX(MIN(1,AP645^Power),0))</f>
        <v>0</v>
      </c>
      <c r="AS645" s="7" t="n">
        <f aca="false">IF($AJ645=1,IF($H645=0,K645,AS644),AS644)</f>
        <v>0</v>
      </c>
      <c r="AT645" s="7" t="n">
        <f aca="false">IF($AJ645=1,IF($H645=1,N645,AT644),AT644)</f>
        <v>0</v>
      </c>
    </row>
    <row r="646" customFormat="false" ht="13" hidden="false" customHeight="false" outlineLevel="0" collapsed="false">
      <c r="A646" s="16" t="n">
        <v>629</v>
      </c>
      <c r="B646" s="37" t="n">
        <f aca="true">IF(RAND()&lt;$D$8,1,0)</f>
        <v>0</v>
      </c>
      <c r="C646" s="20" t="n">
        <f aca="true">-LN(RAND())/$D$2</f>
        <v>0.111998906170203</v>
      </c>
      <c r="D646" s="38" t="n">
        <f aca="false">D645+C646</f>
        <v>652.183002188237</v>
      </c>
      <c r="E646" s="39" t="n">
        <f aca="false">MAX($E$3,AS645)</f>
        <v>0</v>
      </c>
      <c r="F646" s="39" t="n">
        <f aca="false">MAX($E$3,AT645)</f>
        <v>0</v>
      </c>
      <c r="G646" s="40" t="n">
        <v>0.5</v>
      </c>
      <c r="H646" s="38" t="n">
        <f aca="true">IF((B646=1),(IF((F646&lt;E646),1,(IF((F646=E646),(IF(RAND()&lt;G646,1,0)),0)))),(IF((RAND()&lt;G646),1,0)))</f>
        <v>0</v>
      </c>
      <c r="I646" s="38" t="n">
        <f aca="true">IF((H646=1),0,$D$3+$D$5*(RAND()-0.5))</f>
        <v>1.75918119715919</v>
      </c>
      <c r="J646" s="38" t="n">
        <f aca="false">I646+MAX(D646,J645)</f>
        <v>671.711017101023</v>
      </c>
      <c r="K646" s="38" t="n">
        <f aca="false">IF((H646=0),J646-D646,0)</f>
        <v>19.5280149127854</v>
      </c>
      <c r="L646" s="38" t="n">
        <f aca="true">IF(($H646=0),0,$D$4+$D$5*(RAND()-0.5))</f>
        <v>0</v>
      </c>
      <c r="M646" s="38" t="n">
        <f aca="false">L646+MAX(D646,M645)</f>
        <v>708.728806353142</v>
      </c>
      <c r="N646" s="38" t="n">
        <f aca="false">IF((H646=1),M646-D646,0)</f>
        <v>0</v>
      </c>
      <c r="O646" s="16" t="n">
        <v>629</v>
      </c>
      <c r="P646" s="41" t="n">
        <f aca="false">IF((Arterial=0),P645+1,P645)</f>
        <v>289</v>
      </c>
      <c r="Q646" s="41" t="n">
        <f aca="false">IF((Arterial=1),Q645+1,Q645)</f>
        <v>340</v>
      </c>
      <c r="R646" s="42" t="e">
        <f aca="false">IF((RESET=1),0,R646+K646)</f>
        <v>#N/A</v>
      </c>
      <c r="S646" s="14" t="n">
        <f aca="false">IF(RESET=1,0,S646+N646)</f>
        <v>719.941798578264</v>
      </c>
      <c r="T646" s="2" t="e">
        <f aca="false">IF(RESET=1,0,T646+IF(H646=0,1,0))</f>
        <v>#N/A</v>
      </c>
      <c r="U646" s="2" t="n">
        <f aca="false">IF(RESET=1,0,U646+H646)</f>
        <v>47</v>
      </c>
      <c r="V646" s="14" t="e">
        <f aca="false">R646/(T646+0.00001)</f>
        <v>#N/A</v>
      </c>
      <c r="W646" s="14" t="n">
        <f aca="false">S646/(U646+0.0001)</f>
        <v>15.3178780168183</v>
      </c>
      <c r="X646" s="39" t="n">
        <f aca="false">IF(Informed=1,K646,0)</f>
        <v>0</v>
      </c>
      <c r="Y646" s="39" t="n">
        <f aca="false">IF(Informed=0,K646,0)</f>
        <v>19.5280149127854</v>
      </c>
      <c r="Z646" s="39" t="n">
        <f aca="false">IF(Informed=1,N646,0)</f>
        <v>0</v>
      </c>
      <c r="AA646" s="39" t="n">
        <f aca="false">IF(Informed=0,N646,0)</f>
        <v>0</v>
      </c>
      <c r="AB646" s="43" t="n">
        <f aca="false">IF(Arterial=0,IF(Informed=1,1,0),0)</f>
        <v>0</v>
      </c>
      <c r="AC646" s="43" t="n">
        <f aca="false">IF(Arterial=0,IF(Informed=0,1,0),0)</f>
        <v>1</v>
      </c>
      <c r="AD646" s="43" t="n">
        <f aca="false">IF(Arterial=1,IF(Informed=1,1,0),0)</f>
        <v>0</v>
      </c>
      <c r="AE646" s="43" t="n">
        <f aca="false">IF(Arterial=1,IF(Informed=0,1,0),0)</f>
        <v>0</v>
      </c>
      <c r="AF646" s="35" t="n">
        <f aca="false">IF(AB646=1,(X646-G$1030)^2,0)</f>
        <v>0</v>
      </c>
      <c r="AG646" s="35" t="n">
        <f aca="false">IF(AC646=1,(Y646-H$1030)^2,0)</f>
        <v>74.0327680775673</v>
      </c>
      <c r="AH646" s="35" t="n">
        <f aca="false">IF(AD646=1,(Z646-I$1030)^2,0)</f>
        <v>0</v>
      </c>
      <c r="AI646" s="35" t="n">
        <f aca="false">IF(AE646=1,(AA646-J$1030)^2,0)</f>
        <v>0</v>
      </c>
      <c r="AJ646" s="37" t="n">
        <f aca="true">IF(RAND()&lt;$D$6,1,0)</f>
        <v>0</v>
      </c>
      <c r="AK646" s="14" t="n">
        <f aca="false">AK645+IF((AJ646=1),IF((H646=0),1,0),0)</f>
        <v>0</v>
      </c>
      <c r="AL646" s="14" t="n">
        <f aca="false">AL645+IF((AJ646=1),IF((H646=1),1,0),0)</f>
        <v>0</v>
      </c>
      <c r="AM646" s="37" t="n">
        <f aca="false">IF(AK646=0,9999,IF($H646=0,IF($AJ646&lt;1,AM645+1,0),AM645))</f>
        <v>9999</v>
      </c>
      <c r="AN646" s="37" t="n">
        <f aca="false">IF(AL646=0,9999,IF($H646=1,IF($AJ646&lt;1,AN645+1,0),AN645))</f>
        <v>9999</v>
      </c>
      <c r="AO646" s="37" t="n">
        <f aca="false">IF($A646-AM646&gt;0,1/(1+AM646),0)</f>
        <v>0</v>
      </c>
      <c r="AP646" s="37" t="n">
        <f aca="false">IF($A646-AN646&gt;0,1/(1+AN646),0)</f>
        <v>0</v>
      </c>
      <c r="AQ646" s="7" t="n">
        <f aca="false">IF(AK646=0,0,MAX(MIN(1,AO646^Power),0))</f>
        <v>0</v>
      </c>
      <c r="AR646" s="7" t="n">
        <f aca="false">IF(AL646=0,0,MAX(MIN(1,AP646^Power),0))</f>
        <v>0</v>
      </c>
      <c r="AS646" s="7" t="n">
        <f aca="false">IF($AJ646=1,IF($H646=0,K646,AS645),AS645)</f>
        <v>0</v>
      </c>
      <c r="AT646" s="7" t="n">
        <f aca="false">IF($AJ646=1,IF($H646=1,N646,AT645),AT645)</f>
        <v>0</v>
      </c>
    </row>
    <row r="647" customFormat="false" ht="13" hidden="false" customHeight="false" outlineLevel="0" collapsed="false">
      <c r="A647" s="16" t="n">
        <v>630</v>
      </c>
      <c r="B647" s="37" t="n">
        <f aca="true">IF(RAND()&lt;$D$8,1,0)</f>
        <v>1</v>
      </c>
      <c r="C647" s="20" t="n">
        <f aca="true">-LN(RAND())/$D$2</f>
        <v>2.09284507728924</v>
      </c>
      <c r="D647" s="38" t="n">
        <f aca="false">D646+C647</f>
        <v>654.275847265526</v>
      </c>
      <c r="E647" s="39" t="n">
        <f aca="false">MAX($E$3,AS646)</f>
        <v>0</v>
      </c>
      <c r="F647" s="39" t="n">
        <f aca="false">MAX($E$3,AT646)</f>
        <v>0</v>
      </c>
      <c r="G647" s="40" t="n">
        <v>0.5</v>
      </c>
      <c r="H647" s="38" t="n">
        <f aca="true">IF((B647=1),(IF((F647&lt;E647),1,(IF((F647=E647),(IF(RAND()&lt;G647,1,0)),0)))),(IF((RAND()&lt;G647),1,0)))</f>
        <v>1</v>
      </c>
      <c r="I647" s="38" t="n">
        <f aca="true">IF((H647=1),0,$D$3+$D$5*(RAND()-0.5))</f>
        <v>0</v>
      </c>
      <c r="J647" s="38" t="n">
        <f aca="false">I647+MAX(D647,J646)</f>
        <v>671.711017101023</v>
      </c>
      <c r="K647" s="38" t="n">
        <f aca="false">IF((H647=0),J647-D647,0)</f>
        <v>0</v>
      </c>
      <c r="L647" s="38" t="n">
        <f aca="true">IF(($H647=0),0,$D$4+$D$5*(RAND()-0.5))</f>
        <v>2.12254641332046</v>
      </c>
      <c r="M647" s="38" t="n">
        <f aca="false">L647+MAX(D647,M646)</f>
        <v>710.851352766463</v>
      </c>
      <c r="N647" s="38" t="n">
        <f aca="false">IF((H647=1),M647-D647,0)</f>
        <v>56.5755055009364</v>
      </c>
      <c r="O647" s="16" t="n">
        <v>630</v>
      </c>
      <c r="P647" s="41" t="n">
        <f aca="false">IF((Arterial=0),P646+1,P646)</f>
        <v>289</v>
      </c>
      <c r="Q647" s="41" t="n">
        <f aca="false">IF((Arterial=1),Q646+1,Q646)</f>
        <v>341</v>
      </c>
      <c r="R647" s="42" t="n">
        <f aca="false">IF((RESET=1),0,R647+K647)</f>
        <v>874.910090708876</v>
      </c>
      <c r="S647" s="14" t="e">
        <f aca="false">IF(RESET=1,0,S647+N647)</f>
        <v>#N/A</v>
      </c>
      <c r="T647" s="2" t="n">
        <f aca="false">IF(RESET=1,0,T647+IF(H647=0,1,0))</f>
        <v>38</v>
      </c>
      <c r="U647" s="2" t="e">
        <f aca="false">IF(RESET=1,0,U647+H647)</f>
        <v>#N/A</v>
      </c>
      <c r="V647" s="14" t="n">
        <f aca="false">R647/(T647+0.00001)</f>
        <v>23.0239436965642</v>
      </c>
      <c r="W647" s="14" t="e">
        <f aca="false">S647/(U647+0.0001)</f>
        <v>#N/A</v>
      </c>
      <c r="X647" s="39" t="n">
        <f aca="false">IF(Informed=1,K647,0)</f>
        <v>0</v>
      </c>
      <c r="Y647" s="39" t="n">
        <f aca="false">IF(Informed=0,K647,0)</f>
        <v>0</v>
      </c>
      <c r="Z647" s="39" t="n">
        <f aca="false">IF(Informed=1,N647,0)</f>
        <v>56.5755055009364</v>
      </c>
      <c r="AA647" s="39" t="n">
        <f aca="false">IF(Informed=0,N647,0)</f>
        <v>0</v>
      </c>
      <c r="AB647" s="43" t="n">
        <f aca="false">IF(Arterial=0,IF(Informed=1,1,0),0)</f>
        <v>0</v>
      </c>
      <c r="AC647" s="43" t="n">
        <f aca="false">IF(Arterial=0,IF(Informed=0,1,0),0)</f>
        <v>0</v>
      </c>
      <c r="AD647" s="43" t="n">
        <f aca="false">IF(Arterial=1,IF(Informed=1,1,0),0)</f>
        <v>1</v>
      </c>
      <c r="AE647" s="43" t="n">
        <f aca="false">IF(Arterial=1,IF(Informed=0,1,0),0)</f>
        <v>0</v>
      </c>
      <c r="AF647" s="35" t="n">
        <f aca="false">IF(AB647=1,(X647-G$1030)^2,0)</f>
        <v>0</v>
      </c>
      <c r="AG647" s="35" t="n">
        <f aca="false">IF(AC647=1,(Y647-H$1030)^2,0)</f>
        <v>0</v>
      </c>
      <c r="AH647" s="35" t="n">
        <f aca="false">IF(AD647=1,(Z647-I$1030)^2,0)</f>
        <v>795.277828364149</v>
      </c>
      <c r="AI647" s="35" t="n">
        <f aca="false">IF(AE647=1,(AA647-J$1030)^2,0)</f>
        <v>0</v>
      </c>
      <c r="AJ647" s="37" t="n">
        <f aca="true">IF(RAND()&lt;$D$6,1,0)</f>
        <v>0</v>
      </c>
      <c r="AK647" s="14" t="n">
        <f aca="false">AK646+IF((AJ647=1),IF((H647=0),1,0),0)</f>
        <v>0</v>
      </c>
      <c r="AL647" s="14" t="n">
        <f aca="false">AL646+IF((AJ647=1),IF((H647=1),1,0),0)</f>
        <v>0</v>
      </c>
      <c r="AM647" s="37" t="n">
        <f aca="false">IF(AK647=0,9999,IF($H647=0,IF($AJ647&lt;1,AM646+1,0),AM646))</f>
        <v>9999</v>
      </c>
      <c r="AN647" s="37" t="n">
        <f aca="false">IF(AL647=0,9999,IF($H647=1,IF($AJ647&lt;1,AN646+1,0),AN646))</f>
        <v>9999</v>
      </c>
      <c r="AO647" s="37" t="n">
        <f aca="false">IF($A647-AM647&gt;0,1/(1+AM647),0)</f>
        <v>0</v>
      </c>
      <c r="AP647" s="37" t="n">
        <f aca="false">IF($A647-AN647&gt;0,1/(1+AN647),0)</f>
        <v>0</v>
      </c>
      <c r="AQ647" s="7" t="n">
        <f aca="false">IF(AK647=0,0,MAX(MIN(1,AO647^Power),0))</f>
        <v>0</v>
      </c>
      <c r="AR647" s="7" t="n">
        <f aca="false">IF(AL647=0,0,MAX(MIN(1,AP647^Power),0))</f>
        <v>0</v>
      </c>
      <c r="AS647" s="7" t="n">
        <f aca="false">IF($AJ647=1,IF($H647=0,K647,AS646),AS646)</f>
        <v>0</v>
      </c>
      <c r="AT647" s="7" t="n">
        <f aca="false">IF($AJ647=1,IF($H647=1,N647,AT646),AT646)</f>
        <v>0</v>
      </c>
    </row>
    <row r="648" customFormat="false" ht="13" hidden="false" customHeight="false" outlineLevel="0" collapsed="false">
      <c r="A648" s="16" t="n">
        <v>631</v>
      </c>
      <c r="B648" s="37" t="n">
        <f aca="true">IF(RAND()&lt;$D$8,1,0)</f>
        <v>1</v>
      </c>
      <c r="C648" s="20" t="n">
        <f aca="true">-LN(RAND())/$D$2</f>
        <v>2.32591924723176</v>
      </c>
      <c r="D648" s="38" t="n">
        <f aca="false">D647+C648</f>
        <v>656.601766512758</v>
      </c>
      <c r="E648" s="39" t="n">
        <f aca="false">MAX($E$3,AS647)</f>
        <v>0</v>
      </c>
      <c r="F648" s="39" t="n">
        <f aca="false">MAX($E$3,AT647)</f>
        <v>0</v>
      </c>
      <c r="G648" s="40" t="n">
        <v>0.5</v>
      </c>
      <c r="H648" s="38" t="n">
        <f aca="true">IF((B648=1),(IF((F648&lt;E648),1,(IF((F648=E648),(IF(RAND()&lt;G648,1,0)),0)))),(IF((RAND()&lt;G648),1,0)))</f>
        <v>0</v>
      </c>
      <c r="I648" s="38" t="n">
        <f aca="true">IF((H648=1),0,$D$3+$D$5*(RAND()-0.5))</f>
        <v>2.12840929424543</v>
      </c>
      <c r="J648" s="38" t="n">
        <f aca="false">I648+MAX(D648,J647)</f>
        <v>673.839426395268</v>
      </c>
      <c r="K648" s="38" t="n">
        <f aca="false">IF((H648=0),J648-D648,0)</f>
        <v>17.2376598825098</v>
      </c>
      <c r="L648" s="38" t="n">
        <f aca="true">IF(($H648=0),0,$D$4+$D$5*(RAND()-0.5))</f>
        <v>0</v>
      </c>
      <c r="M648" s="38" t="n">
        <f aca="false">L648+MAX(D648,M647)</f>
        <v>710.851352766463</v>
      </c>
      <c r="N648" s="38" t="n">
        <f aca="false">IF((H648=1),M648-D648,0)</f>
        <v>0</v>
      </c>
      <c r="O648" s="16" t="n">
        <v>631</v>
      </c>
      <c r="P648" s="41" t="n">
        <f aca="false">IF((Arterial=0),P647+1,P647)</f>
        <v>290</v>
      </c>
      <c r="Q648" s="41" t="n">
        <f aca="false">IF((Arterial=1),Q647+1,Q647)</f>
        <v>341</v>
      </c>
      <c r="R648" s="42" t="e">
        <f aca="false">IF((RESET=1),0,R648+K648)</f>
        <v>#N/A</v>
      </c>
      <c r="S648" s="14" t="n">
        <f aca="false">IF(RESET=1,0,S648+N648)</f>
        <v>532.410901739284</v>
      </c>
      <c r="T648" s="2" t="e">
        <f aca="false">IF(RESET=1,0,T648+IF(H648=0,1,0))</f>
        <v>#N/A</v>
      </c>
      <c r="U648" s="2" t="n">
        <f aca="false">IF(RESET=1,0,U648+H648)</f>
        <v>35</v>
      </c>
      <c r="V648" s="14" t="e">
        <f aca="false">R648/(T648+0.00001)</f>
        <v>#N/A</v>
      </c>
      <c r="W648" s="14" t="n">
        <f aca="false">S648/(U648+0.0001)</f>
        <v>15.2116965877036</v>
      </c>
      <c r="X648" s="39" t="n">
        <f aca="false">IF(Informed=1,K648,0)</f>
        <v>17.2376598825098</v>
      </c>
      <c r="Y648" s="39" t="n">
        <f aca="false">IF(Informed=0,K648,0)</f>
        <v>0</v>
      </c>
      <c r="Z648" s="39" t="n">
        <f aca="false">IF(Informed=1,N648,0)</f>
        <v>0</v>
      </c>
      <c r="AA648" s="39" t="n">
        <f aca="false">IF(Informed=0,N648,0)</f>
        <v>0</v>
      </c>
      <c r="AB648" s="43" t="n">
        <f aca="false">IF(Arterial=0,IF(Informed=1,1,0),0)</f>
        <v>1</v>
      </c>
      <c r="AC648" s="43" t="n">
        <f aca="false">IF(Arterial=0,IF(Informed=0,1,0),0)</f>
        <v>0</v>
      </c>
      <c r="AD648" s="43" t="n">
        <f aca="false">IF(Arterial=1,IF(Informed=1,1,0),0)</f>
        <v>0</v>
      </c>
      <c r="AE648" s="43" t="n">
        <f aca="false">IF(Arterial=1,IF(Informed=0,1,0),0)</f>
        <v>0</v>
      </c>
      <c r="AF648" s="35" t="n">
        <f aca="false">IF(AB648=1,(X648-G$1030)^2,0)</f>
        <v>42.6145443017281</v>
      </c>
      <c r="AG648" s="35" t="n">
        <f aca="false">IF(AC648=1,(Y648-H$1030)^2,0)</f>
        <v>0</v>
      </c>
      <c r="AH648" s="35" t="n">
        <f aca="false">IF(AD648=1,(Z648-I$1030)^2,0)</f>
        <v>0</v>
      </c>
      <c r="AI648" s="35" t="n">
        <f aca="false">IF(AE648=1,(AA648-J$1030)^2,0)</f>
        <v>0</v>
      </c>
      <c r="AJ648" s="37" t="n">
        <f aca="true">IF(RAND()&lt;$D$6,1,0)</f>
        <v>0</v>
      </c>
      <c r="AK648" s="14" t="n">
        <f aca="false">AK647+IF((AJ648=1),IF((H648=0),1,0),0)</f>
        <v>0</v>
      </c>
      <c r="AL648" s="14" t="n">
        <f aca="false">AL647+IF((AJ648=1),IF((H648=1),1,0),0)</f>
        <v>0</v>
      </c>
      <c r="AM648" s="37" t="n">
        <f aca="false">IF(AK648=0,9999,IF($H648=0,IF($AJ648&lt;1,AM647+1,0),AM647))</f>
        <v>9999</v>
      </c>
      <c r="AN648" s="37" t="n">
        <f aca="false">IF(AL648=0,9999,IF($H648=1,IF($AJ648&lt;1,AN647+1,0),AN647))</f>
        <v>9999</v>
      </c>
      <c r="AO648" s="37" t="n">
        <f aca="false">IF($A648-AM648&gt;0,1/(1+AM648),0)</f>
        <v>0</v>
      </c>
      <c r="AP648" s="37" t="n">
        <f aca="false">IF($A648-AN648&gt;0,1/(1+AN648),0)</f>
        <v>0</v>
      </c>
      <c r="AQ648" s="7" t="n">
        <f aca="false">IF(AK648=0,0,MAX(MIN(1,AO648^Power),0))</f>
        <v>0</v>
      </c>
      <c r="AR648" s="7" t="n">
        <f aca="false">IF(AL648=0,0,MAX(MIN(1,AP648^Power),0))</f>
        <v>0</v>
      </c>
      <c r="AS648" s="7" t="n">
        <f aca="false">IF($AJ648=1,IF($H648=0,K648,AS647),AS647)</f>
        <v>0</v>
      </c>
      <c r="AT648" s="7" t="n">
        <f aca="false">IF($AJ648=1,IF($H648=1,N648,AT647),AT647)</f>
        <v>0</v>
      </c>
    </row>
    <row r="649" customFormat="false" ht="13" hidden="false" customHeight="false" outlineLevel="0" collapsed="false">
      <c r="A649" s="16" t="n">
        <v>632</v>
      </c>
      <c r="B649" s="37" t="n">
        <f aca="true">IF(RAND()&lt;$D$8,1,0)</f>
        <v>1</v>
      </c>
      <c r="C649" s="20" t="n">
        <f aca="true">-LN(RAND())/$D$2</f>
        <v>0.3757743279275</v>
      </c>
      <c r="D649" s="38" t="n">
        <f aca="false">D648+C649</f>
        <v>656.977540840686</v>
      </c>
      <c r="E649" s="39" t="n">
        <f aca="false">MAX($E$3,AS648)</f>
        <v>0</v>
      </c>
      <c r="F649" s="39" t="n">
        <f aca="false">MAX($E$3,AT648)</f>
        <v>0</v>
      </c>
      <c r="G649" s="40" t="n">
        <v>0.5</v>
      </c>
      <c r="H649" s="38" t="n">
        <f aca="true">IF((B649=1),(IF((F649&lt;E649),1,(IF((F649=E649),(IF(RAND()&lt;G649,1,0)),0)))),(IF((RAND()&lt;G649),1,0)))</f>
        <v>0</v>
      </c>
      <c r="I649" s="38" t="n">
        <f aca="true">IF((H649=1),0,$D$3+$D$5*(RAND()-0.5))</f>
        <v>2.23127242337231</v>
      </c>
      <c r="J649" s="38" t="n">
        <f aca="false">I649+MAX(D649,J648)</f>
        <v>676.07069881864</v>
      </c>
      <c r="K649" s="38" t="n">
        <f aca="false">IF((H649=0),J649-D649,0)</f>
        <v>19.0931579779545</v>
      </c>
      <c r="L649" s="38" t="n">
        <f aca="true">IF(($H649=0),0,$D$4+$D$5*(RAND()-0.5))</f>
        <v>0</v>
      </c>
      <c r="M649" s="38" t="n">
        <f aca="false">L649+MAX(D649,M648)</f>
        <v>710.851352766463</v>
      </c>
      <c r="N649" s="38" t="n">
        <f aca="false">IF((H649=1),M649-D649,0)</f>
        <v>0</v>
      </c>
      <c r="O649" s="16" t="n">
        <v>632</v>
      </c>
      <c r="P649" s="41" t="n">
        <f aca="false">IF((Arterial=0),P648+1,P648)</f>
        <v>291</v>
      </c>
      <c r="Q649" s="41" t="n">
        <f aca="false">IF((Arterial=1),Q648+1,Q648)</f>
        <v>341</v>
      </c>
      <c r="R649" s="42" t="e">
        <f aca="false">IF((RESET=1),0,R649+K649)</f>
        <v>#N/A</v>
      </c>
      <c r="S649" s="14" t="n">
        <f aca="false">IF(RESET=1,0,S649+N649)</f>
        <v>624.908257161277</v>
      </c>
      <c r="T649" s="2" t="e">
        <f aca="false">IF(RESET=1,0,T649+IF(H649=0,1,0))</f>
        <v>#N/A</v>
      </c>
      <c r="U649" s="2" t="n">
        <f aca="false">IF(RESET=1,0,U649+H649)</f>
        <v>41</v>
      </c>
      <c r="V649" s="14" t="e">
        <f aca="false">R649/(T649+0.00001)</f>
        <v>#N/A</v>
      </c>
      <c r="W649" s="14" t="n">
        <f aca="false">S649/(U649+0.0001)</f>
        <v>15.2416276341101</v>
      </c>
      <c r="X649" s="39" t="n">
        <f aca="false">IF(Informed=1,K649,0)</f>
        <v>19.0931579779545</v>
      </c>
      <c r="Y649" s="39" t="n">
        <f aca="false">IF(Informed=0,K649,0)</f>
        <v>0</v>
      </c>
      <c r="Z649" s="39" t="n">
        <f aca="false">IF(Informed=1,N649,0)</f>
        <v>0</v>
      </c>
      <c r="AA649" s="39" t="n">
        <f aca="false">IF(Informed=0,N649,0)</f>
        <v>0</v>
      </c>
      <c r="AB649" s="43" t="n">
        <f aca="false">IF(Arterial=0,IF(Informed=1,1,0),0)</f>
        <v>1</v>
      </c>
      <c r="AC649" s="43" t="n">
        <f aca="false">IF(Arterial=0,IF(Informed=0,1,0),0)</f>
        <v>0</v>
      </c>
      <c r="AD649" s="43" t="n">
        <f aca="false">IF(Arterial=1,IF(Informed=1,1,0),0)</f>
        <v>0</v>
      </c>
      <c r="AE649" s="43" t="n">
        <f aca="false">IF(Arterial=1,IF(Informed=0,1,0),0)</f>
        <v>0</v>
      </c>
      <c r="AF649" s="35" t="n">
        <f aca="false">IF(AB649=1,(X649-G$1030)^2,0)</f>
        <v>70.2827324868789</v>
      </c>
      <c r="AG649" s="35" t="n">
        <f aca="false">IF(AC649=1,(Y649-H$1030)^2,0)</f>
        <v>0</v>
      </c>
      <c r="AH649" s="35" t="n">
        <f aca="false">IF(AD649=1,(Z649-I$1030)^2,0)</f>
        <v>0</v>
      </c>
      <c r="AI649" s="35" t="n">
        <f aca="false">IF(AE649=1,(AA649-J$1030)^2,0)</f>
        <v>0</v>
      </c>
      <c r="AJ649" s="37" t="n">
        <f aca="true">IF(RAND()&lt;$D$6,1,0)</f>
        <v>0</v>
      </c>
      <c r="AK649" s="14" t="n">
        <f aca="false">AK648+IF((AJ649=1),IF((H649=0),1,0),0)</f>
        <v>0</v>
      </c>
      <c r="AL649" s="14" t="n">
        <f aca="false">AL648+IF((AJ649=1),IF((H649=1),1,0),0)</f>
        <v>0</v>
      </c>
      <c r="AM649" s="37" t="n">
        <f aca="false">IF(AK649=0,9999,IF($H649=0,IF($AJ649&lt;1,AM648+1,0),AM648))</f>
        <v>9999</v>
      </c>
      <c r="AN649" s="37" t="n">
        <f aca="false">IF(AL649=0,9999,IF($H649=1,IF($AJ649&lt;1,AN648+1,0),AN648))</f>
        <v>9999</v>
      </c>
      <c r="AO649" s="37" t="n">
        <f aca="false">IF($A649-AM649&gt;0,1/(1+AM649),0)</f>
        <v>0</v>
      </c>
      <c r="AP649" s="37" t="n">
        <f aca="false">IF($A649-AN649&gt;0,1/(1+AN649),0)</f>
        <v>0</v>
      </c>
      <c r="AQ649" s="7" t="n">
        <f aca="false">IF(AK649=0,0,MAX(MIN(1,AO649^Power),0))</f>
        <v>0</v>
      </c>
      <c r="AR649" s="7" t="n">
        <f aca="false">IF(AL649=0,0,MAX(MIN(1,AP649^Power),0))</f>
        <v>0</v>
      </c>
      <c r="AS649" s="7" t="n">
        <f aca="false">IF($AJ649=1,IF($H649=0,K649,AS648),AS648)</f>
        <v>0</v>
      </c>
      <c r="AT649" s="7" t="n">
        <f aca="false">IF($AJ649=1,IF($H649=1,N649,AT648),AT648)</f>
        <v>0</v>
      </c>
    </row>
    <row r="650" customFormat="false" ht="13" hidden="false" customHeight="false" outlineLevel="0" collapsed="false">
      <c r="A650" s="16" t="n">
        <v>633</v>
      </c>
      <c r="B650" s="37" t="n">
        <f aca="true">IF(RAND()&lt;$D$8,1,0)</f>
        <v>0</v>
      </c>
      <c r="C650" s="20" t="n">
        <f aca="true">-LN(RAND())/$D$2</f>
        <v>0.638029103722793</v>
      </c>
      <c r="D650" s="38" t="n">
        <f aca="false">D649+C650</f>
        <v>657.615569944409</v>
      </c>
      <c r="E650" s="39" t="n">
        <f aca="false">MAX($E$3,AS649)</f>
        <v>0</v>
      </c>
      <c r="F650" s="39" t="n">
        <f aca="false">MAX($E$3,AT649)</f>
        <v>0</v>
      </c>
      <c r="G650" s="40" t="n">
        <v>0.5</v>
      </c>
      <c r="H650" s="38" t="n">
        <f aca="true">IF((B650=1),(IF((F650&lt;E650),1,(IF((F650=E650),(IF(RAND()&lt;G650,1,0)),0)))),(IF((RAND()&lt;G650),1,0)))</f>
        <v>0</v>
      </c>
      <c r="I650" s="38" t="n">
        <f aca="true">IF((H650=1),0,$D$3+$D$5*(RAND()-0.5))</f>
        <v>2.196226278636</v>
      </c>
      <c r="J650" s="38" t="n">
        <f aca="false">I650+MAX(D650,J649)</f>
        <v>678.266925097276</v>
      </c>
      <c r="K650" s="38" t="n">
        <f aca="false">IF((H650=0),J650-D650,0)</f>
        <v>20.6513551528677</v>
      </c>
      <c r="L650" s="38" t="n">
        <f aca="true">IF(($H650=0),0,$D$4+$D$5*(RAND()-0.5))</f>
        <v>0</v>
      </c>
      <c r="M650" s="38" t="n">
        <f aca="false">L650+MAX(D650,M649)</f>
        <v>710.851352766463</v>
      </c>
      <c r="N650" s="38" t="n">
        <f aca="false">IF((H650=1),M650-D650,0)</f>
        <v>0</v>
      </c>
      <c r="O650" s="16" t="n">
        <v>633</v>
      </c>
      <c r="P650" s="41" t="n">
        <f aca="false">IF((Arterial=0),P649+1,P649)</f>
        <v>292</v>
      </c>
      <c r="Q650" s="41" t="n">
        <f aca="false">IF((Arterial=1),Q649+1,Q649)</f>
        <v>341</v>
      </c>
      <c r="R650" s="42" t="e">
        <f aca="false">IF((RESET=1),0,R650+K650)</f>
        <v>#N/A</v>
      </c>
      <c r="S650" s="14" t="n">
        <f aca="false">IF(RESET=1,0,S650+N650)</f>
        <v>605.07353533972</v>
      </c>
      <c r="T650" s="2" t="e">
        <f aca="false">IF(RESET=1,0,T650+IF(H650=0,1,0))</f>
        <v>#N/A</v>
      </c>
      <c r="U650" s="2" t="n">
        <f aca="false">IF(RESET=1,0,U650+H650)</f>
        <v>41</v>
      </c>
      <c r="V650" s="14" t="e">
        <f aca="false">R650/(T650+0.00001)</f>
        <v>#N/A</v>
      </c>
      <c r="W650" s="14" t="n">
        <f aca="false">S650/(U650+0.0001)</f>
        <v>14.7578551110783</v>
      </c>
      <c r="X650" s="39" t="n">
        <f aca="false">IF(Informed=1,K650,0)</f>
        <v>0</v>
      </c>
      <c r="Y650" s="39" t="n">
        <f aca="false">IF(Informed=0,K650,0)</f>
        <v>20.6513551528677</v>
      </c>
      <c r="Z650" s="39" t="n">
        <f aca="false">IF(Informed=1,N650,0)</f>
        <v>0</v>
      </c>
      <c r="AA650" s="39" t="n">
        <f aca="false">IF(Informed=0,N650,0)</f>
        <v>0</v>
      </c>
      <c r="AB650" s="43" t="n">
        <f aca="false">IF(Arterial=0,IF(Informed=1,1,0),0)</f>
        <v>0</v>
      </c>
      <c r="AC650" s="43" t="n">
        <f aca="false">IF(Arterial=0,IF(Informed=0,1,0),0)</f>
        <v>1</v>
      </c>
      <c r="AD650" s="43" t="n">
        <f aca="false">IF(Arterial=1,IF(Informed=1,1,0),0)</f>
        <v>0</v>
      </c>
      <c r="AE650" s="43" t="n">
        <f aca="false">IF(Arterial=1,IF(Informed=0,1,0),0)</f>
        <v>0</v>
      </c>
      <c r="AF650" s="35" t="n">
        <f aca="false">IF(AB650=1,(X650-G$1030)^2,0)</f>
        <v>0</v>
      </c>
      <c r="AG650" s="35" t="n">
        <f aca="false">IF(AC650=1,(Y650-H$1030)^2,0)</f>
        <v>94.6256162011726</v>
      </c>
      <c r="AH650" s="35" t="n">
        <f aca="false">IF(AD650=1,(Z650-I$1030)^2,0)</f>
        <v>0</v>
      </c>
      <c r="AI650" s="35" t="n">
        <f aca="false">IF(AE650=1,(AA650-J$1030)^2,0)</f>
        <v>0</v>
      </c>
      <c r="AJ650" s="37" t="n">
        <f aca="true">IF(RAND()&lt;$D$6,1,0)</f>
        <v>0</v>
      </c>
      <c r="AK650" s="14" t="n">
        <f aca="false">AK649+IF((AJ650=1),IF((H650=0),1,0),0)</f>
        <v>0</v>
      </c>
      <c r="AL650" s="14" t="n">
        <f aca="false">AL649+IF((AJ650=1),IF((H650=1),1,0),0)</f>
        <v>0</v>
      </c>
      <c r="AM650" s="37" t="n">
        <f aca="false">IF(AK650=0,9999,IF($H650=0,IF($AJ650&lt;1,AM649+1,0),AM649))</f>
        <v>9999</v>
      </c>
      <c r="AN650" s="37" t="n">
        <f aca="false">IF(AL650=0,9999,IF($H650=1,IF($AJ650&lt;1,AN649+1,0),AN649))</f>
        <v>9999</v>
      </c>
      <c r="AO650" s="37" t="n">
        <f aca="false">IF($A650-AM650&gt;0,1/(1+AM650),0)</f>
        <v>0</v>
      </c>
      <c r="AP650" s="37" t="n">
        <f aca="false">IF($A650-AN650&gt;0,1/(1+AN650),0)</f>
        <v>0</v>
      </c>
      <c r="AQ650" s="7" t="n">
        <f aca="false">IF(AK650=0,0,MAX(MIN(1,AO650^Power),0))</f>
        <v>0</v>
      </c>
      <c r="AR650" s="7" t="n">
        <f aca="false">IF(AL650=0,0,MAX(MIN(1,AP650^Power),0))</f>
        <v>0</v>
      </c>
      <c r="AS650" s="7" t="n">
        <f aca="false">IF($AJ650=1,IF($H650=0,K650,AS649),AS649)</f>
        <v>0</v>
      </c>
      <c r="AT650" s="7" t="n">
        <f aca="false">IF($AJ650=1,IF($H650=1,N650,AT649),AT649)</f>
        <v>0</v>
      </c>
    </row>
    <row r="651" customFormat="false" ht="13" hidden="false" customHeight="false" outlineLevel="0" collapsed="false">
      <c r="A651" s="16" t="n">
        <v>634</v>
      </c>
      <c r="B651" s="37" t="n">
        <f aca="true">IF(RAND()&lt;$D$8,1,0)</f>
        <v>0</v>
      </c>
      <c r="C651" s="20" t="n">
        <f aca="true">-LN(RAND())/$D$2</f>
        <v>0.131079256481299</v>
      </c>
      <c r="D651" s="38" t="n">
        <f aca="false">D650+C651</f>
        <v>657.74664920089</v>
      </c>
      <c r="E651" s="39" t="n">
        <f aca="false">MAX($E$3,AS650)</f>
        <v>0</v>
      </c>
      <c r="F651" s="39" t="n">
        <f aca="false">MAX($E$3,AT650)</f>
        <v>0</v>
      </c>
      <c r="G651" s="40" t="n">
        <v>0.5</v>
      </c>
      <c r="H651" s="38" t="n">
        <f aca="true">IF((B651=1),(IF((F651&lt;E651),1,(IF((F651=E651),(IF(RAND()&lt;G651,1,0)),0)))),(IF((RAND()&lt;G651),1,0)))</f>
        <v>1</v>
      </c>
      <c r="I651" s="38" t="n">
        <f aca="true">IF((H651=1),0,$D$3+$D$5*(RAND()-0.5))</f>
        <v>0</v>
      </c>
      <c r="J651" s="38" t="n">
        <f aca="false">I651+MAX(D651,J650)</f>
        <v>678.266925097276</v>
      </c>
      <c r="K651" s="38" t="n">
        <f aca="false">IF((H651=0),J651-D651,0)</f>
        <v>0</v>
      </c>
      <c r="L651" s="38" t="n">
        <f aca="true">IF(($H651=0),0,$D$4+$D$5*(RAND()-0.5))</f>
        <v>2.11421432346391</v>
      </c>
      <c r="M651" s="38" t="n">
        <f aca="false">L651+MAX(D651,M650)</f>
        <v>712.965567089927</v>
      </c>
      <c r="N651" s="38" t="n">
        <f aca="false">IF((H651=1),M651-D651,0)</f>
        <v>55.2189178890369</v>
      </c>
      <c r="O651" s="16" t="n">
        <v>634</v>
      </c>
      <c r="P651" s="41" t="n">
        <f aca="false">IF((Arterial=0),P650+1,P650)</f>
        <v>292</v>
      </c>
      <c r="Q651" s="41" t="n">
        <f aca="false">IF((Arterial=1),Q650+1,Q650)</f>
        <v>342</v>
      </c>
      <c r="R651" s="42" t="n">
        <f aca="false">IF((RESET=1),0,R651+K651)</f>
        <v>647.408109633221</v>
      </c>
      <c r="S651" s="14" t="e">
        <f aca="false">IF(RESET=1,0,S651+N651)</f>
        <v>#N/A</v>
      </c>
      <c r="T651" s="2" t="n">
        <f aca="false">IF(RESET=1,0,T651+IF(H651=0,1,0))</f>
        <v>36</v>
      </c>
      <c r="U651" s="2" t="e">
        <f aca="false">IF(RESET=1,0,U651+H651)</f>
        <v>#N/A</v>
      </c>
      <c r="V651" s="14" t="n">
        <f aca="false">R651/(T651+0.00001)</f>
        <v>17.9835536054912</v>
      </c>
      <c r="W651" s="14" t="e">
        <f aca="false">S651/(U651+0.0001)</f>
        <v>#N/A</v>
      </c>
      <c r="X651" s="39" t="n">
        <f aca="false">IF(Informed=1,K651,0)</f>
        <v>0</v>
      </c>
      <c r="Y651" s="39" t="n">
        <f aca="false">IF(Informed=0,K651,0)</f>
        <v>0</v>
      </c>
      <c r="Z651" s="39" t="n">
        <f aca="false">IF(Informed=1,N651,0)</f>
        <v>0</v>
      </c>
      <c r="AA651" s="39" t="n">
        <f aca="false">IF(Informed=0,N651,0)</f>
        <v>55.2189178890369</v>
      </c>
      <c r="AB651" s="43" t="n">
        <f aca="false">IF(Arterial=0,IF(Informed=1,1,0),0)</f>
        <v>0</v>
      </c>
      <c r="AC651" s="43" t="n">
        <f aca="false">IF(Arterial=0,IF(Informed=0,1,0),0)</f>
        <v>0</v>
      </c>
      <c r="AD651" s="43" t="n">
        <f aca="false">IF(Arterial=1,IF(Informed=1,1,0),0)</f>
        <v>0</v>
      </c>
      <c r="AE651" s="43" t="n">
        <f aca="false">IF(Arterial=1,IF(Informed=0,1,0),0)</f>
        <v>1</v>
      </c>
      <c r="AF651" s="35" t="n">
        <f aca="false">IF(AB651=1,(X651-G$1030)^2,0)</f>
        <v>0</v>
      </c>
      <c r="AG651" s="35" t="n">
        <f aca="false">IF(AC651=1,(Y651-H$1030)^2,0)</f>
        <v>0</v>
      </c>
      <c r="AH651" s="35" t="n">
        <f aca="false">IF(AD651=1,(Z651-I$1030)^2,0)</f>
        <v>0</v>
      </c>
      <c r="AI651" s="35" t="n">
        <f aca="false">IF(AE651=1,(AA651-J$1030)^2,0)</f>
        <v>658.160702266043</v>
      </c>
      <c r="AJ651" s="37" t="n">
        <f aca="true">IF(RAND()&lt;$D$6,1,0)</f>
        <v>0</v>
      </c>
      <c r="AK651" s="14" t="n">
        <f aca="false">AK650+IF((AJ651=1),IF((H651=0),1,0),0)</f>
        <v>0</v>
      </c>
      <c r="AL651" s="14" t="n">
        <f aca="false">AL650+IF((AJ651=1),IF((H651=1),1,0),0)</f>
        <v>0</v>
      </c>
      <c r="AM651" s="37" t="n">
        <f aca="false">IF(AK651=0,9999,IF($H651=0,IF($AJ651&lt;1,AM650+1,0),AM650))</f>
        <v>9999</v>
      </c>
      <c r="AN651" s="37" t="n">
        <f aca="false">IF(AL651=0,9999,IF($H651=1,IF($AJ651&lt;1,AN650+1,0),AN650))</f>
        <v>9999</v>
      </c>
      <c r="AO651" s="37" t="n">
        <f aca="false">IF($A651-AM651&gt;0,1/(1+AM651),0)</f>
        <v>0</v>
      </c>
      <c r="AP651" s="37" t="n">
        <f aca="false">IF($A651-AN651&gt;0,1/(1+AN651),0)</f>
        <v>0</v>
      </c>
      <c r="AQ651" s="7" t="n">
        <f aca="false">IF(AK651=0,0,MAX(MIN(1,AO651^Power),0))</f>
        <v>0</v>
      </c>
      <c r="AR651" s="7" t="n">
        <f aca="false">IF(AL651=0,0,MAX(MIN(1,AP651^Power),0))</f>
        <v>0</v>
      </c>
      <c r="AS651" s="7" t="n">
        <f aca="false">IF($AJ651=1,IF($H651=0,K651,AS650),AS650)</f>
        <v>0</v>
      </c>
      <c r="AT651" s="7" t="n">
        <f aca="false">IF($AJ651=1,IF($H651=1,N651,AT650),AT650)</f>
        <v>0</v>
      </c>
    </row>
    <row r="652" customFormat="false" ht="13" hidden="false" customHeight="false" outlineLevel="0" collapsed="false">
      <c r="A652" s="16" t="n">
        <v>635</v>
      </c>
      <c r="B652" s="37" t="n">
        <f aca="true">IF(RAND()&lt;$D$8,1,0)</f>
        <v>1</v>
      </c>
      <c r="C652" s="20" t="n">
        <f aca="true">-LN(RAND())/$D$2</f>
        <v>0.100831821724401</v>
      </c>
      <c r="D652" s="38" t="n">
        <f aca="false">D651+C652</f>
        <v>657.847481022614</v>
      </c>
      <c r="E652" s="39" t="n">
        <f aca="false">MAX($E$3,AS651)</f>
        <v>0</v>
      </c>
      <c r="F652" s="39" t="n">
        <f aca="false">MAX($E$3,AT651)</f>
        <v>0</v>
      </c>
      <c r="G652" s="40" t="n">
        <v>0.5</v>
      </c>
      <c r="H652" s="38" t="n">
        <f aca="true">IF((B652=1),(IF((F652&lt;E652),1,(IF((F652=E652),(IF(RAND()&lt;G652,1,0)),0)))),(IF((RAND()&lt;G652),1,0)))</f>
        <v>1</v>
      </c>
      <c r="I652" s="38" t="n">
        <f aca="true">IF((H652=1),0,$D$3+$D$5*(RAND()-0.5))</f>
        <v>0</v>
      </c>
      <c r="J652" s="38" t="n">
        <f aca="false">I652+MAX(D652,J651)</f>
        <v>678.266925097276</v>
      </c>
      <c r="K652" s="38" t="n">
        <f aca="false">IF((H652=0),J652-D652,0)</f>
        <v>0</v>
      </c>
      <c r="L652" s="38" t="n">
        <f aca="true">IF(($H652=0),0,$D$4+$D$5*(RAND()-0.5))</f>
        <v>1.95399020084858</v>
      </c>
      <c r="M652" s="38" t="n">
        <f aca="false">L652+MAX(D652,M651)</f>
        <v>714.919557290775</v>
      </c>
      <c r="N652" s="38" t="n">
        <f aca="false">IF((H652=1),M652-D652,0)</f>
        <v>57.072076268161</v>
      </c>
      <c r="O652" s="16" t="n">
        <v>635</v>
      </c>
      <c r="P652" s="41" t="n">
        <f aca="false">IF((Arterial=0),P651+1,P651)</f>
        <v>292</v>
      </c>
      <c r="Q652" s="41" t="n">
        <f aca="false">IF((Arterial=1),Q651+1,Q651)</f>
        <v>343</v>
      </c>
      <c r="R652" s="42" t="n">
        <f aca="false">IF((RESET=1),0,R652+K652)</f>
        <v>949.4961261026</v>
      </c>
      <c r="S652" s="14" t="e">
        <f aca="false">IF(RESET=1,0,S652+N652)</f>
        <v>#N/A</v>
      </c>
      <c r="T652" s="2" t="n">
        <f aca="false">IF(RESET=1,0,T652+IF(H652=0,1,0))</f>
        <v>38</v>
      </c>
      <c r="U652" s="2" t="e">
        <f aca="false">IF(RESET=1,0,U652+H652)</f>
        <v>#N/A</v>
      </c>
      <c r="V652" s="14" t="n">
        <f aca="false">R652/(T652+0.00001)</f>
        <v>24.9867335851385</v>
      </c>
      <c r="W652" s="14" t="e">
        <f aca="false">S652/(U652+0.0001)</f>
        <v>#N/A</v>
      </c>
      <c r="X652" s="39" t="n">
        <f aca="false">IF(Informed=1,K652,0)</f>
        <v>0</v>
      </c>
      <c r="Y652" s="39" t="n">
        <f aca="false">IF(Informed=0,K652,0)</f>
        <v>0</v>
      </c>
      <c r="Z652" s="39" t="n">
        <f aca="false">IF(Informed=1,N652,0)</f>
        <v>57.072076268161</v>
      </c>
      <c r="AA652" s="39" t="n">
        <f aca="false">IF(Informed=0,N652,0)</f>
        <v>0</v>
      </c>
      <c r="AB652" s="43" t="n">
        <f aca="false">IF(Arterial=0,IF(Informed=1,1,0),0)</f>
        <v>0</v>
      </c>
      <c r="AC652" s="43" t="n">
        <f aca="false">IF(Arterial=0,IF(Informed=0,1,0),0)</f>
        <v>0</v>
      </c>
      <c r="AD652" s="43" t="n">
        <f aca="false">IF(Arterial=1,IF(Informed=1,1,0),0)</f>
        <v>1</v>
      </c>
      <c r="AE652" s="43" t="n">
        <f aca="false">IF(Arterial=1,IF(Informed=0,1,0),0)</f>
        <v>0</v>
      </c>
      <c r="AF652" s="35" t="n">
        <f aca="false">IF(AB652=1,(X652-G$1030)^2,0)</f>
        <v>0</v>
      </c>
      <c r="AG652" s="35" t="n">
        <f aca="false">IF(AC652=1,(Y652-H$1030)^2,0)</f>
        <v>0</v>
      </c>
      <c r="AH652" s="35" t="n">
        <f aca="false">IF(AD652=1,(Z652-I$1030)^2,0)</f>
        <v>823.531668270155</v>
      </c>
      <c r="AI652" s="35" t="n">
        <f aca="false">IF(AE652=1,(AA652-J$1030)^2,0)</f>
        <v>0</v>
      </c>
      <c r="AJ652" s="37" t="n">
        <f aca="true">IF(RAND()&lt;$D$6,1,0)</f>
        <v>0</v>
      </c>
      <c r="AK652" s="14" t="n">
        <f aca="false">AK651+IF((AJ652=1),IF((H652=0),1,0),0)</f>
        <v>0</v>
      </c>
      <c r="AL652" s="14" t="n">
        <f aca="false">AL651+IF((AJ652=1),IF((H652=1),1,0),0)</f>
        <v>0</v>
      </c>
      <c r="AM652" s="37" t="n">
        <f aca="false">IF(AK652=0,9999,IF($H652=0,IF($AJ652&lt;1,AM651+1,0),AM651))</f>
        <v>9999</v>
      </c>
      <c r="AN652" s="37" t="n">
        <f aca="false">IF(AL652=0,9999,IF($H652=1,IF($AJ652&lt;1,AN651+1,0),AN651))</f>
        <v>9999</v>
      </c>
      <c r="AO652" s="37" t="n">
        <f aca="false">IF($A652-AM652&gt;0,1/(1+AM652),0)</f>
        <v>0</v>
      </c>
      <c r="AP652" s="37" t="n">
        <f aca="false">IF($A652-AN652&gt;0,1/(1+AN652),0)</f>
        <v>0</v>
      </c>
      <c r="AQ652" s="7" t="n">
        <f aca="false">IF(AK652=0,0,MAX(MIN(1,AO652^Power),0))</f>
        <v>0</v>
      </c>
      <c r="AR652" s="7" t="n">
        <f aca="false">IF(AL652=0,0,MAX(MIN(1,AP652^Power),0))</f>
        <v>0</v>
      </c>
      <c r="AS652" s="7" t="n">
        <f aca="false">IF($AJ652=1,IF($H652=0,K652,AS651),AS651)</f>
        <v>0</v>
      </c>
      <c r="AT652" s="7" t="n">
        <f aca="false">IF($AJ652=1,IF($H652=1,N652,AT651),AT651)</f>
        <v>0</v>
      </c>
    </row>
    <row r="653" customFormat="false" ht="13" hidden="false" customHeight="false" outlineLevel="0" collapsed="false">
      <c r="A653" s="16" t="n">
        <v>636</v>
      </c>
      <c r="B653" s="37" t="n">
        <f aca="true">IF(RAND()&lt;$D$8,1,0)</f>
        <v>0</v>
      </c>
      <c r="C653" s="20" t="n">
        <f aca="true">-LN(RAND())/$D$2</f>
        <v>0.32809375658377</v>
      </c>
      <c r="D653" s="38" t="n">
        <f aca="false">D652+C653</f>
        <v>658.175574779198</v>
      </c>
      <c r="E653" s="39" t="n">
        <f aca="false">MAX($E$3,AS652)</f>
        <v>0</v>
      </c>
      <c r="F653" s="39" t="n">
        <f aca="false">MAX($E$3,AT652)</f>
        <v>0</v>
      </c>
      <c r="G653" s="40" t="n">
        <v>0.5</v>
      </c>
      <c r="H653" s="38" t="n">
        <f aca="true">IF((B653=1),(IF((F653&lt;E653),1,(IF((F653=E653),(IF(RAND()&lt;G653,1,0)),0)))),(IF((RAND()&lt;G653),1,0)))</f>
        <v>1</v>
      </c>
      <c r="I653" s="38" t="n">
        <f aca="true">IF((H653=1),0,$D$3+$D$5*(RAND()-0.5))</f>
        <v>0</v>
      </c>
      <c r="J653" s="38" t="n">
        <f aca="false">I653+MAX(D653,J652)</f>
        <v>678.266925097276</v>
      </c>
      <c r="K653" s="38" t="n">
        <f aca="false">IF((H653=0),J653-D653,0)</f>
        <v>0</v>
      </c>
      <c r="L653" s="38" t="n">
        <f aca="true">IF(($H653=0),0,$D$4+$D$5*(RAND()-0.5))</f>
        <v>1.77737641084216</v>
      </c>
      <c r="M653" s="38" t="n">
        <f aca="false">L653+MAX(D653,M652)</f>
        <v>716.696933701618</v>
      </c>
      <c r="N653" s="38" t="n">
        <f aca="false">IF((H653=1),M653-D653,0)</f>
        <v>58.5213589224194</v>
      </c>
      <c r="O653" s="16" t="n">
        <v>636</v>
      </c>
      <c r="P653" s="41" t="n">
        <f aca="false">IF((Arterial=0),P652+1,P652)</f>
        <v>292</v>
      </c>
      <c r="Q653" s="41" t="n">
        <f aca="false">IF((Arterial=1),Q652+1,Q652)</f>
        <v>344</v>
      </c>
      <c r="R653" s="42" t="n">
        <f aca="false">IF((RESET=1),0,R653+K653)</f>
        <v>888.748739420828</v>
      </c>
      <c r="S653" s="14" t="e">
        <f aca="false">IF(RESET=1,0,S653+N653)</f>
        <v>#N/A</v>
      </c>
      <c r="T653" s="2" t="n">
        <f aca="false">IF(RESET=1,0,T653+IF(H653=0,1,0))</f>
        <v>33</v>
      </c>
      <c r="U653" s="2" t="e">
        <f aca="false">IF(RESET=1,0,U653+H653)</f>
        <v>#N/A</v>
      </c>
      <c r="V653" s="14" t="n">
        <f aca="false">R653/(T653+0.00001)</f>
        <v>26.9317718213063</v>
      </c>
      <c r="W653" s="14" t="e">
        <f aca="false">S653/(U653+0.0001)</f>
        <v>#N/A</v>
      </c>
      <c r="X653" s="39" t="n">
        <f aca="false">IF(Informed=1,K653,0)</f>
        <v>0</v>
      </c>
      <c r="Y653" s="39" t="n">
        <f aca="false">IF(Informed=0,K653,0)</f>
        <v>0</v>
      </c>
      <c r="Z653" s="39" t="n">
        <f aca="false">IF(Informed=1,N653,0)</f>
        <v>0</v>
      </c>
      <c r="AA653" s="39" t="n">
        <f aca="false">IF(Informed=0,N653,0)</f>
        <v>58.5213589224194</v>
      </c>
      <c r="AB653" s="43" t="n">
        <f aca="false">IF(Arterial=0,IF(Informed=1,1,0),0)</f>
        <v>0</v>
      </c>
      <c r="AC653" s="43" t="n">
        <f aca="false">IF(Arterial=0,IF(Informed=0,1,0),0)</f>
        <v>0</v>
      </c>
      <c r="AD653" s="43" t="n">
        <f aca="false">IF(Arterial=1,IF(Informed=1,1,0),0)</f>
        <v>0</v>
      </c>
      <c r="AE653" s="43" t="n">
        <f aca="false">IF(Arterial=1,IF(Informed=0,1,0),0)</f>
        <v>1</v>
      </c>
      <c r="AF653" s="35" t="n">
        <f aca="false">IF(AB653=1,(X653-G$1030)^2,0)</f>
        <v>0</v>
      </c>
      <c r="AG653" s="35" t="n">
        <f aca="false">IF(AC653=1,(Y653-H$1030)^2,0)</f>
        <v>0</v>
      </c>
      <c r="AH653" s="35" t="n">
        <f aca="false">IF(AD653=1,(Z653-I$1030)^2,0)</f>
        <v>0</v>
      </c>
      <c r="AI653" s="35" t="n">
        <f aca="false">IF(AE653=1,(AA653-J$1030)^2,0)</f>
        <v>838.512709856696</v>
      </c>
      <c r="AJ653" s="37" t="n">
        <f aca="true">IF(RAND()&lt;$D$6,1,0)</f>
        <v>0</v>
      </c>
      <c r="AK653" s="14" t="n">
        <f aca="false">AK652+IF((AJ653=1),IF((H653=0),1,0),0)</f>
        <v>0</v>
      </c>
      <c r="AL653" s="14" t="n">
        <f aca="false">AL652+IF((AJ653=1),IF((H653=1),1,0),0)</f>
        <v>0</v>
      </c>
      <c r="AM653" s="37" t="n">
        <f aca="false">IF(AK653=0,9999,IF($H653=0,IF($AJ653&lt;1,AM652+1,0),AM652))</f>
        <v>9999</v>
      </c>
      <c r="AN653" s="37" t="n">
        <f aca="false">IF(AL653=0,9999,IF($H653=1,IF($AJ653&lt;1,AN652+1,0),AN652))</f>
        <v>9999</v>
      </c>
      <c r="AO653" s="37" t="n">
        <f aca="false">IF($A653-AM653&gt;0,1/(1+AM653),0)</f>
        <v>0</v>
      </c>
      <c r="AP653" s="37" t="n">
        <f aca="false">IF($A653-AN653&gt;0,1/(1+AN653),0)</f>
        <v>0</v>
      </c>
      <c r="AQ653" s="7" t="n">
        <f aca="false">IF(AK653=0,0,MAX(MIN(1,AO653^Power),0))</f>
        <v>0</v>
      </c>
      <c r="AR653" s="7" t="n">
        <f aca="false">IF(AL653=0,0,MAX(MIN(1,AP653^Power),0))</f>
        <v>0</v>
      </c>
      <c r="AS653" s="7" t="n">
        <f aca="false">IF($AJ653=1,IF($H653=0,K653,AS652),AS652)</f>
        <v>0</v>
      </c>
      <c r="AT653" s="7" t="n">
        <f aca="false">IF($AJ653=1,IF($H653=1,N653,AT652),AT652)</f>
        <v>0</v>
      </c>
    </row>
    <row r="654" customFormat="false" ht="13" hidden="false" customHeight="false" outlineLevel="0" collapsed="false">
      <c r="A654" s="16" t="n">
        <v>637</v>
      </c>
      <c r="B654" s="37" t="n">
        <f aca="true">IF(RAND()&lt;$D$8,1,0)</f>
        <v>0</v>
      </c>
      <c r="C654" s="20" t="n">
        <f aca="true">-LN(RAND())/$D$2</f>
        <v>1.53733537321508</v>
      </c>
      <c r="D654" s="38" t="n">
        <f aca="false">D653+C654</f>
        <v>659.712910152413</v>
      </c>
      <c r="E654" s="39" t="n">
        <f aca="false">MAX($E$3,AS653)</f>
        <v>0</v>
      </c>
      <c r="F654" s="39" t="n">
        <f aca="false">MAX($E$3,AT653)</f>
        <v>0</v>
      </c>
      <c r="G654" s="40" t="n">
        <v>0.5</v>
      </c>
      <c r="H654" s="38" t="n">
        <f aca="true">IF((B654=1),(IF((F654&lt;E654),1,(IF((F654=E654),(IF(RAND()&lt;G654,1,0)),0)))),(IF((RAND()&lt;G654),1,0)))</f>
        <v>1</v>
      </c>
      <c r="I654" s="38" t="n">
        <f aca="true">IF((H654=1),0,$D$3+$D$5*(RAND()-0.5))</f>
        <v>0</v>
      </c>
      <c r="J654" s="38" t="n">
        <f aca="false">I654+MAX(D654,J653)</f>
        <v>678.266925097276</v>
      </c>
      <c r="K654" s="38" t="n">
        <f aca="false">IF((H654=0),J654-D654,0)</f>
        <v>0</v>
      </c>
      <c r="L654" s="38" t="n">
        <f aca="true">IF(($H654=0),0,$D$4+$D$5*(RAND()-0.5))</f>
        <v>2.15661650130991</v>
      </c>
      <c r="M654" s="38" t="n">
        <f aca="false">L654+MAX(D654,M653)</f>
        <v>718.853550202927</v>
      </c>
      <c r="N654" s="38" t="n">
        <f aca="false">IF((H654=1),M654-D654,0)</f>
        <v>59.1406400505142</v>
      </c>
      <c r="O654" s="16" t="n">
        <v>637</v>
      </c>
      <c r="P654" s="41" t="n">
        <f aca="false">IF((Arterial=0),P653+1,P653)</f>
        <v>292</v>
      </c>
      <c r="Q654" s="41" t="n">
        <f aca="false">IF((Arterial=1),Q653+1,Q653)</f>
        <v>345</v>
      </c>
      <c r="R654" s="42" t="n">
        <f aca="false">IF((RESET=1),0,R654+K654)</f>
        <v>582.876923018821</v>
      </c>
      <c r="S654" s="14" t="e">
        <f aca="false">IF(RESET=1,0,S654+N654)</f>
        <v>#N/A</v>
      </c>
      <c r="T654" s="2" t="n">
        <f aca="false">IF(RESET=1,0,T654+IF(H654=0,1,0))</f>
        <v>27</v>
      </c>
      <c r="U654" s="2" t="e">
        <f aca="false">IF(RESET=1,0,U654+H654)</f>
        <v>#N/A</v>
      </c>
      <c r="V654" s="14" t="n">
        <f aca="false">R654/(T654+0.00001)</f>
        <v>21.588026190317</v>
      </c>
      <c r="W654" s="14" t="e">
        <f aca="false">S654/(U654+0.0001)</f>
        <v>#N/A</v>
      </c>
      <c r="X654" s="39" t="n">
        <f aca="false">IF(Informed=1,K654,0)</f>
        <v>0</v>
      </c>
      <c r="Y654" s="39" t="n">
        <f aca="false">IF(Informed=0,K654,0)</f>
        <v>0</v>
      </c>
      <c r="Z654" s="39" t="n">
        <f aca="false">IF(Informed=1,N654,0)</f>
        <v>0</v>
      </c>
      <c r="AA654" s="39" t="n">
        <f aca="false">IF(Informed=0,N654,0)</f>
        <v>59.1406400505142</v>
      </c>
      <c r="AB654" s="43" t="n">
        <f aca="false">IF(Arterial=0,IF(Informed=1,1,0),0)</f>
        <v>0</v>
      </c>
      <c r="AC654" s="43" t="n">
        <f aca="false">IF(Arterial=0,IF(Informed=0,1,0),0)</f>
        <v>0</v>
      </c>
      <c r="AD654" s="43" t="n">
        <f aca="false">IF(Arterial=1,IF(Informed=1,1,0),0)</f>
        <v>0</v>
      </c>
      <c r="AE654" s="43" t="n">
        <f aca="false">IF(Arterial=1,IF(Informed=0,1,0),0)</f>
        <v>1</v>
      </c>
      <c r="AF654" s="35" t="n">
        <f aca="false">IF(AB654=1,(X654-G$1030)^2,0)</f>
        <v>0</v>
      </c>
      <c r="AG654" s="35" t="n">
        <f aca="false">IF(AC654=1,(Y654-H$1030)^2,0)</f>
        <v>0</v>
      </c>
      <c r="AH654" s="35" t="n">
        <f aca="false">IF(AD654=1,(Z654-I$1030)^2,0)</f>
        <v>0</v>
      </c>
      <c r="AI654" s="35" t="n">
        <f aca="false">IF(AE654=1,(AA654-J$1030)^2,0)</f>
        <v>874.761370180053</v>
      </c>
      <c r="AJ654" s="37" t="n">
        <f aca="true">IF(RAND()&lt;$D$6,1,0)</f>
        <v>0</v>
      </c>
      <c r="AK654" s="14" t="n">
        <f aca="false">AK653+IF((AJ654=1),IF((H654=0),1,0),0)</f>
        <v>0</v>
      </c>
      <c r="AL654" s="14" t="n">
        <f aca="false">AL653+IF((AJ654=1),IF((H654=1),1,0),0)</f>
        <v>0</v>
      </c>
      <c r="AM654" s="37" t="n">
        <f aca="false">IF(AK654=0,9999,IF($H654=0,IF($AJ654&lt;1,AM653+1,0),AM653))</f>
        <v>9999</v>
      </c>
      <c r="AN654" s="37" t="n">
        <f aca="false">IF(AL654=0,9999,IF($H654=1,IF($AJ654&lt;1,AN653+1,0),AN653))</f>
        <v>9999</v>
      </c>
      <c r="AO654" s="37" t="n">
        <f aca="false">IF($A654-AM654&gt;0,1/(1+AM654),0)</f>
        <v>0</v>
      </c>
      <c r="AP654" s="37" t="n">
        <f aca="false">IF($A654-AN654&gt;0,1/(1+AN654),0)</f>
        <v>0</v>
      </c>
      <c r="AQ654" s="7" t="n">
        <f aca="false">IF(AK654=0,0,MAX(MIN(1,AO654^Power),0))</f>
        <v>0</v>
      </c>
      <c r="AR654" s="7" t="n">
        <f aca="false">IF(AL654=0,0,MAX(MIN(1,AP654^Power),0))</f>
        <v>0</v>
      </c>
      <c r="AS654" s="7" t="n">
        <f aca="false">IF($AJ654=1,IF($H654=0,K654,AS653),AS653)</f>
        <v>0</v>
      </c>
      <c r="AT654" s="7" t="n">
        <f aca="false">IF($AJ654=1,IF($H654=1,N654,AT653),AT653)</f>
        <v>0</v>
      </c>
    </row>
    <row r="655" customFormat="false" ht="13" hidden="false" customHeight="false" outlineLevel="0" collapsed="false">
      <c r="A655" s="16" t="n">
        <v>638</v>
      </c>
      <c r="B655" s="37" t="n">
        <f aca="true">IF(RAND()&lt;$D$8,1,0)</f>
        <v>0</v>
      </c>
      <c r="C655" s="20" t="n">
        <f aca="true">-LN(RAND())/$D$2</f>
        <v>0.207939739025955</v>
      </c>
      <c r="D655" s="38" t="n">
        <f aca="false">D654+C655</f>
        <v>659.920849891439</v>
      </c>
      <c r="E655" s="39" t="n">
        <f aca="false">MAX($E$3,AS654)</f>
        <v>0</v>
      </c>
      <c r="F655" s="39" t="n">
        <f aca="false">MAX($E$3,AT654)</f>
        <v>0</v>
      </c>
      <c r="G655" s="40" t="n">
        <v>0.5</v>
      </c>
      <c r="H655" s="38" t="n">
        <f aca="true">IF((B655=1),(IF((F655&lt;E655),1,(IF((F655=E655),(IF(RAND()&lt;G655,1,0)),0)))),(IF((RAND()&lt;G655),1,0)))</f>
        <v>0</v>
      </c>
      <c r="I655" s="38" t="n">
        <f aca="true">IF((H655=1),0,$D$3+$D$5*(RAND()-0.5))</f>
        <v>1.96119335711945</v>
      </c>
      <c r="J655" s="38" t="n">
        <f aca="false">I655+MAX(D655,J654)</f>
        <v>680.228118454396</v>
      </c>
      <c r="K655" s="38" t="n">
        <f aca="false">IF((H655=0),J655-D655,0)</f>
        <v>20.3072685629566</v>
      </c>
      <c r="L655" s="38" t="n">
        <f aca="true">IF(($H655=0),0,$D$4+$D$5*(RAND()-0.5))</f>
        <v>0</v>
      </c>
      <c r="M655" s="38" t="n">
        <f aca="false">L655+MAX(D655,M654)</f>
        <v>718.853550202927</v>
      </c>
      <c r="N655" s="38" t="n">
        <f aca="false">IF((H655=1),M655-D655,0)</f>
        <v>0</v>
      </c>
      <c r="O655" s="16" t="n">
        <v>638</v>
      </c>
      <c r="P655" s="41" t="n">
        <f aca="false">IF((Arterial=0),P654+1,P654)</f>
        <v>293</v>
      </c>
      <c r="Q655" s="41" t="n">
        <f aca="false">IF((Arterial=1),Q654+1,Q654)</f>
        <v>345</v>
      </c>
      <c r="R655" s="42" t="e">
        <f aca="false">IF((RESET=1),0,R655+K655)</f>
        <v>#N/A</v>
      </c>
      <c r="S655" s="14" t="n">
        <f aca="false">IF(RESET=1,0,S655+N655)</f>
        <v>716.956462426258</v>
      </c>
      <c r="T655" s="2" t="e">
        <f aca="false">IF(RESET=1,0,T655+IF(H655=0,1,0))</f>
        <v>#N/A</v>
      </c>
      <c r="U655" s="2" t="n">
        <f aca="false">IF(RESET=1,0,U655+H655)</f>
        <v>45</v>
      </c>
      <c r="V655" s="14" t="e">
        <f aca="false">R655/(T655+0.00001)</f>
        <v>#N/A</v>
      </c>
      <c r="W655" s="14" t="n">
        <f aca="false">S655/(U655+0.0001)</f>
        <v>15.9323304265159</v>
      </c>
      <c r="X655" s="39" t="n">
        <f aca="false">IF(Informed=1,K655,0)</f>
        <v>0</v>
      </c>
      <c r="Y655" s="39" t="n">
        <f aca="false">IF(Informed=0,K655,0)</f>
        <v>20.3072685629566</v>
      </c>
      <c r="Z655" s="39" t="n">
        <f aca="false">IF(Informed=1,N655,0)</f>
        <v>0</v>
      </c>
      <c r="AA655" s="39" t="n">
        <f aca="false">IF(Informed=0,N655,0)</f>
        <v>0</v>
      </c>
      <c r="AB655" s="43" t="n">
        <f aca="false">IF(Arterial=0,IF(Informed=1,1,0),0)</f>
        <v>0</v>
      </c>
      <c r="AC655" s="43" t="n">
        <f aca="false">IF(Arterial=0,IF(Informed=0,1,0),0)</f>
        <v>1</v>
      </c>
      <c r="AD655" s="43" t="n">
        <f aca="false">IF(Arterial=1,IF(Informed=1,1,0),0)</f>
        <v>0</v>
      </c>
      <c r="AE655" s="43" t="n">
        <f aca="false">IF(Arterial=1,IF(Informed=0,1,0),0)</f>
        <v>0</v>
      </c>
      <c r="AF655" s="35" t="n">
        <f aca="false">IF(AB655=1,(X655-G$1030)^2,0)</f>
        <v>0</v>
      </c>
      <c r="AG655" s="35" t="n">
        <f aca="false">IF(AC655=1,(Y655-H$1030)^2,0)</f>
        <v>88.0497590710241</v>
      </c>
      <c r="AH655" s="35" t="n">
        <f aca="false">IF(AD655=1,(Z655-I$1030)^2,0)</f>
        <v>0</v>
      </c>
      <c r="AI655" s="35" t="n">
        <f aca="false">IF(AE655=1,(AA655-J$1030)^2,0)</f>
        <v>0</v>
      </c>
      <c r="AJ655" s="37" t="n">
        <f aca="true">IF(RAND()&lt;$D$6,1,0)</f>
        <v>0</v>
      </c>
      <c r="AK655" s="14" t="n">
        <f aca="false">AK654+IF((AJ655=1),IF((H655=0),1,0),0)</f>
        <v>0</v>
      </c>
      <c r="AL655" s="14" t="n">
        <f aca="false">AL654+IF((AJ655=1),IF((H655=1),1,0),0)</f>
        <v>0</v>
      </c>
      <c r="AM655" s="37" t="n">
        <f aca="false">IF(AK655=0,9999,IF($H655=0,IF($AJ655&lt;1,AM654+1,0),AM654))</f>
        <v>9999</v>
      </c>
      <c r="AN655" s="37" t="n">
        <f aca="false">IF(AL655=0,9999,IF($H655=1,IF($AJ655&lt;1,AN654+1,0),AN654))</f>
        <v>9999</v>
      </c>
      <c r="AO655" s="37" t="n">
        <f aca="false">IF($A655-AM655&gt;0,1/(1+AM655),0)</f>
        <v>0</v>
      </c>
      <c r="AP655" s="37" t="n">
        <f aca="false">IF($A655-AN655&gt;0,1/(1+AN655),0)</f>
        <v>0</v>
      </c>
      <c r="AQ655" s="7" t="n">
        <f aca="false">IF(AK655=0,0,MAX(MIN(1,AO655^Power),0))</f>
        <v>0</v>
      </c>
      <c r="AR655" s="7" t="n">
        <f aca="false">IF(AL655=0,0,MAX(MIN(1,AP655^Power),0))</f>
        <v>0</v>
      </c>
      <c r="AS655" s="7" t="n">
        <f aca="false">IF($AJ655=1,IF($H655=0,K655,AS654),AS654)</f>
        <v>0</v>
      </c>
      <c r="AT655" s="7" t="n">
        <f aca="false">IF($AJ655=1,IF($H655=1,N655,AT654),AT654)</f>
        <v>0</v>
      </c>
    </row>
    <row r="656" customFormat="false" ht="13" hidden="false" customHeight="false" outlineLevel="0" collapsed="false">
      <c r="A656" s="16" t="n">
        <v>639</v>
      </c>
      <c r="B656" s="37" t="n">
        <f aca="true">IF(RAND()&lt;$D$8,1,0)</f>
        <v>1</v>
      </c>
      <c r="C656" s="20" t="n">
        <f aca="true">-LN(RAND())/$D$2</f>
        <v>0.0375728711557439</v>
      </c>
      <c r="D656" s="38" t="n">
        <f aca="false">D655+C656</f>
        <v>659.958422762595</v>
      </c>
      <c r="E656" s="39" t="n">
        <f aca="false">MAX($E$3,AS655)</f>
        <v>0</v>
      </c>
      <c r="F656" s="39" t="n">
        <f aca="false">MAX($E$3,AT655)</f>
        <v>0</v>
      </c>
      <c r="G656" s="40" t="n">
        <v>0.5</v>
      </c>
      <c r="H656" s="38" t="n">
        <f aca="true">IF((B656=1),(IF((F656&lt;E656),1,(IF((F656=E656),(IF(RAND()&lt;G656,1,0)),0)))),(IF((RAND()&lt;G656),1,0)))</f>
        <v>0</v>
      </c>
      <c r="I656" s="38" t="n">
        <f aca="true">IF((H656=1),0,$D$3+$D$5*(RAND()-0.5))</f>
        <v>2.181165553609</v>
      </c>
      <c r="J656" s="38" t="n">
        <f aca="false">I656+MAX(D656,J655)</f>
        <v>682.409284008005</v>
      </c>
      <c r="K656" s="38" t="n">
        <f aca="false">IF((H656=0),J656-D656,0)</f>
        <v>22.4508612454099</v>
      </c>
      <c r="L656" s="38" t="n">
        <f aca="true">IF(($H656=0),0,$D$4+$D$5*(RAND()-0.5))</f>
        <v>0</v>
      </c>
      <c r="M656" s="38" t="n">
        <f aca="false">L656+MAX(D656,M655)</f>
        <v>718.853550202927</v>
      </c>
      <c r="N656" s="38" t="n">
        <f aca="false">IF((H656=1),M656-D656,0)</f>
        <v>0</v>
      </c>
      <c r="O656" s="16" t="n">
        <v>639</v>
      </c>
      <c r="P656" s="41" t="n">
        <f aca="false">IF((Arterial=0),P655+1,P655)</f>
        <v>294</v>
      </c>
      <c r="Q656" s="41" t="n">
        <f aca="false">IF((Arterial=1),Q655+1,Q655)</f>
        <v>345</v>
      </c>
      <c r="R656" s="42" t="e">
        <f aca="false">IF((RESET=1),0,R656+K656)</f>
        <v>#N/A</v>
      </c>
      <c r="S656" s="14" t="n">
        <f aca="false">IF(RESET=1,0,S656+N656)</f>
        <v>690.638773960768</v>
      </c>
      <c r="T656" s="2" t="e">
        <f aca="false">IF(RESET=1,0,T656+IF(H656=0,1,0))</f>
        <v>#N/A</v>
      </c>
      <c r="U656" s="2" t="n">
        <f aca="false">IF(RESET=1,0,U656+H656)</f>
        <v>40</v>
      </c>
      <c r="V656" s="14" t="e">
        <f aca="false">R656/(T656+0.00001)</f>
        <v>#N/A</v>
      </c>
      <c r="W656" s="14" t="n">
        <f aca="false">S656/(U656+0.0001)</f>
        <v>17.2659261842037</v>
      </c>
      <c r="X656" s="39" t="n">
        <f aca="false">IF(Informed=1,K656,0)</f>
        <v>22.4508612454099</v>
      </c>
      <c r="Y656" s="39" t="n">
        <f aca="false">IF(Informed=0,K656,0)</f>
        <v>0</v>
      </c>
      <c r="Z656" s="39" t="n">
        <f aca="false">IF(Informed=1,N656,0)</f>
        <v>0</v>
      </c>
      <c r="AA656" s="39" t="n">
        <f aca="false">IF(Informed=0,N656,0)</f>
        <v>0</v>
      </c>
      <c r="AB656" s="43" t="n">
        <f aca="false">IF(Arterial=0,IF(Informed=1,1,0),0)</f>
        <v>1</v>
      </c>
      <c r="AC656" s="43" t="n">
        <f aca="false">IF(Arterial=0,IF(Informed=0,1,0),0)</f>
        <v>0</v>
      </c>
      <c r="AD656" s="43" t="n">
        <f aca="false">IF(Arterial=1,IF(Informed=1,1,0),0)</f>
        <v>0</v>
      </c>
      <c r="AE656" s="43" t="n">
        <f aca="false">IF(Arterial=1,IF(Informed=0,1,0),0)</f>
        <v>0</v>
      </c>
      <c r="AF656" s="35" t="n">
        <f aca="false">IF(AB656=1,(X656-G$1030)^2,0)</f>
        <v>137.855378324769</v>
      </c>
      <c r="AG656" s="35" t="n">
        <f aca="false">IF(AC656=1,(Y656-H$1030)^2,0)</f>
        <v>0</v>
      </c>
      <c r="AH656" s="35" t="n">
        <f aca="false">IF(AD656=1,(Z656-I$1030)^2,0)</f>
        <v>0</v>
      </c>
      <c r="AI656" s="35" t="n">
        <f aca="false">IF(AE656=1,(AA656-J$1030)^2,0)</f>
        <v>0</v>
      </c>
      <c r="AJ656" s="37" t="n">
        <f aca="true">IF(RAND()&lt;$D$6,1,0)</f>
        <v>0</v>
      </c>
      <c r="AK656" s="14" t="n">
        <f aca="false">AK655+IF((AJ656=1),IF((H656=0),1,0),0)</f>
        <v>0</v>
      </c>
      <c r="AL656" s="14" t="n">
        <f aca="false">AL655+IF((AJ656=1),IF((H656=1),1,0),0)</f>
        <v>0</v>
      </c>
      <c r="AM656" s="37" t="n">
        <f aca="false">IF(AK656=0,9999,IF($H656=0,IF($AJ656&lt;1,AM655+1,0),AM655))</f>
        <v>9999</v>
      </c>
      <c r="AN656" s="37" t="n">
        <f aca="false">IF(AL656=0,9999,IF($H656=1,IF($AJ656&lt;1,AN655+1,0),AN655))</f>
        <v>9999</v>
      </c>
      <c r="AO656" s="37" t="n">
        <f aca="false">IF($A656-AM656&gt;0,1/(1+AM656),0)</f>
        <v>0</v>
      </c>
      <c r="AP656" s="37" t="n">
        <f aca="false">IF($A656-AN656&gt;0,1/(1+AN656),0)</f>
        <v>0</v>
      </c>
      <c r="AQ656" s="7" t="n">
        <f aca="false">IF(AK656=0,0,MAX(MIN(1,AO656^Power),0))</f>
        <v>0</v>
      </c>
      <c r="AR656" s="7" t="n">
        <f aca="false">IF(AL656=0,0,MAX(MIN(1,AP656^Power),0))</f>
        <v>0</v>
      </c>
      <c r="AS656" s="7" t="n">
        <f aca="false">IF($AJ656=1,IF($H656=0,K656,AS655),AS655)</f>
        <v>0</v>
      </c>
      <c r="AT656" s="7" t="n">
        <f aca="false">IF($AJ656=1,IF($H656=1,N656,AT655),AT655)</f>
        <v>0</v>
      </c>
    </row>
    <row r="657" customFormat="false" ht="13" hidden="false" customHeight="false" outlineLevel="0" collapsed="false">
      <c r="A657" s="16" t="n">
        <v>640</v>
      </c>
      <c r="B657" s="37" t="n">
        <f aca="true">IF(RAND()&lt;$D$8,1,0)</f>
        <v>1</v>
      </c>
      <c r="C657" s="20" t="n">
        <f aca="true">-LN(RAND())/$D$2</f>
        <v>3.21649140671823</v>
      </c>
      <c r="D657" s="38" t="n">
        <f aca="false">D656+C657</f>
        <v>663.174914169313</v>
      </c>
      <c r="E657" s="39" t="n">
        <f aca="false">MAX($E$3,AS656)</f>
        <v>0</v>
      </c>
      <c r="F657" s="39" t="n">
        <f aca="false">MAX($E$3,AT656)</f>
        <v>0</v>
      </c>
      <c r="G657" s="40" t="n">
        <v>0.5</v>
      </c>
      <c r="H657" s="38" t="n">
        <f aca="true">IF((B657=1),(IF((F657&lt;E657),1,(IF((F657=E657),(IF(RAND()&lt;G657,1,0)),0)))),(IF((RAND()&lt;G657),1,0)))</f>
        <v>0</v>
      </c>
      <c r="I657" s="38" t="n">
        <f aca="true">IF((H657=1),0,$D$3+$D$5*(RAND()-0.5))</f>
        <v>2.22708265965686</v>
      </c>
      <c r="J657" s="38" t="n">
        <f aca="false">I657+MAX(D657,J656)</f>
        <v>684.636366667662</v>
      </c>
      <c r="K657" s="38" t="n">
        <f aca="false">IF((H657=0),J657-D657,0)</f>
        <v>21.4614524983485</v>
      </c>
      <c r="L657" s="38" t="n">
        <f aca="true">IF(($H657=0),0,$D$4+$D$5*(RAND()-0.5))</f>
        <v>0</v>
      </c>
      <c r="M657" s="38" t="n">
        <f aca="false">L657+MAX(D657,M656)</f>
        <v>718.853550202927</v>
      </c>
      <c r="N657" s="38" t="n">
        <f aca="false">IF((H657=1),M657-D657,0)</f>
        <v>0</v>
      </c>
      <c r="O657" s="16" t="n">
        <v>640</v>
      </c>
      <c r="P657" s="41" t="n">
        <f aca="false">IF((Arterial=0),P656+1,P656)</f>
        <v>295</v>
      </c>
      <c r="Q657" s="41" t="n">
        <f aca="false">IF((Arterial=1),Q656+1,Q656)</f>
        <v>345</v>
      </c>
      <c r="R657" s="42" t="e">
        <f aca="false">IF((RESET=1),0,R657+K657)</f>
        <v>#N/A</v>
      </c>
      <c r="S657" s="14" t="n">
        <f aca="false">IF(RESET=1,0,S657+N657)</f>
        <v>664.903709460828</v>
      </c>
      <c r="T657" s="2" t="e">
        <f aca="false">IF(RESET=1,0,T657+IF(H657=0,1,0))</f>
        <v>#N/A</v>
      </c>
      <c r="U657" s="2" t="n">
        <f aca="false">IF(RESET=1,0,U657+H657)</f>
        <v>36</v>
      </c>
      <c r="V657" s="14" t="e">
        <f aca="false">R657/(T657+0.00001)</f>
        <v>#N/A</v>
      </c>
      <c r="W657" s="14" t="n">
        <f aca="false">S657/(U657+0.0001)</f>
        <v>18.4694961808669</v>
      </c>
      <c r="X657" s="39" t="n">
        <f aca="false">IF(Informed=1,K657,0)</f>
        <v>21.4614524983485</v>
      </c>
      <c r="Y657" s="39" t="n">
        <f aca="false">IF(Informed=0,K657,0)</f>
        <v>0</v>
      </c>
      <c r="Z657" s="39" t="n">
        <f aca="false">IF(Informed=1,N657,0)</f>
        <v>0</v>
      </c>
      <c r="AA657" s="39" t="n">
        <f aca="false">IF(Informed=0,N657,0)</f>
        <v>0</v>
      </c>
      <c r="AB657" s="43" t="n">
        <f aca="false">IF(Arterial=0,IF(Informed=1,1,0),0)</f>
        <v>1</v>
      </c>
      <c r="AC657" s="43" t="n">
        <f aca="false">IF(Arterial=0,IF(Informed=0,1,0),0)</f>
        <v>0</v>
      </c>
      <c r="AD657" s="43" t="n">
        <f aca="false">IF(Arterial=1,IF(Informed=1,1,0),0)</f>
        <v>0</v>
      </c>
      <c r="AE657" s="43" t="n">
        <f aca="false">IF(Arterial=1,IF(Informed=0,1,0),0)</f>
        <v>0</v>
      </c>
      <c r="AF657" s="35" t="n">
        <f aca="false">IF(AB657=1,(X657-G$1030)^2,0)</f>
        <v>115.600649664248</v>
      </c>
      <c r="AG657" s="35" t="n">
        <f aca="false">IF(AC657=1,(Y657-H$1030)^2,0)</f>
        <v>0</v>
      </c>
      <c r="AH657" s="35" t="n">
        <f aca="false">IF(AD657=1,(Z657-I$1030)^2,0)</f>
        <v>0</v>
      </c>
      <c r="AI657" s="35" t="n">
        <f aca="false">IF(AE657=1,(AA657-J$1030)^2,0)</f>
        <v>0</v>
      </c>
      <c r="AJ657" s="37" t="n">
        <f aca="true">IF(RAND()&lt;$D$6,1,0)</f>
        <v>0</v>
      </c>
      <c r="AK657" s="14" t="n">
        <f aca="false">AK656+IF((AJ657=1),IF((H657=0),1,0),0)</f>
        <v>0</v>
      </c>
      <c r="AL657" s="14" t="n">
        <f aca="false">AL656+IF((AJ657=1),IF((H657=1),1,0),0)</f>
        <v>0</v>
      </c>
      <c r="AM657" s="37" t="n">
        <f aca="false">IF(AK657=0,9999,IF($H657=0,IF($AJ657&lt;1,AM656+1,0),AM656))</f>
        <v>9999</v>
      </c>
      <c r="AN657" s="37" t="n">
        <f aca="false">IF(AL657=0,9999,IF($H657=1,IF($AJ657&lt;1,AN656+1,0),AN656))</f>
        <v>9999</v>
      </c>
      <c r="AO657" s="37" t="n">
        <f aca="false">IF($A657-AM657&gt;0,1/(1+AM657),0)</f>
        <v>0</v>
      </c>
      <c r="AP657" s="37" t="n">
        <f aca="false">IF($A657-AN657&gt;0,1/(1+AN657),0)</f>
        <v>0</v>
      </c>
      <c r="AQ657" s="7" t="n">
        <f aca="false">IF(AK657=0,0,MAX(MIN(1,AO657^Power),0))</f>
        <v>0</v>
      </c>
      <c r="AR657" s="7" t="n">
        <f aca="false">IF(AL657=0,0,MAX(MIN(1,AP657^Power),0))</f>
        <v>0</v>
      </c>
      <c r="AS657" s="7" t="n">
        <f aca="false">IF($AJ657=1,IF($H657=0,K657,AS656),AS656)</f>
        <v>0</v>
      </c>
      <c r="AT657" s="7" t="n">
        <f aca="false">IF($AJ657=1,IF($H657=1,N657,AT656),AT656)</f>
        <v>0</v>
      </c>
    </row>
    <row r="658" customFormat="false" ht="13" hidden="false" customHeight="false" outlineLevel="0" collapsed="false">
      <c r="A658" s="16" t="n">
        <v>641</v>
      </c>
      <c r="B658" s="37" t="n">
        <f aca="true">IF(RAND()&lt;$D$8,1,0)</f>
        <v>0</v>
      </c>
      <c r="C658" s="20" t="n">
        <f aca="true">-LN(RAND())/$D$2</f>
        <v>1.04859672667641</v>
      </c>
      <c r="D658" s="38" t="n">
        <f aca="false">D657+C658</f>
        <v>664.223510895989</v>
      </c>
      <c r="E658" s="39" t="n">
        <f aca="false">MAX($E$3,AS657)</f>
        <v>0</v>
      </c>
      <c r="F658" s="39" t="n">
        <f aca="false">MAX($E$3,AT657)</f>
        <v>0</v>
      </c>
      <c r="G658" s="40" t="n">
        <v>0.5</v>
      </c>
      <c r="H658" s="38" t="n">
        <f aca="true">IF((B658=1),(IF((F658&lt;E658),1,(IF((F658=E658),(IF(RAND()&lt;G658,1,0)),0)))),(IF((RAND()&lt;G658),1,0)))</f>
        <v>1</v>
      </c>
      <c r="I658" s="38" t="n">
        <f aca="true">IF((H658=1),0,$D$3+$D$5*(RAND()-0.5))</f>
        <v>0</v>
      </c>
      <c r="J658" s="38" t="n">
        <f aca="false">I658+MAX(D658,J657)</f>
        <v>684.636366667662</v>
      </c>
      <c r="K658" s="38" t="n">
        <f aca="false">IF((H658=0),J658-D658,0)</f>
        <v>0</v>
      </c>
      <c r="L658" s="38" t="n">
        <f aca="true">IF(($H658=0),0,$D$4+$D$5*(RAND()-0.5))</f>
        <v>2.14523981830963</v>
      </c>
      <c r="M658" s="38" t="n">
        <f aca="false">L658+MAX(D658,M657)</f>
        <v>720.998790021237</v>
      </c>
      <c r="N658" s="38" t="n">
        <f aca="false">IF((H658=1),M658-D658,0)</f>
        <v>56.7752791252476</v>
      </c>
      <c r="O658" s="16" t="n">
        <v>641</v>
      </c>
      <c r="P658" s="41" t="n">
        <f aca="false">IF((Arterial=0),P657+1,P657)</f>
        <v>295</v>
      </c>
      <c r="Q658" s="41" t="n">
        <f aca="false">IF((Arterial=1),Q657+1,Q657)</f>
        <v>346</v>
      </c>
      <c r="R658" s="42" t="n">
        <f aca="false">IF((RESET=1),0,R658+K658)</f>
        <v>685.24950096707</v>
      </c>
      <c r="S658" s="14" t="e">
        <f aca="false">IF(RESET=1,0,S658+N658)</f>
        <v>#N/A</v>
      </c>
      <c r="T658" s="2" t="n">
        <f aca="false">IF(RESET=1,0,T658+IF(H658=0,1,0))</f>
        <v>39</v>
      </c>
      <c r="U658" s="2" t="e">
        <f aca="false">IF(RESET=1,0,U658+H658)</f>
        <v>#N/A</v>
      </c>
      <c r="V658" s="14" t="n">
        <f aca="false">R658/(T658+0.00001)</f>
        <v>17.5704955195414</v>
      </c>
      <c r="W658" s="14" t="e">
        <f aca="false">S658/(U658+0.0001)</f>
        <v>#N/A</v>
      </c>
      <c r="X658" s="39" t="n">
        <f aca="false">IF(Informed=1,K658,0)</f>
        <v>0</v>
      </c>
      <c r="Y658" s="39" t="n">
        <f aca="false">IF(Informed=0,K658,0)</f>
        <v>0</v>
      </c>
      <c r="Z658" s="39" t="n">
        <f aca="false">IF(Informed=1,N658,0)</f>
        <v>0</v>
      </c>
      <c r="AA658" s="39" t="n">
        <f aca="false">IF(Informed=0,N658,0)</f>
        <v>56.7752791252476</v>
      </c>
      <c r="AB658" s="43" t="n">
        <f aca="false">IF(Arterial=0,IF(Informed=1,1,0),0)</f>
        <v>0</v>
      </c>
      <c r="AC658" s="43" t="n">
        <f aca="false">IF(Arterial=0,IF(Informed=0,1,0),0)</f>
        <v>0</v>
      </c>
      <c r="AD658" s="43" t="n">
        <f aca="false">IF(Arterial=1,IF(Informed=1,1,0),0)</f>
        <v>0</v>
      </c>
      <c r="AE658" s="43" t="n">
        <f aca="false">IF(Arterial=1,IF(Informed=0,1,0),0)</f>
        <v>1</v>
      </c>
      <c r="AF658" s="35" t="n">
        <f aca="false">IF(AB658=1,(X658-G$1030)^2,0)</f>
        <v>0</v>
      </c>
      <c r="AG658" s="35" t="n">
        <f aca="false">IF(AC658=1,(Y658-H$1030)^2,0)</f>
        <v>0</v>
      </c>
      <c r="AH658" s="35" t="n">
        <f aca="false">IF(AD658=1,(Z658-I$1030)^2,0)</f>
        <v>0</v>
      </c>
      <c r="AI658" s="35" t="n">
        <f aca="false">IF(AE658=1,(AA658-J$1030)^2,0)</f>
        <v>740.43874603673</v>
      </c>
      <c r="AJ658" s="37" t="n">
        <f aca="true">IF(RAND()&lt;$D$6,1,0)</f>
        <v>0</v>
      </c>
      <c r="AK658" s="14" t="n">
        <f aca="false">AK657+IF((AJ658=1),IF((H658=0),1,0),0)</f>
        <v>0</v>
      </c>
      <c r="AL658" s="14" t="n">
        <f aca="false">AL657+IF((AJ658=1),IF((H658=1),1,0),0)</f>
        <v>0</v>
      </c>
      <c r="AM658" s="37" t="n">
        <f aca="false">IF(AK658=0,9999,IF($H658=0,IF($AJ658&lt;1,AM657+1,0),AM657))</f>
        <v>9999</v>
      </c>
      <c r="AN658" s="37" t="n">
        <f aca="false">IF(AL658=0,9999,IF($H658=1,IF($AJ658&lt;1,AN657+1,0),AN657))</f>
        <v>9999</v>
      </c>
      <c r="AO658" s="37" t="n">
        <f aca="false">IF($A658-AM658&gt;0,1/(1+AM658),0)</f>
        <v>0</v>
      </c>
      <c r="AP658" s="37" t="n">
        <f aca="false">IF($A658-AN658&gt;0,1/(1+AN658),0)</f>
        <v>0</v>
      </c>
      <c r="AQ658" s="7" t="n">
        <f aca="false">IF(AK658=0,0,MAX(MIN(1,AO658^Power),0))</f>
        <v>0</v>
      </c>
      <c r="AR658" s="7" t="n">
        <f aca="false">IF(AL658=0,0,MAX(MIN(1,AP658^Power),0))</f>
        <v>0</v>
      </c>
      <c r="AS658" s="7" t="n">
        <f aca="false">IF($AJ658=1,IF($H658=0,K658,AS657),AS657)</f>
        <v>0</v>
      </c>
      <c r="AT658" s="7" t="n">
        <f aca="false">IF($AJ658=1,IF($H658=1,N658,AT657),AT657)</f>
        <v>0</v>
      </c>
    </row>
    <row r="659" customFormat="false" ht="13" hidden="false" customHeight="false" outlineLevel="0" collapsed="false">
      <c r="A659" s="16" t="n">
        <v>642</v>
      </c>
      <c r="B659" s="37" t="n">
        <f aca="true">IF(RAND()&lt;$D$8,1,0)</f>
        <v>1</v>
      </c>
      <c r="C659" s="20" t="n">
        <f aca="true">-LN(RAND())/$D$2</f>
        <v>0.0304818816452906</v>
      </c>
      <c r="D659" s="38" t="n">
        <f aca="false">D658+C659</f>
        <v>664.253992777635</v>
      </c>
      <c r="E659" s="39" t="n">
        <f aca="false">MAX($E$3,AS658)</f>
        <v>0</v>
      </c>
      <c r="F659" s="39" t="n">
        <f aca="false">MAX($E$3,AT658)</f>
        <v>0</v>
      </c>
      <c r="G659" s="40" t="n">
        <v>0.5</v>
      </c>
      <c r="H659" s="38" t="n">
        <f aca="true">IF((B659=1),(IF((F659&lt;E659),1,(IF((F659=E659),(IF(RAND()&lt;G659,1,0)),0)))),(IF((RAND()&lt;G659),1,0)))</f>
        <v>1</v>
      </c>
      <c r="I659" s="38" t="n">
        <f aca="true">IF((H659=1),0,$D$3+$D$5*(RAND()-0.5))</f>
        <v>0</v>
      </c>
      <c r="J659" s="38" t="n">
        <f aca="false">I659+MAX(D659,J658)</f>
        <v>684.636366667662</v>
      </c>
      <c r="K659" s="38" t="n">
        <f aca="false">IF((H659=0),J659-D659,0)</f>
        <v>0</v>
      </c>
      <c r="L659" s="38" t="n">
        <f aca="true">IF(($H659=0),0,$D$4+$D$5*(RAND()-0.5))</f>
        <v>2.00436459228892</v>
      </c>
      <c r="M659" s="38" t="n">
        <f aca="false">L659+MAX(D659,M658)</f>
        <v>723.003154613526</v>
      </c>
      <c r="N659" s="38" t="n">
        <f aca="false">IF((H659=1),M659-D659,0)</f>
        <v>58.7491618358912</v>
      </c>
      <c r="O659" s="16" t="n">
        <v>642</v>
      </c>
      <c r="P659" s="41" t="n">
        <f aca="false">IF((Arterial=0),P658+1,P658)</f>
        <v>295</v>
      </c>
      <c r="Q659" s="41" t="n">
        <f aca="false">IF((Arterial=1),Q658+1,Q658)</f>
        <v>347</v>
      </c>
      <c r="R659" s="42" t="n">
        <f aca="false">IF((RESET=1),0,R659+K659)</f>
        <v>826.471943464574</v>
      </c>
      <c r="S659" s="14" t="e">
        <f aca="false">IF(RESET=1,0,S659+N659)</f>
        <v>#N/A</v>
      </c>
      <c r="T659" s="2" t="n">
        <f aca="false">IF(RESET=1,0,T659+IF(H659=0,1,0))</f>
        <v>41</v>
      </c>
      <c r="U659" s="2" t="e">
        <f aca="false">IF(RESET=1,0,U659+H659)</f>
        <v>#N/A</v>
      </c>
      <c r="V659" s="14" t="n">
        <f aca="false">R659/(T659+0.00001)</f>
        <v>20.1578473630756</v>
      </c>
      <c r="W659" s="14" t="e">
        <f aca="false">S659/(U659+0.0001)</f>
        <v>#N/A</v>
      </c>
      <c r="X659" s="39" t="n">
        <f aca="false">IF(Informed=1,K659,0)</f>
        <v>0</v>
      </c>
      <c r="Y659" s="39" t="n">
        <f aca="false">IF(Informed=0,K659,0)</f>
        <v>0</v>
      </c>
      <c r="Z659" s="39" t="n">
        <f aca="false">IF(Informed=1,N659,0)</f>
        <v>58.7491618358912</v>
      </c>
      <c r="AA659" s="39" t="n">
        <f aca="false">IF(Informed=0,N659,0)</f>
        <v>0</v>
      </c>
      <c r="AB659" s="43" t="n">
        <f aca="false">IF(Arterial=0,IF(Informed=1,1,0),0)</f>
        <v>0</v>
      </c>
      <c r="AC659" s="43" t="n">
        <f aca="false">IF(Arterial=0,IF(Informed=0,1,0),0)</f>
        <v>0</v>
      </c>
      <c r="AD659" s="43" t="n">
        <f aca="false">IF(Arterial=1,IF(Informed=1,1,0),0)</f>
        <v>1</v>
      </c>
      <c r="AE659" s="43" t="n">
        <f aca="false">IF(Arterial=1,IF(Informed=0,1,0),0)</f>
        <v>0</v>
      </c>
      <c r="AF659" s="35" t="n">
        <f aca="false">IF(AB659=1,(X659-G$1030)^2,0)</f>
        <v>0</v>
      </c>
      <c r="AG659" s="35" t="n">
        <f aca="false">IF(AC659=1,(Y659-H$1030)^2,0)</f>
        <v>0</v>
      </c>
      <c r="AH659" s="35" t="n">
        <f aca="false">IF(AD659=1,(Z659-I$1030)^2,0)</f>
        <v>922.599743294172</v>
      </c>
      <c r="AI659" s="35" t="n">
        <f aca="false">IF(AE659=1,(AA659-J$1030)^2,0)</f>
        <v>0</v>
      </c>
      <c r="AJ659" s="37" t="n">
        <f aca="true">IF(RAND()&lt;$D$6,1,0)</f>
        <v>0</v>
      </c>
      <c r="AK659" s="14" t="n">
        <f aca="false">AK658+IF((AJ659=1),IF((H659=0),1,0),0)</f>
        <v>0</v>
      </c>
      <c r="AL659" s="14" t="n">
        <f aca="false">AL658+IF((AJ659=1),IF((H659=1),1,0),0)</f>
        <v>0</v>
      </c>
      <c r="AM659" s="37" t="n">
        <f aca="false">IF(AK659=0,9999,IF($H659=0,IF($AJ659&lt;1,AM658+1,0),AM658))</f>
        <v>9999</v>
      </c>
      <c r="AN659" s="37" t="n">
        <f aca="false">IF(AL659=0,9999,IF($H659=1,IF($AJ659&lt;1,AN658+1,0),AN658))</f>
        <v>9999</v>
      </c>
      <c r="AO659" s="37" t="n">
        <f aca="false">IF($A659-AM659&gt;0,1/(1+AM659),0)</f>
        <v>0</v>
      </c>
      <c r="AP659" s="37" t="n">
        <f aca="false">IF($A659-AN659&gt;0,1/(1+AN659),0)</f>
        <v>0</v>
      </c>
      <c r="AQ659" s="7" t="n">
        <f aca="false">IF(AK659=0,0,MAX(MIN(1,AO659^Power),0))</f>
        <v>0</v>
      </c>
      <c r="AR659" s="7" t="n">
        <f aca="false">IF(AL659=0,0,MAX(MIN(1,AP659^Power),0))</f>
        <v>0</v>
      </c>
      <c r="AS659" s="7" t="n">
        <f aca="false">IF($AJ659=1,IF($H659=0,K659,AS658),AS658)</f>
        <v>0</v>
      </c>
      <c r="AT659" s="7" t="n">
        <f aca="false">IF($AJ659=1,IF($H659=1,N659,AT658),AT658)</f>
        <v>0</v>
      </c>
    </row>
    <row r="660" customFormat="false" ht="13" hidden="false" customHeight="false" outlineLevel="0" collapsed="false">
      <c r="A660" s="16" t="n">
        <v>643</v>
      </c>
      <c r="B660" s="37" t="n">
        <f aca="true">IF(RAND()&lt;$D$8,1,0)</f>
        <v>0</v>
      </c>
      <c r="C660" s="20" t="n">
        <f aca="true">-LN(RAND())/$D$2</f>
        <v>0.302920782495878</v>
      </c>
      <c r="D660" s="38" t="n">
        <f aca="false">D659+C660</f>
        <v>664.556913560131</v>
      </c>
      <c r="E660" s="39" t="n">
        <f aca="false">MAX($E$3,AS659)</f>
        <v>0</v>
      </c>
      <c r="F660" s="39" t="n">
        <f aca="false">MAX($E$3,AT659)</f>
        <v>0</v>
      </c>
      <c r="G660" s="40" t="n">
        <v>0.5</v>
      </c>
      <c r="H660" s="38" t="n">
        <f aca="true">IF((B660=1),(IF((F660&lt;E660),1,(IF((F660=E660),(IF(RAND()&lt;G660,1,0)),0)))),(IF((RAND()&lt;G660),1,0)))</f>
        <v>1</v>
      </c>
      <c r="I660" s="38" t="n">
        <f aca="true">IF((H660=1),0,$D$3+$D$5*(RAND()-0.5))</f>
        <v>0</v>
      </c>
      <c r="J660" s="38" t="n">
        <f aca="false">I660+MAX(D660,J659)</f>
        <v>684.636366667662</v>
      </c>
      <c r="K660" s="38" t="n">
        <f aca="false">IF((H660=0),J660-D660,0)</f>
        <v>0</v>
      </c>
      <c r="L660" s="38" t="n">
        <f aca="true">IF(($H660=0),0,$D$4+$D$5*(RAND()-0.5))</f>
        <v>1.86733158969056</v>
      </c>
      <c r="M660" s="38" t="n">
        <f aca="false">L660+MAX(D660,M659)</f>
        <v>724.870486203217</v>
      </c>
      <c r="N660" s="38" t="n">
        <f aca="false">IF((H660=1),M660-D660,0)</f>
        <v>60.3135726430859</v>
      </c>
      <c r="O660" s="16" t="n">
        <v>643</v>
      </c>
      <c r="P660" s="41" t="n">
        <f aca="false">IF((Arterial=0),P659+1,P659)</f>
        <v>295</v>
      </c>
      <c r="Q660" s="41" t="n">
        <f aca="false">IF((Arterial=1),Q659+1,Q659)</f>
        <v>348</v>
      </c>
      <c r="R660" s="42" t="n">
        <f aca="false">IF((RESET=1),0,R660+K660)</f>
        <v>779.261455056084</v>
      </c>
      <c r="S660" s="14" t="e">
        <f aca="false">IF(RESET=1,0,S660+N660)</f>
        <v>#N/A</v>
      </c>
      <c r="T660" s="2" t="n">
        <f aca="false">IF(RESET=1,0,T660+IF(H660=0,1,0))</f>
        <v>35</v>
      </c>
      <c r="U660" s="2" t="e">
        <f aca="false">IF(RESET=1,0,U660+H660)</f>
        <v>#N/A</v>
      </c>
      <c r="V660" s="14" t="n">
        <f aca="false">R660/(T660+0.00001)</f>
        <v>22.2646066402862</v>
      </c>
      <c r="W660" s="14" t="e">
        <f aca="false">S660/(U660+0.0001)</f>
        <v>#N/A</v>
      </c>
      <c r="X660" s="39" t="n">
        <f aca="false">IF(Informed=1,K660,0)</f>
        <v>0</v>
      </c>
      <c r="Y660" s="39" t="n">
        <f aca="false">IF(Informed=0,K660,0)</f>
        <v>0</v>
      </c>
      <c r="Z660" s="39" t="n">
        <f aca="false">IF(Informed=1,N660,0)</f>
        <v>0</v>
      </c>
      <c r="AA660" s="39" t="n">
        <f aca="false">IF(Informed=0,N660,0)</f>
        <v>60.3135726430859</v>
      </c>
      <c r="AB660" s="43" t="n">
        <f aca="false">IF(Arterial=0,IF(Informed=1,1,0),0)</f>
        <v>0</v>
      </c>
      <c r="AC660" s="43" t="n">
        <f aca="false">IF(Arterial=0,IF(Informed=0,1,0),0)</f>
        <v>0</v>
      </c>
      <c r="AD660" s="43" t="n">
        <f aca="false">IF(Arterial=1,IF(Informed=1,1,0),0)</f>
        <v>0</v>
      </c>
      <c r="AE660" s="43" t="n">
        <f aca="false">IF(Arterial=1,IF(Informed=0,1,0),0)</f>
        <v>1</v>
      </c>
      <c r="AF660" s="35" t="n">
        <f aca="false">IF(AB660=1,(X660-G$1030)^2,0)</f>
        <v>0</v>
      </c>
      <c r="AG660" s="35" t="n">
        <f aca="false">IF(AC660=1,(Y660-H$1030)^2,0)</f>
        <v>0</v>
      </c>
      <c r="AH660" s="35" t="n">
        <f aca="false">IF(AD660=1,(Z660-I$1030)^2,0)</f>
        <v>0</v>
      </c>
      <c r="AI660" s="35" t="n">
        <f aca="false">IF(AE660=1,(AA660-J$1030)^2,0)</f>
        <v>945.519306144815</v>
      </c>
      <c r="AJ660" s="37" t="n">
        <f aca="true">IF(RAND()&lt;$D$6,1,0)</f>
        <v>0</v>
      </c>
      <c r="AK660" s="14" t="n">
        <f aca="false">AK659+IF((AJ660=1),IF((H660=0),1,0),0)</f>
        <v>0</v>
      </c>
      <c r="AL660" s="14" t="n">
        <f aca="false">AL659+IF((AJ660=1),IF((H660=1),1,0),0)</f>
        <v>0</v>
      </c>
      <c r="AM660" s="37" t="n">
        <f aca="false">IF(AK660=0,9999,IF($H660=0,IF($AJ660&lt;1,AM659+1,0),AM659))</f>
        <v>9999</v>
      </c>
      <c r="AN660" s="37" t="n">
        <f aca="false">IF(AL660=0,9999,IF($H660=1,IF($AJ660&lt;1,AN659+1,0),AN659))</f>
        <v>9999</v>
      </c>
      <c r="AO660" s="37" t="n">
        <f aca="false">IF($A660-AM660&gt;0,1/(1+AM660),0)</f>
        <v>0</v>
      </c>
      <c r="AP660" s="37" t="n">
        <f aca="false">IF($A660-AN660&gt;0,1/(1+AN660),0)</f>
        <v>0</v>
      </c>
      <c r="AQ660" s="7" t="n">
        <f aca="false">IF(AK660=0,0,MAX(MIN(1,AO660^Power),0))</f>
        <v>0</v>
      </c>
      <c r="AR660" s="7" t="n">
        <f aca="false">IF(AL660=0,0,MAX(MIN(1,AP660^Power),0))</f>
        <v>0</v>
      </c>
      <c r="AS660" s="7" t="n">
        <f aca="false">IF($AJ660=1,IF($H660=0,K660,AS659),AS659)</f>
        <v>0</v>
      </c>
      <c r="AT660" s="7" t="n">
        <f aca="false">IF($AJ660=1,IF($H660=1,N660,AT659),AT659)</f>
        <v>0</v>
      </c>
    </row>
    <row r="661" customFormat="false" ht="13" hidden="false" customHeight="false" outlineLevel="0" collapsed="false">
      <c r="A661" s="16" t="n">
        <v>644</v>
      </c>
      <c r="B661" s="37" t="n">
        <f aca="true">IF(RAND()&lt;$D$8,1,0)</f>
        <v>0</v>
      </c>
      <c r="C661" s="20" t="n">
        <f aca="true">-LN(RAND())/$D$2</f>
        <v>0.393212819959834</v>
      </c>
      <c r="D661" s="38" t="n">
        <f aca="false">D660+C661</f>
        <v>664.95012638009</v>
      </c>
      <c r="E661" s="39" t="n">
        <f aca="false">MAX($E$3,AS660)</f>
        <v>0</v>
      </c>
      <c r="F661" s="39" t="n">
        <f aca="false">MAX($E$3,AT660)</f>
        <v>0</v>
      </c>
      <c r="G661" s="40" t="n">
        <v>0.5</v>
      </c>
      <c r="H661" s="38" t="n">
        <f aca="true">IF((B661=1),(IF((F661&lt;E661),1,(IF((F661=E661),(IF(RAND()&lt;G661,1,0)),0)))),(IF((RAND()&lt;G661),1,0)))</f>
        <v>0</v>
      </c>
      <c r="I661" s="38" t="n">
        <f aca="true">IF((H661=1),0,$D$3+$D$5*(RAND()-0.5))</f>
        <v>1.91022700561832</v>
      </c>
      <c r="J661" s="38" t="n">
        <f aca="false">I661+MAX(D661,J660)</f>
        <v>686.54659367328</v>
      </c>
      <c r="K661" s="38" t="n">
        <f aca="false">IF((H661=0),J661-D661,0)</f>
        <v>21.5964672931896</v>
      </c>
      <c r="L661" s="38" t="n">
        <f aca="true">IF(($H661=0),0,$D$4+$D$5*(RAND()-0.5))</f>
        <v>0</v>
      </c>
      <c r="M661" s="38" t="n">
        <f aca="false">L661+MAX(D661,M660)</f>
        <v>724.870486203217</v>
      </c>
      <c r="N661" s="38" t="n">
        <f aca="false">IF((H661=1),M661-D661,0)</f>
        <v>0</v>
      </c>
      <c r="O661" s="16" t="n">
        <v>644</v>
      </c>
      <c r="P661" s="41" t="n">
        <f aca="false">IF((Arterial=0),P660+1,P660)</f>
        <v>296</v>
      </c>
      <c r="Q661" s="41" t="n">
        <f aca="false">IF((Arterial=1),Q660+1,Q660)</f>
        <v>348</v>
      </c>
      <c r="R661" s="42" t="e">
        <f aca="false">IF((RESET=1),0,R661+K661)</f>
        <v>#N/A</v>
      </c>
      <c r="S661" s="14" t="n">
        <f aca="false">IF(RESET=1,0,S661+N661)</f>
        <v>675.284541387688</v>
      </c>
      <c r="T661" s="2" t="e">
        <f aca="false">IF(RESET=1,0,T661+IF(H661=0,1,0))</f>
        <v>#N/A</v>
      </c>
      <c r="U661" s="2" t="n">
        <f aca="false">IF(RESET=1,0,U661+H661)</f>
        <v>39</v>
      </c>
      <c r="V661" s="14" t="e">
        <f aca="false">R661/(T661+0.00001)</f>
        <v>#N/A</v>
      </c>
      <c r="W661" s="14" t="n">
        <f aca="false">S661/(U661+0.0001)</f>
        <v>17.314943843418</v>
      </c>
      <c r="X661" s="39" t="n">
        <f aca="false">IF(Informed=1,K661,0)</f>
        <v>0</v>
      </c>
      <c r="Y661" s="39" t="n">
        <f aca="false">IF(Informed=0,K661,0)</f>
        <v>21.5964672931896</v>
      </c>
      <c r="Z661" s="39" t="n">
        <f aca="false">IF(Informed=1,N661,0)</f>
        <v>0</v>
      </c>
      <c r="AA661" s="39" t="n">
        <f aca="false">IF(Informed=0,N661,0)</f>
        <v>0</v>
      </c>
      <c r="AB661" s="43" t="n">
        <f aca="false">IF(Arterial=0,IF(Informed=1,1,0),0)</f>
        <v>0</v>
      </c>
      <c r="AC661" s="43" t="n">
        <f aca="false">IF(Arterial=0,IF(Informed=0,1,0),0)</f>
        <v>1</v>
      </c>
      <c r="AD661" s="43" t="n">
        <f aca="false">IF(Arterial=1,IF(Informed=1,1,0),0)</f>
        <v>0</v>
      </c>
      <c r="AE661" s="43" t="n">
        <f aca="false">IF(Arterial=1,IF(Informed=0,1,0),0)</f>
        <v>0</v>
      </c>
      <c r="AF661" s="35" t="n">
        <f aca="false">IF(AB661=1,(X661-G$1030)^2,0)</f>
        <v>0</v>
      </c>
      <c r="AG661" s="35" t="n">
        <f aca="false">IF(AC661=1,(Y661-H$1030)^2,0)</f>
        <v>113.906141979655</v>
      </c>
      <c r="AH661" s="35" t="n">
        <f aca="false">IF(AD661=1,(Z661-I$1030)^2,0)</f>
        <v>0</v>
      </c>
      <c r="AI661" s="35" t="n">
        <f aca="false">IF(AE661=1,(AA661-J$1030)^2,0)</f>
        <v>0</v>
      </c>
      <c r="AJ661" s="37" t="n">
        <f aca="true">IF(RAND()&lt;$D$6,1,0)</f>
        <v>0</v>
      </c>
      <c r="AK661" s="14" t="n">
        <f aca="false">AK660+IF((AJ661=1),IF((H661=0),1,0),0)</f>
        <v>0</v>
      </c>
      <c r="AL661" s="14" t="n">
        <f aca="false">AL660+IF((AJ661=1),IF((H661=1),1,0),0)</f>
        <v>0</v>
      </c>
      <c r="AM661" s="37" t="n">
        <f aca="false">IF(AK661=0,9999,IF($H661=0,IF($AJ661&lt;1,AM660+1,0),AM660))</f>
        <v>9999</v>
      </c>
      <c r="AN661" s="37" t="n">
        <f aca="false">IF(AL661=0,9999,IF($H661=1,IF($AJ661&lt;1,AN660+1,0),AN660))</f>
        <v>9999</v>
      </c>
      <c r="AO661" s="37" t="n">
        <f aca="false">IF($A661-AM661&gt;0,1/(1+AM661),0)</f>
        <v>0</v>
      </c>
      <c r="AP661" s="37" t="n">
        <f aca="false">IF($A661-AN661&gt;0,1/(1+AN661),0)</f>
        <v>0</v>
      </c>
      <c r="AQ661" s="7" t="n">
        <f aca="false">IF(AK661=0,0,MAX(MIN(1,AO661^Power),0))</f>
        <v>0</v>
      </c>
      <c r="AR661" s="7" t="n">
        <f aca="false">IF(AL661=0,0,MAX(MIN(1,AP661^Power),0))</f>
        <v>0</v>
      </c>
      <c r="AS661" s="7" t="n">
        <f aca="false">IF($AJ661=1,IF($H661=0,K661,AS660),AS660)</f>
        <v>0</v>
      </c>
      <c r="AT661" s="7" t="n">
        <f aca="false">IF($AJ661=1,IF($H661=1,N661,AT660),AT660)</f>
        <v>0</v>
      </c>
    </row>
    <row r="662" customFormat="false" ht="13" hidden="false" customHeight="false" outlineLevel="0" collapsed="false">
      <c r="A662" s="16" t="n">
        <v>645</v>
      </c>
      <c r="B662" s="37" t="n">
        <f aca="true">IF(RAND()&lt;$D$8,1,0)</f>
        <v>1</v>
      </c>
      <c r="C662" s="20" t="n">
        <f aca="true">-LN(RAND())/$D$2</f>
        <v>0.323427906679204</v>
      </c>
      <c r="D662" s="38" t="n">
        <f aca="false">D661+C662</f>
        <v>665.27355428677</v>
      </c>
      <c r="E662" s="39" t="n">
        <f aca="false">MAX($E$3,AS661)</f>
        <v>0</v>
      </c>
      <c r="F662" s="39" t="n">
        <f aca="false">MAX($E$3,AT661)</f>
        <v>0</v>
      </c>
      <c r="G662" s="40" t="n">
        <v>0.5</v>
      </c>
      <c r="H662" s="38" t="n">
        <f aca="true">IF((B662=1),(IF((F662&lt;E662),1,(IF((F662=E662),(IF(RAND()&lt;G662,1,0)),0)))),(IF((RAND()&lt;G662),1,0)))</f>
        <v>0</v>
      </c>
      <c r="I662" s="38" t="n">
        <f aca="true">IF((H662=1),0,$D$3+$D$5*(RAND()-0.5))</f>
        <v>1.9546026277077</v>
      </c>
      <c r="J662" s="38" t="n">
        <f aca="false">I662+MAX(D662,J661)</f>
        <v>688.501196300988</v>
      </c>
      <c r="K662" s="38" t="n">
        <f aca="false">IF((H662=0),J662-D662,0)</f>
        <v>23.2276420142181</v>
      </c>
      <c r="L662" s="38" t="n">
        <f aca="true">IF(($H662=0),0,$D$4+$D$5*(RAND()-0.5))</f>
        <v>0</v>
      </c>
      <c r="M662" s="38" t="n">
        <f aca="false">L662+MAX(D662,M661)</f>
        <v>724.870486203217</v>
      </c>
      <c r="N662" s="38" t="n">
        <f aca="false">IF((H662=1),M662-D662,0)</f>
        <v>0</v>
      </c>
      <c r="O662" s="16" t="n">
        <v>645</v>
      </c>
      <c r="P662" s="41" t="n">
        <f aca="false">IF((Arterial=0),P661+1,P661)</f>
        <v>297</v>
      </c>
      <c r="Q662" s="41" t="n">
        <f aca="false">IF((Arterial=1),Q661+1,Q661)</f>
        <v>348</v>
      </c>
      <c r="R662" s="42" t="e">
        <f aca="false">IF((RESET=1),0,R662+K662)</f>
        <v>#N/A</v>
      </c>
      <c r="S662" s="14" t="n">
        <f aca="false">IF(RESET=1,0,S662+N662)</f>
        <v>814.596081120741</v>
      </c>
      <c r="T662" s="2" t="e">
        <f aca="false">IF(RESET=1,0,T662+IF(H662=0,1,0))</f>
        <v>#N/A</v>
      </c>
      <c r="U662" s="2" t="n">
        <f aca="false">IF(RESET=1,0,U662+H662)</f>
        <v>41</v>
      </c>
      <c r="V662" s="14" t="e">
        <f aca="false">R662/(T662+0.00001)</f>
        <v>#N/A</v>
      </c>
      <c r="W662" s="14" t="n">
        <f aca="false">S662/(U662+0.0001)</f>
        <v>19.8681486416067</v>
      </c>
      <c r="X662" s="39" t="n">
        <f aca="false">IF(Informed=1,K662,0)</f>
        <v>23.2276420142181</v>
      </c>
      <c r="Y662" s="39" t="n">
        <f aca="false">IF(Informed=0,K662,0)</f>
        <v>0</v>
      </c>
      <c r="Z662" s="39" t="n">
        <f aca="false">IF(Informed=1,N662,0)</f>
        <v>0</v>
      </c>
      <c r="AA662" s="39" t="n">
        <f aca="false">IF(Informed=0,N662,0)</f>
        <v>0</v>
      </c>
      <c r="AB662" s="43" t="n">
        <f aca="false">IF(Arterial=0,IF(Informed=1,1,0),0)</f>
        <v>1</v>
      </c>
      <c r="AC662" s="43" t="n">
        <f aca="false">IF(Arterial=0,IF(Informed=0,1,0),0)</f>
        <v>0</v>
      </c>
      <c r="AD662" s="43" t="n">
        <f aca="false">IF(Arterial=1,IF(Informed=1,1,0),0)</f>
        <v>0</v>
      </c>
      <c r="AE662" s="43" t="n">
        <f aca="false">IF(Arterial=1,IF(Informed=0,1,0),0)</f>
        <v>0</v>
      </c>
      <c r="AF662" s="35" t="n">
        <f aca="false">IF(AB662=1,(X662-G$1030)^2,0)</f>
        <v>156.699417008116</v>
      </c>
      <c r="AG662" s="35" t="n">
        <f aca="false">IF(AC662=1,(Y662-H$1030)^2,0)</f>
        <v>0</v>
      </c>
      <c r="AH662" s="35" t="n">
        <f aca="false">IF(AD662=1,(Z662-I$1030)^2,0)</f>
        <v>0</v>
      </c>
      <c r="AI662" s="35" t="n">
        <f aca="false">IF(AE662=1,(AA662-J$1030)^2,0)</f>
        <v>0</v>
      </c>
      <c r="AJ662" s="37" t="n">
        <f aca="true">IF(RAND()&lt;$D$6,1,0)</f>
        <v>0</v>
      </c>
      <c r="AK662" s="14" t="n">
        <f aca="false">AK661+IF((AJ662=1),IF((H662=0),1,0),0)</f>
        <v>0</v>
      </c>
      <c r="AL662" s="14" t="n">
        <f aca="false">AL661+IF((AJ662=1),IF((H662=1),1,0),0)</f>
        <v>0</v>
      </c>
      <c r="AM662" s="37" t="n">
        <f aca="false">IF(AK662=0,9999,IF($H662=0,IF($AJ662&lt;1,AM661+1,0),AM661))</f>
        <v>9999</v>
      </c>
      <c r="AN662" s="37" t="n">
        <f aca="false">IF(AL662=0,9999,IF($H662=1,IF($AJ662&lt;1,AN661+1,0),AN661))</f>
        <v>9999</v>
      </c>
      <c r="AO662" s="37" t="n">
        <f aca="false">IF($A662-AM662&gt;0,1/(1+AM662),0)</f>
        <v>0</v>
      </c>
      <c r="AP662" s="37" t="n">
        <f aca="false">IF($A662-AN662&gt;0,1/(1+AN662),0)</f>
        <v>0</v>
      </c>
      <c r="AQ662" s="7" t="n">
        <f aca="false">IF(AK662=0,0,MAX(MIN(1,AO662^Power),0))</f>
        <v>0</v>
      </c>
      <c r="AR662" s="7" t="n">
        <f aca="false">IF(AL662=0,0,MAX(MIN(1,AP662^Power),0))</f>
        <v>0</v>
      </c>
      <c r="AS662" s="7" t="n">
        <f aca="false">IF($AJ662=1,IF($H662=0,K662,AS661),AS661)</f>
        <v>0</v>
      </c>
      <c r="AT662" s="7" t="n">
        <f aca="false">IF($AJ662=1,IF($H662=1,N662,AT661),AT661)</f>
        <v>0</v>
      </c>
    </row>
    <row r="663" customFormat="false" ht="13" hidden="false" customHeight="false" outlineLevel="0" collapsed="false">
      <c r="A663" s="16" t="n">
        <v>646</v>
      </c>
      <c r="B663" s="37" t="n">
        <f aca="true">IF(RAND()&lt;$D$8,1,0)</f>
        <v>0</v>
      </c>
      <c r="C663" s="20" t="n">
        <f aca="true">-LN(RAND())/$D$2</f>
        <v>1.69689477829125</v>
      </c>
      <c r="D663" s="38" t="n">
        <f aca="false">D662+C663</f>
        <v>666.970449065061</v>
      </c>
      <c r="E663" s="39" t="n">
        <f aca="false">MAX($E$3,AS662)</f>
        <v>0</v>
      </c>
      <c r="F663" s="39" t="n">
        <f aca="false">MAX($E$3,AT662)</f>
        <v>0</v>
      </c>
      <c r="G663" s="40" t="n">
        <v>0.5</v>
      </c>
      <c r="H663" s="38" t="n">
        <f aca="true">IF((B663=1),(IF((F663&lt;E663),1,(IF((F663=E663),(IF(RAND()&lt;G663,1,0)),0)))),(IF((RAND()&lt;G663),1,0)))</f>
        <v>0</v>
      </c>
      <c r="I663" s="38" t="n">
        <f aca="true">IF((H663=1),0,$D$3+$D$5*(RAND()-0.5))</f>
        <v>1.80221353835804</v>
      </c>
      <c r="J663" s="38" t="n">
        <f aca="false">I663+MAX(D663,J662)</f>
        <v>690.303409839346</v>
      </c>
      <c r="K663" s="38" t="n">
        <f aca="false">IF((H663=0),J663-D663,0)</f>
        <v>23.3329607742849</v>
      </c>
      <c r="L663" s="38" t="n">
        <f aca="true">IF(($H663=0),0,$D$4+$D$5*(RAND()-0.5))</f>
        <v>0</v>
      </c>
      <c r="M663" s="38" t="n">
        <f aca="false">L663+MAX(D663,M662)</f>
        <v>724.870486203217</v>
      </c>
      <c r="N663" s="38" t="n">
        <f aca="false">IF((H663=1),M663-D663,0)</f>
        <v>0</v>
      </c>
      <c r="O663" s="16" t="n">
        <v>646</v>
      </c>
      <c r="P663" s="41" t="n">
        <f aca="false">IF((Arterial=0),P662+1,P662)</f>
        <v>298</v>
      </c>
      <c r="Q663" s="41" t="n">
        <f aca="false">IF((Arterial=1),Q662+1,Q662)</f>
        <v>348</v>
      </c>
      <c r="R663" s="42" t="e">
        <f aca="false">IF((RESET=1),0,R663+K663)</f>
        <v>#N/A</v>
      </c>
      <c r="S663" s="14" t="n">
        <f aca="false">IF(RESET=1,0,S663+N663)</f>
        <v>719.23372839068</v>
      </c>
      <c r="T663" s="2" t="e">
        <f aca="false">IF(RESET=1,0,T663+IF(H663=0,1,0))</f>
        <v>#N/A</v>
      </c>
      <c r="U663" s="2" t="n">
        <f aca="false">IF(RESET=1,0,U663+H663)</f>
        <v>37</v>
      </c>
      <c r="V663" s="14" t="e">
        <f aca="false">R663/(T663+0.00001)</f>
        <v>#N/A</v>
      </c>
      <c r="W663" s="14" t="n">
        <f aca="false">S663/(U663+0.0001)</f>
        <v>19.4386968789457</v>
      </c>
      <c r="X663" s="39" t="n">
        <f aca="false">IF(Informed=1,K663,0)</f>
        <v>0</v>
      </c>
      <c r="Y663" s="39" t="n">
        <f aca="false">IF(Informed=0,K663,0)</f>
        <v>23.3329607742849</v>
      </c>
      <c r="Z663" s="39" t="n">
        <f aca="false">IF(Informed=1,N663,0)</f>
        <v>0</v>
      </c>
      <c r="AA663" s="39" t="n">
        <f aca="false">IF(Informed=0,N663,0)</f>
        <v>0</v>
      </c>
      <c r="AB663" s="43" t="n">
        <f aca="false">IF(Arterial=0,IF(Informed=1,1,0),0)</f>
        <v>0</v>
      </c>
      <c r="AC663" s="43" t="n">
        <f aca="false">IF(Arterial=0,IF(Informed=0,1,0),0)</f>
        <v>1</v>
      </c>
      <c r="AD663" s="43" t="n">
        <f aca="false">IF(Arterial=1,IF(Informed=1,1,0),0)</f>
        <v>0</v>
      </c>
      <c r="AE663" s="43" t="n">
        <f aca="false">IF(Arterial=1,IF(Informed=0,1,0),0)</f>
        <v>0</v>
      </c>
      <c r="AF663" s="35" t="n">
        <f aca="false">IF(AB663=1,(X663-G$1030)^2,0)</f>
        <v>0</v>
      </c>
      <c r="AG663" s="35" t="n">
        <f aca="false">IF(AC663=1,(Y663-H$1030)^2,0)</f>
        <v>153.987637174644</v>
      </c>
      <c r="AH663" s="35" t="n">
        <f aca="false">IF(AD663=1,(Z663-I$1030)^2,0)</f>
        <v>0</v>
      </c>
      <c r="AI663" s="35" t="n">
        <f aca="false">IF(AE663=1,(AA663-J$1030)^2,0)</f>
        <v>0</v>
      </c>
      <c r="AJ663" s="37" t="n">
        <f aca="true">IF(RAND()&lt;$D$6,1,0)</f>
        <v>0</v>
      </c>
      <c r="AK663" s="14" t="n">
        <f aca="false">AK662+IF((AJ663=1),IF((H663=0),1,0),0)</f>
        <v>0</v>
      </c>
      <c r="AL663" s="14" t="n">
        <f aca="false">AL662+IF((AJ663=1),IF((H663=1),1,0),0)</f>
        <v>0</v>
      </c>
      <c r="AM663" s="37" t="n">
        <f aca="false">IF(AK663=0,9999,IF($H663=0,IF($AJ663&lt;1,AM662+1,0),AM662))</f>
        <v>9999</v>
      </c>
      <c r="AN663" s="37" t="n">
        <f aca="false">IF(AL663=0,9999,IF($H663=1,IF($AJ663&lt;1,AN662+1,0),AN662))</f>
        <v>9999</v>
      </c>
      <c r="AO663" s="37" t="n">
        <f aca="false">IF($A663-AM663&gt;0,1/(1+AM663),0)</f>
        <v>0</v>
      </c>
      <c r="AP663" s="37" t="n">
        <f aca="false">IF($A663-AN663&gt;0,1/(1+AN663),0)</f>
        <v>0</v>
      </c>
      <c r="AQ663" s="7" t="n">
        <f aca="false">IF(AK663=0,0,MAX(MIN(1,AO663^Power),0))</f>
        <v>0</v>
      </c>
      <c r="AR663" s="7" t="n">
        <f aca="false">IF(AL663=0,0,MAX(MIN(1,AP663^Power),0))</f>
        <v>0</v>
      </c>
      <c r="AS663" s="7" t="n">
        <f aca="false">IF($AJ663=1,IF($H663=0,K663,AS662),AS662)</f>
        <v>0</v>
      </c>
      <c r="AT663" s="7" t="n">
        <f aca="false">IF($AJ663=1,IF($H663=1,N663,AT662),AT662)</f>
        <v>0</v>
      </c>
    </row>
    <row r="664" customFormat="false" ht="13" hidden="false" customHeight="false" outlineLevel="0" collapsed="false">
      <c r="A664" s="16" t="n">
        <v>647</v>
      </c>
      <c r="B664" s="37" t="n">
        <f aca="true">IF(RAND()&lt;$D$8,1,0)</f>
        <v>1</v>
      </c>
      <c r="C664" s="20" t="n">
        <f aca="true">-LN(RAND())/$D$2</f>
        <v>1.07874678295429</v>
      </c>
      <c r="D664" s="38" t="n">
        <f aca="false">D663+C664</f>
        <v>668.049195848015</v>
      </c>
      <c r="E664" s="39" t="n">
        <f aca="false">MAX($E$3,AS663)</f>
        <v>0</v>
      </c>
      <c r="F664" s="39" t="n">
        <f aca="false">MAX($E$3,AT663)</f>
        <v>0</v>
      </c>
      <c r="G664" s="40" t="n">
        <v>0.5</v>
      </c>
      <c r="H664" s="38" t="n">
        <f aca="true">IF((B664=1),(IF((F664&lt;E664),1,(IF((F664=E664),(IF(RAND()&lt;G664,1,0)),0)))),(IF((RAND()&lt;G664),1,0)))</f>
        <v>0</v>
      </c>
      <c r="I664" s="38" t="n">
        <f aca="true">IF((H664=1),0,$D$3+$D$5*(RAND()-0.5))</f>
        <v>1.96830943101187</v>
      </c>
      <c r="J664" s="38" t="n">
        <f aca="false">I664+MAX(D664,J663)</f>
        <v>692.271719270358</v>
      </c>
      <c r="K664" s="38" t="n">
        <f aca="false">IF((H664=0),J664-D664,0)</f>
        <v>24.2225234223424</v>
      </c>
      <c r="L664" s="38" t="n">
        <f aca="true">IF(($H664=0),0,$D$4+$D$5*(RAND()-0.5))</f>
        <v>0</v>
      </c>
      <c r="M664" s="38" t="n">
        <f aca="false">L664+MAX(D664,M663)</f>
        <v>724.870486203217</v>
      </c>
      <c r="N664" s="38" t="n">
        <f aca="false">IF((H664=1),M664-D664,0)</f>
        <v>0</v>
      </c>
      <c r="O664" s="16" t="n">
        <v>647</v>
      </c>
      <c r="P664" s="41" t="n">
        <f aca="false">IF((Arterial=0),P663+1,P663)</f>
        <v>299</v>
      </c>
      <c r="Q664" s="41" t="n">
        <f aca="false">IF((Arterial=1),Q663+1,Q663)</f>
        <v>348</v>
      </c>
      <c r="R664" s="42" t="e">
        <f aca="false">IF((RESET=1),0,R664+K664)</f>
        <v>#N/A</v>
      </c>
      <c r="S664" s="14" t="n">
        <f aca="false">IF(RESET=1,0,S664+N664)</f>
        <v>720.197444595214</v>
      </c>
      <c r="T664" s="2" t="e">
        <f aca="false">IF(RESET=1,0,T664+IF(H664=0,1,0))</f>
        <v>#N/A</v>
      </c>
      <c r="U664" s="2" t="n">
        <f aca="false">IF(RESET=1,0,U664+H664)</f>
        <v>40</v>
      </c>
      <c r="V664" s="14" t="e">
        <f aca="false">R664/(T664+0.00001)</f>
        <v>#N/A</v>
      </c>
      <c r="W664" s="14" t="n">
        <f aca="false">S664/(U664+0.0001)</f>
        <v>18.0048911026526</v>
      </c>
      <c r="X664" s="39" t="n">
        <f aca="false">IF(Informed=1,K664,0)</f>
        <v>24.2225234223424</v>
      </c>
      <c r="Y664" s="39" t="n">
        <f aca="false">IF(Informed=0,K664,0)</f>
        <v>0</v>
      </c>
      <c r="Z664" s="39" t="n">
        <f aca="false">IF(Informed=1,N664,0)</f>
        <v>0</v>
      </c>
      <c r="AA664" s="39" t="n">
        <f aca="false">IF(Informed=0,N664,0)</f>
        <v>0</v>
      </c>
      <c r="AB664" s="43" t="n">
        <f aca="false">IF(Arterial=0,IF(Informed=1,1,0),0)</f>
        <v>1</v>
      </c>
      <c r="AC664" s="43" t="n">
        <f aca="false">IF(Arterial=0,IF(Informed=0,1,0),0)</f>
        <v>0</v>
      </c>
      <c r="AD664" s="43" t="n">
        <f aca="false">IF(Arterial=1,IF(Informed=1,1,0),0)</f>
        <v>0</v>
      </c>
      <c r="AE664" s="43" t="n">
        <f aca="false">IF(Arterial=1,IF(Informed=0,1,0),0)</f>
        <v>0</v>
      </c>
      <c r="AF664" s="35" t="n">
        <f aca="false">IF(AB664=1,(X664-G$1030)^2,0)</f>
        <v>182.596984873897</v>
      </c>
      <c r="AG664" s="35" t="n">
        <f aca="false">IF(AC664=1,(Y664-H$1030)^2,0)</f>
        <v>0</v>
      </c>
      <c r="AH664" s="35" t="n">
        <f aca="false">IF(AD664=1,(Z664-I$1030)^2,0)</f>
        <v>0</v>
      </c>
      <c r="AI664" s="35" t="n">
        <f aca="false">IF(AE664=1,(AA664-J$1030)^2,0)</f>
        <v>0</v>
      </c>
      <c r="AJ664" s="37" t="n">
        <f aca="true">IF(RAND()&lt;$D$6,1,0)</f>
        <v>0</v>
      </c>
      <c r="AK664" s="14" t="n">
        <f aca="false">AK663+IF((AJ664=1),IF((H664=0),1,0),0)</f>
        <v>0</v>
      </c>
      <c r="AL664" s="14" t="n">
        <f aca="false">AL663+IF((AJ664=1),IF((H664=1),1,0),0)</f>
        <v>0</v>
      </c>
      <c r="AM664" s="37" t="n">
        <f aca="false">IF(AK664=0,9999,IF($H664=0,IF($AJ664&lt;1,AM663+1,0),AM663))</f>
        <v>9999</v>
      </c>
      <c r="AN664" s="37" t="n">
        <f aca="false">IF(AL664=0,9999,IF($H664=1,IF($AJ664&lt;1,AN663+1,0),AN663))</f>
        <v>9999</v>
      </c>
      <c r="AO664" s="37" t="n">
        <f aca="false">IF($A664-AM664&gt;0,1/(1+AM664),0)</f>
        <v>0</v>
      </c>
      <c r="AP664" s="37" t="n">
        <f aca="false">IF($A664-AN664&gt;0,1/(1+AN664),0)</f>
        <v>0</v>
      </c>
      <c r="AQ664" s="7" t="n">
        <f aca="false">IF(AK664=0,0,MAX(MIN(1,AO664^Power),0))</f>
        <v>0</v>
      </c>
      <c r="AR664" s="7" t="n">
        <f aca="false">IF(AL664=0,0,MAX(MIN(1,AP664^Power),0))</f>
        <v>0</v>
      </c>
      <c r="AS664" s="7" t="n">
        <f aca="false">IF($AJ664=1,IF($H664=0,K664,AS663),AS663)</f>
        <v>0</v>
      </c>
      <c r="AT664" s="7" t="n">
        <f aca="false">IF($AJ664=1,IF($H664=1,N664,AT663),AT663)</f>
        <v>0</v>
      </c>
    </row>
    <row r="665" customFormat="false" ht="13" hidden="false" customHeight="false" outlineLevel="0" collapsed="false">
      <c r="A665" s="16" t="n">
        <v>648</v>
      </c>
      <c r="B665" s="37" t="n">
        <f aca="true">IF(RAND()&lt;$D$8,1,0)</f>
        <v>1</v>
      </c>
      <c r="C665" s="20" t="n">
        <f aca="true">-LN(RAND())/$D$2</f>
        <v>0.574831326767726</v>
      </c>
      <c r="D665" s="38" t="n">
        <f aca="false">D664+C665</f>
        <v>668.624027174783</v>
      </c>
      <c r="E665" s="39" t="n">
        <f aca="false">MAX($E$3,AS664)</f>
        <v>0</v>
      </c>
      <c r="F665" s="39" t="n">
        <f aca="false">MAX($E$3,AT664)</f>
        <v>0</v>
      </c>
      <c r="G665" s="40" t="n">
        <v>0.5</v>
      </c>
      <c r="H665" s="38" t="n">
        <f aca="true">IF((B665=1),(IF((F665&lt;E665),1,(IF((F665=E665),(IF(RAND()&lt;G665,1,0)),0)))),(IF((RAND()&lt;G665),1,0)))</f>
        <v>1</v>
      </c>
      <c r="I665" s="38" t="n">
        <f aca="true">IF((H665=1),0,$D$3+$D$5*(RAND()-0.5))</f>
        <v>0</v>
      </c>
      <c r="J665" s="38" t="n">
        <f aca="false">I665+MAX(D665,J664)</f>
        <v>692.271719270358</v>
      </c>
      <c r="K665" s="38" t="n">
        <f aca="false">IF((H665=0),J665-D665,0)</f>
        <v>0</v>
      </c>
      <c r="L665" s="38" t="n">
        <f aca="true">IF(($H665=0),0,$D$4+$D$5*(RAND()-0.5))</f>
        <v>1.91018334551681</v>
      </c>
      <c r="M665" s="38" t="n">
        <f aca="false">L665+MAX(D665,M664)</f>
        <v>726.780669548733</v>
      </c>
      <c r="N665" s="38" t="n">
        <f aca="false">IF((H665=1),M665-D665,0)</f>
        <v>58.1566423739504</v>
      </c>
      <c r="O665" s="16" t="n">
        <v>648</v>
      </c>
      <c r="P665" s="41" t="n">
        <f aca="false">IF((Arterial=0),P664+1,P664)</f>
        <v>299</v>
      </c>
      <c r="Q665" s="41" t="n">
        <f aca="false">IF((Arterial=1),Q664+1,Q664)</f>
        <v>349</v>
      </c>
      <c r="R665" s="42" t="n">
        <f aca="false">IF((RESET=1),0,R665+K665)</f>
        <v>569.14077275405</v>
      </c>
      <c r="S665" s="14" t="e">
        <f aca="false">IF(RESET=1,0,S665+N665)</f>
        <v>#N/A</v>
      </c>
      <c r="T665" s="2" t="n">
        <f aca="false">IF(RESET=1,0,T665+IF(H665=0,1,0))</f>
        <v>31</v>
      </c>
      <c r="U665" s="2" t="e">
        <f aca="false">IF(RESET=1,0,U665+H665)</f>
        <v>#N/A</v>
      </c>
      <c r="V665" s="14" t="n">
        <f aca="false">R665/(T665+0.00001)</f>
        <v>18.359373843881</v>
      </c>
      <c r="W665" s="14" t="e">
        <f aca="false">S665/(U665+0.0001)</f>
        <v>#N/A</v>
      </c>
      <c r="X665" s="39" t="n">
        <f aca="false">IF(Informed=1,K665,0)</f>
        <v>0</v>
      </c>
      <c r="Y665" s="39" t="n">
        <f aca="false">IF(Informed=0,K665,0)</f>
        <v>0</v>
      </c>
      <c r="Z665" s="39" t="n">
        <f aca="false">IF(Informed=1,N665,0)</f>
        <v>58.1566423739504</v>
      </c>
      <c r="AA665" s="39" t="n">
        <f aca="false">IF(Informed=0,N665,0)</f>
        <v>0</v>
      </c>
      <c r="AB665" s="43" t="n">
        <f aca="false">IF(Arterial=0,IF(Informed=1,1,0),0)</f>
        <v>0</v>
      </c>
      <c r="AC665" s="43" t="n">
        <f aca="false">IF(Arterial=0,IF(Informed=0,1,0),0)</f>
        <v>0</v>
      </c>
      <c r="AD665" s="43" t="n">
        <f aca="false">IF(Arterial=1,IF(Informed=1,1,0),0)</f>
        <v>1</v>
      </c>
      <c r="AE665" s="43" t="n">
        <f aca="false">IF(Arterial=1,IF(Informed=0,1,0),0)</f>
        <v>0</v>
      </c>
      <c r="AF665" s="35" t="n">
        <f aca="false">IF(AB665=1,(X665-G$1030)^2,0)</f>
        <v>0</v>
      </c>
      <c r="AG665" s="35" t="n">
        <f aca="false">IF(AC665=1,(Y665-H$1030)^2,0)</f>
        <v>0</v>
      </c>
      <c r="AH665" s="35" t="n">
        <f aca="false">IF(AD665=1,(Z665-I$1030)^2,0)</f>
        <v>886.956062774694</v>
      </c>
      <c r="AI665" s="35" t="n">
        <f aca="false">IF(AE665=1,(AA665-J$1030)^2,0)</f>
        <v>0</v>
      </c>
      <c r="AJ665" s="37" t="n">
        <f aca="true">IF(RAND()&lt;$D$6,1,0)</f>
        <v>0</v>
      </c>
      <c r="AK665" s="14" t="n">
        <f aca="false">AK664+IF((AJ665=1),IF((H665=0),1,0),0)</f>
        <v>0</v>
      </c>
      <c r="AL665" s="14" t="n">
        <f aca="false">AL664+IF((AJ665=1),IF((H665=1),1,0),0)</f>
        <v>0</v>
      </c>
      <c r="AM665" s="37" t="n">
        <f aca="false">IF(AK665=0,9999,IF($H665=0,IF($AJ665&lt;1,AM664+1,0),AM664))</f>
        <v>9999</v>
      </c>
      <c r="AN665" s="37" t="n">
        <f aca="false">IF(AL665=0,9999,IF($H665=1,IF($AJ665&lt;1,AN664+1,0),AN664))</f>
        <v>9999</v>
      </c>
      <c r="AO665" s="37" t="n">
        <f aca="false">IF($A665-AM665&gt;0,1/(1+AM665),0)</f>
        <v>0</v>
      </c>
      <c r="AP665" s="37" t="n">
        <f aca="false">IF($A665-AN665&gt;0,1/(1+AN665),0)</f>
        <v>0</v>
      </c>
      <c r="AQ665" s="7" t="n">
        <f aca="false">IF(AK665=0,0,MAX(MIN(1,AO665^Power),0))</f>
        <v>0</v>
      </c>
      <c r="AR665" s="7" t="n">
        <f aca="false">IF(AL665=0,0,MAX(MIN(1,AP665^Power),0))</f>
        <v>0</v>
      </c>
      <c r="AS665" s="7" t="n">
        <f aca="false">IF($AJ665=1,IF($H665=0,K665,AS664),AS664)</f>
        <v>0</v>
      </c>
      <c r="AT665" s="7" t="n">
        <f aca="false">IF($AJ665=1,IF($H665=1,N665,AT664),AT664)</f>
        <v>0</v>
      </c>
    </row>
    <row r="666" customFormat="false" ht="13" hidden="false" customHeight="false" outlineLevel="0" collapsed="false">
      <c r="A666" s="16" t="n">
        <v>649</v>
      </c>
      <c r="B666" s="37" t="n">
        <f aca="true">IF(RAND()&lt;$D$8,1,0)</f>
        <v>0</v>
      </c>
      <c r="C666" s="20" t="n">
        <f aca="true">-LN(RAND())/$D$2</f>
        <v>0.848856121962276</v>
      </c>
      <c r="D666" s="38" t="n">
        <f aca="false">D665+C666</f>
        <v>669.472883296745</v>
      </c>
      <c r="E666" s="39" t="n">
        <f aca="false">MAX($E$3,AS665)</f>
        <v>0</v>
      </c>
      <c r="F666" s="39" t="n">
        <f aca="false">MAX($E$3,AT665)</f>
        <v>0</v>
      </c>
      <c r="G666" s="40" t="n">
        <v>0.5</v>
      </c>
      <c r="H666" s="38" t="n">
        <f aca="true">IF((B666=1),(IF((F666&lt;E666),1,(IF((F666=E666),(IF(RAND()&lt;G666,1,0)),0)))),(IF((RAND()&lt;G666),1,0)))</f>
        <v>1</v>
      </c>
      <c r="I666" s="38" t="n">
        <f aca="true">IF((H666=1),0,$D$3+$D$5*(RAND()-0.5))</f>
        <v>0</v>
      </c>
      <c r="J666" s="38" t="n">
        <f aca="false">I666+MAX(D666,J665)</f>
        <v>692.271719270358</v>
      </c>
      <c r="K666" s="38" t="n">
        <f aca="false">IF((H666=0),J666-D666,0)</f>
        <v>0</v>
      </c>
      <c r="L666" s="38" t="n">
        <f aca="true">IF(($H666=0),0,$D$4+$D$5*(RAND()-0.5))</f>
        <v>2.2266213397098</v>
      </c>
      <c r="M666" s="38" t="n">
        <f aca="false">L666+MAX(D666,M665)</f>
        <v>729.007290888443</v>
      </c>
      <c r="N666" s="38" t="n">
        <f aca="false">IF((H666=1),M666-D666,0)</f>
        <v>59.5344075916979</v>
      </c>
      <c r="O666" s="16" t="n">
        <v>649</v>
      </c>
      <c r="P666" s="41" t="n">
        <f aca="false">IF((Arterial=0),P665+1,P665)</f>
        <v>299</v>
      </c>
      <c r="Q666" s="41" t="n">
        <f aca="false">IF((Arterial=1),Q665+1,Q665)</f>
        <v>350</v>
      </c>
      <c r="R666" s="42" t="n">
        <f aca="false">IF((RESET=1),0,R666+K666)</f>
        <v>1016.60525737227</v>
      </c>
      <c r="S666" s="14" t="e">
        <f aca="false">IF(RESET=1,0,S666+N666)</f>
        <v>#N/A</v>
      </c>
      <c r="T666" s="2" t="n">
        <f aca="false">IF(RESET=1,0,T666+IF(H666=0,1,0))</f>
        <v>39</v>
      </c>
      <c r="U666" s="2" t="e">
        <f aca="false">IF(RESET=1,0,U666+H666)</f>
        <v>#N/A</v>
      </c>
      <c r="V666" s="14" t="n">
        <f aca="false">R666/(T666+0.00001)</f>
        <v>26.0667947872904</v>
      </c>
      <c r="W666" s="14" t="e">
        <f aca="false">S666/(U666+0.0001)</f>
        <v>#N/A</v>
      </c>
      <c r="X666" s="39" t="n">
        <f aca="false">IF(Informed=1,K666,0)</f>
        <v>0</v>
      </c>
      <c r="Y666" s="39" t="n">
        <f aca="false">IF(Informed=0,K666,0)</f>
        <v>0</v>
      </c>
      <c r="Z666" s="39" t="n">
        <f aca="false">IF(Informed=1,N666,0)</f>
        <v>0</v>
      </c>
      <c r="AA666" s="39" t="n">
        <f aca="false">IF(Informed=0,N666,0)</f>
        <v>59.5344075916979</v>
      </c>
      <c r="AB666" s="43" t="n">
        <f aca="false">IF(Arterial=0,IF(Informed=1,1,0),0)</f>
        <v>0</v>
      </c>
      <c r="AC666" s="43" t="n">
        <f aca="false">IF(Arterial=0,IF(Informed=0,1,0),0)</f>
        <v>0</v>
      </c>
      <c r="AD666" s="43" t="n">
        <f aca="false">IF(Arterial=1,IF(Informed=1,1,0),0)</f>
        <v>0</v>
      </c>
      <c r="AE666" s="43" t="n">
        <f aca="false">IF(Arterial=1,IF(Informed=0,1,0),0)</f>
        <v>1</v>
      </c>
      <c r="AF666" s="35" t="n">
        <f aca="false">IF(AB666=1,(X666-G$1030)^2,0)</f>
        <v>0</v>
      </c>
      <c r="AG666" s="35" t="n">
        <f aca="false">IF(AC666=1,(Y666-H$1030)^2,0)</f>
        <v>0</v>
      </c>
      <c r="AH666" s="35" t="n">
        <f aca="false">IF(AD666=1,(Z666-I$1030)^2,0)</f>
        <v>0</v>
      </c>
      <c r="AI666" s="35" t="n">
        <f aca="false">IF(AE666=1,(AA666-J$1030)^2,0)</f>
        <v>898.208848150434</v>
      </c>
      <c r="AJ666" s="37" t="n">
        <f aca="true">IF(RAND()&lt;$D$6,1,0)</f>
        <v>0</v>
      </c>
      <c r="AK666" s="14" t="n">
        <f aca="false">AK665+IF((AJ666=1),IF((H666=0),1,0),0)</f>
        <v>0</v>
      </c>
      <c r="AL666" s="14" t="n">
        <f aca="false">AL665+IF((AJ666=1),IF((H666=1),1,0),0)</f>
        <v>0</v>
      </c>
      <c r="AM666" s="37" t="n">
        <f aca="false">IF(AK666=0,9999,IF($H666=0,IF($AJ666&lt;1,AM665+1,0),AM665))</f>
        <v>9999</v>
      </c>
      <c r="AN666" s="37" t="n">
        <f aca="false">IF(AL666=0,9999,IF($H666=1,IF($AJ666&lt;1,AN665+1,0),AN665))</f>
        <v>9999</v>
      </c>
      <c r="AO666" s="37" t="n">
        <f aca="false">IF($A666-AM666&gt;0,1/(1+AM666),0)</f>
        <v>0</v>
      </c>
      <c r="AP666" s="37" t="n">
        <f aca="false">IF($A666-AN666&gt;0,1/(1+AN666),0)</f>
        <v>0</v>
      </c>
      <c r="AQ666" s="7" t="n">
        <f aca="false">IF(AK666=0,0,MAX(MIN(1,AO666^Power),0))</f>
        <v>0</v>
      </c>
      <c r="AR666" s="7" t="n">
        <f aca="false">IF(AL666=0,0,MAX(MIN(1,AP666^Power),0))</f>
        <v>0</v>
      </c>
      <c r="AS666" s="7" t="n">
        <f aca="false">IF($AJ666=1,IF($H666=0,K666,AS665),AS665)</f>
        <v>0</v>
      </c>
      <c r="AT666" s="7" t="n">
        <f aca="false">IF($AJ666=1,IF($H666=1,N666,AT665),AT665)</f>
        <v>0</v>
      </c>
    </row>
    <row r="667" customFormat="false" ht="13" hidden="false" customHeight="false" outlineLevel="0" collapsed="false">
      <c r="A667" s="16" t="n">
        <v>650</v>
      </c>
      <c r="B667" s="37" t="n">
        <f aca="true">IF(RAND()&lt;$D$8,1,0)</f>
        <v>0</v>
      </c>
      <c r="C667" s="20" t="n">
        <f aca="true">-LN(RAND())/$D$2</f>
        <v>1.77504191565537</v>
      </c>
      <c r="D667" s="38" t="n">
        <f aca="false">D666+C667</f>
        <v>671.247925212401</v>
      </c>
      <c r="E667" s="39" t="n">
        <f aca="false">MAX($E$3,AS666)</f>
        <v>0</v>
      </c>
      <c r="F667" s="39" t="n">
        <f aca="false">MAX($E$3,AT666)</f>
        <v>0</v>
      </c>
      <c r="G667" s="40" t="n">
        <v>0.5</v>
      </c>
      <c r="H667" s="38" t="n">
        <f aca="true">IF((B667=1),(IF((F667&lt;E667),1,(IF((F667=E667),(IF(RAND()&lt;G667,1,0)),0)))),(IF((RAND()&lt;G667),1,0)))</f>
        <v>0</v>
      </c>
      <c r="I667" s="38" t="n">
        <f aca="true">IF((H667=1),0,$D$3+$D$5*(RAND()-0.5))</f>
        <v>2.19362658120858</v>
      </c>
      <c r="J667" s="38" t="n">
        <f aca="false">I667+MAX(D667,J666)</f>
        <v>694.465345851566</v>
      </c>
      <c r="K667" s="38" t="n">
        <f aca="false">IF((H667=0),J667-D667,0)</f>
        <v>23.2174206391657</v>
      </c>
      <c r="L667" s="38" t="n">
        <f aca="true">IF(($H667=0),0,$D$4+$D$5*(RAND()-0.5))</f>
        <v>0</v>
      </c>
      <c r="M667" s="38" t="n">
        <f aca="false">L667+MAX(D667,M666)</f>
        <v>729.007290888443</v>
      </c>
      <c r="N667" s="38" t="n">
        <f aca="false">IF((H667=1),M667-D667,0)</f>
        <v>0</v>
      </c>
      <c r="O667" s="16" t="n">
        <v>650</v>
      </c>
      <c r="P667" s="41" t="n">
        <f aca="false">IF((Arterial=0),P666+1,P666)</f>
        <v>300</v>
      </c>
      <c r="Q667" s="41" t="n">
        <f aca="false">IF((Arterial=1),Q666+1,Q666)</f>
        <v>350</v>
      </c>
      <c r="R667" s="42" t="e">
        <f aca="false">IF((RESET=1),0,R667+K667)</f>
        <v>#N/A</v>
      </c>
      <c r="S667" s="14" t="n">
        <f aca="false">IF(RESET=1,0,S667+N667)</f>
        <v>786.46982406065</v>
      </c>
      <c r="T667" s="2" t="e">
        <f aca="false">IF(RESET=1,0,T667+IF(H667=0,1,0))</f>
        <v>#N/A</v>
      </c>
      <c r="U667" s="2" t="n">
        <f aca="false">IF(RESET=1,0,U667+H667)</f>
        <v>44</v>
      </c>
      <c r="V667" s="14" t="e">
        <f aca="false">R667/(T667+0.00001)</f>
        <v>#N/A</v>
      </c>
      <c r="W667" s="14" t="n">
        <f aca="false">S667/(U667+0.0001)</f>
        <v>17.8742735598476</v>
      </c>
      <c r="X667" s="39" t="n">
        <f aca="false">IF(Informed=1,K667,0)</f>
        <v>0</v>
      </c>
      <c r="Y667" s="39" t="n">
        <f aca="false">IF(Informed=0,K667,0)</f>
        <v>23.2174206391657</v>
      </c>
      <c r="Z667" s="39" t="n">
        <f aca="false">IF(Informed=1,N667,0)</f>
        <v>0</v>
      </c>
      <c r="AA667" s="39" t="n">
        <f aca="false">IF(Informed=0,N667,0)</f>
        <v>0</v>
      </c>
      <c r="AB667" s="43" t="n">
        <f aca="false">IF(Arterial=0,IF(Informed=1,1,0),0)</f>
        <v>0</v>
      </c>
      <c r="AC667" s="43" t="n">
        <f aca="false">IF(Arterial=0,IF(Informed=0,1,0),0)</f>
        <v>1</v>
      </c>
      <c r="AD667" s="43" t="n">
        <f aca="false">IF(Arterial=1,IF(Informed=1,1,0),0)</f>
        <v>0</v>
      </c>
      <c r="AE667" s="43" t="n">
        <f aca="false">IF(Arterial=1,IF(Informed=0,1,0),0)</f>
        <v>0</v>
      </c>
      <c r="AF667" s="35" t="n">
        <f aca="false">IF(AB667=1,(X667-G$1030)^2,0)</f>
        <v>0</v>
      </c>
      <c r="AG667" s="35" t="n">
        <f aca="false">IF(AC667=1,(Y667-H$1030)^2,0)</f>
        <v>151.133471064046</v>
      </c>
      <c r="AH667" s="35" t="n">
        <f aca="false">IF(AD667=1,(Z667-I$1030)^2,0)</f>
        <v>0</v>
      </c>
      <c r="AI667" s="35" t="n">
        <f aca="false">IF(AE667=1,(AA667-J$1030)^2,0)</f>
        <v>0</v>
      </c>
      <c r="AJ667" s="37" t="n">
        <f aca="true">IF(RAND()&lt;$D$6,1,0)</f>
        <v>0</v>
      </c>
      <c r="AK667" s="14" t="n">
        <f aca="false">AK666+IF((AJ667=1),IF((H667=0),1,0),0)</f>
        <v>0</v>
      </c>
      <c r="AL667" s="14" t="n">
        <f aca="false">AL666+IF((AJ667=1),IF((H667=1),1,0),0)</f>
        <v>0</v>
      </c>
      <c r="AM667" s="37" t="n">
        <f aca="false">IF(AK667=0,9999,IF($H667=0,IF($AJ667&lt;1,AM666+1,0),AM666))</f>
        <v>9999</v>
      </c>
      <c r="AN667" s="37" t="n">
        <f aca="false">IF(AL667=0,9999,IF($H667=1,IF($AJ667&lt;1,AN666+1,0),AN666))</f>
        <v>9999</v>
      </c>
      <c r="AO667" s="37" t="n">
        <f aca="false">IF($A667-AM667&gt;0,1/(1+AM667),0)</f>
        <v>0</v>
      </c>
      <c r="AP667" s="37" t="n">
        <f aca="false">IF($A667-AN667&gt;0,1/(1+AN667),0)</f>
        <v>0</v>
      </c>
      <c r="AQ667" s="7" t="n">
        <f aca="false">IF(AK667=0,0,MAX(MIN(1,AO667^Power),0))</f>
        <v>0</v>
      </c>
      <c r="AR667" s="7" t="n">
        <f aca="false">IF(AL667=0,0,MAX(MIN(1,AP667^Power),0))</f>
        <v>0</v>
      </c>
      <c r="AS667" s="7" t="n">
        <f aca="false">IF($AJ667=1,IF($H667=0,K667,AS666),AS666)</f>
        <v>0</v>
      </c>
      <c r="AT667" s="7" t="n">
        <f aca="false">IF($AJ667=1,IF($H667=1,N667,AT666),AT666)</f>
        <v>0</v>
      </c>
    </row>
    <row r="668" customFormat="false" ht="13" hidden="false" customHeight="false" outlineLevel="0" collapsed="false">
      <c r="A668" s="16" t="n">
        <v>651</v>
      </c>
      <c r="B668" s="37" t="n">
        <f aca="true">IF(RAND()&lt;$D$8,1,0)</f>
        <v>1</v>
      </c>
      <c r="C668" s="20" t="n">
        <f aca="true">-LN(RAND())/$D$2</f>
        <v>1.23880949778592</v>
      </c>
      <c r="D668" s="38" t="n">
        <f aca="false">D667+C668</f>
        <v>672.486734710187</v>
      </c>
      <c r="E668" s="39" t="n">
        <f aca="false">MAX($E$3,AS667)</f>
        <v>0</v>
      </c>
      <c r="F668" s="39" t="n">
        <f aca="false">MAX($E$3,AT667)</f>
        <v>0</v>
      </c>
      <c r="G668" s="40" t="n">
        <v>0.5</v>
      </c>
      <c r="H668" s="38" t="n">
        <f aca="true">IF((B668=1),(IF((F668&lt;E668),1,(IF((F668=E668),(IF(RAND()&lt;G668,1,0)),0)))),(IF((RAND()&lt;G668),1,0)))</f>
        <v>0</v>
      </c>
      <c r="I668" s="38" t="n">
        <f aca="true">IF((H668=1),0,$D$3+$D$5*(RAND()-0.5))</f>
        <v>1.91865442317996</v>
      </c>
      <c r="J668" s="38" t="n">
        <f aca="false">I668+MAX(D668,J667)</f>
        <v>696.384000274746</v>
      </c>
      <c r="K668" s="38" t="n">
        <f aca="false">IF((H668=0),J668-D668,0)</f>
        <v>23.8972655645597</v>
      </c>
      <c r="L668" s="38" t="n">
        <f aca="true">IF(($H668=0),0,$D$4+$D$5*(RAND()-0.5))</f>
        <v>0</v>
      </c>
      <c r="M668" s="38" t="n">
        <f aca="false">L668+MAX(D668,M667)</f>
        <v>729.007290888443</v>
      </c>
      <c r="N668" s="38" t="n">
        <f aca="false">IF((H668=1),M668-D668,0)</f>
        <v>0</v>
      </c>
      <c r="O668" s="16" t="n">
        <v>651</v>
      </c>
      <c r="P668" s="41" t="n">
        <f aca="false">IF((Arterial=0),P667+1,P667)</f>
        <v>301</v>
      </c>
      <c r="Q668" s="41" t="n">
        <f aca="false">IF((Arterial=1),Q667+1,Q667)</f>
        <v>350</v>
      </c>
      <c r="R668" s="42" t="e">
        <f aca="false">IF((RESET=1),0,R668+K668)</f>
        <v>#N/A</v>
      </c>
      <c r="S668" s="14" t="n">
        <f aca="false">IF(RESET=1,0,S668+N668)</f>
        <v>746.930120103688</v>
      </c>
      <c r="T668" s="2" t="e">
        <f aca="false">IF(RESET=1,0,T668+IF(H668=0,1,0))</f>
        <v>#N/A</v>
      </c>
      <c r="U668" s="2" t="n">
        <f aca="false">IF(RESET=1,0,U668+H668)</f>
        <v>44</v>
      </c>
      <c r="V668" s="14" t="e">
        <f aca="false">R668/(T668+0.00001)</f>
        <v>#N/A</v>
      </c>
      <c r="W668" s="14" t="n">
        <f aca="false">S668/(U668+0.0001)</f>
        <v>16.9756459667975</v>
      </c>
      <c r="X668" s="39" t="n">
        <f aca="false">IF(Informed=1,K668,0)</f>
        <v>23.8972655645597</v>
      </c>
      <c r="Y668" s="39" t="n">
        <f aca="false">IF(Informed=0,K668,0)</f>
        <v>0</v>
      </c>
      <c r="Z668" s="39" t="n">
        <f aca="false">IF(Informed=1,N668,0)</f>
        <v>0</v>
      </c>
      <c r="AA668" s="39" t="n">
        <f aca="false">IF(Informed=0,N668,0)</f>
        <v>0</v>
      </c>
      <c r="AB668" s="43" t="n">
        <f aca="false">IF(Arterial=0,IF(Informed=1,1,0),0)</f>
        <v>1</v>
      </c>
      <c r="AC668" s="43" t="n">
        <f aca="false">IF(Arterial=0,IF(Informed=0,1,0),0)</f>
        <v>0</v>
      </c>
      <c r="AD668" s="43" t="n">
        <f aca="false">IF(Arterial=1,IF(Informed=1,1,0),0)</f>
        <v>0</v>
      </c>
      <c r="AE668" s="43" t="n">
        <f aca="false">IF(Arterial=1,IF(Informed=0,1,0),0)</f>
        <v>0</v>
      </c>
      <c r="AF668" s="35" t="n">
        <f aca="false">IF(AB668=1,(X668-G$1030)^2,0)</f>
        <v>173.912459395986</v>
      </c>
      <c r="AG668" s="35" t="n">
        <f aca="false">IF(AC668=1,(Y668-H$1030)^2,0)</f>
        <v>0</v>
      </c>
      <c r="AH668" s="35" t="n">
        <f aca="false">IF(AD668=1,(Z668-I$1030)^2,0)</f>
        <v>0</v>
      </c>
      <c r="AI668" s="35" t="n">
        <f aca="false">IF(AE668=1,(AA668-J$1030)^2,0)</f>
        <v>0</v>
      </c>
      <c r="AJ668" s="37" t="n">
        <f aca="true">IF(RAND()&lt;$D$6,1,0)</f>
        <v>0</v>
      </c>
      <c r="AK668" s="14" t="n">
        <f aca="false">AK667+IF((AJ668=1),IF((H668=0),1,0),0)</f>
        <v>0</v>
      </c>
      <c r="AL668" s="14" t="n">
        <f aca="false">AL667+IF((AJ668=1),IF((H668=1),1,0),0)</f>
        <v>0</v>
      </c>
      <c r="AM668" s="37" t="n">
        <f aca="false">IF(AK668=0,9999,IF($H668=0,IF($AJ668&lt;1,AM667+1,0),AM667))</f>
        <v>9999</v>
      </c>
      <c r="AN668" s="37" t="n">
        <f aca="false">IF(AL668=0,9999,IF($H668=1,IF($AJ668&lt;1,AN667+1,0),AN667))</f>
        <v>9999</v>
      </c>
      <c r="AO668" s="37" t="n">
        <f aca="false">IF($A668-AM668&gt;0,1/(1+AM668),0)</f>
        <v>0</v>
      </c>
      <c r="AP668" s="37" t="n">
        <f aca="false">IF($A668-AN668&gt;0,1/(1+AN668),0)</f>
        <v>0</v>
      </c>
      <c r="AQ668" s="7" t="n">
        <f aca="false">IF(AK668=0,0,MAX(MIN(1,AO668^Power),0))</f>
        <v>0</v>
      </c>
      <c r="AR668" s="7" t="n">
        <f aca="false">IF(AL668=0,0,MAX(MIN(1,AP668^Power),0))</f>
        <v>0</v>
      </c>
      <c r="AS668" s="7" t="n">
        <f aca="false">IF($AJ668=1,IF($H668=0,K668,AS667),AS667)</f>
        <v>0</v>
      </c>
      <c r="AT668" s="7" t="n">
        <f aca="false">IF($AJ668=1,IF($H668=1,N668,AT667),AT667)</f>
        <v>0</v>
      </c>
    </row>
    <row r="669" customFormat="false" ht="13" hidden="false" customHeight="false" outlineLevel="0" collapsed="false">
      <c r="A669" s="16" t="n">
        <v>652</v>
      </c>
      <c r="B669" s="37" t="n">
        <f aca="true">IF(RAND()&lt;$D$8,1,0)</f>
        <v>0</v>
      </c>
      <c r="C669" s="20" t="n">
        <f aca="true">-LN(RAND())/$D$2</f>
        <v>1.22371377786046</v>
      </c>
      <c r="D669" s="38" t="n">
        <f aca="false">D668+C669</f>
        <v>673.710448488047</v>
      </c>
      <c r="E669" s="39" t="n">
        <f aca="false">MAX($E$3,AS668)</f>
        <v>0</v>
      </c>
      <c r="F669" s="39" t="n">
        <f aca="false">MAX($E$3,AT668)</f>
        <v>0</v>
      </c>
      <c r="G669" s="40" t="n">
        <v>0.5</v>
      </c>
      <c r="H669" s="38" t="n">
        <f aca="true">IF((B669=1),(IF((F669&lt;E669),1,(IF((F669=E669),(IF(RAND()&lt;G669,1,0)),0)))),(IF((RAND()&lt;G669),1,0)))</f>
        <v>0</v>
      </c>
      <c r="I669" s="38" t="n">
        <f aca="true">IF((H669=1),0,$D$3+$D$5*(RAND()-0.5))</f>
        <v>1.80284404109167</v>
      </c>
      <c r="J669" s="38" t="n">
        <f aca="false">I669+MAX(D669,J668)</f>
        <v>698.186844315838</v>
      </c>
      <c r="K669" s="38" t="n">
        <f aca="false">IF((H669=0),J669-D669,0)</f>
        <v>24.476395827791</v>
      </c>
      <c r="L669" s="38" t="n">
        <f aca="true">IF(($H669=0),0,$D$4+$D$5*(RAND()-0.5))</f>
        <v>0</v>
      </c>
      <c r="M669" s="38" t="n">
        <f aca="false">L669+MAX(D669,M668)</f>
        <v>729.007290888443</v>
      </c>
      <c r="N669" s="38" t="n">
        <f aca="false">IF((H669=1),M669-D669,0)</f>
        <v>0</v>
      </c>
      <c r="O669" s="16" t="n">
        <v>652</v>
      </c>
      <c r="P669" s="41" t="n">
        <f aca="false">IF((Arterial=0),P668+1,P668)</f>
        <v>302</v>
      </c>
      <c r="Q669" s="41" t="n">
        <f aca="false">IF((Arterial=1),Q668+1,Q668)</f>
        <v>350</v>
      </c>
      <c r="R669" s="42" t="e">
        <f aca="false">IF((RESET=1),0,R669+K669)</f>
        <v>#N/A</v>
      </c>
      <c r="S669" s="14" t="n">
        <f aca="false">IF(RESET=1,0,S669+N669)</f>
        <v>622.318061915154</v>
      </c>
      <c r="T669" s="2" t="e">
        <f aca="false">IF(RESET=1,0,T669+IF(H669=0,1,0))</f>
        <v>#N/A</v>
      </c>
      <c r="U669" s="2" t="n">
        <f aca="false">IF(RESET=1,0,U669+H669)</f>
        <v>36</v>
      </c>
      <c r="V669" s="14" t="e">
        <f aca="false">R669/(T669+0.00001)</f>
        <v>#N/A</v>
      </c>
      <c r="W669" s="14" t="n">
        <f aca="false">S669/(U669+0.0001)</f>
        <v>17.2865648127409</v>
      </c>
      <c r="X669" s="39" t="n">
        <f aca="false">IF(Informed=1,K669,0)</f>
        <v>0</v>
      </c>
      <c r="Y669" s="39" t="n">
        <f aca="false">IF(Informed=0,K669,0)</f>
        <v>24.476395827791</v>
      </c>
      <c r="Z669" s="39" t="n">
        <f aca="false">IF(Informed=1,N669,0)</f>
        <v>0</v>
      </c>
      <c r="AA669" s="39" t="n">
        <f aca="false">IF(Informed=0,N669,0)</f>
        <v>0</v>
      </c>
      <c r="AB669" s="43" t="n">
        <f aca="false">IF(Arterial=0,IF(Informed=1,1,0),0)</f>
        <v>0</v>
      </c>
      <c r="AC669" s="43" t="n">
        <f aca="false">IF(Arterial=0,IF(Informed=0,1,0),0)</f>
        <v>1</v>
      </c>
      <c r="AD669" s="43" t="n">
        <f aca="false">IF(Arterial=1,IF(Informed=1,1,0),0)</f>
        <v>0</v>
      </c>
      <c r="AE669" s="43" t="n">
        <f aca="false">IF(Arterial=1,IF(Informed=0,1,0),0)</f>
        <v>0</v>
      </c>
      <c r="AF669" s="35" t="n">
        <f aca="false">IF(AB669=1,(X669-G$1030)^2,0)</f>
        <v>0</v>
      </c>
      <c r="AG669" s="35" t="n">
        <f aca="false">IF(AC669=1,(Y669-H$1030)^2,0)</f>
        <v>183.673253453739</v>
      </c>
      <c r="AH669" s="35" t="n">
        <f aca="false">IF(AD669=1,(Z669-I$1030)^2,0)</f>
        <v>0</v>
      </c>
      <c r="AI669" s="35" t="n">
        <f aca="false">IF(AE669=1,(AA669-J$1030)^2,0)</f>
        <v>0</v>
      </c>
      <c r="AJ669" s="37" t="n">
        <f aca="true">IF(RAND()&lt;$D$6,1,0)</f>
        <v>0</v>
      </c>
      <c r="AK669" s="14" t="n">
        <f aca="false">AK668+IF((AJ669=1),IF((H669=0),1,0),0)</f>
        <v>0</v>
      </c>
      <c r="AL669" s="14" t="n">
        <f aca="false">AL668+IF((AJ669=1),IF((H669=1),1,0),0)</f>
        <v>0</v>
      </c>
      <c r="AM669" s="37" t="n">
        <f aca="false">IF(AK669=0,9999,IF($H669=0,IF($AJ669&lt;1,AM668+1,0),AM668))</f>
        <v>9999</v>
      </c>
      <c r="AN669" s="37" t="n">
        <f aca="false">IF(AL669=0,9999,IF($H669=1,IF($AJ669&lt;1,AN668+1,0),AN668))</f>
        <v>9999</v>
      </c>
      <c r="AO669" s="37" t="n">
        <f aca="false">IF($A669-AM669&gt;0,1/(1+AM669),0)</f>
        <v>0</v>
      </c>
      <c r="AP669" s="37" t="n">
        <f aca="false">IF($A669-AN669&gt;0,1/(1+AN669),0)</f>
        <v>0</v>
      </c>
      <c r="AQ669" s="7" t="n">
        <f aca="false">IF(AK669=0,0,MAX(MIN(1,AO669^Power),0))</f>
        <v>0</v>
      </c>
      <c r="AR669" s="7" t="n">
        <f aca="false">IF(AL669=0,0,MAX(MIN(1,AP669^Power),0))</f>
        <v>0</v>
      </c>
      <c r="AS669" s="7" t="n">
        <f aca="false">IF($AJ669=1,IF($H669=0,K669,AS668),AS668)</f>
        <v>0</v>
      </c>
      <c r="AT669" s="7" t="n">
        <f aca="false">IF($AJ669=1,IF($H669=1,N669,AT668),AT668)</f>
        <v>0</v>
      </c>
    </row>
    <row r="670" customFormat="false" ht="13" hidden="false" customHeight="false" outlineLevel="0" collapsed="false">
      <c r="A670" s="16" t="n">
        <v>653</v>
      </c>
      <c r="B670" s="37" t="n">
        <f aca="true">IF(RAND()&lt;$D$8,1,0)</f>
        <v>0</v>
      </c>
      <c r="C670" s="20" t="n">
        <f aca="true">-LN(RAND())/$D$2</f>
        <v>0.327996610052502</v>
      </c>
      <c r="D670" s="38" t="n">
        <f aca="false">D669+C670</f>
        <v>674.0384450981</v>
      </c>
      <c r="E670" s="39" t="n">
        <f aca="false">MAX($E$3,AS669)</f>
        <v>0</v>
      </c>
      <c r="F670" s="39" t="n">
        <f aca="false">MAX($E$3,AT669)</f>
        <v>0</v>
      </c>
      <c r="G670" s="40" t="n">
        <v>0.5</v>
      </c>
      <c r="H670" s="38" t="n">
        <f aca="true">IF((B670=1),(IF((F670&lt;E670),1,(IF((F670=E670),(IF(RAND()&lt;G670,1,0)),0)))),(IF((RAND()&lt;G670),1,0)))</f>
        <v>1</v>
      </c>
      <c r="I670" s="38" t="n">
        <f aca="true">IF((H670=1),0,$D$3+$D$5*(RAND()-0.5))</f>
        <v>0</v>
      </c>
      <c r="J670" s="38" t="n">
        <f aca="false">I670+MAX(D670,J669)</f>
        <v>698.186844315838</v>
      </c>
      <c r="K670" s="38" t="n">
        <f aca="false">IF((H670=0),J670-D670,0)</f>
        <v>0</v>
      </c>
      <c r="L670" s="38" t="n">
        <f aca="true">IF(($H670=0),0,$D$4+$D$5*(RAND()-0.5))</f>
        <v>1.77390269371271</v>
      </c>
      <c r="M670" s="38" t="n">
        <f aca="false">L670+MAX(D670,M669)</f>
        <v>730.781193582156</v>
      </c>
      <c r="N670" s="38" t="n">
        <f aca="false">IF((H670=1),M670-D670,0)</f>
        <v>56.7427484840563</v>
      </c>
      <c r="O670" s="16" t="n">
        <v>653</v>
      </c>
      <c r="P670" s="41" t="n">
        <f aca="false">IF((Arterial=0),P669+1,P669)</f>
        <v>302</v>
      </c>
      <c r="Q670" s="41" t="n">
        <f aca="false">IF((Arterial=1),Q669+1,Q669)</f>
        <v>351</v>
      </c>
      <c r="R670" s="42" t="n">
        <f aca="false">IF((RESET=1),0,R670+K670)</f>
        <v>956.205185566025</v>
      </c>
      <c r="S670" s="14" t="e">
        <f aca="false">IF(RESET=1,0,S670+N670)</f>
        <v>#N/A</v>
      </c>
      <c r="T670" s="2" t="n">
        <f aca="false">IF(RESET=1,0,T670+IF(H670=0,1,0))</f>
        <v>38</v>
      </c>
      <c r="U670" s="2" t="e">
        <f aca="false">IF(RESET=1,0,U670+H670)</f>
        <v>#N/A</v>
      </c>
      <c r="V670" s="14" t="n">
        <f aca="false">R670/(T670+0.00001)</f>
        <v>25.1632877350828</v>
      </c>
      <c r="W670" s="14" t="e">
        <f aca="false">S670/(U670+0.0001)</f>
        <v>#N/A</v>
      </c>
      <c r="X670" s="39" t="n">
        <f aca="false">IF(Informed=1,K670,0)</f>
        <v>0</v>
      </c>
      <c r="Y670" s="39" t="n">
        <f aca="false">IF(Informed=0,K670,0)</f>
        <v>0</v>
      </c>
      <c r="Z670" s="39" t="n">
        <f aca="false">IF(Informed=1,N670,0)</f>
        <v>0</v>
      </c>
      <c r="AA670" s="39" t="n">
        <f aca="false">IF(Informed=0,N670,0)</f>
        <v>56.7427484840563</v>
      </c>
      <c r="AB670" s="43" t="n">
        <f aca="false">IF(Arterial=0,IF(Informed=1,1,0),0)</f>
        <v>0</v>
      </c>
      <c r="AC670" s="43" t="n">
        <f aca="false">IF(Arterial=0,IF(Informed=0,1,0),0)</f>
        <v>0</v>
      </c>
      <c r="AD670" s="43" t="n">
        <f aca="false">IF(Arterial=1,IF(Informed=1,1,0),0)</f>
        <v>0</v>
      </c>
      <c r="AE670" s="43" t="n">
        <f aca="false">IF(Arterial=1,IF(Informed=0,1,0),0)</f>
        <v>1</v>
      </c>
      <c r="AF670" s="35" t="n">
        <f aca="false">IF(AB670=1,(X670-G$1030)^2,0)</f>
        <v>0</v>
      </c>
      <c r="AG670" s="35" t="n">
        <f aca="false">IF(AC670=1,(Y670-H$1030)^2,0)</f>
        <v>0</v>
      </c>
      <c r="AH670" s="35" t="n">
        <f aca="false">IF(AD670=1,(Z670-I$1030)^2,0)</f>
        <v>0</v>
      </c>
      <c r="AI670" s="35" t="n">
        <f aca="false">IF(AE670=1,(AA670-J$1030)^2,0)</f>
        <v>738.669421455401</v>
      </c>
      <c r="AJ670" s="37" t="n">
        <f aca="true">IF(RAND()&lt;$D$6,1,0)</f>
        <v>0</v>
      </c>
      <c r="AK670" s="14" t="n">
        <f aca="false">AK669+IF((AJ670=1),IF((H670=0),1,0),0)</f>
        <v>0</v>
      </c>
      <c r="AL670" s="14" t="n">
        <f aca="false">AL669+IF((AJ670=1),IF((H670=1),1,0),0)</f>
        <v>0</v>
      </c>
      <c r="AM670" s="37" t="n">
        <f aca="false">IF(AK670=0,9999,IF($H670=0,IF($AJ670&lt;1,AM669+1,0),AM669))</f>
        <v>9999</v>
      </c>
      <c r="AN670" s="37" t="n">
        <f aca="false">IF(AL670=0,9999,IF($H670=1,IF($AJ670&lt;1,AN669+1,0),AN669))</f>
        <v>9999</v>
      </c>
      <c r="AO670" s="37" t="n">
        <f aca="false">IF($A670-AM670&gt;0,1/(1+AM670),0)</f>
        <v>0</v>
      </c>
      <c r="AP670" s="37" t="n">
        <f aca="false">IF($A670-AN670&gt;0,1/(1+AN670),0)</f>
        <v>0</v>
      </c>
      <c r="AQ670" s="7" t="n">
        <f aca="false">IF(AK670=0,0,MAX(MIN(1,AO670^Power),0))</f>
        <v>0</v>
      </c>
      <c r="AR670" s="7" t="n">
        <f aca="false">IF(AL670=0,0,MAX(MIN(1,AP670^Power),0))</f>
        <v>0</v>
      </c>
      <c r="AS670" s="7" t="n">
        <f aca="false">IF($AJ670=1,IF($H670=0,K670,AS669),AS669)</f>
        <v>0</v>
      </c>
      <c r="AT670" s="7" t="n">
        <f aca="false">IF($AJ670=1,IF($H670=1,N670,AT669),AT669)</f>
        <v>0</v>
      </c>
    </row>
    <row r="671" customFormat="false" ht="13" hidden="false" customHeight="false" outlineLevel="0" collapsed="false">
      <c r="A671" s="16" t="n">
        <v>654</v>
      </c>
      <c r="B671" s="37" t="n">
        <f aca="true">IF(RAND()&lt;$D$8,1,0)</f>
        <v>1</v>
      </c>
      <c r="C671" s="20" t="n">
        <f aca="true">-LN(RAND())/$D$2</f>
        <v>2.46880139878504</v>
      </c>
      <c r="D671" s="38" t="n">
        <f aca="false">D670+C671</f>
        <v>676.507246496885</v>
      </c>
      <c r="E671" s="39" t="n">
        <f aca="false">MAX($E$3,AS670)</f>
        <v>0</v>
      </c>
      <c r="F671" s="39" t="n">
        <f aca="false">MAX($E$3,AT670)</f>
        <v>0</v>
      </c>
      <c r="G671" s="40" t="n">
        <v>0.5</v>
      </c>
      <c r="H671" s="38" t="n">
        <f aca="true">IF((B671=1),(IF((F671&lt;E671),1,(IF((F671=E671),(IF(RAND()&lt;G671,1,0)),0)))),(IF((RAND()&lt;G671),1,0)))</f>
        <v>1</v>
      </c>
      <c r="I671" s="38" t="n">
        <f aca="true">IF((H671=1),0,$D$3+$D$5*(RAND()-0.5))</f>
        <v>0</v>
      </c>
      <c r="J671" s="38" t="n">
        <f aca="false">I671+MAX(D671,J670)</f>
        <v>698.186844315838</v>
      </c>
      <c r="K671" s="38" t="n">
        <f aca="false">IF((H671=0),J671-D671,0)</f>
        <v>0</v>
      </c>
      <c r="L671" s="38" t="n">
        <f aca="true">IF(($H671=0),0,$D$4+$D$5*(RAND()-0.5))</f>
        <v>1.77314388454591</v>
      </c>
      <c r="M671" s="38" t="n">
        <f aca="false">L671+MAX(D671,M670)</f>
        <v>732.554337466702</v>
      </c>
      <c r="N671" s="38" t="n">
        <f aca="false">IF((H671=1),M671-D671,0)</f>
        <v>56.0470909698172</v>
      </c>
      <c r="O671" s="16" t="n">
        <v>654</v>
      </c>
      <c r="P671" s="41" t="n">
        <f aca="false">IF((Arterial=0),P670+1,P670)</f>
        <v>302</v>
      </c>
      <c r="Q671" s="41" t="n">
        <f aca="false">IF((Arterial=1),Q670+1,Q670)</f>
        <v>352</v>
      </c>
      <c r="R671" s="42" t="n">
        <f aca="false">IF((RESET=1),0,R671+K671)</f>
        <v>970.78950196183</v>
      </c>
      <c r="S671" s="14" t="e">
        <f aca="false">IF(RESET=1,0,S671+N671)</f>
        <v>#N/A</v>
      </c>
      <c r="T671" s="2" t="n">
        <f aca="false">IF(RESET=1,0,T671+IF(H671=0,1,0))</f>
        <v>43</v>
      </c>
      <c r="U671" s="2" t="e">
        <f aca="false">IF(RESET=1,0,U671+H671)</f>
        <v>#N/A</v>
      </c>
      <c r="V671" s="14" t="n">
        <f aca="false">R671/(T671+0.00001)</f>
        <v>22.5764947952763</v>
      </c>
      <c r="W671" s="14" t="e">
        <f aca="false">S671/(U671+0.0001)</f>
        <v>#N/A</v>
      </c>
      <c r="X671" s="39" t="n">
        <f aca="false">IF(Informed=1,K671,0)</f>
        <v>0</v>
      </c>
      <c r="Y671" s="39" t="n">
        <f aca="false">IF(Informed=0,K671,0)</f>
        <v>0</v>
      </c>
      <c r="Z671" s="39" t="n">
        <f aca="false">IF(Informed=1,N671,0)</f>
        <v>56.0470909698172</v>
      </c>
      <c r="AA671" s="39" t="n">
        <f aca="false">IF(Informed=0,N671,0)</f>
        <v>0</v>
      </c>
      <c r="AB671" s="43" t="n">
        <f aca="false">IF(Arterial=0,IF(Informed=1,1,0),0)</f>
        <v>0</v>
      </c>
      <c r="AC671" s="43" t="n">
        <f aca="false">IF(Arterial=0,IF(Informed=0,1,0),0)</f>
        <v>0</v>
      </c>
      <c r="AD671" s="43" t="n">
        <f aca="false">IF(Arterial=1,IF(Informed=1,1,0),0)</f>
        <v>1</v>
      </c>
      <c r="AE671" s="43" t="n">
        <f aca="false">IF(Arterial=1,IF(Informed=0,1,0),0)</f>
        <v>0</v>
      </c>
      <c r="AF671" s="35" t="n">
        <f aca="false">IF(AB671=1,(X671-G$1030)^2,0)</f>
        <v>0</v>
      </c>
      <c r="AG671" s="35" t="n">
        <f aca="false">IF(AC671=1,(Y671-H$1030)^2,0)</f>
        <v>0</v>
      </c>
      <c r="AH671" s="35" t="n">
        <f aca="false">IF(AD671=1,(Z671-I$1030)^2,0)</f>
        <v>765.753761902334</v>
      </c>
      <c r="AI671" s="35" t="n">
        <f aca="false">IF(AE671=1,(AA671-J$1030)^2,0)</f>
        <v>0</v>
      </c>
      <c r="AJ671" s="37" t="n">
        <f aca="true">IF(RAND()&lt;$D$6,1,0)</f>
        <v>0</v>
      </c>
      <c r="AK671" s="14" t="n">
        <f aca="false">AK670+IF((AJ671=1),IF((H671=0),1,0),0)</f>
        <v>0</v>
      </c>
      <c r="AL671" s="14" t="n">
        <f aca="false">AL670+IF((AJ671=1),IF((H671=1),1,0),0)</f>
        <v>0</v>
      </c>
      <c r="AM671" s="37" t="n">
        <f aca="false">IF(AK671=0,9999,IF($H671=0,IF($AJ671&lt;1,AM670+1,0),AM670))</f>
        <v>9999</v>
      </c>
      <c r="AN671" s="37" t="n">
        <f aca="false">IF(AL671=0,9999,IF($H671=1,IF($AJ671&lt;1,AN670+1,0),AN670))</f>
        <v>9999</v>
      </c>
      <c r="AO671" s="37" t="n">
        <f aca="false">IF($A671-AM671&gt;0,1/(1+AM671),0)</f>
        <v>0</v>
      </c>
      <c r="AP671" s="37" t="n">
        <f aca="false">IF($A671-AN671&gt;0,1/(1+AN671),0)</f>
        <v>0</v>
      </c>
      <c r="AQ671" s="7" t="n">
        <f aca="false">IF(AK671=0,0,MAX(MIN(1,AO671^Power),0))</f>
        <v>0</v>
      </c>
      <c r="AR671" s="7" t="n">
        <f aca="false">IF(AL671=0,0,MAX(MIN(1,AP671^Power),0))</f>
        <v>0</v>
      </c>
      <c r="AS671" s="7" t="n">
        <f aca="false">IF($AJ671=1,IF($H671=0,K671,AS670),AS670)</f>
        <v>0</v>
      </c>
      <c r="AT671" s="7" t="n">
        <f aca="false">IF($AJ671=1,IF($H671=1,N671,AT670),AT670)</f>
        <v>0</v>
      </c>
    </row>
    <row r="672" customFormat="false" ht="13" hidden="false" customHeight="false" outlineLevel="0" collapsed="false">
      <c r="A672" s="16" t="n">
        <v>655</v>
      </c>
      <c r="B672" s="37" t="n">
        <f aca="true">IF(RAND()&lt;$D$8,1,0)</f>
        <v>0</v>
      </c>
      <c r="C672" s="20" t="n">
        <f aca="true">-LN(RAND())/$D$2</f>
        <v>2.53676264740264</v>
      </c>
      <c r="D672" s="38" t="n">
        <f aca="false">D671+C672</f>
        <v>679.044009144287</v>
      </c>
      <c r="E672" s="39" t="n">
        <f aca="false">MAX($E$3,AS671)</f>
        <v>0</v>
      </c>
      <c r="F672" s="39" t="n">
        <f aca="false">MAX($E$3,AT671)</f>
        <v>0</v>
      </c>
      <c r="G672" s="40" t="n">
        <v>0.5</v>
      </c>
      <c r="H672" s="38" t="n">
        <f aca="true">IF((B672=1),(IF((F672&lt;E672),1,(IF((F672=E672),(IF(RAND()&lt;G672,1,0)),0)))),(IF((RAND()&lt;G672),1,0)))</f>
        <v>1</v>
      </c>
      <c r="I672" s="38" t="n">
        <f aca="true">IF((H672=1),0,$D$3+$D$5*(RAND()-0.5))</f>
        <v>0</v>
      </c>
      <c r="J672" s="38" t="n">
        <f aca="false">I672+MAX(D672,J671)</f>
        <v>698.186844315838</v>
      </c>
      <c r="K672" s="38" t="n">
        <f aca="false">IF((H672=0),J672-D672,0)</f>
        <v>0</v>
      </c>
      <c r="L672" s="38" t="n">
        <f aca="true">IF(($H672=0),0,$D$4+$D$5*(RAND()-0.5))</f>
        <v>1.80759368781703</v>
      </c>
      <c r="M672" s="38" t="n">
        <f aca="false">L672+MAX(D672,M671)</f>
        <v>734.361931154519</v>
      </c>
      <c r="N672" s="38" t="n">
        <f aca="false">IF((H672=1),M672-D672,0)</f>
        <v>55.3179220102317</v>
      </c>
      <c r="O672" s="16" t="n">
        <v>655</v>
      </c>
      <c r="P672" s="41" t="n">
        <f aca="false">IF((Arterial=0),P671+1,P671)</f>
        <v>302</v>
      </c>
      <c r="Q672" s="41" t="n">
        <f aca="false">IF((Arterial=1),Q671+1,Q671)</f>
        <v>353</v>
      </c>
      <c r="R672" s="42" t="n">
        <f aca="false">IF((RESET=1),0,R672+K672)</f>
        <v>780.728546344507</v>
      </c>
      <c r="S672" s="14" t="e">
        <f aca="false">IF(RESET=1,0,S672+N672)</f>
        <v>#N/A</v>
      </c>
      <c r="T672" s="2" t="n">
        <f aca="false">IF(RESET=1,0,T672+IF(H672=0,1,0))</f>
        <v>37</v>
      </c>
      <c r="U672" s="2" t="e">
        <f aca="false">IF(RESET=1,0,U672+H672)</f>
        <v>#N/A</v>
      </c>
      <c r="V672" s="14" t="n">
        <f aca="false">R672/(T672+0.00001)</f>
        <v>21.1007658199148</v>
      </c>
      <c r="W672" s="14" t="e">
        <f aca="false">S672/(U672+0.0001)</f>
        <v>#N/A</v>
      </c>
      <c r="X672" s="39" t="n">
        <f aca="false">IF(Informed=1,K672,0)</f>
        <v>0</v>
      </c>
      <c r="Y672" s="39" t="n">
        <f aca="false">IF(Informed=0,K672,0)</f>
        <v>0</v>
      </c>
      <c r="Z672" s="39" t="n">
        <f aca="false">IF(Informed=1,N672,0)</f>
        <v>0</v>
      </c>
      <c r="AA672" s="39" t="n">
        <f aca="false">IF(Informed=0,N672,0)</f>
        <v>55.3179220102317</v>
      </c>
      <c r="AB672" s="43" t="n">
        <f aca="false">IF(Arterial=0,IF(Informed=1,1,0),0)</f>
        <v>0</v>
      </c>
      <c r="AC672" s="43" t="n">
        <f aca="false">IF(Arterial=0,IF(Informed=0,1,0),0)</f>
        <v>0</v>
      </c>
      <c r="AD672" s="43" t="n">
        <f aca="false">IF(Arterial=1,IF(Informed=1,1,0),0)</f>
        <v>0</v>
      </c>
      <c r="AE672" s="43" t="n">
        <f aca="false">IF(Arterial=1,IF(Informed=0,1,0),0)</f>
        <v>1</v>
      </c>
      <c r="AF672" s="35" t="n">
        <f aca="false">IF(AB672=1,(X672-G$1030)^2,0)</f>
        <v>0</v>
      </c>
      <c r="AG672" s="35" t="n">
        <f aca="false">IF(AC672=1,(Y672-H$1030)^2,0)</f>
        <v>0</v>
      </c>
      <c r="AH672" s="35" t="n">
        <f aca="false">IF(AD672=1,(Z672-I$1030)^2,0)</f>
        <v>0</v>
      </c>
      <c r="AI672" s="35" t="n">
        <f aca="false">IF(AE672=1,(AA672-J$1030)^2,0)</f>
        <v>663.250334831583</v>
      </c>
      <c r="AJ672" s="37" t="n">
        <f aca="true">IF(RAND()&lt;$D$6,1,0)</f>
        <v>0</v>
      </c>
      <c r="AK672" s="14" t="n">
        <f aca="false">AK671+IF((AJ672=1),IF((H672=0),1,0),0)</f>
        <v>0</v>
      </c>
      <c r="AL672" s="14" t="n">
        <f aca="false">AL671+IF((AJ672=1),IF((H672=1),1,0),0)</f>
        <v>0</v>
      </c>
      <c r="AM672" s="37" t="n">
        <f aca="false">IF(AK672=0,9999,IF($H672=0,IF($AJ672&lt;1,AM671+1,0),AM671))</f>
        <v>9999</v>
      </c>
      <c r="AN672" s="37" t="n">
        <f aca="false">IF(AL672=0,9999,IF($H672=1,IF($AJ672&lt;1,AN671+1,0),AN671))</f>
        <v>9999</v>
      </c>
      <c r="AO672" s="37" t="n">
        <f aca="false">IF($A672-AM672&gt;0,1/(1+AM672),0)</f>
        <v>0</v>
      </c>
      <c r="AP672" s="37" t="n">
        <f aca="false">IF($A672-AN672&gt;0,1/(1+AN672),0)</f>
        <v>0</v>
      </c>
      <c r="AQ672" s="7" t="n">
        <f aca="false">IF(AK672=0,0,MAX(MIN(1,AO672^Power),0))</f>
        <v>0</v>
      </c>
      <c r="AR672" s="7" t="n">
        <f aca="false">IF(AL672=0,0,MAX(MIN(1,AP672^Power),0))</f>
        <v>0</v>
      </c>
      <c r="AS672" s="7" t="n">
        <f aca="false">IF($AJ672=1,IF($H672=0,K672,AS671),AS671)</f>
        <v>0</v>
      </c>
      <c r="AT672" s="7" t="n">
        <f aca="false">IF($AJ672=1,IF($H672=1,N672,AT671),AT671)</f>
        <v>0</v>
      </c>
    </row>
    <row r="673" customFormat="false" ht="13" hidden="false" customHeight="false" outlineLevel="0" collapsed="false">
      <c r="A673" s="16" t="n">
        <v>656</v>
      </c>
      <c r="B673" s="37" t="n">
        <f aca="true">IF(RAND()&lt;$D$8,1,0)</f>
        <v>0</v>
      </c>
      <c r="C673" s="20" t="n">
        <f aca="true">-LN(RAND())/$D$2</f>
        <v>0.919927538577626</v>
      </c>
      <c r="D673" s="38" t="n">
        <f aca="false">D672+C673</f>
        <v>679.963936682865</v>
      </c>
      <c r="E673" s="39" t="n">
        <f aca="false">MAX($E$3,AS672)</f>
        <v>0</v>
      </c>
      <c r="F673" s="39" t="n">
        <f aca="false">MAX($E$3,AT672)</f>
        <v>0</v>
      </c>
      <c r="G673" s="40" t="n">
        <v>0.5</v>
      </c>
      <c r="H673" s="38" t="n">
        <f aca="true">IF((B673=1),(IF((F673&lt;E673),1,(IF((F673=E673),(IF(RAND()&lt;G673,1,0)),0)))),(IF((RAND()&lt;G673),1,0)))</f>
        <v>1</v>
      </c>
      <c r="I673" s="38" t="n">
        <f aca="true">IF((H673=1),0,$D$3+$D$5*(RAND()-0.5))</f>
        <v>0</v>
      </c>
      <c r="J673" s="38" t="n">
        <f aca="false">I673+MAX(D673,J672)</f>
        <v>698.186844315838</v>
      </c>
      <c r="K673" s="38" t="n">
        <f aca="false">IF((H673=0),J673-D673,0)</f>
        <v>0</v>
      </c>
      <c r="L673" s="38" t="n">
        <f aca="true">IF(($H673=0),0,$D$4+$D$5*(RAND()-0.5))</f>
        <v>2.04051574382912</v>
      </c>
      <c r="M673" s="38" t="n">
        <f aca="false">L673+MAX(D673,M672)</f>
        <v>736.402446898348</v>
      </c>
      <c r="N673" s="38" t="n">
        <f aca="false">IF((H673=1),M673-D673,0)</f>
        <v>56.4385102154831</v>
      </c>
      <c r="O673" s="16" t="n">
        <v>656</v>
      </c>
      <c r="P673" s="41" t="n">
        <f aca="false">IF((Arterial=0),P672+1,P672)</f>
        <v>302</v>
      </c>
      <c r="Q673" s="41" t="n">
        <f aca="false">IF((Arterial=1),Q672+1,Q672)</f>
        <v>354</v>
      </c>
      <c r="R673" s="42" t="n">
        <f aca="false">IF((RESET=1),0,R673+K673)</f>
        <v>1061.969665955</v>
      </c>
      <c r="S673" s="14" t="e">
        <f aca="false">IF(RESET=1,0,S673+N673)</f>
        <v>#N/A</v>
      </c>
      <c r="T673" s="2" t="n">
        <f aca="false">IF(RESET=1,0,T673+IF(H673=0,1,0))</f>
        <v>41</v>
      </c>
      <c r="U673" s="2" t="e">
        <f aca="false">IF(RESET=1,0,U673+H673)</f>
        <v>#N/A</v>
      </c>
      <c r="V673" s="14" t="n">
        <f aca="false">R673/(T673+0.00001)</f>
        <v>25.901692852148</v>
      </c>
      <c r="W673" s="14" t="e">
        <f aca="false">S673/(U673+0.0001)</f>
        <v>#N/A</v>
      </c>
      <c r="X673" s="39" t="n">
        <f aca="false">IF(Informed=1,K673,0)</f>
        <v>0</v>
      </c>
      <c r="Y673" s="39" t="n">
        <f aca="false">IF(Informed=0,K673,0)</f>
        <v>0</v>
      </c>
      <c r="Z673" s="39" t="n">
        <f aca="false">IF(Informed=1,N673,0)</f>
        <v>0</v>
      </c>
      <c r="AA673" s="39" t="n">
        <f aca="false">IF(Informed=0,N673,0)</f>
        <v>56.4385102154831</v>
      </c>
      <c r="AB673" s="43" t="n">
        <f aca="false">IF(Arterial=0,IF(Informed=1,1,0),0)</f>
        <v>0</v>
      </c>
      <c r="AC673" s="43" t="n">
        <f aca="false">IF(Arterial=0,IF(Informed=0,1,0),0)</f>
        <v>0</v>
      </c>
      <c r="AD673" s="43" t="n">
        <f aca="false">IF(Arterial=1,IF(Informed=1,1,0),0)</f>
        <v>0</v>
      </c>
      <c r="AE673" s="43" t="n">
        <f aca="false">IF(Arterial=1,IF(Informed=0,1,0),0)</f>
        <v>1</v>
      </c>
      <c r="AF673" s="35" t="n">
        <f aca="false">IF(AB673=1,(X673-G$1030)^2,0)</f>
        <v>0</v>
      </c>
      <c r="AG673" s="35" t="n">
        <f aca="false">IF(AC673=1,(Y673-H$1030)^2,0)</f>
        <v>0</v>
      </c>
      <c r="AH673" s="35" t="n">
        <f aca="false">IF(AD673=1,(Z673-I$1030)^2,0)</f>
        <v>0</v>
      </c>
      <c r="AI673" s="35" t="n">
        <f aca="false">IF(AE673=1,(AA673-J$1030)^2,0)</f>
        <v>722.224518943011</v>
      </c>
      <c r="AJ673" s="37" t="n">
        <f aca="true">IF(RAND()&lt;$D$6,1,0)</f>
        <v>0</v>
      </c>
      <c r="AK673" s="14" t="n">
        <f aca="false">AK672+IF((AJ673=1),IF((H673=0),1,0),0)</f>
        <v>0</v>
      </c>
      <c r="AL673" s="14" t="n">
        <f aca="false">AL672+IF((AJ673=1),IF((H673=1),1,0),0)</f>
        <v>0</v>
      </c>
      <c r="AM673" s="37" t="n">
        <f aca="false">IF(AK673=0,9999,IF($H673=0,IF($AJ673&lt;1,AM672+1,0),AM672))</f>
        <v>9999</v>
      </c>
      <c r="AN673" s="37" t="n">
        <f aca="false">IF(AL673=0,9999,IF($H673=1,IF($AJ673&lt;1,AN672+1,0),AN672))</f>
        <v>9999</v>
      </c>
      <c r="AO673" s="37" t="n">
        <f aca="false">IF($A673-AM673&gt;0,1/(1+AM673),0)</f>
        <v>0</v>
      </c>
      <c r="AP673" s="37" t="n">
        <f aca="false">IF($A673-AN673&gt;0,1/(1+AN673),0)</f>
        <v>0</v>
      </c>
      <c r="AQ673" s="7" t="n">
        <f aca="false">IF(AK673=0,0,MAX(MIN(1,AO673^Power),0))</f>
        <v>0</v>
      </c>
      <c r="AR673" s="7" t="n">
        <f aca="false">IF(AL673=0,0,MAX(MIN(1,AP673^Power),0))</f>
        <v>0</v>
      </c>
      <c r="AS673" s="7" t="n">
        <f aca="false">IF($AJ673=1,IF($H673=0,K673,AS672),AS672)</f>
        <v>0</v>
      </c>
      <c r="AT673" s="7" t="n">
        <f aca="false">IF($AJ673=1,IF($H673=1,N673,AT672),AT672)</f>
        <v>0</v>
      </c>
    </row>
    <row r="674" customFormat="false" ht="13" hidden="false" customHeight="false" outlineLevel="0" collapsed="false">
      <c r="A674" s="16" t="n">
        <v>657</v>
      </c>
      <c r="B674" s="37" t="n">
        <f aca="true">IF(RAND()&lt;$D$8,1,0)</f>
        <v>1</v>
      </c>
      <c r="C674" s="20" t="n">
        <f aca="true">-LN(RAND())/$D$2</f>
        <v>1.29799987235505</v>
      </c>
      <c r="D674" s="38" t="n">
        <f aca="false">D673+C674</f>
        <v>681.26193655522</v>
      </c>
      <c r="E674" s="39" t="n">
        <f aca="false">MAX($E$3,AS673)</f>
        <v>0</v>
      </c>
      <c r="F674" s="39" t="n">
        <f aca="false">MAX($E$3,AT673)</f>
        <v>0</v>
      </c>
      <c r="G674" s="40" t="n">
        <v>0.5</v>
      </c>
      <c r="H674" s="38" t="n">
        <f aca="true">IF((B674=1),(IF((F674&lt;E674),1,(IF((F674=E674),(IF(RAND()&lt;G674,1,0)),0)))),(IF((RAND()&lt;G674),1,0)))</f>
        <v>1</v>
      </c>
      <c r="I674" s="38" t="n">
        <f aca="true">IF((H674=1),0,$D$3+$D$5*(RAND()-0.5))</f>
        <v>0</v>
      </c>
      <c r="J674" s="38" t="n">
        <f aca="false">I674+MAX(D674,J673)</f>
        <v>698.186844315838</v>
      </c>
      <c r="K674" s="38" t="n">
        <f aca="false">IF((H674=0),J674-D674,0)</f>
        <v>0</v>
      </c>
      <c r="L674" s="38" t="n">
        <f aca="true">IF(($H674=0),0,$D$4+$D$5*(RAND()-0.5))</f>
        <v>1.84936478019419</v>
      </c>
      <c r="M674" s="38" t="n">
        <f aca="false">L674+MAX(D674,M673)</f>
        <v>738.251811678542</v>
      </c>
      <c r="N674" s="38" t="n">
        <f aca="false">IF((H674=1),M674-D674,0)</f>
        <v>56.9898751233222</v>
      </c>
      <c r="O674" s="16" t="n">
        <v>657</v>
      </c>
      <c r="P674" s="41" t="n">
        <f aca="false">IF((Arterial=0),P673+1,P673)</f>
        <v>302</v>
      </c>
      <c r="Q674" s="41" t="n">
        <f aca="false">IF((Arterial=1),Q673+1,Q673)</f>
        <v>355</v>
      </c>
      <c r="R674" s="42" t="n">
        <f aca="false">IF((RESET=1),0,R674+K674)</f>
        <v>929.953811409286</v>
      </c>
      <c r="S674" s="14" t="e">
        <f aca="false">IF(RESET=1,0,S674+N674)</f>
        <v>#N/A</v>
      </c>
      <c r="T674" s="2" t="n">
        <f aca="false">IF(RESET=1,0,T674+IF(H674=0,1,0))</f>
        <v>41</v>
      </c>
      <c r="U674" s="2" t="e">
        <f aca="false">IF(RESET=1,0,U674+H674)</f>
        <v>#N/A</v>
      </c>
      <c r="V674" s="14" t="n">
        <f aca="false">R674/(T674+0.00001)</f>
        <v>22.6817947461302</v>
      </c>
      <c r="W674" s="14" t="e">
        <f aca="false">S674/(U674+0.0001)</f>
        <v>#N/A</v>
      </c>
      <c r="X674" s="39" t="n">
        <f aca="false">IF(Informed=1,K674,0)</f>
        <v>0</v>
      </c>
      <c r="Y674" s="39" t="n">
        <f aca="false">IF(Informed=0,K674,0)</f>
        <v>0</v>
      </c>
      <c r="Z674" s="39" t="n">
        <f aca="false">IF(Informed=1,N674,0)</f>
        <v>56.9898751233222</v>
      </c>
      <c r="AA674" s="39" t="n">
        <f aca="false">IF(Informed=0,N674,0)</f>
        <v>0</v>
      </c>
      <c r="AB674" s="43" t="n">
        <f aca="false">IF(Arterial=0,IF(Informed=1,1,0),0)</f>
        <v>0</v>
      </c>
      <c r="AC674" s="43" t="n">
        <f aca="false">IF(Arterial=0,IF(Informed=0,1,0),0)</f>
        <v>0</v>
      </c>
      <c r="AD674" s="43" t="n">
        <f aca="false">IF(Arterial=1,IF(Informed=1,1,0),0)</f>
        <v>1</v>
      </c>
      <c r="AE674" s="43" t="n">
        <f aca="false">IF(Arterial=1,IF(Informed=0,1,0),0)</f>
        <v>0</v>
      </c>
      <c r="AF674" s="35" t="n">
        <f aca="false">IF(AB674=1,(X674-G$1030)^2,0)</f>
        <v>0</v>
      </c>
      <c r="AG674" s="35" t="n">
        <f aca="false">IF(AC674=1,(Y674-H$1030)^2,0)</f>
        <v>0</v>
      </c>
      <c r="AH674" s="35" t="n">
        <f aca="false">IF(AD674=1,(Z674-I$1030)^2,0)</f>
        <v>818.82053309246</v>
      </c>
      <c r="AI674" s="35" t="n">
        <f aca="false">IF(AE674=1,(AA674-J$1030)^2,0)</f>
        <v>0</v>
      </c>
      <c r="AJ674" s="37" t="n">
        <f aca="true">IF(RAND()&lt;$D$6,1,0)</f>
        <v>0</v>
      </c>
      <c r="AK674" s="14" t="n">
        <f aca="false">AK673+IF((AJ674=1),IF((H674=0),1,0),0)</f>
        <v>0</v>
      </c>
      <c r="AL674" s="14" t="n">
        <f aca="false">AL673+IF((AJ674=1),IF((H674=1),1,0),0)</f>
        <v>0</v>
      </c>
      <c r="AM674" s="37" t="n">
        <f aca="false">IF(AK674=0,9999,IF($H674=0,IF($AJ674&lt;1,AM673+1,0),AM673))</f>
        <v>9999</v>
      </c>
      <c r="AN674" s="37" t="n">
        <f aca="false">IF(AL674=0,9999,IF($H674=1,IF($AJ674&lt;1,AN673+1,0),AN673))</f>
        <v>9999</v>
      </c>
      <c r="AO674" s="37" t="n">
        <f aca="false">IF($A674-AM674&gt;0,1/(1+AM674),0)</f>
        <v>0</v>
      </c>
      <c r="AP674" s="37" t="n">
        <f aca="false">IF($A674-AN674&gt;0,1/(1+AN674),0)</f>
        <v>0</v>
      </c>
      <c r="AQ674" s="7" t="n">
        <f aca="false">IF(AK674=0,0,MAX(MIN(1,AO674^Power),0))</f>
        <v>0</v>
      </c>
      <c r="AR674" s="7" t="n">
        <f aca="false">IF(AL674=0,0,MAX(MIN(1,AP674^Power),0))</f>
        <v>0</v>
      </c>
      <c r="AS674" s="7" t="n">
        <f aca="false">IF($AJ674=1,IF($H674=0,K674,AS673),AS673)</f>
        <v>0</v>
      </c>
      <c r="AT674" s="7" t="n">
        <f aca="false">IF($AJ674=1,IF($H674=1,N674,AT673),AT673)</f>
        <v>0</v>
      </c>
    </row>
    <row r="675" customFormat="false" ht="13" hidden="false" customHeight="false" outlineLevel="0" collapsed="false">
      <c r="A675" s="16" t="n">
        <v>658</v>
      </c>
      <c r="B675" s="37" t="n">
        <f aca="true">IF(RAND()&lt;$D$8,1,0)</f>
        <v>0</v>
      </c>
      <c r="C675" s="20" t="n">
        <f aca="true">-LN(RAND())/$D$2</f>
        <v>1.74913447622967</v>
      </c>
      <c r="D675" s="38" t="n">
        <f aca="false">D674+C675</f>
        <v>683.011071031449</v>
      </c>
      <c r="E675" s="39" t="n">
        <f aca="false">MAX($E$3,AS674)</f>
        <v>0</v>
      </c>
      <c r="F675" s="39" t="n">
        <f aca="false">MAX($E$3,AT674)</f>
        <v>0</v>
      </c>
      <c r="G675" s="40" t="n">
        <v>0.5</v>
      </c>
      <c r="H675" s="38" t="n">
        <f aca="true">IF((B675=1),(IF((F675&lt;E675),1,(IF((F675=E675),(IF(RAND()&lt;G675,1,0)),0)))),(IF((RAND()&lt;G675),1,0)))</f>
        <v>0</v>
      </c>
      <c r="I675" s="38" t="n">
        <f aca="true">IF((H675=1),0,$D$3+$D$5*(RAND()-0.5))</f>
        <v>1.93648719949587</v>
      </c>
      <c r="J675" s="38" t="n">
        <f aca="false">I675+MAX(D675,J674)</f>
        <v>700.123331515334</v>
      </c>
      <c r="K675" s="38" t="n">
        <f aca="false">IF((H675=0),J675-D675,0)</f>
        <v>17.1122604838844</v>
      </c>
      <c r="L675" s="38" t="n">
        <f aca="true">IF(($H675=0),0,$D$4+$D$5*(RAND()-0.5))</f>
        <v>0</v>
      </c>
      <c r="M675" s="38" t="n">
        <f aca="false">L675+MAX(D675,M674)</f>
        <v>738.251811678542</v>
      </c>
      <c r="N675" s="38" t="n">
        <f aca="false">IF((H675=1),M675-D675,0)</f>
        <v>0</v>
      </c>
      <c r="O675" s="16" t="n">
        <v>658</v>
      </c>
      <c r="P675" s="41" t="n">
        <f aca="false">IF((Arterial=0),P674+1,P674)</f>
        <v>303</v>
      </c>
      <c r="Q675" s="41" t="n">
        <f aca="false">IF((Arterial=1),Q674+1,Q674)</f>
        <v>355</v>
      </c>
      <c r="R675" s="42" t="e">
        <f aca="false">IF((RESET=1),0,R675+K675)</f>
        <v>#N/A</v>
      </c>
      <c r="S675" s="14" t="n">
        <f aca="false">IF(RESET=1,0,S675+N675)</f>
        <v>795.068757170964</v>
      </c>
      <c r="T675" s="2" t="e">
        <f aca="false">IF(RESET=1,0,T675+IF(H675=0,1,0))</f>
        <v>#N/A</v>
      </c>
      <c r="U675" s="2" t="n">
        <f aca="false">IF(RESET=1,0,U675+H675)</f>
        <v>46</v>
      </c>
      <c r="V675" s="14" t="e">
        <f aca="false">R675/(T675+0.00001)</f>
        <v>#N/A</v>
      </c>
      <c r="W675" s="14" t="n">
        <f aca="false">S675/(U675+0.0001)</f>
        <v>17.2840658427039</v>
      </c>
      <c r="X675" s="39" t="n">
        <f aca="false">IF(Informed=1,K675,0)</f>
        <v>0</v>
      </c>
      <c r="Y675" s="39" t="n">
        <f aca="false">IF(Informed=0,K675,0)</f>
        <v>17.1122604838844</v>
      </c>
      <c r="Z675" s="39" t="n">
        <f aca="false">IF(Informed=1,N675,0)</f>
        <v>0</v>
      </c>
      <c r="AA675" s="39" t="n">
        <f aca="false">IF(Informed=0,N675,0)</f>
        <v>0</v>
      </c>
      <c r="AB675" s="43" t="n">
        <f aca="false">IF(Arterial=0,IF(Informed=1,1,0),0)</f>
        <v>0</v>
      </c>
      <c r="AC675" s="43" t="n">
        <f aca="false">IF(Arterial=0,IF(Informed=0,1,0),0)</f>
        <v>1</v>
      </c>
      <c r="AD675" s="43" t="n">
        <f aca="false">IF(Arterial=1,IF(Informed=1,1,0),0)</f>
        <v>0</v>
      </c>
      <c r="AE675" s="43" t="n">
        <f aca="false">IF(Arterial=1,IF(Informed=0,1,0),0)</f>
        <v>0</v>
      </c>
      <c r="AF675" s="35" t="n">
        <f aca="false">IF(AB675=1,(X675-G$1030)^2,0)</f>
        <v>0</v>
      </c>
      <c r="AG675" s="35" t="n">
        <f aca="false">IF(AC675=1,(Y675-H$1030)^2,0)</f>
        <v>38.2972257114903</v>
      </c>
      <c r="AH675" s="35" t="n">
        <f aca="false">IF(AD675=1,(Z675-I$1030)^2,0)</f>
        <v>0</v>
      </c>
      <c r="AI675" s="35" t="n">
        <f aca="false">IF(AE675=1,(AA675-J$1030)^2,0)</f>
        <v>0</v>
      </c>
      <c r="AJ675" s="37" t="n">
        <f aca="true">IF(RAND()&lt;$D$6,1,0)</f>
        <v>0</v>
      </c>
      <c r="AK675" s="14" t="n">
        <f aca="false">AK674+IF((AJ675=1),IF((H675=0),1,0),0)</f>
        <v>0</v>
      </c>
      <c r="AL675" s="14" t="n">
        <f aca="false">AL674+IF((AJ675=1),IF((H675=1),1,0),0)</f>
        <v>0</v>
      </c>
      <c r="AM675" s="37" t="n">
        <f aca="false">IF(AK675=0,9999,IF($H675=0,IF($AJ675&lt;1,AM674+1,0),AM674))</f>
        <v>9999</v>
      </c>
      <c r="AN675" s="37" t="n">
        <f aca="false">IF(AL675=0,9999,IF($H675=1,IF($AJ675&lt;1,AN674+1,0),AN674))</f>
        <v>9999</v>
      </c>
      <c r="AO675" s="37" t="n">
        <f aca="false">IF($A675-AM675&gt;0,1/(1+AM675),0)</f>
        <v>0</v>
      </c>
      <c r="AP675" s="37" t="n">
        <f aca="false">IF($A675-AN675&gt;0,1/(1+AN675),0)</f>
        <v>0</v>
      </c>
      <c r="AQ675" s="7" t="n">
        <f aca="false">IF(AK675=0,0,MAX(MIN(1,AO675^Power),0))</f>
        <v>0</v>
      </c>
      <c r="AR675" s="7" t="n">
        <f aca="false">IF(AL675=0,0,MAX(MIN(1,AP675^Power),0))</f>
        <v>0</v>
      </c>
      <c r="AS675" s="7" t="n">
        <f aca="false">IF($AJ675=1,IF($H675=0,K675,AS674),AS674)</f>
        <v>0</v>
      </c>
      <c r="AT675" s="7" t="n">
        <f aca="false">IF($AJ675=1,IF($H675=1,N675,AT674),AT674)</f>
        <v>0</v>
      </c>
    </row>
    <row r="676" customFormat="false" ht="13" hidden="false" customHeight="false" outlineLevel="0" collapsed="false">
      <c r="A676" s="16" t="n">
        <v>659</v>
      </c>
      <c r="B676" s="37" t="n">
        <f aca="true">IF(RAND()&lt;$D$8,1,0)</f>
        <v>0</v>
      </c>
      <c r="C676" s="20" t="n">
        <f aca="true">-LN(RAND())/$D$2</f>
        <v>1.12724664687397</v>
      </c>
      <c r="D676" s="38" t="n">
        <f aca="false">D675+C676</f>
        <v>684.138317678323</v>
      </c>
      <c r="E676" s="39" t="n">
        <f aca="false">MAX($E$3,AS675)</f>
        <v>0</v>
      </c>
      <c r="F676" s="39" t="n">
        <f aca="false">MAX($E$3,AT675)</f>
        <v>0</v>
      </c>
      <c r="G676" s="40" t="n">
        <v>0.5</v>
      </c>
      <c r="H676" s="38" t="n">
        <f aca="true">IF((B676=1),(IF((F676&lt;E676),1,(IF((F676=E676),(IF(RAND()&lt;G676,1,0)),0)))),(IF((RAND()&lt;G676),1,0)))</f>
        <v>1</v>
      </c>
      <c r="I676" s="38" t="n">
        <f aca="true">IF((H676=1),0,$D$3+$D$5*(RAND()-0.5))</f>
        <v>0</v>
      </c>
      <c r="J676" s="38" t="n">
        <f aca="false">I676+MAX(D676,J675)</f>
        <v>700.123331515334</v>
      </c>
      <c r="K676" s="38" t="n">
        <f aca="false">IF((H676=0),J676-D676,0)</f>
        <v>0</v>
      </c>
      <c r="L676" s="38" t="n">
        <f aca="true">IF(($H676=0),0,$D$4+$D$5*(RAND()-0.5))</f>
        <v>1.99721436338038</v>
      </c>
      <c r="M676" s="38" t="n">
        <f aca="false">L676+MAX(D676,M675)</f>
        <v>740.249026041922</v>
      </c>
      <c r="N676" s="38" t="n">
        <f aca="false">IF((H676=1),M676-D676,0)</f>
        <v>56.1107083635991</v>
      </c>
      <c r="O676" s="16" t="n">
        <v>659</v>
      </c>
      <c r="P676" s="41" t="n">
        <f aca="false">IF((Arterial=0),P675+1,P675)</f>
        <v>303</v>
      </c>
      <c r="Q676" s="41" t="n">
        <f aca="false">IF((Arterial=1),Q675+1,Q675)</f>
        <v>356</v>
      </c>
      <c r="R676" s="42" t="n">
        <f aca="false">IF((RESET=1),0,R676+K676)</f>
        <v>866.526253896026</v>
      </c>
      <c r="S676" s="14" t="e">
        <f aca="false">IF(RESET=1,0,S676+N676)</f>
        <v>#N/A</v>
      </c>
      <c r="T676" s="2" t="n">
        <f aca="false">IF(RESET=1,0,T676+IF(H676=0,1,0))</f>
        <v>40</v>
      </c>
      <c r="U676" s="2" t="e">
        <f aca="false">IF(RESET=1,0,U676+H676)</f>
        <v>#N/A</v>
      </c>
      <c r="V676" s="14" t="n">
        <f aca="false">R676/(T676+0.00001)</f>
        <v>21.6631509316129</v>
      </c>
      <c r="W676" s="14" t="e">
        <f aca="false">S676/(U676+0.0001)</f>
        <v>#N/A</v>
      </c>
      <c r="X676" s="39" t="n">
        <f aca="false">IF(Informed=1,K676,0)</f>
        <v>0</v>
      </c>
      <c r="Y676" s="39" t="n">
        <f aca="false">IF(Informed=0,K676,0)</f>
        <v>0</v>
      </c>
      <c r="Z676" s="39" t="n">
        <f aca="false">IF(Informed=1,N676,0)</f>
        <v>0</v>
      </c>
      <c r="AA676" s="39" t="n">
        <f aca="false">IF(Informed=0,N676,0)</f>
        <v>56.1107083635991</v>
      </c>
      <c r="AB676" s="43" t="n">
        <f aca="false">IF(Arterial=0,IF(Informed=1,1,0),0)</f>
        <v>0</v>
      </c>
      <c r="AC676" s="43" t="n">
        <f aca="false">IF(Arterial=0,IF(Informed=0,1,0),0)</f>
        <v>0</v>
      </c>
      <c r="AD676" s="43" t="n">
        <f aca="false">IF(Arterial=1,IF(Informed=1,1,0),0)</f>
        <v>0</v>
      </c>
      <c r="AE676" s="43" t="n">
        <f aca="false">IF(Arterial=1,IF(Informed=0,1,0),0)</f>
        <v>1</v>
      </c>
      <c r="AF676" s="35" t="n">
        <f aca="false">IF(AB676=1,(X676-G$1030)^2,0)</f>
        <v>0</v>
      </c>
      <c r="AG676" s="35" t="n">
        <f aca="false">IF(AC676=1,(Y676-H$1030)^2,0)</f>
        <v>0</v>
      </c>
      <c r="AH676" s="35" t="n">
        <f aca="false">IF(AD676=1,(Z676-I$1030)^2,0)</f>
        <v>0</v>
      </c>
      <c r="AI676" s="35" t="n">
        <f aca="false">IF(AE676=1,(AA676-J$1030)^2,0)</f>
        <v>704.71312484749</v>
      </c>
      <c r="AJ676" s="37" t="n">
        <f aca="true">IF(RAND()&lt;$D$6,1,0)</f>
        <v>0</v>
      </c>
      <c r="AK676" s="14" t="n">
        <f aca="false">AK675+IF((AJ676=1),IF((H676=0),1,0),0)</f>
        <v>0</v>
      </c>
      <c r="AL676" s="14" t="n">
        <f aca="false">AL675+IF((AJ676=1),IF((H676=1),1,0),0)</f>
        <v>0</v>
      </c>
      <c r="AM676" s="37" t="n">
        <f aca="false">IF(AK676=0,9999,IF($H676=0,IF($AJ676&lt;1,AM675+1,0),AM675))</f>
        <v>9999</v>
      </c>
      <c r="AN676" s="37" t="n">
        <f aca="false">IF(AL676=0,9999,IF($H676=1,IF($AJ676&lt;1,AN675+1,0),AN675))</f>
        <v>9999</v>
      </c>
      <c r="AO676" s="37" t="n">
        <f aca="false">IF($A676-AM676&gt;0,1/(1+AM676),0)</f>
        <v>0</v>
      </c>
      <c r="AP676" s="37" t="n">
        <f aca="false">IF($A676-AN676&gt;0,1/(1+AN676),0)</f>
        <v>0</v>
      </c>
      <c r="AQ676" s="7" t="n">
        <f aca="false">IF(AK676=0,0,MAX(MIN(1,AO676^Power),0))</f>
        <v>0</v>
      </c>
      <c r="AR676" s="7" t="n">
        <f aca="false">IF(AL676=0,0,MAX(MIN(1,AP676^Power),0))</f>
        <v>0</v>
      </c>
      <c r="AS676" s="7" t="n">
        <f aca="false">IF($AJ676=1,IF($H676=0,K676,AS675),AS675)</f>
        <v>0</v>
      </c>
      <c r="AT676" s="7" t="n">
        <f aca="false">IF($AJ676=1,IF($H676=1,N676,AT675),AT675)</f>
        <v>0</v>
      </c>
    </row>
    <row r="677" customFormat="false" ht="13" hidden="false" customHeight="false" outlineLevel="0" collapsed="false">
      <c r="A677" s="16" t="n">
        <v>660</v>
      </c>
      <c r="B677" s="37" t="n">
        <f aca="true">IF(RAND()&lt;$D$8,1,0)</f>
        <v>0</v>
      </c>
      <c r="C677" s="20" t="n">
        <f aca="true">-LN(RAND())/$D$2</f>
        <v>0.273139156090308</v>
      </c>
      <c r="D677" s="38" t="n">
        <f aca="false">D676+C677</f>
        <v>684.411456834414</v>
      </c>
      <c r="E677" s="39" t="n">
        <f aca="false">MAX($E$3,AS676)</f>
        <v>0</v>
      </c>
      <c r="F677" s="39" t="n">
        <f aca="false">MAX($E$3,AT676)</f>
        <v>0</v>
      </c>
      <c r="G677" s="40" t="n">
        <v>0.5</v>
      </c>
      <c r="H677" s="38" t="n">
        <f aca="true">IF((B677=1),(IF((F677&lt;E677),1,(IF((F677=E677),(IF(RAND()&lt;G677,1,0)),0)))),(IF((RAND()&lt;G677),1,0)))</f>
        <v>1</v>
      </c>
      <c r="I677" s="38" t="n">
        <f aca="true">IF((H677=1),0,$D$3+$D$5*(RAND()-0.5))</f>
        <v>0</v>
      </c>
      <c r="J677" s="38" t="n">
        <f aca="false">I677+MAX(D677,J676)</f>
        <v>700.123331515334</v>
      </c>
      <c r="K677" s="38" t="n">
        <f aca="false">IF((H677=0),J677-D677,0)</f>
        <v>0</v>
      </c>
      <c r="L677" s="38" t="n">
        <f aca="true">IF(($H677=0),0,$D$4+$D$5*(RAND()-0.5))</f>
        <v>2.10522593617136</v>
      </c>
      <c r="M677" s="38" t="n">
        <f aca="false">L677+MAX(D677,M676)</f>
        <v>742.354251978094</v>
      </c>
      <c r="N677" s="38" t="n">
        <f aca="false">IF((H677=1),M677-D677,0)</f>
        <v>57.9427951436801</v>
      </c>
      <c r="O677" s="16" t="n">
        <v>660</v>
      </c>
      <c r="P677" s="41" t="n">
        <f aca="false">IF((Arterial=0),P676+1,P676)</f>
        <v>303</v>
      </c>
      <c r="Q677" s="41" t="n">
        <f aca="false">IF((Arterial=1),Q676+1,Q676)</f>
        <v>357</v>
      </c>
      <c r="R677" s="42" t="n">
        <f aca="false">IF((RESET=1),0,R677+K677)</f>
        <v>633.317560383384</v>
      </c>
      <c r="S677" s="14" t="e">
        <f aca="false">IF(RESET=1,0,S677+N677)</f>
        <v>#N/A</v>
      </c>
      <c r="T677" s="2" t="n">
        <f aca="false">IF(RESET=1,0,T677+IF(H677=0,1,0))</f>
        <v>29</v>
      </c>
      <c r="U677" s="2" t="e">
        <f aca="false">IF(RESET=1,0,U677+H677)</f>
        <v>#N/A</v>
      </c>
      <c r="V677" s="14" t="n">
        <f aca="false">R677/(T677+0.00001)</f>
        <v>21.838529034417</v>
      </c>
      <c r="W677" s="14" t="e">
        <f aca="false">S677/(U677+0.0001)</f>
        <v>#N/A</v>
      </c>
      <c r="X677" s="39" t="n">
        <f aca="false">IF(Informed=1,K677,0)</f>
        <v>0</v>
      </c>
      <c r="Y677" s="39" t="n">
        <f aca="false">IF(Informed=0,K677,0)</f>
        <v>0</v>
      </c>
      <c r="Z677" s="39" t="n">
        <f aca="false">IF(Informed=1,N677,0)</f>
        <v>0</v>
      </c>
      <c r="AA677" s="39" t="n">
        <f aca="false">IF(Informed=0,N677,0)</f>
        <v>57.9427951436801</v>
      </c>
      <c r="AB677" s="43" t="n">
        <f aca="false">IF(Arterial=0,IF(Informed=1,1,0),0)</f>
        <v>0</v>
      </c>
      <c r="AC677" s="43" t="n">
        <f aca="false">IF(Arterial=0,IF(Informed=0,1,0),0)</f>
        <v>0</v>
      </c>
      <c r="AD677" s="43" t="n">
        <f aca="false">IF(Arterial=1,IF(Informed=1,1,0),0)</f>
        <v>0</v>
      </c>
      <c r="AE677" s="43" t="n">
        <f aca="false">IF(Arterial=1,IF(Informed=0,1,0),0)</f>
        <v>1</v>
      </c>
      <c r="AF677" s="35" t="n">
        <f aca="false">IF(AB677=1,(X677-G$1030)^2,0)</f>
        <v>0</v>
      </c>
      <c r="AG677" s="35" t="n">
        <f aca="false">IF(AC677=1,(Y677-H$1030)^2,0)</f>
        <v>0</v>
      </c>
      <c r="AH677" s="35" t="n">
        <f aca="false">IF(AD677=1,(Z677-I$1030)^2,0)</f>
        <v>0</v>
      </c>
      <c r="AI677" s="35" t="n">
        <f aca="false">IF(AE677=1,(AA677-J$1030)^2,0)</f>
        <v>805.340406100591</v>
      </c>
      <c r="AJ677" s="37" t="n">
        <f aca="true">IF(RAND()&lt;$D$6,1,0)</f>
        <v>0</v>
      </c>
      <c r="AK677" s="14" t="n">
        <f aca="false">AK676+IF((AJ677=1),IF((H677=0),1,0),0)</f>
        <v>0</v>
      </c>
      <c r="AL677" s="14" t="n">
        <f aca="false">AL676+IF((AJ677=1),IF((H677=1),1,0),0)</f>
        <v>0</v>
      </c>
      <c r="AM677" s="37" t="n">
        <f aca="false">IF(AK677=0,9999,IF($H677=0,IF($AJ677&lt;1,AM676+1,0),AM676))</f>
        <v>9999</v>
      </c>
      <c r="AN677" s="37" t="n">
        <f aca="false">IF(AL677=0,9999,IF($H677=1,IF($AJ677&lt;1,AN676+1,0),AN676))</f>
        <v>9999</v>
      </c>
      <c r="AO677" s="37" t="n">
        <f aca="false">IF($A677-AM677&gt;0,1/(1+AM677),0)</f>
        <v>0</v>
      </c>
      <c r="AP677" s="37" t="n">
        <f aca="false">IF($A677-AN677&gt;0,1/(1+AN677),0)</f>
        <v>0</v>
      </c>
      <c r="AQ677" s="7" t="n">
        <f aca="false">IF(AK677=0,0,MAX(MIN(1,AO677^Power),0))</f>
        <v>0</v>
      </c>
      <c r="AR677" s="7" t="n">
        <f aca="false">IF(AL677=0,0,MAX(MIN(1,AP677^Power),0))</f>
        <v>0</v>
      </c>
      <c r="AS677" s="7" t="n">
        <f aca="false">IF($AJ677=1,IF($H677=0,K677,AS676),AS676)</f>
        <v>0</v>
      </c>
      <c r="AT677" s="7" t="n">
        <f aca="false">IF($AJ677=1,IF($H677=1,N677,AT676),AT676)</f>
        <v>0</v>
      </c>
    </row>
    <row r="678" customFormat="false" ht="13" hidden="false" customHeight="false" outlineLevel="0" collapsed="false">
      <c r="A678" s="16" t="n">
        <v>661</v>
      </c>
      <c r="B678" s="37" t="n">
        <f aca="true">IF(RAND()&lt;$D$8,1,0)</f>
        <v>0</v>
      </c>
      <c r="C678" s="20" t="n">
        <f aca="true">-LN(RAND())/$D$2</f>
        <v>1.28042906713141</v>
      </c>
      <c r="D678" s="38" t="n">
        <f aca="false">D677+C678</f>
        <v>685.691885901545</v>
      </c>
      <c r="E678" s="39" t="n">
        <f aca="false">MAX($E$3,AS677)</f>
        <v>0</v>
      </c>
      <c r="F678" s="39" t="n">
        <f aca="false">MAX($E$3,AT677)</f>
        <v>0</v>
      </c>
      <c r="G678" s="40" t="n">
        <v>0.5</v>
      </c>
      <c r="H678" s="38" t="n">
        <f aca="true">IF((B678=1),(IF((F678&lt;E678),1,(IF((F678=E678),(IF(RAND()&lt;G678,1,0)),0)))),(IF((RAND()&lt;G678),1,0)))</f>
        <v>0</v>
      </c>
      <c r="I678" s="38" t="n">
        <f aca="true">IF((H678=1),0,$D$3+$D$5*(RAND()-0.5))</f>
        <v>1.76043955349841</v>
      </c>
      <c r="J678" s="38" t="n">
        <f aca="false">I678+MAX(D678,J677)</f>
        <v>701.883771068832</v>
      </c>
      <c r="K678" s="38" t="n">
        <f aca="false">IF((H678=0),J678-D678,0)</f>
        <v>16.1918851672871</v>
      </c>
      <c r="L678" s="38" t="n">
        <f aca="true">IF(($H678=0),0,$D$4+$D$5*(RAND()-0.5))</f>
        <v>0</v>
      </c>
      <c r="M678" s="38" t="n">
        <f aca="false">L678+MAX(D678,M677)</f>
        <v>742.354251978094</v>
      </c>
      <c r="N678" s="38" t="n">
        <f aca="false">IF((H678=1),M678-D678,0)</f>
        <v>0</v>
      </c>
      <c r="O678" s="16" t="n">
        <v>661</v>
      </c>
      <c r="P678" s="41" t="n">
        <f aca="false">IF((Arterial=0),P677+1,P677)</f>
        <v>304</v>
      </c>
      <c r="Q678" s="41" t="n">
        <f aca="false">IF((Arterial=1),Q677+1,Q677)</f>
        <v>357</v>
      </c>
      <c r="R678" s="42" t="e">
        <f aca="false">IF((RESET=1),0,R678+K678)</f>
        <v>#N/A</v>
      </c>
      <c r="S678" s="14" t="n">
        <f aca="false">IF(RESET=1,0,S678+N678)</f>
        <v>705.582751989661</v>
      </c>
      <c r="T678" s="2" t="e">
        <f aca="false">IF(RESET=1,0,T678+IF(H678=0,1,0))</f>
        <v>#N/A</v>
      </c>
      <c r="U678" s="2" t="n">
        <f aca="false">IF(RESET=1,0,U678+H678)</f>
        <v>39</v>
      </c>
      <c r="V678" s="14" t="e">
        <f aca="false">R678/(T678+0.00001)</f>
        <v>#N/A</v>
      </c>
      <c r="W678" s="14" t="n">
        <f aca="false">S678/(U678+0.0001)</f>
        <v>18.0918190463527</v>
      </c>
      <c r="X678" s="39" t="n">
        <f aca="false">IF(Informed=1,K678,0)</f>
        <v>0</v>
      </c>
      <c r="Y678" s="39" t="n">
        <f aca="false">IF(Informed=0,K678,0)</f>
        <v>16.1918851672871</v>
      </c>
      <c r="Z678" s="39" t="n">
        <f aca="false">IF(Informed=1,N678,0)</f>
        <v>0</v>
      </c>
      <c r="AA678" s="39" t="n">
        <f aca="false">IF(Informed=0,N678,0)</f>
        <v>0</v>
      </c>
      <c r="AB678" s="43" t="n">
        <f aca="false">IF(Arterial=0,IF(Informed=1,1,0),0)</f>
        <v>0</v>
      </c>
      <c r="AC678" s="43" t="n">
        <f aca="false">IF(Arterial=0,IF(Informed=0,1,0),0)</f>
        <v>1</v>
      </c>
      <c r="AD678" s="43" t="n">
        <f aca="false">IF(Arterial=1,IF(Informed=1,1,0),0)</f>
        <v>0</v>
      </c>
      <c r="AE678" s="43" t="n">
        <f aca="false">IF(Arterial=1,IF(Informed=0,1,0),0)</f>
        <v>0</v>
      </c>
      <c r="AF678" s="35" t="n">
        <f aca="false">IF(AB678=1,(X678-G$1030)^2,0)</f>
        <v>0</v>
      </c>
      <c r="AG678" s="35" t="n">
        <f aca="false">IF(AC678=1,(Y678-H$1030)^2,0)</f>
        <v>27.7528767309352</v>
      </c>
      <c r="AH678" s="35" t="n">
        <f aca="false">IF(AD678=1,(Z678-I$1030)^2,0)</f>
        <v>0</v>
      </c>
      <c r="AI678" s="35" t="n">
        <f aca="false">IF(AE678=1,(AA678-J$1030)^2,0)</f>
        <v>0</v>
      </c>
      <c r="AJ678" s="37" t="n">
        <f aca="true">IF(RAND()&lt;$D$6,1,0)</f>
        <v>0</v>
      </c>
      <c r="AK678" s="14" t="n">
        <f aca="false">AK677+IF((AJ678=1),IF((H678=0),1,0),0)</f>
        <v>0</v>
      </c>
      <c r="AL678" s="14" t="n">
        <f aca="false">AL677+IF((AJ678=1),IF((H678=1),1,0),0)</f>
        <v>0</v>
      </c>
      <c r="AM678" s="37" t="n">
        <f aca="false">IF(AK678=0,9999,IF($H678=0,IF($AJ678&lt;1,AM677+1,0),AM677))</f>
        <v>9999</v>
      </c>
      <c r="AN678" s="37" t="n">
        <f aca="false">IF(AL678=0,9999,IF($H678=1,IF($AJ678&lt;1,AN677+1,0),AN677))</f>
        <v>9999</v>
      </c>
      <c r="AO678" s="37" t="n">
        <f aca="false">IF($A678-AM678&gt;0,1/(1+AM678),0)</f>
        <v>0</v>
      </c>
      <c r="AP678" s="37" t="n">
        <f aca="false">IF($A678-AN678&gt;0,1/(1+AN678),0)</f>
        <v>0</v>
      </c>
      <c r="AQ678" s="7" t="n">
        <f aca="false">IF(AK678=0,0,MAX(MIN(1,AO678^Power),0))</f>
        <v>0</v>
      </c>
      <c r="AR678" s="7" t="n">
        <f aca="false">IF(AL678=0,0,MAX(MIN(1,AP678^Power),0))</f>
        <v>0</v>
      </c>
      <c r="AS678" s="7" t="n">
        <f aca="false">IF($AJ678=1,IF($H678=0,K678,AS677),AS677)</f>
        <v>0</v>
      </c>
      <c r="AT678" s="7" t="n">
        <f aca="false">IF($AJ678=1,IF($H678=1,N678,AT677),AT677)</f>
        <v>0</v>
      </c>
    </row>
    <row r="679" customFormat="false" ht="13" hidden="false" customHeight="false" outlineLevel="0" collapsed="false">
      <c r="A679" s="16" t="n">
        <v>662</v>
      </c>
      <c r="B679" s="37" t="n">
        <f aca="true">IF(RAND()&lt;$D$8,1,0)</f>
        <v>0</v>
      </c>
      <c r="C679" s="20" t="n">
        <f aca="true">-LN(RAND())/$D$2</f>
        <v>0.00579216219619778</v>
      </c>
      <c r="D679" s="38" t="n">
        <f aca="false">D678+C679</f>
        <v>685.697678063741</v>
      </c>
      <c r="E679" s="39" t="n">
        <f aca="false">MAX($E$3,AS678)</f>
        <v>0</v>
      </c>
      <c r="F679" s="39" t="n">
        <f aca="false">MAX($E$3,AT678)</f>
        <v>0</v>
      </c>
      <c r="G679" s="40" t="n">
        <v>0.5</v>
      </c>
      <c r="H679" s="38" t="n">
        <f aca="true">IF((B679=1),(IF((F679&lt;E679),1,(IF((F679=E679),(IF(RAND()&lt;G679,1,0)),0)))),(IF((RAND()&lt;G679),1,0)))</f>
        <v>1</v>
      </c>
      <c r="I679" s="38" t="n">
        <f aca="true">IF((H679=1),0,$D$3+$D$5*(RAND()-0.5))</f>
        <v>0</v>
      </c>
      <c r="J679" s="38" t="n">
        <f aca="false">I679+MAX(D679,J678)</f>
        <v>701.883771068832</v>
      </c>
      <c r="K679" s="38" t="n">
        <f aca="false">IF((H679=0),J679-D679,0)</f>
        <v>0</v>
      </c>
      <c r="L679" s="38" t="n">
        <f aca="true">IF(($H679=0),0,$D$4+$D$5*(RAND()-0.5))</f>
        <v>2.0372055968481</v>
      </c>
      <c r="M679" s="38" t="n">
        <f aca="false">L679+MAX(D679,M678)</f>
        <v>744.391457574942</v>
      </c>
      <c r="N679" s="38" t="n">
        <f aca="false">IF((H679=1),M679-D679,0)</f>
        <v>58.6937795112007</v>
      </c>
      <c r="O679" s="16" t="n">
        <v>662</v>
      </c>
      <c r="P679" s="41" t="n">
        <f aca="false">IF((Arterial=0),P678+1,P678)</f>
        <v>304</v>
      </c>
      <c r="Q679" s="41" t="n">
        <f aca="false">IF((Arterial=1),Q678+1,Q678)</f>
        <v>358</v>
      </c>
      <c r="R679" s="42" t="n">
        <f aca="false">IF((RESET=1),0,R679+K679)</f>
        <v>918.325884788693</v>
      </c>
      <c r="S679" s="14" t="e">
        <f aca="false">IF(RESET=1,0,S679+N679)</f>
        <v>#N/A</v>
      </c>
      <c r="T679" s="2" t="n">
        <f aca="false">IF(RESET=1,0,T679+IF(H679=0,1,0))</f>
        <v>41</v>
      </c>
      <c r="U679" s="2" t="e">
        <f aca="false">IF(RESET=1,0,U679+H679)</f>
        <v>#N/A</v>
      </c>
      <c r="V679" s="14" t="n">
        <f aca="false">R679/(T679+0.00001)</f>
        <v>22.3981868489469</v>
      </c>
      <c r="W679" s="14" t="e">
        <f aca="false">S679/(U679+0.0001)</f>
        <v>#N/A</v>
      </c>
      <c r="X679" s="39" t="n">
        <f aca="false">IF(Informed=1,K679,0)</f>
        <v>0</v>
      </c>
      <c r="Y679" s="39" t="n">
        <f aca="false">IF(Informed=0,K679,0)</f>
        <v>0</v>
      </c>
      <c r="Z679" s="39" t="n">
        <f aca="false">IF(Informed=1,N679,0)</f>
        <v>0</v>
      </c>
      <c r="AA679" s="39" t="n">
        <f aca="false">IF(Informed=0,N679,0)</f>
        <v>58.6937795112007</v>
      </c>
      <c r="AB679" s="43" t="n">
        <f aca="false">IF(Arterial=0,IF(Informed=1,1,0),0)</f>
        <v>0</v>
      </c>
      <c r="AC679" s="43" t="n">
        <f aca="false">IF(Arterial=0,IF(Informed=0,1,0),0)</f>
        <v>0</v>
      </c>
      <c r="AD679" s="43" t="n">
        <f aca="false">IF(Arterial=1,IF(Informed=1,1,0),0)</f>
        <v>0</v>
      </c>
      <c r="AE679" s="43" t="n">
        <f aca="false">IF(Arterial=1,IF(Informed=0,1,0),0)</f>
        <v>1</v>
      </c>
      <c r="AF679" s="35" t="n">
        <f aca="false">IF(AB679=1,(X679-G$1030)^2,0)</f>
        <v>0</v>
      </c>
      <c r="AG679" s="35" t="n">
        <f aca="false">IF(AC679=1,(Y679-H$1030)^2,0)</f>
        <v>0</v>
      </c>
      <c r="AH679" s="35" t="n">
        <f aca="false">IF(AD679=1,(Z679-I$1030)^2,0)</f>
        <v>0</v>
      </c>
      <c r="AI679" s="35" t="n">
        <f aca="false">IF(AE679=1,(AA679-J$1030)^2,0)</f>
        <v>848.52803363809</v>
      </c>
      <c r="AJ679" s="37" t="n">
        <f aca="true">IF(RAND()&lt;$D$6,1,0)</f>
        <v>0</v>
      </c>
      <c r="AK679" s="14" t="n">
        <f aca="false">AK678+IF((AJ679=1),IF((H679=0),1,0),0)</f>
        <v>0</v>
      </c>
      <c r="AL679" s="14" t="n">
        <f aca="false">AL678+IF((AJ679=1),IF((H679=1),1,0),0)</f>
        <v>0</v>
      </c>
      <c r="AM679" s="37" t="n">
        <f aca="false">IF(AK679=0,9999,IF($H679=0,IF($AJ679&lt;1,AM678+1,0),AM678))</f>
        <v>9999</v>
      </c>
      <c r="AN679" s="37" t="n">
        <f aca="false">IF(AL679=0,9999,IF($H679=1,IF($AJ679&lt;1,AN678+1,0),AN678))</f>
        <v>9999</v>
      </c>
      <c r="AO679" s="37" t="n">
        <f aca="false">IF($A679-AM679&gt;0,1/(1+AM679),0)</f>
        <v>0</v>
      </c>
      <c r="AP679" s="37" t="n">
        <f aca="false">IF($A679-AN679&gt;0,1/(1+AN679),0)</f>
        <v>0</v>
      </c>
      <c r="AQ679" s="7" t="n">
        <f aca="false">IF(AK679=0,0,MAX(MIN(1,AO679^Power),0))</f>
        <v>0</v>
      </c>
      <c r="AR679" s="7" t="n">
        <f aca="false">IF(AL679=0,0,MAX(MIN(1,AP679^Power),0))</f>
        <v>0</v>
      </c>
      <c r="AS679" s="7" t="n">
        <f aca="false">IF($AJ679=1,IF($H679=0,K679,AS678),AS678)</f>
        <v>0</v>
      </c>
      <c r="AT679" s="7" t="n">
        <f aca="false">IF($AJ679=1,IF($H679=1,N679,AT678),AT678)</f>
        <v>0</v>
      </c>
    </row>
    <row r="680" customFormat="false" ht="13" hidden="false" customHeight="false" outlineLevel="0" collapsed="false">
      <c r="A680" s="16" t="n">
        <v>663</v>
      </c>
      <c r="B680" s="37" t="n">
        <f aca="true">IF(RAND()&lt;$D$8,1,0)</f>
        <v>0</v>
      </c>
      <c r="C680" s="20" t="n">
        <f aca="true">-LN(RAND())/$D$2</f>
        <v>0.547145310178282</v>
      </c>
      <c r="D680" s="38" t="n">
        <f aca="false">D679+C680</f>
        <v>686.24482337392</v>
      </c>
      <c r="E680" s="39" t="n">
        <f aca="false">MAX($E$3,AS679)</f>
        <v>0</v>
      </c>
      <c r="F680" s="39" t="n">
        <f aca="false">MAX($E$3,AT679)</f>
        <v>0</v>
      </c>
      <c r="G680" s="40" t="n">
        <v>0.5</v>
      </c>
      <c r="H680" s="38" t="n">
        <f aca="true">IF((B680=1),(IF((F680&lt;E680),1,(IF((F680=E680),(IF(RAND()&lt;G680,1,0)),0)))),(IF((RAND()&lt;G680),1,0)))</f>
        <v>1</v>
      </c>
      <c r="I680" s="38" t="n">
        <f aca="true">IF((H680=1),0,$D$3+$D$5*(RAND()-0.5))</f>
        <v>0</v>
      </c>
      <c r="J680" s="38" t="n">
        <f aca="false">I680+MAX(D680,J679)</f>
        <v>701.883771068832</v>
      </c>
      <c r="K680" s="38" t="n">
        <f aca="false">IF((H680=0),J680-D680,0)</f>
        <v>0</v>
      </c>
      <c r="L680" s="38" t="n">
        <f aca="true">IF(($H680=0),0,$D$4+$D$5*(RAND()-0.5))</f>
        <v>2.12199222719407</v>
      </c>
      <c r="M680" s="38" t="n">
        <f aca="false">L680+MAX(D680,M679)</f>
        <v>746.513449802136</v>
      </c>
      <c r="N680" s="38" t="n">
        <f aca="false">IF((H680=1),M680-D680,0)</f>
        <v>60.2686264282164</v>
      </c>
      <c r="O680" s="16" t="n">
        <v>663</v>
      </c>
      <c r="P680" s="41" t="n">
        <f aca="false">IF((Arterial=0),P679+1,P679)</f>
        <v>304</v>
      </c>
      <c r="Q680" s="41" t="n">
        <f aca="false">IF((Arterial=1),Q679+1,Q679)</f>
        <v>359</v>
      </c>
      <c r="R680" s="42" t="n">
        <f aca="false">IF((RESET=1),0,R680+K680)</f>
        <v>1106.07857906193</v>
      </c>
      <c r="S680" s="14" t="e">
        <f aca="false">IF(RESET=1,0,S680+N680)</f>
        <v>#N/A</v>
      </c>
      <c r="T680" s="2" t="n">
        <f aca="false">IF(RESET=1,0,T680+IF(H680=0,1,0))</f>
        <v>50</v>
      </c>
      <c r="U680" s="2" t="e">
        <f aca="false">IF(RESET=1,0,U680+H680)</f>
        <v>#N/A</v>
      </c>
      <c r="V680" s="14" t="n">
        <f aca="false">R680/(T680+0.00001)</f>
        <v>22.1215671569251</v>
      </c>
      <c r="W680" s="14" t="e">
        <f aca="false">S680/(U680+0.0001)</f>
        <v>#N/A</v>
      </c>
      <c r="X680" s="39" t="n">
        <f aca="false">IF(Informed=1,K680,0)</f>
        <v>0</v>
      </c>
      <c r="Y680" s="39" t="n">
        <f aca="false">IF(Informed=0,K680,0)</f>
        <v>0</v>
      </c>
      <c r="Z680" s="39" t="n">
        <f aca="false">IF(Informed=1,N680,0)</f>
        <v>0</v>
      </c>
      <c r="AA680" s="39" t="n">
        <f aca="false">IF(Informed=0,N680,0)</f>
        <v>60.2686264282164</v>
      </c>
      <c r="AB680" s="43" t="n">
        <f aca="false">IF(Arterial=0,IF(Informed=1,1,0),0)</f>
        <v>0</v>
      </c>
      <c r="AC680" s="43" t="n">
        <f aca="false">IF(Arterial=0,IF(Informed=0,1,0),0)</f>
        <v>0</v>
      </c>
      <c r="AD680" s="43" t="n">
        <f aca="false">IF(Arterial=1,IF(Informed=1,1,0),0)</f>
        <v>0</v>
      </c>
      <c r="AE680" s="43" t="n">
        <f aca="false">IF(Arterial=1,IF(Informed=0,1,0),0)</f>
        <v>1</v>
      </c>
      <c r="AF680" s="35" t="n">
        <f aca="false">IF(AB680=1,(X680-G$1030)^2,0)</f>
        <v>0</v>
      </c>
      <c r="AG680" s="35" t="n">
        <f aca="false">IF(AC680=1,(Y680-H$1030)^2,0)</f>
        <v>0</v>
      </c>
      <c r="AH680" s="35" t="n">
        <f aca="false">IF(AD680=1,(Z680-I$1030)^2,0)</f>
        <v>0</v>
      </c>
      <c r="AI680" s="35" t="n">
        <f aca="false">IF(AE680=1,(AA680-J$1030)^2,0)</f>
        <v>942.757197228264</v>
      </c>
      <c r="AJ680" s="37" t="n">
        <f aca="true">IF(RAND()&lt;$D$6,1,0)</f>
        <v>0</v>
      </c>
      <c r="AK680" s="14" t="n">
        <f aca="false">AK679+IF((AJ680=1),IF((H680=0),1,0),0)</f>
        <v>0</v>
      </c>
      <c r="AL680" s="14" t="n">
        <f aca="false">AL679+IF((AJ680=1),IF((H680=1),1,0),0)</f>
        <v>0</v>
      </c>
      <c r="AM680" s="37" t="n">
        <f aca="false">IF(AK680=0,9999,IF($H680=0,IF($AJ680&lt;1,AM679+1,0),AM679))</f>
        <v>9999</v>
      </c>
      <c r="AN680" s="37" t="n">
        <f aca="false">IF(AL680=0,9999,IF($H680=1,IF($AJ680&lt;1,AN679+1,0),AN679))</f>
        <v>9999</v>
      </c>
      <c r="AO680" s="37" t="n">
        <f aca="false">IF($A680-AM680&gt;0,1/(1+AM680),0)</f>
        <v>0</v>
      </c>
      <c r="AP680" s="37" t="n">
        <f aca="false">IF($A680-AN680&gt;0,1/(1+AN680),0)</f>
        <v>0</v>
      </c>
      <c r="AQ680" s="7" t="n">
        <f aca="false">IF(AK680=0,0,MAX(MIN(1,AO680^Power),0))</f>
        <v>0</v>
      </c>
      <c r="AR680" s="7" t="n">
        <f aca="false">IF(AL680=0,0,MAX(MIN(1,AP680^Power),0))</f>
        <v>0</v>
      </c>
      <c r="AS680" s="7" t="n">
        <f aca="false">IF($AJ680=1,IF($H680=0,K680,AS679),AS679)</f>
        <v>0</v>
      </c>
      <c r="AT680" s="7" t="n">
        <f aca="false">IF($AJ680=1,IF($H680=1,N680,AT679),AT679)</f>
        <v>0</v>
      </c>
    </row>
    <row r="681" customFormat="false" ht="13" hidden="false" customHeight="false" outlineLevel="0" collapsed="false">
      <c r="A681" s="16" t="n">
        <v>664</v>
      </c>
      <c r="B681" s="37" t="n">
        <f aca="true">IF(RAND()&lt;$D$8,1,0)</f>
        <v>0</v>
      </c>
      <c r="C681" s="20" t="n">
        <f aca="true">-LN(RAND())/$D$2</f>
        <v>3.54342135030393</v>
      </c>
      <c r="D681" s="38" t="n">
        <f aca="false">D680+C681</f>
        <v>689.788244724223</v>
      </c>
      <c r="E681" s="39" t="n">
        <f aca="false">MAX($E$3,AS680)</f>
        <v>0</v>
      </c>
      <c r="F681" s="39" t="n">
        <f aca="false">MAX($E$3,AT680)</f>
        <v>0</v>
      </c>
      <c r="G681" s="40" t="n">
        <v>0.5</v>
      </c>
      <c r="H681" s="38" t="n">
        <f aca="true">IF((B681=1),(IF((F681&lt;E681),1,(IF((F681=E681),(IF(RAND()&lt;G681,1,0)),0)))),(IF((RAND()&lt;G681),1,0)))</f>
        <v>0</v>
      </c>
      <c r="I681" s="38" t="n">
        <f aca="true">IF((H681=1),0,$D$3+$D$5*(RAND()-0.5))</f>
        <v>1.86770857441309</v>
      </c>
      <c r="J681" s="38" t="n">
        <f aca="false">I681+MAX(D681,J680)</f>
        <v>703.751479643245</v>
      </c>
      <c r="K681" s="38" t="n">
        <f aca="false">IF((H681=0),J681-D681,0)</f>
        <v>13.9632349190218</v>
      </c>
      <c r="L681" s="38" t="n">
        <f aca="true">IF(($H681=0),0,$D$4+$D$5*(RAND()-0.5))</f>
        <v>0</v>
      </c>
      <c r="M681" s="38" t="n">
        <f aca="false">L681+MAX(D681,M680)</f>
        <v>746.513449802136</v>
      </c>
      <c r="N681" s="38" t="n">
        <f aca="false">IF((H681=1),M681-D681,0)</f>
        <v>0</v>
      </c>
      <c r="O681" s="16" t="n">
        <v>664</v>
      </c>
      <c r="P681" s="41" t="n">
        <f aca="false">IF((Arterial=0),P680+1,P680)</f>
        <v>305</v>
      </c>
      <c r="Q681" s="41" t="n">
        <f aca="false">IF((Arterial=1),Q680+1,Q680)</f>
        <v>359</v>
      </c>
      <c r="R681" s="42" t="e">
        <f aca="false">IF((RESET=1),0,R681+K681)</f>
        <v>#N/A</v>
      </c>
      <c r="S681" s="14" t="n">
        <f aca="false">IF(RESET=1,0,S681+N681)</f>
        <v>636.416494495643</v>
      </c>
      <c r="T681" s="2" t="e">
        <f aca="false">IF(RESET=1,0,T681+IF(H681=0,1,0))</f>
        <v>#N/A</v>
      </c>
      <c r="U681" s="2" t="n">
        <f aca="false">IF(RESET=1,0,U681+H681)</f>
        <v>37</v>
      </c>
      <c r="V681" s="14" t="e">
        <f aca="false">R681/(T681+0.00001)</f>
        <v>#N/A</v>
      </c>
      <c r="W681" s="14" t="n">
        <f aca="false">S681/(U681+0.0001)</f>
        <v>17.2003993096138</v>
      </c>
      <c r="X681" s="39" t="n">
        <f aca="false">IF(Informed=1,K681,0)</f>
        <v>0</v>
      </c>
      <c r="Y681" s="39" t="n">
        <f aca="false">IF(Informed=0,K681,0)</f>
        <v>13.9632349190218</v>
      </c>
      <c r="Z681" s="39" t="n">
        <f aca="false">IF(Informed=1,N681,0)</f>
        <v>0</v>
      </c>
      <c r="AA681" s="39" t="n">
        <f aca="false">IF(Informed=0,N681,0)</f>
        <v>0</v>
      </c>
      <c r="AB681" s="43" t="n">
        <f aca="false">IF(Arterial=0,IF(Informed=1,1,0),0)</f>
        <v>0</v>
      </c>
      <c r="AC681" s="43" t="n">
        <f aca="false">IF(Arterial=0,IF(Informed=0,1,0),0)</f>
        <v>1</v>
      </c>
      <c r="AD681" s="43" t="n">
        <f aca="false">IF(Arterial=1,IF(Informed=1,1,0),0)</f>
        <v>0</v>
      </c>
      <c r="AE681" s="43" t="n">
        <f aca="false">IF(Arterial=1,IF(Informed=0,1,0),0)</f>
        <v>0</v>
      </c>
      <c r="AF681" s="35" t="n">
        <f aca="false">IF(AB681=1,(X681-G$1030)^2,0)</f>
        <v>0</v>
      </c>
      <c r="AG681" s="35" t="n">
        <f aca="false">IF(AC681=1,(Y681-H$1030)^2,0)</f>
        <v>9.23825428614082</v>
      </c>
      <c r="AH681" s="35" t="n">
        <f aca="false">IF(AD681=1,(Z681-I$1030)^2,0)</f>
        <v>0</v>
      </c>
      <c r="AI681" s="35" t="n">
        <f aca="false">IF(AE681=1,(AA681-J$1030)^2,0)</f>
        <v>0</v>
      </c>
      <c r="AJ681" s="37" t="n">
        <f aca="true">IF(RAND()&lt;$D$6,1,0)</f>
        <v>0</v>
      </c>
      <c r="AK681" s="14" t="n">
        <f aca="false">AK680+IF((AJ681=1),IF((H681=0),1,0),0)</f>
        <v>0</v>
      </c>
      <c r="AL681" s="14" t="n">
        <f aca="false">AL680+IF((AJ681=1),IF((H681=1),1,0),0)</f>
        <v>0</v>
      </c>
      <c r="AM681" s="37" t="n">
        <f aca="false">IF(AK681=0,9999,IF($H681=0,IF($AJ681&lt;1,AM680+1,0),AM680))</f>
        <v>9999</v>
      </c>
      <c r="AN681" s="37" t="n">
        <f aca="false">IF(AL681=0,9999,IF($H681=1,IF($AJ681&lt;1,AN680+1,0),AN680))</f>
        <v>9999</v>
      </c>
      <c r="AO681" s="37" t="n">
        <f aca="false">IF($A681-AM681&gt;0,1/(1+AM681),0)</f>
        <v>0</v>
      </c>
      <c r="AP681" s="37" t="n">
        <f aca="false">IF($A681-AN681&gt;0,1/(1+AN681),0)</f>
        <v>0</v>
      </c>
      <c r="AQ681" s="7" t="n">
        <f aca="false">IF(AK681=0,0,MAX(MIN(1,AO681^Power),0))</f>
        <v>0</v>
      </c>
      <c r="AR681" s="7" t="n">
        <f aca="false">IF(AL681=0,0,MAX(MIN(1,AP681^Power),0))</f>
        <v>0</v>
      </c>
      <c r="AS681" s="7" t="n">
        <f aca="false">IF($AJ681=1,IF($H681=0,K681,AS680),AS680)</f>
        <v>0</v>
      </c>
      <c r="AT681" s="7" t="n">
        <f aca="false">IF($AJ681=1,IF($H681=1,N681,AT680),AT680)</f>
        <v>0</v>
      </c>
    </row>
    <row r="682" customFormat="false" ht="13" hidden="false" customHeight="false" outlineLevel="0" collapsed="false">
      <c r="A682" s="16" t="n">
        <v>665</v>
      </c>
      <c r="B682" s="37" t="n">
        <f aca="true">IF(RAND()&lt;$D$8,1,0)</f>
        <v>1</v>
      </c>
      <c r="C682" s="20" t="n">
        <f aca="true">-LN(RAND())/$D$2</f>
        <v>2.44629620040736</v>
      </c>
      <c r="D682" s="38" t="n">
        <f aca="false">D681+C682</f>
        <v>692.234540924631</v>
      </c>
      <c r="E682" s="39" t="n">
        <f aca="false">MAX($E$3,AS681)</f>
        <v>0</v>
      </c>
      <c r="F682" s="39" t="n">
        <f aca="false">MAX($E$3,AT681)</f>
        <v>0</v>
      </c>
      <c r="G682" s="40" t="n">
        <v>0.5</v>
      </c>
      <c r="H682" s="38" t="n">
        <f aca="true">IF((B682=1),(IF((F682&lt;E682),1,(IF((F682=E682),(IF(RAND()&lt;G682,1,0)),0)))),(IF((RAND()&lt;G682),1,0)))</f>
        <v>1</v>
      </c>
      <c r="I682" s="38" t="n">
        <f aca="true">IF((H682=1),0,$D$3+$D$5*(RAND()-0.5))</f>
        <v>0</v>
      </c>
      <c r="J682" s="38" t="n">
        <f aca="false">I682+MAX(D682,J681)</f>
        <v>703.751479643245</v>
      </c>
      <c r="K682" s="38" t="n">
        <f aca="false">IF((H682=0),J682-D682,0)</f>
        <v>0</v>
      </c>
      <c r="L682" s="38" t="n">
        <f aca="true">IF(($H682=0),0,$D$4+$D$5*(RAND()-0.5))</f>
        <v>1.95284485099964</v>
      </c>
      <c r="M682" s="38" t="n">
        <f aca="false">L682+MAX(D682,M681)</f>
        <v>748.466294653136</v>
      </c>
      <c r="N682" s="38" t="n">
        <f aca="false">IF((H682=1),M682-D682,0)</f>
        <v>56.2317537285048</v>
      </c>
      <c r="O682" s="16" t="n">
        <v>665</v>
      </c>
      <c r="P682" s="41" t="n">
        <f aca="false">IF((Arterial=0),P681+1,P681)</f>
        <v>305</v>
      </c>
      <c r="Q682" s="41" t="n">
        <f aca="false">IF((Arterial=1),Q681+1,Q681)</f>
        <v>360</v>
      </c>
      <c r="R682" s="42" t="n">
        <f aca="false">IF((RESET=1),0,R682+K682)</f>
        <v>1022.97914374746</v>
      </c>
      <c r="S682" s="14" t="e">
        <f aca="false">IF(RESET=1,0,S682+N682)</f>
        <v>#N/A</v>
      </c>
      <c r="T682" s="2" t="n">
        <f aca="false">IF(RESET=1,0,T682+IF(H682=0,1,0))</f>
        <v>46</v>
      </c>
      <c r="U682" s="2" t="e">
        <f aca="false">IF(RESET=1,0,U682+H682)</f>
        <v>#N/A</v>
      </c>
      <c r="V682" s="14" t="n">
        <f aca="false">R682/(T682+0.00001)</f>
        <v>22.2386722034943</v>
      </c>
      <c r="W682" s="14" t="e">
        <f aca="false">S682/(U682+0.0001)</f>
        <v>#N/A</v>
      </c>
      <c r="X682" s="39" t="n">
        <f aca="false">IF(Informed=1,K682,0)</f>
        <v>0</v>
      </c>
      <c r="Y682" s="39" t="n">
        <f aca="false">IF(Informed=0,K682,0)</f>
        <v>0</v>
      </c>
      <c r="Z682" s="39" t="n">
        <f aca="false">IF(Informed=1,N682,0)</f>
        <v>56.2317537285048</v>
      </c>
      <c r="AA682" s="39" t="n">
        <f aca="false">IF(Informed=0,N682,0)</f>
        <v>0</v>
      </c>
      <c r="AB682" s="43" t="n">
        <f aca="false">IF(Arterial=0,IF(Informed=1,1,0),0)</f>
        <v>0</v>
      </c>
      <c r="AC682" s="43" t="n">
        <f aca="false">IF(Arterial=0,IF(Informed=0,1,0),0)</f>
        <v>0</v>
      </c>
      <c r="AD682" s="43" t="n">
        <f aca="false">IF(Arterial=1,IF(Informed=1,1,0),0)</f>
        <v>1</v>
      </c>
      <c r="AE682" s="43" t="n">
        <f aca="false">IF(Arterial=1,IF(Informed=0,1,0),0)</f>
        <v>0</v>
      </c>
      <c r="AF682" s="35" t="n">
        <f aca="false">IF(AB682=1,(X682-G$1030)^2,0)</f>
        <v>0</v>
      </c>
      <c r="AG682" s="35" t="n">
        <f aca="false">IF(AC682=1,(Y682-H$1030)^2,0)</f>
        <v>0</v>
      </c>
      <c r="AH682" s="35" t="n">
        <f aca="false">IF(AD682=1,(Z682-I$1030)^2,0)</f>
        <v>776.007932566137</v>
      </c>
      <c r="AI682" s="35" t="n">
        <f aca="false">IF(AE682=1,(AA682-J$1030)^2,0)</f>
        <v>0</v>
      </c>
      <c r="AJ682" s="37" t="n">
        <f aca="true">IF(RAND()&lt;$D$6,1,0)</f>
        <v>0</v>
      </c>
      <c r="AK682" s="14" t="n">
        <f aca="false">AK681+IF((AJ682=1),IF((H682=0),1,0),0)</f>
        <v>0</v>
      </c>
      <c r="AL682" s="14" t="n">
        <f aca="false">AL681+IF((AJ682=1),IF((H682=1),1,0),0)</f>
        <v>0</v>
      </c>
      <c r="AM682" s="37" t="n">
        <f aca="false">IF(AK682=0,9999,IF($H682=0,IF($AJ682&lt;1,AM681+1,0),AM681))</f>
        <v>9999</v>
      </c>
      <c r="AN682" s="37" t="n">
        <f aca="false">IF(AL682=0,9999,IF($H682=1,IF($AJ682&lt;1,AN681+1,0),AN681))</f>
        <v>9999</v>
      </c>
      <c r="AO682" s="37" t="n">
        <f aca="false">IF($A682-AM682&gt;0,1/(1+AM682),0)</f>
        <v>0</v>
      </c>
      <c r="AP682" s="37" t="n">
        <f aca="false">IF($A682-AN682&gt;0,1/(1+AN682),0)</f>
        <v>0</v>
      </c>
      <c r="AQ682" s="7" t="n">
        <f aca="false">IF(AK682=0,0,MAX(MIN(1,AO682^Power),0))</f>
        <v>0</v>
      </c>
      <c r="AR682" s="7" t="n">
        <f aca="false">IF(AL682=0,0,MAX(MIN(1,AP682^Power),0))</f>
        <v>0</v>
      </c>
      <c r="AS682" s="7" t="n">
        <f aca="false">IF($AJ682=1,IF($H682=0,K682,AS681),AS681)</f>
        <v>0</v>
      </c>
      <c r="AT682" s="7" t="n">
        <f aca="false">IF($AJ682=1,IF($H682=1,N682,AT681),AT681)</f>
        <v>0</v>
      </c>
    </row>
    <row r="683" customFormat="false" ht="13" hidden="false" customHeight="false" outlineLevel="0" collapsed="false">
      <c r="A683" s="16" t="n">
        <v>666</v>
      </c>
      <c r="B683" s="37" t="n">
        <f aca="true">IF(RAND()&lt;$D$8,1,0)</f>
        <v>0</v>
      </c>
      <c r="C683" s="20" t="n">
        <f aca="true">-LN(RAND())/$D$2</f>
        <v>0.615875146107747</v>
      </c>
      <c r="D683" s="38" t="n">
        <f aca="false">D682+C683</f>
        <v>692.850416070739</v>
      </c>
      <c r="E683" s="39" t="n">
        <f aca="false">MAX($E$3,AS682)</f>
        <v>0</v>
      </c>
      <c r="F683" s="39" t="n">
        <f aca="false">MAX($E$3,AT682)</f>
        <v>0</v>
      </c>
      <c r="G683" s="40" t="n">
        <v>0.5</v>
      </c>
      <c r="H683" s="38" t="n">
        <f aca="true">IF((B683=1),(IF((F683&lt;E683),1,(IF((F683=E683),(IF(RAND()&lt;G683,1,0)),0)))),(IF((RAND()&lt;G683),1,0)))</f>
        <v>0</v>
      </c>
      <c r="I683" s="38" t="n">
        <f aca="true">IF((H683=1),0,$D$3+$D$5*(RAND()-0.5))</f>
        <v>1.92908781392512</v>
      </c>
      <c r="J683" s="38" t="n">
        <f aca="false">I683+MAX(D683,J682)</f>
        <v>705.68056745717</v>
      </c>
      <c r="K683" s="38" t="n">
        <f aca="false">IF((H683=0),J683-D683,0)</f>
        <v>12.8301513864318</v>
      </c>
      <c r="L683" s="38" t="n">
        <f aca="true">IF(($H683=0),0,$D$4+$D$5*(RAND()-0.5))</f>
        <v>0</v>
      </c>
      <c r="M683" s="38" t="n">
        <f aca="false">L683+MAX(D683,M682)</f>
        <v>748.466294653136</v>
      </c>
      <c r="N683" s="38" t="n">
        <f aca="false">IF((H683=1),M683-D683,0)</f>
        <v>0</v>
      </c>
      <c r="O683" s="16" t="n">
        <v>666</v>
      </c>
      <c r="P683" s="41" t="n">
        <f aca="false">IF((Arterial=0),P682+1,P682)</f>
        <v>306</v>
      </c>
      <c r="Q683" s="41" t="n">
        <f aca="false">IF((Arterial=1),Q682+1,Q682)</f>
        <v>360</v>
      </c>
      <c r="R683" s="42" t="e">
        <f aca="false">IF((RESET=1),0,R683+K683)</f>
        <v>#N/A</v>
      </c>
      <c r="S683" s="14" t="n">
        <f aca="false">IF(RESET=1,0,S683+N683)</f>
        <v>819.178895810908</v>
      </c>
      <c r="T683" s="2" t="e">
        <f aca="false">IF(RESET=1,0,T683+IF(H683=0,1,0))</f>
        <v>#N/A</v>
      </c>
      <c r="U683" s="2" t="n">
        <f aca="false">IF(RESET=1,0,U683+H683)</f>
        <v>41</v>
      </c>
      <c r="V683" s="14" t="e">
        <f aca="false">R683/(T683+0.00001)</f>
        <v>#N/A</v>
      </c>
      <c r="W683" s="14" t="n">
        <f aca="false">S683/(U683+0.0001)</f>
        <v>19.979924337036</v>
      </c>
      <c r="X683" s="39" t="n">
        <f aca="false">IF(Informed=1,K683,0)</f>
        <v>0</v>
      </c>
      <c r="Y683" s="39" t="n">
        <f aca="false">IF(Informed=0,K683,0)</f>
        <v>12.8301513864318</v>
      </c>
      <c r="Z683" s="39" t="n">
        <f aca="false">IF(Informed=1,N683,0)</f>
        <v>0</v>
      </c>
      <c r="AA683" s="39" t="n">
        <f aca="false">IF(Informed=0,N683,0)</f>
        <v>0</v>
      </c>
      <c r="AB683" s="43" t="n">
        <f aca="false">IF(Arterial=0,IF(Informed=1,1,0),0)</f>
        <v>0</v>
      </c>
      <c r="AC683" s="43" t="n">
        <f aca="false">IF(Arterial=0,IF(Informed=0,1,0),0)</f>
        <v>1</v>
      </c>
      <c r="AD683" s="43" t="n">
        <f aca="false">IF(Arterial=1,IF(Informed=1,1,0),0)</f>
        <v>0</v>
      </c>
      <c r="AE683" s="43" t="n">
        <f aca="false">IF(Arterial=1,IF(Informed=0,1,0),0)</f>
        <v>0</v>
      </c>
      <c r="AF683" s="35" t="n">
        <f aca="false">IF(AB683=1,(X683-G$1030)^2,0)</f>
        <v>0</v>
      </c>
      <c r="AG683" s="35" t="n">
        <f aca="false">IF(AC683=1,(Y683-H$1030)^2,0)</f>
        <v>3.63423184338917</v>
      </c>
      <c r="AH683" s="35" t="n">
        <f aca="false">IF(AD683=1,(Z683-I$1030)^2,0)</f>
        <v>0</v>
      </c>
      <c r="AI683" s="35" t="n">
        <f aca="false">IF(AE683=1,(AA683-J$1030)^2,0)</f>
        <v>0</v>
      </c>
      <c r="AJ683" s="37" t="n">
        <f aca="true">IF(RAND()&lt;$D$6,1,0)</f>
        <v>0</v>
      </c>
      <c r="AK683" s="14" t="n">
        <f aca="false">AK682+IF((AJ683=1),IF((H683=0),1,0),0)</f>
        <v>0</v>
      </c>
      <c r="AL683" s="14" t="n">
        <f aca="false">AL682+IF((AJ683=1),IF((H683=1),1,0),0)</f>
        <v>0</v>
      </c>
      <c r="AM683" s="37" t="n">
        <f aca="false">IF(AK683=0,9999,IF($H683=0,IF($AJ683&lt;1,AM682+1,0),AM682))</f>
        <v>9999</v>
      </c>
      <c r="AN683" s="37" t="n">
        <f aca="false">IF(AL683=0,9999,IF($H683=1,IF($AJ683&lt;1,AN682+1,0),AN682))</f>
        <v>9999</v>
      </c>
      <c r="AO683" s="37" t="n">
        <f aca="false">IF($A683-AM683&gt;0,1/(1+AM683),0)</f>
        <v>0</v>
      </c>
      <c r="AP683" s="37" t="n">
        <f aca="false">IF($A683-AN683&gt;0,1/(1+AN683),0)</f>
        <v>0</v>
      </c>
      <c r="AQ683" s="7" t="n">
        <f aca="false">IF(AK683=0,0,MAX(MIN(1,AO683^Power),0))</f>
        <v>0</v>
      </c>
      <c r="AR683" s="7" t="n">
        <f aca="false">IF(AL683=0,0,MAX(MIN(1,AP683^Power),0))</f>
        <v>0</v>
      </c>
      <c r="AS683" s="7" t="n">
        <f aca="false">IF($AJ683=1,IF($H683=0,K683,AS682),AS682)</f>
        <v>0</v>
      </c>
      <c r="AT683" s="7" t="n">
        <f aca="false">IF($AJ683=1,IF($H683=1,N683,AT682),AT682)</f>
        <v>0</v>
      </c>
    </row>
    <row r="684" customFormat="false" ht="13" hidden="false" customHeight="false" outlineLevel="0" collapsed="false">
      <c r="A684" s="16" t="n">
        <v>667</v>
      </c>
      <c r="B684" s="37" t="n">
        <f aca="true">IF(RAND()&lt;$D$8,1,0)</f>
        <v>0</v>
      </c>
      <c r="C684" s="20" t="n">
        <f aca="true">-LN(RAND())/$D$2</f>
        <v>0.948225305667854</v>
      </c>
      <c r="D684" s="38" t="n">
        <f aca="false">D683+C684</f>
        <v>693.798641376406</v>
      </c>
      <c r="E684" s="39" t="n">
        <f aca="false">MAX($E$3,AS683)</f>
        <v>0</v>
      </c>
      <c r="F684" s="39" t="n">
        <f aca="false">MAX($E$3,AT683)</f>
        <v>0</v>
      </c>
      <c r="G684" s="40" t="n">
        <v>0.5</v>
      </c>
      <c r="H684" s="38" t="n">
        <f aca="true">IF((B684=1),(IF((F684&lt;E684),1,(IF((F684=E684),(IF(RAND()&lt;G684,1,0)),0)))),(IF((RAND()&lt;G684),1,0)))</f>
        <v>0</v>
      </c>
      <c r="I684" s="38" t="n">
        <f aca="true">IF((H684=1),0,$D$3+$D$5*(RAND()-0.5))</f>
        <v>2.03639781709223</v>
      </c>
      <c r="J684" s="38" t="n">
        <f aca="false">I684+MAX(D684,J683)</f>
        <v>707.716965274263</v>
      </c>
      <c r="K684" s="38" t="n">
        <f aca="false">IF((H684=0),J684-D684,0)</f>
        <v>13.9183238978562</v>
      </c>
      <c r="L684" s="38" t="n">
        <f aca="true">IF(($H684=0),0,$D$4+$D$5*(RAND()-0.5))</f>
        <v>0</v>
      </c>
      <c r="M684" s="38" t="n">
        <f aca="false">L684+MAX(D684,M683)</f>
        <v>748.466294653136</v>
      </c>
      <c r="N684" s="38" t="n">
        <f aca="false">IF((H684=1),M684-D684,0)</f>
        <v>0</v>
      </c>
      <c r="O684" s="16" t="n">
        <v>667</v>
      </c>
      <c r="P684" s="41" t="n">
        <f aca="false">IF((Arterial=0),P683+1,P683)</f>
        <v>307</v>
      </c>
      <c r="Q684" s="41" t="n">
        <f aca="false">IF((Arterial=1),Q683+1,Q683)</f>
        <v>360</v>
      </c>
      <c r="R684" s="42" t="e">
        <f aca="false">IF((RESET=1),0,R684+K684)</f>
        <v>#N/A</v>
      </c>
      <c r="S684" s="14" t="n">
        <f aca="false">IF(RESET=1,0,S684+N684)</f>
        <v>790.271443943311</v>
      </c>
      <c r="T684" s="2" t="e">
        <f aca="false">IF(RESET=1,0,T684+IF(H684=0,1,0))</f>
        <v>#N/A</v>
      </c>
      <c r="U684" s="2" t="n">
        <f aca="false">IF(RESET=1,0,U684+H684)</f>
        <v>48</v>
      </c>
      <c r="V684" s="14" t="e">
        <f aca="false">R684/(T684+0.00001)</f>
        <v>#N/A</v>
      </c>
      <c r="W684" s="14" t="n">
        <f aca="false">S684/(U684+0.0001)</f>
        <v>16.4639541155812</v>
      </c>
      <c r="X684" s="39" t="n">
        <f aca="false">IF(Informed=1,K684,0)</f>
        <v>0</v>
      </c>
      <c r="Y684" s="39" t="n">
        <f aca="false">IF(Informed=0,K684,0)</f>
        <v>13.9183238978562</v>
      </c>
      <c r="Z684" s="39" t="n">
        <f aca="false">IF(Informed=1,N684,0)</f>
        <v>0</v>
      </c>
      <c r="AA684" s="39" t="n">
        <f aca="false">IF(Informed=0,N684,0)</f>
        <v>0</v>
      </c>
      <c r="AB684" s="43" t="n">
        <f aca="false">IF(Arterial=0,IF(Informed=1,1,0),0)</f>
        <v>0</v>
      </c>
      <c r="AC684" s="43" t="n">
        <f aca="false">IF(Arterial=0,IF(Informed=0,1,0),0)</f>
        <v>1</v>
      </c>
      <c r="AD684" s="43" t="n">
        <f aca="false">IF(Arterial=1,IF(Informed=1,1,0),0)</f>
        <v>0</v>
      </c>
      <c r="AE684" s="43" t="n">
        <f aca="false">IF(Arterial=1,IF(Informed=0,1,0),0)</f>
        <v>0</v>
      </c>
      <c r="AF684" s="35" t="n">
        <f aca="false">IF(AB684=1,(X684-G$1030)^2,0)</f>
        <v>0</v>
      </c>
      <c r="AG684" s="35" t="n">
        <f aca="false">IF(AC684=1,(Y684-H$1030)^2,0)</f>
        <v>8.96726170919317</v>
      </c>
      <c r="AH684" s="35" t="n">
        <f aca="false">IF(AD684=1,(Z684-I$1030)^2,0)</f>
        <v>0</v>
      </c>
      <c r="AI684" s="35" t="n">
        <f aca="false">IF(AE684=1,(AA684-J$1030)^2,0)</f>
        <v>0</v>
      </c>
      <c r="AJ684" s="37" t="n">
        <f aca="true">IF(RAND()&lt;$D$6,1,0)</f>
        <v>0</v>
      </c>
      <c r="AK684" s="14" t="n">
        <f aca="false">AK683+IF((AJ684=1),IF((H684=0),1,0),0)</f>
        <v>0</v>
      </c>
      <c r="AL684" s="14" t="n">
        <f aca="false">AL683+IF((AJ684=1),IF((H684=1),1,0),0)</f>
        <v>0</v>
      </c>
      <c r="AM684" s="37" t="n">
        <f aca="false">IF(AK684=0,9999,IF($H684=0,IF($AJ684&lt;1,AM683+1,0),AM683))</f>
        <v>9999</v>
      </c>
      <c r="AN684" s="37" t="n">
        <f aca="false">IF(AL684=0,9999,IF($H684=1,IF($AJ684&lt;1,AN683+1,0),AN683))</f>
        <v>9999</v>
      </c>
      <c r="AO684" s="37" t="n">
        <f aca="false">IF($A684-AM684&gt;0,1/(1+AM684),0)</f>
        <v>0</v>
      </c>
      <c r="AP684" s="37" t="n">
        <f aca="false">IF($A684-AN684&gt;0,1/(1+AN684),0)</f>
        <v>0</v>
      </c>
      <c r="AQ684" s="7" t="n">
        <f aca="false">IF(AK684=0,0,MAX(MIN(1,AO684^Power),0))</f>
        <v>0</v>
      </c>
      <c r="AR684" s="7" t="n">
        <f aca="false">IF(AL684=0,0,MAX(MIN(1,AP684^Power),0))</f>
        <v>0</v>
      </c>
      <c r="AS684" s="7" t="n">
        <f aca="false">IF($AJ684=1,IF($H684=0,K684,AS683),AS683)</f>
        <v>0</v>
      </c>
      <c r="AT684" s="7" t="n">
        <f aca="false">IF($AJ684=1,IF($H684=1,N684,AT683),AT683)</f>
        <v>0</v>
      </c>
    </row>
    <row r="685" customFormat="false" ht="13" hidden="false" customHeight="false" outlineLevel="0" collapsed="false">
      <c r="A685" s="16" t="n">
        <v>668</v>
      </c>
      <c r="B685" s="37" t="n">
        <f aca="true">IF(RAND()&lt;$D$8,1,0)</f>
        <v>0</v>
      </c>
      <c r="C685" s="20" t="n">
        <f aca="true">-LN(RAND())/$D$2</f>
        <v>0.738090781470614</v>
      </c>
      <c r="D685" s="38" t="n">
        <f aca="false">D684+C685</f>
        <v>694.536732157877</v>
      </c>
      <c r="E685" s="39" t="n">
        <f aca="false">MAX($E$3,AS684)</f>
        <v>0</v>
      </c>
      <c r="F685" s="39" t="n">
        <f aca="false">MAX($E$3,AT684)</f>
        <v>0</v>
      </c>
      <c r="G685" s="40" t="n">
        <v>0.5</v>
      </c>
      <c r="H685" s="38" t="n">
        <f aca="true">IF((B685=1),(IF((F685&lt;E685),1,(IF((F685=E685),(IF(RAND()&lt;G685,1,0)),0)))),(IF((RAND()&lt;G685),1,0)))</f>
        <v>0</v>
      </c>
      <c r="I685" s="38" t="n">
        <f aca="true">IF((H685=1),0,$D$3+$D$5*(RAND()-0.5))</f>
        <v>1.84706334572766</v>
      </c>
      <c r="J685" s="38" t="n">
        <f aca="false">I685+MAX(D685,J684)</f>
        <v>709.56402861999</v>
      </c>
      <c r="K685" s="38" t="n">
        <f aca="false">IF((H685=0),J685-D685,0)</f>
        <v>15.0272964621132</v>
      </c>
      <c r="L685" s="38" t="n">
        <f aca="true">IF(($H685=0),0,$D$4+$D$5*(RAND()-0.5))</f>
        <v>0</v>
      </c>
      <c r="M685" s="38" t="n">
        <f aca="false">L685+MAX(D685,M684)</f>
        <v>748.466294653136</v>
      </c>
      <c r="N685" s="38" t="n">
        <f aca="false">IF((H685=1),M685-D685,0)</f>
        <v>0</v>
      </c>
      <c r="O685" s="16" t="n">
        <v>668</v>
      </c>
      <c r="P685" s="41" t="n">
        <f aca="false">IF((Arterial=0),P684+1,P684)</f>
        <v>308</v>
      </c>
      <c r="Q685" s="41" t="n">
        <f aca="false">IF((Arterial=1),Q684+1,Q684)</f>
        <v>360</v>
      </c>
      <c r="R685" s="42" t="e">
        <f aca="false">IF((RESET=1),0,R685+K685)</f>
        <v>#N/A</v>
      </c>
      <c r="S685" s="14" t="n">
        <f aca="false">IF(RESET=1,0,S685+N685)</f>
        <v>739.171459258437</v>
      </c>
      <c r="T685" s="2" t="e">
        <f aca="false">IF(RESET=1,0,T685+IF(H685=0,1,0))</f>
        <v>#N/A</v>
      </c>
      <c r="U685" s="2" t="n">
        <f aca="false">IF(RESET=1,0,U685+H685)</f>
        <v>43</v>
      </c>
      <c r="V685" s="14" t="e">
        <f aca="false">R685/(T685+0.00001)</f>
        <v>#N/A</v>
      </c>
      <c r="W685" s="14" t="n">
        <f aca="false">S685/(U685+0.0001)</f>
        <v>17.1899939595126</v>
      </c>
      <c r="X685" s="39" t="n">
        <f aca="false">IF(Informed=1,K685,0)</f>
        <v>0</v>
      </c>
      <c r="Y685" s="39" t="n">
        <f aca="false">IF(Informed=0,K685,0)</f>
        <v>15.0272964621132</v>
      </c>
      <c r="Z685" s="39" t="n">
        <f aca="false">IF(Informed=1,N685,0)</f>
        <v>0</v>
      </c>
      <c r="AA685" s="39" t="n">
        <f aca="false">IF(Informed=0,N685,0)</f>
        <v>0</v>
      </c>
      <c r="AB685" s="43" t="n">
        <f aca="false">IF(Arterial=0,IF(Informed=1,1,0),0)</f>
        <v>0</v>
      </c>
      <c r="AC685" s="43" t="n">
        <f aca="false">IF(Arterial=0,IF(Informed=0,1,0),0)</f>
        <v>1</v>
      </c>
      <c r="AD685" s="43" t="n">
        <f aca="false">IF(Arterial=1,IF(Informed=1,1,0),0)</f>
        <v>0</v>
      </c>
      <c r="AE685" s="43" t="n">
        <f aca="false">IF(Arterial=1,IF(Informed=0,1,0),0)</f>
        <v>0</v>
      </c>
      <c r="AF685" s="35" t="n">
        <f aca="false">IF(AB685=1,(X685-G$1030)^2,0)</f>
        <v>0</v>
      </c>
      <c r="AG685" s="35" t="n">
        <f aca="false">IF(AC685=1,(Y685-H$1030)^2,0)</f>
        <v>16.8388042620308</v>
      </c>
      <c r="AH685" s="35" t="n">
        <f aca="false">IF(AD685=1,(Z685-I$1030)^2,0)</f>
        <v>0</v>
      </c>
      <c r="AI685" s="35" t="n">
        <f aca="false">IF(AE685=1,(AA685-J$1030)^2,0)</f>
        <v>0</v>
      </c>
      <c r="AJ685" s="37" t="n">
        <f aca="true">IF(RAND()&lt;$D$6,1,0)</f>
        <v>0</v>
      </c>
      <c r="AK685" s="14" t="n">
        <f aca="false">AK684+IF((AJ685=1),IF((H685=0),1,0),0)</f>
        <v>0</v>
      </c>
      <c r="AL685" s="14" t="n">
        <f aca="false">AL684+IF((AJ685=1),IF((H685=1),1,0),0)</f>
        <v>0</v>
      </c>
      <c r="AM685" s="37" t="n">
        <f aca="false">IF(AK685=0,9999,IF($H685=0,IF($AJ685&lt;1,AM684+1,0),AM684))</f>
        <v>9999</v>
      </c>
      <c r="AN685" s="37" t="n">
        <f aca="false">IF(AL685=0,9999,IF($H685=1,IF($AJ685&lt;1,AN684+1,0),AN684))</f>
        <v>9999</v>
      </c>
      <c r="AO685" s="37" t="n">
        <f aca="false">IF($A685-AM685&gt;0,1/(1+AM685),0)</f>
        <v>0</v>
      </c>
      <c r="AP685" s="37" t="n">
        <f aca="false">IF($A685-AN685&gt;0,1/(1+AN685),0)</f>
        <v>0</v>
      </c>
      <c r="AQ685" s="7" t="n">
        <f aca="false">IF(AK685=0,0,MAX(MIN(1,AO685^Power),0))</f>
        <v>0</v>
      </c>
      <c r="AR685" s="7" t="n">
        <f aca="false">IF(AL685=0,0,MAX(MIN(1,AP685^Power),0))</f>
        <v>0</v>
      </c>
      <c r="AS685" s="7" t="n">
        <f aca="false">IF($AJ685=1,IF($H685=0,K685,AS684),AS684)</f>
        <v>0</v>
      </c>
      <c r="AT685" s="7" t="n">
        <f aca="false">IF($AJ685=1,IF($H685=1,N685,AT684),AT684)</f>
        <v>0</v>
      </c>
    </row>
    <row r="686" customFormat="false" ht="13" hidden="false" customHeight="false" outlineLevel="0" collapsed="false">
      <c r="A686" s="16" t="n">
        <v>669</v>
      </c>
      <c r="B686" s="37" t="n">
        <f aca="true">IF(RAND()&lt;$D$8,1,0)</f>
        <v>1</v>
      </c>
      <c r="C686" s="20" t="n">
        <f aca="true">-LN(RAND())/$D$2</f>
        <v>2.21098398975379</v>
      </c>
      <c r="D686" s="38" t="n">
        <f aca="false">D685+C686</f>
        <v>696.747716147631</v>
      </c>
      <c r="E686" s="39" t="n">
        <f aca="false">MAX($E$3,AS685)</f>
        <v>0</v>
      </c>
      <c r="F686" s="39" t="n">
        <f aca="false">MAX($E$3,AT685)</f>
        <v>0</v>
      </c>
      <c r="G686" s="40" t="n">
        <v>0.5</v>
      </c>
      <c r="H686" s="38" t="n">
        <f aca="true">IF((B686=1),(IF((F686&lt;E686),1,(IF((F686=E686),(IF(RAND()&lt;G686,1,0)),0)))),(IF((RAND()&lt;G686),1,0)))</f>
        <v>1</v>
      </c>
      <c r="I686" s="38" t="n">
        <f aca="true">IF((H686=1),0,$D$3+$D$5*(RAND()-0.5))</f>
        <v>0</v>
      </c>
      <c r="J686" s="38" t="n">
        <f aca="false">I686+MAX(D686,J685)</f>
        <v>709.56402861999</v>
      </c>
      <c r="K686" s="38" t="n">
        <f aca="false">IF((H686=0),J686-D686,0)</f>
        <v>0</v>
      </c>
      <c r="L686" s="38" t="n">
        <f aca="true">IF(($H686=0),0,$D$4+$D$5*(RAND()-0.5))</f>
        <v>1.75495905884896</v>
      </c>
      <c r="M686" s="38" t="n">
        <f aca="false">L686+MAX(D686,M685)</f>
        <v>750.221253711985</v>
      </c>
      <c r="N686" s="38" t="n">
        <f aca="false">IF((H686=1),M686-D686,0)</f>
        <v>53.4735375643537</v>
      </c>
      <c r="O686" s="16" t="n">
        <v>669</v>
      </c>
      <c r="P686" s="41" t="n">
        <f aca="false">IF((Arterial=0),P685+1,P685)</f>
        <v>308</v>
      </c>
      <c r="Q686" s="41" t="n">
        <f aca="false">IF((Arterial=1),Q685+1,Q685)</f>
        <v>361</v>
      </c>
      <c r="R686" s="42" t="n">
        <f aca="false">IF((RESET=1),0,R686+K686)</f>
        <v>877.877073617216</v>
      </c>
      <c r="S686" s="14" t="e">
        <f aca="false">IF(RESET=1,0,S686+N686)</f>
        <v>#N/A</v>
      </c>
      <c r="T686" s="2" t="n">
        <f aca="false">IF(RESET=1,0,T686+IF(H686=0,1,0))</f>
        <v>37</v>
      </c>
      <c r="U686" s="2" t="e">
        <f aca="false">IF(RESET=1,0,U686+H686)</f>
        <v>#N/A</v>
      </c>
      <c r="V686" s="14" t="n">
        <f aca="false">R686/(T686+0.00001)</f>
        <v>23.7264009825191</v>
      </c>
      <c r="W686" s="14" t="e">
        <f aca="false">S686/(U686+0.0001)</f>
        <v>#N/A</v>
      </c>
      <c r="X686" s="39" t="n">
        <f aca="false">IF(Informed=1,K686,0)</f>
        <v>0</v>
      </c>
      <c r="Y686" s="39" t="n">
        <f aca="false">IF(Informed=0,K686,0)</f>
        <v>0</v>
      </c>
      <c r="Z686" s="39" t="n">
        <f aca="false">IF(Informed=1,N686,0)</f>
        <v>53.4735375643537</v>
      </c>
      <c r="AA686" s="39" t="n">
        <f aca="false">IF(Informed=0,N686,0)</f>
        <v>0</v>
      </c>
      <c r="AB686" s="43" t="n">
        <f aca="false">IF(Arterial=0,IF(Informed=1,1,0),0)</f>
        <v>0</v>
      </c>
      <c r="AC686" s="43" t="n">
        <f aca="false">IF(Arterial=0,IF(Informed=0,1,0),0)</f>
        <v>0</v>
      </c>
      <c r="AD686" s="43" t="n">
        <f aca="false">IF(Arterial=1,IF(Informed=1,1,0),0)</f>
        <v>1</v>
      </c>
      <c r="AE686" s="43" t="n">
        <f aca="false">IF(Arterial=1,IF(Informed=0,1,0),0)</f>
        <v>0</v>
      </c>
      <c r="AF686" s="35" t="n">
        <f aca="false">IF(AB686=1,(X686-G$1030)^2,0)</f>
        <v>0</v>
      </c>
      <c r="AG686" s="35" t="n">
        <f aca="false">IF(AC686=1,(Y686-H$1030)^2,0)</f>
        <v>0</v>
      </c>
      <c r="AH686" s="35" t="n">
        <f aca="false">IF(AD686=1,(Z686-I$1030)^2,0)</f>
        <v>629.94488079291</v>
      </c>
      <c r="AI686" s="35" t="n">
        <f aca="false">IF(AE686=1,(AA686-J$1030)^2,0)</f>
        <v>0</v>
      </c>
      <c r="AJ686" s="37" t="n">
        <f aca="true">IF(RAND()&lt;$D$6,1,0)</f>
        <v>0</v>
      </c>
      <c r="AK686" s="14" t="n">
        <f aca="false">AK685+IF((AJ686=1),IF((H686=0),1,0),0)</f>
        <v>0</v>
      </c>
      <c r="AL686" s="14" t="n">
        <f aca="false">AL685+IF((AJ686=1),IF((H686=1),1,0),0)</f>
        <v>0</v>
      </c>
      <c r="AM686" s="37" t="n">
        <f aca="false">IF(AK686=0,9999,IF($H686=0,IF($AJ686&lt;1,AM685+1,0),AM685))</f>
        <v>9999</v>
      </c>
      <c r="AN686" s="37" t="n">
        <f aca="false">IF(AL686=0,9999,IF($H686=1,IF($AJ686&lt;1,AN685+1,0),AN685))</f>
        <v>9999</v>
      </c>
      <c r="AO686" s="37" t="n">
        <f aca="false">IF($A686-AM686&gt;0,1/(1+AM686),0)</f>
        <v>0</v>
      </c>
      <c r="AP686" s="37" t="n">
        <f aca="false">IF($A686-AN686&gt;0,1/(1+AN686),0)</f>
        <v>0</v>
      </c>
      <c r="AQ686" s="7" t="n">
        <f aca="false">IF(AK686=0,0,MAX(MIN(1,AO686^Power),0))</f>
        <v>0</v>
      </c>
      <c r="AR686" s="7" t="n">
        <f aca="false">IF(AL686=0,0,MAX(MIN(1,AP686^Power),0))</f>
        <v>0</v>
      </c>
      <c r="AS686" s="7" t="n">
        <f aca="false">IF($AJ686=1,IF($H686=0,K686,AS685),AS685)</f>
        <v>0</v>
      </c>
      <c r="AT686" s="7" t="n">
        <f aca="false">IF($AJ686=1,IF($H686=1,N686,AT685),AT685)</f>
        <v>0</v>
      </c>
    </row>
    <row r="687" customFormat="false" ht="13" hidden="false" customHeight="false" outlineLevel="0" collapsed="false">
      <c r="A687" s="16" t="n">
        <v>670</v>
      </c>
      <c r="B687" s="37" t="n">
        <f aca="true">IF(RAND()&lt;$D$8,1,0)</f>
        <v>0</v>
      </c>
      <c r="C687" s="20" t="n">
        <f aca="true">-LN(RAND())/$D$2</f>
        <v>0.304904568219429</v>
      </c>
      <c r="D687" s="38" t="n">
        <f aca="false">D686+C687</f>
        <v>697.05262071585</v>
      </c>
      <c r="E687" s="39" t="n">
        <f aca="false">MAX($E$3,AS686)</f>
        <v>0</v>
      </c>
      <c r="F687" s="39" t="n">
        <f aca="false">MAX($E$3,AT686)</f>
        <v>0</v>
      </c>
      <c r="G687" s="40" t="n">
        <v>0.5</v>
      </c>
      <c r="H687" s="38" t="n">
        <f aca="true">IF((B687=1),(IF((F687&lt;E687),1,(IF((F687=E687),(IF(RAND()&lt;G687,1,0)),0)))),(IF((RAND()&lt;G687),1,0)))</f>
        <v>1</v>
      </c>
      <c r="I687" s="38" t="n">
        <f aca="true">IF((H687=1),0,$D$3+$D$5*(RAND()-0.5))</f>
        <v>0</v>
      </c>
      <c r="J687" s="38" t="n">
        <f aca="false">I687+MAX(D687,J686)</f>
        <v>709.56402861999</v>
      </c>
      <c r="K687" s="38" t="n">
        <f aca="false">IF((H687=0),J687-D687,0)</f>
        <v>0</v>
      </c>
      <c r="L687" s="38" t="n">
        <f aca="true">IF(($H687=0),0,$D$4+$D$5*(RAND()-0.5))</f>
        <v>1.84612125628158</v>
      </c>
      <c r="M687" s="38" t="n">
        <f aca="false">L687+MAX(D687,M686)</f>
        <v>752.067374968266</v>
      </c>
      <c r="N687" s="38" t="n">
        <f aca="false">IF((H687=1),M687-D687,0)</f>
        <v>55.0147542524159</v>
      </c>
      <c r="O687" s="16" t="n">
        <v>670</v>
      </c>
      <c r="P687" s="41" t="n">
        <f aca="false">IF((Arterial=0),P686+1,P686)</f>
        <v>308</v>
      </c>
      <c r="Q687" s="41" t="n">
        <f aca="false">IF((Arterial=1),Q686+1,Q686)</f>
        <v>362</v>
      </c>
      <c r="R687" s="42" t="n">
        <f aca="false">IF((RESET=1),0,R687+K687)</f>
        <v>937.189603667661</v>
      </c>
      <c r="S687" s="14" t="e">
        <f aca="false">IF(RESET=1,0,S687+N687)</f>
        <v>#N/A</v>
      </c>
      <c r="T687" s="2" t="n">
        <f aca="false">IF(RESET=1,0,T687+IF(H687=0,1,0))</f>
        <v>48</v>
      </c>
      <c r="U687" s="2" t="e">
        <f aca="false">IF(RESET=1,0,U687+H687)</f>
        <v>#N/A</v>
      </c>
      <c r="V687" s="14" t="n">
        <f aca="false">R687/(T687+0.00001)</f>
        <v>19.5247793420806</v>
      </c>
      <c r="W687" s="14" t="e">
        <f aca="false">S687/(U687+0.0001)</f>
        <v>#N/A</v>
      </c>
      <c r="X687" s="39" t="n">
        <f aca="false">IF(Informed=1,K687,0)</f>
        <v>0</v>
      </c>
      <c r="Y687" s="39" t="n">
        <f aca="false">IF(Informed=0,K687,0)</f>
        <v>0</v>
      </c>
      <c r="Z687" s="39" t="n">
        <f aca="false">IF(Informed=1,N687,0)</f>
        <v>0</v>
      </c>
      <c r="AA687" s="39" t="n">
        <f aca="false">IF(Informed=0,N687,0)</f>
        <v>55.0147542524159</v>
      </c>
      <c r="AB687" s="43" t="n">
        <f aca="false">IF(Arterial=0,IF(Informed=1,1,0),0)</f>
        <v>0</v>
      </c>
      <c r="AC687" s="43" t="n">
        <f aca="false">IF(Arterial=0,IF(Informed=0,1,0),0)</f>
        <v>0</v>
      </c>
      <c r="AD687" s="43" t="n">
        <f aca="false">IF(Arterial=1,IF(Informed=1,1,0),0)</f>
        <v>0</v>
      </c>
      <c r="AE687" s="43" t="n">
        <f aca="false">IF(Arterial=1,IF(Informed=0,1,0),0)</f>
        <v>1</v>
      </c>
      <c r="AF687" s="35" t="n">
        <f aca="false">IF(AB687=1,(X687-G$1030)^2,0)</f>
        <v>0</v>
      </c>
      <c r="AG687" s="35" t="n">
        <f aca="false">IF(AC687=1,(Y687-H$1030)^2,0)</f>
        <v>0</v>
      </c>
      <c r="AH687" s="35" t="n">
        <f aca="false">IF(AD687=1,(Z687-I$1030)^2,0)</f>
        <v>0</v>
      </c>
      <c r="AI687" s="35" t="n">
        <f aca="false">IF(AE687=1,(AA687-J$1030)^2,0)</f>
        <v>647.726894675686</v>
      </c>
      <c r="AJ687" s="37" t="n">
        <f aca="true">IF(RAND()&lt;$D$6,1,0)</f>
        <v>0</v>
      </c>
      <c r="AK687" s="14" t="n">
        <f aca="false">AK686+IF((AJ687=1),IF((H687=0),1,0),0)</f>
        <v>0</v>
      </c>
      <c r="AL687" s="14" t="n">
        <f aca="false">AL686+IF((AJ687=1),IF((H687=1),1,0),0)</f>
        <v>0</v>
      </c>
      <c r="AM687" s="37" t="n">
        <f aca="false">IF(AK687=0,9999,IF($H687=0,IF($AJ687&lt;1,AM686+1,0),AM686))</f>
        <v>9999</v>
      </c>
      <c r="AN687" s="37" t="n">
        <f aca="false">IF(AL687=0,9999,IF($H687=1,IF($AJ687&lt;1,AN686+1,0),AN686))</f>
        <v>9999</v>
      </c>
      <c r="AO687" s="37" t="n">
        <f aca="false">IF($A687-AM687&gt;0,1/(1+AM687),0)</f>
        <v>0</v>
      </c>
      <c r="AP687" s="37" t="n">
        <f aca="false">IF($A687-AN687&gt;0,1/(1+AN687),0)</f>
        <v>0</v>
      </c>
      <c r="AQ687" s="7" t="n">
        <f aca="false">IF(AK687=0,0,MAX(MIN(1,AO687^Power),0))</f>
        <v>0</v>
      </c>
      <c r="AR687" s="7" t="n">
        <f aca="false">IF(AL687=0,0,MAX(MIN(1,AP687^Power),0))</f>
        <v>0</v>
      </c>
      <c r="AS687" s="7" t="n">
        <f aca="false">IF($AJ687=1,IF($H687=0,K687,AS686),AS686)</f>
        <v>0</v>
      </c>
      <c r="AT687" s="7" t="n">
        <f aca="false">IF($AJ687=1,IF($H687=1,N687,AT686),AT686)</f>
        <v>0</v>
      </c>
    </row>
    <row r="688" customFormat="false" ht="13" hidden="false" customHeight="false" outlineLevel="0" collapsed="false">
      <c r="A688" s="16" t="n">
        <v>671</v>
      </c>
      <c r="B688" s="37" t="n">
        <f aca="true">IF(RAND()&lt;$D$8,1,0)</f>
        <v>0</v>
      </c>
      <c r="C688" s="20" t="n">
        <f aca="true">-LN(RAND())/$D$2</f>
        <v>0.970762174709459</v>
      </c>
      <c r="D688" s="38" t="n">
        <f aca="false">D687+C688</f>
        <v>698.02338289056</v>
      </c>
      <c r="E688" s="39" t="n">
        <f aca="false">MAX($E$3,AS687)</f>
        <v>0</v>
      </c>
      <c r="F688" s="39" t="n">
        <f aca="false">MAX($E$3,AT687)</f>
        <v>0</v>
      </c>
      <c r="G688" s="40" t="n">
        <v>0.5</v>
      </c>
      <c r="H688" s="38" t="n">
        <f aca="true">IF((B688=1),(IF((F688&lt;E688),1,(IF((F688=E688),(IF(RAND()&lt;G688,1,0)),0)))),(IF((RAND()&lt;G688),1,0)))</f>
        <v>1</v>
      </c>
      <c r="I688" s="38" t="n">
        <f aca="true">IF((H688=1),0,$D$3+$D$5*(RAND()-0.5))</f>
        <v>0</v>
      </c>
      <c r="J688" s="38" t="n">
        <f aca="false">I688+MAX(D688,J687)</f>
        <v>709.56402861999</v>
      </c>
      <c r="K688" s="38" t="n">
        <f aca="false">IF((H688=0),J688-D688,0)</f>
        <v>0</v>
      </c>
      <c r="L688" s="38" t="n">
        <f aca="true">IF(($H688=0),0,$D$4+$D$5*(RAND()-0.5))</f>
        <v>2.02642587964829</v>
      </c>
      <c r="M688" s="38" t="n">
        <f aca="false">L688+MAX(D688,M687)</f>
        <v>754.093800847914</v>
      </c>
      <c r="N688" s="38" t="n">
        <f aca="false">IF((H688=1),M688-D688,0)</f>
        <v>56.0704179573547</v>
      </c>
      <c r="O688" s="16" t="n">
        <v>671</v>
      </c>
      <c r="P688" s="41" t="n">
        <f aca="false">IF((Arterial=0),P687+1,P687)</f>
        <v>308</v>
      </c>
      <c r="Q688" s="41" t="n">
        <f aca="false">IF((Arterial=1),Q687+1,Q687)</f>
        <v>363</v>
      </c>
      <c r="R688" s="42" t="n">
        <f aca="false">IF((RESET=1),0,R688+K688)</f>
        <v>936.948776847204</v>
      </c>
      <c r="S688" s="14" t="e">
        <f aca="false">IF(RESET=1,0,S688+N688)</f>
        <v>#N/A</v>
      </c>
      <c r="T688" s="2" t="n">
        <f aca="false">IF(RESET=1,0,T688+IF(H688=0,1,0))</f>
        <v>39</v>
      </c>
      <c r="U688" s="2" t="e">
        <f aca="false">IF(RESET=1,0,U688+H688)</f>
        <v>#N/A</v>
      </c>
      <c r="V688" s="14" t="n">
        <f aca="false">R688/(T688+0.00001)</f>
        <v>24.0243214513843</v>
      </c>
      <c r="W688" s="14" t="e">
        <f aca="false">S688/(U688+0.0001)</f>
        <v>#N/A</v>
      </c>
      <c r="X688" s="39" t="n">
        <f aca="false">IF(Informed=1,K688,0)</f>
        <v>0</v>
      </c>
      <c r="Y688" s="39" t="n">
        <f aca="false">IF(Informed=0,K688,0)</f>
        <v>0</v>
      </c>
      <c r="Z688" s="39" t="n">
        <f aca="false">IF(Informed=1,N688,0)</f>
        <v>0</v>
      </c>
      <c r="AA688" s="39" t="n">
        <f aca="false">IF(Informed=0,N688,0)</f>
        <v>56.0704179573547</v>
      </c>
      <c r="AB688" s="43" t="n">
        <f aca="false">IF(Arterial=0,IF(Informed=1,1,0),0)</f>
        <v>0</v>
      </c>
      <c r="AC688" s="43" t="n">
        <f aca="false">IF(Arterial=0,IF(Informed=0,1,0),0)</f>
        <v>0</v>
      </c>
      <c r="AD688" s="43" t="n">
        <f aca="false">IF(Arterial=1,IF(Informed=1,1,0),0)</f>
        <v>0</v>
      </c>
      <c r="AE688" s="43" t="n">
        <f aca="false">IF(Arterial=1,IF(Informed=0,1,0),0)</f>
        <v>1</v>
      </c>
      <c r="AF688" s="35" t="n">
        <f aca="false">IF(AB688=1,(X688-G$1030)^2,0)</f>
        <v>0</v>
      </c>
      <c r="AG688" s="35" t="n">
        <f aca="false">IF(AC688=1,(Y688-H$1030)^2,0)</f>
        <v>0</v>
      </c>
      <c r="AH688" s="35" t="n">
        <f aca="false">IF(AD688=1,(Z688-I$1030)^2,0)</f>
        <v>0</v>
      </c>
      <c r="AI688" s="35" t="n">
        <f aca="false">IF(AE688=1,(AA688-J$1030)^2,0)</f>
        <v>702.57561499442</v>
      </c>
      <c r="AJ688" s="37" t="n">
        <f aca="true">IF(RAND()&lt;$D$6,1,0)</f>
        <v>0</v>
      </c>
      <c r="AK688" s="14" t="n">
        <f aca="false">AK687+IF((AJ688=1),IF((H688=0),1,0),0)</f>
        <v>0</v>
      </c>
      <c r="AL688" s="14" t="n">
        <f aca="false">AL687+IF((AJ688=1),IF((H688=1),1,0),0)</f>
        <v>0</v>
      </c>
      <c r="AM688" s="37" t="n">
        <f aca="false">IF(AK688=0,9999,IF($H688=0,IF($AJ688&lt;1,AM687+1,0),AM687))</f>
        <v>9999</v>
      </c>
      <c r="AN688" s="37" t="n">
        <f aca="false">IF(AL688=0,9999,IF($H688=1,IF($AJ688&lt;1,AN687+1,0),AN687))</f>
        <v>9999</v>
      </c>
      <c r="AO688" s="37" t="n">
        <f aca="false">IF($A688-AM688&gt;0,1/(1+AM688),0)</f>
        <v>0</v>
      </c>
      <c r="AP688" s="37" t="n">
        <f aca="false">IF($A688-AN688&gt;0,1/(1+AN688),0)</f>
        <v>0</v>
      </c>
      <c r="AQ688" s="7" t="n">
        <f aca="false">IF(AK688=0,0,MAX(MIN(1,AO688^Power),0))</f>
        <v>0</v>
      </c>
      <c r="AR688" s="7" t="n">
        <f aca="false">IF(AL688=0,0,MAX(MIN(1,AP688^Power),0))</f>
        <v>0</v>
      </c>
      <c r="AS688" s="7" t="n">
        <f aca="false">IF($AJ688=1,IF($H688=0,K688,AS687),AS687)</f>
        <v>0</v>
      </c>
      <c r="AT688" s="7" t="n">
        <f aca="false">IF($AJ688=1,IF($H688=1,N688,AT687),AT687)</f>
        <v>0</v>
      </c>
    </row>
    <row r="689" customFormat="false" ht="13" hidden="false" customHeight="false" outlineLevel="0" collapsed="false">
      <c r="A689" s="16" t="n">
        <v>672</v>
      </c>
      <c r="B689" s="37" t="n">
        <f aca="true">IF(RAND()&lt;$D$8,1,0)</f>
        <v>0</v>
      </c>
      <c r="C689" s="20" t="n">
        <f aca="true">-LN(RAND())/$D$2</f>
        <v>0.0959007469257366</v>
      </c>
      <c r="D689" s="38" t="n">
        <f aca="false">D688+C689</f>
        <v>698.119283637485</v>
      </c>
      <c r="E689" s="39" t="n">
        <f aca="false">MAX($E$3,AS688)</f>
        <v>0</v>
      </c>
      <c r="F689" s="39" t="n">
        <f aca="false">MAX($E$3,AT688)</f>
        <v>0</v>
      </c>
      <c r="G689" s="40" t="n">
        <v>0.5</v>
      </c>
      <c r="H689" s="38" t="n">
        <f aca="true">IF((B689=1),(IF((F689&lt;E689),1,(IF((F689=E689),(IF(RAND()&lt;G689,1,0)),0)))),(IF((RAND()&lt;G689),1,0)))</f>
        <v>1</v>
      </c>
      <c r="I689" s="38" t="n">
        <f aca="true">IF((H689=1),0,$D$3+$D$5*(RAND()-0.5))</f>
        <v>0</v>
      </c>
      <c r="J689" s="38" t="n">
        <f aca="false">I689+MAX(D689,J688)</f>
        <v>709.56402861999</v>
      </c>
      <c r="K689" s="38" t="n">
        <f aca="false">IF((H689=0),J689-D689,0)</f>
        <v>0</v>
      </c>
      <c r="L689" s="38" t="n">
        <f aca="true">IF(($H689=0),0,$D$4+$D$5*(RAND()-0.5))</f>
        <v>1.929408754818</v>
      </c>
      <c r="M689" s="38" t="n">
        <f aca="false">L689+MAX(D689,M688)</f>
        <v>756.023209602732</v>
      </c>
      <c r="N689" s="38" t="n">
        <f aca="false">IF((H689=1),M689-D689,0)</f>
        <v>57.903925965247</v>
      </c>
      <c r="O689" s="16" t="n">
        <v>672</v>
      </c>
      <c r="P689" s="41" t="n">
        <f aca="false">IF((Arterial=0),P688+1,P688)</f>
        <v>308</v>
      </c>
      <c r="Q689" s="41" t="n">
        <f aca="false">IF((Arterial=1),Q688+1,Q688)</f>
        <v>364</v>
      </c>
      <c r="R689" s="42" t="n">
        <f aca="false">IF((RESET=1),0,R689+K689)</f>
        <v>875.798008736396</v>
      </c>
      <c r="S689" s="14" t="e">
        <f aca="false">IF(RESET=1,0,S689+N689)</f>
        <v>#N/A</v>
      </c>
      <c r="T689" s="2" t="n">
        <f aca="false">IF(RESET=1,0,T689+IF(H689=0,1,0))</f>
        <v>37</v>
      </c>
      <c r="U689" s="2" t="e">
        <f aca="false">IF(RESET=1,0,U689+H689)</f>
        <v>#N/A</v>
      </c>
      <c r="V689" s="14" t="n">
        <f aca="false">R689/(T689+0.00001)</f>
        <v>23.670210054981</v>
      </c>
      <c r="W689" s="14" t="e">
        <f aca="false">S689/(U689+0.0001)</f>
        <v>#N/A</v>
      </c>
      <c r="X689" s="39" t="n">
        <f aca="false">IF(Informed=1,K689,0)</f>
        <v>0</v>
      </c>
      <c r="Y689" s="39" t="n">
        <f aca="false">IF(Informed=0,K689,0)</f>
        <v>0</v>
      </c>
      <c r="Z689" s="39" t="n">
        <f aca="false">IF(Informed=1,N689,0)</f>
        <v>0</v>
      </c>
      <c r="AA689" s="39" t="n">
        <f aca="false">IF(Informed=0,N689,0)</f>
        <v>57.903925965247</v>
      </c>
      <c r="AB689" s="43" t="n">
        <f aca="false">IF(Arterial=0,IF(Informed=1,1,0),0)</f>
        <v>0</v>
      </c>
      <c r="AC689" s="43" t="n">
        <f aca="false">IF(Arterial=0,IF(Informed=0,1,0),0)</f>
        <v>0</v>
      </c>
      <c r="AD689" s="43" t="n">
        <f aca="false">IF(Arterial=1,IF(Informed=1,1,0),0)</f>
        <v>0</v>
      </c>
      <c r="AE689" s="43" t="n">
        <f aca="false">IF(Arterial=1,IF(Informed=0,1,0),0)</f>
        <v>1</v>
      </c>
      <c r="AF689" s="35" t="n">
        <f aca="false">IF(AB689=1,(X689-G$1030)^2,0)</f>
        <v>0</v>
      </c>
      <c r="AG689" s="35" t="n">
        <f aca="false">IF(AC689=1,(Y689-H$1030)^2,0)</f>
        <v>0</v>
      </c>
      <c r="AH689" s="35" t="n">
        <f aca="false">IF(AD689=1,(Z689-I$1030)^2,0)</f>
        <v>0</v>
      </c>
      <c r="AI689" s="35" t="n">
        <f aca="false">IF(AE689=1,(AA689-J$1030)^2,0)</f>
        <v>803.135817386601</v>
      </c>
      <c r="AJ689" s="37" t="n">
        <f aca="true">IF(RAND()&lt;$D$6,1,0)</f>
        <v>0</v>
      </c>
      <c r="AK689" s="14" t="n">
        <f aca="false">AK688+IF((AJ689=1),IF((H689=0),1,0),0)</f>
        <v>0</v>
      </c>
      <c r="AL689" s="14" t="n">
        <f aca="false">AL688+IF((AJ689=1),IF((H689=1),1,0),0)</f>
        <v>0</v>
      </c>
      <c r="AM689" s="37" t="n">
        <f aca="false">IF(AK689=0,9999,IF($H689=0,IF($AJ689&lt;1,AM688+1,0),AM688))</f>
        <v>9999</v>
      </c>
      <c r="AN689" s="37" t="n">
        <f aca="false">IF(AL689=0,9999,IF($H689=1,IF($AJ689&lt;1,AN688+1,0),AN688))</f>
        <v>9999</v>
      </c>
      <c r="AO689" s="37" t="n">
        <f aca="false">IF($A689-AM689&gt;0,1/(1+AM689),0)</f>
        <v>0</v>
      </c>
      <c r="AP689" s="37" t="n">
        <f aca="false">IF($A689-AN689&gt;0,1/(1+AN689),0)</f>
        <v>0</v>
      </c>
      <c r="AQ689" s="7" t="n">
        <f aca="false">IF(AK689=0,0,MAX(MIN(1,AO689^Power),0))</f>
        <v>0</v>
      </c>
      <c r="AR689" s="7" t="n">
        <f aca="false">IF(AL689=0,0,MAX(MIN(1,AP689^Power),0))</f>
        <v>0</v>
      </c>
      <c r="AS689" s="7" t="n">
        <f aca="false">IF($AJ689=1,IF($H689=0,K689,AS688),AS688)</f>
        <v>0</v>
      </c>
      <c r="AT689" s="7" t="n">
        <f aca="false">IF($AJ689=1,IF($H689=1,N689,AT688),AT688)</f>
        <v>0</v>
      </c>
    </row>
    <row r="690" customFormat="false" ht="13" hidden="false" customHeight="false" outlineLevel="0" collapsed="false">
      <c r="A690" s="16" t="n">
        <v>673</v>
      </c>
      <c r="B690" s="37" t="n">
        <f aca="true">IF(RAND()&lt;$D$8,1,0)</f>
        <v>1</v>
      </c>
      <c r="C690" s="20" t="n">
        <f aca="true">-LN(RAND())/$D$2</f>
        <v>0.0536942613269222</v>
      </c>
      <c r="D690" s="38" t="n">
        <f aca="false">D689+C690</f>
        <v>698.172977898812</v>
      </c>
      <c r="E690" s="39" t="n">
        <f aca="false">MAX($E$3,AS689)</f>
        <v>0</v>
      </c>
      <c r="F690" s="39" t="n">
        <f aca="false">MAX($E$3,AT689)</f>
        <v>0</v>
      </c>
      <c r="G690" s="40" t="n">
        <v>0.5</v>
      </c>
      <c r="H690" s="38" t="n">
        <f aca="true">IF((B690=1),(IF((F690&lt;E690),1,(IF((F690=E690),(IF(RAND()&lt;G690,1,0)),0)))),(IF((RAND()&lt;G690),1,0)))</f>
        <v>1</v>
      </c>
      <c r="I690" s="38" t="n">
        <f aca="true">IF((H690=1),0,$D$3+$D$5*(RAND()-0.5))</f>
        <v>0</v>
      </c>
      <c r="J690" s="38" t="n">
        <f aca="false">I690+MAX(D690,J689)</f>
        <v>709.56402861999</v>
      </c>
      <c r="K690" s="38" t="n">
        <f aca="false">IF((H690=0),J690-D690,0)</f>
        <v>0</v>
      </c>
      <c r="L690" s="38" t="n">
        <f aca="true">IF(($H690=0),0,$D$4+$D$5*(RAND()-0.5))</f>
        <v>2.03768949445678</v>
      </c>
      <c r="M690" s="38" t="n">
        <f aca="false">L690+MAX(D690,M689)</f>
        <v>758.060899097189</v>
      </c>
      <c r="N690" s="38" t="n">
        <f aca="false">IF((H690=1),M690-D690,0)</f>
        <v>59.8879211983769</v>
      </c>
      <c r="O690" s="16" t="n">
        <v>673</v>
      </c>
      <c r="P690" s="41" t="n">
        <f aca="false">IF((Arterial=0),P689+1,P689)</f>
        <v>308</v>
      </c>
      <c r="Q690" s="41" t="n">
        <f aca="false">IF((Arterial=1),Q689+1,Q689)</f>
        <v>365</v>
      </c>
      <c r="R690" s="42" t="n">
        <f aca="false">IF((RESET=1),0,R690+K690)</f>
        <v>704.353812853784</v>
      </c>
      <c r="S690" s="14" t="e">
        <f aca="false">IF(RESET=1,0,S690+N690)</f>
        <v>#N/A</v>
      </c>
      <c r="T690" s="2" t="n">
        <f aca="false">IF(RESET=1,0,T690+IF(H690=0,1,0))</f>
        <v>42</v>
      </c>
      <c r="U690" s="2" t="e">
        <f aca="false">IF(RESET=1,0,U690+H690)</f>
        <v>#N/A</v>
      </c>
      <c r="V690" s="14" t="n">
        <f aca="false">R690/(T690+0.00001)</f>
        <v>16.7703248845366</v>
      </c>
      <c r="W690" s="14" t="e">
        <f aca="false">S690/(U690+0.0001)</f>
        <v>#N/A</v>
      </c>
      <c r="X690" s="39" t="n">
        <f aca="false">IF(Informed=1,K690,0)</f>
        <v>0</v>
      </c>
      <c r="Y690" s="39" t="n">
        <f aca="false">IF(Informed=0,K690,0)</f>
        <v>0</v>
      </c>
      <c r="Z690" s="39" t="n">
        <f aca="false">IF(Informed=1,N690,0)</f>
        <v>59.8879211983769</v>
      </c>
      <c r="AA690" s="39" t="n">
        <f aca="false">IF(Informed=0,N690,0)</f>
        <v>0</v>
      </c>
      <c r="AB690" s="43" t="n">
        <f aca="false">IF(Arterial=0,IF(Informed=1,1,0),0)</f>
        <v>0</v>
      </c>
      <c r="AC690" s="43" t="n">
        <f aca="false">IF(Arterial=0,IF(Informed=0,1,0),0)</f>
        <v>0</v>
      </c>
      <c r="AD690" s="43" t="n">
        <f aca="false">IF(Arterial=1,IF(Informed=1,1,0),0)</f>
        <v>1</v>
      </c>
      <c r="AE690" s="43" t="n">
        <f aca="false">IF(Arterial=1,IF(Informed=0,1,0),0)</f>
        <v>0</v>
      </c>
      <c r="AF690" s="35" t="n">
        <f aca="false">IF(AB690=1,(X690-G$1030)^2,0)</f>
        <v>0</v>
      </c>
      <c r="AG690" s="35" t="n">
        <f aca="false">IF(AC690=1,(Y690-H$1030)^2,0)</f>
        <v>0</v>
      </c>
      <c r="AH690" s="35" t="n">
        <f aca="false">IF(AD690=1,(Z690-I$1030)^2,0)</f>
        <v>993.074614777877</v>
      </c>
      <c r="AI690" s="35" t="n">
        <f aca="false">IF(AE690=1,(AA690-J$1030)^2,0)</f>
        <v>0</v>
      </c>
      <c r="AJ690" s="37" t="n">
        <f aca="true">IF(RAND()&lt;$D$6,1,0)</f>
        <v>0</v>
      </c>
      <c r="AK690" s="14" t="n">
        <f aca="false">AK689+IF((AJ690=1),IF((H690=0),1,0),0)</f>
        <v>0</v>
      </c>
      <c r="AL690" s="14" t="n">
        <f aca="false">AL689+IF((AJ690=1),IF((H690=1),1,0),0)</f>
        <v>0</v>
      </c>
      <c r="AM690" s="37" t="n">
        <f aca="false">IF(AK690=0,9999,IF($H690=0,IF($AJ690&lt;1,AM689+1,0),AM689))</f>
        <v>9999</v>
      </c>
      <c r="AN690" s="37" t="n">
        <f aca="false">IF(AL690=0,9999,IF($H690=1,IF($AJ690&lt;1,AN689+1,0),AN689))</f>
        <v>9999</v>
      </c>
      <c r="AO690" s="37" t="n">
        <f aca="false">IF($A690-AM690&gt;0,1/(1+AM690),0)</f>
        <v>0</v>
      </c>
      <c r="AP690" s="37" t="n">
        <f aca="false">IF($A690-AN690&gt;0,1/(1+AN690),0)</f>
        <v>0</v>
      </c>
      <c r="AQ690" s="7" t="n">
        <f aca="false">IF(AK690=0,0,MAX(MIN(1,AO690^Power),0))</f>
        <v>0</v>
      </c>
      <c r="AR690" s="7" t="n">
        <f aca="false">IF(AL690=0,0,MAX(MIN(1,AP690^Power),0))</f>
        <v>0</v>
      </c>
      <c r="AS690" s="7" t="n">
        <f aca="false">IF($AJ690=1,IF($H690=0,K690,AS689),AS689)</f>
        <v>0</v>
      </c>
      <c r="AT690" s="7" t="n">
        <f aca="false">IF($AJ690=1,IF($H690=1,N690,AT689),AT689)</f>
        <v>0</v>
      </c>
    </row>
    <row r="691" customFormat="false" ht="13" hidden="false" customHeight="false" outlineLevel="0" collapsed="false">
      <c r="A691" s="16" t="n">
        <v>674</v>
      </c>
      <c r="B691" s="37" t="n">
        <f aca="true">IF(RAND()&lt;$D$8,1,0)</f>
        <v>0</v>
      </c>
      <c r="C691" s="20" t="n">
        <f aca="true">-LN(RAND())/$D$2</f>
        <v>2.7420792529328</v>
      </c>
      <c r="D691" s="38" t="n">
        <f aca="false">D690+C691</f>
        <v>700.915057151745</v>
      </c>
      <c r="E691" s="39" t="n">
        <f aca="false">MAX($E$3,AS690)</f>
        <v>0</v>
      </c>
      <c r="F691" s="39" t="n">
        <f aca="false">MAX($E$3,AT690)</f>
        <v>0</v>
      </c>
      <c r="G691" s="40" t="n">
        <v>0.5</v>
      </c>
      <c r="H691" s="38" t="n">
        <f aca="true">IF((B691=1),(IF((F691&lt;E691),1,(IF((F691=E691),(IF(RAND()&lt;G691,1,0)),0)))),(IF((RAND()&lt;G691),1,0)))</f>
        <v>1</v>
      </c>
      <c r="I691" s="38" t="n">
        <f aca="true">IF((H691=1),0,$D$3+$D$5*(RAND()-0.5))</f>
        <v>0</v>
      </c>
      <c r="J691" s="38" t="n">
        <f aca="false">I691+MAX(D691,J690)</f>
        <v>709.56402861999</v>
      </c>
      <c r="K691" s="38" t="n">
        <f aca="false">IF((H691=0),J691-D691,0)</f>
        <v>0</v>
      </c>
      <c r="L691" s="38" t="n">
        <f aca="true">IF(($H691=0),0,$D$4+$D$5*(RAND()-0.5))</f>
        <v>2.00936809188721</v>
      </c>
      <c r="M691" s="38" t="n">
        <f aca="false">L691+MAX(D691,M690)</f>
        <v>760.070267189077</v>
      </c>
      <c r="N691" s="38" t="n">
        <f aca="false">IF((H691=1),M691-D691,0)</f>
        <v>59.1552100373314</v>
      </c>
      <c r="O691" s="16" t="n">
        <v>674</v>
      </c>
      <c r="P691" s="41" t="n">
        <f aca="false">IF((Arterial=0),P690+1,P690)</f>
        <v>308</v>
      </c>
      <c r="Q691" s="41" t="n">
        <f aca="false">IF((Arterial=1),Q690+1,Q690)</f>
        <v>366</v>
      </c>
      <c r="R691" s="42" t="n">
        <f aca="false">IF((RESET=1),0,R691+K691)</f>
        <v>856.677471627145</v>
      </c>
      <c r="S691" s="14" t="e">
        <f aca="false">IF(RESET=1,0,S691+N691)</f>
        <v>#N/A</v>
      </c>
      <c r="T691" s="2" t="n">
        <f aca="false">IF(RESET=1,0,T691+IF(H691=0,1,0))</f>
        <v>44</v>
      </c>
      <c r="U691" s="2" t="e">
        <f aca="false">IF(RESET=1,0,U691+H691)</f>
        <v>#N/A</v>
      </c>
      <c r="V691" s="14" t="n">
        <f aca="false">R691/(T691+0.00001)</f>
        <v>19.4699381119946</v>
      </c>
      <c r="W691" s="14" t="e">
        <f aca="false">S691/(U691+0.0001)</f>
        <v>#N/A</v>
      </c>
      <c r="X691" s="39" t="n">
        <f aca="false">IF(Informed=1,K691,0)</f>
        <v>0</v>
      </c>
      <c r="Y691" s="39" t="n">
        <f aca="false">IF(Informed=0,K691,0)</f>
        <v>0</v>
      </c>
      <c r="Z691" s="39" t="n">
        <f aca="false">IF(Informed=1,N691,0)</f>
        <v>0</v>
      </c>
      <c r="AA691" s="39" t="n">
        <f aca="false">IF(Informed=0,N691,0)</f>
        <v>59.1552100373314</v>
      </c>
      <c r="AB691" s="43" t="n">
        <f aca="false">IF(Arterial=0,IF(Informed=1,1,0),0)</f>
        <v>0</v>
      </c>
      <c r="AC691" s="43" t="n">
        <f aca="false">IF(Arterial=0,IF(Informed=0,1,0),0)</f>
        <v>0</v>
      </c>
      <c r="AD691" s="43" t="n">
        <f aca="false">IF(Arterial=1,IF(Informed=1,1,0),0)</f>
        <v>0</v>
      </c>
      <c r="AE691" s="43" t="n">
        <f aca="false">IF(Arterial=1,IF(Informed=0,1,0),0)</f>
        <v>1</v>
      </c>
      <c r="AF691" s="35" t="n">
        <f aca="false">IF(AB691=1,(X691-G$1030)^2,0)</f>
        <v>0</v>
      </c>
      <c r="AG691" s="35" t="n">
        <f aca="false">IF(AC691=1,(Y691-H$1030)^2,0)</f>
        <v>0</v>
      </c>
      <c r="AH691" s="35" t="n">
        <f aca="false">IF(AD691=1,(Z691-I$1030)^2,0)</f>
        <v>0</v>
      </c>
      <c r="AI691" s="35" t="n">
        <f aca="false">IF(AE691=1,(AA691-J$1030)^2,0)</f>
        <v>875.623436962625</v>
      </c>
      <c r="AJ691" s="37" t="n">
        <f aca="true">IF(RAND()&lt;$D$6,1,0)</f>
        <v>0</v>
      </c>
      <c r="AK691" s="14" t="n">
        <f aca="false">AK690+IF((AJ691=1),IF((H691=0),1,0),0)</f>
        <v>0</v>
      </c>
      <c r="AL691" s="14" t="n">
        <f aca="false">AL690+IF((AJ691=1),IF((H691=1),1,0),0)</f>
        <v>0</v>
      </c>
      <c r="AM691" s="37" t="n">
        <f aca="false">IF(AK691=0,9999,IF($H691=0,IF($AJ691&lt;1,AM690+1,0),AM690))</f>
        <v>9999</v>
      </c>
      <c r="AN691" s="37" t="n">
        <f aca="false">IF(AL691=0,9999,IF($H691=1,IF($AJ691&lt;1,AN690+1,0),AN690))</f>
        <v>9999</v>
      </c>
      <c r="AO691" s="37" t="n">
        <f aca="false">IF($A691-AM691&gt;0,1/(1+AM691),0)</f>
        <v>0</v>
      </c>
      <c r="AP691" s="37" t="n">
        <f aca="false">IF($A691-AN691&gt;0,1/(1+AN691),0)</f>
        <v>0</v>
      </c>
      <c r="AQ691" s="7" t="n">
        <f aca="false">IF(AK691=0,0,MAX(MIN(1,AO691^Power),0))</f>
        <v>0</v>
      </c>
      <c r="AR691" s="7" t="n">
        <f aca="false">IF(AL691=0,0,MAX(MIN(1,AP691^Power),0))</f>
        <v>0</v>
      </c>
      <c r="AS691" s="7" t="n">
        <f aca="false">IF($AJ691=1,IF($H691=0,K691,AS690),AS690)</f>
        <v>0</v>
      </c>
      <c r="AT691" s="7" t="n">
        <f aca="false">IF($AJ691=1,IF($H691=1,N691,AT690),AT690)</f>
        <v>0</v>
      </c>
    </row>
    <row r="692" customFormat="false" ht="13" hidden="false" customHeight="false" outlineLevel="0" collapsed="false">
      <c r="A692" s="16" t="n">
        <v>675</v>
      </c>
      <c r="B692" s="37" t="n">
        <f aca="true">IF(RAND()&lt;$D$8,1,0)</f>
        <v>0</v>
      </c>
      <c r="C692" s="20" t="n">
        <f aca="true">-LN(RAND())/$D$2</f>
        <v>1.07211813897154</v>
      </c>
      <c r="D692" s="38" t="n">
        <f aca="false">D691+C692</f>
        <v>701.987175290717</v>
      </c>
      <c r="E692" s="39" t="n">
        <f aca="false">MAX($E$3,AS691)</f>
        <v>0</v>
      </c>
      <c r="F692" s="39" t="n">
        <f aca="false">MAX($E$3,AT691)</f>
        <v>0</v>
      </c>
      <c r="G692" s="40" t="n">
        <v>0.5</v>
      </c>
      <c r="H692" s="38" t="n">
        <f aca="true">IF((B692=1),(IF((F692&lt;E692),1,(IF((F692=E692),(IF(RAND()&lt;G692,1,0)),0)))),(IF((RAND()&lt;G692),1,0)))</f>
        <v>0</v>
      </c>
      <c r="I692" s="38" t="n">
        <f aca="true">IF((H692=1),0,$D$3+$D$5*(RAND()-0.5))</f>
        <v>2.1124250226326</v>
      </c>
      <c r="J692" s="38" t="n">
        <f aca="false">I692+MAX(D692,J691)</f>
        <v>711.676453642623</v>
      </c>
      <c r="K692" s="38" t="n">
        <f aca="false">IF((H692=0),J692-D692,0)</f>
        <v>9.68927835190618</v>
      </c>
      <c r="L692" s="38" t="n">
        <f aca="true">IF(($H692=0),0,$D$4+$D$5*(RAND()-0.5))</f>
        <v>0</v>
      </c>
      <c r="M692" s="38" t="n">
        <f aca="false">L692+MAX(D692,M691)</f>
        <v>760.070267189077</v>
      </c>
      <c r="N692" s="38" t="n">
        <f aca="false">IF((H692=1),M692-D692,0)</f>
        <v>0</v>
      </c>
      <c r="O692" s="16" t="n">
        <v>675</v>
      </c>
      <c r="P692" s="41" t="n">
        <f aca="false">IF((Arterial=0),P691+1,P691)</f>
        <v>309</v>
      </c>
      <c r="Q692" s="41" t="n">
        <f aca="false">IF((Arterial=1),Q691+1,Q691)</f>
        <v>366</v>
      </c>
      <c r="R692" s="42" t="e">
        <f aca="false">IF((RESET=1),0,R692+K692)</f>
        <v>#N/A</v>
      </c>
      <c r="S692" s="14" t="n">
        <f aca="false">IF(RESET=1,0,S692+N692)</f>
        <v>509.190046467919</v>
      </c>
      <c r="T692" s="2" t="e">
        <f aca="false">IF(RESET=1,0,T692+IF(H692=0,1,0))</f>
        <v>#N/A</v>
      </c>
      <c r="U692" s="2" t="n">
        <f aca="false">IF(RESET=1,0,U692+H692)</f>
        <v>33</v>
      </c>
      <c r="V692" s="14" t="e">
        <f aca="false">R692/(T692+0.00001)</f>
        <v>#N/A</v>
      </c>
      <c r="W692" s="14" t="n">
        <f aca="false">S692/(U692+0.0001)</f>
        <v>15.4299546506804</v>
      </c>
      <c r="X692" s="39" t="n">
        <f aca="false">IF(Informed=1,K692,0)</f>
        <v>0</v>
      </c>
      <c r="Y692" s="39" t="n">
        <f aca="false">IF(Informed=0,K692,0)</f>
        <v>9.68927835190618</v>
      </c>
      <c r="Z692" s="39" t="n">
        <f aca="false">IF(Informed=1,N692,0)</f>
        <v>0</v>
      </c>
      <c r="AA692" s="39" t="n">
        <f aca="false">IF(Informed=0,N692,0)</f>
        <v>0</v>
      </c>
      <c r="AB692" s="43" t="n">
        <f aca="false">IF(Arterial=0,IF(Informed=1,1,0),0)</f>
        <v>0</v>
      </c>
      <c r="AC692" s="43" t="n">
        <f aca="false">IF(Arterial=0,IF(Informed=0,1,0),0)</f>
        <v>1</v>
      </c>
      <c r="AD692" s="43" t="n">
        <f aca="false">IF(Arterial=1,IF(Informed=1,1,0),0)</f>
        <v>0</v>
      </c>
      <c r="AE692" s="43" t="n">
        <f aca="false">IF(Arterial=1,IF(Informed=0,1,0),0)</f>
        <v>0</v>
      </c>
      <c r="AF692" s="35" t="n">
        <f aca="false">IF(AB692=1,(X692-G$1030)^2,0)</f>
        <v>0</v>
      </c>
      <c r="AG692" s="35" t="n">
        <f aca="false">IF(AC692=1,(Y692-H$1030)^2,0)</f>
        <v>1.52400728321862</v>
      </c>
      <c r="AH692" s="35" t="n">
        <f aca="false">IF(AD692=1,(Z692-I$1030)^2,0)</f>
        <v>0</v>
      </c>
      <c r="AI692" s="35" t="n">
        <f aca="false">IF(AE692=1,(AA692-J$1030)^2,0)</f>
        <v>0</v>
      </c>
      <c r="AJ692" s="37" t="n">
        <f aca="true">IF(RAND()&lt;$D$6,1,0)</f>
        <v>0</v>
      </c>
      <c r="AK692" s="14" t="n">
        <f aca="false">AK691+IF((AJ692=1),IF((H692=0),1,0),0)</f>
        <v>0</v>
      </c>
      <c r="AL692" s="14" t="n">
        <f aca="false">AL691+IF((AJ692=1),IF((H692=1),1,0),0)</f>
        <v>0</v>
      </c>
      <c r="AM692" s="37" t="n">
        <f aca="false">IF(AK692=0,9999,IF($H692=0,IF($AJ692&lt;1,AM691+1,0),AM691))</f>
        <v>9999</v>
      </c>
      <c r="AN692" s="37" t="n">
        <f aca="false">IF(AL692=0,9999,IF($H692=1,IF($AJ692&lt;1,AN691+1,0),AN691))</f>
        <v>9999</v>
      </c>
      <c r="AO692" s="37" t="n">
        <f aca="false">IF($A692-AM692&gt;0,1/(1+AM692),0)</f>
        <v>0</v>
      </c>
      <c r="AP692" s="37" t="n">
        <f aca="false">IF($A692-AN692&gt;0,1/(1+AN692),0)</f>
        <v>0</v>
      </c>
      <c r="AQ692" s="7" t="n">
        <f aca="false">IF(AK692=0,0,MAX(MIN(1,AO692^Power),0))</f>
        <v>0</v>
      </c>
      <c r="AR692" s="7" t="n">
        <f aca="false">IF(AL692=0,0,MAX(MIN(1,AP692^Power),0))</f>
        <v>0</v>
      </c>
      <c r="AS692" s="7" t="n">
        <f aca="false">IF($AJ692=1,IF($H692=0,K692,AS691),AS691)</f>
        <v>0</v>
      </c>
      <c r="AT692" s="7" t="n">
        <f aca="false">IF($AJ692=1,IF($H692=1,N692,AT691),AT691)</f>
        <v>0</v>
      </c>
    </row>
    <row r="693" customFormat="false" ht="13" hidden="false" customHeight="false" outlineLevel="0" collapsed="false">
      <c r="A693" s="16" t="n">
        <v>676</v>
      </c>
      <c r="B693" s="37" t="n">
        <f aca="true">IF(RAND()&lt;$D$8,1,0)</f>
        <v>0</v>
      </c>
      <c r="C693" s="20" t="n">
        <f aca="true">-LN(RAND())/$D$2</f>
        <v>2.94726544875969</v>
      </c>
      <c r="D693" s="38" t="n">
        <f aca="false">D692+C693</f>
        <v>704.934440739476</v>
      </c>
      <c r="E693" s="39" t="n">
        <f aca="false">MAX($E$3,AS692)</f>
        <v>0</v>
      </c>
      <c r="F693" s="39" t="n">
        <f aca="false">MAX($E$3,AT692)</f>
        <v>0</v>
      </c>
      <c r="G693" s="40" t="n">
        <v>0.5</v>
      </c>
      <c r="H693" s="38" t="n">
        <f aca="true">IF((B693=1),(IF((F693&lt;E693),1,(IF((F693=E693),(IF(RAND()&lt;G693,1,0)),0)))),(IF((RAND()&lt;G693),1,0)))</f>
        <v>1</v>
      </c>
      <c r="I693" s="38" t="n">
        <f aca="true">IF((H693=1),0,$D$3+$D$5*(RAND()-0.5))</f>
        <v>0</v>
      </c>
      <c r="J693" s="38" t="n">
        <f aca="false">I693+MAX(D693,J692)</f>
        <v>711.676453642623</v>
      </c>
      <c r="K693" s="38" t="n">
        <f aca="false">IF((H693=0),J693-D693,0)</f>
        <v>0</v>
      </c>
      <c r="L693" s="38" t="n">
        <f aca="true">IF(($H693=0),0,$D$4+$D$5*(RAND()-0.5))</f>
        <v>1.97588150692758</v>
      </c>
      <c r="M693" s="38" t="n">
        <f aca="false">L693+MAX(D693,M692)</f>
        <v>762.046148696004</v>
      </c>
      <c r="N693" s="38" t="n">
        <f aca="false">IF((H693=1),M693-D693,0)</f>
        <v>57.1117079565278</v>
      </c>
      <c r="O693" s="16" t="n">
        <v>676</v>
      </c>
      <c r="P693" s="41" t="n">
        <f aca="false">IF((Arterial=0),P692+1,P692)</f>
        <v>309</v>
      </c>
      <c r="Q693" s="41" t="n">
        <f aca="false">IF((Arterial=1),Q692+1,Q692)</f>
        <v>367</v>
      </c>
      <c r="R693" s="42" t="n">
        <f aca="false">IF((RESET=1),0,R693+K693)</f>
        <v>811.218284499496</v>
      </c>
      <c r="S693" s="14" t="e">
        <f aca="false">IF(RESET=1,0,S693+N693)</f>
        <v>#N/A</v>
      </c>
      <c r="T693" s="2" t="n">
        <f aca="false">IF(RESET=1,0,T693+IF(H693=0,1,0))</f>
        <v>43</v>
      </c>
      <c r="U693" s="2" t="e">
        <f aca="false">IF(RESET=1,0,U693+H693)</f>
        <v>#N/A</v>
      </c>
      <c r="V693" s="14" t="n">
        <f aca="false">R693/(T693+0.00001)</f>
        <v>18.8655371126541</v>
      </c>
      <c r="W693" s="14" t="e">
        <f aca="false">S693/(U693+0.0001)</f>
        <v>#N/A</v>
      </c>
      <c r="X693" s="39" t="n">
        <f aca="false">IF(Informed=1,K693,0)</f>
        <v>0</v>
      </c>
      <c r="Y693" s="39" t="n">
        <f aca="false">IF(Informed=0,K693,0)</f>
        <v>0</v>
      </c>
      <c r="Z693" s="39" t="n">
        <f aca="false">IF(Informed=1,N693,0)</f>
        <v>0</v>
      </c>
      <c r="AA693" s="39" t="n">
        <f aca="false">IF(Informed=0,N693,0)</f>
        <v>57.1117079565278</v>
      </c>
      <c r="AB693" s="43" t="n">
        <f aca="false">IF(Arterial=0,IF(Informed=1,1,0),0)</f>
        <v>0</v>
      </c>
      <c r="AC693" s="43" t="n">
        <f aca="false">IF(Arterial=0,IF(Informed=0,1,0),0)</f>
        <v>0</v>
      </c>
      <c r="AD693" s="43" t="n">
        <f aca="false">IF(Arterial=1,IF(Informed=1,1,0),0)</f>
        <v>0</v>
      </c>
      <c r="AE693" s="43" t="n">
        <f aca="false">IF(Arterial=1,IF(Informed=0,1,0),0)</f>
        <v>1</v>
      </c>
      <c r="AF693" s="35" t="n">
        <f aca="false">IF(AB693=1,(X693-G$1030)^2,0)</f>
        <v>0</v>
      </c>
      <c r="AG693" s="35" t="n">
        <f aca="false">IF(AC693=1,(Y693-H$1030)^2,0)</f>
        <v>0</v>
      </c>
      <c r="AH693" s="35" t="n">
        <f aca="false">IF(AD693=1,(Z693-I$1030)^2,0)</f>
        <v>0</v>
      </c>
      <c r="AI693" s="35" t="n">
        <f aca="false">IF(AE693=1,(AA693-J$1030)^2,0)</f>
        <v>758.861063033463</v>
      </c>
      <c r="AJ693" s="37" t="n">
        <f aca="true">IF(RAND()&lt;$D$6,1,0)</f>
        <v>0</v>
      </c>
      <c r="AK693" s="14" t="n">
        <f aca="false">AK692+IF((AJ693=1),IF((H693=0),1,0),0)</f>
        <v>0</v>
      </c>
      <c r="AL693" s="14" t="n">
        <f aca="false">AL692+IF((AJ693=1),IF((H693=1),1,0),0)</f>
        <v>0</v>
      </c>
      <c r="AM693" s="37" t="n">
        <f aca="false">IF(AK693=0,9999,IF($H693=0,IF($AJ693&lt;1,AM692+1,0),AM692))</f>
        <v>9999</v>
      </c>
      <c r="AN693" s="37" t="n">
        <f aca="false">IF(AL693=0,9999,IF($H693=1,IF($AJ693&lt;1,AN692+1,0),AN692))</f>
        <v>9999</v>
      </c>
      <c r="AO693" s="37" t="n">
        <f aca="false">IF($A693-AM693&gt;0,1/(1+AM693),0)</f>
        <v>0</v>
      </c>
      <c r="AP693" s="37" t="n">
        <f aca="false">IF($A693-AN693&gt;0,1/(1+AN693),0)</f>
        <v>0</v>
      </c>
      <c r="AQ693" s="7" t="n">
        <f aca="false">IF(AK693=0,0,MAX(MIN(1,AO693^Power),0))</f>
        <v>0</v>
      </c>
      <c r="AR693" s="7" t="n">
        <f aca="false">IF(AL693=0,0,MAX(MIN(1,AP693^Power),0))</f>
        <v>0</v>
      </c>
      <c r="AS693" s="7" t="n">
        <f aca="false">IF($AJ693=1,IF($H693=0,K693,AS692),AS692)</f>
        <v>0</v>
      </c>
      <c r="AT693" s="7" t="n">
        <f aca="false">IF($AJ693=1,IF($H693=1,N693,AT692),AT692)</f>
        <v>0</v>
      </c>
    </row>
    <row r="694" customFormat="false" ht="13" hidden="false" customHeight="false" outlineLevel="0" collapsed="false">
      <c r="A694" s="16" t="n">
        <v>677</v>
      </c>
      <c r="B694" s="37" t="n">
        <f aca="true">IF(RAND()&lt;$D$8,1,0)</f>
        <v>0</v>
      </c>
      <c r="C694" s="20" t="n">
        <f aca="true">-LN(RAND())/$D$2</f>
        <v>0.877857321341785</v>
      </c>
      <c r="D694" s="38" t="n">
        <f aca="false">D693+C694</f>
        <v>705.812298060818</v>
      </c>
      <c r="E694" s="39" t="n">
        <f aca="false">MAX($E$3,AS693)</f>
        <v>0</v>
      </c>
      <c r="F694" s="39" t="n">
        <f aca="false">MAX($E$3,AT693)</f>
        <v>0</v>
      </c>
      <c r="G694" s="40" t="n">
        <v>0.5</v>
      </c>
      <c r="H694" s="38" t="n">
        <f aca="true">IF((B694=1),(IF((F694&lt;E694),1,(IF((F694=E694),(IF(RAND()&lt;G694,1,0)),0)))),(IF((RAND()&lt;G694),1,0)))</f>
        <v>1</v>
      </c>
      <c r="I694" s="38" t="n">
        <f aca="true">IF((H694=1),0,$D$3+$D$5*(RAND()-0.5))</f>
        <v>0</v>
      </c>
      <c r="J694" s="38" t="n">
        <f aca="false">I694+MAX(D694,J693)</f>
        <v>711.676453642623</v>
      </c>
      <c r="K694" s="38" t="n">
        <f aca="false">IF((H694=0),J694-D694,0)</f>
        <v>0</v>
      </c>
      <c r="L694" s="38" t="n">
        <f aca="true">IF(($H694=0),0,$D$4+$D$5*(RAND()-0.5))</f>
        <v>1.81398936456101</v>
      </c>
      <c r="M694" s="38" t="n">
        <f aca="false">L694+MAX(D694,M693)</f>
        <v>763.860138060565</v>
      </c>
      <c r="N694" s="38" t="n">
        <f aca="false">IF((H694=1),M694-D694,0)</f>
        <v>58.047839999747</v>
      </c>
      <c r="O694" s="16" t="n">
        <v>677</v>
      </c>
      <c r="P694" s="41" t="n">
        <f aca="false">IF((Arterial=0),P693+1,P693)</f>
        <v>309</v>
      </c>
      <c r="Q694" s="41" t="n">
        <f aca="false">IF((Arterial=1),Q693+1,Q693)</f>
        <v>368</v>
      </c>
      <c r="R694" s="42" t="n">
        <f aca="false">IF((RESET=1),0,R694+K694)</f>
        <v>921.492239407872</v>
      </c>
      <c r="S694" s="14" t="e">
        <f aca="false">IF(RESET=1,0,S694+N694)</f>
        <v>#N/A</v>
      </c>
      <c r="T694" s="2" t="n">
        <f aca="false">IF(RESET=1,0,T694+IF(H694=0,1,0))</f>
        <v>44</v>
      </c>
      <c r="U694" s="2" t="e">
        <f aca="false">IF(RESET=1,0,U694+H694)</f>
        <v>#N/A</v>
      </c>
      <c r="V694" s="14" t="n">
        <f aca="false">R694/(T694+0.00001)</f>
        <v>20.9430006813151</v>
      </c>
      <c r="W694" s="14" t="e">
        <f aca="false">S694/(U694+0.0001)</f>
        <v>#N/A</v>
      </c>
      <c r="X694" s="39" t="n">
        <f aca="false">IF(Informed=1,K694,0)</f>
        <v>0</v>
      </c>
      <c r="Y694" s="39" t="n">
        <f aca="false">IF(Informed=0,K694,0)</f>
        <v>0</v>
      </c>
      <c r="Z694" s="39" t="n">
        <f aca="false">IF(Informed=1,N694,0)</f>
        <v>0</v>
      </c>
      <c r="AA694" s="39" t="n">
        <f aca="false">IF(Informed=0,N694,0)</f>
        <v>58.047839999747</v>
      </c>
      <c r="AB694" s="43" t="n">
        <f aca="false">IF(Arterial=0,IF(Informed=1,1,0),0)</f>
        <v>0</v>
      </c>
      <c r="AC694" s="43" t="n">
        <f aca="false">IF(Arterial=0,IF(Informed=0,1,0),0)</f>
        <v>0</v>
      </c>
      <c r="AD694" s="43" t="n">
        <f aca="false">IF(Arterial=1,IF(Informed=1,1,0),0)</f>
        <v>0</v>
      </c>
      <c r="AE694" s="43" t="n">
        <f aca="false">IF(Arterial=1,IF(Informed=0,1,0),0)</f>
        <v>1</v>
      </c>
      <c r="AF694" s="35" t="n">
        <f aca="false">IF(AB694=1,(X694-G$1030)^2,0)</f>
        <v>0</v>
      </c>
      <c r="AG694" s="35" t="n">
        <f aca="false">IF(AC694=1,(Y694-H$1030)^2,0)</f>
        <v>0</v>
      </c>
      <c r="AH694" s="35" t="n">
        <f aca="false">IF(AD694=1,(Z694-I$1030)^2,0)</f>
        <v>0</v>
      </c>
      <c r="AI694" s="35" t="n">
        <f aca="false">IF(AE694=1,(AA694-J$1030)^2,0)</f>
        <v>811.313475652203</v>
      </c>
      <c r="AJ694" s="37" t="n">
        <f aca="true">IF(RAND()&lt;$D$6,1,0)</f>
        <v>0</v>
      </c>
      <c r="AK694" s="14" t="n">
        <f aca="false">AK693+IF((AJ694=1),IF((H694=0),1,0),0)</f>
        <v>0</v>
      </c>
      <c r="AL694" s="14" t="n">
        <f aca="false">AL693+IF((AJ694=1),IF((H694=1),1,0),0)</f>
        <v>0</v>
      </c>
      <c r="AM694" s="37" t="n">
        <f aca="false">IF(AK694=0,9999,IF($H694=0,IF($AJ694&lt;1,AM693+1,0),AM693))</f>
        <v>9999</v>
      </c>
      <c r="AN694" s="37" t="n">
        <f aca="false">IF(AL694=0,9999,IF($H694=1,IF($AJ694&lt;1,AN693+1,0),AN693))</f>
        <v>9999</v>
      </c>
      <c r="AO694" s="37" t="n">
        <f aca="false">IF($A694-AM694&gt;0,1/(1+AM694),0)</f>
        <v>0</v>
      </c>
      <c r="AP694" s="37" t="n">
        <f aca="false">IF($A694-AN694&gt;0,1/(1+AN694),0)</f>
        <v>0</v>
      </c>
      <c r="AQ694" s="7" t="n">
        <f aca="false">IF(AK694=0,0,MAX(MIN(1,AO694^Power),0))</f>
        <v>0</v>
      </c>
      <c r="AR694" s="7" t="n">
        <f aca="false">IF(AL694=0,0,MAX(MIN(1,AP694^Power),0))</f>
        <v>0</v>
      </c>
      <c r="AS694" s="7" t="n">
        <f aca="false">IF($AJ694=1,IF($H694=0,K694,AS693),AS693)</f>
        <v>0</v>
      </c>
      <c r="AT694" s="7" t="n">
        <f aca="false">IF($AJ694=1,IF($H694=1,N694,AT693),AT693)</f>
        <v>0</v>
      </c>
    </row>
    <row r="695" customFormat="false" ht="13" hidden="false" customHeight="false" outlineLevel="0" collapsed="false">
      <c r="A695" s="16" t="n">
        <v>678</v>
      </c>
      <c r="B695" s="37" t="n">
        <f aca="true">IF(RAND()&lt;$D$8,1,0)</f>
        <v>1</v>
      </c>
      <c r="C695" s="20" t="n">
        <f aca="true">-LN(RAND())/$D$2</f>
        <v>2.13879514776655</v>
      </c>
      <c r="D695" s="38" t="n">
        <f aca="false">D694+C695</f>
        <v>707.951093208585</v>
      </c>
      <c r="E695" s="39" t="n">
        <f aca="false">MAX($E$3,AS694)</f>
        <v>0</v>
      </c>
      <c r="F695" s="39" t="n">
        <f aca="false">MAX($E$3,AT694)</f>
        <v>0</v>
      </c>
      <c r="G695" s="40" t="n">
        <v>0.5</v>
      </c>
      <c r="H695" s="38" t="n">
        <f aca="true">IF((B695=1),(IF((F695&lt;E695),1,(IF((F695=E695),(IF(RAND()&lt;G695,1,0)),0)))),(IF((RAND()&lt;G695),1,0)))</f>
        <v>1</v>
      </c>
      <c r="I695" s="38" t="n">
        <f aca="true">IF((H695=1),0,$D$3+$D$5*(RAND()-0.5))</f>
        <v>0</v>
      </c>
      <c r="J695" s="38" t="n">
        <f aca="false">I695+MAX(D695,J694)</f>
        <v>711.676453642623</v>
      </c>
      <c r="K695" s="38" t="n">
        <f aca="false">IF((H695=0),J695-D695,0)</f>
        <v>0</v>
      </c>
      <c r="L695" s="38" t="n">
        <f aca="true">IF(($H695=0),0,$D$4+$D$5*(RAND()-0.5))</f>
        <v>2.05104903434473</v>
      </c>
      <c r="M695" s="38" t="n">
        <f aca="false">L695+MAX(D695,M694)</f>
        <v>765.91118709491</v>
      </c>
      <c r="N695" s="38" t="n">
        <f aca="false">IF((H695=1),M695-D695,0)</f>
        <v>57.9600938863251</v>
      </c>
      <c r="O695" s="16" t="n">
        <v>678</v>
      </c>
      <c r="P695" s="41" t="n">
        <f aca="false">IF((Arterial=0),P694+1,P694)</f>
        <v>309</v>
      </c>
      <c r="Q695" s="41" t="n">
        <f aca="false">IF((Arterial=1),Q694+1,Q694)</f>
        <v>369</v>
      </c>
      <c r="R695" s="42" t="n">
        <f aca="false">IF((RESET=1),0,R695+K695)</f>
        <v>1180.96459787163</v>
      </c>
      <c r="S695" s="14" t="e">
        <f aca="false">IF(RESET=1,0,S695+N695)</f>
        <v>#N/A</v>
      </c>
      <c r="T695" s="2" t="n">
        <f aca="false">IF(RESET=1,0,T695+IF(H695=0,1,0))</f>
        <v>44</v>
      </c>
      <c r="U695" s="2" t="e">
        <f aca="false">IF(RESET=1,0,U695+H695)</f>
        <v>#N/A</v>
      </c>
      <c r="V695" s="14" t="n">
        <f aca="false">R695/(T695+0.00001)</f>
        <v>26.8400983970601</v>
      </c>
      <c r="W695" s="14" t="e">
        <f aca="false">S695/(U695+0.0001)</f>
        <v>#N/A</v>
      </c>
      <c r="X695" s="39" t="n">
        <f aca="false">IF(Informed=1,K695,0)</f>
        <v>0</v>
      </c>
      <c r="Y695" s="39" t="n">
        <f aca="false">IF(Informed=0,K695,0)</f>
        <v>0</v>
      </c>
      <c r="Z695" s="39" t="n">
        <f aca="false">IF(Informed=1,N695,0)</f>
        <v>57.9600938863251</v>
      </c>
      <c r="AA695" s="39" t="n">
        <f aca="false">IF(Informed=0,N695,0)</f>
        <v>0</v>
      </c>
      <c r="AB695" s="43" t="n">
        <f aca="false">IF(Arterial=0,IF(Informed=1,1,0),0)</f>
        <v>0</v>
      </c>
      <c r="AC695" s="43" t="n">
        <f aca="false">IF(Arterial=0,IF(Informed=0,1,0),0)</f>
        <v>0</v>
      </c>
      <c r="AD695" s="43" t="n">
        <f aca="false">IF(Arterial=1,IF(Informed=1,1,0),0)</f>
        <v>1</v>
      </c>
      <c r="AE695" s="43" t="n">
        <f aca="false">IF(Arterial=1,IF(Informed=0,1,0),0)</f>
        <v>0</v>
      </c>
      <c r="AF695" s="35" t="n">
        <f aca="false">IF(AB695=1,(X695-G$1030)^2,0)</f>
        <v>0</v>
      </c>
      <c r="AG695" s="35" t="n">
        <f aca="false">IF(AC695=1,(Y695-H$1030)^2,0)</f>
        <v>0</v>
      </c>
      <c r="AH695" s="35" t="n">
        <f aca="false">IF(AD695=1,(Z695-I$1030)^2,0)</f>
        <v>875.287555605211</v>
      </c>
      <c r="AI695" s="35" t="n">
        <f aca="false">IF(AE695=1,(AA695-J$1030)^2,0)</f>
        <v>0</v>
      </c>
      <c r="AJ695" s="37" t="n">
        <f aca="true">IF(RAND()&lt;$D$6,1,0)</f>
        <v>0</v>
      </c>
      <c r="AK695" s="14" t="n">
        <f aca="false">AK694+IF((AJ695=1),IF((H695=0),1,0),0)</f>
        <v>0</v>
      </c>
      <c r="AL695" s="14" t="n">
        <f aca="false">AL694+IF((AJ695=1),IF((H695=1),1,0),0)</f>
        <v>0</v>
      </c>
      <c r="AM695" s="37" t="n">
        <f aca="false">IF(AK695=0,9999,IF($H695=0,IF($AJ695&lt;1,AM694+1,0),AM694))</f>
        <v>9999</v>
      </c>
      <c r="AN695" s="37" t="n">
        <f aca="false">IF(AL695=0,9999,IF($H695=1,IF($AJ695&lt;1,AN694+1,0),AN694))</f>
        <v>9999</v>
      </c>
      <c r="AO695" s="37" t="n">
        <f aca="false">IF($A695-AM695&gt;0,1/(1+AM695),0)</f>
        <v>0</v>
      </c>
      <c r="AP695" s="37" t="n">
        <f aca="false">IF($A695-AN695&gt;0,1/(1+AN695),0)</f>
        <v>0</v>
      </c>
      <c r="AQ695" s="7" t="n">
        <f aca="false">IF(AK695=0,0,MAX(MIN(1,AO695^Power),0))</f>
        <v>0</v>
      </c>
      <c r="AR695" s="7" t="n">
        <f aca="false">IF(AL695=0,0,MAX(MIN(1,AP695^Power),0))</f>
        <v>0</v>
      </c>
      <c r="AS695" s="7" t="n">
        <f aca="false">IF($AJ695=1,IF($H695=0,K695,AS694),AS694)</f>
        <v>0</v>
      </c>
      <c r="AT695" s="7" t="n">
        <f aca="false">IF($AJ695=1,IF($H695=1,N695,AT694),AT694)</f>
        <v>0</v>
      </c>
    </row>
    <row r="696" customFormat="false" ht="13" hidden="false" customHeight="false" outlineLevel="0" collapsed="false">
      <c r="A696" s="16" t="n">
        <v>679</v>
      </c>
      <c r="B696" s="37" t="n">
        <f aca="true">IF(RAND()&lt;$D$8,1,0)</f>
        <v>0</v>
      </c>
      <c r="C696" s="20" t="n">
        <f aca="true">-LN(RAND())/$D$2</f>
        <v>1.44448317393893</v>
      </c>
      <c r="D696" s="38" t="n">
        <f aca="false">D695+C696</f>
        <v>709.395576382524</v>
      </c>
      <c r="E696" s="39" t="n">
        <f aca="false">MAX($E$3,AS695)</f>
        <v>0</v>
      </c>
      <c r="F696" s="39" t="n">
        <f aca="false">MAX($E$3,AT695)</f>
        <v>0</v>
      </c>
      <c r="G696" s="40" t="n">
        <v>0.5</v>
      </c>
      <c r="H696" s="38" t="n">
        <f aca="true">IF((B696=1),(IF((F696&lt;E696),1,(IF((F696=E696),(IF(RAND()&lt;G696,1,0)),0)))),(IF((RAND()&lt;G696),1,0)))</f>
        <v>1</v>
      </c>
      <c r="I696" s="38" t="n">
        <f aca="true">IF((H696=1),0,$D$3+$D$5*(RAND()-0.5))</f>
        <v>0</v>
      </c>
      <c r="J696" s="38" t="n">
        <f aca="false">I696+MAX(D696,J695)</f>
        <v>711.676453642623</v>
      </c>
      <c r="K696" s="38" t="n">
        <f aca="false">IF((H696=0),J696-D696,0)</f>
        <v>0</v>
      </c>
      <c r="L696" s="38" t="n">
        <f aca="true">IF(($H696=0),0,$D$4+$D$5*(RAND()-0.5))</f>
        <v>2.10217255169747</v>
      </c>
      <c r="M696" s="38" t="n">
        <f aca="false">L696+MAX(D696,M695)</f>
        <v>768.013359646607</v>
      </c>
      <c r="N696" s="38" t="n">
        <f aca="false">IF((H696=1),M696-D696,0)</f>
        <v>58.6177832640836</v>
      </c>
      <c r="O696" s="16" t="n">
        <v>679</v>
      </c>
      <c r="P696" s="41" t="n">
        <f aca="false">IF((Arterial=0),P695+1,P695)</f>
        <v>309</v>
      </c>
      <c r="Q696" s="41" t="n">
        <f aca="false">IF((Arterial=1),Q695+1,Q695)</f>
        <v>370</v>
      </c>
      <c r="R696" s="42" t="n">
        <f aca="false">IF((RESET=1),0,R696+K696)</f>
        <v>1021.68612978424</v>
      </c>
      <c r="S696" s="14" t="e">
        <f aca="false">IF(RESET=1,0,S696+N696)</f>
        <v>#N/A</v>
      </c>
      <c r="T696" s="2" t="n">
        <f aca="false">IF(RESET=1,0,T696+IF(H696=0,1,0))</f>
        <v>42</v>
      </c>
      <c r="U696" s="2" t="e">
        <f aca="false">IF(RESET=1,0,U696+H696)</f>
        <v>#N/A</v>
      </c>
      <c r="V696" s="14" t="n">
        <f aca="false">R696/(T696+0.00001)</f>
        <v>24.3258544410879</v>
      </c>
      <c r="W696" s="14" t="e">
        <f aca="false">S696/(U696+0.0001)</f>
        <v>#N/A</v>
      </c>
      <c r="X696" s="39" t="n">
        <f aca="false">IF(Informed=1,K696,0)</f>
        <v>0</v>
      </c>
      <c r="Y696" s="39" t="n">
        <f aca="false">IF(Informed=0,K696,0)</f>
        <v>0</v>
      </c>
      <c r="Z696" s="39" t="n">
        <f aca="false">IF(Informed=1,N696,0)</f>
        <v>0</v>
      </c>
      <c r="AA696" s="39" t="n">
        <f aca="false">IF(Informed=0,N696,0)</f>
        <v>58.6177832640836</v>
      </c>
      <c r="AB696" s="43" t="n">
        <f aca="false">IF(Arterial=0,IF(Informed=1,1,0),0)</f>
        <v>0</v>
      </c>
      <c r="AC696" s="43" t="n">
        <f aca="false">IF(Arterial=0,IF(Informed=0,1,0),0)</f>
        <v>0</v>
      </c>
      <c r="AD696" s="43" t="n">
        <f aca="false">IF(Arterial=1,IF(Informed=1,1,0),0)</f>
        <v>0</v>
      </c>
      <c r="AE696" s="43" t="n">
        <f aca="false">IF(Arterial=1,IF(Informed=0,1,0),0)</f>
        <v>1</v>
      </c>
      <c r="AF696" s="35" t="n">
        <f aca="false">IF(AB696=1,(X696-G$1030)^2,0)</f>
        <v>0</v>
      </c>
      <c r="AG696" s="35" t="n">
        <f aca="false">IF(AC696=1,(Y696-H$1030)^2,0)</f>
        <v>0</v>
      </c>
      <c r="AH696" s="35" t="n">
        <f aca="false">IF(AD696=1,(Z696-I$1030)^2,0)</f>
        <v>0</v>
      </c>
      <c r="AI696" s="35" t="n">
        <f aca="false">IF(AE696=1,(AA696-J$1030)^2,0)</f>
        <v>844.10634301972</v>
      </c>
      <c r="AJ696" s="37" t="n">
        <f aca="true">IF(RAND()&lt;$D$6,1,0)</f>
        <v>0</v>
      </c>
      <c r="AK696" s="14" t="n">
        <f aca="false">AK695+IF((AJ696=1),IF((H696=0),1,0),0)</f>
        <v>0</v>
      </c>
      <c r="AL696" s="14" t="n">
        <f aca="false">AL695+IF((AJ696=1),IF((H696=1),1,0),0)</f>
        <v>0</v>
      </c>
      <c r="AM696" s="37" t="n">
        <f aca="false">IF(AK696=0,9999,IF($H696=0,IF($AJ696&lt;1,AM695+1,0),AM695))</f>
        <v>9999</v>
      </c>
      <c r="AN696" s="37" t="n">
        <f aca="false">IF(AL696=0,9999,IF($H696=1,IF($AJ696&lt;1,AN695+1,0),AN695))</f>
        <v>9999</v>
      </c>
      <c r="AO696" s="37" t="n">
        <f aca="false">IF($A696-AM696&gt;0,1/(1+AM696),0)</f>
        <v>0</v>
      </c>
      <c r="AP696" s="37" t="n">
        <f aca="false">IF($A696-AN696&gt;0,1/(1+AN696),0)</f>
        <v>0</v>
      </c>
      <c r="AQ696" s="7" t="n">
        <f aca="false">IF(AK696=0,0,MAX(MIN(1,AO696^Power),0))</f>
        <v>0</v>
      </c>
      <c r="AR696" s="7" t="n">
        <f aca="false">IF(AL696=0,0,MAX(MIN(1,AP696^Power),0))</f>
        <v>0</v>
      </c>
      <c r="AS696" s="7" t="n">
        <f aca="false">IF($AJ696=1,IF($H696=0,K696,AS695),AS695)</f>
        <v>0</v>
      </c>
      <c r="AT696" s="7" t="n">
        <f aca="false">IF($AJ696=1,IF($H696=1,N696,AT695),AT695)</f>
        <v>0</v>
      </c>
    </row>
    <row r="697" customFormat="false" ht="13" hidden="false" customHeight="false" outlineLevel="0" collapsed="false">
      <c r="A697" s="16" t="n">
        <v>680</v>
      </c>
      <c r="B697" s="37" t="n">
        <f aca="true">IF(RAND()&lt;$D$8,1,0)</f>
        <v>0</v>
      </c>
      <c r="C697" s="20" t="n">
        <f aca="true">-LN(RAND())/$D$2</f>
        <v>0.595740819206664</v>
      </c>
      <c r="D697" s="38" t="n">
        <f aca="false">D696+C697</f>
        <v>709.99131720173</v>
      </c>
      <c r="E697" s="39" t="n">
        <f aca="false">MAX($E$3,AS696)</f>
        <v>0</v>
      </c>
      <c r="F697" s="39" t="n">
        <f aca="false">MAX($E$3,AT696)</f>
        <v>0</v>
      </c>
      <c r="G697" s="40" t="n">
        <v>0.5</v>
      </c>
      <c r="H697" s="38" t="n">
        <f aca="true">IF((B697=1),(IF((F697&lt;E697),1,(IF((F697=E697),(IF(RAND()&lt;G697,1,0)),0)))),(IF((RAND()&lt;G697),1,0)))</f>
        <v>0</v>
      </c>
      <c r="I697" s="38" t="n">
        <f aca="true">IF((H697=1),0,$D$3+$D$5*(RAND()-0.5))</f>
        <v>2.2381461163087</v>
      </c>
      <c r="J697" s="38" t="n">
        <f aca="false">I697+MAX(D697,J696)</f>
        <v>713.914599758932</v>
      </c>
      <c r="K697" s="38" t="n">
        <f aca="false">IF((H697=0),J697-D697,0)</f>
        <v>3.92328255720122</v>
      </c>
      <c r="L697" s="38" t="n">
        <f aca="true">IF(($H697=0),0,$D$4+$D$5*(RAND()-0.5))</f>
        <v>0</v>
      </c>
      <c r="M697" s="38" t="n">
        <f aca="false">L697+MAX(D697,M696)</f>
        <v>768.013359646607</v>
      </c>
      <c r="N697" s="38" t="n">
        <f aca="false">IF((H697=1),M697-D697,0)</f>
        <v>0</v>
      </c>
      <c r="O697" s="16" t="n">
        <v>680</v>
      </c>
      <c r="P697" s="41" t="n">
        <f aca="false">IF((Arterial=0),P696+1,P696)</f>
        <v>310</v>
      </c>
      <c r="Q697" s="41" t="n">
        <f aca="false">IF((Arterial=1),Q696+1,Q696)</f>
        <v>370</v>
      </c>
      <c r="R697" s="42" t="e">
        <f aca="false">IF((RESET=1),0,R697+K697)</f>
        <v>#N/A</v>
      </c>
      <c r="S697" s="14" t="n">
        <f aca="false">IF(RESET=1,0,S697+N697)</f>
        <v>700.655222260228</v>
      </c>
      <c r="T697" s="2" t="e">
        <f aca="false">IF(RESET=1,0,T697+IF(H697=0,1,0))</f>
        <v>#N/A</v>
      </c>
      <c r="U697" s="2" t="n">
        <f aca="false">IF(RESET=1,0,U697+H697)</f>
        <v>41</v>
      </c>
      <c r="V697" s="14" t="e">
        <f aca="false">R697/(T697+0.00001)</f>
        <v>#N/A</v>
      </c>
      <c r="W697" s="14" t="n">
        <f aca="false">S697/(U697+0.0001)</f>
        <v>17.0891100816883</v>
      </c>
      <c r="X697" s="39" t="n">
        <f aca="false">IF(Informed=1,K697,0)</f>
        <v>0</v>
      </c>
      <c r="Y697" s="39" t="n">
        <f aca="false">IF(Informed=0,K697,0)</f>
        <v>3.92328255720122</v>
      </c>
      <c r="Z697" s="39" t="n">
        <f aca="false">IF(Informed=1,N697,0)</f>
        <v>0</v>
      </c>
      <c r="AA697" s="39" t="n">
        <f aca="false">IF(Informed=0,N697,0)</f>
        <v>0</v>
      </c>
      <c r="AB697" s="43" t="n">
        <f aca="false">IF(Arterial=0,IF(Informed=1,1,0),0)</f>
        <v>0</v>
      </c>
      <c r="AC697" s="43" t="n">
        <f aca="false">IF(Arterial=0,IF(Informed=0,1,0),0)</f>
        <v>1</v>
      </c>
      <c r="AD697" s="43" t="n">
        <f aca="false">IF(Arterial=1,IF(Informed=1,1,0),0)</f>
        <v>0</v>
      </c>
      <c r="AE697" s="43" t="n">
        <f aca="false">IF(Arterial=1,IF(Informed=0,1,0),0)</f>
        <v>0</v>
      </c>
      <c r="AF697" s="35" t="n">
        <f aca="false">IF(AB697=1,(X697-G$1030)^2,0)</f>
        <v>0</v>
      </c>
      <c r="AG697" s="35" t="n">
        <f aca="false">IF(AC697=1,(Y697-H$1030)^2,0)</f>
        <v>49.007037961962</v>
      </c>
      <c r="AH697" s="35" t="n">
        <f aca="false">IF(AD697=1,(Z697-I$1030)^2,0)</f>
        <v>0</v>
      </c>
      <c r="AI697" s="35" t="n">
        <f aca="false">IF(AE697=1,(AA697-J$1030)^2,0)</f>
        <v>0</v>
      </c>
      <c r="AJ697" s="37" t="n">
        <f aca="true">IF(RAND()&lt;$D$6,1,0)</f>
        <v>0</v>
      </c>
      <c r="AK697" s="14" t="n">
        <f aca="false">AK696+IF((AJ697=1),IF((H697=0),1,0),0)</f>
        <v>0</v>
      </c>
      <c r="AL697" s="14" t="n">
        <f aca="false">AL696+IF((AJ697=1),IF((H697=1),1,0),0)</f>
        <v>0</v>
      </c>
      <c r="AM697" s="37" t="n">
        <f aca="false">IF(AK697=0,9999,IF($H697=0,IF($AJ697&lt;1,AM696+1,0),AM696))</f>
        <v>9999</v>
      </c>
      <c r="AN697" s="37" t="n">
        <f aca="false">IF(AL697=0,9999,IF($H697=1,IF($AJ697&lt;1,AN696+1,0),AN696))</f>
        <v>9999</v>
      </c>
      <c r="AO697" s="37" t="n">
        <f aca="false">IF($A697-AM697&gt;0,1/(1+AM697),0)</f>
        <v>0</v>
      </c>
      <c r="AP697" s="37" t="n">
        <f aca="false">IF($A697-AN697&gt;0,1/(1+AN697),0)</f>
        <v>0</v>
      </c>
      <c r="AQ697" s="7" t="n">
        <f aca="false">IF(AK697=0,0,MAX(MIN(1,AO697^Power),0))</f>
        <v>0</v>
      </c>
      <c r="AR697" s="7" t="n">
        <f aca="false">IF(AL697=0,0,MAX(MIN(1,AP697^Power),0))</f>
        <v>0</v>
      </c>
      <c r="AS697" s="7" t="n">
        <f aca="false">IF($AJ697=1,IF($H697=0,K697,AS696),AS696)</f>
        <v>0</v>
      </c>
      <c r="AT697" s="7" t="n">
        <f aca="false">IF($AJ697=1,IF($H697=1,N697,AT696),AT696)</f>
        <v>0</v>
      </c>
    </row>
    <row r="698" customFormat="false" ht="13" hidden="false" customHeight="false" outlineLevel="0" collapsed="false">
      <c r="A698" s="16" t="n">
        <v>681</v>
      </c>
      <c r="B698" s="37" t="n">
        <f aca="true">IF(RAND()&lt;$D$8,1,0)</f>
        <v>0</v>
      </c>
      <c r="C698" s="20" t="n">
        <f aca="true">-LN(RAND())/$D$2</f>
        <v>0.622752622306303</v>
      </c>
      <c r="D698" s="38" t="n">
        <f aca="false">D697+C698</f>
        <v>710.614069824037</v>
      </c>
      <c r="E698" s="39" t="n">
        <f aca="false">MAX($E$3,AS697)</f>
        <v>0</v>
      </c>
      <c r="F698" s="39" t="n">
        <f aca="false">MAX($E$3,AT697)</f>
        <v>0</v>
      </c>
      <c r="G698" s="40" t="n">
        <v>0.5</v>
      </c>
      <c r="H698" s="38" t="n">
        <f aca="true">IF((B698=1),(IF((F698&lt;E698),1,(IF((F698=E698),(IF(RAND()&lt;G698,1,0)),0)))),(IF((RAND()&lt;G698),1,0)))</f>
        <v>1</v>
      </c>
      <c r="I698" s="38" t="n">
        <f aca="true">IF((H698=1),0,$D$3+$D$5*(RAND()-0.5))</f>
        <v>0</v>
      </c>
      <c r="J698" s="38" t="n">
        <f aca="false">I698+MAX(D698,J697)</f>
        <v>713.914599758932</v>
      </c>
      <c r="K698" s="38" t="n">
        <f aca="false">IF((H698=0),J698-D698,0)</f>
        <v>0</v>
      </c>
      <c r="L698" s="38" t="n">
        <f aca="true">IF(($H698=0),0,$D$4+$D$5*(RAND()-0.5))</f>
        <v>2.08897389509439</v>
      </c>
      <c r="M698" s="38" t="n">
        <f aca="false">L698+MAX(D698,M697)</f>
        <v>770.102333541702</v>
      </c>
      <c r="N698" s="38" t="n">
        <f aca="false">IF((H698=1),M698-D698,0)</f>
        <v>59.4882637176651</v>
      </c>
      <c r="O698" s="16" t="n">
        <v>681</v>
      </c>
      <c r="P698" s="41" t="n">
        <f aca="false">IF((Arterial=0),P697+1,P697)</f>
        <v>310</v>
      </c>
      <c r="Q698" s="41" t="n">
        <f aca="false">IF((Arterial=1),Q697+1,Q697)</f>
        <v>371</v>
      </c>
      <c r="R698" s="42" t="n">
        <f aca="false">IF((RESET=1),0,R698+K698)</f>
        <v>781.839089743862</v>
      </c>
      <c r="S698" s="14" t="e">
        <f aca="false">IF(RESET=1,0,S698+N698)</f>
        <v>#N/A</v>
      </c>
      <c r="T698" s="2" t="n">
        <f aca="false">IF(RESET=1,0,T698+IF(H698=0,1,0))</f>
        <v>38</v>
      </c>
      <c r="U698" s="2" t="e">
        <f aca="false">IF(RESET=1,0,U698+H698)</f>
        <v>#N/A</v>
      </c>
      <c r="V698" s="14" t="n">
        <f aca="false">R698/(T698+0.00001)</f>
        <v>20.5747074735997</v>
      </c>
      <c r="W698" s="14" t="e">
        <f aca="false">S698/(U698+0.0001)</f>
        <v>#N/A</v>
      </c>
      <c r="X698" s="39" t="n">
        <f aca="false">IF(Informed=1,K698,0)</f>
        <v>0</v>
      </c>
      <c r="Y698" s="39" t="n">
        <f aca="false">IF(Informed=0,K698,0)</f>
        <v>0</v>
      </c>
      <c r="Z698" s="39" t="n">
        <f aca="false">IF(Informed=1,N698,0)</f>
        <v>0</v>
      </c>
      <c r="AA698" s="39" t="n">
        <f aca="false">IF(Informed=0,N698,0)</f>
        <v>59.4882637176651</v>
      </c>
      <c r="AB698" s="43" t="n">
        <f aca="false">IF(Arterial=0,IF(Informed=1,1,0),0)</f>
        <v>0</v>
      </c>
      <c r="AC698" s="43" t="n">
        <f aca="false">IF(Arterial=0,IF(Informed=0,1,0),0)</f>
        <v>0</v>
      </c>
      <c r="AD698" s="43" t="n">
        <f aca="false">IF(Arterial=1,IF(Informed=1,1,0),0)</f>
        <v>0</v>
      </c>
      <c r="AE698" s="43" t="n">
        <f aca="false">IF(Arterial=1,IF(Informed=0,1,0),0)</f>
        <v>1</v>
      </c>
      <c r="AF698" s="35" t="n">
        <f aca="false">IF(AB698=1,(X698-G$1030)^2,0)</f>
        <v>0</v>
      </c>
      <c r="AG698" s="35" t="n">
        <f aca="false">IF(AC698=1,(Y698-H$1030)^2,0)</f>
        <v>0</v>
      </c>
      <c r="AH698" s="35" t="n">
        <f aca="false">IF(AD698=1,(Z698-I$1030)^2,0)</f>
        <v>0</v>
      </c>
      <c r="AI698" s="35" t="n">
        <f aca="false">IF(AE698=1,(AA698-J$1030)^2,0)</f>
        <v>895.445101360524</v>
      </c>
      <c r="AJ698" s="37" t="n">
        <f aca="true">IF(RAND()&lt;$D$6,1,0)</f>
        <v>0</v>
      </c>
      <c r="AK698" s="14" t="n">
        <f aca="false">AK697+IF((AJ698=1),IF((H698=0),1,0),0)</f>
        <v>0</v>
      </c>
      <c r="AL698" s="14" t="n">
        <f aca="false">AL697+IF((AJ698=1),IF((H698=1),1,0),0)</f>
        <v>0</v>
      </c>
      <c r="AM698" s="37" t="n">
        <f aca="false">IF(AK698=0,9999,IF($H698=0,IF($AJ698&lt;1,AM697+1,0),AM697))</f>
        <v>9999</v>
      </c>
      <c r="AN698" s="37" t="n">
        <f aca="false">IF(AL698=0,9999,IF($H698=1,IF($AJ698&lt;1,AN697+1,0),AN697))</f>
        <v>9999</v>
      </c>
      <c r="AO698" s="37" t="n">
        <f aca="false">IF($A698-AM698&gt;0,1/(1+AM698),0)</f>
        <v>0</v>
      </c>
      <c r="AP698" s="37" t="n">
        <f aca="false">IF($A698-AN698&gt;0,1/(1+AN698),0)</f>
        <v>0</v>
      </c>
      <c r="AQ698" s="7" t="n">
        <f aca="false">IF(AK698=0,0,MAX(MIN(1,AO698^Power),0))</f>
        <v>0</v>
      </c>
      <c r="AR698" s="7" t="n">
        <f aca="false">IF(AL698=0,0,MAX(MIN(1,AP698^Power),0))</f>
        <v>0</v>
      </c>
      <c r="AS698" s="7" t="n">
        <f aca="false">IF($AJ698=1,IF($H698=0,K698,AS697),AS697)</f>
        <v>0</v>
      </c>
      <c r="AT698" s="7" t="n">
        <f aca="false">IF($AJ698=1,IF($H698=1,N698,AT697),AT697)</f>
        <v>0</v>
      </c>
    </row>
    <row r="699" customFormat="false" ht="13" hidden="false" customHeight="false" outlineLevel="0" collapsed="false">
      <c r="A699" s="16" t="n">
        <v>682</v>
      </c>
      <c r="B699" s="37" t="n">
        <f aca="true">IF(RAND()&lt;$D$8,1,0)</f>
        <v>1</v>
      </c>
      <c r="C699" s="20" t="n">
        <f aca="true">-LN(RAND())/$D$2</f>
        <v>2.95921444096459</v>
      </c>
      <c r="D699" s="38" t="n">
        <f aca="false">D698+C699</f>
        <v>713.573284265001</v>
      </c>
      <c r="E699" s="39" t="n">
        <f aca="false">MAX($E$3,AS698)</f>
        <v>0</v>
      </c>
      <c r="F699" s="39" t="n">
        <f aca="false">MAX($E$3,AT698)</f>
        <v>0</v>
      </c>
      <c r="G699" s="40" t="n">
        <v>0.5</v>
      </c>
      <c r="H699" s="38" t="n">
        <f aca="true">IF((B699=1),(IF((F699&lt;E699),1,(IF((F699=E699),(IF(RAND()&lt;G699,1,0)),0)))),(IF((RAND()&lt;G699),1,0)))</f>
        <v>0</v>
      </c>
      <c r="I699" s="38" t="n">
        <f aca="true">IF((H699=1),0,$D$3+$D$5*(RAND()-0.5))</f>
        <v>1.9623375332382</v>
      </c>
      <c r="J699" s="38" t="n">
        <f aca="false">I699+MAX(D699,J698)</f>
        <v>715.87693729217</v>
      </c>
      <c r="K699" s="38" t="n">
        <f aca="false">IF((H699=0),J699-D699,0)</f>
        <v>2.30365302716848</v>
      </c>
      <c r="L699" s="38" t="n">
        <f aca="true">IF(($H699=0),0,$D$4+$D$5*(RAND()-0.5))</f>
        <v>0</v>
      </c>
      <c r="M699" s="38" t="n">
        <f aca="false">L699+MAX(D699,M698)</f>
        <v>770.102333541702</v>
      </c>
      <c r="N699" s="38" t="n">
        <f aca="false">IF((H699=1),M699-D699,0)</f>
        <v>0</v>
      </c>
      <c r="O699" s="16" t="n">
        <v>682</v>
      </c>
      <c r="P699" s="41" t="n">
        <f aca="false">IF((Arterial=0),P698+1,P698)</f>
        <v>311</v>
      </c>
      <c r="Q699" s="41" t="n">
        <f aca="false">IF((Arterial=1),Q698+1,Q698)</f>
        <v>371</v>
      </c>
      <c r="R699" s="42" t="e">
        <f aca="false">IF((RESET=1),0,R699+K699)</f>
        <v>#N/A</v>
      </c>
      <c r="S699" s="14" t="n">
        <f aca="false">IF(RESET=1,0,S699+N699)</f>
        <v>640.483492318198</v>
      </c>
      <c r="T699" s="2" t="e">
        <f aca="false">IF(RESET=1,0,T699+IF(H699=0,1,0))</f>
        <v>#N/A</v>
      </c>
      <c r="U699" s="2" t="n">
        <f aca="false">IF(RESET=1,0,U699+H699)</f>
        <v>40</v>
      </c>
      <c r="V699" s="14" t="e">
        <f aca="false">R699/(T699+0.00001)</f>
        <v>#N/A</v>
      </c>
      <c r="W699" s="14" t="n">
        <f aca="false">S699/(U699+0.0001)</f>
        <v>16.0120472778368</v>
      </c>
      <c r="X699" s="39" t="n">
        <f aca="false">IF(Informed=1,K699,0)</f>
        <v>2.30365302716848</v>
      </c>
      <c r="Y699" s="39" t="n">
        <f aca="false">IF(Informed=0,K699,0)</f>
        <v>0</v>
      </c>
      <c r="Z699" s="39" t="n">
        <f aca="false">IF(Informed=1,N699,0)</f>
        <v>0</v>
      </c>
      <c r="AA699" s="39" t="n">
        <f aca="false">IF(Informed=0,N699,0)</f>
        <v>0</v>
      </c>
      <c r="AB699" s="43" t="n">
        <f aca="false">IF(Arterial=0,IF(Informed=1,1,0),0)</f>
        <v>1</v>
      </c>
      <c r="AC699" s="43" t="n">
        <f aca="false">IF(Arterial=0,IF(Informed=0,1,0),0)</f>
        <v>0</v>
      </c>
      <c r="AD699" s="43" t="n">
        <f aca="false">IF(Arterial=1,IF(Informed=1,1,0),0)</f>
        <v>0</v>
      </c>
      <c r="AE699" s="43" t="n">
        <f aca="false">IF(Arterial=1,IF(Informed=0,1,0),0)</f>
        <v>0</v>
      </c>
      <c r="AF699" s="35" t="n">
        <f aca="false">IF(AB699=1,(X699-G$1030)^2,0)</f>
        <v>70.661259908655</v>
      </c>
      <c r="AG699" s="35" t="n">
        <f aca="false">IF(AC699=1,(Y699-H$1030)^2,0)</f>
        <v>0</v>
      </c>
      <c r="AH699" s="35" t="n">
        <f aca="false">IF(AD699=1,(Z699-I$1030)^2,0)</f>
        <v>0</v>
      </c>
      <c r="AI699" s="35" t="n">
        <f aca="false">IF(AE699=1,(AA699-J$1030)^2,0)</f>
        <v>0</v>
      </c>
      <c r="AJ699" s="37" t="n">
        <f aca="true">IF(RAND()&lt;$D$6,1,0)</f>
        <v>0</v>
      </c>
      <c r="AK699" s="14" t="n">
        <f aca="false">AK698+IF((AJ699=1),IF((H699=0),1,0),0)</f>
        <v>0</v>
      </c>
      <c r="AL699" s="14" t="n">
        <f aca="false">AL698+IF((AJ699=1),IF((H699=1),1,0),0)</f>
        <v>0</v>
      </c>
      <c r="AM699" s="37" t="n">
        <f aca="false">IF(AK699=0,9999,IF($H699=0,IF($AJ699&lt;1,AM698+1,0),AM698))</f>
        <v>9999</v>
      </c>
      <c r="AN699" s="37" t="n">
        <f aca="false">IF(AL699=0,9999,IF($H699=1,IF($AJ699&lt;1,AN698+1,0),AN698))</f>
        <v>9999</v>
      </c>
      <c r="AO699" s="37" t="n">
        <f aca="false">IF($A699-AM699&gt;0,1/(1+AM699),0)</f>
        <v>0</v>
      </c>
      <c r="AP699" s="37" t="n">
        <f aca="false">IF($A699-AN699&gt;0,1/(1+AN699),0)</f>
        <v>0</v>
      </c>
      <c r="AQ699" s="7" t="n">
        <f aca="false">IF(AK699=0,0,MAX(MIN(1,AO699^Power),0))</f>
        <v>0</v>
      </c>
      <c r="AR699" s="7" t="n">
        <f aca="false">IF(AL699=0,0,MAX(MIN(1,AP699^Power),0))</f>
        <v>0</v>
      </c>
      <c r="AS699" s="7" t="n">
        <f aca="false">IF($AJ699=1,IF($H699=0,K699,AS698),AS698)</f>
        <v>0</v>
      </c>
      <c r="AT699" s="7" t="n">
        <f aca="false">IF($AJ699=1,IF($H699=1,N699,AT698),AT698)</f>
        <v>0</v>
      </c>
    </row>
    <row r="700" customFormat="false" ht="13" hidden="false" customHeight="false" outlineLevel="0" collapsed="false">
      <c r="A700" s="16" t="n">
        <v>683</v>
      </c>
      <c r="B700" s="37" t="n">
        <f aca="true">IF(RAND()&lt;$D$8,1,0)</f>
        <v>1</v>
      </c>
      <c r="C700" s="20" t="n">
        <f aca="true">-LN(RAND())/$D$2</f>
        <v>0.891949890685157</v>
      </c>
      <c r="D700" s="38" t="n">
        <f aca="false">D699+C700</f>
        <v>714.465234155686</v>
      </c>
      <c r="E700" s="39" t="n">
        <f aca="false">MAX($E$3,AS699)</f>
        <v>0</v>
      </c>
      <c r="F700" s="39" t="n">
        <f aca="false">MAX($E$3,AT699)</f>
        <v>0</v>
      </c>
      <c r="G700" s="40" t="n">
        <v>0.5</v>
      </c>
      <c r="H700" s="38" t="n">
        <f aca="true">IF((B700=1),(IF((F700&lt;E700),1,(IF((F700=E700),(IF(RAND()&lt;G700,1,0)),0)))),(IF((RAND()&lt;G700),1,0)))</f>
        <v>0</v>
      </c>
      <c r="I700" s="38" t="n">
        <f aca="true">IF((H700=1),0,$D$3+$D$5*(RAND()-0.5))</f>
        <v>2.06378915053601</v>
      </c>
      <c r="J700" s="38" t="n">
        <f aca="false">I700+MAX(D700,J699)</f>
        <v>717.940726442706</v>
      </c>
      <c r="K700" s="38" t="n">
        <f aca="false">IF((H700=0),J700-D700,0)</f>
        <v>3.47549228701928</v>
      </c>
      <c r="L700" s="38" t="n">
        <f aca="true">IF(($H700=0),0,$D$4+$D$5*(RAND()-0.5))</f>
        <v>0</v>
      </c>
      <c r="M700" s="38" t="n">
        <f aca="false">L700+MAX(D700,M699)</f>
        <v>770.102333541702</v>
      </c>
      <c r="N700" s="38" t="n">
        <f aca="false">IF((H700=1),M700-D700,0)</f>
        <v>0</v>
      </c>
      <c r="O700" s="16" t="n">
        <v>683</v>
      </c>
      <c r="P700" s="41" t="n">
        <f aca="false">IF((Arterial=0),P699+1,P699)</f>
        <v>312</v>
      </c>
      <c r="Q700" s="41" t="n">
        <f aca="false">IF((Arterial=1),Q699+1,Q699)</f>
        <v>371</v>
      </c>
      <c r="R700" s="42" t="e">
        <f aca="false">IF((RESET=1),0,R700+K700)</f>
        <v>#N/A</v>
      </c>
      <c r="S700" s="14" t="n">
        <f aca="false">IF(RESET=1,0,S700+N700)</f>
        <v>729.057279111822</v>
      </c>
      <c r="T700" s="2" t="e">
        <f aca="false">IF(RESET=1,0,T700+IF(H700=0,1,0))</f>
        <v>#N/A</v>
      </c>
      <c r="U700" s="2" t="n">
        <f aca="false">IF(RESET=1,0,U700+H700)</f>
        <v>42</v>
      </c>
      <c r="V700" s="14" t="e">
        <f aca="false">R700/(T700+0.00001)</f>
        <v>#N/A</v>
      </c>
      <c r="W700" s="14" t="n">
        <f aca="false">S700/(U700+0.0001)</f>
        <v>17.3584653158403</v>
      </c>
      <c r="X700" s="39" t="n">
        <f aca="false">IF(Informed=1,K700,0)</f>
        <v>3.47549228701928</v>
      </c>
      <c r="Y700" s="39" t="n">
        <f aca="false">IF(Informed=0,K700,0)</f>
        <v>0</v>
      </c>
      <c r="Z700" s="39" t="n">
        <f aca="false">IF(Informed=1,N700,0)</f>
        <v>0</v>
      </c>
      <c r="AA700" s="39" t="n">
        <f aca="false">IF(Informed=0,N700,0)</f>
        <v>0</v>
      </c>
      <c r="AB700" s="43" t="n">
        <f aca="false">IF(Arterial=0,IF(Informed=1,1,0),0)</f>
        <v>1</v>
      </c>
      <c r="AC700" s="43" t="n">
        <f aca="false">IF(Arterial=0,IF(Informed=0,1,0),0)</f>
        <v>0</v>
      </c>
      <c r="AD700" s="43" t="n">
        <f aca="false">IF(Arterial=1,IF(Informed=1,1,0),0)</f>
        <v>0</v>
      </c>
      <c r="AE700" s="43" t="n">
        <f aca="false">IF(Arterial=1,IF(Informed=0,1,0),0)</f>
        <v>0</v>
      </c>
      <c r="AF700" s="35" t="n">
        <f aca="false">IF(AB700=1,(X700-G$1030)^2,0)</f>
        <v>52.3334464280317</v>
      </c>
      <c r="AG700" s="35" t="n">
        <f aca="false">IF(AC700=1,(Y700-H$1030)^2,0)</f>
        <v>0</v>
      </c>
      <c r="AH700" s="35" t="n">
        <f aca="false">IF(AD700=1,(Z700-I$1030)^2,0)</f>
        <v>0</v>
      </c>
      <c r="AI700" s="35" t="n">
        <f aca="false">IF(AE700=1,(AA700-J$1030)^2,0)</f>
        <v>0</v>
      </c>
      <c r="AJ700" s="37" t="n">
        <f aca="true">IF(RAND()&lt;$D$6,1,0)</f>
        <v>0</v>
      </c>
      <c r="AK700" s="14" t="n">
        <f aca="false">AK699+IF((AJ700=1),IF((H700=0),1,0),0)</f>
        <v>0</v>
      </c>
      <c r="AL700" s="14" t="n">
        <f aca="false">AL699+IF((AJ700=1),IF((H700=1),1,0),0)</f>
        <v>0</v>
      </c>
      <c r="AM700" s="37" t="n">
        <f aca="false">IF(AK700=0,9999,IF($H700=0,IF($AJ700&lt;1,AM699+1,0),AM699))</f>
        <v>9999</v>
      </c>
      <c r="AN700" s="37" t="n">
        <f aca="false">IF(AL700=0,9999,IF($H700=1,IF($AJ700&lt;1,AN699+1,0),AN699))</f>
        <v>9999</v>
      </c>
      <c r="AO700" s="37" t="n">
        <f aca="false">IF($A700-AM700&gt;0,1/(1+AM700),0)</f>
        <v>0</v>
      </c>
      <c r="AP700" s="37" t="n">
        <f aca="false">IF($A700-AN700&gt;0,1/(1+AN700),0)</f>
        <v>0</v>
      </c>
      <c r="AQ700" s="7" t="n">
        <f aca="false">IF(AK700=0,0,MAX(MIN(1,AO700^Power),0))</f>
        <v>0</v>
      </c>
      <c r="AR700" s="7" t="n">
        <f aca="false">IF(AL700=0,0,MAX(MIN(1,AP700^Power),0))</f>
        <v>0</v>
      </c>
      <c r="AS700" s="7" t="n">
        <f aca="false">IF($AJ700=1,IF($H700=0,K700,AS699),AS699)</f>
        <v>0</v>
      </c>
      <c r="AT700" s="7" t="n">
        <f aca="false">IF($AJ700=1,IF($H700=1,N700,AT699),AT699)</f>
        <v>0</v>
      </c>
    </row>
    <row r="701" customFormat="false" ht="13" hidden="false" customHeight="false" outlineLevel="0" collapsed="false">
      <c r="A701" s="16" t="n">
        <v>684</v>
      </c>
      <c r="B701" s="37" t="n">
        <f aca="true">IF(RAND()&lt;$D$8,1,0)</f>
        <v>1</v>
      </c>
      <c r="C701" s="20" t="n">
        <f aca="true">-LN(RAND())/$D$2</f>
        <v>0.150654596094394</v>
      </c>
      <c r="D701" s="38" t="n">
        <f aca="false">D700+C701</f>
        <v>714.615888751781</v>
      </c>
      <c r="E701" s="39" t="n">
        <f aca="false">MAX($E$3,AS700)</f>
        <v>0</v>
      </c>
      <c r="F701" s="39" t="n">
        <f aca="false">MAX($E$3,AT700)</f>
        <v>0</v>
      </c>
      <c r="G701" s="40" t="n">
        <v>0.5</v>
      </c>
      <c r="H701" s="38" t="n">
        <f aca="true">IF((B701=1),(IF((F701&lt;E701),1,(IF((F701=E701),(IF(RAND()&lt;G701,1,0)),0)))),(IF((RAND()&lt;G701),1,0)))</f>
        <v>1</v>
      </c>
      <c r="I701" s="38" t="n">
        <f aca="true">IF((H701=1),0,$D$3+$D$5*(RAND()-0.5))</f>
        <v>0</v>
      </c>
      <c r="J701" s="38" t="n">
        <f aca="false">I701+MAX(D701,J700)</f>
        <v>717.940726442706</v>
      </c>
      <c r="K701" s="38" t="n">
        <f aca="false">IF((H701=0),J701-D701,0)</f>
        <v>0</v>
      </c>
      <c r="L701" s="38" t="n">
        <f aca="true">IF(($H701=0),0,$D$4+$D$5*(RAND()-0.5))</f>
        <v>1.81244843313715</v>
      </c>
      <c r="M701" s="38" t="n">
        <f aca="false">L701+MAX(D701,M700)</f>
        <v>771.914781974839</v>
      </c>
      <c r="N701" s="38" t="n">
        <f aca="false">IF((H701=1),M701-D701,0)</f>
        <v>57.2988932230581</v>
      </c>
      <c r="O701" s="16" t="n">
        <v>684</v>
      </c>
      <c r="P701" s="41" t="n">
        <f aca="false">IF((Arterial=0),P700+1,P700)</f>
        <v>312</v>
      </c>
      <c r="Q701" s="41" t="n">
        <f aca="false">IF((Arterial=1),Q700+1,Q700)</f>
        <v>372</v>
      </c>
      <c r="R701" s="42" t="n">
        <f aca="false">IF((RESET=1),0,R701+K701)</f>
        <v>962.91754520331</v>
      </c>
      <c r="S701" s="14" t="e">
        <f aca="false">IF(RESET=1,0,S701+N701)</f>
        <v>#N/A</v>
      </c>
      <c r="T701" s="2" t="n">
        <f aca="false">IF(RESET=1,0,T701+IF(H701=0,1,0))</f>
        <v>43</v>
      </c>
      <c r="U701" s="2" t="e">
        <f aca="false">IF(RESET=1,0,U701+H701)</f>
        <v>#N/A</v>
      </c>
      <c r="V701" s="14" t="n">
        <f aca="false">R701/(T701+0.00001)</f>
        <v>22.3934260760244</v>
      </c>
      <c r="W701" s="14" t="e">
        <f aca="false">S701/(U701+0.0001)</f>
        <v>#N/A</v>
      </c>
      <c r="X701" s="39" t="n">
        <f aca="false">IF(Informed=1,K701,0)</f>
        <v>0</v>
      </c>
      <c r="Y701" s="39" t="n">
        <f aca="false">IF(Informed=0,K701,0)</f>
        <v>0</v>
      </c>
      <c r="Z701" s="39" t="n">
        <f aca="false">IF(Informed=1,N701,0)</f>
        <v>57.2988932230581</v>
      </c>
      <c r="AA701" s="39" t="n">
        <f aca="false">IF(Informed=0,N701,0)</f>
        <v>0</v>
      </c>
      <c r="AB701" s="43" t="n">
        <f aca="false">IF(Arterial=0,IF(Informed=1,1,0),0)</f>
        <v>0</v>
      </c>
      <c r="AC701" s="43" t="n">
        <f aca="false">IF(Arterial=0,IF(Informed=0,1,0),0)</f>
        <v>0</v>
      </c>
      <c r="AD701" s="43" t="n">
        <f aca="false">IF(Arterial=1,IF(Informed=1,1,0),0)</f>
        <v>1</v>
      </c>
      <c r="AE701" s="43" t="n">
        <f aca="false">IF(Arterial=1,IF(Informed=0,1,0),0)</f>
        <v>0</v>
      </c>
      <c r="AF701" s="35" t="n">
        <f aca="false">IF(AB701=1,(X701-G$1030)^2,0)</f>
        <v>0</v>
      </c>
      <c r="AG701" s="35" t="n">
        <f aca="false">IF(AC701=1,(Y701-H$1030)^2,0)</f>
        <v>0</v>
      </c>
      <c r="AH701" s="35" t="n">
        <f aca="false">IF(AD701=1,(Z701-I$1030)^2,0)</f>
        <v>836.601156051763</v>
      </c>
      <c r="AI701" s="35" t="n">
        <f aca="false">IF(AE701=1,(AA701-J$1030)^2,0)</f>
        <v>0</v>
      </c>
      <c r="AJ701" s="37" t="n">
        <f aca="true">IF(RAND()&lt;$D$6,1,0)</f>
        <v>0</v>
      </c>
      <c r="AK701" s="14" t="n">
        <f aca="false">AK700+IF((AJ701=1),IF((H701=0),1,0),0)</f>
        <v>0</v>
      </c>
      <c r="AL701" s="14" t="n">
        <f aca="false">AL700+IF((AJ701=1),IF((H701=1),1,0),0)</f>
        <v>0</v>
      </c>
      <c r="AM701" s="37" t="n">
        <f aca="false">IF(AK701=0,9999,IF($H701=0,IF($AJ701&lt;1,AM700+1,0),AM700))</f>
        <v>9999</v>
      </c>
      <c r="AN701" s="37" t="n">
        <f aca="false">IF(AL701=0,9999,IF($H701=1,IF($AJ701&lt;1,AN700+1,0),AN700))</f>
        <v>9999</v>
      </c>
      <c r="AO701" s="37" t="n">
        <f aca="false">IF($A701-AM701&gt;0,1/(1+AM701),0)</f>
        <v>0</v>
      </c>
      <c r="AP701" s="37" t="n">
        <f aca="false">IF($A701-AN701&gt;0,1/(1+AN701),0)</f>
        <v>0</v>
      </c>
      <c r="AQ701" s="7" t="n">
        <f aca="false">IF(AK701=0,0,MAX(MIN(1,AO701^Power),0))</f>
        <v>0</v>
      </c>
      <c r="AR701" s="7" t="n">
        <f aca="false">IF(AL701=0,0,MAX(MIN(1,AP701^Power),0))</f>
        <v>0</v>
      </c>
      <c r="AS701" s="7" t="n">
        <f aca="false">IF($AJ701=1,IF($H701=0,K701,AS700),AS700)</f>
        <v>0</v>
      </c>
      <c r="AT701" s="7" t="n">
        <f aca="false">IF($AJ701=1,IF($H701=1,N701,AT700),AT700)</f>
        <v>0</v>
      </c>
    </row>
    <row r="702" customFormat="false" ht="13" hidden="false" customHeight="false" outlineLevel="0" collapsed="false">
      <c r="A702" s="16" t="n">
        <v>685</v>
      </c>
      <c r="B702" s="37" t="n">
        <f aca="true">IF(RAND()&lt;$D$8,1,0)</f>
        <v>1</v>
      </c>
      <c r="C702" s="20" t="n">
        <f aca="true">-LN(RAND())/$D$2</f>
        <v>0.423913762037136</v>
      </c>
      <c r="D702" s="38" t="n">
        <f aca="false">D701+C702</f>
        <v>715.039802513818</v>
      </c>
      <c r="E702" s="39" t="n">
        <f aca="false">MAX($E$3,AS701)</f>
        <v>0</v>
      </c>
      <c r="F702" s="39" t="n">
        <f aca="false">MAX($E$3,AT701)</f>
        <v>0</v>
      </c>
      <c r="G702" s="40" t="n">
        <v>0.5</v>
      </c>
      <c r="H702" s="38" t="n">
        <f aca="true">IF((B702=1),(IF((F702&lt;E702),1,(IF((F702=E702),(IF(RAND()&lt;G702,1,0)),0)))),(IF((RAND()&lt;G702),1,0)))</f>
        <v>1</v>
      </c>
      <c r="I702" s="38" t="n">
        <f aca="true">IF((H702=1),0,$D$3+$D$5*(RAND()-0.5))</f>
        <v>0</v>
      </c>
      <c r="J702" s="38" t="n">
        <f aca="false">I702+MAX(D702,J701)</f>
        <v>717.940726442706</v>
      </c>
      <c r="K702" s="38" t="n">
        <f aca="false">IF((H702=0),J702-D702,0)</f>
        <v>0</v>
      </c>
      <c r="L702" s="38" t="n">
        <f aca="true">IF(($H702=0),0,$D$4+$D$5*(RAND()-0.5))</f>
        <v>2.01213674260427</v>
      </c>
      <c r="M702" s="38" t="n">
        <f aca="false">L702+MAX(D702,M701)</f>
        <v>773.926918717443</v>
      </c>
      <c r="N702" s="38" t="n">
        <f aca="false">IF((H702=1),M702-D702,0)</f>
        <v>58.8871162036253</v>
      </c>
      <c r="O702" s="16" t="n">
        <v>685</v>
      </c>
      <c r="P702" s="41" t="n">
        <f aca="false">IF((Arterial=0),P701+1,P701)</f>
        <v>312</v>
      </c>
      <c r="Q702" s="41" t="n">
        <f aca="false">IF((Arterial=1),Q701+1,Q701)</f>
        <v>373</v>
      </c>
      <c r="R702" s="42" t="n">
        <f aca="false">IF((RESET=1),0,R702+K702)</f>
        <v>684.27008788348</v>
      </c>
      <c r="S702" s="14" t="e">
        <f aca="false">IF(RESET=1,0,S702+N702)</f>
        <v>#N/A</v>
      </c>
      <c r="T702" s="2" t="n">
        <f aca="false">IF(RESET=1,0,T702+IF(H702=0,1,0))</f>
        <v>33</v>
      </c>
      <c r="U702" s="2" t="e">
        <f aca="false">IF(RESET=1,0,U702+H702)</f>
        <v>#N/A</v>
      </c>
      <c r="V702" s="14" t="n">
        <f aca="false">R702/(T702+0.00001)</f>
        <v>20.7354509251203</v>
      </c>
      <c r="W702" s="14" t="e">
        <f aca="false">S702/(U702+0.0001)</f>
        <v>#N/A</v>
      </c>
      <c r="X702" s="39" t="n">
        <f aca="false">IF(Informed=1,K702,0)</f>
        <v>0</v>
      </c>
      <c r="Y702" s="39" t="n">
        <f aca="false">IF(Informed=0,K702,0)</f>
        <v>0</v>
      </c>
      <c r="Z702" s="39" t="n">
        <f aca="false">IF(Informed=1,N702,0)</f>
        <v>58.8871162036253</v>
      </c>
      <c r="AA702" s="39" t="n">
        <f aca="false">IF(Informed=0,N702,0)</f>
        <v>0</v>
      </c>
      <c r="AB702" s="43" t="n">
        <f aca="false">IF(Arterial=0,IF(Informed=1,1,0),0)</f>
        <v>0</v>
      </c>
      <c r="AC702" s="43" t="n">
        <f aca="false">IF(Arterial=0,IF(Informed=0,1,0),0)</f>
        <v>0</v>
      </c>
      <c r="AD702" s="43" t="n">
        <f aca="false">IF(Arterial=1,IF(Informed=1,1,0),0)</f>
        <v>1</v>
      </c>
      <c r="AE702" s="43" t="n">
        <f aca="false">IF(Arterial=1,IF(Informed=0,1,0),0)</f>
        <v>0</v>
      </c>
      <c r="AF702" s="35" t="n">
        <f aca="false">IF(AB702=1,(X702-G$1030)^2,0)</f>
        <v>0</v>
      </c>
      <c r="AG702" s="35" t="n">
        <f aca="false">IF(AC702=1,(Y702-H$1030)^2,0)</f>
        <v>0</v>
      </c>
      <c r="AH702" s="35" t="n">
        <f aca="false">IF(AD702=1,(Z702-I$1030)^2,0)</f>
        <v>930.999316866785</v>
      </c>
      <c r="AI702" s="35" t="n">
        <f aca="false">IF(AE702=1,(AA702-J$1030)^2,0)</f>
        <v>0</v>
      </c>
      <c r="AJ702" s="37" t="n">
        <f aca="true">IF(RAND()&lt;$D$6,1,0)</f>
        <v>0</v>
      </c>
      <c r="AK702" s="14" t="n">
        <f aca="false">AK701+IF((AJ702=1),IF((H702=0),1,0),0)</f>
        <v>0</v>
      </c>
      <c r="AL702" s="14" t="n">
        <f aca="false">AL701+IF((AJ702=1),IF((H702=1),1,0),0)</f>
        <v>0</v>
      </c>
      <c r="AM702" s="37" t="n">
        <f aca="false">IF(AK702=0,9999,IF($H702=0,IF($AJ702&lt;1,AM701+1,0),AM701))</f>
        <v>9999</v>
      </c>
      <c r="AN702" s="37" t="n">
        <f aca="false">IF(AL702=0,9999,IF($H702=1,IF($AJ702&lt;1,AN701+1,0),AN701))</f>
        <v>9999</v>
      </c>
      <c r="AO702" s="37" t="n">
        <f aca="false">IF($A702-AM702&gt;0,1/(1+AM702),0)</f>
        <v>0</v>
      </c>
      <c r="AP702" s="37" t="n">
        <f aca="false">IF($A702-AN702&gt;0,1/(1+AN702),0)</f>
        <v>0</v>
      </c>
      <c r="AQ702" s="7" t="n">
        <f aca="false">IF(AK702=0,0,MAX(MIN(1,AO702^Power),0))</f>
        <v>0</v>
      </c>
      <c r="AR702" s="7" t="n">
        <f aca="false">IF(AL702=0,0,MAX(MIN(1,AP702^Power),0))</f>
        <v>0</v>
      </c>
      <c r="AS702" s="7" t="n">
        <f aca="false">IF($AJ702=1,IF($H702=0,K702,AS701),AS701)</f>
        <v>0</v>
      </c>
      <c r="AT702" s="7" t="n">
        <f aca="false">IF($AJ702=1,IF($H702=1,N702,AT701),AT701)</f>
        <v>0</v>
      </c>
    </row>
    <row r="703" customFormat="false" ht="13" hidden="false" customHeight="false" outlineLevel="0" collapsed="false">
      <c r="A703" s="16" t="n">
        <v>686</v>
      </c>
      <c r="B703" s="37" t="n">
        <f aca="true">IF(RAND()&lt;$D$8,1,0)</f>
        <v>0</v>
      </c>
      <c r="C703" s="20" t="n">
        <f aca="true">-LN(RAND())/$D$2</f>
        <v>5.18970253203499</v>
      </c>
      <c r="D703" s="38" t="n">
        <f aca="false">D702+C703</f>
        <v>720.229505045853</v>
      </c>
      <c r="E703" s="39" t="n">
        <f aca="false">MAX($E$3,AS702)</f>
        <v>0</v>
      </c>
      <c r="F703" s="39" t="n">
        <f aca="false">MAX($E$3,AT702)</f>
        <v>0</v>
      </c>
      <c r="G703" s="40" t="n">
        <v>0.5</v>
      </c>
      <c r="H703" s="38" t="n">
        <f aca="true">IF((B703=1),(IF((F703&lt;E703),1,(IF((F703=E703),(IF(RAND()&lt;G703,1,0)),0)))),(IF((RAND()&lt;G703),1,0)))</f>
        <v>1</v>
      </c>
      <c r="I703" s="38" t="n">
        <f aca="true">IF((H703=1),0,$D$3+$D$5*(RAND()-0.5))</f>
        <v>0</v>
      </c>
      <c r="J703" s="38" t="n">
        <f aca="false">I703+MAX(D703,J702)</f>
        <v>720.229505045853</v>
      </c>
      <c r="K703" s="38" t="n">
        <f aca="false">IF((H703=0),J703-D703,0)</f>
        <v>0</v>
      </c>
      <c r="L703" s="38" t="n">
        <f aca="true">IF(($H703=0),0,$D$4+$D$5*(RAND()-0.5))</f>
        <v>2.1896806067412</v>
      </c>
      <c r="M703" s="38" t="n">
        <f aca="false">L703+MAX(D703,M702)</f>
        <v>776.116599324184</v>
      </c>
      <c r="N703" s="38" t="n">
        <f aca="false">IF((H703=1),M703-D703,0)</f>
        <v>55.8870942783315</v>
      </c>
      <c r="O703" s="16" t="n">
        <v>686</v>
      </c>
      <c r="P703" s="41" t="n">
        <f aca="false">IF((Arterial=0),P702+1,P702)</f>
        <v>312</v>
      </c>
      <c r="Q703" s="41" t="n">
        <f aca="false">IF((Arterial=1),Q702+1,Q702)</f>
        <v>374</v>
      </c>
      <c r="R703" s="42" t="n">
        <f aca="false">IF((RESET=1),0,R703+K703)</f>
        <v>1129.50535079649</v>
      </c>
      <c r="S703" s="14" t="e">
        <f aca="false">IF(RESET=1,0,S703+N703)</f>
        <v>#N/A</v>
      </c>
      <c r="T703" s="2" t="n">
        <f aca="false">IF(RESET=1,0,T703+IF(H703=0,1,0))</f>
        <v>45</v>
      </c>
      <c r="U703" s="2" t="e">
        <f aca="false">IF(RESET=1,0,U703+H703)</f>
        <v>#N/A</v>
      </c>
      <c r="V703" s="14" t="n">
        <f aca="false">R703/(T703+0.00001)</f>
        <v>25.1001133287857</v>
      </c>
      <c r="W703" s="14" t="e">
        <f aca="false">S703/(U703+0.0001)</f>
        <v>#N/A</v>
      </c>
      <c r="X703" s="39" t="n">
        <f aca="false">IF(Informed=1,K703,0)</f>
        <v>0</v>
      </c>
      <c r="Y703" s="39" t="n">
        <f aca="false">IF(Informed=0,K703,0)</f>
        <v>0</v>
      </c>
      <c r="Z703" s="39" t="n">
        <f aca="false">IF(Informed=1,N703,0)</f>
        <v>0</v>
      </c>
      <c r="AA703" s="39" t="n">
        <f aca="false">IF(Informed=0,N703,0)</f>
        <v>55.8870942783315</v>
      </c>
      <c r="AB703" s="43" t="n">
        <f aca="false">IF(Arterial=0,IF(Informed=1,1,0),0)</f>
        <v>0</v>
      </c>
      <c r="AC703" s="43" t="n">
        <f aca="false">IF(Arterial=0,IF(Informed=0,1,0),0)</f>
        <v>0</v>
      </c>
      <c r="AD703" s="43" t="n">
        <f aca="false">IF(Arterial=1,IF(Informed=1,1,0),0)</f>
        <v>0</v>
      </c>
      <c r="AE703" s="43" t="n">
        <f aca="false">IF(Arterial=1,IF(Informed=0,1,0),0)</f>
        <v>1</v>
      </c>
      <c r="AF703" s="35" t="n">
        <f aca="false">IF(AB703=1,(X703-G$1030)^2,0)</f>
        <v>0</v>
      </c>
      <c r="AG703" s="35" t="n">
        <f aca="false">IF(AC703=1,(Y703-H$1030)^2,0)</f>
        <v>0</v>
      </c>
      <c r="AH703" s="35" t="n">
        <f aca="false">IF(AD703=1,(Z703-I$1030)^2,0)</f>
        <v>0</v>
      </c>
      <c r="AI703" s="35" t="n">
        <f aca="false">IF(AE703=1,(AA703-J$1030)^2,0)</f>
        <v>692.890815274805</v>
      </c>
      <c r="AJ703" s="37" t="n">
        <f aca="true">IF(RAND()&lt;$D$6,1,0)</f>
        <v>0</v>
      </c>
      <c r="AK703" s="14" t="n">
        <f aca="false">AK702+IF((AJ703=1),IF((H703=0),1,0),0)</f>
        <v>0</v>
      </c>
      <c r="AL703" s="14" t="n">
        <f aca="false">AL702+IF((AJ703=1),IF((H703=1),1,0),0)</f>
        <v>0</v>
      </c>
      <c r="AM703" s="37" t="n">
        <f aca="false">IF(AK703=0,9999,IF($H703=0,IF($AJ703&lt;1,AM702+1,0),AM702))</f>
        <v>9999</v>
      </c>
      <c r="AN703" s="37" t="n">
        <f aca="false">IF(AL703=0,9999,IF($H703=1,IF($AJ703&lt;1,AN702+1,0),AN702))</f>
        <v>9999</v>
      </c>
      <c r="AO703" s="37" t="n">
        <f aca="false">IF($A703-AM703&gt;0,1/(1+AM703),0)</f>
        <v>0</v>
      </c>
      <c r="AP703" s="37" t="n">
        <f aca="false">IF($A703-AN703&gt;0,1/(1+AN703),0)</f>
        <v>0</v>
      </c>
      <c r="AQ703" s="7" t="n">
        <f aca="false">IF(AK703=0,0,MAX(MIN(1,AO703^Power),0))</f>
        <v>0</v>
      </c>
      <c r="AR703" s="7" t="n">
        <f aca="false">IF(AL703=0,0,MAX(MIN(1,AP703^Power),0))</f>
        <v>0</v>
      </c>
      <c r="AS703" s="7" t="n">
        <f aca="false">IF($AJ703=1,IF($H703=0,K703,AS702),AS702)</f>
        <v>0</v>
      </c>
      <c r="AT703" s="7" t="n">
        <f aca="false">IF($AJ703=1,IF($H703=1,N703,AT702),AT702)</f>
        <v>0</v>
      </c>
    </row>
    <row r="704" customFormat="false" ht="13" hidden="false" customHeight="false" outlineLevel="0" collapsed="false">
      <c r="A704" s="16" t="n">
        <v>687</v>
      </c>
      <c r="B704" s="37" t="n">
        <f aca="true">IF(RAND()&lt;$D$8,1,0)</f>
        <v>1</v>
      </c>
      <c r="C704" s="20" t="n">
        <f aca="true">-LN(RAND())/$D$2</f>
        <v>0.983076960160298</v>
      </c>
      <c r="D704" s="38" t="n">
        <f aca="false">D703+C704</f>
        <v>721.212582006013</v>
      </c>
      <c r="E704" s="39" t="n">
        <f aca="false">MAX($E$3,AS703)</f>
        <v>0</v>
      </c>
      <c r="F704" s="39" t="n">
        <f aca="false">MAX($E$3,AT703)</f>
        <v>0</v>
      </c>
      <c r="G704" s="40" t="n">
        <v>0.5</v>
      </c>
      <c r="H704" s="38" t="n">
        <f aca="true">IF((B704=1),(IF((F704&lt;E704),1,(IF((F704=E704),(IF(RAND()&lt;G704,1,0)),0)))),(IF((RAND()&lt;G704),1,0)))</f>
        <v>1</v>
      </c>
      <c r="I704" s="38" t="n">
        <f aca="true">IF((H704=1),0,$D$3+$D$5*(RAND()-0.5))</f>
        <v>0</v>
      </c>
      <c r="J704" s="38" t="n">
        <f aca="false">I704+MAX(D704,J703)</f>
        <v>721.212582006013</v>
      </c>
      <c r="K704" s="38" t="n">
        <f aca="false">IF((H704=0),J704-D704,0)</f>
        <v>0</v>
      </c>
      <c r="L704" s="38" t="n">
        <f aca="true">IF(($H704=0),0,$D$4+$D$5*(RAND()-0.5))</f>
        <v>2.22840297438775</v>
      </c>
      <c r="M704" s="38" t="n">
        <f aca="false">L704+MAX(D704,M703)</f>
        <v>778.345002298572</v>
      </c>
      <c r="N704" s="38" t="n">
        <f aca="false">IF((H704=1),M704-D704,0)</f>
        <v>57.132420292559</v>
      </c>
      <c r="O704" s="16" t="n">
        <v>687</v>
      </c>
      <c r="P704" s="41" t="n">
        <f aca="false">IF((Arterial=0),P703+1,P703)</f>
        <v>312</v>
      </c>
      <c r="Q704" s="41" t="n">
        <f aca="false">IF((Arterial=1),Q703+1,Q703)</f>
        <v>375</v>
      </c>
      <c r="R704" s="42" t="n">
        <f aca="false">IF((RESET=1),0,R704+K704)</f>
        <v>1003.49317412709</v>
      </c>
      <c r="S704" s="14" t="e">
        <f aca="false">IF(RESET=1,0,S704+N704)</f>
        <v>#N/A</v>
      </c>
      <c r="T704" s="2" t="n">
        <f aca="false">IF(RESET=1,0,T704+IF(H704=0,1,0))</f>
        <v>48</v>
      </c>
      <c r="U704" s="2" t="e">
        <f aca="false">IF(RESET=1,0,U704+H704)</f>
        <v>#N/A</v>
      </c>
      <c r="V704" s="14" t="n">
        <f aca="false">R704/(T704+0.00001)</f>
        <v>20.9061034388761</v>
      </c>
      <c r="W704" s="14" t="e">
        <f aca="false">S704/(U704+0.0001)</f>
        <v>#N/A</v>
      </c>
      <c r="X704" s="39" t="n">
        <f aca="false">IF(Informed=1,K704,0)</f>
        <v>0</v>
      </c>
      <c r="Y704" s="39" t="n">
        <f aca="false">IF(Informed=0,K704,0)</f>
        <v>0</v>
      </c>
      <c r="Z704" s="39" t="n">
        <f aca="false">IF(Informed=1,N704,0)</f>
        <v>57.132420292559</v>
      </c>
      <c r="AA704" s="39" t="n">
        <f aca="false">IF(Informed=0,N704,0)</f>
        <v>0</v>
      </c>
      <c r="AB704" s="43" t="n">
        <f aca="false">IF(Arterial=0,IF(Informed=1,1,0),0)</f>
        <v>0</v>
      </c>
      <c r="AC704" s="43" t="n">
        <f aca="false">IF(Arterial=0,IF(Informed=0,1,0),0)</f>
        <v>0</v>
      </c>
      <c r="AD704" s="43" t="n">
        <f aca="false">IF(Arterial=1,IF(Informed=1,1,0),0)</f>
        <v>1</v>
      </c>
      <c r="AE704" s="43" t="n">
        <f aca="false">IF(Arterial=1,IF(Informed=0,1,0),0)</f>
        <v>0</v>
      </c>
      <c r="AF704" s="35" t="n">
        <f aca="false">IF(AB704=1,(X704-G$1030)^2,0)</f>
        <v>0</v>
      </c>
      <c r="AG704" s="35" t="n">
        <f aca="false">IF(AC704=1,(Y704-H$1030)^2,0)</f>
        <v>0</v>
      </c>
      <c r="AH704" s="35" t="n">
        <f aca="false">IF(AD704=1,(Z704-I$1030)^2,0)</f>
        <v>826.998723750871</v>
      </c>
      <c r="AI704" s="35" t="n">
        <f aca="false">IF(AE704=1,(AA704-J$1030)^2,0)</f>
        <v>0</v>
      </c>
      <c r="AJ704" s="37" t="n">
        <f aca="true">IF(RAND()&lt;$D$6,1,0)</f>
        <v>0</v>
      </c>
      <c r="AK704" s="14" t="n">
        <f aca="false">AK703+IF((AJ704=1),IF((H704=0),1,0),0)</f>
        <v>0</v>
      </c>
      <c r="AL704" s="14" t="n">
        <f aca="false">AL703+IF((AJ704=1),IF((H704=1),1,0),0)</f>
        <v>0</v>
      </c>
      <c r="AM704" s="37" t="n">
        <f aca="false">IF(AK704=0,9999,IF($H704=0,IF($AJ704&lt;1,AM703+1,0),AM703))</f>
        <v>9999</v>
      </c>
      <c r="AN704" s="37" t="n">
        <f aca="false">IF(AL704=0,9999,IF($H704=1,IF($AJ704&lt;1,AN703+1,0),AN703))</f>
        <v>9999</v>
      </c>
      <c r="AO704" s="37" t="n">
        <f aca="false">IF($A704-AM704&gt;0,1/(1+AM704),0)</f>
        <v>0</v>
      </c>
      <c r="AP704" s="37" t="n">
        <f aca="false">IF($A704-AN704&gt;0,1/(1+AN704),0)</f>
        <v>0</v>
      </c>
      <c r="AQ704" s="7" t="n">
        <f aca="false">IF(AK704=0,0,MAX(MIN(1,AO704^Power),0))</f>
        <v>0</v>
      </c>
      <c r="AR704" s="7" t="n">
        <f aca="false">IF(AL704=0,0,MAX(MIN(1,AP704^Power),0))</f>
        <v>0</v>
      </c>
      <c r="AS704" s="7" t="n">
        <f aca="false">IF($AJ704=1,IF($H704=0,K704,AS703),AS703)</f>
        <v>0</v>
      </c>
      <c r="AT704" s="7" t="n">
        <f aca="false">IF($AJ704=1,IF($H704=1,N704,AT703),AT703)</f>
        <v>0</v>
      </c>
    </row>
    <row r="705" customFormat="false" ht="13" hidden="false" customHeight="false" outlineLevel="0" collapsed="false">
      <c r="A705" s="16" t="n">
        <v>688</v>
      </c>
      <c r="B705" s="37" t="n">
        <f aca="true">IF(RAND()&lt;$D$8,1,0)</f>
        <v>1</v>
      </c>
      <c r="C705" s="20" t="n">
        <f aca="true">-LN(RAND())/$D$2</f>
        <v>0.994373815175004</v>
      </c>
      <c r="D705" s="38" t="n">
        <f aca="false">D704+C705</f>
        <v>722.206955821188</v>
      </c>
      <c r="E705" s="39" t="n">
        <f aca="false">MAX($E$3,AS704)</f>
        <v>0</v>
      </c>
      <c r="F705" s="39" t="n">
        <f aca="false">MAX($E$3,AT704)</f>
        <v>0</v>
      </c>
      <c r="G705" s="40" t="n">
        <v>0.5</v>
      </c>
      <c r="H705" s="38" t="n">
        <f aca="true">IF((B705=1),(IF((F705&lt;E705),1,(IF((F705=E705),(IF(RAND()&lt;G705,1,0)),0)))),(IF((RAND()&lt;G705),1,0)))</f>
        <v>1</v>
      </c>
      <c r="I705" s="38" t="n">
        <f aca="true">IF((H705=1),0,$D$3+$D$5*(RAND()-0.5))</f>
        <v>0</v>
      </c>
      <c r="J705" s="38" t="n">
        <f aca="false">I705+MAX(D705,J704)</f>
        <v>722.206955821188</v>
      </c>
      <c r="K705" s="38" t="n">
        <f aca="false">IF((H705=0),J705-D705,0)</f>
        <v>0</v>
      </c>
      <c r="L705" s="38" t="n">
        <f aca="true">IF(($H705=0),0,$D$4+$D$5*(RAND()-0.5))</f>
        <v>1.86257388629823</v>
      </c>
      <c r="M705" s="38" t="n">
        <f aca="false">L705+MAX(D705,M704)</f>
        <v>780.20757618487</v>
      </c>
      <c r="N705" s="38" t="n">
        <f aca="false">IF((H705=1),M705-D705,0)</f>
        <v>58.0006203636823</v>
      </c>
      <c r="O705" s="16" t="n">
        <v>688</v>
      </c>
      <c r="P705" s="41" t="n">
        <f aca="false">IF((Arterial=0),P704+1,P704)</f>
        <v>312</v>
      </c>
      <c r="Q705" s="41" t="n">
        <f aca="false">IF((Arterial=1),Q704+1,Q704)</f>
        <v>376</v>
      </c>
      <c r="R705" s="42" t="n">
        <f aca="false">IF((RESET=1),0,R705+K705)</f>
        <v>693.214709508281</v>
      </c>
      <c r="S705" s="14" t="e">
        <f aca="false">IF(RESET=1,0,S705+N705)</f>
        <v>#N/A</v>
      </c>
      <c r="T705" s="2" t="n">
        <f aca="false">IF(RESET=1,0,T705+IF(H705=0,1,0))</f>
        <v>39</v>
      </c>
      <c r="U705" s="2" t="e">
        <f aca="false">IF(RESET=1,0,U705+H705)</f>
        <v>#N/A</v>
      </c>
      <c r="V705" s="14" t="n">
        <f aca="false">R705/(T705+0.00001)</f>
        <v>17.7747315836145</v>
      </c>
      <c r="W705" s="14" t="e">
        <f aca="false">S705/(U705+0.0001)</f>
        <v>#N/A</v>
      </c>
      <c r="X705" s="39" t="n">
        <f aca="false">IF(Informed=1,K705,0)</f>
        <v>0</v>
      </c>
      <c r="Y705" s="39" t="n">
        <f aca="false">IF(Informed=0,K705,0)</f>
        <v>0</v>
      </c>
      <c r="Z705" s="39" t="n">
        <f aca="false">IF(Informed=1,N705,0)</f>
        <v>58.0006203636823</v>
      </c>
      <c r="AA705" s="39" t="n">
        <f aca="false">IF(Informed=0,N705,0)</f>
        <v>0</v>
      </c>
      <c r="AB705" s="43" t="n">
        <f aca="false">IF(Arterial=0,IF(Informed=1,1,0),0)</f>
        <v>0</v>
      </c>
      <c r="AC705" s="43" t="n">
        <f aca="false">IF(Arterial=0,IF(Informed=0,1,0),0)</f>
        <v>0</v>
      </c>
      <c r="AD705" s="43" t="n">
        <f aca="false">IF(Arterial=1,IF(Informed=1,1,0),0)</f>
        <v>1</v>
      </c>
      <c r="AE705" s="43" t="n">
        <f aca="false">IF(Arterial=1,IF(Informed=0,1,0),0)</f>
        <v>0</v>
      </c>
      <c r="AF705" s="35" t="n">
        <f aca="false">IF(AB705=1,(X705-G$1030)^2,0)</f>
        <v>0</v>
      </c>
      <c r="AG705" s="35" t="n">
        <f aca="false">IF(AC705=1,(Y705-H$1030)^2,0)</f>
        <v>0</v>
      </c>
      <c r="AH705" s="35" t="n">
        <f aca="false">IF(AD705=1,(Z705-I$1030)^2,0)</f>
        <v>877.687170666061</v>
      </c>
      <c r="AI705" s="35" t="n">
        <f aca="false">IF(AE705=1,(AA705-J$1030)^2,0)</f>
        <v>0</v>
      </c>
      <c r="AJ705" s="37" t="n">
        <f aca="true">IF(RAND()&lt;$D$6,1,0)</f>
        <v>0</v>
      </c>
      <c r="AK705" s="14" t="n">
        <f aca="false">AK704+IF((AJ705=1),IF((H705=0),1,0),0)</f>
        <v>0</v>
      </c>
      <c r="AL705" s="14" t="n">
        <f aca="false">AL704+IF((AJ705=1),IF((H705=1),1,0),0)</f>
        <v>0</v>
      </c>
      <c r="AM705" s="37" t="n">
        <f aca="false">IF(AK705=0,9999,IF($H705=0,IF($AJ705&lt;1,AM704+1,0),AM704))</f>
        <v>9999</v>
      </c>
      <c r="AN705" s="37" t="n">
        <f aca="false">IF(AL705=0,9999,IF($H705=1,IF($AJ705&lt;1,AN704+1,0),AN704))</f>
        <v>9999</v>
      </c>
      <c r="AO705" s="37" t="n">
        <f aca="false">IF($A705-AM705&gt;0,1/(1+AM705),0)</f>
        <v>0</v>
      </c>
      <c r="AP705" s="37" t="n">
        <f aca="false">IF($A705-AN705&gt;0,1/(1+AN705),0)</f>
        <v>0</v>
      </c>
      <c r="AQ705" s="7" t="n">
        <f aca="false">IF(AK705=0,0,MAX(MIN(1,AO705^Power),0))</f>
        <v>0</v>
      </c>
      <c r="AR705" s="7" t="n">
        <f aca="false">IF(AL705=0,0,MAX(MIN(1,AP705^Power),0))</f>
        <v>0</v>
      </c>
      <c r="AS705" s="7" t="n">
        <f aca="false">IF($AJ705=1,IF($H705=0,K705,AS704),AS704)</f>
        <v>0</v>
      </c>
      <c r="AT705" s="7" t="n">
        <f aca="false">IF($AJ705=1,IF($H705=1,N705,AT704),AT704)</f>
        <v>0</v>
      </c>
    </row>
    <row r="706" customFormat="false" ht="13" hidden="false" customHeight="false" outlineLevel="0" collapsed="false">
      <c r="A706" s="16" t="n">
        <v>689</v>
      </c>
      <c r="B706" s="37" t="n">
        <f aca="true">IF(RAND()&lt;$D$8,1,0)</f>
        <v>1</v>
      </c>
      <c r="C706" s="20" t="n">
        <f aca="true">-LN(RAND())/$D$2</f>
        <v>1.27445948100603</v>
      </c>
      <c r="D706" s="38" t="n">
        <f aca="false">D705+C706</f>
        <v>723.481415302194</v>
      </c>
      <c r="E706" s="39" t="n">
        <f aca="false">MAX($E$3,AS705)</f>
        <v>0</v>
      </c>
      <c r="F706" s="39" t="n">
        <f aca="false">MAX($E$3,AT705)</f>
        <v>0</v>
      </c>
      <c r="G706" s="40" t="n">
        <v>0.5</v>
      </c>
      <c r="H706" s="38" t="n">
        <f aca="true">IF((B706=1),(IF((F706&lt;E706),1,(IF((F706=E706),(IF(RAND()&lt;G706,1,0)),0)))),(IF((RAND()&lt;G706),1,0)))</f>
        <v>1</v>
      </c>
      <c r="I706" s="38" t="n">
        <f aca="true">IF((H706=1),0,$D$3+$D$5*(RAND()-0.5))</f>
        <v>0</v>
      </c>
      <c r="J706" s="38" t="n">
        <f aca="false">I706+MAX(D706,J705)</f>
        <v>723.481415302194</v>
      </c>
      <c r="K706" s="38" t="n">
        <f aca="false">IF((H706=0),J706-D706,0)</f>
        <v>0</v>
      </c>
      <c r="L706" s="38" t="n">
        <f aca="true">IF(($H706=0),0,$D$4+$D$5*(RAND()-0.5))</f>
        <v>1.81818347182394</v>
      </c>
      <c r="M706" s="38" t="n">
        <f aca="false">L706+MAX(D706,M705)</f>
        <v>782.025759656694</v>
      </c>
      <c r="N706" s="38" t="n">
        <f aca="false">IF((H706=1),M706-D706,0)</f>
        <v>58.5443443545001</v>
      </c>
      <c r="O706" s="16" t="n">
        <v>689</v>
      </c>
      <c r="P706" s="41" t="n">
        <f aca="false">IF((Arterial=0),P705+1,P705)</f>
        <v>312</v>
      </c>
      <c r="Q706" s="41" t="n">
        <f aca="false">IF((Arterial=1),Q705+1,Q705)</f>
        <v>377</v>
      </c>
      <c r="R706" s="42" t="n">
        <f aca="false">IF((RESET=1),0,R706+K706)</f>
        <v>814.604071338588</v>
      </c>
      <c r="S706" s="14" t="e">
        <f aca="false">IF(RESET=1,0,S706+N706)</f>
        <v>#N/A</v>
      </c>
      <c r="T706" s="2" t="n">
        <f aca="false">IF(RESET=1,0,T706+IF(H706=0,1,0))</f>
        <v>42</v>
      </c>
      <c r="U706" s="2" t="e">
        <f aca="false">IF(RESET=1,0,U706+H706)</f>
        <v>#N/A</v>
      </c>
      <c r="V706" s="14" t="n">
        <f aca="false">R706/(T706+0.00001)</f>
        <v>19.3953304139353</v>
      </c>
      <c r="W706" s="14" t="e">
        <f aca="false">S706/(U706+0.0001)</f>
        <v>#N/A</v>
      </c>
      <c r="X706" s="39" t="n">
        <f aca="false">IF(Informed=1,K706,0)</f>
        <v>0</v>
      </c>
      <c r="Y706" s="39" t="n">
        <f aca="false">IF(Informed=0,K706,0)</f>
        <v>0</v>
      </c>
      <c r="Z706" s="39" t="n">
        <f aca="false">IF(Informed=1,N706,0)</f>
        <v>58.5443443545001</v>
      </c>
      <c r="AA706" s="39" t="n">
        <f aca="false">IF(Informed=0,N706,0)</f>
        <v>0</v>
      </c>
      <c r="AB706" s="43" t="n">
        <f aca="false">IF(Arterial=0,IF(Informed=1,1,0),0)</f>
        <v>0</v>
      </c>
      <c r="AC706" s="43" t="n">
        <f aca="false">IF(Arterial=0,IF(Informed=0,1,0),0)</f>
        <v>0</v>
      </c>
      <c r="AD706" s="43" t="n">
        <f aca="false">IF(Arterial=1,IF(Informed=1,1,0),0)</f>
        <v>1</v>
      </c>
      <c r="AE706" s="43" t="n">
        <f aca="false">IF(Arterial=1,IF(Informed=0,1,0),0)</f>
        <v>0</v>
      </c>
      <c r="AF706" s="35" t="n">
        <f aca="false">IF(AB706=1,(X706-G$1030)^2,0)</f>
        <v>0</v>
      </c>
      <c r="AG706" s="35" t="n">
        <f aca="false">IF(AC706=1,(Y706-H$1030)^2,0)</f>
        <v>0</v>
      </c>
      <c r="AH706" s="35" t="n">
        <f aca="false">IF(AD706=1,(Z706-I$1030)^2,0)</f>
        <v>910.199307167206</v>
      </c>
      <c r="AI706" s="35" t="n">
        <f aca="false">IF(AE706=1,(AA706-J$1030)^2,0)</f>
        <v>0</v>
      </c>
      <c r="AJ706" s="37" t="n">
        <f aca="true">IF(RAND()&lt;$D$6,1,0)</f>
        <v>0</v>
      </c>
      <c r="AK706" s="14" t="n">
        <f aca="false">AK705+IF((AJ706=1),IF((H706=0),1,0),0)</f>
        <v>0</v>
      </c>
      <c r="AL706" s="14" t="n">
        <f aca="false">AL705+IF((AJ706=1),IF((H706=1),1,0),0)</f>
        <v>0</v>
      </c>
      <c r="AM706" s="37" t="n">
        <f aca="false">IF(AK706=0,9999,IF($H706=0,IF($AJ706&lt;1,AM705+1,0),AM705))</f>
        <v>9999</v>
      </c>
      <c r="AN706" s="37" t="n">
        <f aca="false">IF(AL706=0,9999,IF($H706=1,IF($AJ706&lt;1,AN705+1,0),AN705))</f>
        <v>9999</v>
      </c>
      <c r="AO706" s="37" t="n">
        <f aca="false">IF($A706-AM706&gt;0,1/(1+AM706),0)</f>
        <v>0</v>
      </c>
      <c r="AP706" s="37" t="n">
        <f aca="false">IF($A706-AN706&gt;0,1/(1+AN706),0)</f>
        <v>0</v>
      </c>
      <c r="AQ706" s="7" t="n">
        <f aca="false">IF(AK706=0,0,MAX(MIN(1,AO706^Power),0))</f>
        <v>0</v>
      </c>
      <c r="AR706" s="7" t="n">
        <f aca="false">IF(AL706=0,0,MAX(MIN(1,AP706^Power),0))</f>
        <v>0</v>
      </c>
      <c r="AS706" s="7" t="n">
        <f aca="false">IF($AJ706=1,IF($H706=0,K706,AS705),AS705)</f>
        <v>0</v>
      </c>
      <c r="AT706" s="7" t="n">
        <f aca="false">IF($AJ706=1,IF($H706=1,N706,AT705),AT705)</f>
        <v>0</v>
      </c>
    </row>
    <row r="707" customFormat="false" ht="13" hidden="false" customHeight="false" outlineLevel="0" collapsed="false">
      <c r="A707" s="16" t="n">
        <v>690</v>
      </c>
      <c r="B707" s="37" t="n">
        <f aca="true">IF(RAND()&lt;$D$8,1,0)</f>
        <v>1</v>
      </c>
      <c r="C707" s="20" t="n">
        <f aca="true">-LN(RAND())/$D$2</f>
        <v>0.289665401412015</v>
      </c>
      <c r="D707" s="38" t="n">
        <f aca="false">D706+C707</f>
        <v>723.771080703606</v>
      </c>
      <c r="E707" s="39" t="n">
        <f aca="false">MAX($E$3,AS706)</f>
        <v>0</v>
      </c>
      <c r="F707" s="39" t="n">
        <f aca="false">MAX($E$3,AT706)</f>
        <v>0</v>
      </c>
      <c r="G707" s="40" t="n">
        <v>0.5</v>
      </c>
      <c r="H707" s="38" t="n">
        <f aca="true">IF((B707=1),(IF((F707&lt;E707),1,(IF((F707=E707),(IF(RAND()&lt;G707,1,0)),0)))),(IF((RAND()&lt;G707),1,0)))</f>
        <v>1</v>
      </c>
      <c r="I707" s="38" t="n">
        <f aca="true">IF((H707=1),0,$D$3+$D$5*(RAND()-0.5))</f>
        <v>0</v>
      </c>
      <c r="J707" s="38" t="n">
        <f aca="false">I707+MAX(D707,J706)</f>
        <v>723.771080703606</v>
      </c>
      <c r="K707" s="38" t="n">
        <f aca="false">IF((H707=0),J707-D707,0)</f>
        <v>0</v>
      </c>
      <c r="L707" s="38" t="n">
        <f aca="true">IF(($H707=0),0,$D$4+$D$5*(RAND()-0.5))</f>
        <v>1.91705216158322</v>
      </c>
      <c r="M707" s="38" t="n">
        <f aca="false">L707+MAX(D707,M706)</f>
        <v>783.942811818278</v>
      </c>
      <c r="N707" s="38" t="n">
        <f aca="false">IF((H707=1),M707-D707,0)</f>
        <v>60.1717311146714</v>
      </c>
      <c r="O707" s="16" t="n">
        <v>690</v>
      </c>
      <c r="P707" s="41" t="n">
        <f aca="false">IF((Arterial=0),P706+1,P706)</f>
        <v>312</v>
      </c>
      <c r="Q707" s="41" t="n">
        <f aca="false">IF((Arterial=1),Q706+1,Q706)</f>
        <v>378</v>
      </c>
      <c r="R707" s="42" t="n">
        <f aca="false">IF((RESET=1),0,R707+K707)</f>
        <v>825.963210690962</v>
      </c>
      <c r="S707" s="14" t="e">
        <f aca="false">IF(RESET=1,0,S707+N707)</f>
        <v>#N/A</v>
      </c>
      <c r="T707" s="2" t="n">
        <f aca="false">IF(RESET=1,0,T707+IF(H707=0,1,0))</f>
        <v>42</v>
      </c>
      <c r="U707" s="2" t="e">
        <f aca="false">IF(RESET=1,0,U707+H707)</f>
        <v>#N/A</v>
      </c>
      <c r="V707" s="14" t="n">
        <f aca="false">R707/(T707+0.00001)</f>
        <v>19.6657860484072</v>
      </c>
      <c r="W707" s="14" t="e">
        <f aca="false">S707/(U707+0.0001)</f>
        <v>#N/A</v>
      </c>
      <c r="X707" s="39" t="n">
        <f aca="false">IF(Informed=1,K707,0)</f>
        <v>0</v>
      </c>
      <c r="Y707" s="39" t="n">
        <f aca="false">IF(Informed=0,K707,0)</f>
        <v>0</v>
      </c>
      <c r="Z707" s="39" t="n">
        <f aca="false">IF(Informed=1,N707,0)</f>
        <v>60.1717311146714</v>
      </c>
      <c r="AA707" s="39" t="n">
        <f aca="false">IF(Informed=0,N707,0)</f>
        <v>0</v>
      </c>
      <c r="AB707" s="43" t="n">
        <f aca="false">IF(Arterial=0,IF(Informed=1,1,0),0)</f>
        <v>0</v>
      </c>
      <c r="AC707" s="43" t="n">
        <f aca="false">IF(Arterial=0,IF(Informed=0,1,0),0)</f>
        <v>0</v>
      </c>
      <c r="AD707" s="43" t="n">
        <f aca="false">IF(Arterial=1,IF(Informed=1,1,0),0)</f>
        <v>1</v>
      </c>
      <c r="AE707" s="43" t="n">
        <f aca="false">IF(Arterial=1,IF(Informed=0,1,0),0)</f>
        <v>0</v>
      </c>
      <c r="AF707" s="35" t="n">
        <f aca="false">IF(AB707=1,(X707-G$1030)^2,0)</f>
        <v>0</v>
      </c>
      <c r="AG707" s="35" t="n">
        <f aca="false">IF(AC707=1,(Y707-H$1030)^2,0)</f>
        <v>0</v>
      </c>
      <c r="AH707" s="35" t="n">
        <f aca="false">IF(AD707=1,(Z707-I$1030)^2,0)</f>
        <v>1011.04261567611</v>
      </c>
      <c r="AI707" s="35" t="n">
        <f aca="false">IF(AE707=1,(AA707-J$1030)^2,0)</f>
        <v>0</v>
      </c>
      <c r="AJ707" s="37" t="n">
        <f aca="true">IF(RAND()&lt;$D$6,1,0)</f>
        <v>0</v>
      </c>
      <c r="AK707" s="14" t="n">
        <f aca="false">AK706+IF((AJ707=1),IF((H707=0),1,0),0)</f>
        <v>0</v>
      </c>
      <c r="AL707" s="14" t="n">
        <f aca="false">AL706+IF((AJ707=1),IF((H707=1),1,0),0)</f>
        <v>0</v>
      </c>
      <c r="AM707" s="37" t="n">
        <f aca="false">IF(AK707=0,9999,IF($H707=0,IF($AJ707&lt;1,AM706+1,0),AM706))</f>
        <v>9999</v>
      </c>
      <c r="AN707" s="37" t="n">
        <f aca="false">IF(AL707=0,9999,IF($H707=1,IF($AJ707&lt;1,AN706+1,0),AN706))</f>
        <v>9999</v>
      </c>
      <c r="AO707" s="37" t="n">
        <f aca="false">IF($A707-AM707&gt;0,1/(1+AM707),0)</f>
        <v>0</v>
      </c>
      <c r="AP707" s="37" t="n">
        <f aca="false">IF($A707-AN707&gt;0,1/(1+AN707),0)</f>
        <v>0</v>
      </c>
      <c r="AQ707" s="7" t="n">
        <f aca="false">IF(AK707=0,0,MAX(MIN(1,AO707^Power),0))</f>
        <v>0</v>
      </c>
      <c r="AR707" s="7" t="n">
        <f aca="false">IF(AL707=0,0,MAX(MIN(1,AP707^Power),0))</f>
        <v>0</v>
      </c>
      <c r="AS707" s="7" t="n">
        <f aca="false">IF($AJ707=1,IF($H707=0,K707,AS706),AS706)</f>
        <v>0</v>
      </c>
      <c r="AT707" s="7" t="n">
        <f aca="false">IF($AJ707=1,IF($H707=1,N707,AT706),AT706)</f>
        <v>0</v>
      </c>
    </row>
    <row r="708" customFormat="false" ht="13" hidden="false" customHeight="false" outlineLevel="0" collapsed="false">
      <c r="A708" s="16" t="n">
        <v>691</v>
      </c>
      <c r="B708" s="37" t="n">
        <f aca="true">IF(RAND()&lt;$D$8,1,0)</f>
        <v>1</v>
      </c>
      <c r="C708" s="20" t="n">
        <f aca="true">-LN(RAND())/$D$2</f>
        <v>0.0576333255268463</v>
      </c>
      <c r="D708" s="38" t="n">
        <f aca="false">D707+C708</f>
        <v>723.828714029133</v>
      </c>
      <c r="E708" s="39" t="n">
        <f aca="false">MAX($E$3,AS707)</f>
        <v>0</v>
      </c>
      <c r="F708" s="39" t="n">
        <f aca="false">MAX($E$3,AT707)</f>
        <v>0</v>
      </c>
      <c r="G708" s="40" t="n">
        <v>0.5</v>
      </c>
      <c r="H708" s="38" t="n">
        <f aca="true">IF((B708=1),(IF((F708&lt;E708),1,(IF((F708=E708),(IF(RAND()&lt;G708,1,0)),0)))),(IF((RAND()&lt;G708),1,0)))</f>
        <v>0</v>
      </c>
      <c r="I708" s="38" t="n">
        <f aca="true">IF((H708=1),0,$D$3+$D$5*(RAND()-0.5))</f>
        <v>2.07130035775277</v>
      </c>
      <c r="J708" s="38" t="n">
        <f aca="false">I708+MAX(D708,J707)</f>
        <v>725.900014386886</v>
      </c>
      <c r="K708" s="38" t="n">
        <f aca="false">IF((H708=0),J708-D708,0)</f>
        <v>2.07130035775276</v>
      </c>
      <c r="L708" s="38" t="n">
        <f aca="true">IF(($H708=0),0,$D$4+$D$5*(RAND()-0.5))</f>
        <v>0</v>
      </c>
      <c r="M708" s="38" t="n">
        <f aca="false">L708+MAX(D708,M707)</f>
        <v>783.942811818278</v>
      </c>
      <c r="N708" s="38" t="n">
        <f aca="false">IF((H708=1),M708-D708,0)</f>
        <v>0</v>
      </c>
      <c r="O708" s="16" t="n">
        <v>691</v>
      </c>
      <c r="P708" s="41" t="n">
        <f aca="false">IF((Arterial=0),P707+1,P707)</f>
        <v>313</v>
      </c>
      <c r="Q708" s="41" t="n">
        <f aca="false">IF((Arterial=1),Q707+1,Q707)</f>
        <v>378</v>
      </c>
      <c r="R708" s="42" t="e">
        <f aca="false">IF((RESET=1),0,R708+K708)</f>
        <v>#N/A</v>
      </c>
      <c r="S708" s="14" t="n">
        <f aca="false">IF(RESET=1,0,S708+N708)</f>
        <v>586.736256961116</v>
      </c>
      <c r="T708" s="2" t="e">
        <f aca="false">IF(RESET=1,0,T708+IF(H708=0,1,0))</f>
        <v>#N/A</v>
      </c>
      <c r="U708" s="2" t="n">
        <f aca="false">IF(RESET=1,0,U708+H708)</f>
        <v>37</v>
      </c>
      <c r="V708" s="14" t="e">
        <f aca="false">R708/(T708+0.00001)</f>
        <v>#N/A</v>
      </c>
      <c r="W708" s="14" t="n">
        <f aca="false">S708/(U708+0.0001)</f>
        <v>15.8576938159928</v>
      </c>
      <c r="X708" s="39" t="n">
        <f aca="false">IF(Informed=1,K708,0)</f>
        <v>2.07130035775276</v>
      </c>
      <c r="Y708" s="39" t="n">
        <f aca="false">IF(Informed=0,K708,0)</f>
        <v>0</v>
      </c>
      <c r="Z708" s="39" t="n">
        <f aca="false">IF(Informed=1,N708,0)</f>
        <v>0</v>
      </c>
      <c r="AA708" s="39" t="n">
        <f aca="false">IF(Informed=0,N708,0)</f>
        <v>0</v>
      </c>
      <c r="AB708" s="43" t="n">
        <f aca="false">IF(Arterial=0,IF(Informed=1,1,0),0)</f>
        <v>1</v>
      </c>
      <c r="AC708" s="43" t="n">
        <f aca="false">IF(Arterial=0,IF(Informed=0,1,0),0)</f>
        <v>0</v>
      </c>
      <c r="AD708" s="43" t="n">
        <f aca="false">IF(Arterial=1,IF(Informed=1,1,0),0)</f>
        <v>0</v>
      </c>
      <c r="AE708" s="43" t="n">
        <f aca="false">IF(Arterial=1,IF(Informed=0,1,0),0)</f>
        <v>0</v>
      </c>
      <c r="AF708" s="35" t="n">
        <f aca="false">IF(AB708=1,(X708-G$1030)^2,0)</f>
        <v>74.6215724672204</v>
      </c>
      <c r="AG708" s="35" t="n">
        <f aca="false">IF(AC708=1,(Y708-H$1030)^2,0)</f>
        <v>0</v>
      </c>
      <c r="AH708" s="35" t="n">
        <f aca="false">IF(AD708=1,(Z708-I$1030)^2,0)</f>
        <v>0</v>
      </c>
      <c r="AI708" s="35" t="n">
        <f aca="false">IF(AE708=1,(AA708-J$1030)^2,0)</f>
        <v>0</v>
      </c>
      <c r="AJ708" s="37" t="n">
        <f aca="true">IF(RAND()&lt;$D$6,1,0)</f>
        <v>0</v>
      </c>
      <c r="AK708" s="14" t="n">
        <f aca="false">AK707+IF((AJ708=1),IF((H708=0),1,0),0)</f>
        <v>0</v>
      </c>
      <c r="AL708" s="14" t="n">
        <f aca="false">AL707+IF((AJ708=1),IF((H708=1),1,0),0)</f>
        <v>0</v>
      </c>
      <c r="AM708" s="37" t="n">
        <f aca="false">IF(AK708=0,9999,IF($H708=0,IF($AJ708&lt;1,AM707+1,0),AM707))</f>
        <v>9999</v>
      </c>
      <c r="AN708" s="37" t="n">
        <f aca="false">IF(AL708=0,9999,IF($H708=1,IF($AJ708&lt;1,AN707+1,0),AN707))</f>
        <v>9999</v>
      </c>
      <c r="AO708" s="37" t="n">
        <f aca="false">IF($A708-AM708&gt;0,1/(1+AM708),0)</f>
        <v>0</v>
      </c>
      <c r="AP708" s="37" t="n">
        <f aca="false">IF($A708-AN708&gt;0,1/(1+AN708),0)</f>
        <v>0</v>
      </c>
      <c r="AQ708" s="7" t="n">
        <f aca="false">IF(AK708=0,0,MAX(MIN(1,AO708^Power),0))</f>
        <v>0</v>
      </c>
      <c r="AR708" s="7" t="n">
        <f aca="false">IF(AL708=0,0,MAX(MIN(1,AP708^Power),0))</f>
        <v>0</v>
      </c>
      <c r="AS708" s="7" t="n">
        <f aca="false">IF($AJ708=1,IF($H708=0,K708,AS707),AS707)</f>
        <v>0</v>
      </c>
      <c r="AT708" s="7" t="n">
        <f aca="false">IF($AJ708=1,IF($H708=1,N708,AT707),AT707)</f>
        <v>0</v>
      </c>
    </row>
    <row r="709" customFormat="false" ht="13" hidden="false" customHeight="false" outlineLevel="0" collapsed="false">
      <c r="A709" s="16" t="n">
        <v>692</v>
      </c>
      <c r="B709" s="37" t="n">
        <f aca="true">IF(RAND()&lt;$D$8,1,0)</f>
        <v>0</v>
      </c>
      <c r="C709" s="20" t="n">
        <f aca="true">-LN(RAND())/$D$2</f>
        <v>0.149453618067371</v>
      </c>
      <c r="D709" s="38" t="n">
        <f aca="false">D708+C709</f>
        <v>723.9781676472</v>
      </c>
      <c r="E709" s="39" t="n">
        <f aca="false">MAX($E$3,AS708)</f>
        <v>0</v>
      </c>
      <c r="F709" s="39" t="n">
        <f aca="false">MAX($E$3,AT708)</f>
        <v>0</v>
      </c>
      <c r="G709" s="40" t="n">
        <v>0.5</v>
      </c>
      <c r="H709" s="38" t="n">
        <f aca="true">IF((B709=1),(IF((F709&lt;E709),1,(IF((F709=E709),(IF(RAND()&lt;G709,1,0)),0)))),(IF((RAND()&lt;G709),1,0)))</f>
        <v>1</v>
      </c>
      <c r="I709" s="38" t="n">
        <f aca="true">IF((H709=1),0,$D$3+$D$5*(RAND()-0.5))</f>
        <v>0</v>
      </c>
      <c r="J709" s="38" t="n">
        <f aca="false">I709+MAX(D709,J708)</f>
        <v>725.900014386886</v>
      </c>
      <c r="K709" s="38" t="n">
        <f aca="false">IF((H709=0),J709-D709,0)</f>
        <v>0</v>
      </c>
      <c r="L709" s="38" t="n">
        <f aca="true">IF(($H709=0),0,$D$4+$D$5*(RAND()-0.5))</f>
        <v>2.22736707477108</v>
      </c>
      <c r="M709" s="38" t="n">
        <f aca="false">L709+MAX(D709,M708)</f>
        <v>786.170178893049</v>
      </c>
      <c r="N709" s="38" t="n">
        <f aca="false">IF((H709=1),M709-D709,0)</f>
        <v>62.1920112458483</v>
      </c>
      <c r="O709" s="16" t="n">
        <v>692</v>
      </c>
      <c r="P709" s="41" t="n">
        <f aca="false">IF((Arterial=0),P708+1,P708)</f>
        <v>313</v>
      </c>
      <c r="Q709" s="41" t="n">
        <f aca="false">IF((Arterial=1),Q708+1,Q708)</f>
        <v>379</v>
      </c>
      <c r="R709" s="42" t="n">
        <f aca="false">IF((RESET=1),0,R709+K709)</f>
        <v>780.143691407403</v>
      </c>
      <c r="S709" s="14" t="e">
        <f aca="false">IF(RESET=1,0,S709+N709)</f>
        <v>#N/A</v>
      </c>
      <c r="T709" s="2" t="n">
        <f aca="false">IF(RESET=1,0,T709+IF(H709=0,1,0))</f>
        <v>40</v>
      </c>
      <c r="U709" s="2" t="e">
        <f aca="false">IF(RESET=1,0,U709+H709)</f>
        <v>#N/A</v>
      </c>
      <c r="V709" s="14" t="n">
        <f aca="false">R709/(T709+0.00001)</f>
        <v>19.5035874092882</v>
      </c>
      <c r="W709" s="14" t="e">
        <f aca="false">S709/(U709+0.0001)</f>
        <v>#N/A</v>
      </c>
      <c r="X709" s="39" t="n">
        <f aca="false">IF(Informed=1,K709,0)</f>
        <v>0</v>
      </c>
      <c r="Y709" s="39" t="n">
        <f aca="false">IF(Informed=0,K709,0)</f>
        <v>0</v>
      </c>
      <c r="Z709" s="39" t="n">
        <f aca="false">IF(Informed=1,N709,0)</f>
        <v>0</v>
      </c>
      <c r="AA709" s="39" t="n">
        <f aca="false">IF(Informed=0,N709,0)</f>
        <v>62.1920112458483</v>
      </c>
      <c r="AB709" s="43" t="n">
        <f aca="false">IF(Arterial=0,IF(Informed=1,1,0),0)</f>
        <v>0</v>
      </c>
      <c r="AC709" s="43" t="n">
        <f aca="false">IF(Arterial=0,IF(Informed=0,1,0),0)</f>
        <v>0</v>
      </c>
      <c r="AD709" s="43" t="n">
        <f aca="false">IF(Arterial=1,IF(Informed=1,1,0),0)</f>
        <v>0</v>
      </c>
      <c r="AE709" s="43" t="n">
        <f aca="false">IF(Arterial=1,IF(Informed=0,1,0),0)</f>
        <v>1</v>
      </c>
      <c r="AF709" s="35" t="n">
        <f aca="false">IF(AB709=1,(X709-G$1030)^2,0)</f>
        <v>0</v>
      </c>
      <c r="AG709" s="35" t="n">
        <f aca="false">IF(AC709=1,(Y709-H$1030)^2,0)</f>
        <v>0</v>
      </c>
      <c r="AH709" s="35" t="n">
        <f aca="false">IF(AD709=1,(Z709-I$1030)^2,0)</f>
        <v>0</v>
      </c>
      <c r="AI709" s="35" t="n">
        <f aca="false">IF(AE709=1,(AA709-J$1030)^2,0)</f>
        <v>1064.56917316713</v>
      </c>
      <c r="AJ709" s="37" t="n">
        <f aca="true">IF(RAND()&lt;$D$6,1,0)</f>
        <v>0</v>
      </c>
      <c r="AK709" s="14" t="n">
        <f aca="false">AK708+IF((AJ709=1),IF((H709=0),1,0),0)</f>
        <v>0</v>
      </c>
      <c r="AL709" s="14" t="n">
        <f aca="false">AL708+IF((AJ709=1),IF((H709=1),1,0),0)</f>
        <v>0</v>
      </c>
      <c r="AM709" s="37" t="n">
        <f aca="false">IF(AK709=0,9999,IF($H709=0,IF($AJ709&lt;1,AM708+1,0),AM708))</f>
        <v>9999</v>
      </c>
      <c r="AN709" s="37" t="n">
        <f aca="false">IF(AL709=0,9999,IF($H709=1,IF($AJ709&lt;1,AN708+1,0),AN708))</f>
        <v>9999</v>
      </c>
      <c r="AO709" s="37" t="n">
        <f aca="false">IF($A709-AM709&gt;0,1/(1+AM709),0)</f>
        <v>0</v>
      </c>
      <c r="AP709" s="37" t="n">
        <f aca="false">IF($A709-AN709&gt;0,1/(1+AN709),0)</f>
        <v>0</v>
      </c>
      <c r="AQ709" s="7" t="n">
        <f aca="false">IF(AK709=0,0,MAX(MIN(1,AO709^Power),0))</f>
        <v>0</v>
      </c>
      <c r="AR709" s="7" t="n">
        <f aca="false">IF(AL709=0,0,MAX(MIN(1,AP709^Power),0))</f>
        <v>0</v>
      </c>
      <c r="AS709" s="7" t="n">
        <f aca="false">IF($AJ709=1,IF($H709=0,K709,AS708),AS708)</f>
        <v>0</v>
      </c>
      <c r="AT709" s="7" t="n">
        <f aca="false">IF($AJ709=1,IF($H709=1,N709,AT708),AT708)</f>
        <v>0</v>
      </c>
    </row>
    <row r="710" customFormat="false" ht="13" hidden="false" customHeight="false" outlineLevel="0" collapsed="false">
      <c r="A710" s="16" t="n">
        <v>693</v>
      </c>
      <c r="B710" s="37" t="n">
        <f aca="true">IF(RAND()&lt;$D$8,1,0)</f>
        <v>1</v>
      </c>
      <c r="C710" s="20" t="n">
        <f aca="true">-LN(RAND())/$D$2</f>
        <v>1.04699841344865</v>
      </c>
      <c r="D710" s="38" t="n">
        <f aca="false">D709+C710</f>
        <v>725.025166060649</v>
      </c>
      <c r="E710" s="39" t="n">
        <f aca="false">MAX($E$3,AS709)</f>
        <v>0</v>
      </c>
      <c r="F710" s="39" t="n">
        <f aca="false">MAX($E$3,AT709)</f>
        <v>0</v>
      </c>
      <c r="G710" s="40" t="n">
        <v>0.5</v>
      </c>
      <c r="H710" s="38" t="n">
        <f aca="true">IF((B710=1),(IF((F710&lt;E710),1,(IF((F710=E710),(IF(RAND()&lt;G710,1,0)),0)))),(IF((RAND()&lt;G710),1,0)))</f>
        <v>1</v>
      </c>
      <c r="I710" s="38" t="n">
        <f aca="true">IF((H710=1),0,$D$3+$D$5*(RAND()-0.5))</f>
        <v>0</v>
      </c>
      <c r="J710" s="38" t="n">
        <f aca="false">I710+MAX(D710,J709)</f>
        <v>725.900014386886</v>
      </c>
      <c r="K710" s="38" t="n">
        <f aca="false">IF((H710=0),J710-D710,0)</f>
        <v>0</v>
      </c>
      <c r="L710" s="38" t="n">
        <f aca="true">IF(($H710=0),0,$D$4+$D$5*(RAND()-0.5))</f>
        <v>2.19341443352271</v>
      </c>
      <c r="M710" s="38" t="n">
        <f aca="false">L710+MAX(D710,M709)</f>
        <v>788.363593326571</v>
      </c>
      <c r="N710" s="38" t="n">
        <f aca="false">IF((H710=1),M710-D710,0)</f>
        <v>63.3384272659223</v>
      </c>
      <c r="O710" s="16" t="n">
        <v>693</v>
      </c>
      <c r="P710" s="41" t="n">
        <f aca="false">IF((Arterial=0),P709+1,P709)</f>
        <v>313</v>
      </c>
      <c r="Q710" s="41" t="n">
        <f aca="false">IF((Arterial=1),Q709+1,Q709)</f>
        <v>380</v>
      </c>
      <c r="R710" s="42" t="n">
        <f aca="false">IF((RESET=1),0,R710+K710)</f>
        <v>855.049150335469</v>
      </c>
      <c r="S710" s="14" t="e">
        <f aca="false">IF(RESET=1,0,S710+N710)</f>
        <v>#N/A</v>
      </c>
      <c r="T710" s="2" t="n">
        <f aca="false">IF(RESET=1,0,T710+IF(H710=0,1,0))</f>
        <v>35</v>
      </c>
      <c r="U710" s="2" t="e">
        <f aca="false">IF(RESET=1,0,U710+H710)</f>
        <v>#N/A</v>
      </c>
      <c r="V710" s="14" t="n">
        <f aca="false">R710/(T710+0.00001)</f>
        <v>24.4299687438795</v>
      </c>
      <c r="W710" s="14" t="e">
        <f aca="false">S710/(U710+0.0001)</f>
        <v>#N/A</v>
      </c>
      <c r="X710" s="39" t="n">
        <f aca="false">IF(Informed=1,K710,0)</f>
        <v>0</v>
      </c>
      <c r="Y710" s="39" t="n">
        <f aca="false">IF(Informed=0,K710,0)</f>
        <v>0</v>
      </c>
      <c r="Z710" s="39" t="n">
        <f aca="false">IF(Informed=1,N710,0)</f>
        <v>63.3384272659223</v>
      </c>
      <c r="AA710" s="39" t="n">
        <f aca="false">IF(Informed=0,N710,0)</f>
        <v>0</v>
      </c>
      <c r="AB710" s="43" t="n">
        <f aca="false">IF(Arterial=0,IF(Informed=1,1,0),0)</f>
        <v>0</v>
      </c>
      <c r="AC710" s="43" t="n">
        <f aca="false">IF(Arterial=0,IF(Informed=0,1,0),0)</f>
        <v>0</v>
      </c>
      <c r="AD710" s="43" t="n">
        <f aca="false">IF(Arterial=1,IF(Informed=1,1,0),0)</f>
        <v>1</v>
      </c>
      <c r="AE710" s="43" t="n">
        <f aca="false">IF(Arterial=1,IF(Informed=0,1,0),0)</f>
        <v>0</v>
      </c>
      <c r="AF710" s="35" t="n">
        <f aca="false">IF(AB710=1,(X710-G$1030)^2,0)</f>
        <v>0</v>
      </c>
      <c r="AG710" s="35" t="n">
        <f aca="false">IF(AC710=1,(Y710-H$1030)^2,0)</f>
        <v>0</v>
      </c>
      <c r="AH710" s="35" t="n">
        <f aca="false">IF(AD710=1,(Z710-I$1030)^2,0)</f>
        <v>1222.45279859608</v>
      </c>
      <c r="AI710" s="35" t="n">
        <f aca="false">IF(AE710=1,(AA710-J$1030)^2,0)</f>
        <v>0</v>
      </c>
      <c r="AJ710" s="37" t="n">
        <f aca="true">IF(RAND()&lt;$D$6,1,0)</f>
        <v>0</v>
      </c>
      <c r="AK710" s="14" t="n">
        <f aca="false">AK709+IF((AJ710=1),IF((H710=0),1,0),0)</f>
        <v>0</v>
      </c>
      <c r="AL710" s="14" t="n">
        <f aca="false">AL709+IF((AJ710=1),IF((H710=1),1,0),0)</f>
        <v>0</v>
      </c>
      <c r="AM710" s="37" t="n">
        <f aca="false">IF(AK710=0,9999,IF($H710=0,IF($AJ710&lt;1,AM709+1,0),AM709))</f>
        <v>9999</v>
      </c>
      <c r="AN710" s="37" t="n">
        <f aca="false">IF(AL710=0,9999,IF($H710=1,IF($AJ710&lt;1,AN709+1,0),AN709))</f>
        <v>9999</v>
      </c>
      <c r="AO710" s="37" t="n">
        <f aca="false">IF($A710-AM710&gt;0,1/(1+AM710),0)</f>
        <v>0</v>
      </c>
      <c r="AP710" s="37" t="n">
        <f aca="false">IF($A710-AN710&gt;0,1/(1+AN710),0)</f>
        <v>0</v>
      </c>
      <c r="AQ710" s="7" t="n">
        <f aca="false">IF(AK710=0,0,MAX(MIN(1,AO710^Power),0))</f>
        <v>0</v>
      </c>
      <c r="AR710" s="7" t="n">
        <f aca="false">IF(AL710=0,0,MAX(MIN(1,AP710^Power),0))</f>
        <v>0</v>
      </c>
      <c r="AS710" s="7" t="n">
        <f aca="false">IF($AJ710=1,IF($H710=0,K710,AS709),AS709)</f>
        <v>0</v>
      </c>
      <c r="AT710" s="7" t="n">
        <f aca="false">IF($AJ710=1,IF($H710=1,N710,AT709),AT709)</f>
        <v>0</v>
      </c>
    </row>
    <row r="711" customFormat="false" ht="13" hidden="false" customHeight="false" outlineLevel="0" collapsed="false">
      <c r="A711" s="16" t="n">
        <v>694</v>
      </c>
      <c r="B711" s="37" t="n">
        <f aca="true">IF(RAND()&lt;$D$8,1,0)</f>
        <v>1</v>
      </c>
      <c r="C711" s="20" t="n">
        <f aca="true">-LN(RAND())/$D$2</f>
        <v>0.969100867093162</v>
      </c>
      <c r="D711" s="38" t="n">
        <f aca="false">D710+C711</f>
        <v>725.994266927742</v>
      </c>
      <c r="E711" s="39" t="n">
        <f aca="false">MAX($E$3,AS710)</f>
        <v>0</v>
      </c>
      <c r="F711" s="39" t="n">
        <f aca="false">MAX($E$3,AT710)</f>
        <v>0</v>
      </c>
      <c r="G711" s="40" t="n">
        <v>0.5</v>
      </c>
      <c r="H711" s="38" t="n">
        <f aca="true">IF((B711=1),(IF((F711&lt;E711),1,(IF((F711=E711),(IF(RAND()&lt;G711,1,0)),0)))),(IF((RAND()&lt;G711),1,0)))</f>
        <v>0</v>
      </c>
      <c r="I711" s="38" t="n">
        <f aca="true">IF((H711=1),0,$D$3+$D$5*(RAND()-0.5))</f>
        <v>1.76933525377626</v>
      </c>
      <c r="J711" s="38" t="n">
        <f aca="false">I711+MAX(D711,J710)</f>
        <v>727.763602181518</v>
      </c>
      <c r="K711" s="38" t="n">
        <f aca="false">IF((H711=0),J711-D711,0)</f>
        <v>1.76933525377626</v>
      </c>
      <c r="L711" s="38" t="n">
        <f aca="true">IF(($H711=0),0,$D$4+$D$5*(RAND()-0.5))</f>
        <v>0</v>
      </c>
      <c r="M711" s="38" t="n">
        <f aca="false">L711+MAX(D711,M710)</f>
        <v>788.363593326571</v>
      </c>
      <c r="N711" s="38" t="n">
        <f aca="false">IF((H711=1),M711-D711,0)</f>
        <v>0</v>
      </c>
      <c r="O711" s="16" t="n">
        <v>694</v>
      </c>
      <c r="P711" s="41" t="n">
        <f aca="false">IF((Arterial=0),P710+1,P710)</f>
        <v>314</v>
      </c>
      <c r="Q711" s="41" t="n">
        <f aca="false">IF((Arterial=1),Q710+1,Q710)</f>
        <v>380</v>
      </c>
      <c r="R711" s="42" t="e">
        <f aca="false">IF((RESET=1),0,R711+K711)</f>
        <v>#N/A</v>
      </c>
      <c r="S711" s="14" t="n">
        <f aca="false">IF(RESET=1,0,S711+N711)</f>
        <v>716.492271533314</v>
      </c>
      <c r="T711" s="2" t="e">
        <f aca="false">IF(RESET=1,0,T711+IF(H711=0,1,0))</f>
        <v>#N/A</v>
      </c>
      <c r="U711" s="2" t="n">
        <f aca="false">IF(RESET=1,0,U711+H711)</f>
        <v>44</v>
      </c>
      <c r="V711" s="14" t="e">
        <f aca="false">R711/(T711+0.00001)</f>
        <v>#N/A</v>
      </c>
      <c r="W711" s="14" t="n">
        <f aca="false">S711/(U711+0.0001)</f>
        <v>16.2838782533066</v>
      </c>
      <c r="X711" s="39" t="n">
        <f aca="false">IF(Informed=1,K711,0)</f>
        <v>1.76933525377626</v>
      </c>
      <c r="Y711" s="39" t="n">
        <f aca="false">IF(Informed=0,K711,0)</f>
        <v>0</v>
      </c>
      <c r="Z711" s="39" t="n">
        <f aca="false">IF(Informed=1,N711,0)</f>
        <v>0</v>
      </c>
      <c r="AA711" s="39" t="n">
        <f aca="false">IF(Informed=0,N711,0)</f>
        <v>0</v>
      </c>
      <c r="AB711" s="43" t="n">
        <f aca="false">IF(Arterial=0,IF(Informed=1,1,0),0)</f>
        <v>1</v>
      </c>
      <c r="AC711" s="43" t="n">
        <f aca="false">IF(Arterial=0,IF(Informed=0,1,0),0)</f>
        <v>0</v>
      </c>
      <c r="AD711" s="43" t="n">
        <f aca="false">IF(Arterial=1,IF(Informed=1,1,0),0)</f>
        <v>0</v>
      </c>
      <c r="AE711" s="43" t="n">
        <f aca="false">IF(Arterial=1,IF(Informed=0,1,0),0)</f>
        <v>0</v>
      </c>
      <c r="AF711" s="35" t="n">
        <f aca="false">IF(AB711=1,(X711-G$1030)^2,0)</f>
        <v>79.929732743116</v>
      </c>
      <c r="AG711" s="35" t="n">
        <f aca="false">IF(AC711=1,(Y711-H$1030)^2,0)</f>
        <v>0</v>
      </c>
      <c r="AH711" s="35" t="n">
        <f aca="false">IF(AD711=1,(Z711-I$1030)^2,0)</f>
        <v>0</v>
      </c>
      <c r="AI711" s="35" t="n">
        <f aca="false">IF(AE711=1,(AA711-J$1030)^2,0)</f>
        <v>0</v>
      </c>
      <c r="AJ711" s="37" t="n">
        <f aca="true">IF(RAND()&lt;$D$6,1,0)</f>
        <v>0</v>
      </c>
      <c r="AK711" s="14" t="n">
        <f aca="false">AK710+IF((AJ711=1),IF((H711=0),1,0),0)</f>
        <v>0</v>
      </c>
      <c r="AL711" s="14" t="n">
        <f aca="false">AL710+IF((AJ711=1),IF((H711=1),1,0),0)</f>
        <v>0</v>
      </c>
      <c r="AM711" s="37" t="n">
        <f aca="false">IF(AK711=0,9999,IF($H711=0,IF($AJ711&lt;1,AM710+1,0),AM710))</f>
        <v>9999</v>
      </c>
      <c r="AN711" s="37" t="n">
        <f aca="false">IF(AL711=0,9999,IF($H711=1,IF($AJ711&lt;1,AN710+1,0),AN710))</f>
        <v>9999</v>
      </c>
      <c r="AO711" s="37" t="n">
        <f aca="false">IF($A711-AM711&gt;0,1/(1+AM711),0)</f>
        <v>0</v>
      </c>
      <c r="AP711" s="37" t="n">
        <f aca="false">IF($A711-AN711&gt;0,1/(1+AN711),0)</f>
        <v>0</v>
      </c>
      <c r="AQ711" s="7" t="n">
        <f aca="false">IF(AK711=0,0,MAX(MIN(1,AO711^Power),0))</f>
        <v>0</v>
      </c>
      <c r="AR711" s="7" t="n">
        <f aca="false">IF(AL711=0,0,MAX(MIN(1,AP711^Power),0))</f>
        <v>0</v>
      </c>
      <c r="AS711" s="7" t="n">
        <f aca="false">IF($AJ711=1,IF($H711=0,K711,AS710),AS710)</f>
        <v>0</v>
      </c>
      <c r="AT711" s="7" t="n">
        <f aca="false">IF($AJ711=1,IF($H711=1,N711,AT710),AT710)</f>
        <v>0</v>
      </c>
    </row>
    <row r="712" customFormat="false" ht="13" hidden="false" customHeight="false" outlineLevel="0" collapsed="false">
      <c r="A712" s="16" t="n">
        <v>695</v>
      </c>
      <c r="B712" s="37" t="n">
        <f aca="true">IF(RAND()&lt;$D$8,1,0)</f>
        <v>0</v>
      </c>
      <c r="C712" s="20" t="n">
        <f aca="true">-LN(RAND())/$D$2</f>
        <v>5.0617638552169</v>
      </c>
      <c r="D712" s="38" t="n">
        <f aca="false">D711+C712</f>
        <v>731.056030782959</v>
      </c>
      <c r="E712" s="39" t="n">
        <f aca="false">MAX($E$3,AS711)</f>
        <v>0</v>
      </c>
      <c r="F712" s="39" t="n">
        <f aca="false">MAX($E$3,AT711)</f>
        <v>0</v>
      </c>
      <c r="G712" s="40" t="n">
        <v>0.5</v>
      </c>
      <c r="H712" s="38" t="n">
        <f aca="true">IF((B712=1),(IF((F712&lt;E712),1,(IF((F712=E712),(IF(RAND()&lt;G712,1,0)),0)))),(IF((RAND()&lt;G712),1,0)))</f>
        <v>0</v>
      </c>
      <c r="I712" s="38" t="n">
        <f aca="true">IF((H712=1),0,$D$3+$D$5*(RAND()-0.5))</f>
        <v>1.93063316537968</v>
      </c>
      <c r="J712" s="38" t="n">
        <f aca="false">I712+MAX(D712,J711)</f>
        <v>732.986663948339</v>
      </c>
      <c r="K712" s="38" t="n">
        <f aca="false">IF((H712=0),J712-D712,0)</f>
        <v>1.93063316537973</v>
      </c>
      <c r="L712" s="38" t="n">
        <f aca="true">IF(($H712=0),0,$D$4+$D$5*(RAND()-0.5))</f>
        <v>0</v>
      </c>
      <c r="M712" s="38" t="n">
        <f aca="false">L712+MAX(D712,M711)</f>
        <v>788.363593326571</v>
      </c>
      <c r="N712" s="38" t="n">
        <f aca="false">IF((H712=1),M712-D712,0)</f>
        <v>0</v>
      </c>
      <c r="O712" s="16" t="n">
        <v>695</v>
      </c>
      <c r="P712" s="41" t="n">
        <f aca="false">IF((Arterial=0),P711+1,P711)</f>
        <v>315</v>
      </c>
      <c r="Q712" s="41" t="n">
        <f aca="false">IF((Arterial=1),Q711+1,Q711)</f>
        <v>380</v>
      </c>
      <c r="R712" s="42" t="e">
        <f aca="false">IF((RESET=1),0,R712+K712)</f>
        <v>#N/A</v>
      </c>
      <c r="S712" s="14" t="n">
        <f aca="false">IF(RESET=1,0,S712+N712)</f>
        <v>587.404819527419</v>
      </c>
      <c r="T712" s="2" t="e">
        <f aca="false">IF(RESET=1,0,T712+IF(H712=0,1,0))</f>
        <v>#N/A</v>
      </c>
      <c r="U712" s="2" t="n">
        <f aca="false">IF(RESET=1,0,U712+H712)</f>
        <v>38</v>
      </c>
      <c r="V712" s="14" t="e">
        <f aca="false">R712/(T712+0.00001)</f>
        <v>#N/A</v>
      </c>
      <c r="W712" s="14" t="n">
        <f aca="false">S712/(U712+0.0001)</f>
        <v>15.4579808876139</v>
      </c>
      <c r="X712" s="39" t="n">
        <f aca="false">IF(Informed=1,K712,0)</f>
        <v>0</v>
      </c>
      <c r="Y712" s="39" t="n">
        <f aca="false">IF(Informed=0,K712,0)</f>
        <v>1.93063316537973</v>
      </c>
      <c r="Z712" s="39" t="n">
        <f aca="false">IF(Informed=1,N712,0)</f>
        <v>0</v>
      </c>
      <c r="AA712" s="39" t="n">
        <f aca="false">IF(Informed=0,N712,0)</f>
        <v>0</v>
      </c>
      <c r="AB712" s="43" t="n">
        <f aca="false">IF(Arterial=0,IF(Informed=1,1,0),0)</f>
        <v>0</v>
      </c>
      <c r="AC712" s="43" t="n">
        <f aca="false">IF(Arterial=0,IF(Informed=0,1,0),0)</f>
        <v>1</v>
      </c>
      <c r="AD712" s="43" t="n">
        <f aca="false">IF(Arterial=1,IF(Informed=1,1,0),0)</f>
        <v>0</v>
      </c>
      <c r="AE712" s="43" t="n">
        <f aca="false">IF(Arterial=1,IF(Informed=0,1,0),0)</f>
        <v>0</v>
      </c>
      <c r="AF712" s="35" t="n">
        <f aca="false">IF(AB712=1,(X712-G$1030)^2,0)</f>
        <v>0</v>
      </c>
      <c r="AG712" s="35" t="n">
        <f aca="false">IF(AC712=1,(Y712-H$1030)^2,0)</f>
        <v>80.8767844300579</v>
      </c>
      <c r="AH712" s="35" t="n">
        <f aca="false">IF(AD712=1,(Z712-I$1030)^2,0)</f>
        <v>0</v>
      </c>
      <c r="AI712" s="35" t="n">
        <f aca="false">IF(AE712=1,(AA712-J$1030)^2,0)</f>
        <v>0</v>
      </c>
      <c r="AJ712" s="37" t="n">
        <f aca="true">IF(RAND()&lt;$D$6,1,0)</f>
        <v>0</v>
      </c>
      <c r="AK712" s="14" t="n">
        <f aca="false">AK711+IF((AJ712=1),IF((H712=0),1,0),0)</f>
        <v>0</v>
      </c>
      <c r="AL712" s="14" t="n">
        <f aca="false">AL711+IF((AJ712=1),IF((H712=1),1,0),0)</f>
        <v>0</v>
      </c>
      <c r="AM712" s="37" t="n">
        <f aca="false">IF(AK712=0,9999,IF($H712=0,IF($AJ712&lt;1,AM711+1,0),AM711))</f>
        <v>9999</v>
      </c>
      <c r="AN712" s="37" t="n">
        <f aca="false">IF(AL712=0,9999,IF($H712=1,IF($AJ712&lt;1,AN711+1,0),AN711))</f>
        <v>9999</v>
      </c>
      <c r="AO712" s="37" t="n">
        <f aca="false">IF($A712-AM712&gt;0,1/(1+AM712),0)</f>
        <v>0</v>
      </c>
      <c r="AP712" s="37" t="n">
        <f aca="false">IF($A712-AN712&gt;0,1/(1+AN712),0)</f>
        <v>0</v>
      </c>
      <c r="AQ712" s="7" t="n">
        <f aca="false">IF(AK712=0,0,MAX(MIN(1,AO712^Power),0))</f>
        <v>0</v>
      </c>
      <c r="AR712" s="7" t="n">
        <f aca="false">IF(AL712=0,0,MAX(MIN(1,AP712^Power),0))</f>
        <v>0</v>
      </c>
      <c r="AS712" s="7" t="n">
        <f aca="false">IF($AJ712=1,IF($H712=0,K712,AS711),AS711)</f>
        <v>0</v>
      </c>
      <c r="AT712" s="7" t="n">
        <f aca="false">IF($AJ712=1,IF($H712=1,N712,AT711),AT711)</f>
        <v>0</v>
      </c>
    </row>
    <row r="713" customFormat="false" ht="13" hidden="false" customHeight="false" outlineLevel="0" collapsed="false">
      <c r="A713" s="16" t="n">
        <v>696</v>
      </c>
      <c r="B713" s="37" t="n">
        <f aca="true">IF(RAND()&lt;$D$8,1,0)</f>
        <v>1</v>
      </c>
      <c r="C713" s="20" t="n">
        <f aca="true">-LN(RAND())/$D$2</f>
        <v>0.989808554404913</v>
      </c>
      <c r="D713" s="38" t="n">
        <f aca="false">D712+C713</f>
        <v>732.045839337364</v>
      </c>
      <c r="E713" s="39" t="n">
        <f aca="false">MAX($E$3,AS712)</f>
        <v>0</v>
      </c>
      <c r="F713" s="39" t="n">
        <f aca="false">MAX($E$3,AT712)</f>
        <v>0</v>
      </c>
      <c r="G713" s="40" t="n">
        <v>0.5</v>
      </c>
      <c r="H713" s="38" t="n">
        <f aca="true">IF((B713=1),(IF((F713&lt;E713),1,(IF((F713=E713),(IF(RAND()&lt;G713,1,0)),0)))),(IF((RAND()&lt;G713),1,0)))</f>
        <v>0</v>
      </c>
      <c r="I713" s="38" t="n">
        <f aca="true">IF((H713=1),0,$D$3+$D$5*(RAND()-0.5))</f>
        <v>1.9030593248497</v>
      </c>
      <c r="J713" s="38" t="n">
        <f aca="false">I713+MAX(D713,J712)</f>
        <v>734.889723273189</v>
      </c>
      <c r="K713" s="38" t="n">
        <f aca="false">IF((H713=0),J713-D713,0)</f>
        <v>2.84388393582447</v>
      </c>
      <c r="L713" s="38" t="n">
        <f aca="true">IF(($H713=0),0,$D$4+$D$5*(RAND()-0.5))</f>
        <v>0</v>
      </c>
      <c r="M713" s="38" t="n">
        <f aca="false">L713+MAX(D713,M712)</f>
        <v>788.363593326571</v>
      </c>
      <c r="N713" s="38" t="n">
        <f aca="false">IF((H713=1),M713-D713,0)</f>
        <v>0</v>
      </c>
      <c r="O713" s="16" t="n">
        <v>696</v>
      </c>
      <c r="P713" s="41" t="n">
        <f aca="false">IF((Arterial=0),P712+1,P712)</f>
        <v>316</v>
      </c>
      <c r="Q713" s="41" t="n">
        <f aca="false">IF((Arterial=1),Q712+1,Q712)</f>
        <v>380</v>
      </c>
      <c r="R713" s="42" t="e">
        <f aca="false">IF((RESET=1),0,R713+K713)</f>
        <v>#N/A</v>
      </c>
      <c r="S713" s="14" t="n">
        <f aca="false">IF(RESET=1,0,S713+N713)</f>
        <v>666.346487525228</v>
      </c>
      <c r="T713" s="2" t="e">
        <f aca="false">IF(RESET=1,0,T713+IF(H713=0,1,0))</f>
        <v>#N/A</v>
      </c>
      <c r="U713" s="2" t="n">
        <f aca="false">IF(RESET=1,0,U713+H713)</f>
        <v>35</v>
      </c>
      <c r="V713" s="14" t="e">
        <f aca="false">R713/(T713+0.00001)</f>
        <v>#N/A</v>
      </c>
      <c r="W713" s="14" t="n">
        <f aca="false">S713/(U713+0.0001)</f>
        <v>19.0384166766732</v>
      </c>
      <c r="X713" s="39" t="n">
        <f aca="false">IF(Informed=1,K713,0)</f>
        <v>2.84388393582447</v>
      </c>
      <c r="Y713" s="39" t="n">
        <f aca="false">IF(Informed=0,K713,0)</f>
        <v>0</v>
      </c>
      <c r="Z713" s="39" t="n">
        <f aca="false">IF(Informed=1,N713,0)</f>
        <v>0</v>
      </c>
      <c r="AA713" s="39" t="n">
        <f aca="false">IF(Informed=0,N713,0)</f>
        <v>0</v>
      </c>
      <c r="AB713" s="43" t="n">
        <f aca="false">IF(Arterial=0,IF(Informed=1,1,0),0)</f>
        <v>1</v>
      </c>
      <c r="AC713" s="43" t="n">
        <f aca="false">IF(Arterial=0,IF(Informed=0,1,0),0)</f>
        <v>0</v>
      </c>
      <c r="AD713" s="43" t="n">
        <f aca="false">IF(Arterial=1,IF(Informed=1,1,0),0)</f>
        <v>0</v>
      </c>
      <c r="AE713" s="43" t="n">
        <f aca="false">IF(Arterial=1,IF(Informed=0,1,0),0)</f>
        <v>0</v>
      </c>
      <c r="AF713" s="35" t="n">
        <f aca="false">IF(AB713=1,(X713-G$1030)^2,0)</f>
        <v>61.8707200635747</v>
      </c>
      <c r="AG713" s="35" t="n">
        <f aca="false">IF(AC713=1,(Y713-H$1030)^2,0)</f>
        <v>0</v>
      </c>
      <c r="AH713" s="35" t="n">
        <f aca="false">IF(AD713=1,(Z713-I$1030)^2,0)</f>
        <v>0</v>
      </c>
      <c r="AI713" s="35" t="n">
        <f aca="false">IF(AE713=1,(AA713-J$1030)^2,0)</f>
        <v>0</v>
      </c>
      <c r="AJ713" s="37" t="n">
        <f aca="true">IF(RAND()&lt;$D$6,1,0)</f>
        <v>0</v>
      </c>
      <c r="AK713" s="14" t="n">
        <f aca="false">AK712+IF((AJ713=1),IF((H713=0),1,0),0)</f>
        <v>0</v>
      </c>
      <c r="AL713" s="14" t="n">
        <f aca="false">AL712+IF((AJ713=1),IF((H713=1),1,0),0)</f>
        <v>0</v>
      </c>
      <c r="AM713" s="37" t="n">
        <f aca="false">IF(AK713=0,9999,IF($H713=0,IF($AJ713&lt;1,AM712+1,0),AM712))</f>
        <v>9999</v>
      </c>
      <c r="AN713" s="37" t="n">
        <f aca="false">IF(AL713=0,9999,IF($H713=1,IF($AJ713&lt;1,AN712+1,0),AN712))</f>
        <v>9999</v>
      </c>
      <c r="AO713" s="37" t="n">
        <f aca="false">IF($A713-AM713&gt;0,1/(1+AM713),0)</f>
        <v>0</v>
      </c>
      <c r="AP713" s="37" t="n">
        <f aca="false">IF($A713-AN713&gt;0,1/(1+AN713),0)</f>
        <v>0</v>
      </c>
      <c r="AQ713" s="7" t="n">
        <f aca="false">IF(AK713=0,0,MAX(MIN(1,AO713^Power),0))</f>
        <v>0</v>
      </c>
      <c r="AR713" s="7" t="n">
        <f aca="false">IF(AL713=0,0,MAX(MIN(1,AP713^Power),0))</f>
        <v>0</v>
      </c>
      <c r="AS713" s="7" t="n">
        <f aca="false">IF($AJ713=1,IF($H713=0,K713,AS712),AS712)</f>
        <v>0</v>
      </c>
      <c r="AT713" s="7" t="n">
        <f aca="false">IF($AJ713=1,IF($H713=1,N713,AT712),AT712)</f>
        <v>0</v>
      </c>
    </row>
    <row r="714" customFormat="false" ht="13" hidden="false" customHeight="false" outlineLevel="0" collapsed="false">
      <c r="A714" s="16" t="n">
        <v>697</v>
      </c>
      <c r="B714" s="37" t="n">
        <f aca="true">IF(RAND()&lt;$D$8,1,0)</f>
        <v>0</v>
      </c>
      <c r="C714" s="20" t="n">
        <f aca="true">-LN(RAND())/$D$2</f>
        <v>1.67397230548013</v>
      </c>
      <c r="D714" s="38" t="n">
        <f aca="false">D713+C714</f>
        <v>733.719811642844</v>
      </c>
      <c r="E714" s="39" t="n">
        <f aca="false">MAX($E$3,AS713)</f>
        <v>0</v>
      </c>
      <c r="F714" s="39" t="n">
        <f aca="false">MAX($E$3,AT713)</f>
        <v>0</v>
      </c>
      <c r="G714" s="40" t="n">
        <v>0.5</v>
      </c>
      <c r="H714" s="38" t="n">
        <f aca="true">IF((B714=1),(IF((F714&lt;E714),1,(IF((F714=E714),(IF(RAND()&lt;G714,1,0)),0)))),(IF((RAND()&lt;G714),1,0)))</f>
        <v>0</v>
      </c>
      <c r="I714" s="38" t="n">
        <f aca="true">IF((H714=1),0,$D$3+$D$5*(RAND()-0.5))</f>
        <v>2.22966884059777</v>
      </c>
      <c r="J714" s="38" t="n">
        <f aca="false">I714+MAX(D714,J713)</f>
        <v>737.119392113786</v>
      </c>
      <c r="K714" s="38" t="n">
        <f aca="false">IF((H714=0),J714-D714,0)</f>
        <v>3.39958047094217</v>
      </c>
      <c r="L714" s="38" t="n">
        <f aca="true">IF(($H714=0),0,$D$4+$D$5*(RAND()-0.5))</f>
        <v>0</v>
      </c>
      <c r="M714" s="38" t="n">
        <f aca="false">L714+MAX(D714,M713)</f>
        <v>788.363593326571</v>
      </c>
      <c r="N714" s="38" t="n">
        <f aca="false">IF((H714=1),M714-D714,0)</f>
        <v>0</v>
      </c>
      <c r="O714" s="16" t="n">
        <v>697</v>
      </c>
      <c r="P714" s="41" t="n">
        <f aca="false">IF((Arterial=0),P713+1,P713)</f>
        <v>317</v>
      </c>
      <c r="Q714" s="41" t="n">
        <f aca="false">IF((Arterial=1),Q713+1,Q713)</f>
        <v>380</v>
      </c>
      <c r="R714" s="42" t="e">
        <f aca="false">IF((RESET=1),0,R714+K714)</f>
        <v>#N/A</v>
      </c>
      <c r="S714" s="14" t="n">
        <f aca="false">IF(RESET=1,0,S714+N714)</f>
        <v>569.375681066691</v>
      </c>
      <c r="T714" s="2" t="e">
        <f aca="false">IF(RESET=1,0,T714+IF(H714=0,1,0))</f>
        <v>#N/A</v>
      </c>
      <c r="U714" s="2" t="n">
        <f aca="false">IF(RESET=1,0,U714+H714)</f>
        <v>40</v>
      </c>
      <c r="V714" s="14" t="e">
        <f aca="false">R714/(T714+0.00001)</f>
        <v>#N/A</v>
      </c>
      <c r="W714" s="14" t="n">
        <f aca="false">S714/(U714+0.0001)</f>
        <v>14.2343564407762</v>
      </c>
      <c r="X714" s="39" t="n">
        <f aca="false">IF(Informed=1,K714,0)</f>
        <v>0</v>
      </c>
      <c r="Y714" s="39" t="n">
        <f aca="false">IF(Informed=0,K714,0)</f>
        <v>3.39958047094217</v>
      </c>
      <c r="Z714" s="39" t="n">
        <f aca="false">IF(Informed=1,N714,0)</f>
        <v>0</v>
      </c>
      <c r="AA714" s="39" t="n">
        <f aca="false">IF(Informed=0,N714,0)</f>
        <v>0</v>
      </c>
      <c r="AB714" s="43" t="n">
        <f aca="false">IF(Arterial=0,IF(Informed=1,1,0),0)</f>
        <v>0</v>
      </c>
      <c r="AC714" s="43" t="n">
        <f aca="false">IF(Arterial=0,IF(Informed=0,1,0),0)</f>
        <v>1</v>
      </c>
      <c r="AD714" s="43" t="n">
        <f aca="false">IF(Arterial=1,IF(Informed=1,1,0),0)</f>
        <v>0</v>
      </c>
      <c r="AE714" s="43" t="n">
        <f aca="false">IF(Arterial=1,IF(Informed=0,1,0),0)</f>
        <v>0</v>
      </c>
      <c r="AF714" s="35" t="n">
        <f aca="false">IF(AB714=1,(X714-G$1030)^2,0)</f>
        <v>0</v>
      </c>
      <c r="AG714" s="35" t="n">
        <f aca="false">IF(AC714=1,(Y714-H$1030)^2,0)</f>
        <v>56.6136575680298</v>
      </c>
      <c r="AH714" s="35" t="n">
        <f aca="false">IF(AD714=1,(Z714-I$1030)^2,0)</f>
        <v>0</v>
      </c>
      <c r="AI714" s="35" t="n">
        <f aca="false">IF(AE714=1,(AA714-J$1030)^2,0)</f>
        <v>0</v>
      </c>
      <c r="AJ714" s="37" t="n">
        <f aca="true">IF(RAND()&lt;$D$6,1,0)</f>
        <v>0</v>
      </c>
      <c r="AK714" s="14" t="n">
        <f aca="false">AK713+IF((AJ714=1),IF((H714=0),1,0),0)</f>
        <v>0</v>
      </c>
      <c r="AL714" s="14" t="n">
        <f aca="false">AL713+IF((AJ714=1),IF((H714=1),1,0),0)</f>
        <v>0</v>
      </c>
      <c r="AM714" s="37" t="n">
        <f aca="false">IF(AK714=0,9999,IF($H714=0,IF($AJ714&lt;1,AM713+1,0),AM713))</f>
        <v>9999</v>
      </c>
      <c r="AN714" s="37" t="n">
        <f aca="false">IF(AL714=0,9999,IF($H714=1,IF($AJ714&lt;1,AN713+1,0),AN713))</f>
        <v>9999</v>
      </c>
      <c r="AO714" s="37" t="n">
        <f aca="false">IF($A714-AM714&gt;0,1/(1+AM714),0)</f>
        <v>0</v>
      </c>
      <c r="AP714" s="37" t="n">
        <f aca="false">IF($A714-AN714&gt;0,1/(1+AN714),0)</f>
        <v>0</v>
      </c>
      <c r="AQ714" s="7" t="n">
        <f aca="false">IF(AK714=0,0,MAX(MIN(1,AO714^Power),0))</f>
        <v>0</v>
      </c>
      <c r="AR714" s="7" t="n">
        <f aca="false">IF(AL714=0,0,MAX(MIN(1,AP714^Power),0))</f>
        <v>0</v>
      </c>
      <c r="AS714" s="7" t="n">
        <f aca="false">IF($AJ714=1,IF($H714=0,K714,AS713),AS713)</f>
        <v>0</v>
      </c>
      <c r="AT714" s="7" t="n">
        <f aca="false">IF($AJ714=1,IF($H714=1,N714,AT713),AT713)</f>
        <v>0</v>
      </c>
    </row>
    <row r="715" customFormat="false" ht="13" hidden="false" customHeight="false" outlineLevel="0" collapsed="false">
      <c r="A715" s="16" t="n">
        <v>698</v>
      </c>
      <c r="B715" s="37" t="n">
        <f aca="true">IF(RAND()&lt;$D$8,1,0)</f>
        <v>0</v>
      </c>
      <c r="C715" s="20" t="n">
        <f aca="true">-LN(RAND())/$D$2</f>
        <v>1.00716252582736</v>
      </c>
      <c r="D715" s="38" t="n">
        <f aca="false">D714+C715</f>
        <v>734.726974168671</v>
      </c>
      <c r="E715" s="39" t="n">
        <f aca="false">MAX($E$3,AS714)</f>
        <v>0</v>
      </c>
      <c r="F715" s="39" t="n">
        <f aca="false">MAX($E$3,AT714)</f>
        <v>0</v>
      </c>
      <c r="G715" s="40" t="n">
        <v>0.5</v>
      </c>
      <c r="H715" s="38" t="n">
        <f aca="true">IF((B715=1),(IF((F715&lt;E715),1,(IF((F715=E715),(IF(RAND()&lt;G715,1,0)),0)))),(IF((RAND()&lt;G715),1,0)))</f>
        <v>1</v>
      </c>
      <c r="I715" s="38" t="n">
        <f aca="true">IF((H715=1),0,$D$3+$D$5*(RAND()-0.5))</f>
        <v>0</v>
      </c>
      <c r="J715" s="38" t="n">
        <f aca="false">I715+MAX(D715,J714)</f>
        <v>737.119392113786</v>
      </c>
      <c r="K715" s="38" t="n">
        <f aca="false">IF((H715=0),J715-D715,0)</f>
        <v>0</v>
      </c>
      <c r="L715" s="38" t="n">
        <f aca="true">IF(($H715=0),0,$D$4+$D$5*(RAND()-0.5))</f>
        <v>2.17140124880451</v>
      </c>
      <c r="M715" s="38" t="n">
        <f aca="false">L715+MAX(D715,M714)</f>
        <v>790.534994575376</v>
      </c>
      <c r="N715" s="38" t="n">
        <f aca="false">IF((H715=1),M715-D715,0)</f>
        <v>55.8080204067044</v>
      </c>
      <c r="O715" s="16" t="n">
        <v>698</v>
      </c>
      <c r="P715" s="41" t="n">
        <f aca="false">IF((Arterial=0),P714+1,P714)</f>
        <v>317</v>
      </c>
      <c r="Q715" s="41" t="n">
        <f aca="false">IF((Arterial=1),Q714+1,Q714)</f>
        <v>381</v>
      </c>
      <c r="R715" s="42" t="n">
        <f aca="false">IF((RESET=1),0,R715+K715)</f>
        <v>876.610482321457</v>
      </c>
      <c r="S715" s="14" t="e">
        <f aca="false">IF(RESET=1,0,S715+N715)</f>
        <v>#N/A</v>
      </c>
      <c r="T715" s="2" t="n">
        <f aca="false">IF(RESET=1,0,T715+IF(H715=0,1,0))</f>
        <v>41</v>
      </c>
      <c r="U715" s="2" t="e">
        <f aca="false">IF(RESET=1,0,U715+H715)</f>
        <v>#N/A</v>
      </c>
      <c r="V715" s="14" t="n">
        <f aca="false">R715/(T715+0.00001)</f>
        <v>21.3807382564408</v>
      </c>
      <c r="W715" s="14" t="e">
        <f aca="false">S715/(U715+0.0001)</f>
        <v>#N/A</v>
      </c>
      <c r="X715" s="39" t="n">
        <f aca="false">IF(Informed=1,K715,0)</f>
        <v>0</v>
      </c>
      <c r="Y715" s="39" t="n">
        <f aca="false">IF(Informed=0,K715,0)</f>
        <v>0</v>
      </c>
      <c r="Z715" s="39" t="n">
        <f aca="false">IF(Informed=1,N715,0)</f>
        <v>0</v>
      </c>
      <c r="AA715" s="39" t="n">
        <f aca="false">IF(Informed=0,N715,0)</f>
        <v>55.8080204067044</v>
      </c>
      <c r="AB715" s="43" t="n">
        <f aca="false">IF(Arterial=0,IF(Informed=1,1,0),0)</f>
        <v>0</v>
      </c>
      <c r="AC715" s="43" t="n">
        <f aca="false">IF(Arterial=0,IF(Informed=0,1,0),0)</f>
        <v>0</v>
      </c>
      <c r="AD715" s="43" t="n">
        <f aca="false">IF(Arterial=1,IF(Informed=1,1,0),0)</f>
        <v>0</v>
      </c>
      <c r="AE715" s="43" t="n">
        <f aca="false">IF(Arterial=1,IF(Informed=0,1,0),0)</f>
        <v>1</v>
      </c>
      <c r="AF715" s="35" t="n">
        <f aca="false">IF(AB715=1,(X715-G$1030)^2,0)</f>
        <v>0</v>
      </c>
      <c r="AG715" s="35" t="n">
        <f aca="false">IF(AC715=1,(Y715-H$1030)^2,0)</f>
        <v>0</v>
      </c>
      <c r="AH715" s="35" t="n">
        <f aca="false">IF(AD715=1,(Z715-I$1030)^2,0)</f>
        <v>0</v>
      </c>
      <c r="AI715" s="35" t="n">
        <f aca="false">IF(AE715=1,(AA715-J$1030)^2,0)</f>
        <v>688.734173485477</v>
      </c>
      <c r="AJ715" s="37" t="n">
        <f aca="true">IF(RAND()&lt;$D$6,1,0)</f>
        <v>0</v>
      </c>
      <c r="AK715" s="14" t="n">
        <f aca="false">AK714+IF((AJ715=1),IF((H715=0),1,0),0)</f>
        <v>0</v>
      </c>
      <c r="AL715" s="14" t="n">
        <f aca="false">AL714+IF((AJ715=1),IF((H715=1),1,0),0)</f>
        <v>0</v>
      </c>
      <c r="AM715" s="37" t="n">
        <f aca="false">IF(AK715=0,9999,IF($H715=0,IF($AJ715&lt;1,AM714+1,0),AM714))</f>
        <v>9999</v>
      </c>
      <c r="AN715" s="37" t="n">
        <f aca="false">IF(AL715=0,9999,IF($H715=1,IF($AJ715&lt;1,AN714+1,0),AN714))</f>
        <v>9999</v>
      </c>
      <c r="AO715" s="37" t="n">
        <f aca="false">IF($A715-AM715&gt;0,1/(1+AM715),0)</f>
        <v>0</v>
      </c>
      <c r="AP715" s="37" t="n">
        <f aca="false">IF($A715-AN715&gt;0,1/(1+AN715),0)</f>
        <v>0</v>
      </c>
      <c r="AQ715" s="7" t="n">
        <f aca="false">IF(AK715=0,0,MAX(MIN(1,AO715^Power),0))</f>
        <v>0</v>
      </c>
      <c r="AR715" s="7" t="n">
        <f aca="false">IF(AL715=0,0,MAX(MIN(1,AP715^Power),0))</f>
        <v>0</v>
      </c>
      <c r="AS715" s="7" t="n">
        <f aca="false">IF($AJ715=1,IF($H715=0,K715,AS714),AS714)</f>
        <v>0</v>
      </c>
      <c r="AT715" s="7" t="n">
        <f aca="false">IF($AJ715=1,IF($H715=1,N715,AT714),AT714)</f>
        <v>0</v>
      </c>
    </row>
    <row r="716" customFormat="false" ht="13" hidden="false" customHeight="false" outlineLevel="0" collapsed="false">
      <c r="A716" s="16" t="n">
        <v>699</v>
      </c>
      <c r="B716" s="37" t="n">
        <f aca="true">IF(RAND()&lt;$D$8,1,0)</f>
        <v>1</v>
      </c>
      <c r="C716" s="20" t="n">
        <f aca="true">-LN(RAND())/$D$2</f>
        <v>0.413080824694042</v>
      </c>
      <c r="D716" s="38" t="n">
        <f aca="false">D715+C716</f>
        <v>735.140054993365</v>
      </c>
      <c r="E716" s="39" t="n">
        <f aca="false">MAX($E$3,AS715)</f>
        <v>0</v>
      </c>
      <c r="F716" s="39" t="n">
        <f aca="false">MAX($E$3,AT715)</f>
        <v>0</v>
      </c>
      <c r="G716" s="40" t="n">
        <v>0.5</v>
      </c>
      <c r="H716" s="38" t="n">
        <f aca="true">IF((B716=1),(IF((F716&lt;E716),1,(IF((F716=E716),(IF(RAND()&lt;G716,1,0)),0)))),(IF((RAND()&lt;G716),1,0)))</f>
        <v>1</v>
      </c>
      <c r="I716" s="38" t="n">
        <f aca="true">IF((H716=1),0,$D$3+$D$5*(RAND()-0.5))</f>
        <v>0</v>
      </c>
      <c r="J716" s="38" t="n">
        <f aca="false">I716+MAX(D716,J715)</f>
        <v>737.119392113786</v>
      </c>
      <c r="K716" s="38" t="n">
        <f aca="false">IF((H716=0),J716-D716,0)</f>
        <v>0</v>
      </c>
      <c r="L716" s="38" t="n">
        <f aca="true">IF(($H716=0),0,$D$4+$D$5*(RAND()-0.5))</f>
        <v>1.83412058126037</v>
      </c>
      <c r="M716" s="38" t="n">
        <f aca="false">L716+MAX(D716,M715)</f>
        <v>792.369115156636</v>
      </c>
      <c r="N716" s="38" t="n">
        <f aca="false">IF((H716=1),M716-D716,0)</f>
        <v>57.2290601632707</v>
      </c>
      <c r="O716" s="16" t="n">
        <v>699</v>
      </c>
      <c r="P716" s="41" t="n">
        <f aca="false">IF((Arterial=0),P715+1,P715)</f>
        <v>317</v>
      </c>
      <c r="Q716" s="41" t="n">
        <f aca="false">IF((Arterial=1),Q715+1,Q715)</f>
        <v>382</v>
      </c>
      <c r="R716" s="42" t="n">
        <f aca="false">IF((RESET=1),0,R716+K716)</f>
        <v>776.246006606274</v>
      </c>
      <c r="S716" s="14" t="e">
        <f aca="false">IF(RESET=1,0,S716+N716)</f>
        <v>#N/A</v>
      </c>
      <c r="T716" s="2" t="n">
        <f aca="false">IF(RESET=1,0,T716+IF(H716=0,1,0))</f>
        <v>38</v>
      </c>
      <c r="U716" s="2" t="e">
        <f aca="false">IF(RESET=1,0,U716+H716)</f>
        <v>#N/A</v>
      </c>
      <c r="V716" s="14" t="n">
        <f aca="false">R716/(T716+0.00001)</f>
        <v>20.4275211139753</v>
      </c>
      <c r="W716" s="14" t="e">
        <f aca="false">S716/(U716+0.0001)</f>
        <v>#N/A</v>
      </c>
      <c r="X716" s="39" t="n">
        <f aca="false">IF(Informed=1,K716,0)</f>
        <v>0</v>
      </c>
      <c r="Y716" s="39" t="n">
        <f aca="false">IF(Informed=0,K716,0)</f>
        <v>0</v>
      </c>
      <c r="Z716" s="39" t="n">
        <f aca="false">IF(Informed=1,N716,0)</f>
        <v>57.2290601632707</v>
      </c>
      <c r="AA716" s="39" t="n">
        <f aca="false">IF(Informed=0,N716,0)</f>
        <v>0</v>
      </c>
      <c r="AB716" s="43" t="n">
        <f aca="false">IF(Arterial=0,IF(Informed=1,1,0),0)</f>
        <v>0</v>
      </c>
      <c r="AC716" s="43" t="n">
        <f aca="false">IF(Arterial=0,IF(Informed=0,1,0),0)</f>
        <v>0</v>
      </c>
      <c r="AD716" s="43" t="n">
        <f aca="false">IF(Arterial=1,IF(Informed=1,1,0),0)</f>
        <v>1</v>
      </c>
      <c r="AE716" s="43" t="n">
        <f aca="false">IF(Arterial=1,IF(Informed=0,1,0),0)</f>
        <v>0</v>
      </c>
      <c r="AF716" s="35" t="n">
        <f aca="false">IF(AB716=1,(X716-G$1030)^2,0)</f>
        <v>0</v>
      </c>
      <c r="AG716" s="35" t="n">
        <f aca="false">IF(AC716=1,(Y716-H$1030)^2,0)</f>
        <v>0</v>
      </c>
      <c r="AH716" s="35" t="n">
        <f aca="false">IF(AD716=1,(Z716-I$1030)^2,0)</f>
        <v>832.566321704751</v>
      </c>
      <c r="AI716" s="35" t="n">
        <f aca="false">IF(AE716=1,(AA716-J$1030)^2,0)</f>
        <v>0</v>
      </c>
      <c r="AJ716" s="37" t="n">
        <f aca="true">IF(RAND()&lt;$D$6,1,0)</f>
        <v>0</v>
      </c>
      <c r="AK716" s="14" t="n">
        <f aca="false">AK715+IF((AJ716=1),IF((H716=0),1,0),0)</f>
        <v>0</v>
      </c>
      <c r="AL716" s="14" t="n">
        <f aca="false">AL715+IF((AJ716=1),IF((H716=1),1,0),0)</f>
        <v>0</v>
      </c>
      <c r="AM716" s="37" t="n">
        <f aca="false">IF(AK716=0,9999,IF($H716=0,IF($AJ716&lt;1,AM715+1,0),AM715))</f>
        <v>9999</v>
      </c>
      <c r="AN716" s="37" t="n">
        <f aca="false">IF(AL716=0,9999,IF($H716=1,IF($AJ716&lt;1,AN715+1,0),AN715))</f>
        <v>9999</v>
      </c>
      <c r="AO716" s="37" t="n">
        <f aca="false">IF($A716-AM716&gt;0,1/(1+AM716),0)</f>
        <v>0</v>
      </c>
      <c r="AP716" s="37" t="n">
        <f aca="false">IF($A716-AN716&gt;0,1/(1+AN716),0)</f>
        <v>0</v>
      </c>
      <c r="AQ716" s="7" t="n">
        <f aca="false">IF(AK716=0,0,MAX(MIN(1,AO716^Power),0))</f>
        <v>0</v>
      </c>
      <c r="AR716" s="7" t="n">
        <f aca="false">IF(AL716=0,0,MAX(MIN(1,AP716^Power),0))</f>
        <v>0</v>
      </c>
      <c r="AS716" s="7" t="n">
        <f aca="false">IF($AJ716=1,IF($H716=0,K716,AS715),AS715)</f>
        <v>0</v>
      </c>
      <c r="AT716" s="7" t="n">
        <f aca="false">IF($AJ716=1,IF($H716=1,N716,AT715),AT715)</f>
        <v>0</v>
      </c>
    </row>
    <row r="717" customFormat="false" ht="13" hidden="false" customHeight="false" outlineLevel="0" collapsed="false">
      <c r="A717" s="16" t="n">
        <v>700</v>
      </c>
      <c r="B717" s="37" t="n">
        <f aca="true">IF(RAND()&lt;$D$8,1,0)</f>
        <v>1</v>
      </c>
      <c r="C717" s="20" t="n">
        <f aca="true">-LN(RAND())/$D$2</f>
        <v>0.982148071179892</v>
      </c>
      <c r="D717" s="38" t="n">
        <f aca="false">D716+C717</f>
        <v>736.122203064545</v>
      </c>
      <c r="E717" s="39" t="n">
        <f aca="false">MAX($E$3,AS716)</f>
        <v>0</v>
      </c>
      <c r="F717" s="39" t="n">
        <f aca="false">MAX($E$3,AT716)</f>
        <v>0</v>
      </c>
      <c r="G717" s="40" t="n">
        <v>0.5</v>
      </c>
      <c r="H717" s="38" t="n">
        <f aca="true">IF((B717=1),(IF((F717&lt;E717),1,(IF((F717=E717),(IF(RAND()&lt;G717,1,0)),0)))),(IF((RAND()&lt;G717),1,0)))</f>
        <v>0</v>
      </c>
      <c r="I717" s="38" t="n">
        <f aca="true">IF((H717=1),0,$D$3+$D$5*(RAND()-0.5))</f>
        <v>2.18471259665034</v>
      </c>
      <c r="J717" s="38" t="n">
        <f aca="false">I717+MAX(D717,J716)</f>
        <v>739.304104710437</v>
      </c>
      <c r="K717" s="38" t="n">
        <f aca="false">IF((H717=0),J717-D717,0)</f>
        <v>3.18190164589134</v>
      </c>
      <c r="L717" s="38" t="n">
        <f aca="true">IF(($H717=0),0,$D$4+$D$5*(RAND()-0.5))</f>
        <v>0</v>
      </c>
      <c r="M717" s="38" t="n">
        <f aca="false">L717+MAX(D717,M716)</f>
        <v>792.369115156636</v>
      </c>
      <c r="N717" s="38" t="n">
        <f aca="false">IF((H717=1),M717-D717,0)</f>
        <v>0</v>
      </c>
      <c r="O717" s="16" t="n">
        <v>700</v>
      </c>
      <c r="P717" s="41" t="n">
        <f aca="false">IF((Arterial=0),P716+1,P716)</f>
        <v>318</v>
      </c>
      <c r="Q717" s="41" t="n">
        <f aca="false">IF((Arterial=1),Q716+1,Q716)</f>
        <v>382</v>
      </c>
      <c r="R717" s="42" t="e">
        <f aca="false">IF((RESET=1),0,R717+K717)</f>
        <v>#N/A</v>
      </c>
      <c r="S717" s="14" t="n">
        <f aca="false">IF(RESET=1,0,S717+N717)</f>
        <v>696.630464606573</v>
      </c>
      <c r="T717" s="2" t="e">
        <f aca="false">IF(RESET=1,0,T717+IF(H717=0,1,0))</f>
        <v>#N/A</v>
      </c>
      <c r="U717" s="2" t="n">
        <f aca="false">IF(RESET=1,0,U717+H717)</f>
        <v>43</v>
      </c>
      <c r="V717" s="14" t="e">
        <f aca="false">R717/(T717+0.00001)</f>
        <v>#N/A</v>
      </c>
      <c r="W717" s="14" t="n">
        <f aca="false">S717/(U717+0.0001)</f>
        <v>16.200670803244</v>
      </c>
      <c r="X717" s="39" t="n">
        <f aca="false">IF(Informed=1,K717,0)</f>
        <v>3.18190164589134</v>
      </c>
      <c r="Y717" s="39" t="n">
        <f aca="false">IF(Informed=0,K717,0)</f>
        <v>0</v>
      </c>
      <c r="Z717" s="39" t="n">
        <f aca="false">IF(Informed=1,N717,0)</f>
        <v>0</v>
      </c>
      <c r="AA717" s="39" t="n">
        <f aca="false">IF(Informed=0,N717,0)</f>
        <v>0</v>
      </c>
      <c r="AB717" s="43" t="n">
        <f aca="false">IF(Arterial=0,IF(Informed=1,1,0),0)</f>
        <v>1</v>
      </c>
      <c r="AC717" s="43" t="n">
        <f aca="false">IF(Arterial=0,IF(Informed=0,1,0),0)</f>
        <v>0</v>
      </c>
      <c r="AD717" s="43" t="n">
        <f aca="false">IF(Arterial=1,IF(Informed=1,1,0),0)</f>
        <v>0</v>
      </c>
      <c r="AE717" s="43" t="n">
        <f aca="false">IF(Arterial=1,IF(Informed=0,1,0),0)</f>
        <v>0</v>
      </c>
      <c r="AF717" s="35" t="n">
        <f aca="false">IF(AB717=1,(X717-G$1030)^2,0)</f>
        <v>56.6674204775824</v>
      </c>
      <c r="AG717" s="35" t="n">
        <f aca="false">IF(AC717=1,(Y717-H$1030)^2,0)</f>
        <v>0</v>
      </c>
      <c r="AH717" s="35" t="n">
        <f aca="false">IF(AD717=1,(Z717-I$1030)^2,0)</f>
        <v>0</v>
      </c>
      <c r="AI717" s="35" t="n">
        <f aca="false">IF(AE717=1,(AA717-J$1030)^2,0)</f>
        <v>0</v>
      </c>
      <c r="AJ717" s="37" t="n">
        <f aca="true">IF(RAND()&lt;$D$6,1,0)</f>
        <v>0</v>
      </c>
      <c r="AK717" s="14" t="n">
        <f aca="false">AK716+IF((AJ717=1),IF((H717=0),1,0),0)</f>
        <v>0</v>
      </c>
      <c r="AL717" s="14" t="n">
        <f aca="false">AL716+IF((AJ717=1),IF((H717=1),1,0),0)</f>
        <v>0</v>
      </c>
      <c r="AM717" s="37" t="n">
        <f aca="false">IF(AK717=0,9999,IF($H717=0,IF($AJ717&lt;1,AM716+1,0),AM716))</f>
        <v>9999</v>
      </c>
      <c r="AN717" s="37" t="n">
        <f aca="false">IF(AL717=0,9999,IF($H717=1,IF($AJ717&lt;1,AN716+1,0),AN716))</f>
        <v>9999</v>
      </c>
      <c r="AO717" s="37" t="n">
        <f aca="false">IF($A717-AM717&gt;0,1/(1+AM717),0)</f>
        <v>0</v>
      </c>
      <c r="AP717" s="37" t="n">
        <f aca="false">IF($A717-AN717&gt;0,1/(1+AN717),0)</f>
        <v>0</v>
      </c>
      <c r="AQ717" s="7" t="n">
        <f aca="false">IF(AK717=0,0,MAX(MIN(1,AO717^Power),0))</f>
        <v>0</v>
      </c>
      <c r="AR717" s="7" t="n">
        <f aca="false">IF(AL717=0,0,MAX(MIN(1,AP717^Power),0))</f>
        <v>0</v>
      </c>
      <c r="AS717" s="7" t="n">
        <f aca="false">IF($AJ717=1,IF($H717=0,K717,AS716),AS716)</f>
        <v>0</v>
      </c>
      <c r="AT717" s="7" t="n">
        <f aca="false">IF($AJ717=1,IF($H717=1,N717,AT716),AT716)</f>
        <v>0</v>
      </c>
    </row>
    <row r="718" customFormat="false" ht="13" hidden="false" customHeight="false" outlineLevel="0" collapsed="false">
      <c r="A718" s="16" t="n">
        <v>701</v>
      </c>
      <c r="B718" s="37" t="n">
        <f aca="true">IF(RAND()&lt;$D$8,1,0)</f>
        <v>0</v>
      </c>
      <c r="C718" s="20" t="n">
        <f aca="true">-LN(RAND())/$D$2</f>
        <v>0.123815654693834</v>
      </c>
      <c r="D718" s="38" t="n">
        <f aca="false">D717+C718</f>
        <v>736.246018719239</v>
      </c>
      <c r="E718" s="39" t="n">
        <f aca="false">MAX($E$3,AS717)</f>
        <v>0</v>
      </c>
      <c r="F718" s="39" t="n">
        <f aca="false">MAX($E$3,AT717)</f>
        <v>0</v>
      </c>
      <c r="G718" s="40" t="n">
        <v>0.5</v>
      </c>
      <c r="H718" s="38" t="n">
        <f aca="true">IF((B718=1),(IF((F718&lt;E718),1,(IF((F718=E718),(IF(RAND()&lt;G718,1,0)),0)))),(IF((RAND()&lt;G718),1,0)))</f>
        <v>0</v>
      </c>
      <c r="I718" s="38" t="n">
        <f aca="true">IF((H718=1),0,$D$3+$D$5*(RAND()-0.5))</f>
        <v>1.78555069081397</v>
      </c>
      <c r="J718" s="38" t="n">
        <f aca="false">I718+MAX(D718,J717)</f>
        <v>741.089655401251</v>
      </c>
      <c r="K718" s="38" t="n">
        <f aca="false">IF((H718=0),J718-D718,0)</f>
        <v>4.84363668201138</v>
      </c>
      <c r="L718" s="38" t="n">
        <f aca="true">IF(($H718=0),0,$D$4+$D$5*(RAND()-0.5))</f>
        <v>0</v>
      </c>
      <c r="M718" s="38" t="n">
        <f aca="false">L718+MAX(D718,M717)</f>
        <v>792.369115156636</v>
      </c>
      <c r="N718" s="38" t="n">
        <f aca="false">IF((H718=1),M718-D718,0)</f>
        <v>0</v>
      </c>
      <c r="O718" s="16" t="n">
        <v>701</v>
      </c>
      <c r="P718" s="41" t="n">
        <f aca="false">IF((Arterial=0),P717+1,P717)</f>
        <v>319</v>
      </c>
      <c r="Q718" s="41" t="n">
        <f aca="false">IF((Arterial=1),Q717+1,Q717)</f>
        <v>382</v>
      </c>
      <c r="R718" s="42" t="e">
        <f aca="false">IF((RESET=1),0,R718+K718)</f>
        <v>#N/A</v>
      </c>
      <c r="S718" s="14" t="n">
        <f aca="false">IF(RESET=1,0,S718+N718)</f>
        <v>554.316243004852</v>
      </c>
      <c r="T718" s="2" t="e">
        <f aca="false">IF(RESET=1,0,T718+IF(H718=0,1,0))</f>
        <v>#N/A</v>
      </c>
      <c r="U718" s="2" t="n">
        <f aca="false">IF(RESET=1,0,U718+H718)</f>
        <v>37</v>
      </c>
      <c r="V718" s="14" t="e">
        <f aca="false">R718/(T718+0.00001)</f>
        <v>#N/A</v>
      </c>
      <c r="W718" s="14" t="n">
        <f aca="false">S718/(U718+0.0001)</f>
        <v>14.9814795907268</v>
      </c>
      <c r="X718" s="39" t="n">
        <f aca="false">IF(Informed=1,K718,0)</f>
        <v>0</v>
      </c>
      <c r="Y718" s="39" t="n">
        <f aca="false">IF(Informed=0,K718,0)</f>
        <v>4.84363668201138</v>
      </c>
      <c r="Z718" s="39" t="n">
        <f aca="false">IF(Informed=1,N718,0)</f>
        <v>0</v>
      </c>
      <c r="AA718" s="39" t="n">
        <f aca="false">IF(Informed=0,N718,0)</f>
        <v>0</v>
      </c>
      <c r="AB718" s="43" t="n">
        <f aca="false">IF(Arterial=0,IF(Informed=1,1,0),0)</f>
        <v>0</v>
      </c>
      <c r="AC718" s="43" t="n">
        <f aca="false">IF(Arterial=0,IF(Informed=0,1,0),0)</f>
        <v>1</v>
      </c>
      <c r="AD718" s="43" t="n">
        <f aca="false">IF(Arterial=1,IF(Informed=1,1,0),0)</f>
        <v>0</v>
      </c>
      <c r="AE718" s="43" t="n">
        <f aca="false">IF(Arterial=1,IF(Informed=0,1,0),0)</f>
        <v>0</v>
      </c>
      <c r="AF718" s="35" t="n">
        <f aca="false">IF(AB718=1,(X718-G$1030)^2,0)</f>
        <v>0</v>
      </c>
      <c r="AG718" s="35" t="n">
        <f aca="false">IF(AC718=1,(Y718-H$1030)^2,0)</f>
        <v>36.968206617568</v>
      </c>
      <c r="AH718" s="35" t="n">
        <f aca="false">IF(AD718=1,(Z718-I$1030)^2,0)</f>
        <v>0</v>
      </c>
      <c r="AI718" s="35" t="n">
        <f aca="false">IF(AE718=1,(AA718-J$1030)^2,0)</f>
        <v>0</v>
      </c>
      <c r="AJ718" s="37" t="n">
        <f aca="true">IF(RAND()&lt;$D$6,1,0)</f>
        <v>0</v>
      </c>
      <c r="AK718" s="14" t="n">
        <f aca="false">AK717+IF((AJ718=1),IF((H718=0),1,0),0)</f>
        <v>0</v>
      </c>
      <c r="AL718" s="14" t="n">
        <f aca="false">AL717+IF((AJ718=1),IF((H718=1),1,0),0)</f>
        <v>0</v>
      </c>
      <c r="AM718" s="37" t="n">
        <f aca="false">IF(AK718=0,9999,IF($H718=0,IF($AJ718&lt;1,AM717+1,0),AM717))</f>
        <v>9999</v>
      </c>
      <c r="AN718" s="37" t="n">
        <f aca="false">IF(AL718=0,9999,IF($H718=1,IF($AJ718&lt;1,AN717+1,0),AN717))</f>
        <v>9999</v>
      </c>
      <c r="AO718" s="37" t="n">
        <f aca="false">IF($A718-AM718&gt;0,1/(1+AM718),0)</f>
        <v>0</v>
      </c>
      <c r="AP718" s="37" t="n">
        <f aca="false">IF($A718-AN718&gt;0,1/(1+AN718),0)</f>
        <v>0</v>
      </c>
      <c r="AQ718" s="7" t="n">
        <f aca="false">IF(AK718=0,0,MAX(MIN(1,AO718^Power),0))</f>
        <v>0</v>
      </c>
      <c r="AR718" s="7" t="n">
        <f aca="false">IF(AL718=0,0,MAX(MIN(1,AP718^Power),0))</f>
        <v>0</v>
      </c>
      <c r="AS718" s="7" t="n">
        <f aca="false">IF($AJ718=1,IF($H718=0,K718,AS717),AS717)</f>
        <v>0</v>
      </c>
      <c r="AT718" s="7" t="n">
        <f aca="false">IF($AJ718=1,IF($H718=1,N718,AT717),AT717)</f>
        <v>0</v>
      </c>
    </row>
    <row r="719" customFormat="false" ht="13" hidden="false" customHeight="false" outlineLevel="0" collapsed="false">
      <c r="A719" s="16" t="n">
        <v>702</v>
      </c>
      <c r="B719" s="37" t="n">
        <f aca="true">IF(RAND()&lt;$D$8,1,0)</f>
        <v>0</v>
      </c>
      <c r="C719" s="20" t="n">
        <f aca="true">-LN(RAND())/$D$2</f>
        <v>1.54125661201062</v>
      </c>
      <c r="D719" s="38" t="n">
        <f aca="false">D718+C719</f>
        <v>737.78727533125</v>
      </c>
      <c r="E719" s="39" t="n">
        <f aca="false">MAX($E$3,AS718)</f>
        <v>0</v>
      </c>
      <c r="F719" s="39" t="n">
        <f aca="false">MAX($E$3,AT718)</f>
        <v>0</v>
      </c>
      <c r="G719" s="40" t="n">
        <v>0.5</v>
      </c>
      <c r="H719" s="38" t="n">
        <f aca="true">IF((B719=1),(IF((F719&lt;E719),1,(IF((F719=E719),(IF(RAND()&lt;G719,1,0)),0)))),(IF((RAND()&lt;G719),1,0)))</f>
        <v>0</v>
      </c>
      <c r="I719" s="38" t="n">
        <f aca="true">IF((H719=1),0,$D$3+$D$5*(RAND()-0.5))</f>
        <v>1.97664199472952</v>
      </c>
      <c r="J719" s="38" t="n">
        <f aca="false">I719+MAX(D719,J718)</f>
        <v>743.06629739598</v>
      </c>
      <c r="K719" s="38" t="n">
        <f aca="false">IF((H719=0),J719-D719,0)</f>
        <v>5.27902206473027</v>
      </c>
      <c r="L719" s="38" t="n">
        <f aca="true">IF(($H719=0),0,$D$4+$D$5*(RAND()-0.5))</f>
        <v>0</v>
      </c>
      <c r="M719" s="38" t="n">
        <f aca="false">L719+MAX(D719,M718)</f>
        <v>792.369115156636</v>
      </c>
      <c r="N719" s="38" t="n">
        <f aca="false">IF((H719=1),M719-D719,0)</f>
        <v>0</v>
      </c>
      <c r="O719" s="16" t="n">
        <v>702</v>
      </c>
      <c r="P719" s="41" t="n">
        <f aca="false">IF((Arterial=0),P718+1,P718)</f>
        <v>320</v>
      </c>
      <c r="Q719" s="41" t="n">
        <f aca="false">IF((Arterial=1),Q718+1,Q718)</f>
        <v>382</v>
      </c>
      <c r="R719" s="42" t="e">
        <f aca="false">IF((RESET=1),0,R719+K719)</f>
        <v>#N/A</v>
      </c>
      <c r="S719" s="14" t="n">
        <f aca="false">IF(RESET=1,0,S719+N719)</f>
        <v>759.515406600037</v>
      </c>
      <c r="T719" s="2" t="e">
        <f aca="false">IF(RESET=1,0,T719+IF(H719=0,1,0))</f>
        <v>#N/A</v>
      </c>
      <c r="U719" s="2" t="n">
        <f aca="false">IF(RESET=1,0,U719+H719)</f>
        <v>38</v>
      </c>
      <c r="V719" s="14" t="e">
        <f aca="false">R719/(T719+0.00001)</f>
        <v>#N/A</v>
      </c>
      <c r="W719" s="14" t="n">
        <f aca="false">S719/(U719+0.0001)</f>
        <v>19.9871949442248</v>
      </c>
      <c r="X719" s="39" t="n">
        <f aca="false">IF(Informed=1,K719,0)</f>
        <v>0</v>
      </c>
      <c r="Y719" s="39" t="n">
        <f aca="false">IF(Informed=0,K719,0)</f>
        <v>5.27902206473027</v>
      </c>
      <c r="Z719" s="39" t="n">
        <f aca="false">IF(Informed=1,N719,0)</f>
        <v>0</v>
      </c>
      <c r="AA719" s="39" t="n">
        <f aca="false">IF(Informed=0,N719,0)</f>
        <v>0</v>
      </c>
      <c r="AB719" s="43" t="n">
        <f aca="false">IF(Arterial=0,IF(Informed=1,1,0),0)</f>
        <v>0</v>
      </c>
      <c r="AC719" s="43" t="n">
        <f aca="false">IF(Arterial=0,IF(Informed=0,1,0),0)</f>
        <v>1</v>
      </c>
      <c r="AD719" s="43" t="n">
        <f aca="false">IF(Arterial=1,IF(Informed=1,1,0),0)</f>
        <v>0</v>
      </c>
      <c r="AE719" s="43" t="n">
        <f aca="false">IF(Arterial=1,IF(Informed=0,1,0),0)</f>
        <v>0</v>
      </c>
      <c r="AF719" s="35" t="n">
        <f aca="false">IF(AB719=1,(X719-G$1030)^2,0)</f>
        <v>0</v>
      </c>
      <c r="AG719" s="35" t="n">
        <f aca="false">IF(AC719=1,(Y719-H$1030)^2,0)</f>
        <v>31.8633514259036</v>
      </c>
      <c r="AH719" s="35" t="n">
        <f aca="false">IF(AD719=1,(Z719-I$1030)^2,0)</f>
        <v>0</v>
      </c>
      <c r="AI719" s="35" t="n">
        <f aca="false">IF(AE719=1,(AA719-J$1030)^2,0)</f>
        <v>0</v>
      </c>
      <c r="AJ719" s="37" t="n">
        <f aca="true">IF(RAND()&lt;$D$6,1,0)</f>
        <v>0</v>
      </c>
      <c r="AK719" s="14" t="n">
        <f aca="false">AK718+IF((AJ719=1),IF((H719=0),1,0),0)</f>
        <v>0</v>
      </c>
      <c r="AL719" s="14" t="n">
        <f aca="false">AL718+IF((AJ719=1),IF((H719=1),1,0),0)</f>
        <v>0</v>
      </c>
      <c r="AM719" s="37" t="n">
        <f aca="false">IF(AK719=0,9999,IF($H719=0,IF($AJ719&lt;1,AM718+1,0),AM718))</f>
        <v>9999</v>
      </c>
      <c r="AN719" s="37" t="n">
        <f aca="false">IF(AL719=0,9999,IF($H719=1,IF($AJ719&lt;1,AN718+1,0),AN718))</f>
        <v>9999</v>
      </c>
      <c r="AO719" s="37" t="n">
        <f aca="false">IF($A719-AM719&gt;0,1/(1+AM719),0)</f>
        <v>0</v>
      </c>
      <c r="AP719" s="37" t="n">
        <f aca="false">IF($A719-AN719&gt;0,1/(1+AN719),0)</f>
        <v>0</v>
      </c>
      <c r="AQ719" s="7" t="n">
        <f aca="false">IF(AK719=0,0,MAX(MIN(1,AO719^Power),0))</f>
        <v>0</v>
      </c>
      <c r="AR719" s="7" t="n">
        <f aca="false">IF(AL719=0,0,MAX(MIN(1,AP719^Power),0))</f>
        <v>0</v>
      </c>
      <c r="AS719" s="7" t="n">
        <f aca="false">IF($AJ719=1,IF($H719=0,K719,AS718),AS718)</f>
        <v>0</v>
      </c>
      <c r="AT719" s="7" t="n">
        <f aca="false">IF($AJ719=1,IF($H719=1,N719,AT718),AT718)</f>
        <v>0</v>
      </c>
    </row>
    <row r="720" customFormat="false" ht="13" hidden="false" customHeight="false" outlineLevel="0" collapsed="false">
      <c r="A720" s="16" t="n">
        <v>703</v>
      </c>
      <c r="B720" s="37" t="n">
        <f aca="true">IF(RAND()&lt;$D$8,1,0)</f>
        <v>0</v>
      </c>
      <c r="C720" s="20" t="n">
        <f aca="true">-LN(RAND())/$D$2</f>
        <v>0.827087695768986</v>
      </c>
      <c r="D720" s="38" t="n">
        <f aca="false">D719+C720</f>
        <v>738.614363027019</v>
      </c>
      <c r="E720" s="39" t="n">
        <f aca="false">MAX($E$3,AS719)</f>
        <v>0</v>
      </c>
      <c r="F720" s="39" t="n">
        <f aca="false">MAX($E$3,AT719)</f>
        <v>0</v>
      </c>
      <c r="G720" s="40" t="n">
        <v>0.5</v>
      </c>
      <c r="H720" s="38" t="n">
        <f aca="true">IF((B720=1),(IF((F720&lt;E720),1,(IF((F720=E720),(IF(RAND()&lt;G720,1,0)),0)))),(IF((RAND()&lt;G720),1,0)))</f>
        <v>0</v>
      </c>
      <c r="I720" s="38" t="n">
        <f aca="true">IF((H720=1),0,$D$3+$D$5*(RAND()-0.5))</f>
        <v>2.20216807520389</v>
      </c>
      <c r="J720" s="38" t="n">
        <f aca="false">I720+MAX(D720,J719)</f>
        <v>745.268465471184</v>
      </c>
      <c r="K720" s="38" t="n">
        <f aca="false">IF((H720=0),J720-D720,0)</f>
        <v>6.65410244416512</v>
      </c>
      <c r="L720" s="38" t="n">
        <f aca="true">IF(($H720=0),0,$D$4+$D$5*(RAND()-0.5))</f>
        <v>0</v>
      </c>
      <c r="M720" s="38" t="n">
        <f aca="false">L720+MAX(D720,M719)</f>
        <v>792.369115156636</v>
      </c>
      <c r="N720" s="38" t="n">
        <f aca="false">IF((H720=1),M720-D720,0)</f>
        <v>0</v>
      </c>
      <c r="O720" s="16" t="n">
        <v>703</v>
      </c>
      <c r="P720" s="41" t="n">
        <f aca="false">IF((Arterial=0),P719+1,P719)</f>
        <v>321</v>
      </c>
      <c r="Q720" s="41" t="n">
        <f aca="false">IF((Arterial=1),Q719+1,Q719)</f>
        <v>382</v>
      </c>
      <c r="R720" s="42" t="e">
        <f aca="false">IF((RESET=1),0,R720+K720)</f>
        <v>#N/A</v>
      </c>
      <c r="S720" s="14" t="n">
        <f aca="false">IF(RESET=1,0,S720+N720)</f>
        <v>669.273555507629</v>
      </c>
      <c r="T720" s="2" t="e">
        <f aca="false">IF(RESET=1,0,T720+IF(H720=0,1,0))</f>
        <v>#N/A</v>
      </c>
      <c r="U720" s="2" t="n">
        <f aca="false">IF(RESET=1,0,U720+H720)</f>
        <v>40</v>
      </c>
      <c r="V720" s="14" t="e">
        <f aca="false">R720/(T720+0.00001)</f>
        <v>#N/A</v>
      </c>
      <c r="W720" s="14" t="n">
        <f aca="false">S720/(U720+0.0001)</f>
        <v>16.7317970581981</v>
      </c>
      <c r="X720" s="39" t="n">
        <f aca="false">IF(Informed=1,K720,0)</f>
        <v>0</v>
      </c>
      <c r="Y720" s="39" t="n">
        <f aca="false">IF(Informed=0,K720,0)</f>
        <v>6.65410244416512</v>
      </c>
      <c r="Z720" s="39" t="n">
        <f aca="false">IF(Informed=1,N720,0)</f>
        <v>0</v>
      </c>
      <c r="AA720" s="39" t="n">
        <f aca="false">IF(Informed=0,N720,0)</f>
        <v>0</v>
      </c>
      <c r="AB720" s="43" t="n">
        <f aca="false">IF(Arterial=0,IF(Informed=1,1,0),0)</f>
        <v>0</v>
      </c>
      <c r="AC720" s="43" t="n">
        <f aca="false">IF(Arterial=0,IF(Informed=0,1,0),0)</f>
        <v>1</v>
      </c>
      <c r="AD720" s="43" t="n">
        <f aca="false">IF(Arterial=1,IF(Informed=1,1,0),0)</f>
        <v>0</v>
      </c>
      <c r="AE720" s="43" t="n">
        <f aca="false">IF(Arterial=1,IF(Informed=0,1,0),0)</f>
        <v>0</v>
      </c>
      <c r="AF720" s="35" t="n">
        <f aca="false">IF(AB720=1,(X720-G$1030)^2,0)</f>
        <v>0</v>
      </c>
      <c r="AG720" s="35" t="n">
        <f aca="false">IF(AC720=1,(Y720-H$1030)^2,0)</f>
        <v>18.2301912685894</v>
      </c>
      <c r="AH720" s="35" t="n">
        <f aca="false">IF(AD720=1,(Z720-I$1030)^2,0)</f>
        <v>0</v>
      </c>
      <c r="AI720" s="35" t="n">
        <f aca="false">IF(AE720=1,(AA720-J$1030)^2,0)</f>
        <v>0</v>
      </c>
      <c r="AJ720" s="37" t="n">
        <f aca="true">IF(RAND()&lt;$D$6,1,0)</f>
        <v>0</v>
      </c>
      <c r="AK720" s="14" t="n">
        <f aca="false">AK719+IF((AJ720=1),IF((H720=0),1,0),0)</f>
        <v>0</v>
      </c>
      <c r="AL720" s="14" t="n">
        <f aca="false">AL719+IF((AJ720=1),IF((H720=1),1,0),0)</f>
        <v>0</v>
      </c>
      <c r="AM720" s="37" t="n">
        <f aca="false">IF(AK720=0,9999,IF($H720=0,IF($AJ720&lt;1,AM719+1,0),AM719))</f>
        <v>9999</v>
      </c>
      <c r="AN720" s="37" t="n">
        <f aca="false">IF(AL720=0,9999,IF($H720=1,IF($AJ720&lt;1,AN719+1,0),AN719))</f>
        <v>9999</v>
      </c>
      <c r="AO720" s="37" t="n">
        <f aca="false">IF($A720-AM720&gt;0,1/(1+AM720),0)</f>
        <v>0</v>
      </c>
      <c r="AP720" s="37" t="n">
        <f aca="false">IF($A720-AN720&gt;0,1/(1+AN720),0)</f>
        <v>0</v>
      </c>
      <c r="AQ720" s="7" t="n">
        <f aca="false">IF(AK720=0,0,MAX(MIN(1,AO720^Power),0))</f>
        <v>0</v>
      </c>
      <c r="AR720" s="7" t="n">
        <f aca="false">IF(AL720=0,0,MAX(MIN(1,AP720^Power),0))</f>
        <v>0</v>
      </c>
      <c r="AS720" s="7" t="n">
        <f aca="false">IF($AJ720=1,IF($H720=0,K720,AS719),AS719)</f>
        <v>0</v>
      </c>
      <c r="AT720" s="7" t="n">
        <f aca="false">IF($AJ720=1,IF($H720=1,N720,AT719),AT719)</f>
        <v>0</v>
      </c>
    </row>
    <row r="721" customFormat="false" ht="13" hidden="false" customHeight="false" outlineLevel="0" collapsed="false">
      <c r="A721" s="16" t="n">
        <v>704</v>
      </c>
      <c r="B721" s="37" t="n">
        <f aca="true">IF(RAND()&lt;$D$8,1,0)</f>
        <v>1</v>
      </c>
      <c r="C721" s="20" t="n">
        <f aca="true">-LN(RAND())/$D$2</f>
        <v>0.000418597741998052</v>
      </c>
      <c r="D721" s="38" t="n">
        <f aca="false">D720+C721</f>
        <v>738.614781624761</v>
      </c>
      <c r="E721" s="39" t="n">
        <f aca="false">MAX($E$3,AS720)</f>
        <v>0</v>
      </c>
      <c r="F721" s="39" t="n">
        <f aca="false">MAX($E$3,AT720)</f>
        <v>0</v>
      </c>
      <c r="G721" s="40" t="n">
        <v>0.5</v>
      </c>
      <c r="H721" s="38" t="n">
        <f aca="true">IF((B721=1),(IF((F721&lt;E721),1,(IF((F721=E721),(IF(RAND()&lt;G721,1,0)),0)))),(IF((RAND()&lt;G721),1,0)))</f>
        <v>0</v>
      </c>
      <c r="I721" s="38" t="n">
        <f aca="true">IF((H721=1),0,$D$3+$D$5*(RAND()-0.5))</f>
        <v>2.2060233201467</v>
      </c>
      <c r="J721" s="38" t="n">
        <f aca="false">I721+MAX(D721,J720)</f>
        <v>747.474488791331</v>
      </c>
      <c r="K721" s="38" t="n">
        <f aca="false">IF((H721=0),J721-D721,0)</f>
        <v>8.85970716656982</v>
      </c>
      <c r="L721" s="38" t="n">
        <f aca="true">IF(($H721=0),0,$D$4+$D$5*(RAND()-0.5))</f>
        <v>0</v>
      </c>
      <c r="M721" s="38" t="n">
        <f aca="false">L721+MAX(D721,M720)</f>
        <v>792.369115156636</v>
      </c>
      <c r="N721" s="38" t="n">
        <f aca="false">IF((H721=1),M721-D721,0)</f>
        <v>0</v>
      </c>
      <c r="O721" s="16" t="n">
        <v>704</v>
      </c>
      <c r="P721" s="41" t="n">
        <f aca="false">IF((Arterial=0),P720+1,P720)</f>
        <v>322</v>
      </c>
      <c r="Q721" s="41" t="n">
        <f aca="false">IF((Arterial=1),Q720+1,Q720)</f>
        <v>382</v>
      </c>
      <c r="R721" s="42" t="e">
        <f aca="false">IF((RESET=1),0,R721+K721)</f>
        <v>#N/A</v>
      </c>
      <c r="S721" s="14" t="n">
        <f aca="false">IF(RESET=1,0,S721+N721)</f>
        <v>649.80938503852</v>
      </c>
      <c r="T721" s="2" t="e">
        <f aca="false">IF(RESET=1,0,T721+IF(H721=0,1,0))</f>
        <v>#N/A</v>
      </c>
      <c r="U721" s="2" t="n">
        <f aca="false">IF(RESET=1,0,U721+H721)</f>
        <v>38</v>
      </c>
      <c r="V721" s="14" t="e">
        <f aca="false">R721/(T721+0.00001)</f>
        <v>#N/A</v>
      </c>
      <c r="W721" s="14" t="n">
        <f aca="false">S721/(U721+0.0001)</f>
        <v>17.1002019741664</v>
      </c>
      <c r="X721" s="39" t="n">
        <f aca="false">IF(Informed=1,K721,0)</f>
        <v>8.85970716656982</v>
      </c>
      <c r="Y721" s="39" t="n">
        <f aca="false">IF(Informed=0,K721,0)</f>
        <v>0</v>
      </c>
      <c r="Z721" s="39" t="n">
        <f aca="false">IF(Informed=1,N721,0)</f>
        <v>0</v>
      </c>
      <c r="AA721" s="39" t="n">
        <f aca="false">IF(Informed=0,N721,0)</f>
        <v>0</v>
      </c>
      <c r="AB721" s="43" t="n">
        <f aca="false">IF(Arterial=0,IF(Informed=1,1,0),0)</f>
        <v>1</v>
      </c>
      <c r="AC721" s="43" t="n">
        <f aca="false">IF(Arterial=0,IF(Informed=0,1,0),0)</f>
        <v>0</v>
      </c>
      <c r="AD721" s="43" t="n">
        <f aca="false">IF(Arterial=1,IF(Informed=1,1,0),0)</f>
        <v>0</v>
      </c>
      <c r="AE721" s="43" t="n">
        <f aca="false">IF(Arterial=1,IF(Informed=0,1,0),0)</f>
        <v>0</v>
      </c>
      <c r="AF721" s="35" t="n">
        <f aca="false">IF(AB721=1,(X721-G$1030)^2,0)</f>
        <v>3.42239297910777</v>
      </c>
      <c r="AG721" s="35" t="n">
        <f aca="false">IF(AC721=1,(Y721-H$1030)^2,0)</f>
        <v>0</v>
      </c>
      <c r="AH721" s="35" t="n">
        <f aca="false">IF(AD721=1,(Z721-I$1030)^2,0)</f>
        <v>0</v>
      </c>
      <c r="AI721" s="35" t="n">
        <f aca="false">IF(AE721=1,(AA721-J$1030)^2,0)</f>
        <v>0</v>
      </c>
      <c r="AJ721" s="37" t="n">
        <f aca="true">IF(RAND()&lt;$D$6,1,0)</f>
        <v>0</v>
      </c>
      <c r="AK721" s="14" t="n">
        <f aca="false">AK720+IF((AJ721=1),IF((H721=0),1,0),0)</f>
        <v>0</v>
      </c>
      <c r="AL721" s="14" t="n">
        <f aca="false">AL720+IF((AJ721=1),IF((H721=1),1,0),0)</f>
        <v>0</v>
      </c>
      <c r="AM721" s="37" t="n">
        <f aca="false">IF(AK721=0,9999,IF($H721=0,IF($AJ721&lt;1,AM720+1,0),AM720))</f>
        <v>9999</v>
      </c>
      <c r="AN721" s="37" t="n">
        <f aca="false">IF(AL721=0,9999,IF($H721=1,IF($AJ721&lt;1,AN720+1,0),AN720))</f>
        <v>9999</v>
      </c>
      <c r="AO721" s="37" t="n">
        <f aca="false">IF($A721-AM721&gt;0,1/(1+AM721),0)</f>
        <v>0</v>
      </c>
      <c r="AP721" s="37" t="n">
        <f aca="false">IF($A721-AN721&gt;0,1/(1+AN721),0)</f>
        <v>0</v>
      </c>
      <c r="AQ721" s="7" t="n">
        <f aca="false">IF(AK721=0,0,MAX(MIN(1,AO721^Power),0))</f>
        <v>0</v>
      </c>
      <c r="AR721" s="7" t="n">
        <f aca="false">IF(AL721=0,0,MAX(MIN(1,AP721^Power),0))</f>
        <v>0</v>
      </c>
      <c r="AS721" s="7" t="n">
        <f aca="false">IF($AJ721=1,IF($H721=0,K721,AS720),AS720)</f>
        <v>0</v>
      </c>
      <c r="AT721" s="7" t="n">
        <f aca="false">IF($AJ721=1,IF($H721=1,N721,AT720),AT720)</f>
        <v>0</v>
      </c>
    </row>
    <row r="722" customFormat="false" ht="13" hidden="false" customHeight="false" outlineLevel="0" collapsed="false">
      <c r="A722" s="16" t="n">
        <v>705</v>
      </c>
      <c r="B722" s="37" t="n">
        <f aca="true">IF(RAND()&lt;$D$8,1,0)</f>
        <v>0</v>
      </c>
      <c r="C722" s="20" t="n">
        <f aca="true">-LN(RAND())/$D$2</f>
        <v>0.86644702819066</v>
      </c>
      <c r="D722" s="38" t="n">
        <f aca="false">D721+C722</f>
        <v>739.481228652952</v>
      </c>
      <c r="E722" s="39" t="n">
        <f aca="false">MAX($E$3,AS721)</f>
        <v>0</v>
      </c>
      <c r="F722" s="39" t="n">
        <f aca="false">MAX($E$3,AT721)</f>
        <v>0</v>
      </c>
      <c r="G722" s="40" t="n">
        <v>0.5</v>
      </c>
      <c r="H722" s="38" t="n">
        <f aca="true">IF((B722=1),(IF((F722&lt;E722),1,(IF((F722=E722),(IF(RAND()&lt;G722,1,0)),0)))),(IF((RAND()&lt;G722),1,0)))</f>
        <v>1</v>
      </c>
      <c r="I722" s="38" t="n">
        <f aca="true">IF((H722=1),0,$D$3+$D$5*(RAND()-0.5))</f>
        <v>0</v>
      </c>
      <c r="J722" s="38" t="n">
        <f aca="false">I722+MAX(D722,J721)</f>
        <v>747.474488791331</v>
      </c>
      <c r="K722" s="38" t="n">
        <f aca="false">IF((H722=0),J722-D722,0)</f>
        <v>0</v>
      </c>
      <c r="L722" s="38" t="n">
        <f aca="true">IF(($H722=0),0,$D$4+$D$5*(RAND()-0.5))</f>
        <v>1.78956430889817</v>
      </c>
      <c r="M722" s="38" t="n">
        <f aca="false">L722+MAX(D722,M721)</f>
        <v>794.158679465534</v>
      </c>
      <c r="N722" s="38" t="n">
        <f aca="false">IF((H722=1),M722-D722,0)</f>
        <v>54.6774508125827</v>
      </c>
      <c r="O722" s="16" t="n">
        <v>705</v>
      </c>
      <c r="P722" s="41" t="n">
        <f aca="false">IF((Arterial=0),P721+1,P721)</f>
        <v>322</v>
      </c>
      <c r="Q722" s="41" t="n">
        <f aca="false">IF((Arterial=1),Q721+1,Q721)</f>
        <v>383</v>
      </c>
      <c r="R722" s="42" t="n">
        <f aca="false">IF((RESET=1),0,R722+K722)</f>
        <v>910.227854284464</v>
      </c>
      <c r="S722" s="14" t="e">
        <f aca="false">IF(RESET=1,0,S722+N722)</f>
        <v>#N/A</v>
      </c>
      <c r="T722" s="2" t="n">
        <f aca="false">IF(RESET=1,0,T722+IF(H722=0,1,0))</f>
        <v>38</v>
      </c>
      <c r="U722" s="2" t="e">
        <f aca="false">IF(RESET=1,0,U722+H722)</f>
        <v>#N/A</v>
      </c>
      <c r="V722" s="14" t="n">
        <f aca="false">R722/(T722+0.00001)</f>
        <v>23.9533582829179</v>
      </c>
      <c r="W722" s="14" t="e">
        <f aca="false">S722/(U722+0.0001)</f>
        <v>#N/A</v>
      </c>
      <c r="X722" s="39" t="n">
        <f aca="false">IF(Informed=1,K722,0)</f>
        <v>0</v>
      </c>
      <c r="Y722" s="39" t="n">
        <f aca="false">IF(Informed=0,K722,0)</f>
        <v>0</v>
      </c>
      <c r="Z722" s="39" t="n">
        <f aca="false">IF(Informed=1,N722,0)</f>
        <v>0</v>
      </c>
      <c r="AA722" s="39" t="n">
        <f aca="false">IF(Informed=0,N722,0)</f>
        <v>54.6774508125827</v>
      </c>
      <c r="AB722" s="43" t="n">
        <f aca="false">IF(Arterial=0,IF(Informed=1,1,0),0)</f>
        <v>0</v>
      </c>
      <c r="AC722" s="43" t="n">
        <f aca="false">IF(Arterial=0,IF(Informed=0,1,0),0)</f>
        <v>0</v>
      </c>
      <c r="AD722" s="43" t="n">
        <f aca="false">IF(Arterial=1,IF(Informed=1,1,0),0)</f>
        <v>0</v>
      </c>
      <c r="AE722" s="43" t="n">
        <f aca="false">IF(Arterial=1,IF(Informed=0,1,0),0)</f>
        <v>1</v>
      </c>
      <c r="AF722" s="35" t="n">
        <f aca="false">IF(AB722=1,(X722-G$1030)^2,0)</f>
        <v>0</v>
      </c>
      <c r="AG722" s="35" t="n">
        <f aca="false">IF(AC722=1,(Y722-H$1030)^2,0)</f>
        <v>0</v>
      </c>
      <c r="AH722" s="35" t="n">
        <f aca="false">IF(AD722=1,(Z722-I$1030)^2,0)</f>
        <v>0</v>
      </c>
      <c r="AI722" s="35" t="n">
        <f aca="false">IF(AE722=1,(AA722-J$1030)^2,0)</f>
        <v>630.671599885126</v>
      </c>
      <c r="AJ722" s="37" t="n">
        <f aca="true">IF(RAND()&lt;$D$6,1,0)</f>
        <v>0</v>
      </c>
      <c r="AK722" s="14" t="n">
        <f aca="false">AK721+IF((AJ722=1),IF((H722=0),1,0),0)</f>
        <v>0</v>
      </c>
      <c r="AL722" s="14" t="n">
        <f aca="false">AL721+IF((AJ722=1),IF((H722=1),1,0),0)</f>
        <v>0</v>
      </c>
      <c r="AM722" s="37" t="n">
        <f aca="false">IF(AK722=0,9999,IF($H722=0,IF($AJ722&lt;1,AM721+1,0),AM721))</f>
        <v>9999</v>
      </c>
      <c r="AN722" s="37" t="n">
        <f aca="false">IF(AL722=0,9999,IF($H722=1,IF($AJ722&lt;1,AN721+1,0),AN721))</f>
        <v>9999</v>
      </c>
      <c r="AO722" s="37" t="n">
        <f aca="false">IF($A722-AM722&gt;0,1/(1+AM722),0)</f>
        <v>0</v>
      </c>
      <c r="AP722" s="37" t="n">
        <f aca="false">IF($A722-AN722&gt;0,1/(1+AN722),0)</f>
        <v>0</v>
      </c>
      <c r="AQ722" s="7" t="n">
        <f aca="false">IF(AK722=0,0,MAX(MIN(1,AO722^Power),0))</f>
        <v>0</v>
      </c>
      <c r="AR722" s="7" t="n">
        <f aca="false">IF(AL722=0,0,MAX(MIN(1,AP722^Power),0))</f>
        <v>0</v>
      </c>
      <c r="AS722" s="7" t="n">
        <f aca="false">IF($AJ722=1,IF($H722=0,K722,AS721),AS721)</f>
        <v>0</v>
      </c>
      <c r="AT722" s="7" t="n">
        <f aca="false">IF($AJ722=1,IF($H722=1,N722,AT721),AT721)</f>
        <v>0</v>
      </c>
    </row>
    <row r="723" customFormat="false" ht="13" hidden="false" customHeight="false" outlineLevel="0" collapsed="false">
      <c r="A723" s="16" t="n">
        <v>706</v>
      </c>
      <c r="B723" s="37" t="n">
        <f aca="true">IF(RAND()&lt;$D$8,1,0)</f>
        <v>0</v>
      </c>
      <c r="C723" s="20" t="n">
        <f aca="true">-LN(RAND())/$D$2</f>
        <v>2.6439335973464</v>
      </c>
      <c r="D723" s="38" t="n">
        <f aca="false">D722+C723</f>
        <v>742.125162250298</v>
      </c>
      <c r="E723" s="39" t="n">
        <f aca="false">MAX($E$3,AS722)</f>
        <v>0</v>
      </c>
      <c r="F723" s="39" t="n">
        <f aca="false">MAX($E$3,AT722)</f>
        <v>0</v>
      </c>
      <c r="G723" s="40" t="n">
        <v>0.5</v>
      </c>
      <c r="H723" s="38" t="n">
        <f aca="true">IF((B723=1),(IF((F723&lt;E723),1,(IF((F723=E723),(IF(RAND()&lt;G723,1,0)),0)))),(IF((RAND()&lt;G723),1,0)))</f>
        <v>1</v>
      </c>
      <c r="I723" s="38" t="n">
        <f aca="true">IF((H723=1),0,$D$3+$D$5*(RAND()-0.5))</f>
        <v>0</v>
      </c>
      <c r="J723" s="38" t="n">
        <f aca="false">I723+MAX(D723,J722)</f>
        <v>747.474488791331</v>
      </c>
      <c r="K723" s="38" t="n">
        <f aca="false">IF((H723=0),J723-D723,0)</f>
        <v>0</v>
      </c>
      <c r="L723" s="38" t="n">
        <f aca="true">IF(($H723=0),0,$D$4+$D$5*(RAND()-0.5))</f>
        <v>1.83285356265441</v>
      </c>
      <c r="M723" s="38" t="n">
        <f aca="false">L723+MAX(D723,M722)</f>
        <v>795.991533028189</v>
      </c>
      <c r="N723" s="38" t="n">
        <f aca="false">IF((H723=1),M723-D723,0)</f>
        <v>53.8663707778908</v>
      </c>
      <c r="O723" s="16" t="n">
        <v>706</v>
      </c>
      <c r="P723" s="41" t="n">
        <f aca="false">IF((Arterial=0),P722+1,P722)</f>
        <v>322</v>
      </c>
      <c r="Q723" s="41" t="n">
        <f aca="false">IF((Arterial=1),Q722+1,Q722)</f>
        <v>384</v>
      </c>
      <c r="R723" s="42" t="n">
        <f aca="false">IF((RESET=1),0,R723+K723)</f>
        <v>998.319623479415</v>
      </c>
      <c r="S723" s="14" t="e">
        <f aca="false">IF(RESET=1,0,S723+N723)</f>
        <v>#N/A</v>
      </c>
      <c r="T723" s="2" t="n">
        <f aca="false">IF(RESET=1,0,T723+IF(H723=0,1,0))</f>
        <v>42</v>
      </c>
      <c r="U723" s="2" t="e">
        <f aca="false">IF(RESET=1,0,U723+H723)</f>
        <v>#N/A</v>
      </c>
      <c r="V723" s="14" t="n">
        <f aca="false">R723/(T723+0.00001)</f>
        <v>23.769509185341</v>
      </c>
      <c r="W723" s="14" t="e">
        <f aca="false">S723/(U723+0.0001)</f>
        <v>#N/A</v>
      </c>
      <c r="X723" s="39" t="n">
        <f aca="false">IF(Informed=1,K723,0)</f>
        <v>0</v>
      </c>
      <c r="Y723" s="39" t="n">
        <f aca="false">IF(Informed=0,K723,0)</f>
        <v>0</v>
      </c>
      <c r="Z723" s="39" t="n">
        <f aca="false">IF(Informed=1,N723,0)</f>
        <v>0</v>
      </c>
      <c r="AA723" s="39" t="n">
        <f aca="false">IF(Informed=0,N723,0)</f>
        <v>53.8663707778908</v>
      </c>
      <c r="AB723" s="43" t="n">
        <f aca="false">IF(Arterial=0,IF(Informed=1,1,0),0)</f>
        <v>0</v>
      </c>
      <c r="AC723" s="43" t="n">
        <f aca="false">IF(Arterial=0,IF(Informed=0,1,0),0)</f>
        <v>0</v>
      </c>
      <c r="AD723" s="43" t="n">
        <f aca="false">IF(Arterial=1,IF(Informed=1,1,0),0)</f>
        <v>0</v>
      </c>
      <c r="AE723" s="43" t="n">
        <f aca="false">IF(Arterial=1,IF(Informed=0,1,0),0)</f>
        <v>1</v>
      </c>
      <c r="AF723" s="35" t="n">
        <f aca="false">IF(AB723=1,(X723-G$1030)^2,0)</f>
        <v>0</v>
      </c>
      <c r="AG723" s="35" t="n">
        <f aca="false">IF(AC723=1,(Y723-H$1030)^2,0)</f>
        <v>0</v>
      </c>
      <c r="AH723" s="35" t="n">
        <f aca="false">IF(AD723=1,(Z723-I$1030)^2,0)</f>
        <v>0</v>
      </c>
      <c r="AI723" s="35" t="n">
        <f aca="false">IF(AE723=1,(AA723-J$1030)^2,0)</f>
        <v>590.591859673341</v>
      </c>
      <c r="AJ723" s="37" t="n">
        <f aca="true">IF(RAND()&lt;$D$6,1,0)</f>
        <v>0</v>
      </c>
      <c r="AK723" s="14" t="n">
        <f aca="false">AK722+IF((AJ723=1),IF((H723=0),1,0),0)</f>
        <v>0</v>
      </c>
      <c r="AL723" s="14" t="n">
        <f aca="false">AL722+IF((AJ723=1),IF((H723=1),1,0),0)</f>
        <v>0</v>
      </c>
      <c r="AM723" s="37" t="n">
        <f aca="false">IF(AK723=0,9999,IF($H723=0,IF($AJ723&lt;1,AM722+1,0),AM722))</f>
        <v>9999</v>
      </c>
      <c r="AN723" s="37" t="n">
        <f aca="false">IF(AL723=0,9999,IF($H723=1,IF($AJ723&lt;1,AN722+1,0),AN722))</f>
        <v>9999</v>
      </c>
      <c r="AO723" s="37" t="n">
        <f aca="false">IF($A723-AM723&gt;0,1/(1+AM723),0)</f>
        <v>0</v>
      </c>
      <c r="AP723" s="37" t="n">
        <f aca="false">IF($A723-AN723&gt;0,1/(1+AN723),0)</f>
        <v>0</v>
      </c>
      <c r="AQ723" s="7" t="n">
        <f aca="false">IF(AK723=0,0,MAX(MIN(1,AO723^Power),0))</f>
        <v>0</v>
      </c>
      <c r="AR723" s="7" t="n">
        <f aca="false">IF(AL723=0,0,MAX(MIN(1,AP723^Power),0))</f>
        <v>0</v>
      </c>
      <c r="AS723" s="7" t="n">
        <f aca="false">IF($AJ723=1,IF($H723=0,K723,AS722),AS722)</f>
        <v>0</v>
      </c>
      <c r="AT723" s="7" t="n">
        <f aca="false">IF($AJ723=1,IF($H723=1,N723,AT722),AT722)</f>
        <v>0</v>
      </c>
    </row>
    <row r="724" customFormat="false" ht="13" hidden="false" customHeight="false" outlineLevel="0" collapsed="false">
      <c r="A724" s="16" t="n">
        <v>707</v>
      </c>
      <c r="B724" s="37" t="n">
        <f aca="true">IF(RAND()&lt;$D$8,1,0)</f>
        <v>0</v>
      </c>
      <c r="C724" s="20" t="n">
        <f aca="true">-LN(RAND())/$D$2</f>
        <v>0.869416450222222</v>
      </c>
      <c r="D724" s="38" t="n">
        <f aca="false">D723+C724</f>
        <v>742.99457870052</v>
      </c>
      <c r="E724" s="39" t="n">
        <f aca="false">MAX($E$3,AS723)</f>
        <v>0</v>
      </c>
      <c r="F724" s="39" t="n">
        <f aca="false">MAX($E$3,AT723)</f>
        <v>0</v>
      </c>
      <c r="G724" s="40" t="n">
        <v>0.5</v>
      </c>
      <c r="H724" s="38" t="n">
        <f aca="true">IF((B724=1),(IF((F724&lt;E724),1,(IF((F724=E724),(IF(RAND()&lt;G724,1,0)),0)))),(IF((RAND()&lt;G724),1,0)))</f>
        <v>1</v>
      </c>
      <c r="I724" s="38" t="n">
        <f aca="true">IF((H724=1),0,$D$3+$D$5*(RAND()-0.5))</f>
        <v>0</v>
      </c>
      <c r="J724" s="38" t="n">
        <f aca="false">I724+MAX(D724,J723)</f>
        <v>747.474488791331</v>
      </c>
      <c r="K724" s="38" t="n">
        <f aca="false">IF((H724=0),J724-D724,0)</f>
        <v>0</v>
      </c>
      <c r="L724" s="38" t="n">
        <f aca="true">IF(($H724=0),0,$D$4+$D$5*(RAND()-0.5))</f>
        <v>1.78202982842272</v>
      </c>
      <c r="M724" s="38" t="n">
        <f aca="false">L724+MAX(D724,M723)</f>
        <v>797.773562856612</v>
      </c>
      <c r="N724" s="38" t="n">
        <f aca="false">IF((H724=1),M724-D724,0)</f>
        <v>54.7789841560913</v>
      </c>
      <c r="O724" s="16" t="n">
        <v>707</v>
      </c>
      <c r="P724" s="41" t="n">
        <f aca="false">IF((Arterial=0),P723+1,P723)</f>
        <v>322</v>
      </c>
      <c r="Q724" s="41" t="n">
        <f aca="false">IF((Arterial=1),Q723+1,Q723)</f>
        <v>385</v>
      </c>
      <c r="R724" s="42" t="n">
        <f aca="false">IF((RESET=1),0,R724+K724)</f>
        <v>902.626064595609</v>
      </c>
      <c r="S724" s="14" t="e">
        <f aca="false">IF(RESET=1,0,S724+N724)</f>
        <v>#N/A</v>
      </c>
      <c r="T724" s="2" t="n">
        <f aca="false">IF(RESET=1,0,T724+IF(H724=0,1,0))</f>
        <v>39</v>
      </c>
      <c r="U724" s="2" t="e">
        <f aca="false">IF(RESET=1,0,U724+H724)</f>
        <v>#N/A</v>
      </c>
      <c r="V724" s="14" t="n">
        <f aca="false">R724/(T724+0.00001)</f>
        <v>23.1442521321304</v>
      </c>
      <c r="W724" s="14" t="e">
        <f aca="false">S724/(U724+0.0001)</f>
        <v>#N/A</v>
      </c>
      <c r="X724" s="39" t="n">
        <f aca="false">IF(Informed=1,K724,0)</f>
        <v>0</v>
      </c>
      <c r="Y724" s="39" t="n">
        <f aca="false">IF(Informed=0,K724,0)</f>
        <v>0</v>
      </c>
      <c r="Z724" s="39" t="n">
        <f aca="false">IF(Informed=1,N724,0)</f>
        <v>0</v>
      </c>
      <c r="AA724" s="39" t="n">
        <f aca="false">IF(Informed=0,N724,0)</f>
        <v>54.7789841560913</v>
      </c>
      <c r="AB724" s="43" t="n">
        <f aca="false">IF(Arterial=0,IF(Informed=1,1,0),0)</f>
        <v>0</v>
      </c>
      <c r="AC724" s="43" t="n">
        <f aca="false">IF(Arterial=0,IF(Informed=0,1,0),0)</f>
        <v>0</v>
      </c>
      <c r="AD724" s="43" t="n">
        <f aca="false">IF(Arterial=1,IF(Informed=1,1,0),0)</f>
        <v>0</v>
      </c>
      <c r="AE724" s="43" t="n">
        <f aca="false">IF(Arterial=1,IF(Informed=0,1,0),0)</f>
        <v>1</v>
      </c>
      <c r="AF724" s="35" t="n">
        <f aca="false">IF(AB724=1,(X724-G$1030)^2,0)</f>
        <v>0</v>
      </c>
      <c r="AG724" s="35" t="n">
        <f aca="false">IF(AC724=1,(Y724-H$1030)^2,0)</f>
        <v>0</v>
      </c>
      <c r="AH724" s="35" t="n">
        <f aca="false">IF(AD724=1,(Z724-I$1030)^2,0)</f>
        <v>0</v>
      </c>
      <c r="AI724" s="35" t="n">
        <f aca="false">IF(AE724=1,(AA724-J$1030)^2,0)</f>
        <v>635.781558319696</v>
      </c>
      <c r="AJ724" s="37" t="n">
        <f aca="true">IF(RAND()&lt;$D$6,1,0)</f>
        <v>0</v>
      </c>
      <c r="AK724" s="14" t="n">
        <f aca="false">AK723+IF((AJ724=1),IF((H724=0),1,0),0)</f>
        <v>0</v>
      </c>
      <c r="AL724" s="14" t="n">
        <f aca="false">AL723+IF((AJ724=1),IF((H724=1),1,0),0)</f>
        <v>0</v>
      </c>
      <c r="AM724" s="37" t="n">
        <f aca="false">IF(AK724=0,9999,IF($H724=0,IF($AJ724&lt;1,AM723+1,0),AM723))</f>
        <v>9999</v>
      </c>
      <c r="AN724" s="37" t="n">
        <f aca="false">IF(AL724=0,9999,IF($H724=1,IF($AJ724&lt;1,AN723+1,0),AN723))</f>
        <v>9999</v>
      </c>
      <c r="AO724" s="37" t="n">
        <f aca="false">IF($A724-AM724&gt;0,1/(1+AM724),0)</f>
        <v>0</v>
      </c>
      <c r="AP724" s="37" t="n">
        <f aca="false">IF($A724-AN724&gt;0,1/(1+AN724),0)</f>
        <v>0</v>
      </c>
      <c r="AQ724" s="7" t="n">
        <f aca="false">IF(AK724=0,0,MAX(MIN(1,AO724^Power),0))</f>
        <v>0</v>
      </c>
      <c r="AR724" s="7" t="n">
        <f aca="false">IF(AL724=0,0,MAX(MIN(1,AP724^Power),0))</f>
        <v>0</v>
      </c>
      <c r="AS724" s="7" t="n">
        <f aca="false">IF($AJ724=1,IF($H724=0,K724,AS723),AS723)</f>
        <v>0</v>
      </c>
      <c r="AT724" s="7" t="n">
        <f aca="false">IF($AJ724=1,IF($H724=1,N724,AT723),AT723)</f>
        <v>0</v>
      </c>
    </row>
    <row r="725" customFormat="false" ht="13" hidden="false" customHeight="false" outlineLevel="0" collapsed="false">
      <c r="A725" s="16" t="n">
        <v>708</v>
      </c>
      <c r="B725" s="37" t="n">
        <f aca="true">IF(RAND()&lt;$D$8,1,0)</f>
        <v>0</v>
      </c>
      <c r="C725" s="20" t="n">
        <f aca="true">-LN(RAND())/$D$2</f>
        <v>0.815208351153458</v>
      </c>
      <c r="D725" s="38" t="n">
        <f aca="false">D724+C725</f>
        <v>743.809787051674</v>
      </c>
      <c r="E725" s="39" t="n">
        <f aca="false">MAX($E$3,AS724)</f>
        <v>0</v>
      </c>
      <c r="F725" s="39" t="n">
        <f aca="false">MAX($E$3,AT724)</f>
        <v>0</v>
      </c>
      <c r="G725" s="40" t="n">
        <v>0.5</v>
      </c>
      <c r="H725" s="38" t="n">
        <f aca="true">IF((B725=1),(IF((F725&lt;E725),1,(IF((F725=E725),(IF(RAND()&lt;G725,1,0)),0)))),(IF((RAND()&lt;G725),1,0)))</f>
        <v>0</v>
      </c>
      <c r="I725" s="38" t="n">
        <f aca="true">IF((H725=1),0,$D$3+$D$5*(RAND()-0.5))</f>
        <v>1.95616906439196</v>
      </c>
      <c r="J725" s="38" t="n">
        <f aca="false">I725+MAX(D725,J724)</f>
        <v>749.430657855723</v>
      </c>
      <c r="K725" s="38" t="n">
        <f aca="false">IF((H725=0),J725-D725,0)</f>
        <v>5.62087080404888</v>
      </c>
      <c r="L725" s="38" t="n">
        <f aca="true">IF(($H725=0),0,$D$4+$D$5*(RAND()-0.5))</f>
        <v>0</v>
      </c>
      <c r="M725" s="38" t="n">
        <f aca="false">L725+MAX(D725,M724)</f>
        <v>797.773562856612</v>
      </c>
      <c r="N725" s="38" t="n">
        <f aca="false">IF((H725=1),M725-D725,0)</f>
        <v>0</v>
      </c>
      <c r="O725" s="16" t="n">
        <v>708</v>
      </c>
      <c r="P725" s="41" t="n">
        <f aca="false">IF((Arterial=0),P724+1,P724)</f>
        <v>323</v>
      </c>
      <c r="Q725" s="41" t="n">
        <f aca="false">IF((Arterial=1),Q724+1,Q724)</f>
        <v>385</v>
      </c>
      <c r="R725" s="42" t="e">
        <f aca="false">IF((RESET=1),0,R725+K725)</f>
        <v>#N/A</v>
      </c>
      <c r="S725" s="14" t="n">
        <f aca="false">IF(RESET=1,0,S725+N725)</f>
        <v>673.317553438253</v>
      </c>
      <c r="T725" s="2" t="e">
        <f aca="false">IF(RESET=1,0,T725+IF(H725=0,1,0))</f>
        <v>#N/A</v>
      </c>
      <c r="U725" s="2" t="n">
        <f aca="false">IF(RESET=1,0,U725+H725)</f>
        <v>41</v>
      </c>
      <c r="V725" s="14" t="e">
        <f aca="false">R725/(T725+0.00001)</f>
        <v>#N/A</v>
      </c>
      <c r="W725" s="14" t="n">
        <f aca="false">S725/(U725+0.0001)</f>
        <v>16.4223392976664</v>
      </c>
      <c r="X725" s="39" t="n">
        <f aca="false">IF(Informed=1,K725,0)</f>
        <v>0</v>
      </c>
      <c r="Y725" s="39" t="n">
        <f aca="false">IF(Informed=0,K725,0)</f>
        <v>5.62087080404888</v>
      </c>
      <c r="Z725" s="39" t="n">
        <f aca="false">IF(Informed=1,N725,0)</f>
        <v>0</v>
      </c>
      <c r="AA725" s="39" t="n">
        <f aca="false">IF(Informed=0,N725,0)</f>
        <v>0</v>
      </c>
      <c r="AB725" s="43" t="n">
        <f aca="false">IF(Arterial=0,IF(Informed=1,1,0),0)</f>
        <v>0</v>
      </c>
      <c r="AC725" s="43" t="n">
        <f aca="false">IF(Arterial=0,IF(Informed=0,1,0),0)</f>
        <v>1</v>
      </c>
      <c r="AD725" s="43" t="n">
        <f aca="false">IF(Arterial=1,IF(Informed=1,1,0),0)</f>
        <v>0</v>
      </c>
      <c r="AE725" s="43" t="n">
        <f aca="false">IF(Arterial=1,IF(Informed=0,1,0),0)</f>
        <v>0</v>
      </c>
      <c r="AF725" s="35" t="n">
        <f aca="false">IF(AB725=1,(X725-G$1030)^2,0)</f>
        <v>0</v>
      </c>
      <c r="AG725" s="35" t="n">
        <f aca="false">IF(AC725=1,(Y725-H$1030)^2,0)</f>
        <v>28.120901628712</v>
      </c>
      <c r="AH725" s="35" t="n">
        <f aca="false">IF(AD725=1,(Z725-I$1030)^2,0)</f>
        <v>0</v>
      </c>
      <c r="AI725" s="35" t="n">
        <f aca="false">IF(AE725=1,(AA725-J$1030)^2,0)</f>
        <v>0</v>
      </c>
      <c r="AJ725" s="37" t="n">
        <f aca="true">IF(RAND()&lt;$D$6,1,0)</f>
        <v>0</v>
      </c>
      <c r="AK725" s="14" t="n">
        <f aca="false">AK724+IF((AJ725=1),IF((H725=0),1,0),0)</f>
        <v>0</v>
      </c>
      <c r="AL725" s="14" t="n">
        <f aca="false">AL724+IF((AJ725=1),IF((H725=1),1,0),0)</f>
        <v>0</v>
      </c>
      <c r="AM725" s="37" t="n">
        <f aca="false">IF(AK725=0,9999,IF($H725=0,IF($AJ725&lt;1,AM724+1,0),AM724))</f>
        <v>9999</v>
      </c>
      <c r="AN725" s="37" t="n">
        <f aca="false">IF(AL725=0,9999,IF($H725=1,IF($AJ725&lt;1,AN724+1,0),AN724))</f>
        <v>9999</v>
      </c>
      <c r="AO725" s="37" t="n">
        <f aca="false">IF($A725-AM725&gt;0,1/(1+AM725),0)</f>
        <v>0</v>
      </c>
      <c r="AP725" s="37" t="n">
        <f aca="false">IF($A725-AN725&gt;0,1/(1+AN725),0)</f>
        <v>0</v>
      </c>
      <c r="AQ725" s="7" t="n">
        <f aca="false">IF(AK725=0,0,MAX(MIN(1,AO725^Power),0))</f>
        <v>0</v>
      </c>
      <c r="AR725" s="7" t="n">
        <f aca="false">IF(AL725=0,0,MAX(MIN(1,AP725^Power),0))</f>
        <v>0</v>
      </c>
      <c r="AS725" s="7" t="n">
        <f aca="false">IF($AJ725=1,IF($H725=0,K725,AS724),AS724)</f>
        <v>0</v>
      </c>
      <c r="AT725" s="7" t="n">
        <f aca="false">IF($AJ725=1,IF($H725=1,N725,AT724),AT724)</f>
        <v>0</v>
      </c>
    </row>
    <row r="726" customFormat="false" ht="13" hidden="false" customHeight="false" outlineLevel="0" collapsed="false">
      <c r="A726" s="16" t="n">
        <v>709</v>
      </c>
      <c r="B726" s="37" t="n">
        <f aca="true">IF(RAND()&lt;$D$8,1,0)</f>
        <v>1</v>
      </c>
      <c r="C726" s="20" t="n">
        <f aca="true">-LN(RAND())/$D$2</f>
        <v>2.27231425264561</v>
      </c>
      <c r="D726" s="38" t="n">
        <f aca="false">D725+C726</f>
        <v>746.082101304319</v>
      </c>
      <c r="E726" s="39" t="n">
        <f aca="false">MAX($E$3,AS725)</f>
        <v>0</v>
      </c>
      <c r="F726" s="39" t="n">
        <f aca="false">MAX($E$3,AT725)</f>
        <v>0</v>
      </c>
      <c r="G726" s="40" t="n">
        <v>0.5</v>
      </c>
      <c r="H726" s="38" t="n">
        <f aca="true">IF((B726=1),(IF((F726&lt;E726),1,(IF((F726=E726),(IF(RAND()&lt;G726,1,0)),0)))),(IF((RAND()&lt;G726),1,0)))</f>
        <v>0</v>
      </c>
      <c r="I726" s="38" t="n">
        <f aca="true">IF((H726=1),0,$D$3+$D$5*(RAND()-0.5))</f>
        <v>1.76237907224207</v>
      </c>
      <c r="J726" s="38" t="n">
        <f aca="false">I726+MAX(D726,J725)</f>
        <v>751.193036927965</v>
      </c>
      <c r="K726" s="38" t="n">
        <f aca="false">IF((H726=0),J726-D726,0)</f>
        <v>5.11093562364533</v>
      </c>
      <c r="L726" s="38" t="n">
        <f aca="true">IF(($H726=0),0,$D$4+$D$5*(RAND()-0.5))</f>
        <v>0</v>
      </c>
      <c r="M726" s="38" t="n">
        <f aca="false">L726+MAX(D726,M725)</f>
        <v>797.773562856612</v>
      </c>
      <c r="N726" s="38" t="n">
        <f aca="false">IF((H726=1),M726-D726,0)</f>
        <v>0</v>
      </c>
      <c r="O726" s="16" t="n">
        <v>709</v>
      </c>
      <c r="P726" s="41" t="n">
        <f aca="false">IF((Arterial=0),P725+1,P725)</f>
        <v>324</v>
      </c>
      <c r="Q726" s="41" t="n">
        <f aca="false">IF((Arterial=1),Q725+1,Q725)</f>
        <v>385</v>
      </c>
      <c r="R726" s="42" t="e">
        <f aca="false">IF((RESET=1),0,R726+K726)</f>
        <v>#N/A</v>
      </c>
      <c r="S726" s="14" t="n">
        <f aca="false">IF(RESET=1,0,S726+N726)</f>
        <v>684.732567471738</v>
      </c>
      <c r="T726" s="2" t="e">
        <f aca="false">IF(RESET=1,0,T726+IF(H726=0,1,0))</f>
        <v>#N/A</v>
      </c>
      <c r="U726" s="2" t="n">
        <f aca="false">IF(RESET=1,0,U726+H726)</f>
        <v>43</v>
      </c>
      <c r="V726" s="14" t="e">
        <f aca="false">R726/(T726+0.00001)</f>
        <v>#N/A</v>
      </c>
      <c r="W726" s="14" t="n">
        <f aca="false">S726/(U726+0.0001)</f>
        <v>15.9239761645145</v>
      </c>
      <c r="X726" s="39" t="n">
        <f aca="false">IF(Informed=1,K726,0)</f>
        <v>5.11093562364533</v>
      </c>
      <c r="Y726" s="39" t="n">
        <f aca="false">IF(Informed=0,K726,0)</f>
        <v>0</v>
      </c>
      <c r="Z726" s="39" t="n">
        <f aca="false">IF(Informed=1,N726,0)</f>
        <v>0</v>
      </c>
      <c r="AA726" s="39" t="n">
        <f aca="false">IF(Informed=0,N726,0)</f>
        <v>0</v>
      </c>
      <c r="AB726" s="43" t="n">
        <f aca="false">IF(Arterial=0,IF(Informed=1,1,0),0)</f>
        <v>1</v>
      </c>
      <c r="AC726" s="43" t="n">
        <f aca="false">IF(Arterial=0,IF(Informed=0,1,0),0)</f>
        <v>0</v>
      </c>
      <c r="AD726" s="43" t="n">
        <f aca="false">IF(Arterial=1,IF(Informed=1,1,0),0)</f>
        <v>0</v>
      </c>
      <c r="AE726" s="43" t="n">
        <f aca="false">IF(Arterial=1,IF(Informed=0,1,0),0)</f>
        <v>0</v>
      </c>
      <c r="AF726" s="35" t="n">
        <f aca="false">IF(AB726=1,(X726-G$1030)^2,0)</f>
        <v>31.3459189040977</v>
      </c>
      <c r="AG726" s="35" t="n">
        <f aca="false">IF(AC726=1,(Y726-H$1030)^2,0)</f>
        <v>0</v>
      </c>
      <c r="AH726" s="35" t="n">
        <f aca="false">IF(AD726=1,(Z726-I$1030)^2,0)</f>
        <v>0</v>
      </c>
      <c r="AI726" s="35" t="n">
        <f aca="false">IF(AE726=1,(AA726-J$1030)^2,0)</f>
        <v>0</v>
      </c>
      <c r="AJ726" s="37" t="n">
        <f aca="true">IF(RAND()&lt;$D$6,1,0)</f>
        <v>0</v>
      </c>
      <c r="AK726" s="14" t="n">
        <f aca="false">AK725+IF((AJ726=1),IF((H726=0),1,0),0)</f>
        <v>0</v>
      </c>
      <c r="AL726" s="14" t="n">
        <f aca="false">AL725+IF((AJ726=1),IF((H726=1),1,0),0)</f>
        <v>0</v>
      </c>
      <c r="AM726" s="37" t="n">
        <f aca="false">IF(AK726=0,9999,IF($H726=0,IF($AJ726&lt;1,AM725+1,0),AM725))</f>
        <v>9999</v>
      </c>
      <c r="AN726" s="37" t="n">
        <f aca="false">IF(AL726=0,9999,IF($H726=1,IF($AJ726&lt;1,AN725+1,0),AN725))</f>
        <v>9999</v>
      </c>
      <c r="AO726" s="37" t="n">
        <f aca="false">IF($A726-AM726&gt;0,1/(1+AM726),0)</f>
        <v>0</v>
      </c>
      <c r="AP726" s="37" t="n">
        <f aca="false">IF($A726-AN726&gt;0,1/(1+AN726),0)</f>
        <v>0</v>
      </c>
      <c r="AQ726" s="7" t="n">
        <f aca="false">IF(AK726=0,0,MAX(MIN(1,AO726^Power),0))</f>
        <v>0</v>
      </c>
      <c r="AR726" s="7" t="n">
        <f aca="false">IF(AL726=0,0,MAX(MIN(1,AP726^Power),0))</f>
        <v>0</v>
      </c>
      <c r="AS726" s="7" t="n">
        <f aca="false">IF($AJ726=1,IF($H726=0,K726,AS725),AS725)</f>
        <v>0</v>
      </c>
      <c r="AT726" s="7" t="n">
        <f aca="false">IF($AJ726=1,IF($H726=1,N726,AT725),AT725)</f>
        <v>0</v>
      </c>
    </row>
    <row r="727" customFormat="false" ht="13" hidden="false" customHeight="false" outlineLevel="0" collapsed="false">
      <c r="A727" s="16" t="n">
        <v>710</v>
      </c>
      <c r="B727" s="37" t="n">
        <f aca="true">IF(RAND()&lt;$D$8,1,0)</f>
        <v>0</v>
      </c>
      <c r="C727" s="20" t="n">
        <f aca="true">-LN(RAND())/$D$2</f>
        <v>2.95520078095761</v>
      </c>
      <c r="D727" s="38" t="n">
        <f aca="false">D726+C727</f>
        <v>749.037302085277</v>
      </c>
      <c r="E727" s="39" t="n">
        <f aca="false">MAX($E$3,AS726)</f>
        <v>0</v>
      </c>
      <c r="F727" s="39" t="n">
        <f aca="false">MAX($E$3,AT726)</f>
        <v>0</v>
      </c>
      <c r="G727" s="40" t="n">
        <v>0.5</v>
      </c>
      <c r="H727" s="38" t="n">
        <f aca="true">IF((B727=1),(IF((F727&lt;E727),1,(IF((F727=E727),(IF(RAND()&lt;G727,1,0)),0)))),(IF((RAND()&lt;G727),1,0)))</f>
        <v>1</v>
      </c>
      <c r="I727" s="38" t="n">
        <f aca="true">IF((H727=1),0,$D$3+$D$5*(RAND()-0.5))</f>
        <v>0</v>
      </c>
      <c r="J727" s="38" t="n">
        <f aca="false">I727+MAX(D727,J726)</f>
        <v>751.193036927965</v>
      </c>
      <c r="K727" s="38" t="n">
        <f aca="false">IF((H727=0),J727-D727,0)</f>
        <v>0</v>
      </c>
      <c r="L727" s="38" t="n">
        <f aca="true">IF(($H727=0),0,$D$4+$D$5*(RAND()-0.5))</f>
        <v>1.98043963228187</v>
      </c>
      <c r="M727" s="38" t="n">
        <f aca="false">L727+MAX(D727,M726)</f>
        <v>799.754002488893</v>
      </c>
      <c r="N727" s="38" t="n">
        <f aca="false">IF((H727=1),M727-D727,0)</f>
        <v>50.7167004036164</v>
      </c>
      <c r="O727" s="16" t="n">
        <v>710</v>
      </c>
      <c r="P727" s="41" t="n">
        <f aca="false">IF((Arterial=0),P726+1,P726)</f>
        <v>324</v>
      </c>
      <c r="Q727" s="41" t="n">
        <f aca="false">IF((Arterial=1),Q726+1,Q726)</f>
        <v>386</v>
      </c>
      <c r="R727" s="42" t="n">
        <f aca="false">IF((RESET=1),0,R727+K727)</f>
        <v>728.133383422876</v>
      </c>
      <c r="S727" s="14" t="e">
        <f aca="false">IF(RESET=1,0,S727+N727)</f>
        <v>#N/A</v>
      </c>
      <c r="T727" s="2" t="n">
        <f aca="false">IF(RESET=1,0,T727+IF(H727=0,1,0))</f>
        <v>37</v>
      </c>
      <c r="U727" s="2" t="e">
        <f aca="false">IF(RESET=1,0,U727+H727)</f>
        <v>#N/A</v>
      </c>
      <c r="V727" s="14" t="n">
        <f aca="false">R727/(T727+0.00001)</f>
        <v>19.6792753143277</v>
      </c>
      <c r="W727" s="14" t="e">
        <f aca="false">S727/(U727+0.0001)</f>
        <v>#N/A</v>
      </c>
      <c r="X727" s="39" t="n">
        <f aca="false">IF(Informed=1,K727,0)</f>
        <v>0</v>
      </c>
      <c r="Y727" s="39" t="n">
        <f aca="false">IF(Informed=0,K727,0)</f>
        <v>0</v>
      </c>
      <c r="Z727" s="39" t="n">
        <f aca="false">IF(Informed=1,N727,0)</f>
        <v>0</v>
      </c>
      <c r="AA727" s="39" t="n">
        <f aca="false">IF(Informed=0,N727,0)</f>
        <v>50.7167004036164</v>
      </c>
      <c r="AB727" s="43" t="n">
        <f aca="false">IF(Arterial=0,IF(Informed=1,1,0),0)</f>
        <v>0</v>
      </c>
      <c r="AC727" s="43" t="n">
        <f aca="false">IF(Arterial=0,IF(Informed=0,1,0),0)</f>
        <v>0</v>
      </c>
      <c r="AD727" s="43" t="n">
        <f aca="false">IF(Arterial=1,IF(Informed=1,1,0),0)</f>
        <v>0</v>
      </c>
      <c r="AE727" s="43" t="n">
        <f aca="false">IF(Arterial=1,IF(Informed=0,1,0),0)</f>
        <v>1</v>
      </c>
      <c r="AF727" s="35" t="n">
        <f aca="false">IF(AB727=1,(X727-G$1030)^2,0)</f>
        <v>0</v>
      </c>
      <c r="AG727" s="35" t="n">
        <f aca="false">IF(AC727=1,(Y727-H$1030)^2,0)</f>
        <v>0</v>
      </c>
      <c r="AH727" s="35" t="n">
        <f aca="false">IF(AD727=1,(Z727-I$1030)^2,0)</f>
        <v>0</v>
      </c>
      <c r="AI727" s="35" t="n">
        <f aca="false">IF(AE727=1,(AA727-J$1030)^2,0)</f>
        <v>447.425100869485</v>
      </c>
      <c r="AJ727" s="37" t="n">
        <f aca="true">IF(RAND()&lt;$D$6,1,0)</f>
        <v>0</v>
      </c>
      <c r="AK727" s="14" t="n">
        <f aca="false">AK726+IF((AJ727=1),IF((H727=0),1,0),0)</f>
        <v>0</v>
      </c>
      <c r="AL727" s="14" t="n">
        <f aca="false">AL726+IF((AJ727=1),IF((H727=1),1,0),0)</f>
        <v>0</v>
      </c>
      <c r="AM727" s="37" t="n">
        <f aca="false">IF(AK727=0,9999,IF($H727=0,IF($AJ727&lt;1,AM726+1,0),AM726))</f>
        <v>9999</v>
      </c>
      <c r="AN727" s="37" t="n">
        <f aca="false">IF(AL727=0,9999,IF($H727=1,IF($AJ727&lt;1,AN726+1,0),AN726))</f>
        <v>9999</v>
      </c>
      <c r="AO727" s="37" t="n">
        <f aca="false">IF($A727-AM727&gt;0,1/(1+AM727),0)</f>
        <v>0</v>
      </c>
      <c r="AP727" s="37" t="n">
        <f aca="false">IF($A727-AN727&gt;0,1/(1+AN727),0)</f>
        <v>0</v>
      </c>
      <c r="AQ727" s="7" t="n">
        <f aca="false">IF(AK727=0,0,MAX(MIN(1,AO727^Power),0))</f>
        <v>0</v>
      </c>
      <c r="AR727" s="7" t="n">
        <f aca="false">IF(AL727=0,0,MAX(MIN(1,AP727^Power),0))</f>
        <v>0</v>
      </c>
      <c r="AS727" s="7" t="n">
        <f aca="false">IF($AJ727=1,IF($H727=0,K727,AS726),AS726)</f>
        <v>0</v>
      </c>
      <c r="AT727" s="7" t="n">
        <f aca="false">IF($AJ727=1,IF($H727=1,N727,AT726),AT726)</f>
        <v>0</v>
      </c>
    </row>
    <row r="728" customFormat="false" ht="13" hidden="false" customHeight="false" outlineLevel="0" collapsed="false">
      <c r="A728" s="16" t="n">
        <v>711</v>
      </c>
      <c r="B728" s="37" t="n">
        <f aca="true">IF(RAND()&lt;$D$8,1,0)</f>
        <v>0</v>
      </c>
      <c r="C728" s="20" t="n">
        <f aca="true">-LN(RAND())/$D$2</f>
        <v>0.0303039440737872</v>
      </c>
      <c r="D728" s="38" t="n">
        <f aca="false">D727+C728</f>
        <v>749.067606029351</v>
      </c>
      <c r="E728" s="39" t="n">
        <f aca="false">MAX($E$3,AS727)</f>
        <v>0</v>
      </c>
      <c r="F728" s="39" t="n">
        <f aca="false">MAX($E$3,AT727)</f>
        <v>0</v>
      </c>
      <c r="G728" s="40" t="n">
        <v>0.5</v>
      </c>
      <c r="H728" s="38" t="n">
        <f aca="true">IF((B728=1),(IF((F728&lt;E728),1,(IF((F728=E728),(IF(RAND()&lt;G728,1,0)),0)))),(IF((RAND()&lt;G728),1,0)))</f>
        <v>1</v>
      </c>
      <c r="I728" s="38" t="n">
        <f aca="true">IF((H728=1),0,$D$3+$D$5*(RAND()-0.5))</f>
        <v>0</v>
      </c>
      <c r="J728" s="38" t="n">
        <f aca="false">I728+MAX(D728,J727)</f>
        <v>751.193036927965</v>
      </c>
      <c r="K728" s="38" t="n">
        <f aca="false">IF((H728=0),J728-D728,0)</f>
        <v>0</v>
      </c>
      <c r="L728" s="38" t="n">
        <f aca="true">IF(($H728=0),0,$D$4+$D$5*(RAND()-0.5))</f>
        <v>1.76206390666797</v>
      </c>
      <c r="M728" s="38" t="n">
        <f aca="false">L728+MAX(D728,M727)</f>
        <v>801.516066395561</v>
      </c>
      <c r="N728" s="38" t="n">
        <f aca="false">IF((H728=1),M728-D728,0)</f>
        <v>52.4484603662106</v>
      </c>
      <c r="O728" s="16" t="n">
        <v>711</v>
      </c>
      <c r="P728" s="41" t="n">
        <f aca="false">IF((Arterial=0),P727+1,P727)</f>
        <v>324</v>
      </c>
      <c r="Q728" s="41" t="n">
        <f aca="false">IF((Arterial=1),Q727+1,Q727)</f>
        <v>387</v>
      </c>
      <c r="R728" s="42" t="n">
        <f aca="false">IF((RESET=1),0,R728+K728)</f>
        <v>1053.70175184508</v>
      </c>
      <c r="S728" s="14" t="e">
        <f aca="false">IF(RESET=1,0,S728+N728)</f>
        <v>#N/A</v>
      </c>
      <c r="T728" s="2" t="n">
        <f aca="false">IF(RESET=1,0,T728+IF(H728=0,1,0))</f>
        <v>41</v>
      </c>
      <c r="U728" s="2" t="e">
        <f aca="false">IF(RESET=1,0,U728+H728)</f>
        <v>#N/A</v>
      </c>
      <c r="V728" s="14" t="n">
        <f aca="false">R728/(T728+0.00001)</f>
        <v>25.7000364596271</v>
      </c>
      <c r="W728" s="14" t="e">
        <f aca="false">S728/(U728+0.0001)</f>
        <v>#N/A</v>
      </c>
      <c r="X728" s="39" t="n">
        <f aca="false">IF(Informed=1,K728,0)</f>
        <v>0</v>
      </c>
      <c r="Y728" s="39" t="n">
        <f aca="false">IF(Informed=0,K728,0)</f>
        <v>0</v>
      </c>
      <c r="Z728" s="39" t="n">
        <f aca="false">IF(Informed=1,N728,0)</f>
        <v>0</v>
      </c>
      <c r="AA728" s="39" t="n">
        <f aca="false">IF(Informed=0,N728,0)</f>
        <v>52.4484603662106</v>
      </c>
      <c r="AB728" s="43" t="n">
        <f aca="false">IF(Arterial=0,IF(Informed=1,1,0),0)</f>
        <v>0</v>
      </c>
      <c r="AC728" s="43" t="n">
        <f aca="false">IF(Arterial=0,IF(Informed=0,1,0),0)</f>
        <v>0</v>
      </c>
      <c r="AD728" s="43" t="n">
        <f aca="false">IF(Arterial=1,IF(Informed=1,1,0),0)</f>
        <v>0</v>
      </c>
      <c r="AE728" s="43" t="n">
        <f aca="false">IF(Arterial=1,IF(Informed=0,1,0),0)</f>
        <v>1</v>
      </c>
      <c r="AF728" s="35" t="n">
        <f aca="false">IF(AB728=1,(X728-G$1030)^2,0)</f>
        <v>0</v>
      </c>
      <c r="AG728" s="35" t="n">
        <f aca="false">IF(AC728=1,(Y728-H$1030)^2,0)</f>
        <v>0</v>
      </c>
      <c r="AH728" s="35" t="n">
        <f aca="false">IF(AD728=1,(Z728-I$1030)^2,0)</f>
        <v>0</v>
      </c>
      <c r="AI728" s="35" t="n">
        <f aca="false">IF(AE728=1,(AA728-J$1030)^2,0)</f>
        <v>523.685940322905</v>
      </c>
      <c r="AJ728" s="37" t="n">
        <f aca="true">IF(RAND()&lt;$D$6,1,0)</f>
        <v>0</v>
      </c>
      <c r="AK728" s="14" t="n">
        <f aca="false">AK727+IF((AJ728=1),IF((H728=0),1,0),0)</f>
        <v>0</v>
      </c>
      <c r="AL728" s="14" t="n">
        <f aca="false">AL727+IF((AJ728=1),IF((H728=1),1,0),0)</f>
        <v>0</v>
      </c>
      <c r="AM728" s="37" t="n">
        <f aca="false">IF(AK728=0,9999,IF($H728=0,IF($AJ728&lt;1,AM727+1,0),AM727))</f>
        <v>9999</v>
      </c>
      <c r="AN728" s="37" t="n">
        <f aca="false">IF(AL728=0,9999,IF($H728=1,IF($AJ728&lt;1,AN727+1,0),AN727))</f>
        <v>9999</v>
      </c>
      <c r="AO728" s="37" t="n">
        <f aca="false">IF($A728-AM728&gt;0,1/(1+AM728),0)</f>
        <v>0</v>
      </c>
      <c r="AP728" s="37" t="n">
        <f aca="false">IF($A728-AN728&gt;0,1/(1+AN728),0)</f>
        <v>0</v>
      </c>
      <c r="AQ728" s="7" t="n">
        <f aca="false">IF(AK728=0,0,MAX(MIN(1,AO728^Power),0))</f>
        <v>0</v>
      </c>
      <c r="AR728" s="7" t="n">
        <f aca="false">IF(AL728=0,0,MAX(MIN(1,AP728^Power),0))</f>
        <v>0</v>
      </c>
      <c r="AS728" s="7" t="n">
        <f aca="false">IF($AJ728=1,IF($H728=0,K728,AS727),AS727)</f>
        <v>0</v>
      </c>
      <c r="AT728" s="7" t="n">
        <f aca="false">IF($AJ728=1,IF($H728=1,N728,AT727),AT727)</f>
        <v>0</v>
      </c>
    </row>
    <row r="729" customFormat="false" ht="13" hidden="false" customHeight="false" outlineLevel="0" collapsed="false">
      <c r="A729" s="16" t="n">
        <v>712</v>
      </c>
      <c r="B729" s="37" t="n">
        <f aca="true">IF(RAND()&lt;$D$8,1,0)</f>
        <v>0</v>
      </c>
      <c r="C729" s="20" t="n">
        <f aca="true">-LN(RAND())/$D$2</f>
        <v>2.46301329701801</v>
      </c>
      <c r="D729" s="38" t="n">
        <f aca="false">D728+C729</f>
        <v>751.530619326369</v>
      </c>
      <c r="E729" s="39" t="n">
        <f aca="false">MAX($E$3,AS728)</f>
        <v>0</v>
      </c>
      <c r="F729" s="39" t="n">
        <f aca="false">MAX($E$3,AT728)</f>
        <v>0</v>
      </c>
      <c r="G729" s="40" t="n">
        <v>0.5</v>
      </c>
      <c r="H729" s="38" t="n">
        <f aca="true">IF((B729=1),(IF((F729&lt;E729),1,(IF((F729=E729),(IF(RAND()&lt;G729,1,0)),0)))),(IF((RAND()&lt;G729),1,0)))</f>
        <v>1</v>
      </c>
      <c r="I729" s="38" t="n">
        <f aca="true">IF((H729=1),0,$D$3+$D$5*(RAND()-0.5))</f>
        <v>0</v>
      </c>
      <c r="J729" s="38" t="n">
        <f aca="false">I729+MAX(D729,J728)</f>
        <v>751.530619326369</v>
      </c>
      <c r="K729" s="38" t="n">
        <f aca="false">IF((H729=0),J729-D729,0)</f>
        <v>0</v>
      </c>
      <c r="L729" s="38" t="n">
        <f aca="true">IF(($H729=0),0,$D$4+$D$5*(RAND()-0.5))</f>
        <v>2.00558689971602</v>
      </c>
      <c r="M729" s="38" t="n">
        <f aca="false">L729+MAX(D729,M728)</f>
        <v>803.521653295278</v>
      </c>
      <c r="N729" s="38" t="n">
        <f aca="false">IF((H729=1),M729-D729,0)</f>
        <v>51.9910339689086</v>
      </c>
      <c r="O729" s="16" t="n">
        <v>712</v>
      </c>
      <c r="P729" s="41" t="n">
        <f aca="false">IF((Arterial=0),P728+1,P728)</f>
        <v>324</v>
      </c>
      <c r="Q729" s="41" t="n">
        <f aca="false">IF((Arterial=1),Q728+1,Q728)</f>
        <v>388</v>
      </c>
      <c r="R729" s="42" t="n">
        <f aca="false">IF((RESET=1),0,R729+K729)</f>
        <v>967.321976704686</v>
      </c>
      <c r="S729" s="14" t="e">
        <f aca="false">IF(RESET=1,0,S729+N729)</f>
        <v>#N/A</v>
      </c>
      <c r="T729" s="2" t="n">
        <f aca="false">IF(RESET=1,0,T729+IF(H729=0,1,0))</f>
        <v>42</v>
      </c>
      <c r="U729" s="2" t="e">
        <f aca="false">IF(RESET=1,0,U729+H729)</f>
        <v>#N/A</v>
      </c>
      <c r="V729" s="14" t="n">
        <f aca="false">R729/(T729+0.00001)</f>
        <v>23.0314701521425</v>
      </c>
      <c r="W729" s="14" t="e">
        <f aca="false">S729/(U729+0.0001)</f>
        <v>#N/A</v>
      </c>
      <c r="X729" s="39" t="n">
        <f aca="false">IF(Informed=1,K729,0)</f>
        <v>0</v>
      </c>
      <c r="Y729" s="39" t="n">
        <f aca="false">IF(Informed=0,K729,0)</f>
        <v>0</v>
      </c>
      <c r="Z729" s="39" t="n">
        <f aca="false">IF(Informed=1,N729,0)</f>
        <v>0</v>
      </c>
      <c r="AA729" s="39" t="n">
        <f aca="false">IF(Informed=0,N729,0)</f>
        <v>51.9910339689086</v>
      </c>
      <c r="AB729" s="43" t="n">
        <f aca="false">IF(Arterial=0,IF(Informed=1,1,0),0)</f>
        <v>0</v>
      </c>
      <c r="AC729" s="43" t="n">
        <f aca="false">IF(Arterial=0,IF(Informed=0,1,0),0)</f>
        <v>0</v>
      </c>
      <c r="AD729" s="43" t="n">
        <f aca="false">IF(Arterial=1,IF(Informed=1,1,0),0)</f>
        <v>0</v>
      </c>
      <c r="AE729" s="43" t="n">
        <f aca="false">IF(Arterial=1,IF(Informed=0,1,0),0)</f>
        <v>1</v>
      </c>
      <c r="AF729" s="35" t="n">
        <f aca="false">IF(AB729=1,(X729-G$1030)^2,0)</f>
        <v>0</v>
      </c>
      <c r="AG729" s="35" t="n">
        <f aca="false">IF(AC729=1,(Y729-H$1030)^2,0)</f>
        <v>0</v>
      </c>
      <c r="AH729" s="35" t="n">
        <f aca="false">IF(AD729=1,(Z729-I$1030)^2,0)</f>
        <v>0</v>
      </c>
      <c r="AI729" s="35" t="n">
        <f aca="false">IF(AE729=1,(AA729-J$1030)^2,0)</f>
        <v>502.959518288388</v>
      </c>
      <c r="AJ729" s="37" t="n">
        <f aca="true">IF(RAND()&lt;$D$6,1,0)</f>
        <v>0</v>
      </c>
      <c r="AK729" s="14" t="n">
        <f aca="false">AK728+IF((AJ729=1),IF((H729=0),1,0),0)</f>
        <v>0</v>
      </c>
      <c r="AL729" s="14" t="n">
        <f aca="false">AL728+IF((AJ729=1),IF((H729=1),1,0),0)</f>
        <v>0</v>
      </c>
      <c r="AM729" s="37" t="n">
        <f aca="false">IF(AK729=0,9999,IF($H729=0,IF($AJ729&lt;1,AM728+1,0),AM728))</f>
        <v>9999</v>
      </c>
      <c r="AN729" s="37" t="n">
        <f aca="false">IF(AL729=0,9999,IF($H729=1,IF($AJ729&lt;1,AN728+1,0),AN728))</f>
        <v>9999</v>
      </c>
      <c r="AO729" s="37" t="n">
        <f aca="false">IF($A729-AM729&gt;0,1/(1+AM729),0)</f>
        <v>0</v>
      </c>
      <c r="AP729" s="37" t="n">
        <f aca="false">IF($A729-AN729&gt;0,1/(1+AN729),0)</f>
        <v>0</v>
      </c>
      <c r="AQ729" s="7" t="n">
        <f aca="false">IF(AK729=0,0,MAX(MIN(1,AO729^Power),0))</f>
        <v>0</v>
      </c>
      <c r="AR729" s="7" t="n">
        <f aca="false">IF(AL729=0,0,MAX(MIN(1,AP729^Power),0))</f>
        <v>0</v>
      </c>
      <c r="AS729" s="7" t="n">
        <f aca="false">IF($AJ729=1,IF($H729=0,K729,AS728),AS728)</f>
        <v>0</v>
      </c>
      <c r="AT729" s="7" t="n">
        <f aca="false">IF($AJ729=1,IF($H729=1,N729,AT728),AT728)</f>
        <v>0</v>
      </c>
    </row>
    <row r="730" customFormat="false" ht="13" hidden="false" customHeight="false" outlineLevel="0" collapsed="false">
      <c r="A730" s="16" t="n">
        <v>713</v>
      </c>
      <c r="B730" s="37" t="n">
        <f aca="true">IF(RAND()&lt;$D$8,1,0)</f>
        <v>1</v>
      </c>
      <c r="C730" s="20" t="n">
        <f aca="true">-LN(RAND())/$D$2</f>
        <v>2.45291464820519</v>
      </c>
      <c r="D730" s="38" t="n">
        <f aca="false">D729+C730</f>
        <v>753.983533974574</v>
      </c>
      <c r="E730" s="39" t="n">
        <f aca="false">MAX($E$3,AS729)</f>
        <v>0</v>
      </c>
      <c r="F730" s="39" t="n">
        <f aca="false">MAX($E$3,AT729)</f>
        <v>0</v>
      </c>
      <c r="G730" s="40" t="n">
        <v>0.5</v>
      </c>
      <c r="H730" s="38" t="n">
        <f aca="true">IF((B730=1),(IF((F730&lt;E730),1,(IF((F730=E730),(IF(RAND()&lt;G730,1,0)),0)))),(IF((RAND()&lt;G730),1,0)))</f>
        <v>1</v>
      </c>
      <c r="I730" s="38" t="n">
        <f aca="true">IF((H730=1),0,$D$3+$D$5*(RAND()-0.5))</f>
        <v>0</v>
      </c>
      <c r="J730" s="38" t="n">
        <f aca="false">I730+MAX(D730,J729)</f>
        <v>753.983533974574</v>
      </c>
      <c r="K730" s="38" t="n">
        <f aca="false">IF((H730=0),J730-D730,0)</f>
        <v>0</v>
      </c>
      <c r="L730" s="38" t="n">
        <f aca="true">IF(($H730=0),0,$D$4+$D$5*(RAND()-0.5))</f>
        <v>2.18345761988668</v>
      </c>
      <c r="M730" s="38" t="n">
        <f aca="false">L730+MAX(D730,M729)</f>
        <v>805.705110915164</v>
      </c>
      <c r="N730" s="38" t="n">
        <f aca="false">IF((H730=1),M730-D730,0)</f>
        <v>51.7215769405901</v>
      </c>
      <c r="O730" s="16" t="n">
        <v>713</v>
      </c>
      <c r="P730" s="41" t="n">
        <f aca="false">IF((Arterial=0),P729+1,P729)</f>
        <v>324</v>
      </c>
      <c r="Q730" s="41" t="n">
        <f aca="false">IF((Arterial=1),Q729+1,Q729)</f>
        <v>389</v>
      </c>
      <c r="R730" s="42" t="n">
        <f aca="false">IF((RESET=1),0,R730+K730)</f>
        <v>756.928381501983</v>
      </c>
      <c r="S730" s="14" t="e">
        <f aca="false">IF(RESET=1,0,S730+N730)</f>
        <v>#N/A</v>
      </c>
      <c r="T730" s="2" t="n">
        <f aca="false">IF(RESET=1,0,T730+IF(H730=0,1,0))</f>
        <v>36</v>
      </c>
      <c r="U730" s="2" t="e">
        <f aca="false">IF(RESET=1,0,U730+H730)</f>
        <v>#N/A</v>
      </c>
      <c r="V730" s="14" t="n">
        <f aca="false">R730/(T730+0.00001)</f>
        <v>21.0257825345599</v>
      </c>
      <c r="W730" s="14" t="e">
        <f aca="false">S730/(U730+0.0001)</f>
        <v>#N/A</v>
      </c>
      <c r="X730" s="39" t="n">
        <f aca="false">IF(Informed=1,K730,0)</f>
        <v>0</v>
      </c>
      <c r="Y730" s="39" t="n">
        <f aca="false">IF(Informed=0,K730,0)</f>
        <v>0</v>
      </c>
      <c r="Z730" s="39" t="n">
        <f aca="false">IF(Informed=1,N730,0)</f>
        <v>51.7215769405901</v>
      </c>
      <c r="AA730" s="39" t="n">
        <f aca="false">IF(Informed=0,N730,0)</f>
        <v>0</v>
      </c>
      <c r="AB730" s="43" t="n">
        <f aca="false">IF(Arterial=0,IF(Informed=1,1,0),0)</f>
        <v>0</v>
      </c>
      <c r="AC730" s="43" t="n">
        <f aca="false">IF(Arterial=0,IF(Informed=0,1,0),0)</f>
        <v>0</v>
      </c>
      <c r="AD730" s="43" t="n">
        <f aca="false">IF(Arterial=1,IF(Informed=1,1,0),0)</f>
        <v>1</v>
      </c>
      <c r="AE730" s="43" t="n">
        <f aca="false">IF(Arterial=1,IF(Informed=0,1,0),0)</f>
        <v>0</v>
      </c>
      <c r="AF730" s="35" t="n">
        <f aca="false">IF(AB730=1,(X730-G$1030)^2,0)</f>
        <v>0</v>
      </c>
      <c r="AG730" s="35" t="n">
        <f aca="false">IF(AC730=1,(Y730-H$1030)^2,0)</f>
        <v>0</v>
      </c>
      <c r="AH730" s="35" t="n">
        <f aca="false">IF(AD730=1,(Z730-I$1030)^2,0)</f>
        <v>545.07036889504</v>
      </c>
      <c r="AI730" s="35" t="n">
        <f aca="false">IF(AE730=1,(AA730-J$1030)^2,0)</f>
        <v>0</v>
      </c>
      <c r="AJ730" s="37" t="n">
        <f aca="true">IF(RAND()&lt;$D$6,1,0)</f>
        <v>0</v>
      </c>
      <c r="AK730" s="14" t="n">
        <f aca="false">AK729+IF((AJ730=1),IF((H730=0),1,0),0)</f>
        <v>0</v>
      </c>
      <c r="AL730" s="14" t="n">
        <f aca="false">AL729+IF((AJ730=1),IF((H730=1),1,0),0)</f>
        <v>0</v>
      </c>
      <c r="AM730" s="37" t="n">
        <f aca="false">IF(AK730=0,9999,IF($H730=0,IF($AJ730&lt;1,AM729+1,0),AM729))</f>
        <v>9999</v>
      </c>
      <c r="AN730" s="37" t="n">
        <f aca="false">IF(AL730=0,9999,IF($H730=1,IF($AJ730&lt;1,AN729+1,0),AN729))</f>
        <v>9999</v>
      </c>
      <c r="AO730" s="37" t="n">
        <f aca="false">IF($A730-AM730&gt;0,1/(1+AM730),0)</f>
        <v>0</v>
      </c>
      <c r="AP730" s="37" t="n">
        <f aca="false">IF($A730-AN730&gt;0,1/(1+AN730),0)</f>
        <v>0</v>
      </c>
      <c r="AQ730" s="7" t="n">
        <f aca="false">IF(AK730=0,0,MAX(MIN(1,AO730^Power),0))</f>
        <v>0</v>
      </c>
      <c r="AR730" s="7" t="n">
        <f aca="false">IF(AL730=0,0,MAX(MIN(1,AP730^Power),0))</f>
        <v>0</v>
      </c>
      <c r="AS730" s="7" t="n">
        <f aca="false">IF($AJ730=1,IF($H730=0,K730,AS729),AS729)</f>
        <v>0</v>
      </c>
      <c r="AT730" s="7" t="n">
        <f aca="false">IF($AJ730=1,IF($H730=1,N730,AT729),AT729)</f>
        <v>0</v>
      </c>
    </row>
    <row r="731" customFormat="false" ht="13" hidden="false" customHeight="false" outlineLevel="0" collapsed="false">
      <c r="A731" s="16" t="n">
        <v>714</v>
      </c>
      <c r="B731" s="37" t="n">
        <f aca="true">IF(RAND()&lt;$D$8,1,0)</f>
        <v>0</v>
      </c>
      <c r="C731" s="20" t="n">
        <f aca="true">-LN(RAND())/$D$2</f>
        <v>0.23864909979499</v>
      </c>
      <c r="D731" s="38" t="n">
        <f aca="false">D730+C731</f>
        <v>754.222183074369</v>
      </c>
      <c r="E731" s="39" t="n">
        <f aca="false">MAX($E$3,AS730)</f>
        <v>0</v>
      </c>
      <c r="F731" s="39" t="n">
        <f aca="false">MAX($E$3,AT730)</f>
        <v>0</v>
      </c>
      <c r="G731" s="40" t="n">
        <v>0.5</v>
      </c>
      <c r="H731" s="38" t="n">
        <f aca="true">IF((B731=1),(IF((F731&lt;E731),1,(IF((F731=E731),(IF(RAND()&lt;G731,1,0)),0)))),(IF((RAND()&lt;G731),1,0)))</f>
        <v>1</v>
      </c>
      <c r="I731" s="38" t="n">
        <f aca="true">IF((H731=1),0,$D$3+$D$5*(RAND()-0.5))</f>
        <v>0</v>
      </c>
      <c r="J731" s="38" t="n">
        <f aca="false">I731+MAX(D731,J730)</f>
        <v>754.222183074369</v>
      </c>
      <c r="K731" s="38" t="n">
        <f aca="false">IF((H731=0),J731-D731,0)</f>
        <v>0</v>
      </c>
      <c r="L731" s="38" t="n">
        <f aca="true">IF(($H731=0),0,$D$4+$D$5*(RAND()-0.5))</f>
        <v>1.93165450525123</v>
      </c>
      <c r="M731" s="38" t="n">
        <f aca="false">L731+MAX(D731,M730)</f>
        <v>807.636765420415</v>
      </c>
      <c r="N731" s="38" t="n">
        <f aca="false">IF((H731=1),M731-D731,0)</f>
        <v>53.4145823460464</v>
      </c>
      <c r="O731" s="16" t="n">
        <v>714</v>
      </c>
      <c r="P731" s="41" t="n">
        <f aca="false">IF((Arterial=0),P730+1,P730)</f>
        <v>324</v>
      </c>
      <c r="Q731" s="41" t="n">
        <f aca="false">IF((Arterial=1),Q730+1,Q730)</f>
        <v>390</v>
      </c>
      <c r="R731" s="42" t="n">
        <f aca="false">IF((RESET=1),0,R731+K731)</f>
        <v>795.918511158593</v>
      </c>
      <c r="S731" s="14" t="e">
        <f aca="false">IF(RESET=1,0,S731+N731)</f>
        <v>#N/A</v>
      </c>
      <c r="T731" s="2" t="n">
        <f aca="false">IF(RESET=1,0,T731+IF(H731=0,1,0))</f>
        <v>43</v>
      </c>
      <c r="U731" s="2" t="e">
        <f aca="false">IF(RESET=1,0,U731+H731)</f>
        <v>#N/A</v>
      </c>
      <c r="V731" s="14" t="n">
        <f aca="false">R731/(T731+0.00001)</f>
        <v>18.5097285130537</v>
      </c>
      <c r="W731" s="14" t="e">
        <f aca="false">S731/(U731+0.0001)</f>
        <v>#N/A</v>
      </c>
      <c r="X731" s="39" t="n">
        <f aca="false">IF(Informed=1,K731,0)</f>
        <v>0</v>
      </c>
      <c r="Y731" s="39" t="n">
        <f aca="false">IF(Informed=0,K731,0)</f>
        <v>0</v>
      </c>
      <c r="Z731" s="39" t="n">
        <f aca="false">IF(Informed=1,N731,0)</f>
        <v>0</v>
      </c>
      <c r="AA731" s="39" t="n">
        <f aca="false">IF(Informed=0,N731,0)</f>
        <v>53.4145823460464</v>
      </c>
      <c r="AB731" s="43" t="n">
        <f aca="false">IF(Arterial=0,IF(Informed=1,1,0),0)</f>
        <v>0</v>
      </c>
      <c r="AC731" s="43" t="n">
        <f aca="false">IF(Arterial=0,IF(Informed=0,1,0),0)</f>
        <v>0</v>
      </c>
      <c r="AD731" s="43" t="n">
        <f aca="false">IF(Arterial=1,IF(Informed=1,1,0),0)</f>
        <v>0</v>
      </c>
      <c r="AE731" s="43" t="n">
        <f aca="false">IF(Arterial=1,IF(Informed=0,1,0),0)</f>
        <v>1</v>
      </c>
      <c r="AF731" s="35" t="n">
        <f aca="false">IF(AB731=1,(X731-G$1030)^2,0)</f>
        <v>0</v>
      </c>
      <c r="AG731" s="35" t="n">
        <f aca="false">IF(AC731=1,(Y731-H$1030)^2,0)</f>
        <v>0</v>
      </c>
      <c r="AH731" s="35" t="n">
        <f aca="false">IF(AD731=1,(Z731-I$1030)^2,0)</f>
        <v>0</v>
      </c>
      <c r="AI731" s="35" t="n">
        <f aca="false">IF(AE731=1,(AA731-J$1030)^2,0)</f>
        <v>568.837160967596</v>
      </c>
      <c r="AJ731" s="37" t="n">
        <f aca="true">IF(RAND()&lt;$D$6,1,0)</f>
        <v>0</v>
      </c>
      <c r="AK731" s="14" t="n">
        <f aca="false">AK730+IF((AJ731=1),IF((H731=0),1,0),0)</f>
        <v>0</v>
      </c>
      <c r="AL731" s="14" t="n">
        <f aca="false">AL730+IF((AJ731=1),IF((H731=1),1,0),0)</f>
        <v>0</v>
      </c>
      <c r="AM731" s="37" t="n">
        <f aca="false">IF(AK731=0,9999,IF($H731=0,IF($AJ731&lt;1,AM730+1,0),AM730))</f>
        <v>9999</v>
      </c>
      <c r="AN731" s="37" t="n">
        <f aca="false">IF(AL731=0,9999,IF($H731=1,IF($AJ731&lt;1,AN730+1,0),AN730))</f>
        <v>9999</v>
      </c>
      <c r="AO731" s="37" t="n">
        <f aca="false">IF($A731-AM731&gt;0,1/(1+AM731),0)</f>
        <v>0</v>
      </c>
      <c r="AP731" s="37" t="n">
        <f aca="false">IF($A731-AN731&gt;0,1/(1+AN731),0)</f>
        <v>0</v>
      </c>
      <c r="AQ731" s="7" t="n">
        <f aca="false">IF(AK731=0,0,MAX(MIN(1,AO731^Power),0))</f>
        <v>0</v>
      </c>
      <c r="AR731" s="7" t="n">
        <f aca="false">IF(AL731=0,0,MAX(MIN(1,AP731^Power),0))</f>
        <v>0</v>
      </c>
      <c r="AS731" s="7" t="n">
        <f aca="false">IF($AJ731=1,IF($H731=0,K731,AS730),AS730)</f>
        <v>0</v>
      </c>
      <c r="AT731" s="7" t="n">
        <f aca="false">IF($AJ731=1,IF($H731=1,N731,AT730),AT730)</f>
        <v>0</v>
      </c>
    </row>
    <row r="732" customFormat="false" ht="13" hidden="false" customHeight="false" outlineLevel="0" collapsed="false">
      <c r="A732" s="16" t="n">
        <v>715</v>
      </c>
      <c r="B732" s="37" t="n">
        <f aca="true">IF(RAND()&lt;$D$8,1,0)</f>
        <v>0</v>
      </c>
      <c r="C732" s="20" t="n">
        <f aca="true">-LN(RAND())/$D$2</f>
        <v>0.628293179455094</v>
      </c>
      <c r="D732" s="38" t="n">
        <f aca="false">D731+C732</f>
        <v>754.850476253824</v>
      </c>
      <c r="E732" s="39" t="n">
        <f aca="false">MAX($E$3,AS731)</f>
        <v>0</v>
      </c>
      <c r="F732" s="39" t="n">
        <f aca="false">MAX($E$3,AT731)</f>
        <v>0</v>
      </c>
      <c r="G732" s="40" t="n">
        <v>0.5</v>
      </c>
      <c r="H732" s="38" t="n">
        <f aca="true">IF((B732=1),(IF((F732&lt;E732),1,(IF((F732=E732),(IF(RAND()&lt;G732,1,0)),0)))),(IF((RAND()&lt;G732),1,0)))</f>
        <v>1</v>
      </c>
      <c r="I732" s="38" t="n">
        <f aca="true">IF((H732=1),0,$D$3+$D$5*(RAND()-0.5))</f>
        <v>0</v>
      </c>
      <c r="J732" s="38" t="n">
        <f aca="false">I732+MAX(D732,J731)</f>
        <v>754.850476253824</v>
      </c>
      <c r="K732" s="38" t="n">
        <f aca="false">IF((H732=0),J732-D732,0)</f>
        <v>0</v>
      </c>
      <c r="L732" s="38" t="n">
        <f aca="true">IF(($H732=0),0,$D$4+$D$5*(RAND()-0.5))</f>
        <v>2.11136347284202</v>
      </c>
      <c r="M732" s="38" t="n">
        <f aca="false">L732+MAX(D732,M731)</f>
        <v>809.748128893257</v>
      </c>
      <c r="N732" s="38" t="n">
        <f aca="false">IF((H732=1),M732-D732,0)</f>
        <v>54.8976526394333</v>
      </c>
      <c r="O732" s="16" t="n">
        <v>715</v>
      </c>
      <c r="P732" s="41" t="n">
        <f aca="false">IF((Arterial=0),P731+1,P731)</f>
        <v>324</v>
      </c>
      <c r="Q732" s="41" t="n">
        <f aca="false">IF((Arterial=1),Q731+1,Q731)</f>
        <v>391</v>
      </c>
      <c r="R732" s="42" t="n">
        <f aca="false">IF((RESET=1),0,R732+K732)</f>
        <v>679.687517938785</v>
      </c>
      <c r="S732" s="14" t="e">
        <f aca="false">IF(RESET=1,0,S732+N732)</f>
        <v>#N/A</v>
      </c>
      <c r="T732" s="2" t="n">
        <f aca="false">IF(RESET=1,0,T732+IF(H732=0,1,0))</f>
        <v>37</v>
      </c>
      <c r="U732" s="2" t="e">
        <f aca="false">IF(RESET=1,0,U732+H732)</f>
        <v>#N/A</v>
      </c>
      <c r="V732" s="14" t="n">
        <f aca="false">R732/(T732+0.00001)</f>
        <v>18.3699279524191</v>
      </c>
      <c r="W732" s="14" t="e">
        <f aca="false">S732/(U732+0.0001)</f>
        <v>#N/A</v>
      </c>
      <c r="X732" s="39" t="n">
        <f aca="false">IF(Informed=1,K732,0)</f>
        <v>0</v>
      </c>
      <c r="Y732" s="39" t="n">
        <f aca="false">IF(Informed=0,K732,0)</f>
        <v>0</v>
      </c>
      <c r="Z732" s="39" t="n">
        <f aca="false">IF(Informed=1,N732,0)</f>
        <v>0</v>
      </c>
      <c r="AA732" s="39" t="n">
        <f aca="false">IF(Informed=0,N732,0)</f>
        <v>54.8976526394333</v>
      </c>
      <c r="AB732" s="43" t="n">
        <f aca="false">IF(Arterial=0,IF(Informed=1,1,0),0)</f>
        <v>0</v>
      </c>
      <c r="AC732" s="43" t="n">
        <f aca="false">IF(Arterial=0,IF(Informed=0,1,0),0)</f>
        <v>0</v>
      </c>
      <c r="AD732" s="43" t="n">
        <f aca="false">IF(Arterial=1,IF(Informed=1,1,0),0)</f>
        <v>0</v>
      </c>
      <c r="AE732" s="43" t="n">
        <f aca="false">IF(Arterial=1,IF(Informed=0,1,0),0)</f>
        <v>1</v>
      </c>
      <c r="AF732" s="35" t="n">
        <f aca="false">IF(AB732=1,(X732-G$1030)^2,0)</f>
        <v>0</v>
      </c>
      <c r="AG732" s="35" t="n">
        <f aca="false">IF(AC732=1,(Y732-H$1030)^2,0)</f>
        <v>0</v>
      </c>
      <c r="AH732" s="35" t="n">
        <f aca="false">IF(AD732=1,(Z732-I$1030)^2,0)</f>
        <v>0</v>
      </c>
      <c r="AI732" s="35" t="n">
        <f aca="false">IF(AE732=1,(AA732-J$1030)^2,0)</f>
        <v>641.780023117885</v>
      </c>
      <c r="AJ732" s="37" t="n">
        <f aca="true">IF(RAND()&lt;$D$6,1,0)</f>
        <v>0</v>
      </c>
      <c r="AK732" s="14" t="n">
        <f aca="false">AK731+IF((AJ732=1),IF((H732=0),1,0),0)</f>
        <v>0</v>
      </c>
      <c r="AL732" s="14" t="n">
        <f aca="false">AL731+IF((AJ732=1),IF((H732=1),1,0),0)</f>
        <v>0</v>
      </c>
      <c r="AM732" s="37" t="n">
        <f aca="false">IF(AK732=0,9999,IF($H732=0,IF($AJ732&lt;1,AM731+1,0),AM731))</f>
        <v>9999</v>
      </c>
      <c r="AN732" s="37" t="n">
        <f aca="false">IF(AL732=0,9999,IF($H732=1,IF($AJ732&lt;1,AN731+1,0),AN731))</f>
        <v>9999</v>
      </c>
      <c r="AO732" s="37" t="n">
        <f aca="false">IF($A732-AM732&gt;0,1/(1+AM732),0)</f>
        <v>0</v>
      </c>
      <c r="AP732" s="37" t="n">
        <f aca="false">IF($A732-AN732&gt;0,1/(1+AN732),0)</f>
        <v>0</v>
      </c>
      <c r="AQ732" s="7" t="n">
        <f aca="false">IF(AK732=0,0,MAX(MIN(1,AO732^Power),0))</f>
        <v>0</v>
      </c>
      <c r="AR732" s="7" t="n">
        <f aca="false">IF(AL732=0,0,MAX(MIN(1,AP732^Power),0))</f>
        <v>0</v>
      </c>
      <c r="AS732" s="7" t="n">
        <f aca="false">IF($AJ732=1,IF($H732=0,K732,AS731),AS731)</f>
        <v>0</v>
      </c>
      <c r="AT732" s="7" t="n">
        <f aca="false">IF($AJ732=1,IF($H732=1,N732,AT731),AT731)</f>
        <v>0</v>
      </c>
    </row>
    <row r="733" customFormat="false" ht="13" hidden="false" customHeight="false" outlineLevel="0" collapsed="false">
      <c r="A733" s="16" t="n">
        <v>716</v>
      </c>
      <c r="B733" s="37" t="n">
        <f aca="true">IF(RAND()&lt;$D$8,1,0)</f>
        <v>0</v>
      </c>
      <c r="C733" s="20" t="n">
        <f aca="true">-LN(RAND())/$D$2</f>
        <v>0.443631161367316</v>
      </c>
      <c r="D733" s="38" t="n">
        <f aca="false">D732+C733</f>
        <v>755.294107415191</v>
      </c>
      <c r="E733" s="39" t="n">
        <f aca="false">MAX($E$3,AS732)</f>
        <v>0</v>
      </c>
      <c r="F733" s="39" t="n">
        <f aca="false">MAX($E$3,AT732)</f>
        <v>0</v>
      </c>
      <c r="G733" s="40" t="n">
        <v>0.5</v>
      </c>
      <c r="H733" s="38" t="n">
        <f aca="true">IF((B733=1),(IF((F733&lt;E733),1,(IF((F733=E733),(IF(RAND()&lt;G733,1,0)),0)))),(IF((RAND()&lt;G733),1,0)))</f>
        <v>1</v>
      </c>
      <c r="I733" s="38" t="n">
        <f aca="true">IF((H733=1),0,$D$3+$D$5*(RAND()-0.5))</f>
        <v>0</v>
      </c>
      <c r="J733" s="38" t="n">
        <f aca="false">I733+MAX(D733,J732)</f>
        <v>755.294107415191</v>
      </c>
      <c r="K733" s="38" t="n">
        <f aca="false">IF((H733=0),J733-D733,0)</f>
        <v>0</v>
      </c>
      <c r="L733" s="38" t="n">
        <f aca="true">IF(($H733=0),0,$D$4+$D$5*(RAND()-0.5))</f>
        <v>2.07153403235967</v>
      </c>
      <c r="M733" s="38" t="n">
        <f aca="false">L733+MAX(D733,M732)</f>
        <v>811.819662925617</v>
      </c>
      <c r="N733" s="38" t="n">
        <f aca="false">IF((H733=1),M733-D733,0)</f>
        <v>56.5255555104257</v>
      </c>
      <c r="O733" s="16" t="n">
        <v>716</v>
      </c>
      <c r="P733" s="41" t="n">
        <f aca="false">IF((Arterial=0),P732+1,P732)</f>
        <v>324</v>
      </c>
      <c r="Q733" s="41" t="n">
        <f aca="false">IF((Arterial=1),Q732+1,Q732)</f>
        <v>392</v>
      </c>
      <c r="R733" s="42" t="n">
        <f aca="false">IF((RESET=1),0,R733+K733)</f>
        <v>827.647879719705</v>
      </c>
      <c r="S733" s="14" t="e">
        <f aca="false">IF(RESET=1,0,S733+N733)</f>
        <v>#N/A</v>
      </c>
      <c r="T733" s="2" t="n">
        <f aca="false">IF(RESET=1,0,T733+IF(H733=0,1,0))</f>
        <v>43</v>
      </c>
      <c r="U733" s="2" t="e">
        <f aca="false">IF(RESET=1,0,U733+H733)</f>
        <v>#N/A</v>
      </c>
      <c r="V733" s="14" t="n">
        <f aca="false">R733/(T733+0.00001)</f>
        <v>19.2476206335697</v>
      </c>
      <c r="W733" s="14" t="e">
        <f aca="false">S733/(U733+0.0001)</f>
        <v>#N/A</v>
      </c>
      <c r="X733" s="39" t="n">
        <f aca="false">IF(Informed=1,K733,0)</f>
        <v>0</v>
      </c>
      <c r="Y733" s="39" t="n">
        <f aca="false">IF(Informed=0,K733,0)</f>
        <v>0</v>
      </c>
      <c r="Z733" s="39" t="n">
        <f aca="false">IF(Informed=1,N733,0)</f>
        <v>0</v>
      </c>
      <c r="AA733" s="39" t="n">
        <f aca="false">IF(Informed=0,N733,0)</f>
        <v>56.5255555104257</v>
      </c>
      <c r="AB733" s="43" t="n">
        <f aca="false">IF(Arterial=0,IF(Informed=1,1,0),0)</f>
        <v>0</v>
      </c>
      <c r="AC733" s="43" t="n">
        <f aca="false">IF(Arterial=0,IF(Informed=0,1,0),0)</f>
        <v>0</v>
      </c>
      <c r="AD733" s="43" t="n">
        <f aca="false">IF(Arterial=1,IF(Informed=1,1,0),0)</f>
        <v>0</v>
      </c>
      <c r="AE733" s="43" t="n">
        <f aca="false">IF(Arterial=1,IF(Informed=0,1,0),0)</f>
        <v>1</v>
      </c>
      <c r="AF733" s="35" t="n">
        <f aca="false">IF(AB733=1,(X733-G$1030)^2,0)</f>
        <v>0</v>
      </c>
      <c r="AG733" s="35" t="n">
        <f aca="false">IF(AC733=1,(Y733-H$1030)^2,0)</f>
        <v>0</v>
      </c>
      <c r="AH733" s="35" t="n">
        <f aca="false">IF(AD733=1,(Z733-I$1030)^2,0)</f>
        <v>0</v>
      </c>
      <c r="AI733" s="35" t="n">
        <f aca="false">IF(AE733=1,(AA733-J$1030)^2,0)</f>
        <v>726.910647289459</v>
      </c>
      <c r="AJ733" s="37" t="n">
        <f aca="true">IF(RAND()&lt;$D$6,1,0)</f>
        <v>0</v>
      </c>
      <c r="AK733" s="14" t="n">
        <f aca="false">AK732+IF((AJ733=1),IF((H733=0),1,0),0)</f>
        <v>0</v>
      </c>
      <c r="AL733" s="14" t="n">
        <f aca="false">AL732+IF((AJ733=1),IF((H733=1),1,0),0)</f>
        <v>0</v>
      </c>
      <c r="AM733" s="37" t="n">
        <f aca="false">IF(AK733=0,9999,IF($H733=0,IF($AJ733&lt;1,AM732+1,0),AM732))</f>
        <v>9999</v>
      </c>
      <c r="AN733" s="37" t="n">
        <f aca="false">IF(AL733=0,9999,IF($H733=1,IF($AJ733&lt;1,AN732+1,0),AN732))</f>
        <v>9999</v>
      </c>
      <c r="AO733" s="37" t="n">
        <f aca="false">IF($A733-AM733&gt;0,1/(1+AM733),0)</f>
        <v>0</v>
      </c>
      <c r="AP733" s="37" t="n">
        <f aca="false">IF($A733-AN733&gt;0,1/(1+AN733),0)</f>
        <v>0</v>
      </c>
      <c r="AQ733" s="7" t="n">
        <f aca="false">IF(AK733=0,0,MAX(MIN(1,AO733^Power),0))</f>
        <v>0</v>
      </c>
      <c r="AR733" s="7" t="n">
        <f aca="false">IF(AL733=0,0,MAX(MIN(1,AP733^Power),0))</f>
        <v>0</v>
      </c>
      <c r="AS733" s="7" t="n">
        <f aca="false">IF($AJ733=1,IF($H733=0,K733,AS732),AS732)</f>
        <v>0</v>
      </c>
      <c r="AT733" s="7" t="n">
        <f aca="false">IF($AJ733=1,IF($H733=1,N733,AT732),AT732)</f>
        <v>0</v>
      </c>
    </row>
    <row r="734" customFormat="false" ht="13" hidden="false" customHeight="false" outlineLevel="0" collapsed="false">
      <c r="A734" s="16" t="n">
        <v>717</v>
      </c>
      <c r="B734" s="37" t="n">
        <f aca="true">IF(RAND()&lt;$D$8,1,0)</f>
        <v>1</v>
      </c>
      <c r="C734" s="20" t="n">
        <f aca="true">-LN(RAND())/$D$2</f>
        <v>0.330185859798427</v>
      </c>
      <c r="D734" s="38" t="n">
        <f aca="false">D733+C734</f>
        <v>755.62429327499</v>
      </c>
      <c r="E734" s="39" t="n">
        <f aca="false">MAX($E$3,AS733)</f>
        <v>0</v>
      </c>
      <c r="F734" s="39" t="n">
        <f aca="false">MAX($E$3,AT733)</f>
        <v>0</v>
      </c>
      <c r="G734" s="40" t="n">
        <v>0.5</v>
      </c>
      <c r="H734" s="38" t="n">
        <f aca="true">IF((B734=1),(IF((F734&lt;E734),1,(IF((F734=E734),(IF(RAND()&lt;G734,1,0)),0)))),(IF((RAND()&lt;G734),1,0)))</f>
        <v>0</v>
      </c>
      <c r="I734" s="38" t="n">
        <f aca="true">IF((H734=1),0,$D$3+$D$5*(RAND()-0.5))</f>
        <v>1.83615606862789</v>
      </c>
      <c r="J734" s="38" t="n">
        <f aca="false">I734+MAX(D734,J733)</f>
        <v>757.460449343618</v>
      </c>
      <c r="K734" s="38" t="n">
        <f aca="false">IF((H734=0),J734-D734,0)</f>
        <v>1.83615606862793</v>
      </c>
      <c r="L734" s="38" t="n">
        <f aca="true">IF(($H734=0),0,$D$4+$D$5*(RAND()-0.5))</f>
        <v>0</v>
      </c>
      <c r="M734" s="38" t="n">
        <f aca="false">L734+MAX(D734,M733)</f>
        <v>811.819662925617</v>
      </c>
      <c r="N734" s="38" t="n">
        <f aca="false">IF((H734=1),M734-D734,0)</f>
        <v>0</v>
      </c>
      <c r="O734" s="16" t="n">
        <v>717</v>
      </c>
      <c r="P734" s="41" t="n">
        <f aca="false">IF((Arterial=0),P733+1,P733)</f>
        <v>325</v>
      </c>
      <c r="Q734" s="41" t="n">
        <f aca="false">IF((Arterial=1),Q733+1,Q733)</f>
        <v>392</v>
      </c>
      <c r="R734" s="42" t="e">
        <f aca="false">IF((RESET=1),0,R734+K734)</f>
        <v>#N/A</v>
      </c>
      <c r="S734" s="14" t="n">
        <f aca="false">IF(RESET=1,0,S734+N734)</f>
        <v>594.449625228952</v>
      </c>
      <c r="T734" s="2" t="e">
        <f aca="false">IF(RESET=1,0,T734+IF(H734=0,1,0))</f>
        <v>#N/A</v>
      </c>
      <c r="U734" s="2" t="n">
        <f aca="false">IF(RESET=1,0,U734+H734)</f>
        <v>35</v>
      </c>
      <c r="V734" s="14" t="e">
        <f aca="false">R734/(T734+0.00001)</f>
        <v>#N/A</v>
      </c>
      <c r="W734" s="14" t="n">
        <f aca="false">S734/(U734+0.0001)</f>
        <v>16.9842264801801</v>
      </c>
      <c r="X734" s="39" t="n">
        <f aca="false">IF(Informed=1,K734,0)</f>
        <v>1.83615606862793</v>
      </c>
      <c r="Y734" s="39" t="n">
        <f aca="false">IF(Informed=0,K734,0)</f>
        <v>0</v>
      </c>
      <c r="Z734" s="39" t="n">
        <f aca="false">IF(Informed=1,N734,0)</f>
        <v>0</v>
      </c>
      <c r="AA734" s="39" t="n">
        <f aca="false">IF(Informed=0,N734,0)</f>
        <v>0</v>
      </c>
      <c r="AB734" s="43" t="n">
        <f aca="false">IF(Arterial=0,IF(Informed=1,1,0),0)</f>
        <v>1</v>
      </c>
      <c r="AC734" s="43" t="n">
        <f aca="false">IF(Arterial=0,IF(Informed=0,1,0),0)</f>
        <v>0</v>
      </c>
      <c r="AD734" s="43" t="n">
        <f aca="false">IF(Arterial=1,IF(Informed=1,1,0),0)</f>
        <v>0</v>
      </c>
      <c r="AE734" s="43" t="n">
        <f aca="false">IF(Arterial=1,IF(Informed=0,1,0),0)</f>
        <v>0</v>
      </c>
      <c r="AF734" s="35" t="n">
        <f aca="false">IF(AB734=1,(X734-G$1030)^2,0)</f>
        <v>78.7393957573901</v>
      </c>
      <c r="AG734" s="35" t="n">
        <f aca="false">IF(AC734=1,(Y734-H$1030)^2,0)</f>
        <v>0</v>
      </c>
      <c r="AH734" s="35" t="n">
        <f aca="false">IF(AD734=1,(Z734-I$1030)^2,0)</f>
        <v>0</v>
      </c>
      <c r="AI734" s="35" t="n">
        <f aca="false">IF(AE734=1,(AA734-J$1030)^2,0)</f>
        <v>0</v>
      </c>
      <c r="AJ734" s="37" t="n">
        <f aca="true">IF(RAND()&lt;$D$6,1,0)</f>
        <v>0</v>
      </c>
      <c r="AK734" s="14" t="n">
        <f aca="false">AK733+IF((AJ734=1),IF((H734=0),1,0),0)</f>
        <v>0</v>
      </c>
      <c r="AL734" s="14" t="n">
        <f aca="false">AL733+IF((AJ734=1),IF((H734=1),1,0),0)</f>
        <v>0</v>
      </c>
      <c r="AM734" s="37" t="n">
        <f aca="false">IF(AK734=0,9999,IF($H734=0,IF($AJ734&lt;1,AM733+1,0),AM733))</f>
        <v>9999</v>
      </c>
      <c r="AN734" s="37" t="n">
        <f aca="false">IF(AL734=0,9999,IF($H734=1,IF($AJ734&lt;1,AN733+1,0),AN733))</f>
        <v>9999</v>
      </c>
      <c r="AO734" s="37" t="n">
        <f aca="false">IF($A734-AM734&gt;0,1/(1+AM734),0)</f>
        <v>0</v>
      </c>
      <c r="AP734" s="37" t="n">
        <f aca="false">IF($A734-AN734&gt;0,1/(1+AN734),0)</f>
        <v>0</v>
      </c>
      <c r="AQ734" s="7" t="n">
        <f aca="false">IF(AK734=0,0,MAX(MIN(1,AO734^Power),0))</f>
        <v>0</v>
      </c>
      <c r="AR734" s="7" t="n">
        <f aca="false">IF(AL734=0,0,MAX(MIN(1,AP734^Power),0))</f>
        <v>0</v>
      </c>
      <c r="AS734" s="7" t="n">
        <f aca="false">IF($AJ734=1,IF($H734=0,K734,AS733),AS733)</f>
        <v>0</v>
      </c>
      <c r="AT734" s="7" t="n">
        <f aca="false">IF($AJ734=1,IF($H734=1,N734,AT733),AT733)</f>
        <v>0</v>
      </c>
    </row>
    <row r="735" customFormat="false" ht="13" hidden="false" customHeight="false" outlineLevel="0" collapsed="false">
      <c r="A735" s="16" t="n">
        <v>718</v>
      </c>
      <c r="B735" s="37" t="n">
        <f aca="true">IF(RAND()&lt;$D$8,1,0)</f>
        <v>1</v>
      </c>
      <c r="C735" s="20" t="n">
        <f aca="true">-LN(RAND())/$D$2</f>
        <v>0.401115446399435</v>
      </c>
      <c r="D735" s="38" t="n">
        <f aca="false">D734+C735</f>
        <v>756.025408721389</v>
      </c>
      <c r="E735" s="39" t="n">
        <f aca="false">MAX($E$3,AS734)</f>
        <v>0</v>
      </c>
      <c r="F735" s="39" t="n">
        <f aca="false">MAX($E$3,AT734)</f>
        <v>0</v>
      </c>
      <c r="G735" s="40" t="n">
        <v>0.5</v>
      </c>
      <c r="H735" s="38" t="n">
        <f aca="true">IF((B735=1),(IF((F735&lt;E735),1,(IF((F735=E735),(IF(RAND()&lt;G735,1,0)),0)))),(IF((RAND()&lt;G735),1,0)))</f>
        <v>0</v>
      </c>
      <c r="I735" s="38" t="n">
        <f aca="true">IF((H735=1),0,$D$3+$D$5*(RAND()-0.5))</f>
        <v>1.87737462124119</v>
      </c>
      <c r="J735" s="38" t="n">
        <f aca="false">I735+MAX(D735,J734)</f>
        <v>759.337823964859</v>
      </c>
      <c r="K735" s="38" t="n">
        <f aca="false">IF((H735=0),J735-D735,0)</f>
        <v>3.31241524346967</v>
      </c>
      <c r="L735" s="38" t="n">
        <f aca="true">IF(($H735=0),0,$D$4+$D$5*(RAND()-0.5))</f>
        <v>0</v>
      </c>
      <c r="M735" s="38" t="n">
        <f aca="false">L735+MAX(D735,M734)</f>
        <v>811.819662925617</v>
      </c>
      <c r="N735" s="38" t="n">
        <f aca="false">IF((H735=1),M735-D735,0)</f>
        <v>0</v>
      </c>
      <c r="O735" s="16" t="n">
        <v>718</v>
      </c>
      <c r="P735" s="41" t="n">
        <f aca="false">IF((Arterial=0),P734+1,P734)</f>
        <v>326</v>
      </c>
      <c r="Q735" s="41" t="n">
        <f aca="false">IF((Arterial=1),Q734+1,Q734)</f>
        <v>392</v>
      </c>
      <c r="R735" s="42" t="e">
        <f aca="false">IF((RESET=1),0,R735+K735)</f>
        <v>#N/A</v>
      </c>
      <c r="S735" s="14" t="n">
        <f aca="false">IF(RESET=1,0,S735+N735)</f>
        <v>673.695766829613</v>
      </c>
      <c r="T735" s="2" t="e">
        <f aca="false">IF(RESET=1,0,T735+IF(H735=0,1,0))</f>
        <v>#N/A</v>
      </c>
      <c r="U735" s="2" t="n">
        <f aca="false">IF(RESET=1,0,U735+H735)</f>
        <v>44</v>
      </c>
      <c r="V735" s="14" t="e">
        <f aca="false">R735/(T735+0.00001)</f>
        <v>#N/A</v>
      </c>
      <c r="W735" s="14" t="n">
        <f aca="false">S735/(U735+0.0001)</f>
        <v>15.3112326296898</v>
      </c>
      <c r="X735" s="39" t="n">
        <f aca="false">IF(Informed=1,K735,0)</f>
        <v>3.31241524346967</v>
      </c>
      <c r="Y735" s="39" t="n">
        <f aca="false">IF(Informed=0,K735,0)</f>
        <v>0</v>
      </c>
      <c r="Z735" s="39" t="n">
        <f aca="false">IF(Informed=1,N735,0)</f>
        <v>0</v>
      </c>
      <c r="AA735" s="39" t="n">
        <f aca="false">IF(Informed=0,N735,0)</f>
        <v>0</v>
      </c>
      <c r="AB735" s="43" t="n">
        <f aca="false">IF(Arterial=0,IF(Informed=1,1,0),0)</f>
        <v>1</v>
      </c>
      <c r="AC735" s="43" t="n">
        <f aca="false">IF(Arterial=0,IF(Informed=0,1,0),0)</f>
        <v>0</v>
      </c>
      <c r="AD735" s="43" t="n">
        <f aca="false">IF(Arterial=1,IF(Informed=1,1,0),0)</f>
        <v>0</v>
      </c>
      <c r="AE735" s="43" t="n">
        <f aca="false">IF(Arterial=1,IF(Informed=0,1,0),0)</f>
        <v>0</v>
      </c>
      <c r="AF735" s="35" t="n">
        <f aca="false">IF(AB735=1,(X735-G$1030)^2,0)</f>
        <v>54.719499866145</v>
      </c>
      <c r="AG735" s="35" t="n">
        <f aca="false">IF(AC735=1,(Y735-H$1030)^2,0)</f>
        <v>0</v>
      </c>
      <c r="AH735" s="35" t="n">
        <f aca="false">IF(AD735=1,(Z735-I$1030)^2,0)</f>
        <v>0</v>
      </c>
      <c r="AI735" s="35" t="n">
        <f aca="false">IF(AE735=1,(AA735-J$1030)^2,0)</f>
        <v>0</v>
      </c>
      <c r="AJ735" s="37" t="n">
        <f aca="true">IF(RAND()&lt;$D$6,1,0)</f>
        <v>0</v>
      </c>
      <c r="AK735" s="14" t="n">
        <f aca="false">AK734+IF((AJ735=1),IF((H735=0),1,0),0)</f>
        <v>0</v>
      </c>
      <c r="AL735" s="14" t="n">
        <f aca="false">AL734+IF((AJ735=1),IF((H735=1),1,0),0)</f>
        <v>0</v>
      </c>
      <c r="AM735" s="37" t="n">
        <f aca="false">IF(AK735=0,9999,IF($H735=0,IF($AJ735&lt;1,AM734+1,0),AM734))</f>
        <v>9999</v>
      </c>
      <c r="AN735" s="37" t="n">
        <f aca="false">IF(AL735=0,9999,IF($H735=1,IF($AJ735&lt;1,AN734+1,0),AN734))</f>
        <v>9999</v>
      </c>
      <c r="AO735" s="37" t="n">
        <f aca="false">IF($A735-AM735&gt;0,1/(1+AM735),0)</f>
        <v>0</v>
      </c>
      <c r="AP735" s="37" t="n">
        <f aca="false">IF($A735-AN735&gt;0,1/(1+AN735),0)</f>
        <v>0</v>
      </c>
      <c r="AQ735" s="7" t="n">
        <f aca="false">IF(AK735=0,0,MAX(MIN(1,AO735^Power),0))</f>
        <v>0</v>
      </c>
      <c r="AR735" s="7" t="n">
        <f aca="false">IF(AL735=0,0,MAX(MIN(1,AP735^Power),0))</f>
        <v>0</v>
      </c>
      <c r="AS735" s="7" t="n">
        <f aca="false">IF($AJ735=1,IF($H735=0,K735,AS734),AS734)</f>
        <v>0</v>
      </c>
      <c r="AT735" s="7" t="n">
        <f aca="false">IF($AJ735=1,IF($H735=1,N735,AT734),AT734)</f>
        <v>0</v>
      </c>
    </row>
    <row r="736" customFormat="false" ht="13" hidden="false" customHeight="false" outlineLevel="0" collapsed="false">
      <c r="A736" s="16" t="n">
        <v>719</v>
      </c>
      <c r="B736" s="37" t="n">
        <f aca="true">IF(RAND()&lt;$D$8,1,0)</f>
        <v>0</v>
      </c>
      <c r="C736" s="20" t="n">
        <f aca="true">-LN(RAND())/$D$2</f>
        <v>0.183932117089997</v>
      </c>
      <c r="D736" s="38" t="n">
        <f aca="false">D735+C736</f>
        <v>756.209340838479</v>
      </c>
      <c r="E736" s="39" t="n">
        <f aca="false">MAX($E$3,AS735)</f>
        <v>0</v>
      </c>
      <c r="F736" s="39" t="n">
        <f aca="false">MAX($E$3,AT735)</f>
        <v>0</v>
      </c>
      <c r="G736" s="40" t="n">
        <v>0.5</v>
      </c>
      <c r="H736" s="38" t="n">
        <f aca="true">IF((B736=1),(IF((F736&lt;E736),1,(IF((F736=E736),(IF(RAND()&lt;G736,1,0)),0)))),(IF((RAND()&lt;G736),1,0)))</f>
        <v>0</v>
      </c>
      <c r="I736" s="38" t="n">
        <f aca="true">IF((H736=1),0,$D$3+$D$5*(RAND()-0.5))</f>
        <v>2.03501393903692</v>
      </c>
      <c r="J736" s="38" t="n">
        <f aca="false">I736+MAX(D736,J735)</f>
        <v>761.372837903896</v>
      </c>
      <c r="K736" s="38" t="n">
        <f aca="false">IF((H736=0),J736-D736,0)</f>
        <v>5.16349706541666</v>
      </c>
      <c r="L736" s="38" t="n">
        <f aca="true">IF(($H736=0),0,$D$4+$D$5*(RAND()-0.5))</f>
        <v>0</v>
      </c>
      <c r="M736" s="38" t="n">
        <f aca="false">L736+MAX(D736,M735)</f>
        <v>811.819662925617</v>
      </c>
      <c r="N736" s="38" t="n">
        <f aca="false">IF((H736=1),M736-D736,0)</f>
        <v>0</v>
      </c>
      <c r="O736" s="16" t="n">
        <v>719</v>
      </c>
      <c r="P736" s="41" t="n">
        <f aca="false">IF((Arterial=0),P735+1,P735)</f>
        <v>327</v>
      </c>
      <c r="Q736" s="41" t="n">
        <f aca="false">IF((Arterial=1),Q735+1,Q735)</f>
        <v>392</v>
      </c>
      <c r="R736" s="42" t="e">
        <f aca="false">IF((RESET=1),0,R736+K736)</f>
        <v>#N/A</v>
      </c>
      <c r="S736" s="14" t="n">
        <f aca="false">IF(RESET=1,0,S736+N736)</f>
        <v>587.147576101639</v>
      </c>
      <c r="T736" s="2" t="e">
        <f aca="false">IF(RESET=1,0,T736+IF(H736=0,1,0))</f>
        <v>#N/A</v>
      </c>
      <c r="U736" s="2" t="n">
        <f aca="false">IF(RESET=1,0,U736+H736)</f>
        <v>43</v>
      </c>
      <c r="V736" s="14" t="e">
        <f aca="false">R736/(T736+0.00001)</f>
        <v>#N/A</v>
      </c>
      <c r="W736" s="14" t="n">
        <f aca="false">S736/(U736+0.0001)</f>
        <v>13.6545630382636</v>
      </c>
      <c r="X736" s="39" t="n">
        <f aca="false">IF(Informed=1,K736,0)</f>
        <v>0</v>
      </c>
      <c r="Y736" s="39" t="n">
        <f aca="false">IF(Informed=0,K736,0)</f>
        <v>5.16349706541666</v>
      </c>
      <c r="Z736" s="39" t="n">
        <f aca="false">IF(Informed=1,N736,0)</f>
        <v>0</v>
      </c>
      <c r="AA736" s="39" t="n">
        <f aca="false">IF(Informed=0,N736,0)</f>
        <v>0</v>
      </c>
      <c r="AB736" s="43" t="n">
        <f aca="false">IF(Arterial=0,IF(Informed=1,1,0),0)</f>
        <v>0</v>
      </c>
      <c r="AC736" s="43" t="n">
        <f aca="false">IF(Arterial=0,IF(Informed=0,1,0),0)</f>
        <v>1</v>
      </c>
      <c r="AD736" s="43" t="n">
        <f aca="false">IF(Arterial=1,IF(Informed=1,1,0),0)</f>
        <v>0</v>
      </c>
      <c r="AE736" s="43" t="n">
        <f aca="false">IF(Arterial=1,IF(Informed=0,1,0),0)</f>
        <v>0</v>
      </c>
      <c r="AF736" s="35" t="n">
        <f aca="false">IF(AB736=1,(X736-G$1030)^2,0)</f>
        <v>0</v>
      </c>
      <c r="AG736" s="35" t="n">
        <f aca="false">IF(AC736=1,(Y736-H$1030)^2,0)</f>
        <v>33.1809199777438</v>
      </c>
      <c r="AH736" s="35" t="n">
        <f aca="false">IF(AD736=1,(Z736-I$1030)^2,0)</f>
        <v>0</v>
      </c>
      <c r="AI736" s="35" t="n">
        <f aca="false">IF(AE736=1,(AA736-J$1030)^2,0)</f>
        <v>0</v>
      </c>
      <c r="AJ736" s="37" t="n">
        <f aca="true">IF(RAND()&lt;$D$6,1,0)</f>
        <v>0</v>
      </c>
      <c r="AK736" s="14" t="n">
        <f aca="false">AK735+IF((AJ736=1),IF((H736=0),1,0),0)</f>
        <v>0</v>
      </c>
      <c r="AL736" s="14" t="n">
        <f aca="false">AL735+IF((AJ736=1),IF((H736=1),1,0),0)</f>
        <v>0</v>
      </c>
      <c r="AM736" s="37" t="n">
        <f aca="false">IF(AK736=0,9999,IF($H736=0,IF($AJ736&lt;1,AM735+1,0),AM735))</f>
        <v>9999</v>
      </c>
      <c r="AN736" s="37" t="n">
        <f aca="false">IF(AL736=0,9999,IF($H736=1,IF($AJ736&lt;1,AN735+1,0),AN735))</f>
        <v>9999</v>
      </c>
      <c r="AO736" s="37" t="n">
        <f aca="false">IF($A736-AM736&gt;0,1/(1+AM736),0)</f>
        <v>0</v>
      </c>
      <c r="AP736" s="37" t="n">
        <f aca="false">IF($A736-AN736&gt;0,1/(1+AN736),0)</f>
        <v>0</v>
      </c>
      <c r="AQ736" s="7" t="n">
        <f aca="false">IF(AK736=0,0,MAX(MIN(1,AO736^Power),0))</f>
        <v>0</v>
      </c>
      <c r="AR736" s="7" t="n">
        <f aca="false">IF(AL736=0,0,MAX(MIN(1,AP736^Power),0))</f>
        <v>0</v>
      </c>
      <c r="AS736" s="7" t="n">
        <f aca="false">IF($AJ736=1,IF($H736=0,K736,AS735),AS735)</f>
        <v>0</v>
      </c>
      <c r="AT736" s="7" t="n">
        <f aca="false">IF($AJ736=1,IF($H736=1,N736,AT735),AT735)</f>
        <v>0</v>
      </c>
    </row>
    <row r="737" customFormat="false" ht="13" hidden="false" customHeight="false" outlineLevel="0" collapsed="false">
      <c r="A737" s="16" t="n">
        <v>720</v>
      </c>
      <c r="B737" s="37" t="n">
        <f aca="true">IF(RAND()&lt;$D$8,1,0)</f>
        <v>1</v>
      </c>
      <c r="C737" s="20" t="n">
        <f aca="true">-LN(RAND())/$D$2</f>
        <v>1.01734046153367</v>
      </c>
      <c r="D737" s="38" t="n">
        <f aca="false">D736+C737</f>
        <v>757.226681300013</v>
      </c>
      <c r="E737" s="39" t="n">
        <f aca="false">MAX($E$3,AS736)</f>
        <v>0</v>
      </c>
      <c r="F737" s="39" t="n">
        <f aca="false">MAX($E$3,AT736)</f>
        <v>0</v>
      </c>
      <c r="G737" s="40" t="n">
        <v>0.5</v>
      </c>
      <c r="H737" s="38" t="n">
        <f aca="true">IF((B737=1),(IF((F737&lt;E737),1,(IF((F737=E737),(IF(RAND()&lt;G737,1,0)),0)))),(IF((RAND()&lt;G737),1,0)))</f>
        <v>0</v>
      </c>
      <c r="I737" s="38" t="n">
        <f aca="true">IF((H737=1),0,$D$3+$D$5*(RAND()-0.5))</f>
        <v>2.22348416808524</v>
      </c>
      <c r="J737" s="38" t="n">
        <f aca="false">I737+MAX(D737,J736)</f>
        <v>763.596322071981</v>
      </c>
      <c r="K737" s="38" t="n">
        <f aca="false">IF((H737=0),J737-D737,0)</f>
        <v>6.36964077196819</v>
      </c>
      <c r="L737" s="38" t="n">
        <f aca="true">IF(($H737=0),0,$D$4+$D$5*(RAND()-0.5))</f>
        <v>0</v>
      </c>
      <c r="M737" s="38" t="n">
        <f aca="false">L737+MAX(D737,M736)</f>
        <v>811.819662925617</v>
      </c>
      <c r="N737" s="38" t="n">
        <f aca="false">IF((H737=1),M737-D737,0)</f>
        <v>0</v>
      </c>
      <c r="O737" s="16" t="n">
        <v>720</v>
      </c>
      <c r="P737" s="41" t="n">
        <f aca="false">IF((Arterial=0),P736+1,P736)</f>
        <v>328</v>
      </c>
      <c r="Q737" s="41" t="n">
        <f aca="false">IF((Arterial=1),Q736+1,Q736)</f>
        <v>392</v>
      </c>
      <c r="R737" s="42" t="e">
        <f aca="false">IF((RESET=1),0,R737+K737)</f>
        <v>#N/A</v>
      </c>
      <c r="S737" s="14" t="n">
        <f aca="false">IF(RESET=1,0,S737+N737)</f>
        <v>734.662727163216</v>
      </c>
      <c r="T737" s="2" t="e">
        <f aca="false">IF(RESET=1,0,T737+IF(H737=0,1,0))</f>
        <v>#N/A</v>
      </c>
      <c r="U737" s="2" t="n">
        <f aca="false">IF(RESET=1,0,U737+H737)</f>
        <v>44</v>
      </c>
      <c r="V737" s="14" t="e">
        <f aca="false">R737/(T737+0.00001)</f>
        <v>#N/A</v>
      </c>
      <c r="W737" s="14" t="n">
        <f aca="false">S737/(U737+0.0001)</f>
        <v>16.6968422154317</v>
      </c>
      <c r="X737" s="39" t="n">
        <f aca="false">IF(Informed=1,K737,0)</f>
        <v>6.36964077196819</v>
      </c>
      <c r="Y737" s="39" t="n">
        <f aca="false">IF(Informed=0,K737,0)</f>
        <v>0</v>
      </c>
      <c r="Z737" s="39" t="n">
        <f aca="false">IF(Informed=1,N737,0)</f>
        <v>0</v>
      </c>
      <c r="AA737" s="39" t="n">
        <f aca="false">IF(Informed=0,N737,0)</f>
        <v>0</v>
      </c>
      <c r="AB737" s="43" t="n">
        <f aca="false">IF(Arterial=0,IF(Informed=1,1,0),0)</f>
        <v>1</v>
      </c>
      <c r="AC737" s="43" t="n">
        <f aca="false">IF(Arterial=0,IF(Informed=0,1,0),0)</f>
        <v>0</v>
      </c>
      <c r="AD737" s="43" t="n">
        <f aca="false">IF(Arterial=1,IF(Informed=1,1,0),0)</f>
        <v>0</v>
      </c>
      <c r="AE737" s="43" t="n">
        <f aca="false">IF(Arterial=1,IF(Informed=0,1,0),0)</f>
        <v>0</v>
      </c>
      <c r="AF737" s="35" t="n">
        <f aca="false">IF(AB737=1,(X737-G$1030)^2,0)</f>
        <v>18.8359252393551</v>
      </c>
      <c r="AG737" s="35" t="n">
        <f aca="false">IF(AC737=1,(Y737-H$1030)^2,0)</f>
        <v>0</v>
      </c>
      <c r="AH737" s="35" t="n">
        <f aca="false">IF(AD737=1,(Z737-I$1030)^2,0)</f>
        <v>0</v>
      </c>
      <c r="AI737" s="35" t="n">
        <f aca="false">IF(AE737=1,(AA737-J$1030)^2,0)</f>
        <v>0</v>
      </c>
      <c r="AJ737" s="37" t="n">
        <f aca="true">IF(RAND()&lt;$D$6,1,0)</f>
        <v>0</v>
      </c>
      <c r="AK737" s="14" t="n">
        <f aca="false">AK736+IF((AJ737=1),IF((H737=0),1,0),0)</f>
        <v>0</v>
      </c>
      <c r="AL737" s="14" t="n">
        <f aca="false">AL736+IF((AJ737=1),IF((H737=1),1,0),0)</f>
        <v>0</v>
      </c>
      <c r="AM737" s="37" t="n">
        <f aca="false">IF(AK737=0,9999,IF($H737=0,IF($AJ737&lt;1,AM736+1,0),AM736))</f>
        <v>9999</v>
      </c>
      <c r="AN737" s="37" t="n">
        <f aca="false">IF(AL737=0,9999,IF($H737=1,IF($AJ737&lt;1,AN736+1,0),AN736))</f>
        <v>9999</v>
      </c>
      <c r="AO737" s="37" t="n">
        <f aca="false">IF($A737-AM737&gt;0,1/(1+AM737),0)</f>
        <v>0</v>
      </c>
      <c r="AP737" s="37" t="n">
        <f aca="false">IF($A737-AN737&gt;0,1/(1+AN737),0)</f>
        <v>0</v>
      </c>
      <c r="AQ737" s="7" t="n">
        <f aca="false">IF(AK737=0,0,MAX(MIN(1,AO737^Power),0))</f>
        <v>0</v>
      </c>
      <c r="AR737" s="7" t="n">
        <f aca="false">IF(AL737=0,0,MAX(MIN(1,AP737^Power),0))</f>
        <v>0</v>
      </c>
      <c r="AS737" s="7" t="n">
        <f aca="false">IF($AJ737=1,IF($H737=0,K737,AS736),AS736)</f>
        <v>0</v>
      </c>
      <c r="AT737" s="7" t="n">
        <f aca="false">IF($AJ737=1,IF($H737=1,N737,AT736),AT736)</f>
        <v>0</v>
      </c>
    </row>
    <row r="738" customFormat="false" ht="13" hidden="false" customHeight="false" outlineLevel="0" collapsed="false">
      <c r="A738" s="16" t="n">
        <v>721</v>
      </c>
      <c r="B738" s="37" t="n">
        <f aca="true">IF(RAND()&lt;$D$8,1,0)</f>
        <v>1</v>
      </c>
      <c r="C738" s="20" t="n">
        <f aca="true">-LN(RAND())/$D$2</f>
        <v>0.000779986440615396</v>
      </c>
      <c r="D738" s="38" t="n">
        <f aca="false">D737+C738</f>
        <v>757.227461286454</v>
      </c>
      <c r="E738" s="39" t="n">
        <f aca="false">MAX($E$3,AS737)</f>
        <v>0</v>
      </c>
      <c r="F738" s="39" t="n">
        <f aca="false">MAX($E$3,AT737)</f>
        <v>0</v>
      </c>
      <c r="G738" s="40" t="n">
        <v>0.5</v>
      </c>
      <c r="H738" s="38" t="n">
        <f aca="true">IF((B738=1),(IF((F738&lt;E738),1,(IF((F738=E738),(IF(RAND()&lt;G738,1,0)),0)))),(IF((RAND()&lt;G738),1,0)))</f>
        <v>0</v>
      </c>
      <c r="I738" s="38" t="n">
        <f aca="true">IF((H738=1),0,$D$3+$D$5*(RAND()-0.5))</f>
        <v>2.17741290851285</v>
      </c>
      <c r="J738" s="38" t="n">
        <f aca="false">I738+MAX(D738,J737)</f>
        <v>765.773734980494</v>
      </c>
      <c r="K738" s="38" t="n">
        <f aca="false">IF((H738=0),J738-D738,0)</f>
        <v>8.54627369404034</v>
      </c>
      <c r="L738" s="38" t="n">
        <f aca="true">IF(($H738=0),0,$D$4+$D$5*(RAND()-0.5))</f>
        <v>0</v>
      </c>
      <c r="M738" s="38" t="n">
        <f aca="false">L738+MAX(D738,M737)</f>
        <v>811.819662925617</v>
      </c>
      <c r="N738" s="38" t="n">
        <f aca="false">IF((H738=1),M738-D738,0)</f>
        <v>0</v>
      </c>
      <c r="O738" s="16" t="n">
        <v>721</v>
      </c>
      <c r="P738" s="41" t="n">
        <f aca="false">IF((Arterial=0),P737+1,P737)</f>
        <v>329</v>
      </c>
      <c r="Q738" s="41" t="n">
        <f aca="false">IF((Arterial=1),Q737+1,Q737)</f>
        <v>392</v>
      </c>
      <c r="R738" s="42" t="e">
        <f aca="false">IF((RESET=1),0,R738+K738)</f>
        <v>#N/A</v>
      </c>
      <c r="S738" s="14" t="n">
        <f aca="false">IF(RESET=1,0,S738+N738)</f>
        <v>455.566020028298</v>
      </c>
      <c r="T738" s="2" t="e">
        <f aca="false">IF(RESET=1,0,T738+IF(H738=0,1,0))</f>
        <v>#N/A</v>
      </c>
      <c r="U738" s="2" t="n">
        <f aca="false">IF(RESET=1,0,U738+H738)</f>
        <v>39</v>
      </c>
      <c r="V738" s="14" t="e">
        <f aca="false">R738/(T738+0.00001)</f>
        <v>#N/A</v>
      </c>
      <c r="W738" s="14" t="n">
        <f aca="false">S738/(U738+0.0001)</f>
        <v>11.6811500490588</v>
      </c>
      <c r="X738" s="39" t="n">
        <f aca="false">IF(Informed=1,K738,0)</f>
        <v>8.54627369404034</v>
      </c>
      <c r="Y738" s="39" t="n">
        <f aca="false">IF(Informed=0,K738,0)</f>
        <v>0</v>
      </c>
      <c r="Z738" s="39" t="n">
        <f aca="false">IF(Informed=1,N738,0)</f>
        <v>0</v>
      </c>
      <c r="AA738" s="39" t="n">
        <f aca="false">IF(Informed=0,N738,0)</f>
        <v>0</v>
      </c>
      <c r="AB738" s="43" t="n">
        <f aca="false">IF(Arterial=0,IF(Informed=1,1,0),0)</f>
        <v>1</v>
      </c>
      <c r="AC738" s="43" t="n">
        <f aca="false">IF(Arterial=0,IF(Informed=0,1,0),0)</f>
        <v>0</v>
      </c>
      <c r="AD738" s="43" t="n">
        <f aca="false">IF(Arterial=1,IF(Informed=1,1,0),0)</f>
        <v>0</v>
      </c>
      <c r="AE738" s="43" t="n">
        <f aca="false">IF(Arterial=1,IF(Informed=0,1,0),0)</f>
        <v>0</v>
      </c>
      <c r="AF738" s="35" t="n">
        <f aca="false">IF(AB738=1,(X738-G$1030)^2,0)</f>
        <v>4.68031923717301</v>
      </c>
      <c r="AG738" s="35" t="n">
        <f aca="false">IF(AC738=1,(Y738-H$1030)^2,0)</f>
        <v>0</v>
      </c>
      <c r="AH738" s="35" t="n">
        <f aca="false">IF(AD738=1,(Z738-I$1030)^2,0)</f>
        <v>0</v>
      </c>
      <c r="AI738" s="35" t="n">
        <f aca="false">IF(AE738=1,(AA738-J$1030)^2,0)</f>
        <v>0</v>
      </c>
      <c r="AJ738" s="37" t="n">
        <f aca="true">IF(RAND()&lt;$D$6,1,0)</f>
        <v>0</v>
      </c>
      <c r="AK738" s="14" t="n">
        <f aca="false">AK737+IF((AJ738=1),IF((H738=0),1,0),0)</f>
        <v>0</v>
      </c>
      <c r="AL738" s="14" t="n">
        <f aca="false">AL737+IF((AJ738=1),IF((H738=1),1,0),0)</f>
        <v>0</v>
      </c>
      <c r="AM738" s="37" t="n">
        <f aca="false">IF(AK738=0,9999,IF($H738=0,IF($AJ738&lt;1,AM737+1,0),AM737))</f>
        <v>9999</v>
      </c>
      <c r="AN738" s="37" t="n">
        <f aca="false">IF(AL738=0,9999,IF($H738=1,IF($AJ738&lt;1,AN737+1,0),AN737))</f>
        <v>9999</v>
      </c>
      <c r="AO738" s="37" t="n">
        <f aca="false">IF($A738-AM738&gt;0,1/(1+AM738),0)</f>
        <v>0</v>
      </c>
      <c r="AP738" s="37" t="n">
        <f aca="false">IF($A738-AN738&gt;0,1/(1+AN738),0)</f>
        <v>0</v>
      </c>
      <c r="AQ738" s="7" t="n">
        <f aca="false">IF(AK738=0,0,MAX(MIN(1,AO738^Power),0))</f>
        <v>0</v>
      </c>
      <c r="AR738" s="7" t="n">
        <f aca="false">IF(AL738=0,0,MAX(MIN(1,AP738^Power),0))</f>
        <v>0</v>
      </c>
      <c r="AS738" s="7" t="n">
        <f aca="false">IF($AJ738=1,IF($H738=0,K738,AS737),AS737)</f>
        <v>0</v>
      </c>
      <c r="AT738" s="7" t="n">
        <f aca="false">IF($AJ738=1,IF($H738=1,N738,AT737),AT737)</f>
        <v>0</v>
      </c>
    </row>
    <row r="739" customFormat="false" ht="13" hidden="false" customHeight="false" outlineLevel="0" collapsed="false">
      <c r="A739" s="16" t="n">
        <v>722</v>
      </c>
      <c r="B739" s="37" t="n">
        <f aca="true">IF(RAND()&lt;$D$8,1,0)</f>
        <v>1</v>
      </c>
      <c r="C739" s="20" t="n">
        <f aca="true">-LN(RAND())/$D$2</f>
        <v>2.38371583699589</v>
      </c>
      <c r="D739" s="38" t="n">
        <f aca="false">D738+C739</f>
        <v>759.61117712345</v>
      </c>
      <c r="E739" s="39" t="n">
        <f aca="false">MAX($E$3,AS738)</f>
        <v>0</v>
      </c>
      <c r="F739" s="39" t="n">
        <f aca="false">MAX($E$3,AT738)</f>
        <v>0</v>
      </c>
      <c r="G739" s="40" t="n">
        <v>0.5</v>
      </c>
      <c r="H739" s="38" t="n">
        <f aca="true">IF((B739=1),(IF((F739&lt;E739),1,(IF((F739=E739),(IF(RAND()&lt;G739,1,0)),0)))),(IF((RAND()&lt;G739),1,0)))</f>
        <v>0</v>
      </c>
      <c r="I739" s="38" t="n">
        <f aca="true">IF((H739=1),0,$D$3+$D$5*(RAND()-0.5))</f>
        <v>2.17898731686545</v>
      </c>
      <c r="J739" s="38" t="n">
        <f aca="false">I739+MAX(D739,J738)</f>
        <v>767.952722297359</v>
      </c>
      <c r="K739" s="38" t="n">
        <f aca="false">IF((H739=0),J739-D739,0)</f>
        <v>8.34154517390994</v>
      </c>
      <c r="L739" s="38" t="n">
        <f aca="true">IF(($H739=0),0,$D$4+$D$5*(RAND()-0.5))</f>
        <v>0</v>
      </c>
      <c r="M739" s="38" t="n">
        <f aca="false">L739+MAX(D739,M738)</f>
        <v>811.819662925617</v>
      </c>
      <c r="N739" s="38" t="n">
        <f aca="false">IF((H739=1),M739-D739,0)</f>
        <v>0</v>
      </c>
      <c r="O739" s="16" t="n">
        <v>722</v>
      </c>
      <c r="P739" s="41" t="n">
        <f aca="false">IF((Arterial=0),P738+1,P738)</f>
        <v>330</v>
      </c>
      <c r="Q739" s="41" t="n">
        <f aca="false">IF((Arterial=1),Q738+1,Q738)</f>
        <v>392</v>
      </c>
      <c r="R739" s="42" t="e">
        <f aca="false">IF((RESET=1),0,R739+K739)</f>
        <v>#N/A</v>
      </c>
      <c r="S739" s="14" t="n">
        <f aca="false">IF(RESET=1,0,S739+N739)</f>
        <v>729.510786519341</v>
      </c>
      <c r="T739" s="2" t="e">
        <f aca="false">IF(RESET=1,0,T739+IF(H739=0,1,0))</f>
        <v>#N/A</v>
      </c>
      <c r="U739" s="2" t="n">
        <f aca="false">IF(RESET=1,0,U739+H739)</f>
        <v>45</v>
      </c>
      <c r="V739" s="14" t="e">
        <f aca="false">R739/(T739+0.00001)</f>
        <v>#N/A</v>
      </c>
      <c r="W739" s="14" t="n">
        <f aca="false">S739/(U739+0.0001)</f>
        <v>16.2113147863969</v>
      </c>
      <c r="X739" s="39" t="n">
        <f aca="false">IF(Informed=1,K739,0)</f>
        <v>8.34154517390994</v>
      </c>
      <c r="Y739" s="39" t="n">
        <f aca="false">IF(Informed=0,K739,0)</f>
        <v>0</v>
      </c>
      <c r="Z739" s="39" t="n">
        <f aca="false">IF(Informed=1,N739,0)</f>
        <v>0</v>
      </c>
      <c r="AA739" s="39" t="n">
        <f aca="false">IF(Informed=0,N739,0)</f>
        <v>0</v>
      </c>
      <c r="AB739" s="43" t="n">
        <f aca="false">IF(Arterial=0,IF(Informed=1,1,0),0)</f>
        <v>1</v>
      </c>
      <c r="AC739" s="43" t="n">
        <f aca="false">IF(Arterial=0,IF(Informed=0,1,0),0)</f>
        <v>0</v>
      </c>
      <c r="AD739" s="43" t="n">
        <f aca="false">IF(Arterial=1,IF(Informed=1,1,0),0)</f>
        <v>0</v>
      </c>
      <c r="AE739" s="43" t="n">
        <f aca="false">IF(Arterial=1,IF(Informed=0,1,0),0)</f>
        <v>0</v>
      </c>
      <c r="AF739" s="35" t="n">
        <f aca="false">IF(AB739=1,(X739-G$1030)^2,0)</f>
        <v>5.60805422713132</v>
      </c>
      <c r="AG739" s="35" t="n">
        <f aca="false">IF(AC739=1,(Y739-H$1030)^2,0)</f>
        <v>0</v>
      </c>
      <c r="AH739" s="35" t="n">
        <f aca="false">IF(AD739=1,(Z739-I$1030)^2,0)</f>
        <v>0</v>
      </c>
      <c r="AI739" s="35" t="n">
        <f aca="false">IF(AE739=1,(AA739-J$1030)^2,0)</f>
        <v>0</v>
      </c>
      <c r="AJ739" s="37" t="n">
        <f aca="true">IF(RAND()&lt;$D$6,1,0)</f>
        <v>0</v>
      </c>
      <c r="AK739" s="14" t="n">
        <f aca="false">AK738+IF((AJ739=1),IF((H739=0),1,0),0)</f>
        <v>0</v>
      </c>
      <c r="AL739" s="14" t="n">
        <f aca="false">AL738+IF((AJ739=1),IF((H739=1),1,0),0)</f>
        <v>0</v>
      </c>
      <c r="AM739" s="37" t="n">
        <f aca="false">IF(AK739=0,9999,IF($H739=0,IF($AJ739&lt;1,AM738+1,0),AM738))</f>
        <v>9999</v>
      </c>
      <c r="AN739" s="37" t="n">
        <f aca="false">IF(AL739=0,9999,IF($H739=1,IF($AJ739&lt;1,AN738+1,0),AN738))</f>
        <v>9999</v>
      </c>
      <c r="AO739" s="37" t="n">
        <f aca="false">IF($A739-AM739&gt;0,1/(1+AM739),0)</f>
        <v>0</v>
      </c>
      <c r="AP739" s="37" t="n">
        <f aca="false">IF($A739-AN739&gt;0,1/(1+AN739),0)</f>
        <v>0</v>
      </c>
      <c r="AQ739" s="7" t="n">
        <f aca="false">IF(AK739=0,0,MAX(MIN(1,AO739^Power),0))</f>
        <v>0</v>
      </c>
      <c r="AR739" s="7" t="n">
        <f aca="false">IF(AL739=0,0,MAX(MIN(1,AP739^Power),0))</f>
        <v>0</v>
      </c>
      <c r="AS739" s="7" t="n">
        <f aca="false">IF($AJ739=1,IF($H739=0,K739,AS738),AS738)</f>
        <v>0</v>
      </c>
      <c r="AT739" s="7" t="n">
        <f aca="false">IF($AJ739=1,IF($H739=1,N739,AT738),AT738)</f>
        <v>0</v>
      </c>
    </row>
    <row r="740" customFormat="false" ht="13" hidden="false" customHeight="false" outlineLevel="0" collapsed="false">
      <c r="A740" s="16" t="n">
        <v>723</v>
      </c>
      <c r="B740" s="37" t="n">
        <f aca="true">IF(RAND()&lt;$D$8,1,0)</f>
        <v>0</v>
      </c>
      <c r="C740" s="20" t="n">
        <f aca="true">-LN(RAND())/$D$2</f>
        <v>0.131163166559283</v>
      </c>
      <c r="D740" s="38" t="n">
        <f aca="false">D739+C740</f>
        <v>759.742340290009</v>
      </c>
      <c r="E740" s="39" t="n">
        <f aca="false">MAX($E$3,AS739)</f>
        <v>0</v>
      </c>
      <c r="F740" s="39" t="n">
        <f aca="false">MAX($E$3,AT739)</f>
        <v>0</v>
      </c>
      <c r="G740" s="40" t="n">
        <v>0.5</v>
      </c>
      <c r="H740" s="38" t="n">
        <f aca="true">IF((B740=1),(IF((F740&lt;E740),1,(IF((F740=E740),(IF(RAND()&lt;G740,1,0)),0)))),(IF((RAND()&lt;G740),1,0)))</f>
        <v>0</v>
      </c>
      <c r="I740" s="38" t="n">
        <f aca="true">IF((H740=1),0,$D$3+$D$5*(RAND()-0.5))</f>
        <v>1.97408361174516</v>
      </c>
      <c r="J740" s="38" t="n">
        <f aca="false">I740+MAX(D740,J739)</f>
        <v>769.926805909105</v>
      </c>
      <c r="K740" s="38" t="n">
        <f aca="false">IF((H740=0),J740-D740,0)</f>
        <v>10.1844656190958</v>
      </c>
      <c r="L740" s="38" t="n">
        <f aca="true">IF(($H740=0),0,$D$4+$D$5*(RAND()-0.5))</f>
        <v>0</v>
      </c>
      <c r="M740" s="38" t="n">
        <f aca="false">L740+MAX(D740,M739)</f>
        <v>811.819662925617</v>
      </c>
      <c r="N740" s="38" t="n">
        <f aca="false">IF((H740=1),M740-D740,0)</f>
        <v>0</v>
      </c>
      <c r="O740" s="16" t="n">
        <v>723</v>
      </c>
      <c r="P740" s="41" t="n">
        <f aca="false">IF((Arterial=0),P739+1,P739)</f>
        <v>331</v>
      </c>
      <c r="Q740" s="41" t="n">
        <f aca="false">IF((Arterial=1),Q739+1,Q739)</f>
        <v>392</v>
      </c>
      <c r="R740" s="42" t="e">
        <f aca="false">IF((RESET=1),0,R740+K740)</f>
        <v>#N/A</v>
      </c>
      <c r="S740" s="14" t="n">
        <f aca="false">IF(RESET=1,0,S740+N740)</f>
        <v>537.367023005435</v>
      </c>
      <c r="T740" s="2" t="e">
        <f aca="false">IF(RESET=1,0,T740+IF(H740=0,1,0))</f>
        <v>#N/A</v>
      </c>
      <c r="U740" s="2" t="n">
        <f aca="false">IF(RESET=1,0,U740+H740)</f>
        <v>33</v>
      </c>
      <c r="V740" s="14" t="e">
        <f aca="false">R740/(T740+0.00001)</f>
        <v>#N/A</v>
      </c>
      <c r="W740" s="14" t="n">
        <f aca="false">S740/(U740+0.0001)</f>
        <v>16.2837998371349</v>
      </c>
      <c r="X740" s="39" t="n">
        <f aca="false">IF(Informed=1,K740,0)</f>
        <v>0</v>
      </c>
      <c r="Y740" s="39" t="n">
        <f aca="false">IF(Informed=0,K740,0)</f>
        <v>10.1844656190958</v>
      </c>
      <c r="Z740" s="39" t="n">
        <f aca="false">IF(Informed=1,N740,0)</f>
        <v>0</v>
      </c>
      <c r="AA740" s="39" t="n">
        <f aca="false">IF(Informed=0,N740,0)</f>
        <v>0</v>
      </c>
      <c r="AB740" s="43" t="n">
        <f aca="false">IF(Arterial=0,IF(Informed=1,1,0),0)</f>
        <v>0</v>
      </c>
      <c r="AC740" s="43" t="n">
        <f aca="false">IF(Arterial=0,IF(Informed=0,1,0),0)</f>
        <v>1</v>
      </c>
      <c r="AD740" s="43" t="n">
        <f aca="false">IF(Arterial=1,IF(Informed=1,1,0),0)</f>
        <v>0</v>
      </c>
      <c r="AE740" s="43" t="n">
        <f aca="false">IF(Arterial=1,IF(Informed=0,1,0),0)</f>
        <v>0</v>
      </c>
      <c r="AF740" s="35" t="n">
        <f aca="false">IF(AB740=1,(X740-G$1030)^2,0)</f>
        <v>0</v>
      </c>
      <c r="AG740" s="35" t="n">
        <f aca="false">IF(AC740=1,(Y740-H$1030)^2,0)</f>
        <v>0.546593517704741</v>
      </c>
      <c r="AH740" s="35" t="n">
        <f aca="false">IF(AD740=1,(Z740-I$1030)^2,0)</f>
        <v>0</v>
      </c>
      <c r="AI740" s="35" t="n">
        <f aca="false">IF(AE740=1,(AA740-J$1030)^2,0)</f>
        <v>0</v>
      </c>
      <c r="AJ740" s="37" t="n">
        <f aca="true">IF(RAND()&lt;$D$6,1,0)</f>
        <v>0</v>
      </c>
      <c r="AK740" s="14" t="n">
        <f aca="false">AK739+IF((AJ740=1),IF((H740=0),1,0),0)</f>
        <v>0</v>
      </c>
      <c r="AL740" s="14" t="n">
        <f aca="false">AL739+IF((AJ740=1),IF((H740=1),1,0),0)</f>
        <v>0</v>
      </c>
      <c r="AM740" s="37" t="n">
        <f aca="false">IF(AK740=0,9999,IF($H740=0,IF($AJ740&lt;1,AM739+1,0),AM739))</f>
        <v>9999</v>
      </c>
      <c r="AN740" s="37" t="n">
        <f aca="false">IF(AL740=0,9999,IF($H740=1,IF($AJ740&lt;1,AN739+1,0),AN739))</f>
        <v>9999</v>
      </c>
      <c r="AO740" s="37" t="n">
        <f aca="false">IF($A740-AM740&gt;0,1/(1+AM740),0)</f>
        <v>0</v>
      </c>
      <c r="AP740" s="37" t="n">
        <f aca="false">IF($A740-AN740&gt;0,1/(1+AN740),0)</f>
        <v>0</v>
      </c>
      <c r="AQ740" s="7" t="n">
        <f aca="false">IF(AK740=0,0,MAX(MIN(1,AO740^Power),0))</f>
        <v>0</v>
      </c>
      <c r="AR740" s="7" t="n">
        <f aca="false">IF(AL740=0,0,MAX(MIN(1,AP740^Power),0))</f>
        <v>0</v>
      </c>
      <c r="AS740" s="7" t="n">
        <f aca="false">IF($AJ740=1,IF($H740=0,K740,AS739),AS739)</f>
        <v>0</v>
      </c>
      <c r="AT740" s="7" t="n">
        <f aca="false">IF($AJ740=1,IF($H740=1,N740,AT739),AT739)</f>
        <v>0</v>
      </c>
    </row>
    <row r="741" customFormat="false" ht="13" hidden="false" customHeight="false" outlineLevel="0" collapsed="false">
      <c r="A741" s="16" t="n">
        <v>724</v>
      </c>
      <c r="B741" s="37" t="n">
        <f aca="true">IF(RAND()&lt;$D$8,1,0)</f>
        <v>1</v>
      </c>
      <c r="C741" s="20" t="n">
        <f aca="true">-LN(RAND())/$D$2</f>
        <v>2.89346849168015</v>
      </c>
      <c r="D741" s="38" t="n">
        <f aca="false">D740+C741</f>
        <v>762.635808781689</v>
      </c>
      <c r="E741" s="39" t="n">
        <f aca="false">MAX($E$3,AS740)</f>
        <v>0</v>
      </c>
      <c r="F741" s="39" t="n">
        <f aca="false">MAX($E$3,AT740)</f>
        <v>0</v>
      </c>
      <c r="G741" s="40" t="n">
        <v>0.5</v>
      </c>
      <c r="H741" s="38" t="n">
        <f aca="true">IF((B741=1),(IF((F741&lt;E741),1,(IF((F741=E741),(IF(RAND()&lt;G741,1,0)),0)))),(IF((RAND()&lt;G741),1,0)))</f>
        <v>1</v>
      </c>
      <c r="I741" s="38" t="n">
        <f aca="true">IF((H741=1),0,$D$3+$D$5*(RAND()-0.5))</f>
        <v>0</v>
      </c>
      <c r="J741" s="38" t="n">
        <f aca="false">I741+MAX(D741,J740)</f>
        <v>769.926805909105</v>
      </c>
      <c r="K741" s="38" t="n">
        <f aca="false">IF((H741=0),J741-D741,0)</f>
        <v>0</v>
      </c>
      <c r="L741" s="38" t="n">
        <f aca="true">IF(($H741=0),0,$D$4+$D$5*(RAND()-0.5))</f>
        <v>1.87018498281079</v>
      </c>
      <c r="M741" s="38" t="n">
        <f aca="false">L741+MAX(D741,M740)</f>
        <v>813.689847908428</v>
      </c>
      <c r="N741" s="38" t="n">
        <f aca="false">IF((H741=1),M741-D741,0)</f>
        <v>51.054039126739</v>
      </c>
      <c r="O741" s="16" t="n">
        <v>724</v>
      </c>
      <c r="P741" s="41" t="n">
        <f aca="false">IF((Arterial=0),P740+1,P740)</f>
        <v>331</v>
      </c>
      <c r="Q741" s="41" t="n">
        <f aca="false">IF((Arterial=1),Q740+1,Q740)</f>
        <v>393</v>
      </c>
      <c r="R741" s="42" t="n">
        <f aca="false">IF((RESET=1),0,R741+K741)</f>
        <v>908.759127605034</v>
      </c>
      <c r="S741" s="14" t="e">
        <f aca="false">IF(RESET=1,0,S741+N741)</f>
        <v>#N/A</v>
      </c>
      <c r="T741" s="2" t="n">
        <f aca="false">IF(RESET=1,0,T741+IF(H741=0,1,0))</f>
        <v>40</v>
      </c>
      <c r="U741" s="2" t="e">
        <f aca="false">IF(RESET=1,0,U741+H741)</f>
        <v>#N/A</v>
      </c>
      <c r="V741" s="14" t="n">
        <f aca="false">R741/(T741+0.00001)</f>
        <v>22.7189725103827</v>
      </c>
      <c r="W741" s="14" t="e">
        <f aca="false">S741/(U741+0.0001)</f>
        <v>#N/A</v>
      </c>
      <c r="X741" s="39" t="n">
        <f aca="false">IF(Informed=1,K741,0)</f>
        <v>0</v>
      </c>
      <c r="Y741" s="39" t="n">
        <f aca="false">IF(Informed=0,K741,0)</f>
        <v>0</v>
      </c>
      <c r="Z741" s="39" t="n">
        <f aca="false">IF(Informed=1,N741,0)</f>
        <v>51.054039126739</v>
      </c>
      <c r="AA741" s="39" t="n">
        <f aca="false">IF(Informed=0,N741,0)</f>
        <v>0</v>
      </c>
      <c r="AB741" s="43" t="n">
        <f aca="false">IF(Arterial=0,IF(Informed=1,1,0),0)</f>
        <v>0</v>
      </c>
      <c r="AC741" s="43" t="n">
        <f aca="false">IF(Arterial=0,IF(Informed=0,1,0),0)</f>
        <v>0</v>
      </c>
      <c r="AD741" s="43" t="n">
        <f aca="false">IF(Arterial=1,IF(Informed=1,1,0),0)</f>
        <v>1</v>
      </c>
      <c r="AE741" s="43" t="n">
        <f aca="false">IF(Arterial=1,IF(Informed=0,1,0),0)</f>
        <v>0</v>
      </c>
      <c r="AF741" s="35" t="n">
        <f aca="false">IF(AB741=1,(X741-G$1030)^2,0)</f>
        <v>0</v>
      </c>
      <c r="AG741" s="35" t="n">
        <f aca="false">IF(AC741=1,(Y741-H$1030)^2,0)</f>
        <v>0</v>
      </c>
      <c r="AH741" s="35" t="n">
        <f aca="false">IF(AD741=1,(Z741-I$1030)^2,0)</f>
        <v>514.346309200779</v>
      </c>
      <c r="AI741" s="35" t="n">
        <f aca="false">IF(AE741=1,(AA741-J$1030)^2,0)</f>
        <v>0</v>
      </c>
      <c r="AJ741" s="37" t="n">
        <f aca="true">IF(RAND()&lt;$D$6,1,0)</f>
        <v>0</v>
      </c>
      <c r="AK741" s="14" t="n">
        <f aca="false">AK740+IF((AJ741=1),IF((H741=0),1,0),0)</f>
        <v>0</v>
      </c>
      <c r="AL741" s="14" t="n">
        <f aca="false">AL740+IF((AJ741=1),IF((H741=1),1,0),0)</f>
        <v>0</v>
      </c>
      <c r="AM741" s="37" t="n">
        <f aca="false">IF(AK741=0,9999,IF($H741=0,IF($AJ741&lt;1,AM740+1,0),AM740))</f>
        <v>9999</v>
      </c>
      <c r="AN741" s="37" t="n">
        <f aca="false">IF(AL741=0,9999,IF($H741=1,IF($AJ741&lt;1,AN740+1,0),AN740))</f>
        <v>9999</v>
      </c>
      <c r="AO741" s="37" t="n">
        <f aca="false">IF($A741-AM741&gt;0,1/(1+AM741),0)</f>
        <v>0</v>
      </c>
      <c r="AP741" s="37" t="n">
        <f aca="false">IF($A741-AN741&gt;0,1/(1+AN741),0)</f>
        <v>0</v>
      </c>
      <c r="AQ741" s="7" t="n">
        <f aca="false">IF(AK741=0,0,MAX(MIN(1,AO741^Power),0))</f>
        <v>0</v>
      </c>
      <c r="AR741" s="7" t="n">
        <f aca="false">IF(AL741=0,0,MAX(MIN(1,AP741^Power),0))</f>
        <v>0</v>
      </c>
      <c r="AS741" s="7" t="n">
        <f aca="false">IF($AJ741=1,IF($H741=0,K741,AS740),AS740)</f>
        <v>0</v>
      </c>
      <c r="AT741" s="7" t="n">
        <f aca="false">IF($AJ741=1,IF($H741=1,N741,AT740),AT740)</f>
        <v>0</v>
      </c>
    </row>
    <row r="742" customFormat="false" ht="13" hidden="false" customHeight="false" outlineLevel="0" collapsed="false">
      <c r="A742" s="16" t="n">
        <v>725</v>
      </c>
      <c r="B742" s="37" t="n">
        <f aca="true">IF(RAND()&lt;$D$8,1,0)</f>
        <v>1</v>
      </c>
      <c r="C742" s="20" t="n">
        <f aca="true">-LN(RAND())/$D$2</f>
        <v>3.59224259831601</v>
      </c>
      <c r="D742" s="38" t="n">
        <f aca="false">D741+C742</f>
        <v>766.228051380005</v>
      </c>
      <c r="E742" s="39" t="n">
        <f aca="false">MAX($E$3,AS741)</f>
        <v>0</v>
      </c>
      <c r="F742" s="39" t="n">
        <f aca="false">MAX($E$3,AT741)</f>
        <v>0</v>
      </c>
      <c r="G742" s="40" t="n">
        <v>0.5</v>
      </c>
      <c r="H742" s="38" t="n">
        <f aca="true">IF((B742=1),(IF((F742&lt;E742),1,(IF((F742=E742),(IF(RAND()&lt;G742,1,0)),0)))),(IF((RAND()&lt;G742),1,0)))</f>
        <v>0</v>
      </c>
      <c r="I742" s="38" t="n">
        <f aca="true">IF((H742=1),0,$D$3+$D$5*(RAND()-0.5))</f>
        <v>1.86496300354345</v>
      </c>
      <c r="J742" s="38" t="n">
        <f aca="false">I742+MAX(D742,J741)</f>
        <v>771.791768912648</v>
      </c>
      <c r="K742" s="38" t="n">
        <f aca="false">IF((H742=0),J742-D742,0)</f>
        <v>5.56371753264318</v>
      </c>
      <c r="L742" s="38" t="n">
        <f aca="true">IF(($H742=0),0,$D$4+$D$5*(RAND()-0.5))</f>
        <v>0</v>
      </c>
      <c r="M742" s="38" t="n">
        <f aca="false">L742+MAX(D742,M741)</f>
        <v>813.689847908428</v>
      </c>
      <c r="N742" s="38" t="n">
        <f aca="false">IF((H742=1),M742-D742,0)</f>
        <v>0</v>
      </c>
      <c r="O742" s="16" t="n">
        <v>725</v>
      </c>
      <c r="P742" s="41" t="n">
        <f aca="false">IF((Arterial=0),P741+1,P741)</f>
        <v>332</v>
      </c>
      <c r="Q742" s="41" t="n">
        <f aca="false">IF((Arterial=1),Q741+1,Q741)</f>
        <v>393</v>
      </c>
      <c r="R742" s="42" t="e">
        <f aca="false">IF((RESET=1),0,R742+K742)</f>
        <v>#N/A</v>
      </c>
      <c r="S742" s="14" t="n">
        <f aca="false">IF(RESET=1,0,S742+N742)</f>
        <v>609.39697757667</v>
      </c>
      <c r="T742" s="2" t="e">
        <f aca="false">IF(RESET=1,0,T742+IF(H742=0,1,0))</f>
        <v>#N/A</v>
      </c>
      <c r="U742" s="2" t="n">
        <f aca="false">IF(RESET=1,0,U742+H742)</f>
        <v>38</v>
      </c>
      <c r="V742" s="14" t="e">
        <f aca="false">R742/(T742+0.00001)</f>
        <v>#N/A</v>
      </c>
      <c r="W742" s="14" t="n">
        <f aca="false">S742/(U742+0.0001)</f>
        <v>16.0367203659114</v>
      </c>
      <c r="X742" s="39" t="n">
        <f aca="false">IF(Informed=1,K742,0)</f>
        <v>5.56371753264318</v>
      </c>
      <c r="Y742" s="39" t="n">
        <f aca="false">IF(Informed=0,K742,0)</f>
        <v>0</v>
      </c>
      <c r="Z742" s="39" t="n">
        <f aca="false">IF(Informed=1,N742,0)</f>
        <v>0</v>
      </c>
      <c r="AA742" s="39" t="n">
        <f aca="false">IF(Informed=0,N742,0)</f>
        <v>0</v>
      </c>
      <c r="AB742" s="43" t="n">
        <f aca="false">IF(Arterial=0,IF(Informed=1,1,0),0)</f>
        <v>1</v>
      </c>
      <c r="AC742" s="43" t="n">
        <f aca="false">IF(Arterial=0,IF(Informed=0,1,0),0)</f>
        <v>0</v>
      </c>
      <c r="AD742" s="43" t="n">
        <f aca="false">IF(Arterial=1,IF(Informed=1,1,0),0)</f>
        <v>0</v>
      </c>
      <c r="AE742" s="43" t="n">
        <f aca="false">IF(Arterial=1,IF(Informed=0,1,0),0)</f>
        <v>0</v>
      </c>
      <c r="AF742" s="35" t="n">
        <f aca="false">IF(AB742=1,(X742-G$1030)^2,0)</f>
        <v>26.4809116199617</v>
      </c>
      <c r="AG742" s="35" t="n">
        <f aca="false">IF(AC742=1,(Y742-H$1030)^2,0)</f>
        <v>0</v>
      </c>
      <c r="AH742" s="35" t="n">
        <f aca="false">IF(AD742=1,(Z742-I$1030)^2,0)</f>
        <v>0</v>
      </c>
      <c r="AI742" s="35" t="n">
        <f aca="false">IF(AE742=1,(AA742-J$1030)^2,0)</f>
        <v>0</v>
      </c>
      <c r="AJ742" s="37" t="n">
        <f aca="true">IF(RAND()&lt;$D$6,1,0)</f>
        <v>0</v>
      </c>
      <c r="AK742" s="14" t="n">
        <f aca="false">AK741+IF((AJ742=1),IF((H742=0),1,0),0)</f>
        <v>0</v>
      </c>
      <c r="AL742" s="14" t="n">
        <f aca="false">AL741+IF((AJ742=1),IF((H742=1),1,0),0)</f>
        <v>0</v>
      </c>
      <c r="AM742" s="37" t="n">
        <f aca="false">IF(AK742=0,9999,IF($H742=0,IF($AJ742&lt;1,AM741+1,0),AM741))</f>
        <v>9999</v>
      </c>
      <c r="AN742" s="37" t="n">
        <f aca="false">IF(AL742=0,9999,IF($H742=1,IF($AJ742&lt;1,AN741+1,0),AN741))</f>
        <v>9999</v>
      </c>
      <c r="AO742" s="37" t="n">
        <f aca="false">IF($A742-AM742&gt;0,1/(1+AM742),0)</f>
        <v>0</v>
      </c>
      <c r="AP742" s="37" t="n">
        <f aca="false">IF($A742-AN742&gt;0,1/(1+AN742),0)</f>
        <v>0</v>
      </c>
      <c r="AQ742" s="7" t="n">
        <f aca="false">IF(AK742=0,0,MAX(MIN(1,AO742^Power),0))</f>
        <v>0</v>
      </c>
      <c r="AR742" s="7" t="n">
        <f aca="false">IF(AL742=0,0,MAX(MIN(1,AP742^Power),0))</f>
        <v>0</v>
      </c>
      <c r="AS742" s="7" t="n">
        <f aca="false">IF($AJ742=1,IF($H742=0,K742,AS741),AS741)</f>
        <v>0</v>
      </c>
      <c r="AT742" s="7" t="n">
        <f aca="false">IF($AJ742=1,IF($H742=1,N742,AT741),AT741)</f>
        <v>0</v>
      </c>
    </row>
    <row r="743" customFormat="false" ht="13" hidden="false" customHeight="false" outlineLevel="0" collapsed="false">
      <c r="A743" s="16" t="n">
        <v>726</v>
      </c>
      <c r="B743" s="37" t="n">
        <f aca="true">IF(RAND()&lt;$D$8,1,0)</f>
        <v>1</v>
      </c>
      <c r="C743" s="20" t="n">
        <f aca="true">-LN(RAND())/$D$2</f>
        <v>0.0504831327617305</v>
      </c>
      <c r="D743" s="38" t="n">
        <f aca="false">D742+C743</f>
        <v>766.278534512767</v>
      </c>
      <c r="E743" s="39" t="n">
        <f aca="false">MAX($E$3,AS742)</f>
        <v>0</v>
      </c>
      <c r="F743" s="39" t="n">
        <f aca="false">MAX($E$3,AT742)</f>
        <v>0</v>
      </c>
      <c r="G743" s="40" t="n">
        <v>0.5</v>
      </c>
      <c r="H743" s="38" t="n">
        <f aca="true">IF((B743=1),(IF((F743&lt;E743),1,(IF((F743=E743),(IF(RAND()&lt;G743,1,0)),0)))),(IF((RAND()&lt;G743),1,0)))</f>
        <v>0</v>
      </c>
      <c r="I743" s="38" t="n">
        <f aca="true">IF((H743=1),0,$D$3+$D$5*(RAND()-0.5))</f>
        <v>1.90340600372651</v>
      </c>
      <c r="J743" s="38" t="n">
        <f aca="false">I743+MAX(D743,J742)</f>
        <v>773.695174916375</v>
      </c>
      <c r="K743" s="38" t="n">
        <f aca="false">IF((H743=0),J743-D743,0)</f>
        <v>7.41664040360797</v>
      </c>
      <c r="L743" s="38" t="n">
        <f aca="true">IF(($H743=0),0,$D$4+$D$5*(RAND()-0.5))</f>
        <v>0</v>
      </c>
      <c r="M743" s="38" t="n">
        <f aca="false">L743+MAX(D743,M742)</f>
        <v>813.689847908428</v>
      </c>
      <c r="N743" s="38" t="n">
        <f aca="false">IF((H743=1),M743-D743,0)</f>
        <v>0</v>
      </c>
      <c r="O743" s="16" t="n">
        <v>726</v>
      </c>
      <c r="P743" s="41" t="n">
        <f aca="false">IF((Arterial=0),P742+1,P742)</f>
        <v>333</v>
      </c>
      <c r="Q743" s="41" t="n">
        <f aca="false">IF((Arterial=1),Q742+1,Q742)</f>
        <v>393</v>
      </c>
      <c r="R743" s="42" t="e">
        <f aca="false">IF((RESET=1),0,R743+K743)</f>
        <v>#N/A</v>
      </c>
      <c r="S743" s="14" t="n">
        <f aca="false">IF(RESET=1,0,S743+N743)</f>
        <v>563.730348536899</v>
      </c>
      <c r="T743" s="2" t="e">
        <f aca="false">IF(RESET=1,0,T743+IF(H743=0,1,0))</f>
        <v>#N/A</v>
      </c>
      <c r="U743" s="2" t="n">
        <f aca="false">IF(RESET=1,0,U743+H743)</f>
        <v>35</v>
      </c>
      <c r="V743" s="14" t="e">
        <f aca="false">R743/(T743+0.00001)</f>
        <v>#N/A</v>
      </c>
      <c r="W743" s="14" t="n">
        <f aca="false">S743/(U743+0.0001)</f>
        <v>16.1065353680961</v>
      </c>
      <c r="X743" s="39" t="n">
        <f aca="false">IF(Informed=1,K743,0)</f>
        <v>7.41664040360797</v>
      </c>
      <c r="Y743" s="39" t="n">
        <f aca="false">IF(Informed=0,K743,0)</f>
        <v>0</v>
      </c>
      <c r="Z743" s="39" t="n">
        <f aca="false">IF(Informed=1,N743,0)</f>
        <v>0</v>
      </c>
      <c r="AA743" s="39" t="n">
        <f aca="false">IF(Informed=0,N743,0)</f>
        <v>0</v>
      </c>
      <c r="AB743" s="43" t="n">
        <f aca="false">IF(Arterial=0,IF(Informed=1,1,0),0)</f>
        <v>1</v>
      </c>
      <c r="AC743" s="43" t="n">
        <f aca="false">IF(Arterial=0,IF(Informed=0,1,0),0)</f>
        <v>0</v>
      </c>
      <c r="AD743" s="43" t="n">
        <f aca="false">IF(Arterial=1,IF(Informed=1,1,0),0)</f>
        <v>0</v>
      </c>
      <c r="AE743" s="43" t="n">
        <f aca="false">IF(Arterial=1,IF(Informed=0,1,0),0)</f>
        <v>0</v>
      </c>
      <c r="AF743" s="35" t="n">
        <f aca="false">IF(AB743=1,(X743-G$1030)^2,0)</f>
        <v>10.8440982036211</v>
      </c>
      <c r="AG743" s="35" t="n">
        <f aca="false">IF(AC743=1,(Y743-H$1030)^2,0)</f>
        <v>0</v>
      </c>
      <c r="AH743" s="35" t="n">
        <f aca="false">IF(AD743=1,(Z743-I$1030)^2,0)</f>
        <v>0</v>
      </c>
      <c r="AI743" s="35" t="n">
        <f aca="false">IF(AE743=1,(AA743-J$1030)^2,0)</f>
        <v>0</v>
      </c>
      <c r="AJ743" s="37" t="n">
        <f aca="true">IF(RAND()&lt;$D$6,1,0)</f>
        <v>0</v>
      </c>
      <c r="AK743" s="14" t="n">
        <f aca="false">AK742+IF((AJ743=1),IF((H743=0),1,0),0)</f>
        <v>0</v>
      </c>
      <c r="AL743" s="14" t="n">
        <f aca="false">AL742+IF((AJ743=1),IF((H743=1),1,0),0)</f>
        <v>0</v>
      </c>
      <c r="AM743" s="37" t="n">
        <f aca="false">IF(AK743=0,9999,IF($H743=0,IF($AJ743&lt;1,AM742+1,0),AM742))</f>
        <v>9999</v>
      </c>
      <c r="AN743" s="37" t="n">
        <f aca="false">IF(AL743=0,9999,IF($H743=1,IF($AJ743&lt;1,AN742+1,0),AN742))</f>
        <v>9999</v>
      </c>
      <c r="AO743" s="37" t="n">
        <f aca="false">IF($A743-AM743&gt;0,1/(1+AM743),0)</f>
        <v>0</v>
      </c>
      <c r="AP743" s="37" t="n">
        <f aca="false">IF($A743-AN743&gt;0,1/(1+AN743),0)</f>
        <v>0</v>
      </c>
      <c r="AQ743" s="7" t="n">
        <f aca="false">IF(AK743=0,0,MAX(MIN(1,AO743^Power),0))</f>
        <v>0</v>
      </c>
      <c r="AR743" s="7" t="n">
        <f aca="false">IF(AL743=0,0,MAX(MIN(1,AP743^Power),0))</f>
        <v>0</v>
      </c>
      <c r="AS743" s="7" t="n">
        <f aca="false">IF($AJ743=1,IF($H743=0,K743,AS742),AS742)</f>
        <v>0</v>
      </c>
      <c r="AT743" s="7" t="n">
        <f aca="false">IF($AJ743=1,IF($H743=1,N743,AT742),AT742)</f>
        <v>0</v>
      </c>
    </row>
    <row r="744" customFormat="false" ht="13" hidden="false" customHeight="false" outlineLevel="0" collapsed="false">
      <c r="A744" s="16" t="n">
        <v>727</v>
      </c>
      <c r="B744" s="37" t="n">
        <f aca="true">IF(RAND()&lt;$D$8,1,0)</f>
        <v>1</v>
      </c>
      <c r="C744" s="20" t="n">
        <f aca="true">-LN(RAND())/$D$2</f>
        <v>1.33767648898296</v>
      </c>
      <c r="D744" s="38" t="n">
        <f aca="false">D743+C744</f>
        <v>767.61621100175</v>
      </c>
      <c r="E744" s="39" t="n">
        <f aca="false">MAX($E$3,AS743)</f>
        <v>0</v>
      </c>
      <c r="F744" s="39" t="n">
        <f aca="false">MAX($E$3,AT743)</f>
        <v>0</v>
      </c>
      <c r="G744" s="40" t="n">
        <v>0.5</v>
      </c>
      <c r="H744" s="38" t="n">
        <f aca="true">IF((B744=1),(IF((F744&lt;E744),1,(IF((F744=E744),(IF(RAND()&lt;G744,1,0)),0)))),(IF((RAND()&lt;G744),1,0)))</f>
        <v>0</v>
      </c>
      <c r="I744" s="38" t="n">
        <f aca="true">IF((H744=1),0,$D$3+$D$5*(RAND()-0.5))</f>
        <v>1.81310196489671</v>
      </c>
      <c r="J744" s="38" t="n">
        <f aca="false">I744+MAX(D744,J743)</f>
        <v>775.508276881271</v>
      </c>
      <c r="K744" s="38" t="n">
        <f aca="false">IF((H744=0),J744-D744,0)</f>
        <v>7.89206587952174</v>
      </c>
      <c r="L744" s="38" t="n">
        <f aca="true">IF(($H744=0),0,$D$4+$D$5*(RAND()-0.5))</f>
        <v>0</v>
      </c>
      <c r="M744" s="38" t="n">
        <f aca="false">L744+MAX(D744,M743)</f>
        <v>813.689847908428</v>
      </c>
      <c r="N744" s="38" t="n">
        <f aca="false">IF((H744=1),M744-D744,0)</f>
        <v>0</v>
      </c>
      <c r="O744" s="16" t="n">
        <v>727</v>
      </c>
      <c r="P744" s="41" t="n">
        <f aca="false">IF((Arterial=0),P743+1,P743)</f>
        <v>334</v>
      </c>
      <c r="Q744" s="41" t="n">
        <f aca="false">IF((Arterial=1),Q743+1,Q743)</f>
        <v>393</v>
      </c>
      <c r="R744" s="42" t="e">
        <f aca="false">IF((RESET=1),0,R744+K744)</f>
        <v>#N/A</v>
      </c>
      <c r="S744" s="14" t="n">
        <f aca="false">IF(RESET=1,0,S744+N744)</f>
        <v>699.521131335527</v>
      </c>
      <c r="T744" s="2" t="e">
        <f aca="false">IF(RESET=1,0,T744+IF(H744=0,1,0))</f>
        <v>#N/A</v>
      </c>
      <c r="U744" s="2" t="n">
        <f aca="false">IF(RESET=1,0,U744+H744)</f>
        <v>43</v>
      </c>
      <c r="V744" s="14" t="e">
        <f aca="false">R744/(T744+0.00001)</f>
        <v>#N/A</v>
      </c>
      <c r="W744" s="14" t="n">
        <f aca="false">S744/(U744+0.0001)</f>
        <v>16.2678954545577</v>
      </c>
      <c r="X744" s="39" t="n">
        <f aca="false">IF(Informed=1,K744,0)</f>
        <v>7.89206587952174</v>
      </c>
      <c r="Y744" s="39" t="n">
        <f aca="false">IF(Informed=0,K744,0)</f>
        <v>0</v>
      </c>
      <c r="Z744" s="39" t="n">
        <f aca="false">IF(Informed=1,N744,0)</f>
        <v>0</v>
      </c>
      <c r="AA744" s="39" t="n">
        <f aca="false">IF(Informed=0,N744,0)</f>
        <v>0</v>
      </c>
      <c r="AB744" s="43" t="n">
        <f aca="false">IF(Arterial=0,IF(Informed=1,1,0),0)</f>
        <v>1</v>
      </c>
      <c r="AC744" s="43" t="n">
        <f aca="false">IF(Arterial=0,IF(Informed=0,1,0),0)</f>
        <v>0</v>
      </c>
      <c r="AD744" s="43" t="n">
        <f aca="false">IF(Arterial=1,IF(Informed=1,1,0),0)</f>
        <v>0</v>
      </c>
      <c r="AE744" s="43" t="n">
        <f aca="false">IF(Arterial=1,IF(Informed=0,1,0),0)</f>
        <v>0</v>
      </c>
      <c r="AF744" s="35" t="n">
        <f aca="false">IF(AB744=1,(X744-G$1030)^2,0)</f>
        <v>7.93893942394063</v>
      </c>
      <c r="AG744" s="35" t="n">
        <f aca="false">IF(AC744=1,(Y744-H$1030)^2,0)</f>
        <v>0</v>
      </c>
      <c r="AH744" s="35" t="n">
        <f aca="false">IF(AD744=1,(Z744-I$1030)^2,0)</f>
        <v>0</v>
      </c>
      <c r="AI744" s="35" t="n">
        <f aca="false">IF(AE744=1,(AA744-J$1030)^2,0)</f>
        <v>0</v>
      </c>
      <c r="AJ744" s="37" t="n">
        <f aca="true">IF(RAND()&lt;$D$6,1,0)</f>
        <v>0</v>
      </c>
      <c r="AK744" s="14" t="n">
        <f aca="false">AK743+IF((AJ744=1),IF((H744=0),1,0),0)</f>
        <v>0</v>
      </c>
      <c r="AL744" s="14" t="n">
        <f aca="false">AL743+IF((AJ744=1),IF((H744=1),1,0),0)</f>
        <v>0</v>
      </c>
      <c r="AM744" s="37" t="n">
        <f aca="false">IF(AK744=0,9999,IF($H744=0,IF($AJ744&lt;1,AM743+1,0),AM743))</f>
        <v>9999</v>
      </c>
      <c r="AN744" s="37" t="n">
        <f aca="false">IF(AL744=0,9999,IF($H744=1,IF($AJ744&lt;1,AN743+1,0),AN743))</f>
        <v>9999</v>
      </c>
      <c r="AO744" s="37" t="n">
        <f aca="false">IF($A744-AM744&gt;0,1/(1+AM744),0)</f>
        <v>0</v>
      </c>
      <c r="AP744" s="37" t="n">
        <f aca="false">IF($A744-AN744&gt;0,1/(1+AN744),0)</f>
        <v>0</v>
      </c>
      <c r="AQ744" s="7" t="n">
        <f aca="false">IF(AK744=0,0,MAX(MIN(1,AO744^Power),0))</f>
        <v>0</v>
      </c>
      <c r="AR744" s="7" t="n">
        <f aca="false">IF(AL744=0,0,MAX(MIN(1,AP744^Power),0))</f>
        <v>0</v>
      </c>
      <c r="AS744" s="7" t="n">
        <f aca="false">IF($AJ744=1,IF($H744=0,K744,AS743),AS743)</f>
        <v>0</v>
      </c>
      <c r="AT744" s="7" t="n">
        <f aca="false">IF($AJ744=1,IF($H744=1,N744,AT743),AT743)</f>
        <v>0</v>
      </c>
    </row>
    <row r="745" customFormat="false" ht="13" hidden="false" customHeight="false" outlineLevel="0" collapsed="false">
      <c r="A745" s="16" t="n">
        <v>728</v>
      </c>
      <c r="B745" s="37" t="n">
        <f aca="true">IF(RAND()&lt;$D$8,1,0)</f>
        <v>0</v>
      </c>
      <c r="C745" s="20" t="n">
        <f aca="true">-LN(RAND())/$D$2</f>
        <v>0.213011608495115</v>
      </c>
      <c r="D745" s="38" t="n">
        <f aca="false">D744+C745</f>
        <v>767.829222610245</v>
      </c>
      <c r="E745" s="39" t="n">
        <f aca="false">MAX($E$3,AS744)</f>
        <v>0</v>
      </c>
      <c r="F745" s="39" t="n">
        <f aca="false">MAX($E$3,AT744)</f>
        <v>0</v>
      </c>
      <c r="G745" s="40" t="n">
        <v>0.5</v>
      </c>
      <c r="H745" s="38" t="n">
        <f aca="true">IF((B745=1),(IF((F745&lt;E745),1,(IF((F745=E745),(IF(RAND()&lt;G745,1,0)),0)))),(IF((RAND()&lt;G745),1,0)))</f>
        <v>0</v>
      </c>
      <c r="I745" s="38" t="n">
        <f aca="true">IF((H745=1),0,$D$3+$D$5*(RAND()-0.5))</f>
        <v>1.92104732137258</v>
      </c>
      <c r="J745" s="38" t="n">
        <f aca="false">I745+MAX(D745,J744)</f>
        <v>777.429324202644</v>
      </c>
      <c r="K745" s="38" t="n">
        <f aca="false">IF((H745=0),J745-D745,0)</f>
        <v>9.60010159239926</v>
      </c>
      <c r="L745" s="38" t="n">
        <f aca="true">IF(($H745=0),0,$D$4+$D$5*(RAND()-0.5))</f>
        <v>0</v>
      </c>
      <c r="M745" s="38" t="n">
        <f aca="false">L745+MAX(D745,M744)</f>
        <v>813.689847908428</v>
      </c>
      <c r="N745" s="38" t="n">
        <f aca="false">IF((H745=1),M745-D745,0)</f>
        <v>0</v>
      </c>
      <c r="O745" s="16" t="n">
        <v>728</v>
      </c>
      <c r="P745" s="41" t="n">
        <f aca="false">IF((Arterial=0),P744+1,P744)</f>
        <v>335</v>
      </c>
      <c r="Q745" s="41" t="n">
        <f aca="false">IF((Arterial=1),Q744+1,Q744)</f>
        <v>393</v>
      </c>
      <c r="R745" s="42" t="e">
        <f aca="false">IF((RESET=1),0,R745+K745)</f>
        <v>#N/A</v>
      </c>
      <c r="S745" s="14" t="n">
        <f aca="false">IF(RESET=1,0,S745+N745)</f>
        <v>699.281562187473</v>
      </c>
      <c r="T745" s="2" t="e">
        <f aca="false">IF(RESET=1,0,T745+IF(H745=0,1,0))</f>
        <v>#N/A</v>
      </c>
      <c r="U745" s="2" t="n">
        <f aca="false">IF(RESET=1,0,U745+H745)</f>
        <v>38</v>
      </c>
      <c r="V745" s="14" t="e">
        <f aca="false">R745/(T745+0.00001)</f>
        <v>#N/A</v>
      </c>
      <c r="W745" s="14" t="n">
        <f aca="false">S745/(U745+0.0001)</f>
        <v>18.402097946781</v>
      </c>
      <c r="X745" s="39" t="n">
        <f aca="false">IF(Informed=1,K745,0)</f>
        <v>0</v>
      </c>
      <c r="Y745" s="39" t="n">
        <f aca="false">IF(Informed=0,K745,0)</f>
        <v>9.60010159239926</v>
      </c>
      <c r="Z745" s="39" t="n">
        <f aca="false">IF(Informed=1,N745,0)</f>
        <v>0</v>
      </c>
      <c r="AA745" s="39" t="n">
        <f aca="false">IF(Informed=0,N745,0)</f>
        <v>0</v>
      </c>
      <c r="AB745" s="43" t="n">
        <f aca="false">IF(Arterial=0,IF(Informed=1,1,0),0)</f>
        <v>0</v>
      </c>
      <c r="AC745" s="43" t="n">
        <f aca="false">IF(Arterial=0,IF(Informed=0,1,0),0)</f>
        <v>1</v>
      </c>
      <c r="AD745" s="43" t="n">
        <f aca="false">IF(Arterial=1,IF(Informed=1,1,0),0)</f>
        <v>0</v>
      </c>
      <c r="AE745" s="43" t="n">
        <f aca="false">IF(Arterial=1,IF(Informed=0,1,0),0)</f>
        <v>0</v>
      </c>
      <c r="AF745" s="35" t="n">
        <f aca="false">IF(AB745=1,(X745-G$1030)^2,0)</f>
        <v>0</v>
      </c>
      <c r="AG745" s="35" t="n">
        <f aca="false">IF(AC745=1,(Y745-H$1030)^2,0)</f>
        <v>1.75213842730507</v>
      </c>
      <c r="AH745" s="35" t="n">
        <f aca="false">IF(AD745=1,(Z745-I$1030)^2,0)</f>
        <v>0</v>
      </c>
      <c r="AI745" s="35" t="n">
        <f aca="false">IF(AE745=1,(AA745-J$1030)^2,0)</f>
        <v>0</v>
      </c>
      <c r="AJ745" s="37" t="n">
        <f aca="true">IF(RAND()&lt;$D$6,1,0)</f>
        <v>0</v>
      </c>
      <c r="AK745" s="14" t="n">
        <f aca="false">AK744+IF((AJ745=1),IF((H745=0),1,0),0)</f>
        <v>0</v>
      </c>
      <c r="AL745" s="14" t="n">
        <f aca="false">AL744+IF((AJ745=1),IF((H745=1),1,0),0)</f>
        <v>0</v>
      </c>
      <c r="AM745" s="37" t="n">
        <f aca="false">IF(AK745=0,9999,IF($H745=0,IF($AJ745&lt;1,AM744+1,0),AM744))</f>
        <v>9999</v>
      </c>
      <c r="AN745" s="37" t="n">
        <f aca="false">IF(AL745=0,9999,IF($H745=1,IF($AJ745&lt;1,AN744+1,0),AN744))</f>
        <v>9999</v>
      </c>
      <c r="AO745" s="37" t="n">
        <f aca="false">IF($A745-AM745&gt;0,1/(1+AM745),0)</f>
        <v>0</v>
      </c>
      <c r="AP745" s="37" t="n">
        <f aca="false">IF($A745-AN745&gt;0,1/(1+AN745),0)</f>
        <v>0</v>
      </c>
      <c r="AQ745" s="7" t="n">
        <f aca="false">IF(AK745=0,0,MAX(MIN(1,AO745^Power),0))</f>
        <v>0</v>
      </c>
      <c r="AR745" s="7" t="n">
        <f aca="false">IF(AL745=0,0,MAX(MIN(1,AP745^Power),0))</f>
        <v>0</v>
      </c>
      <c r="AS745" s="7" t="n">
        <f aca="false">IF($AJ745=1,IF($H745=0,K745,AS744),AS744)</f>
        <v>0</v>
      </c>
      <c r="AT745" s="7" t="n">
        <f aca="false">IF($AJ745=1,IF($H745=1,N745,AT744),AT744)</f>
        <v>0</v>
      </c>
    </row>
    <row r="746" customFormat="false" ht="13" hidden="false" customHeight="false" outlineLevel="0" collapsed="false">
      <c r="A746" s="16" t="n">
        <v>729</v>
      </c>
      <c r="B746" s="37" t="n">
        <f aca="true">IF(RAND()&lt;$D$8,1,0)</f>
        <v>0</v>
      </c>
      <c r="C746" s="20" t="n">
        <f aca="true">-LN(RAND())/$D$2</f>
        <v>2.6616906638761</v>
      </c>
      <c r="D746" s="38" t="n">
        <f aca="false">D745+C746</f>
        <v>770.490913274121</v>
      </c>
      <c r="E746" s="39" t="n">
        <f aca="false">MAX($E$3,AS745)</f>
        <v>0</v>
      </c>
      <c r="F746" s="39" t="n">
        <f aca="false">MAX($E$3,AT745)</f>
        <v>0</v>
      </c>
      <c r="G746" s="40" t="n">
        <v>0.5</v>
      </c>
      <c r="H746" s="38" t="n">
        <f aca="true">IF((B746=1),(IF((F746&lt;E746),1,(IF((F746=E746),(IF(RAND()&lt;G746,1,0)),0)))),(IF((RAND()&lt;G746),1,0)))</f>
        <v>1</v>
      </c>
      <c r="I746" s="38" t="n">
        <f aca="true">IF((H746=1),0,$D$3+$D$5*(RAND()-0.5))</f>
        <v>0</v>
      </c>
      <c r="J746" s="38" t="n">
        <f aca="false">I746+MAX(D746,J745)</f>
        <v>777.429324202644</v>
      </c>
      <c r="K746" s="38" t="n">
        <f aca="false">IF((H746=0),J746-D746,0)</f>
        <v>0</v>
      </c>
      <c r="L746" s="38" t="n">
        <f aca="true">IF(($H746=0),0,$D$4+$D$5*(RAND()-0.5))</f>
        <v>1.86242108253537</v>
      </c>
      <c r="M746" s="38" t="n">
        <f aca="false">L746+MAX(D746,M745)</f>
        <v>815.552268990963</v>
      </c>
      <c r="N746" s="38" t="n">
        <f aca="false">IF((H746=1),M746-D746,0)</f>
        <v>45.0613557168423</v>
      </c>
      <c r="O746" s="16" t="n">
        <v>729</v>
      </c>
      <c r="P746" s="41" t="n">
        <f aca="false">IF((Arterial=0),P745+1,P745)</f>
        <v>335</v>
      </c>
      <c r="Q746" s="41" t="n">
        <f aca="false">IF((Arterial=1),Q745+1,Q745)</f>
        <v>394</v>
      </c>
      <c r="R746" s="42" t="n">
        <f aca="false">IF((RESET=1),0,R746+K746)</f>
        <v>518.835087178928</v>
      </c>
      <c r="S746" s="14" t="e">
        <f aca="false">IF(RESET=1,0,S746+N746)</f>
        <v>#N/A</v>
      </c>
      <c r="T746" s="2" t="n">
        <f aca="false">IF(RESET=1,0,T746+IF(H746=0,1,0))</f>
        <v>26</v>
      </c>
      <c r="U746" s="2" t="e">
        <f aca="false">IF(RESET=1,0,U746+H746)</f>
        <v>#N/A</v>
      </c>
      <c r="V746" s="14" t="n">
        <f aca="false">R746/(T746+0.00001)</f>
        <v>19.9551879856557</v>
      </c>
      <c r="W746" s="14" t="e">
        <f aca="false">S746/(U746+0.0001)</f>
        <v>#N/A</v>
      </c>
      <c r="X746" s="39" t="n">
        <f aca="false">IF(Informed=1,K746,0)</f>
        <v>0</v>
      </c>
      <c r="Y746" s="39" t="n">
        <f aca="false">IF(Informed=0,K746,0)</f>
        <v>0</v>
      </c>
      <c r="Z746" s="39" t="n">
        <f aca="false">IF(Informed=1,N746,0)</f>
        <v>0</v>
      </c>
      <c r="AA746" s="39" t="n">
        <f aca="false">IF(Informed=0,N746,0)</f>
        <v>45.0613557168423</v>
      </c>
      <c r="AB746" s="43" t="n">
        <f aca="false">IF(Arterial=0,IF(Informed=1,1,0),0)</f>
        <v>0</v>
      </c>
      <c r="AC746" s="43" t="n">
        <f aca="false">IF(Arterial=0,IF(Informed=0,1,0),0)</f>
        <v>0</v>
      </c>
      <c r="AD746" s="43" t="n">
        <f aca="false">IF(Arterial=1,IF(Informed=1,1,0),0)</f>
        <v>0</v>
      </c>
      <c r="AE746" s="43" t="n">
        <f aca="false">IF(Arterial=1,IF(Informed=0,1,0),0)</f>
        <v>1</v>
      </c>
      <c r="AF746" s="35" t="n">
        <f aca="false">IF(AB746=1,(X746-G$1030)^2,0)</f>
        <v>0</v>
      </c>
      <c r="AG746" s="35" t="n">
        <f aca="false">IF(AC746=1,(Y746-H$1030)^2,0)</f>
        <v>0</v>
      </c>
      <c r="AH746" s="35" t="n">
        <f aca="false">IF(AD746=1,(Z746-I$1030)^2,0)</f>
        <v>0</v>
      </c>
      <c r="AI746" s="35" t="n">
        <f aca="false">IF(AE746=1,(AA746-J$1030)^2,0)</f>
        <v>240.159511047585</v>
      </c>
      <c r="AJ746" s="37" t="n">
        <f aca="true">IF(RAND()&lt;$D$6,1,0)</f>
        <v>0</v>
      </c>
      <c r="AK746" s="14" t="n">
        <f aca="false">AK745+IF((AJ746=1),IF((H746=0),1,0),0)</f>
        <v>0</v>
      </c>
      <c r="AL746" s="14" t="n">
        <f aca="false">AL745+IF((AJ746=1),IF((H746=1),1,0),0)</f>
        <v>0</v>
      </c>
      <c r="AM746" s="37" t="n">
        <f aca="false">IF(AK746=0,9999,IF($H746=0,IF($AJ746&lt;1,AM745+1,0),AM745))</f>
        <v>9999</v>
      </c>
      <c r="AN746" s="37" t="n">
        <f aca="false">IF(AL746=0,9999,IF($H746=1,IF($AJ746&lt;1,AN745+1,0),AN745))</f>
        <v>9999</v>
      </c>
      <c r="AO746" s="37" t="n">
        <f aca="false">IF($A746-AM746&gt;0,1/(1+AM746),0)</f>
        <v>0</v>
      </c>
      <c r="AP746" s="37" t="n">
        <f aca="false">IF($A746-AN746&gt;0,1/(1+AN746),0)</f>
        <v>0</v>
      </c>
      <c r="AQ746" s="7" t="n">
        <f aca="false">IF(AK746=0,0,MAX(MIN(1,AO746^Power),0))</f>
        <v>0</v>
      </c>
      <c r="AR746" s="7" t="n">
        <f aca="false">IF(AL746=0,0,MAX(MIN(1,AP746^Power),0))</f>
        <v>0</v>
      </c>
      <c r="AS746" s="7" t="n">
        <f aca="false">IF($AJ746=1,IF($H746=0,K746,AS745),AS745)</f>
        <v>0</v>
      </c>
      <c r="AT746" s="7" t="n">
        <f aca="false">IF($AJ746=1,IF($H746=1,N746,AT745),AT745)</f>
        <v>0</v>
      </c>
    </row>
    <row r="747" customFormat="false" ht="13" hidden="false" customHeight="false" outlineLevel="0" collapsed="false">
      <c r="A747" s="16" t="n">
        <v>730</v>
      </c>
      <c r="B747" s="37" t="n">
        <f aca="true">IF(RAND()&lt;$D$8,1,0)</f>
        <v>1</v>
      </c>
      <c r="C747" s="20" t="n">
        <f aca="true">-LN(RAND())/$D$2</f>
        <v>0.100459208575377</v>
      </c>
      <c r="D747" s="38" t="n">
        <f aca="false">D746+C747</f>
        <v>770.591372482696</v>
      </c>
      <c r="E747" s="39" t="n">
        <f aca="false">MAX($E$3,AS746)</f>
        <v>0</v>
      </c>
      <c r="F747" s="39" t="n">
        <f aca="false">MAX($E$3,AT746)</f>
        <v>0</v>
      </c>
      <c r="G747" s="40" t="n">
        <v>0.5</v>
      </c>
      <c r="H747" s="38" t="n">
        <f aca="true">IF((B747=1),(IF((F747&lt;E747),1,(IF((F747=E747),(IF(RAND()&lt;G747,1,0)),0)))),(IF((RAND()&lt;G747),1,0)))</f>
        <v>1</v>
      </c>
      <c r="I747" s="38" t="n">
        <f aca="true">IF((H747=1),0,$D$3+$D$5*(RAND()-0.5))</f>
        <v>0</v>
      </c>
      <c r="J747" s="38" t="n">
        <f aca="false">I747+MAX(D747,J746)</f>
        <v>777.429324202644</v>
      </c>
      <c r="K747" s="38" t="n">
        <f aca="false">IF((H747=0),J747-D747,0)</f>
        <v>0</v>
      </c>
      <c r="L747" s="38" t="n">
        <f aca="true">IF(($H747=0),0,$D$4+$D$5*(RAND()-0.5))</f>
        <v>1.77820667755076</v>
      </c>
      <c r="M747" s="38" t="n">
        <f aca="false">L747+MAX(D747,M746)</f>
        <v>817.330475668514</v>
      </c>
      <c r="N747" s="38" t="n">
        <f aca="false">IF((H747=1),M747-D747,0)</f>
        <v>46.7391031858177</v>
      </c>
      <c r="O747" s="16" t="n">
        <v>730</v>
      </c>
      <c r="P747" s="41" t="n">
        <f aca="false">IF((Arterial=0),P746+1,P746)</f>
        <v>335</v>
      </c>
      <c r="Q747" s="41" t="n">
        <f aca="false">IF((Arterial=1),Q746+1,Q746)</f>
        <v>395</v>
      </c>
      <c r="R747" s="42" t="n">
        <f aca="false">IF((RESET=1),0,R747+K747)</f>
        <v>914.448347254233</v>
      </c>
      <c r="S747" s="14" t="e">
        <f aca="false">IF(RESET=1,0,S747+N747)</f>
        <v>#N/A</v>
      </c>
      <c r="T747" s="2" t="n">
        <f aca="false">IF(RESET=1,0,T747+IF(H747=0,1,0))</f>
        <v>42</v>
      </c>
      <c r="U747" s="2" t="e">
        <f aca="false">IF(RESET=1,0,U747+H747)</f>
        <v>#N/A</v>
      </c>
      <c r="V747" s="14" t="n">
        <f aca="false">R747/(T747+0.00001)</f>
        <v>21.772574512583</v>
      </c>
      <c r="W747" s="14" t="e">
        <f aca="false">S747/(U747+0.0001)</f>
        <v>#N/A</v>
      </c>
      <c r="X747" s="39" t="n">
        <f aca="false">IF(Informed=1,K747,0)</f>
        <v>0</v>
      </c>
      <c r="Y747" s="39" t="n">
        <f aca="false">IF(Informed=0,K747,0)</f>
        <v>0</v>
      </c>
      <c r="Z747" s="39" t="n">
        <f aca="false">IF(Informed=1,N747,0)</f>
        <v>46.7391031858177</v>
      </c>
      <c r="AA747" s="39" t="n">
        <f aca="false">IF(Informed=0,N747,0)</f>
        <v>0</v>
      </c>
      <c r="AB747" s="43" t="n">
        <f aca="false">IF(Arterial=0,IF(Informed=1,1,0),0)</f>
        <v>0</v>
      </c>
      <c r="AC747" s="43" t="n">
        <f aca="false">IF(Arterial=0,IF(Informed=0,1,0),0)</f>
        <v>0</v>
      </c>
      <c r="AD747" s="43" t="n">
        <f aca="false">IF(Arterial=1,IF(Informed=1,1,0),0)</f>
        <v>1</v>
      </c>
      <c r="AE747" s="43" t="n">
        <f aca="false">IF(Arterial=1,IF(Informed=0,1,0),0)</f>
        <v>0</v>
      </c>
      <c r="AF747" s="35" t="n">
        <f aca="false">IF(AB747=1,(X747-G$1030)^2,0)</f>
        <v>0</v>
      </c>
      <c r="AG747" s="35" t="n">
        <f aca="false">IF(AC747=1,(Y747-H$1030)^2,0)</f>
        <v>0</v>
      </c>
      <c r="AH747" s="35" t="n">
        <f aca="false">IF(AD747=1,(Z747-I$1030)^2,0)</f>
        <v>337.246353594775</v>
      </c>
      <c r="AI747" s="35" t="n">
        <f aca="false">IF(AE747=1,(AA747-J$1030)^2,0)</f>
        <v>0</v>
      </c>
      <c r="AJ747" s="37" t="n">
        <f aca="true">IF(RAND()&lt;$D$6,1,0)</f>
        <v>0</v>
      </c>
      <c r="AK747" s="14" t="n">
        <f aca="false">AK746+IF((AJ747=1),IF((H747=0),1,0),0)</f>
        <v>0</v>
      </c>
      <c r="AL747" s="14" t="n">
        <f aca="false">AL746+IF((AJ747=1),IF((H747=1),1,0),0)</f>
        <v>0</v>
      </c>
      <c r="AM747" s="37" t="n">
        <f aca="false">IF(AK747=0,9999,IF($H747=0,IF($AJ747&lt;1,AM746+1,0),AM746))</f>
        <v>9999</v>
      </c>
      <c r="AN747" s="37" t="n">
        <f aca="false">IF(AL747=0,9999,IF($H747=1,IF($AJ747&lt;1,AN746+1,0),AN746))</f>
        <v>9999</v>
      </c>
      <c r="AO747" s="37" t="n">
        <f aca="false">IF($A747-AM747&gt;0,1/(1+AM747),0)</f>
        <v>0</v>
      </c>
      <c r="AP747" s="37" t="n">
        <f aca="false">IF($A747-AN747&gt;0,1/(1+AN747),0)</f>
        <v>0</v>
      </c>
      <c r="AQ747" s="7" t="n">
        <f aca="false">IF(AK747=0,0,MAX(MIN(1,AO747^Power),0))</f>
        <v>0</v>
      </c>
      <c r="AR747" s="7" t="n">
        <f aca="false">IF(AL747=0,0,MAX(MIN(1,AP747^Power),0))</f>
        <v>0</v>
      </c>
      <c r="AS747" s="7" t="n">
        <f aca="false">IF($AJ747=1,IF($H747=0,K747,AS746),AS746)</f>
        <v>0</v>
      </c>
      <c r="AT747" s="7" t="n">
        <f aca="false">IF($AJ747=1,IF($H747=1,N747,AT746),AT746)</f>
        <v>0</v>
      </c>
    </row>
    <row r="748" customFormat="false" ht="13" hidden="false" customHeight="false" outlineLevel="0" collapsed="false">
      <c r="A748" s="16" t="n">
        <v>731</v>
      </c>
      <c r="B748" s="37" t="n">
        <f aca="true">IF(RAND()&lt;$D$8,1,0)</f>
        <v>1</v>
      </c>
      <c r="C748" s="20" t="n">
        <f aca="true">-LN(RAND())/$D$2</f>
        <v>3.90126077707716</v>
      </c>
      <c r="D748" s="38" t="n">
        <f aca="false">D747+C748</f>
        <v>774.492633259773</v>
      </c>
      <c r="E748" s="39" t="n">
        <f aca="false">MAX($E$3,AS747)</f>
        <v>0</v>
      </c>
      <c r="F748" s="39" t="n">
        <f aca="false">MAX($E$3,AT747)</f>
        <v>0</v>
      </c>
      <c r="G748" s="40" t="n">
        <v>0.5</v>
      </c>
      <c r="H748" s="38" t="n">
        <f aca="true">IF((B748=1),(IF((F748&lt;E748),1,(IF((F748=E748),(IF(RAND()&lt;G748,1,0)),0)))),(IF((RAND()&lt;G748),1,0)))</f>
        <v>0</v>
      </c>
      <c r="I748" s="38" t="n">
        <f aca="true">IF((H748=1),0,$D$3+$D$5*(RAND()-0.5))</f>
        <v>1.94497929518883</v>
      </c>
      <c r="J748" s="38" t="n">
        <f aca="false">I748+MAX(D748,J747)</f>
        <v>779.374303497833</v>
      </c>
      <c r="K748" s="38" t="n">
        <f aca="false">IF((H748=0),J748-D748,0)</f>
        <v>4.88167023805954</v>
      </c>
      <c r="L748" s="38" t="n">
        <f aca="true">IF(($H748=0),0,$D$4+$D$5*(RAND()-0.5))</f>
        <v>0</v>
      </c>
      <c r="M748" s="38" t="n">
        <f aca="false">L748+MAX(D748,M747)</f>
        <v>817.330475668514</v>
      </c>
      <c r="N748" s="38" t="n">
        <f aca="false">IF((H748=1),M748-D748,0)</f>
        <v>0</v>
      </c>
      <c r="O748" s="16" t="n">
        <v>731</v>
      </c>
      <c r="P748" s="41" t="n">
        <f aca="false">IF((Arterial=0),P747+1,P747)</f>
        <v>336</v>
      </c>
      <c r="Q748" s="41" t="n">
        <f aca="false">IF((Arterial=1),Q747+1,Q747)</f>
        <v>395</v>
      </c>
      <c r="R748" s="42" t="e">
        <f aca="false">IF((RESET=1),0,R748+K748)</f>
        <v>#N/A</v>
      </c>
      <c r="S748" s="14" t="n">
        <f aca="false">IF(RESET=1,0,S748+N748)</f>
        <v>645.859633225203</v>
      </c>
      <c r="T748" s="2" t="e">
        <f aca="false">IF(RESET=1,0,T748+IF(H748=0,1,0))</f>
        <v>#N/A</v>
      </c>
      <c r="U748" s="2" t="n">
        <f aca="false">IF(RESET=1,0,U748+H748)</f>
        <v>42</v>
      </c>
      <c r="V748" s="14" t="e">
        <f aca="false">R748/(T748+0.00001)</f>
        <v>#N/A</v>
      </c>
      <c r="W748" s="14" t="n">
        <f aca="false">S748/(U748+0.0001)</f>
        <v>15.3775737016151</v>
      </c>
      <c r="X748" s="39" t="n">
        <f aca="false">IF(Informed=1,K748,0)</f>
        <v>4.88167023805954</v>
      </c>
      <c r="Y748" s="39" t="n">
        <f aca="false">IF(Informed=0,K748,0)</f>
        <v>0</v>
      </c>
      <c r="Z748" s="39" t="n">
        <f aca="false">IF(Informed=1,N748,0)</f>
        <v>0</v>
      </c>
      <c r="AA748" s="39" t="n">
        <f aca="false">IF(Informed=0,N748,0)</f>
        <v>0</v>
      </c>
      <c r="AB748" s="43" t="n">
        <f aca="false">IF(Arterial=0,IF(Informed=1,1,0),0)</f>
        <v>1</v>
      </c>
      <c r="AC748" s="43" t="n">
        <f aca="false">IF(Arterial=0,IF(Informed=0,1,0),0)</f>
        <v>0</v>
      </c>
      <c r="AD748" s="43" t="n">
        <f aca="false">IF(Arterial=1,IF(Informed=1,1,0),0)</f>
        <v>0</v>
      </c>
      <c r="AE748" s="43" t="n">
        <f aca="false">IF(Arterial=1,IF(Informed=0,1,0),0)</f>
        <v>0</v>
      </c>
      <c r="AF748" s="35" t="n">
        <f aca="false">IF(AB748=1,(X748-G$1030)^2,0)</f>
        <v>33.9656772914091</v>
      </c>
      <c r="AG748" s="35" t="n">
        <f aca="false">IF(AC748=1,(Y748-H$1030)^2,0)</f>
        <v>0</v>
      </c>
      <c r="AH748" s="35" t="n">
        <f aca="false">IF(AD748=1,(Z748-I$1030)^2,0)</f>
        <v>0</v>
      </c>
      <c r="AI748" s="35" t="n">
        <f aca="false">IF(AE748=1,(AA748-J$1030)^2,0)</f>
        <v>0</v>
      </c>
      <c r="AJ748" s="37" t="n">
        <f aca="true">IF(RAND()&lt;$D$6,1,0)</f>
        <v>0</v>
      </c>
      <c r="AK748" s="14" t="n">
        <f aca="false">AK747+IF((AJ748=1),IF((H748=0),1,0),0)</f>
        <v>0</v>
      </c>
      <c r="AL748" s="14" t="n">
        <f aca="false">AL747+IF((AJ748=1),IF((H748=1),1,0),0)</f>
        <v>0</v>
      </c>
      <c r="AM748" s="37" t="n">
        <f aca="false">IF(AK748=0,9999,IF($H748=0,IF($AJ748&lt;1,AM747+1,0),AM747))</f>
        <v>9999</v>
      </c>
      <c r="AN748" s="37" t="n">
        <f aca="false">IF(AL748=0,9999,IF($H748=1,IF($AJ748&lt;1,AN747+1,0),AN747))</f>
        <v>9999</v>
      </c>
      <c r="AO748" s="37" t="n">
        <f aca="false">IF($A748-AM748&gt;0,1/(1+AM748),0)</f>
        <v>0</v>
      </c>
      <c r="AP748" s="37" t="n">
        <f aca="false">IF($A748-AN748&gt;0,1/(1+AN748),0)</f>
        <v>0</v>
      </c>
      <c r="AQ748" s="7" t="n">
        <f aca="false">IF(AK748=0,0,MAX(MIN(1,AO748^Power),0))</f>
        <v>0</v>
      </c>
      <c r="AR748" s="7" t="n">
        <f aca="false">IF(AL748=0,0,MAX(MIN(1,AP748^Power),0))</f>
        <v>0</v>
      </c>
      <c r="AS748" s="7" t="n">
        <f aca="false">IF($AJ748=1,IF($H748=0,K748,AS747),AS747)</f>
        <v>0</v>
      </c>
      <c r="AT748" s="7" t="n">
        <f aca="false">IF($AJ748=1,IF($H748=1,N748,AT747),AT747)</f>
        <v>0</v>
      </c>
    </row>
    <row r="749" customFormat="false" ht="13" hidden="false" customHeight="false" outlineLevel="0" collapsed="false">
      <c r="A749" s="16" t="n">
        <v>732</v>
      </c>
      <c r="B749" s="37" t="n">
        <f aca="true">IF(RAND()&lt;$D$8,1,0)</f>
        <v>1</v>
      </c>
      <c r="C749" s="20" t="n">
        <f aca="true">-LN(RAND())/$D$2</f>
        <v>2.15697139313406</v>
      </c>
      <c r="D749" s="38" t="n">
        <f aca="false">D748+C749</f>
        <v>776.649604652907</v>
      </c>
      <c r="E749" s="39" t="n">
        <f aca="false">MAX($E$3,AS748)</f>
        <v>0</v>
      </c>
      <c r="F749" s="39" t="n">
        <f aca="false">MAX($E$3,AT748)</f>
        <v>0</v>
      </c>
      <c r="G749" s="40" t="n">
        <v>0.5</v>
      </c>
      <c r="H749" s="38" t="n">
        <f aca="true">IF((B749=1),(IF((F749&lt;E749),1,(IF((F749=E749),(IF(RAND()&lt;G749,1,0)),0)))),(IF((RAND()&lt;G749),1,0)))</f>
        <v>0</v>
      </c>
      <c r="I749" s="38" t="n">
        <f aca="true">IF((H749=1),0,$D$3+$D$5*(RAND()-0.5))</f>
        <v>1.95155140578968</v>
      </c>
      <c r="J749" s="38" t="n">
        <f aca="false">I749+MAX(D749,J748)</f>
        <v>781.325854903623</v>
      </c>
      <c r="K749" s="38" t="n">
        <f aca="false">IF((H749=0),J749-D749,0)</f>
        <v>4.67625025071516</v>
      </c>
      <c r="L749" s="38" t="n">
        <f aca="true">IF(($H749=0),0,$D$4+$D$5*(RAND()-0.5))</f>
        <v>0</v>
      </c>
      <c r="M749" s="38" t="n">
        <f aca="false">L749+MAX(D749,M748)</f>
        <v>817.330475668514</v>
      </c>
      <c r="N749" s="38" t="n">
        <f aca="false">IF((H749=1),M749-D749,0)</f>
        <v>0</v>
      </c>
      <c r="O749" s="16" t="n">
        <v>732</v>
      </c>
      <c r="P749" s="41" t="n">
        <f aca="false">IF((Arterial=0),P748+1,P748)</f>
        <v>337</v>
      </c>
      <c r="Q749" s="41" t="n">
        <f aca="false">IF((Arterial=1),Q748+1,Q748)</f>
        <v>395</v>
      </c>
      <c r="R749" s="42" t="e">
        <f aca="false">IF((RESET=1),0,R749+K749)</f>
        <v>#N/A</v>
      </c>
      <c r="S749" s="14" t="n">
        <f aca="false">IF(RESET=1,0,S749+N749)</f>
        <v>467.887969010277</v>
      </c>
      <c r="T749" s="2" t="e">
        <f aca="false">IF(RESET=1,0,T749+IF(H749=0,1,0))</f>
        <v>#N/A</v>
      </c>
      <c r="U749" s="2" t="n">
        <f aca="false">IF(RESET=1,0,U749+H749)</f>
        <v>35</v>
      </c>
      <c r="V749" s="14" t="e">
        <f aca="false">R749/(T749+0.00001)</f>
        <v>#N/A</v>
      </c>
      <c r="W749" s="14" t="n">
        <f aca="false">S749/(U749+0.0001)</f>
        <v>13.3681894911808</v>
      </c>
      <c r="X749" s="39" t="n">
        <f aca="false">IF(Informed=1,K749,0)</f>
        <v>4.67625025071516</v>
      </c>
      <c r="Y749" s="39" t="n">
        <f aca="false">IF(Informed=0,K749,0)</f>
        <v>0</v>
      </c>
      <c r="Z749" s="39" t="n">
        <f aca="false">IF(Informed=1,N749,0)</f>
        <v>0</v>
      </c>
      <c r="AA749" s="39" t="n">
        <f aca="false">IF(Informed=0,N749,0)</f>
        <v>0</v>
      </c>
      <c r="AB749" s="43" t="n">
        <f aca="false">IF(Arterial=0,IF(Informed=1,1,0),0)</f>
        <v>1</v>
      </c>
      <c r="AC749" s="43" t="n">
        <f aca="false">IF(Arterial=0,IF(Informed=0,1,0),0)</f>
        <v>0</v>
      </c>
      <c r="AD749" s="43" t="n">
        <f aca="false">IF(Arterial=1,IF(Informed=1,1,0),0)</f>
        <v>0</v>
      </c>
      <c r="AE749" s="43" t="n">
        <f aca="false">IF(Arterial=1,IF(Informed=0,1,0),0)</f>
        <v>0</v>
      </c>
      <c r="AF749" s="35" t="n">
        <f aca="false">IF(AB749=1,(X749-G$1030)^2,0)</f>
        <v>36.4022533233434</v>
      </c>
      <c r="AG749" s="35" t="n">
        <f aca="false">IF(AC749=1,(Y749-H$1030)^2,0)</f>
        <v>0</v>
      </c>
      <c r="AH749" s="35" t="n">
        <f aca="false">IF(AD749=1,(Z749-I$1030)^2,0)</f>
        <v>0</v>
      </c>
      <c r="AI749" s="35" t="n">
        <f aca="false">IF(AE749=1,(AA749-J$1030)^2,0)</f>
        <v>0</v>
      </c>
      <c r="AJ749" s="37" t="n">
        <f aca="true">IF(RAND()&lt;$D$6,1,0)</f>
        <v>0</v>
      </c>
      <c r="AK749" s="14" t="n">
        <f aca="false">AK748+IF((AJ749=1),IF((H749=0),1,0),0)</f>
        <v>0</v>
      </c>
      <c r="AL749" s="14" t="n">
        <f aca="false">AL748+IF((AJ749=1),IF((H749=1),1,0),0)</f>
        <v>0</v>
      </c>
      <c r="AM749" s="37" t="n">
        <f aca="false">IF(AK749=0,9999,IF($H749=0,IF($AJ749&lt;1,AM748+1,0),AM748))</f>
        <v>9999</v>
      </c>
      <c r="AN749" s="37" t="n">
        <f aca="false">IF(AL749=0,9999,IF($H749=1,IF($AJ749&lt;1,AN748+1,0),AN748))</f>
        <v>9999</v>
      </c>
      <c r="AO749" s="37" t="n">
        <f aca="false">IF($A749-AM749&gt;0,1/(1+AM749),0)</f>
        <v>0</v>
      </c>
      <c r="AP749" s="37" t="n">
        <f aca="false">IF($A749-AN749&gt;0,1/(1+AN749),0)</f>
        <v>0</v>
      </c>
      <c r="AQ749" s="7" t="n">
        <f aca="false">IF(AK749=0,0,MAX(MIN(1,AO749^Power),0))</f>
        <v>0</v>
      </c>
      <c r="AR749" s="7" t="n">
        <f aca="false">IF(AL749=0,0,MAX(MIN(1,AP749^Power),0))</f>
        <v>0</v>
      </c>
      <c r="AS749" s="7" t="n">
        <f aca="false">IF($AJ749=1,IF($H749=0,K749,AS748),AS748)</f>
        <v>0</v>
      </c>
      <c r="AT749" s="7" t="n">
        <f aca="false">IF($AJ749=1,IF($H749=1,N749,AT748),AT748)</f>
        <v>0</v>
      </c>
    </row>
    <row r="750" customFormat="false" ht="13" hidden="false" customHeight="false" outlineLevel="0" collapsed="false">
      <c r="A750" s="16" t="n">
        <v>733</v>
      </c>
      <c r="B750" s="37" t="n">
        <f aca="true">IF(RAND()&lt;$D$8,1,0)</f>
        <v>1</v>
      </c>
      <c r="C750" s="20" t="n">
        <f aca="true">-LN(RAND())/$D$2</f>
        <v>0.142682925298993</v>
      </c>
      <c r="D750" s="38" t="n">
        <f aca="false">D749+C750</f>
        <v>776.792287578207</v>
      </c>
      <c r="E750" s="39" t="n">
        <f aca="false">MAX($E$3,AS749)</f>
        <v>0</v>
      </c>
      <c r="F750" s="39" t="n">
        <f aca="false">MAX($E$3,AT749)</f>
        <v>0</v>
      </c>
      <c r="G750" s="40" t="n">
        <v>0.5</v>
      </c>
      <c r="H750" s="38" t="n">
        <f aca="true">IF((B750=1),(IF((F750&lt;E750),1,(IF((F750=E750),(IF(RAND()&lt;G750,1,0)),0)))),(IF((RAND()&lt;G750),1,0)))</f>
        <v>1</v>
      </c>
      <c r="I750" s="38" t="n">
        <f aca="true">IF((H750=1),0,$D$3+$D$5*(RAND()-0.5))</f>
        <v>0</v>
      </c>
      <c r="J750" s="38" t="n">
        <f aca="false">I750+MAX(D750,J749)</f>
        <v>781.325854903623</v>
      </c>
      <c r="K750" s="38" t="n">
        <f aca="false">IF((H750=0),J750-D750,0)</f>
        <v>0</v>
      </c>
      <c r="L750" s="38" t="n">
        <f aca="true">IF(($H750=0),0,$D$4+$D$5*(RAND()-0.5))</f>
        <v>2.02990411943245</v>
      </c>
      <c r="M750" s="38" t="n">
        <f aca="false">L750+MAX(D750,M749)</f>
        <v>819.360379787946</v>
      </c>
      <c r="N750" s="38" t="n">
        <f aca="false">IF((H750=1),M750-D750,0)</f>
        <v>42.5680922097399</v>
      </c>
      <c r="O750" s="16" t="n">
        <v>733</v>
      </c>
      <c r="P750" s="41" t="n">
        <f aca="false">IF((Arterial=0),P749+1,P749)</f>
        <v>337</v>
      </c>
      <c r="Q750" s="41" t="n">
        <f aca="false">IF((Arterial=1),Q749+1,Q749)</f>
        <v>396</v>
      </c>
      <c r="R750" s="42" t="n">
        <f aca="false">IF((RESET=1),0,R750+K750)</f>
        <v>828.224435134191</v>
      </c>
      <c r="S750" s="14" t="e">
        <f aca="false">IF(RESET=1,0,S750+N750)</f>
        <v>#N/A</v>
      </c>
      <c r="T750" s="2" t="n">
        <f aca="false">IF(RESET=1,0,T750+IF(H750=0,1,0))</f>
        <v>40</v>
      </c>
      <c r="U750" s="2" t="e">
        <f aca="false">IF(RESET=1,0,U750+H750)</f>
        <v>#N/A</v>
      </c>
      <c r="V750" s="14" t="n">
        <f aca="false">R750/(T750+0.00001)</f>
        <v>20.7056057019533</v>
      </c>
      <c r="W750" s="14" t="e">
        <f aca="false">S750/(U750+0.0001)</f>
        <v>#N/A</v>
      </c>
      <c r="X750" s="39" t="n">
        <f aca="false">IF(Informed=1,K750,0)</f>
        <v>0</v>
      </c>
      <c r="Y750" s="39" t="n">
        <f aca="false">IF(Informed=0,K750,0)</f>
        <v>0</v>
      </c>
      <c r="Z750" s="39" t="n">
        <f aca="false">IF(Informed=1,N750,0)</f>
        <v>42.5680922097399</v>
      </c>
      <c r="AA750" s="39" t="n">
        <f aca="false">IF(Informed=0,N750,0)</f>
        <v>0</v>
      </c>
      <c r="AB750" s="43" t="n">
        <f aca="false">IF(Arterial=0,IF(Informed=1,1,0),0)</f>
        <v>0</v>
      </c>
      <c r="AC750" s="43" t="n">
        <f aca="false">IF(Arterial=0,IF(Informed=0,1,0),0)</f>
        <v>0</v>
      </c>
      <c r="AD750" s="43" t="n">
        <f aca="false">IF(Arterial=1,IF(Informed=1,1,0),0)</f>
        <v>1</v>
      </c>
      <c r="AE750" s="43" t="n">
        <f aca="false">IF(Arterial=1,IF(Informed=0,1,0),0)</f>
        <v>0</v>
      </c>
      <c r="AF750" s="35" t="n">
        <f aca="false">IF(AB750=1,(X750-G$1030)^2,0)</f>
        <v>0</v>
      </c>
      <c r="AG750" s="35" t="n">
        <f aca="false">IF(AC750=1,(Y750-H$1030)^2,0)</f>
        <v>0</v>
      </c>
      <c r="AH750" s="35" t="n">
        <f aca="false">IF(AD750=1,(Z750-I$1030)^2,0)</f>
        <v>201.448556091142</v>
      </c>
      <c r="AI750" s="35" t="n">
        <f aca="false">IF(AE750=1,(AA750-J$1030)^2,0)</f>
        <v>0</v>
      </c>
      <c r="AJ750" s="37" t="n">
        <f aca="true">IF(RAND()&lt;$D$6,1,0)</f>
        <v>0</v>
      </c>
      <c r="AK750" s="14" t="n">
        <f aca="false">AK749+IF((AJ750=1),IF((H750=0),1,0),0)</f>
        <v>0</v>
      </c>
      <c r="AL750" s="14" t="n">
        <f aca="false">AL749+IF((AJ750=1),IF((H750=1),1,0),0)</f>
        <v>0</v>
      </c>
      <c r="AM750" s="37" t="n">
        <f aca="false">IF(AK750=0,9999,IF($H750=0,IF($AJ750&lt;1,AM749+1,0),AM749))</f>
        <v>9999</v>
      </c>
      <c r="AN750" s="37" t="n">
        <f aca="false">IF(AL750=0,9999,IF($H750=1,IF($AJ750&lt;1,AN749+1,0),AN749))</f>
        <v>9999</v>
      </c>
      <c r="AO750" s="37" t="n">
        <f aca="false">IF($A750-AM750&gt;0,1/(1+AM750),0)</f>
        <v>0</v>
      </c>
      <c r="AP750" s="37" t="n">
        <f aca="false">IF($A750-AN750&gt;0,1/(1+AN750),0)</f>
        <v>0</v>
      </c>
      <c r="AQ750" s="7" t="n">
        <f aca="false">IF(AK750=0,0,MAX(MIN(1,AO750^Power),0))</f>
        <v>0</v>
      </c>
      <c r="AR750" s="7" t="n">
        <f aca="false">IF(AL750=0,0,MAX(MIN(1,AP750^Power),0))</f>
        <v>0</v>
      </c>
      <c r="AS750" s="7" t="n">
        <f aca="false">IF($AJ750=1,IF($H750=0,K750,AS749),AS749)</f>
        <v>0</v>
      </c>
      <c r="AT750" s="7" t="n">
        <f aca="false">IF($AJ750=1,IF($H750=1,N750,AT749),AT749)</f>
        <v>0</v>
      </c>
    </row>
    <row r="751" customFormat="false" ht="13" hidden="false" customHeight="false" outlineLevel="0" collapsed="false">
      <c r="A751" s="16" t="n">
        <v>734</v>
      </c>
      <c r="B751" s="37" t="n">
        <f aca="true">IF(RAND()&lt;$D$8,1,0)</f>
        <v>0</v>
      </c>
      <c r="C751" s="20" t="n">
        <f aca="true">-LN(RAND())/$D$2</f>
        <v>0.0665589716634206</v>
      </c>
      <c r="D751" s="38" t="n">
        <f aca="false">D750+C751</f>
        <v>776.85884654987</v>
      </c>
      <c r="E751" s="39" t="n">
        <f aca="false">MAX($E$3,AS750)</f>
        <v>0</v>
      </c>
      <c r="F751" s="39" t="n">
        <f aca="false">MAX($E$3,AT750)</f>
        <v>0</v>
      </c>
      <c r="G751" s="40" t="n">
        <v>0.5</v>
      </c>
      <c r="H751" s="38" t="n">
        <f aca="true">IF((B751=1),(IF((F751&lt;E751),1,(IF((F751=E751),(IF(RAND()&lt;G751,1,0)),0)))),(IF((RAND()&lt;G751),1,0)))</f>
        <v>0</v>
      </c>
      <c r="I751" s="38" t="n">
        <f aca="true">IF((H751=1),0,$D$3+$D$5*(RAND()-0.5))</f>
        <v>1.7743048774313</v>
      </c>
      <c r="J751" s="38" t="n">
        <f aca="false">I751+MAX(D751,J750)</f>
        <v>783.100159781054</v>
      </c>
      <c r="K751" s="38" t="n">
        <f aca="false">IF((H751=0),J751-D751,0)</f>
        <v>6.24131323118399</v>
      </c>
      <c r="L751" s="38" t="n">
        <f aca="true">IF(($H751=0),0,$D$4+$D$5*(RAND()-0.5))</f>
        <v>0</v>
      </c>
      <c r="M751" s="38" t="n">
        <f aca="false">L751+MAX(D751,M750)</f>
        <v>819.360379787946</v>
      </c>
      <c r="N751" s="38" t="n">
        <f aca="false">IF((H751=1),M751-D751,0)</f>
        <v>0</v>
      </c>
      <c r="O751" s="16" t="n">
        <v>734</v>
      </c>
      <c r="P751" s="41" t="n">
        <f aca="false">IF((Arterial=0),P750+1,P750)</f>
        <v>338</v>
      </c>
      <c r="Q751" s="41" t="n">
        <f aca="false">IF((Arterial=1),Q750+1,Q750)</f>
        <v>396</v>
      </c>
      <c r="R751" s="42" t="e">
        <f aca="false">IF((RESET=1),0,R751+K751)</f>
        <v>#N/A</v>
      </c>
      <c r="S751" s="14" t="n">
        <f aca="false">IF(RESET=1,0,S751+N751)</f>
        <v>509.733451314901</v>
      </c>
      <c r="T751" s="2" t="e">
        <f aca="false">IF(RESET=1,0,T751+IF(H751=0,1,0))</f>
        <v>#N/A</v>
      </c>
      <c r="U751" s="2" t="n">
        <f aca="false">IF(RESET=1,0,U751+H751)</f>
        <v>36</v>
      </c>
      <c r="V751" s="14" t="e">
        <f aca="false">R751/(T751+0.00001)</f>
        <v>#N/A</v>
      </c>
      <c r="W751" s="14" t="n">
        <f aca="false">S751/(U751+0.0001)</f>
        <v>14.1592232053495</v>
      </c>
      <c r="X751" s="39" t="n">
        <f aca="false">IF(Informed=1,K751,0)</f>
        <v>0</v>
      </c>
      <c r="Y751" s="39" t="n">
        <f aca="false">IF(Informed=0,K751,0)</f>
        <v>6.24131323118399</v>
      </c>
      <c r="Z751" s="39" t="n">
        <f aca="false">IF(Informed=1,N751,0)</f>
        <v>0</v>
      </c>
      <c r="AA751" s="39" t="n">
        <f aca="false">IF(Informed=0,N751,0)</f>
        <v>0</v>
      </c>
      <c r="AB751" s="43" t="n">
        <f aca="false">IF(Arterial=0,IF(Informed=1,1,0),0)</f>
        <v>0</v>
      </c>
      <c r="AC751" s="43" t="n">
        <f aca="false">IF(Arterial=0,IF(Informed=0,1,0),0)</f>
        <v>1</v>
      </c>
      <c r="AD751" s="43" t="n">
        <f aca="false">IF(Arterial=1,IF(Informed=1,1,0),0)</f>
        <v>0</v>
      </c>
      <c r="AE751" s="43" t="n">
        <f aca="false">IF(Arterial=1,IF(Informed=0,1,0),0)</f>
        <v>0</v>
      </c>
      <c r="AF751" s="35" t="n">
        <f aca="false">IF(AB751=1,(X751-G$1030)^2,0)</f>
        <v>0</v>
      </c>
      <c r="AG751" s="35" t="n">
        <f aca="false">IF(AC751=1,(Y751-H$1030)^2,0)</f>
        <v>21.9255442137365</v>
      </c>
      <c r="AH751" s="35" t="n">
        <f aca="false">IF(AD751=1,(Z751-I$1030)^2,0)</f>
        <v>0</v>
      </c>
      <c r="AI751" s="35" t="n">
        <f aca="false">IF(AE751=1,(AA751-J$1030)^2,0)</f>
        <v>0</v>
      </c>
      <c r="AJ751" s="37" t="n">
        <f aca="true">IF(RAND()&lt;$D$6,1,0)</f>
        <v>0</v>
      </c>
      <c r="AK751" s="14" t="n">
        <f aca="false">AK750+IF((AJ751=1),IF((H751=0),1,0),0)</f>
        <v>0</v>
      </c>
      <c r="AL751" s="14" t="n">
        <f aca="false">AL750+IF((AJ751=1),IF((H751=1),1,0),0)</f>
        <v>0</v>
      </c>
      <c r="AM751" s="37" t="n">
        <f aca="false">IF(AK751=0,9999,IF($H751=0,IF($AJ751&lt;1,AM750+1,0),AM750))</f>
        <v>9999</v>
      </c>
      <c r="AN751" s="37" t="n">
        <f aca="false">IF(AL751=0,9999,IF($H751=1,IF($AJ751&lt;1,AN750+1,0),AN750))</f>
        <v>9999</v>
      </c>
      <c r="AO751" s="37" t="n">
        <f aca="false">IF($A751-AM751&gt;0,1/(1+AM751),0)</f>
        <v>0</v>
      </c>
      <c r="AP751" s="37" t="n">
        <f aca="false">IF($A751-AN751&gt;0,1/(1+AN751),0)</f>
        <v>0</v>
      </c>
      <c r="AQ751" s="7" t="n">
        <f aca="false">IF(AK751=0,0,MAX(MIN(1,AO751^Power),0))</f>
        <v>0</v>
      </c>
      <c r="AR751" s="7" t="n">
        <f aca="false">IF(AL751=0,0,MAX(MIN(1,AP751^Power),0))</f>
        <v>0</v>
      </c>
      <c r="AS751" s="7" t="n">
        <f aca="false">IF($AJ751=1,IF($H751=0,K751,AS750),AS750)</f>
        <v>0</v>
      </c>
      <c r="AT751" s="7" t="n">
        <f aca="false">IF($AJ751=1,IF($H751=1,N751,AT750),AT750)</f>
        <v>0</v>
      </c>
    </row>
    <row r="752" customFormat="false" ht="13" hidden="false" customHeight="false" outlineLevel="0" collapsed="false">
      <c r="A752" s="16" t="n">
        <v>735</v>
      </c>
      <c r="B752" s="37" t="n">
        <f aca="true">IF(RAND()&lt;$D$8,1,0)</f>
        <v>1</v>
      </c>
      <c r="C752" s="20" t="n">
        <f aca="true">-LN(RAND())/$D$2</f>
        <v>0.888440020340761</v>
      </c>
      <c r="D752" s="38" t="n">
        <f aca="false">D751+C752</f>
        <v>777.747286570211</v>
      </c>
      <c r="E752" s="39" t="n">
        <f aca="false">MAX($E$3,AS751)</f>
        <v>0</v>
      </c>
      <c r="F752" s="39" t="n">
        <f aca="false">MAX($E$3,AT751)</f>
        <v>0</v>
      </c>
      <c r="G752" s="40" t="n">
        <v>0.5</v>
      </c>
      <c r="H752" s="38" t="n">
        <f aca="true">IF((B752=1),(IF((F752&lt;E752),1,(IF((F752=E752),(IF(RAND()&lt;G752,1,0)),0)))),(IF((RAND()&lt;G752),1,0)))</f>
        <v>0</v>
      </c>
      <c r="I752" s="38" t="n">
        <f aca="true">IF((H752=1),0,$D$3+$D$5*(RAND()-0.5))</f>
        <v>2.09485431825952</v>
      </c>
      <c r="J752" s="38" t="n">
        <f aca="false">I752+MAX(D752,J751)</f>
        <v>785.195014099313</v>
      </c>
      <c r="K752" s="38" t="n">
        <f aca="false">IF((H752=0),J752-D752,0)</f>
        <v>7.44772752910274</v>
      </c>
      <c r="L752" s="38" t="n">
        <f aca="true">IF(($H752=0),0,$D$4+$D$5*(RAND()-0.5))</f>
        <v>0</v>
      </c>
      <c r="M752" s="38" t="n">
        <f aca="false">L752+MAX(D752,M751)</f>
        <v>819.360379787946</v>
      </c>
      <c r="N752" s="38" t="n">
        <f aca="false">IF((H752=1),M752-D752,0)</f>
        <v>0</v>
      </c>
      <c r="O752" s="16" t="n">
        <v>735</v>
      </c>
      <c r="P752" s="41" t="n">
        <f aca="false">IF((Arterial=0),P751+1,P751)</f>
        <v>339</v>
      </c>
      <c r="Q752" s="41" t="n">
        <f aca="false">IF((Arterial=1),Q751+1,Q751)</f>
        <v>396</v>
      </c>
      <c r="R752" s="42" t="e">
        <f aca="false">IF((RESET=1),0,R752+K752)</f>
        <v>#N/A</v>
      </c>
      <c r="S752" s="14" t="n">
        <f aca="false">IF(RESET=1,0,S752+N752)</f>
        <v>535.356001184543</v>
      </c>
      <c r="T752" s="2" t="e">
        <f aca="false">IF(RESET=1,0,T752+IF(H752=0,1,0))</f>
        <v>#N/A</v>
      </c>
      <c r="U752" s="2" t="n">
        <f aca="false">IF(RESET=1,0,U752+H752)</f>
        <v>34</v>
      </c>
      <c r="V752" s="14" t="e">
        <f aca="false">R752/(T752+0.00001)</f>
        <v>#N/A</v>
      </c>
      <c r="W752" s="14" t="n">
        <f aca="false">S752/(U752+0.0001)</f>
        <v>15.7457184297853</v>
      </c>
      <c r="X752" s="39" t="n">
        <f aca="false">IF(Informed=1,K752,0)</f>
        <v>7.44772752910274</v>
      </c>
      <c r="Y752" s="39" t="n">
        <f aca="false">IF(Informed=0,K752,0)</f>
        <v>0</v>
      </c>
      <c r="Z752" s="39" t="n">
        <f aca="false">IF(Informed=1,N752,0)</f>
        <v>0</v>
      </c>
      <c r="AA752" s="39" t="n">
        <f aca="false">IF(Informed=0,N752,0)</f>
        <v>0</v>
      </c>
      <c r="AB752" s="43" t="n">
        <f aca="false">IF(Arterial=0,IF(Informed=1,1,0),0)</f>
        <v>1</v>
      </c>
      <c r="AC752" s="43" t="n">
        <f aca="false">IF(Arterial=0,IF(Informed=0,1,0),0)</f>
        <v>0</v>
      </c>
      <c r="AD752" s="43" t="n">
        <f aca="false">IF(Arterial=1,IF(Informed=1,1,0),0)</f>
        <v>0</v>
      </c>
      <c r="AE752" s="43" t="n">
        <f aca="false">IF(Arterial=1,IF(Informed=0,1,0),0)</f>
        <v>0</v>
      </c>
      <c r="AF752" s="35" t="n">
        <f aca="false">IF(AB752=1,(X752-G$1030)^2,0)</f>
        <v>10.6403224519242</v>
      </c>
      <c r="AG752" s="35" t="n">
        <f aca="false">IF(AC752=1,(Y752-H$1030)^2,0)</f>
        <v>0</v>
      </c>
      <c r="AH752" s="35" t="n">
        <f aca="false">IF(AD752=1,(Z752-I$1030)^2,0)</f>
        <v>0</v>
      </c>
      <c r="AI752" s="35" t="n">
        <f aca="false">IF(AE752=1,(AA752-J$1030)^2,0)</f>
        <v>0</v>
      </c>
      <c r="AJ752" s="37" t="n">
        <f aca="true">IF(RAND()&lt;$D$6,1,0)</f>
        <v>0</v>
      </c>
      <c r="AK752" s="14" t="n">
        <f aca="false">AK751+IF((AJ752=1),IF((H752=0),1,0),0)</f>
        <v>0</v>
      </c>
      <c r="AL752" s="14" t="n">
        <f aca="false">AL751+IF((AJ752=1),IF((H752=1),1,0),0)</f>
        <v>0</v>
      </c>
      <c r="AM752" s="37" t="n">
        <f aca="false">IF(AK752=0,9999,IF($H752=0,IF($AJ752&lt;1,AM751+1,0),AM751))</f>
        <v>9999</v>
      </c>
      <c r="AN752" s="37" t="n">
        <f aca="false">IF(AL752=0,9999,IF($H752=1,IF($AJ752&lt;1,AN751+1,0),AN751))</f>
        <v>9999</v>
      </c>
      <c r="AO752" s="37" t="n">
        <f aca="false">IF($A752-AM752&gt;0,1/(1+AM752),0)</f>
        <v>0</v>
      </c>
      <c r="AP752" s="37" t="n">
        <f aca="false">IF($A752-AN752&gt;0,1/(1+AN752),0)</f>
        <v>0</v>
      </c>
      <c r="AQ752" s="7" t="n">
        <f aca="false">IF(AK752=0,0,MAX(MIN(1,AO752^Power),0))</f>
        <v>0</v>
      </c>
      <c r="AR752" s="7" t="n">
        <f aca="false">IF(AL752=0,0,MAX(MIN(1,AP752^Power),0))</f>
        <v>0</v>
      </c>
      <c r="AS752" s="7" t="n">
        <f aca="false">IF($AJ752=1,IF($H752=0,K752,AS751),AS751)</f>
        <v>0</v>
      </c>
      <c r="AT752" s="7" t="n">
        <f aca="false">IF($AJ752=1,IF($H752=1,N752,AT751),AT751)</f>
        <v>0</v>
      </c>
    </row>
    <row r="753" customFormat="false" ht="13" hidden="false" customHeight="false" outlineLevel="0" collapsed="false">
      <c r="A753" s="16" t="n">
        <v>736</v>
      </c>
      <c r="B753" s="37" t="n">
        <f aca="true">IF(RAND()&lt;$D$8,1,0)</f>
        <v>0</v>
      </c>
      <c r="C753" s="20" t="n">
        <f aca="true">-LN(RAND())/$D$2</f>
        <v>1.13685999306077</v>
      </c>
      <c r="D753" s="38" t="n">
        <f aca="false">D752+C753</f>
        <v>778.884146563271</v>
      </c>
      <c r="E753" s="39" t="n">
        <f aca="false">MAX($E$3,AS752)</f>
        <v>0</v>
      </c>
      <c r="F753" s="39" t="n">
        <f aca="false">MAX($E$3,AT752)</f>
        <v>0</v>
      </c>
      <c r="G753" s="40" t="n">
        <v>0.5</v>
      </c>
      <c r="H753" s="38" t="n">
        <f aca="true">IF((B753=1),(IF((F753&lt;E753),1,(IF((F753=E753),(IF(RAND()&lt;G753,1,0)),0)))),(IF((RAND()&lt;G753),1,0)))</f>
        <v>1</v>
      </c>
      <c r="I753" s="38" t="n">
        <f aca="true">IF((H753=1),0,$D$3+$D$5*(RAND()-0.5))</f>
        <v>0</v>
      </c>
      <c r="J753" s="38" t="n">
        <f aca="false">I753+MAX(D753,J752)</f>
        <v>785.195014099313</v>
      </c>
      <c r="K753" s="38" t="n">
        <f aca="false">IF((H753=0),J753-D753,0)</f>
        <v>0</v>
      </c>
      <c r="L753" s="38" t="n">
        <f aca="true">IF(($H753=0),0,$D$4+$D$5*(RAND()-0.5))</f>
        <v>1.84016837638853</v>
      </c>
      <c r="M753" s="38" t="n">
        <f aca="false">L753+MAX(D753,M752)</f>
        <v>821.200548164335</v>
      </c>
      <c r="N753" s="38" t="n">
        <f aca="false">IF((H753=1),M753-D753,0)</f>
        <v>42.3164016010635</v>
      </c>
      <c r="O753" s="16" t="n">
        <v>736</v>
      </c>
      <c r="P753" s="41" t="n">
        <f aca="false">IF((Arterial=0),P752+1,P752)</f>
        <v>339</v>
      </c>
      <c r="Q753" s="41" t="n">
        <f aca="false">IF((Arterial=1),Q752+1,Q752)</f>
        <v>397</v>
      </c>
      <c r="R753" s="42" t="n">
        <f aca="false">IF((RESET=1),0,R753+K753)</f>
        <v>921.32172221581</v>
      </c>
      <c r="S753" s="14" t="e">
        <f aca="false">IF(RESET=1,0,S753+N753)</f>
        <v>#N/A</v>
      </c>
      <c r="T753" s="2" t="n">
        <f aca="false">IF(RESET=1,0,T753+IF(H753=0,1,0))</f>
        <v>41</v>
      </c>
      <c r="U753" s="2" t="e">
        <f aca="false">IF(RESET=1,0,U753+H753)</f>
        <v>#N/A</v>
      </c>
      <c r="V753" s="14" t="n">
        <f aca="false">R753/(T753+0.00001)</f>
        <v>22.4712560366646</v>
      </c>
      <c r="W753" s="14" t="e">
        <f aca="false">S753/(U753+0.0001)</f>
        <v>#N/A</v>
      </c>
      <c r="X753" s="39" t="n">
        <f aca="false">IF(Informed=1,K753,0)</f>
        <v>0</v>
      </c>
      <c r="Y753" s="39" t="n">
        <f aca="false">IF(Informed=0,K753,0)</f>
        <v>0</v>
      </c>
      <c r="Z753" s="39" t="n">
        <f aca="false">IF(Informed=1,N753,0)</f>
        <v>0</v>
      </c>
      <c r="AA753" s="39" t="n">
        <f aca="false">IF(Informed=0,N753,0)</f>
        <v>42.3164016010635</v>
      </c>
      <c r="AB753" s="43" t="n">
        <f aca="false">IF(Arterial=0,IF(Informed=1,1,0),0)</f>
        <v>0</v>
      </c>
      <c r="AC753" s="43" t="n">
        <f aca="false">IF(Arterial=0,IF(Informed=0,1,0),0)</f>
        <v>0</v>
      </c>
      <c r="AD753" s="43" t="n">
        <f aca="false">IF(Arterial=1,IF(Informed=1,1,0),0)</f>
        <v>0</v>
      </c>
      <c r="AE753" s="43" t="n">
        <f aca="false">IF(Arterial=1,IF(Informed=0,1,0),0)</f>
        <v>1</v>
      </c>
      <c r="AF753" s="35" t="n">
        <f aca="false">IF(AB753=1,(X753-G$1030)^2,0)</f>
        <v>0</v>
      </c>
      <c r="AG753" s="35" t="n">
        <f aca="false">IF(AC753=1,(Y753-H$1030)^2,0)</f>
        <v>0</v>
      </c>
      <c r="AH753" s="35" t="n">
        <f aca="false">IF(AD753=1,(Z753-I$1030)^2,0)</f>
        <v>0</v>
      </c>
      <c r="AI753" s="35" t="n">
        <f aca="false">IF(AE753=1,(AA753-J$1030)^2,0)</f>
        <v>162.616733099095</v>
      </c>
      <c r="AJ753" s="37" t="n">
        <f aca="true">IF(RAND()&lt;$D$6,1,0)</f>
        <v>0</v>
      </c>
      <c r="AK753" s="14" t="n">
        <f aca="false">AK752+IF((AJ753=1),IF((H753=0),1,0),0)</f>
        <v>0</v>
      </c>
      <c r="AL753" s="14" t="n">
        <f aca="false">AL752+IF((AJ753=1),IF((H753=1),1,0),0)</f>
        <v>0</v>
      </c>
      <c r="AM753" s="37" t="n">
        <f aca="false">IF(AK753=0,9999,IF($H753=0,IF($AJ753&lt;1,AM752+1,0),AM752))</f>
        <v>9999</v>
      </c>
      <c r="AN753" s="37" t="n">
        <f aca="false">IF(AL753=0,9999,IF($H753=1,IF($AJ753&lt;1,AN752+1,0),AN752))</f>
        <v>9999</v>
      </c>
      <c r="AO753" s="37" t="n">
        <f aca="false">IF($A753-AM753&gt;0,1/(1+AM753),0)</f>
        <v>0</v>
      </c>
      <c r="AP753" s="37" t="n">
        <f aca="false">IF($A753-AN753&gt;0,1/(1+AN753),0)</f>
        <v>0</v>
      </c>
      <c r="AQ753" s="7" t="n">
        <f aca="false">IF(AK753=0,0,MAX(MIN(1,AO753^Power),0))</f>
        <v>0</v>
      </c>
      <c r="AR753" s="7" t="n">
        <f aca="false">IF(AL753=0,0,MAX(MIN(1,AP753^Power),0))</f>
        <v>0</v>
      </c>
      <c r="AS753" s="7" t="n">
        <f aca="false">IF($AJ753=1,IF($H753=0,K753,AS752),AS752)</f>
        <v>0</v>
      </c>
      <c r="AT753" s="7" t="n">
        <f aca="false">IF($AJ753=1,IF($H753=1,N753,AT752),AT752)</f>
        <v>0</v>
      </c>
    </row>
    <row r="754" customFormat="false" ht="13" hidden="false" customHeight="false" outlineLevel="0" collapsed="false">
      <c r="A754" s="16" t="n">
        <v>737</v>
      </c>
      <c r="B754" s="37" t="n">
        <f aca="true">IF(RAND()&lt;$D$8,1,0)</f>
        <v>0</v>
      </c>
      <c r="C754" s="20" t="n">
        <f aca="true">-LN(RAND())/$D$2</f>
        <v>0.397940846427625</v>
      </c>
      <c r="D754" s="38" t="n">
        <f aca="false">D753+C754</f>
        <v>779.282087409699</v>
      </c>
      <c r="E754" s="39" t="n">
        <f aca="false">MAX($E$3,AS753)</f>
        <v>0</v>
      </c>
      <c r="F754" s="39" t="n">
        <f aca="false">MAX($E$3,AT753)</f>
        <v>0</v>
      </c>
      <c r="G754" s="40" t="n">
        <v>0.5</v>
      </c>
      <c r="H754" s="38" t="n">
        <f aca="true">IF((B754=1),(IF((F754&lt;E754),1,(IF((F754=E754),(IF(RAND()&lt;G754,1,0)),0)))),(IF((RAND()&lt;G754),1,0)))</f>
        <v>1</v>
      </c>
      <c r="I754" s="38" t="n">
        <f aca="true">IF((H754=1),0,$D$3+$D$5*(RAND()-0.5))</f>
        <v>0</v>
      </c>
      <c r="J754" s="38" t="n">
        <f aca="false">I754+MAX(D754,J753)</f>
        <v>785.195014099313</v>
      </c>
      <c r="K754" s="38" t="n">
        <f aca="false">IF((H754=0),J754-D754,0)</f>
        <v>0</v>
      </c>
      <c r="L754" s="38" t="n">
        <f aca="true">IF(($H754=0),0,$D$4+$D$5*(RAND()-0.5))</f>
        <v>1.7921181182129</v>
      </c>
      <c r="M754" s="38" t="n">
        <f aca="false">L754+MAX(D754,M753)</f>
        <v>822.992666282548</v>
      </c>
      <c r="N754" s="38" t="n">
        <f aca="false">IF((H754=1),M754-D754,0)</f>
        <v>43.7105788728487</v>
      </c>
      <c r="O754" s="16" t="n">
        <v>737</v>
      </c>
      <c r="P754" s="41" t="n">
        <f aca="false">IF((Arterial=0),P753+1,P753)</f>
        <v>339</v>
      </c>
      <c r="Q754" s="41" t="n">
        <f aca="false">IF((Arterial=1),Q753+1,Q753)</f>
        <v>398</v>
      </c>
      <c r="R754" s="42" t="n">
        <f aca="false">IF((RESET=1),0,R754+K754)</f>
        <v>794.616061714588</v>
      </c>
      <c r="S754" s="14" t="e">
        <f aca="false">IF(RESET=1,0,S754+N754)</f>
        <v>#N/A</v>
      </c>
      <c r="T754" s="2" t="n">
        <f aca="false">IF(RESET=1,0,T754+IF(H754=0,1,0))</f>
        <v>42</v>
      </c>
      <c r="U754" s="2" t="e">
        <f aca="false">IF(RESET=1,0,U754+H754)</f>
        <v>#N/A</v>
      </c>
      <c r="V754" s="14" t="n">
        <f aca="false">R754/(T754+0.00001)</f>
        <v>18.9194255361984</v>
      </c>
      <c r="W754" s="14" t="e">
        <f aca="false">S754/(U754+0.0001)</f>
        <v>#N/A</v>
      </c>
      <c r="X754" s="39" t="n">
        <f aca="false">IF(Informed=1,K754,0)</f>
        <v>0</v>
      </c>
      <c r="Y754" s="39" t="n">
        <f aca="false">IF(Informed=0,K754,0)</f>
        <v>0</v>
      </c>
      <c r="Z754" s="39" t="n">
        <f aca="false">IF(Informed=1,N754,0)</f>
        <v>0</v>
      </c>
      <c r="AA754" s="39" t="n">
        <f aca="false">IF(Informed=0,N754,0)</f>
        <v>43.7105788728487</v>
      </c>
      <c r="AB754" s="43" t="n">
        <f aca="false">IF(Arterial=0,IF(Informed=1,1,0),0)</f>
        <v>0</v>
      </c>
      <c r="AC754" s="43" t="n">
        <f aca="false">IF(Arterial=0,IF(Informed=0,1,0),0)</f>
        <v>0</v>
      </c>
      <c r="AD754" s="43" t="n">
        <f aca="false">IF(Arterial=1,IF(Informed=1,1,0),0)</f>
        <v>0</v>
      </c>
      <c r="AE754" s="43" t="n">
        <f aca="false">IF(Arterial=1,IF(Informed=0,1,0),0)</f>
        <v>1</v>
      </c>
      <c r="AF754" s="35" t="n">
        <f aca="false">IF(AB754=1,(X754-G$1030)^2,0)</f>
        <v>0</v>
      </c>
      <c r="AG754" s="35" t="n">
        <f aca="false">IF(AC754=1,(Y754-H$1030)^2,0)</f>
        <v>0</v>
      </c>
      <c r="AH754" s="35" t="n">
        <f aca="false">IF(AD754=1,(Z754-I$1030)^2,0)</f>
        <v>0</v>
      </c>
      <c r="AI754" s="35" t="n">
        <f aca="false">IF(AE754=1,(AA754-J$1030)^2,0)</f>
        <v>200.117913539801</v>
      </c>
      <c r="AJ754" s="37" t="n">
        <f aca="true">IF(RAND()&lt;$D$6,1,0)</f>
        <v>0</v>
      </c>
      <c r="AK754" s="14" t="n">
        <f aca="false">AK753+IF((AJ754=1),IF((H754=0),1,0),0)</f>
        <v>0</v>
      </c>
      <c r="AL754" s="14" t="n">
        <f aca="false">AL753+IF((AJ754=1),IF((H754=1),1,0),0)</f>
        <v>0</v>
      </c>
      <c r="AM754" s="37" t="n">
        <f aca="false">IF(AK754=0,9999,IF($H754=0,IF($AJ754&lt;1,AM753+1,0),AM753))</f>
        <v>9999</v>
      </c>
      <c r="AN754" s="37" t="n">
        <f aca="false">IF(AL754=0,9999,IF($H754=1,IF($AJ754&lt;1,AN753+1,0),AN753))</f>
        <v>9999</v>
      </c>
      <c r="AO754" s="37" t="n">
        <f aca="false">IF($A754-AM754&gt;0,1/(1+AM754),0)</f>
        <v>0</v>
      </c>
      <c r="AP754" s="37" t="n">
        <f aca="false">IF($A754-AN754&gt;0,1/(1+AN754),0)</f>
        <v>0</v>
      </c>
      <c r="AQ754" s="7" t="n">
        <f aca="false">IF(AK754=0,0,MAX(MIN(1,AO754^Power),0))</f>
        <v>0</v>
      </c>
      <c r="AR754" s="7" t="n">
        <f aca="false">IF(AL754=0,0,MAX(MIN(1,AP754^Power),0))</f>
        <v>0</v>
      </c>
      <c r="AS754" s="7" t="n">
        <f aca="false">IF($AJ754=1,IF($H754=0,K754,AS753),AS753)</f>
        <v>0</v>
      </c>
      <c r="AT754" s="7" t="n">
        <f aca="false">IF($AJ754=1,IF($H754=1,N754,AT753),AT753)</f>
        <v>0</v>
      </c>
    </row>
    <row r="755" customFormat="false" ht="13" hidden="false" customHeight="false" outlineLevel="0" collapsed="false">
      <c r="A755" s="16" t="n">
        <v>738</v>
      </c>
      <c r="B755" s="37" t="n">
        <f aca="true">IF(RAND()&lt;$D$8,1,0)</f>
        <v>0</v>
      </c>
      <c r="C755" s="20" t="n">
        <f aca="true">-LN(RAND())/$D$2</f>
        <v>0.0160733643791501</v>
      </c>
      <c r="D755" s="38" t="n">
        <f aca="false">D754+C755</f>
        <v>779.298160774078</v>
      </c>
      <c r="E755" s="39" t="n">
        <f aca="false">MAX($E$3,AS754)</f>
        <v>0</v>
      </c>
      <c r="F755" s="39" t="n">
        <f aca="false">MAX($E$3,AT754)</f>
        <v>0</v>
      </c>
      <c r="G755" s="40" t="n">
        <v>0.5</v>
      </c>
      <c r="H755" s="38" t="n">
        <f aca="true">IF((B755=1),(IF((F755&lt;E755),1,(IF((F755=E755),(IF(RAND()&lt;G755,1,0)),0)))),(IF((RAND()&lt;G755),1,0)))</f>
        <v>0</v>
      </c>
      <c r="I755" s="38" t="n">
        <f aca="true">IF((H755=1),0,$D$3+$D$5*(RAND()-0.5))</f>
        <v>2.20172418165647</v>
      </c>
      <c r="J755" s="38" t="n">
        <f aca="false">I755+MAX(D755,J754)</f>
        <v>787.39673828097</v>
      </c>
      <c r="K755" s="38" t="n">
        <f aca="false">IF((H755=0),J755-D755,0)</f>
        <v>8.09857750689162</v>
      </c>
      <c r="L755" s="38" t="n">
        <f aca="true">IF(($H755=0),0,$D$4+$D$5*(RAND()-0.5))</f>
        <v>0</v>
      </c>
      <c r="M755" s="38" t="n">
        <f aca="false">L755+MAX(D755,M754)</f>
        <v>822.992666282548</v>
      </c>
      <c r="N755" s="38" t="n">
        <f aca="false">IF((H755=1),M755-D755,0)</f>
        <v>0</v>
      </c>
      <c r="O755" s="16" t="n">
        <v>738</v>
      </c>
      <c r="P755" s="41" t="n">
        <f aca="false">IF((Arterial=0),P754+1,P754)</f>
        <v>340</v>
      </c>
      <c r="Q755" s="41" t="n">
        <f aca="false">IF((Arterial=1),Q754+1,Q754)</f>
        <v>398</v>
      </c>
      <c r="R755" s="42" t="e">
        <f aca="false">IF((RESET=1),0,R755+K755)</f>
        <v>#N/A</v>
      </c>
      <c r="S755" s="14" t="n">
        <f aca="false">IF(RESET=1,0,S755+N755)</f>
        <v>724.625067228198</v>
      </c>
      <c r="T755" s="2" t="e">
        <f aca="false">IF(RESET=1,0,T755+IF(H755=0,1,0))</f>
        <v>#N/A</v>
      </c>
      <c r="U755" s="2" t="n">
        <f aca="false">IF(RESET=1,0,U755+H755)</f>
        <v>46</v>
      </c>
      <c r="V755" s="14" t="e">
        <f aca="false">R755/(T755+0.00001)</f>
        <v>#N/A</v>
      </c>
      <c r="W755" s="14" t="n">
        <f aca="false">S755/(U755+0.0001)</f>
        <v>15.7526846078204</v>
      </c>
      <c r="X755" s="39" t="n">
        <f aca="false">IF(Informed=1,K755,0)</f>
        <v>0</v>
      </c>
      <c r="Y755" s="39" t="n">
        <f aca="false">IF(Informed=0,K755,0)</f>
        <v>8.09857750689162</v>
      </c>
      <c r="Z755" s="39" t="n">
        <f aca="false">IF(Informed=1,N755,0)</f>
        <v>0</v>
      </c>
      <c r="AA755" s="39" t="n">
        <f aca="false">IF(Informed=0,N755,0)</f>
        <v>0</v>
      </c>
      <c r="AB755" s="43" t="n">
        <f aca="false">IF(Arterial=0,IF(Informed=1,1,0),0)</f>
        <v>0</v>
      </c>
      <c r="AC755" s="43" t="n">
        <f aca="false">IF(Arterial=0,IF(Informed=0,1,0),0)</f>
        <v>1</v>
      </c>
      <c r="AD755" s="43" t="n">
        <f aca="false">IF(Arterial=1,IF(Informed=1,1,0),0)</f>
        <v>0</v>
      </c>
      <c r="AE755" s="43" t="n">
        <f aca="false">IF(Arterial=1,IF(Informed=0,1,0),0)</f>
        <v>0</v>
      </c>
      <c r="AF755" s="35" t="n">
        <f aca="false">IF(AB755=1,(X755-G$1030)^2,0)</f>
        <v>0</v>
      </c>
      <c r="AG755" s="35" t="n">
        <f aca="false">IF(AC755=1,(Y755-H$1030)^2,0)</f>
        <v>7.9817987957872</v>
      </c>
      <c r="AH755" s="35" t="n">
        <f aca="false">IF(AD755=1,(Z755-I$1030)^2,0)</f>
        <v>0</v>
      </c>
      <c r="AI755" s="35" t="n">
        <f aca="false">IF(AE755=1,(AA755-J$1030)^2,0)</f>
        <v>0</v>
      </c>
      <c r="AJ755" s="37" t="n">
        <f aca="true">IF(RAND()&lt;$D$6,1,0)</f>
        <v>0</v>
      </c>
      <c r="AK755" s="14" t="n">
        <f aca="false">AK754+IF((AJ755=1),IF((H755=0),1,0),0)</f>
        <v>0</v>
      </c>
      <c r="AL755" s="14" t="n">
        <f aca="false">AL754+IF((AJ755=1),IF((H755=1),1,0),0)</f>
        <v>0</v>
      </c>
      <c r="AM755" s="37" t="n">
        <f aca="false">IF(AK755=0,9999,IF($H755=0,IF($AJ755&lt;1,AM754+1,0),AM754))</f>
        <v>9999</v>
      </c>
      <c r="AN755" s="37" t="n">
        <f aca="false">IF(AL755=0,9999,IF($H755=1,IF($AJ755&lt;1,AN754+1,0),AN754))</f>
        <v>9999</v>
      </c>
      <c r="AO755" s="37" t="n">
        <f aca="false">IF($A755-AM755&gt;0,1/(1+AM755),0)</f>
        <v>0</v>
      </c>
      <c r="AP755" s="37" t="n">
        <f aca="false">IF($A755-AN755&gt;0,1/(1+AN755),0)</f>
        <v>0</v>
      </c>
      <c r="AQ755" s="7" t="n">
        <f aca="false">IF(AK755=0,0,MAX(MIN(1,AO755^Power),0))</f>
        <v>0</v>
      </c>
      <c r="AR755" s="7" t="n">
        <f aca="false">IF(AL755=0,0,MAX(MIN(1,AP755^Power),0))</f>
        <v>0</v>
      </c>
      <c r="AS755" s="7" t="n">
        <f aca="false">IF($AJ755=1,IF($H755=0,K755,AS754),AS754)</f>
        <v>0</v>
      </c>
      <c r="AT755" s="7" t="n">
        <f aca="false">IF($AJ755=1,IF($H755=1,N755,AT754),AT754)</f>
        <v>0</v>
      </c>
    </row>
    <row r="756" customFormat="false" ht="13" hidden="false" customHeight="false" outlineLevel="0" collapsed="false">
      <c r="A756" s="16" t="n">
        <v>739</v>
      </c>
      <c r="B756" s="37" t="n">
        <f aca="true">IF(RAND()&lt;$D$8,1,0)</f>
        <v>0</v>
      </c>
      <c r="C756" s="20" t="n">
        <f aca="true">-LN(RAND())/$D$2</f>
        <v>0.155219332202686</v>
      </c>
      <c r="D756" s="38" t="n">
        <f aca="false">D755+C756</f>
        <v>779.453380106281</v>
      </c>
      <c r="E756" s="39" t="n">
        <f aca="false">MAX($E$3,AS755)</f>
        <v>0</v>
      </c>
      <c r="F756" s="39" t="n">
        <f aca="false">MAX($E$3,AT755)</f>
        <v>0</v>
      </c>
      <c r="G756" s="40" t="n">
        <v>0.5</v>
      </c>
      <c r="H756" s="38" t="n">
        <f aca="true">IF((B756=1),(IF((F756&lt;E756),1,(IF((F756=E756),(IF(RAND()&lt;G756,1,0)),0)))),(IF((RAND()&lt;G756),1,0)))</f>
        <v>0</v>
      </c>
      <c r="I756" s="38" t="n">
        <f aca="true">IF((H756=1),0,$D$3+$D$5*(RAND()-0.5))</f>
        <v>2.10994816153735</v>
      </c>
      <c r="J756" s="38" t="n">
        <f aca="false">I756+MAX(D756,J755)</f>
        <v>789.506686442507</v>
      </c>
      <c r="K756" s="38" t="n">
        <f aca="false">IF((H756=0),J756-D756,0)</f>
        <v>10.0533063362262</v>
      </c>
      <c r="L756" s="38" t="n">
        <f aca="true">IF(($H756=0),0,$D$4+$D$5*(RAND()-0.5))</f>
        <v>0</v>
      </c>
      <c r="M756" s="38" t="n">
        <f aca="false">L756+MAX(D756,M755)</f>
        <v>822.992666282548</v>
      </c>
      <c r="N756" s="38" t="n">
        <f aca="false">IF((H756=1),M756-D756,0)</f>
        <v>0</v>
      </c>
      <c r="O756" s="16" t="n">
        <v>739</v>
      </c>
      <c r="P756" s="41" t="n">
        <f aca="false">IF((Arterial=0),P755+1,P755)</f>
        <v>341</v>
      </c>
      <c r="Q756" s="41" t="n">
        <f aca="false">IF((Arterial=1),Q755+1,Q755)</f>
        <v>398</v>
      </c>
      <c r="R756" s="42" t="e">
        <f aca="false">IF((RESET=1),0,R756+K756)</f>
        <v>#N/A</v>
      </c>
      <c r="S756" s="14" t="n">
        <f aca="false">IF(RESET=1,0,S756+N756)</f>
        <v>764.209736526698</v>
      </c>
      <c r="T756" s="2" t="e">
        <f aca="false">IF(RESET=1,0,T756+IF(H756=0,1,0))</f>
        <v>#N/A</v>
      </c>
      <c r="U756" s="2" t="n">
        <f aca="false">IF(RESET=1,0,U756+H756)</f>
        <v>51</v>
      </c>
      <c r="V756" s="14" t="e">
        <f aca="false">R756/(T756+0.00001)</f>
        <v>#N/A</v>
      </c>
      <c r="W756" s="14" t="n">
        <f aca="false">S756/(U756+0.0001)</f>
        <v>14.9844752564544</v>
      </c>
      <c r="X756" s="39" t="n">
        <f aca="false">IF(Informed=1,K756,0)</f>
        <v>0</v>
      </c>
      <c r="Y756" s="39" t="n">
        <f aca="false">IF(Informed=0,K756,0)</f>
        <v>10.0533063362262</v>
      </c>
      <c r="Z756" s="39" t="n">
        <f aca="false">IF(Informed=1,N756,0)</f>
        <v>0</v>
      </c>
      <c r="AA756" s="39" t="n">
        <f aca="false">IF(Informed=0,N756,0)</f>
        <v>0</v>
      </c>
      <c r="AB756" s="43" t="n">
        <f aca="false">IF(Arterial=0,IF(Informed=1,1,0),0)</f>
        <v>0</v>
      </c>
      <c r="AC756" s="43" t="n">
        <f aca="false">IF(Arterial=0,IF(Informed=0,1,0),0)</f>
        <v>1</v>
      </c>
      <c r="AD756" s="43" t="n">
        <f aca="false">IF(Arterial=1,IF(Informed=1,1,0),0)</f>
        <v>0</v>
      </c>
      <c r="AE756" s="43" t="n">
        <f aca="false">IF(Arterial=1,IF(Informed=0,1,0),0)</f>
        <v>0</v>
      </c>
      <c r="AF756" s="35" t="n">
        <f aca="false">IF(AB756=1,(X756-G$1030)^2,0)</f>
        <v>0</v>
      </c>
      <c r="AG756" s="35" t="n">
        <f aca="false">IF(AC756=1,(Y756-H$1030)^2,0)</f>
        <v>0.757733540578048</v>
      </c>
      <c r="AH756" s="35" t="n">
        <f aca="false">IF(AD756=1,(Z756-I$1030)^2,0)</f>
        <v>0</v>
      </c>
      <c r="AI756" s="35" t="n">
        <f aca="false">IF(AE756=1,(AA756-J$1030)^2,0)</f>
        <v>0</v>
      </c>
      <c r="AJ756" s="37" t="n">
        <f aca="true">IF(RAND()&lt;$D$6,1,0)</f>
        <v>0</v>
      </c>
      <c r="AK756" s="14" t="n">
        <f aca="false">AK755+IF((AJ756=1),IF((H756=0),1,0),0)</f>
        <v>0</v>
      </c>
      <c r="AL756" s="14" t="n">
        <f aca="false">AL755+IF((AJ756=1),IF((H756=1),1,0),0)</f>
        <v>0</v>
      </c>
      <c r="AM756" s="37" t="n">
        <f aca="false">IF(AK756=0,9999,IF($H756=0,IF($AJ756&lt;1,AM755+1,0),AM755))</f>
        <v>9999</v>
      </c>
      <c r="AN756" s="37" t="n">
        <f aca="false">IF(AL756=0,9999,IF($H756=1,IF($AJ756&lt;1,AN755+1,0),AN755))</f>
        <v>9999</v>
      </c>
      <c r="AO756" s="37" t="n">
        <f aca="false">IF($A756-AM756&gt;0,1/(1+AM756),0)</f>
        <v>0</v>
      </c>
      <c r="AP756" s="37" t="n">
        <f aca="false">IF($A756-AN756&gt;0,1/(1+AN756),0)</f>
        <v>0</v>
      </c>
      <c r="AQ756" s="7" t="n">
        <f aca="false">IF(AK756=0,0,MAX(MIN(1,AO756^Power),0))</f>
        <v>0</v>
      </c>
      <c r="AR756" s="7" t="n">
        <f aca="false">IF(AL756=0,0,MAX(MIN(1,AP756^Power),0))</f>
        <v>0</v>
      </c>
      <c r="AS756" s="7" t="n">
        <f aca="false">IF($AJ756=1,IF($H756=0,K756,AS755),AS755)</f>
        <v>0</v>
      </c>
      <c r="AT756" s="7" t="n">
        <f aca="false">IF($AJ756=1,IF($H756=1,N756,AT755),AT755)</f>
        <v>0</v>
      </c>
    </row>
    <row r="757" customFormat="false" ht="13" hidden="false" customHeight="false" outlineLevel="0" collapsed="false">
      <c r="A757" s="16" t="n">
        <v>740</v>
      </c>
      <c r="B757" s="37" t="n">
        <f aca="true">IF(RAND()&lt;$D$8,1,0)</f>
        <v>1</v>
      </c>
      <c r="C757" s="20" t="n">
        <f aca="true">-LN(RAND())/$D$2</f>
        <v>0.0864681371753504</v>
      </c>
      <c r="D757" s="38" t="n">
        <f aca="false">D756+C757</f>
        <v>779.539848243456</v>
      </c>
      <c r="E757" s="39" t="n">
        <f aca="false">MAX($E$3,AS756)</f>
        <v>0</v>
      </c>
      <c r="F757" s="39" t="n">
        <f aca="false">MAX($E$3,AT756)</f>
        <v>0</v>
      </c>
      <c r="G757" s="40" t="n">
        <v>0.5</v>
      </c>
      <c r="H757" s="38" t="n">
        <f aca="true">IF((B757=1),(IF((F757&lt;E757),1,(IF((F757=E757),(IF(RAND()&lt;G757,1,0)),0)))),(IF((RAND()&lt;G757),1,0)))</f>
        <v>0</v>
      </c>
      <c r="I757" s="38" t="n">
        <f aca="true">IF((H757=1),0,$D$3+$D$5*(RAND()-0.5))</f>
        <v>2.22885293637781</v>
      </c>
      <c r="J757" s="38" t="n">
        <f aca="false">I757+MAX(D757,J756)</f>
        <v>791.735539378885</v>
      </c>
      <c r="K757" s="38" t="n">
        <f aca="false">IF((H757=0),J757-D757,0)</f>
        <v>12.1956911354288</v>
      </c>
      <c r="L757" s="38" t="n">
        <f aca="true">IF(($H757=0),0,$D$4+$D$5*(RAND()-0.5))</f>
        <v>0</v>
      </c>
      <c r="M757" s="38" t="n">
        <f aca="false">L757+MAX(D757,M756)</f>
        <v>822.992666282548</v>
      </c>
      <c r="N757" s="38" t="n">
        <f aca="false">IF((H757=1),M757-D757,0)</f>
        <v>0</v>
      </c>
      <c r="O757" s="16" t="n">
        <v>740</v>
      </c>
      <c r="P757" s="41" t="n">
        <f aca="false">IF((Arterial=0),P756+1,P756)</f>
        <v>342</v>
      </c>
      <c r="Q757" s="41" t="n">
        <f aca="false">IF((Arterial=1),Q756+1,Q756)</f>
        <v>398</v>
      </c>
      <c r="R757" s="42" t="e">
        <f aca="false">IF((RESET=1),0,R757+K757)</f>
        <v>#N/A</v>
      </c>
      <c r="S757" s="14" t="n">
        <f aca="false">IF(RESET=1,0,S757+N757)</f>
        <v>652.900676273408</v>
      </c>
      <c r="T757" s="2" t="e">
        <f aca="false">IF(RESET=1,0,T757+IF(H757=0,1,0))</f>
        <v>#N/A</v>
      </c>
      <c r="U757" s="2" t="n">
        <f aca="false">IF(RESET=1,0,U757+H757)</f>
        <v>43</v>
      </c>
      <c r="V757" s="14" t="e">
        <f aca="false">R757/(T757+0.00001)</f>
        <v>#N/A</v>
      </c>
      <c r="W757" s="14" t="n">
        <f aca="false">S757/(U757+0.0001)</f>
        <v>15.1837013465878</v>
      </c>
      <c r="X757" s="39" t="n">
        <f aca="false">IF(Informed=1,K757,0)</f>
        <v>12.1956911354288</v>
      </c>
      <c r="Y757" s="39" t="n">
        <f aca="false">IF(Informed=0,K757,0)</f>
        <v>0</v>
      </c>
      <c r="Z757" s="39" t="n">
        <f aca="false">IF(Informed=1,N757,0)</f>
        <v>0</v>
      </c>
      <c r="AA757" s="39" t="n">
        <f aca="false">IF(Informed=0,N757,0)</f>
        <v>0</v>
      </c>
      <c r="AB757" s="43" t="n">
        <f aca="false">IF(Arterial=0,IF(Informed=1,1,0),0)</f>
        <v>1</v>
      </c>
      <c r="AC757" s="43" t="n">
        <f aca="false">IF(Arterial=0,IF(Informed=0,1,0),0)</f>
        <v>0</v>
      </c>
      <c r="AD757" s="43" t="n">
        <f aca="false">IF(Arterial=1,IF(Informed=1,1,0),0)</f>
        <v>0</v>
      </c>
      <c r="AE757" s="43" t="n">
        <f aca="false">IF(Arterial=1,IF(Informed=0,1,0),0)</f>
        <v>0</v>
      </c>
      <c r="AF757" s="35" t="n">
        <f aca="false">IF(AB757=1,(X757-G$1030)^2,0)</f>
        <v>2.20823432009565</v>
      </c>
      <c r="AG757" s="35" t="n">
        <f aca="false">IF(AC757=1,(Y757-H$1030)^2,0)</f>
        <v>0</v>
      </c>
      <c r="AH757" s="35" t="n">
        <f aca="false">IF(AD757=1,(Z757-I$1030)^2,0)</f>
        <v>0</v>
      </c>
      <c r="AI757" s="35" t="n">
        <f aca="false">IF(AE757=1,(AA757-J$1030)^2,0)</f>
        <v>0</v>
      </c>
      <c r="AJ757" s="37" t="n">
        <f aca="true">IF(RAND()&lt;$D$6,1,0)</f>
        <v>0</v>
      </c>
      <c r="AK757" s="14" t="n">
        <f aca="false">AK756+IF((AJ757=1),IF((H757=0),1,0),0)</f>
        <v>0</v>
      </c>
      <c r="AL757" s="14" t="n">
        <f aca="false">AL756+IF((AJ757=1),IF((H757=1),1,0),0)</f>
        <v>0</v>
      </c>
      <c r="AM757" s="37" t="n">
        <f aca="false">IF(AK757=0,9999,IF($H757=0,IF($AJ757&lt;1,AM756+1,0),AM756))</f>
        <v>9999</v>
      </c>
      <c r="AN757" s="37" t="n">
        <f aca="false">IF(AL757=0,9999,IF($H757=1,IF($AJ757&lt;1,AN756+1,0),AN756))</f>
        <v>9999</v>
      </c>
      <c r="AO757" s="37" t="n">
        <f aca="false">IF($A757-AM757&gt;0,1/(1+AM757),0)</f>
        <v>0</v>
      </c>
      <c r="AP757" s="37" t="n">
        <f aca="false">IF($A757-AN757&gt;0,1/(1+AN757),0)</f>
        <v>0</v>
      </c>
      <c r="AQ757" s="7" t="n">
        <f aca="false">IF(AK757=0,0,MAX(MIN(1,AO757^Power),0))</f>
        <v>0</v>
      </c>
      <c r="AR757" s="7" t="n">
        <f aca="false">IF(AL757=0,0,MAX(MIN(1,AP757^Power),0))</f>
        <v>0</v>
      </c>
      <c r="AS757" s="7" t="n">
        <f aca="false">IF($AJ757=1,IF($H757=0,K757,AS756),AS756)</f>
        <v>0</v>
      </c>
      <c r="AT757" s="7" t="n">
        <f aca="false">IF($AJ757=1,IF($H757=1,N757,AT756),AT756)</f>
        <v>0</v>
      </c>
    </row>
    <row r="758" customFormat="false" ht="13" hidden="false" customHeight="false" outlineLevel="0" collapsed="false">
      <c r="A758" s="16" t="n">
        <v>741</v>
      </c>
      <c r="B758" s="37" t="n">
        <f aca="true">IF(RAND()&lt;$D$8,1,0)</f>
        <v>1</v>
      </c>
      <c r="C758" s="20" t="n">
        <f aca="true">-LN(RAND())/$D$2</f>
        <v>0.19827803542698</v>
      </c>
      <c r="D758" s="38" t="n">
        <f aca="false">D757+C758</f>
        <v>779.738126278883</v>
      </c>
      <c r="E758" s="39" t="n">
        <f aca="false">MAX($E$3,AS757)</f>
        <v>0</v>
      </c>
      <c r="F758" s="39" t="n">
        <f aca="false">MAX($E$3,AT757)</f>
        <v>0</v>
      </c>
      <c r="G758" s="40" t="n">
        <v>0.5</v>
      </c>
      <c r="H758" s="38" t="n">
        <f aca="true">IF((B758=1),(IF((F758&lt;E758),1,(IF((F758=E758),(IF(RAND()&lt;G758,1,0)),0)))),(IF((RAND()&lt;G758),1,0)))</f>
        <v>0</v>
      </c>
      <c r="I758" s="38" t="n">
        <f aca="true">IF((H758=1),0,$D$3+$D$5*(RAND()-0.5))</f>
        <v>1.98414827719614</v>
      </c>
      <c r="J758" s="38" t="n">
        <f aca="false">I758+MAX(D758,J757)</f>
        <v>793.719687656081</v>
      </c>
      <c r="K758" s="38" t="n">
        <f aca="false">IF((H758=0),J758-D758,0)</f>
        <v>13.981561377198</v>
      </c>
      <c r="L758" s="38" t="n">
        <f aca="true">IF(($H758=0),0,$D$4+$D$5*(RAND()-0.5))</f>
        <v>0</v>
      </c>
      <c r="M758" s="38" t="n">
        <f aca="false">L758+MAX(D758,M757)</f>
        <v>822.992666282548</v>
      </c>
      <c r="N758" s="38" t="n">
        <f aca="false">IF((H758=1),M758-D758,0)</f>
        <v>0</v>
      </c>
      <c r="O758" s="16" t="n">
        <v>741</v>
      </c>
      <c r="P758" s="41" t="n">
        <f aca="false">IF((Arterial=0),P757+1,P757)</f>
        <v>343</v>
      </c>
      <c r="Q758" s="41" t="n">
        <f aca="false">IF((Arterial=1),Q757+1,Q757)</f>
        <v>398</v>
      </c>
      <c r="R758" s="42" t="e">
        <f aca="false">IF((RESET=1),0,R758+K758)</f>
        <v>#N/A</v>
      </c>
      <c r="S758" s="14" t="n">
        <f aca="false">IF(RESET=1,0,S758+N758)</f>
        <v>679.656504462126</v>
      </c>
      <c r="T758" s="2" t="e">
        <f aca="false">IF(RESET=1,0,T758+IF(H758=0,1,0))</f>
        <v>#N/A</v>
      </c>
      <c r="U758" s="2" t="n">
        <f aca="false">IF(RESET=1,0,U758+H758)</f>
        <v>42</v>
      </c>
      <c r="V758" s="14" t="e">
        <f aca="false">R758/(T758+0.00001)</f>
        <v>#N/A</v>
      </c>
      <c r="W758" s="14" t="n">
        <f aca="false">S758/(U758+0.0001)</f>
        <v>16.1822591961002</v>
      </c>
      <c r="X758" s="39" t="n">
        <f aca="false">IF(Informed=1,K758,0)</f>
        <v>13.981561377198</v>
      </c>
      <c r="Y758" s="39" t="n">
        <f aca="false">IF(Informed=0,K758,0)</f>
        <v>0</v>
      </c>
      <c r="Z758" s="39" t="n">
        <f aca="false">IF(Informed=1,N758,0)</f>
        <v>0</v>
      </c>
      <c r="AA758" s="39" t="n">
        <f aca="false">IF(Informed=0,N758,0)</f>
        <v>0</v>
      </c>
      <c r="AB758" s="43" t="n">
        <f aca="false">IF(Arterial=0,IF(Informed=1,1,0),0)</f>
        <v>1</v>
      </c>
      <c r="AC758" s="43" t="n">
        <f aca="false">IF(Arterial=0,IF(Informed=0,1,0),0)</f>
        <v>0</v>
      </c>
      <c r="AD758" s="43" t="n">
        <f aca="false">IF(Arterial=1,IF(Informed=1,1,0),0)</f>
        <v>0</v>
      </c>
      <c r="AE758" s="43" t="n">
        <f aca="false">IF(Arterial=1,IF(Informed=0,1,0),0)</f>
        <v>0</v>
      </c>
      <c r="AF758" s="35" t="n">
        <f aca="false">IF(AB758=1,(X758-G$1030)^2,0)</f>
        <v>10.7052192518441</v>
      </c>
      <c r="AG758" s="35" t="n">
        <f aca="false">IF(AC758=1,(Y758-H$1030)^2,0)</f>
        <v>0</v>
      </c>
      <c r="AH758" s="35" t="n">
        <f aca="false">IF(AD758=1,(Z758-I$1030)^2,0)</f>
        <v>0</v>
      </c>
      <c r="AI758" s="35" t="n">
        <f aca="false">IF(AE758=1,(AA758-J$1030)^2,0)</f>
        <v>0</v>
      </c>
      <c r="AJ758" s="37" t="n">
        <f aca="true">IF(RAND()&lt;$D$6,1,0)</f>
        <v>0</v>
      </c>
      <c r="AK758" s="14" t="n">
        <f aca="false">AK757+IF((AJ758=1),IF((H758=0),1,0),0)</f>
        <v>0</v>
      </c>
      <c r="AL758" s="14" t="n">
        <f aca="false">AL757+IF((AJ758=1),IF((H758=1),1,0),0)</f>
        <v>0</v>
      </c>
      <c r="AM758" s="37" t="n">
        <f aca="false">IF(AK758=0,9999,IF($H758=0,IF($AJ758&lt;1,AM757+1,0),AM757))</f>
        <v>9999</v>
      </c>
      <c r="AN758" s="37" t="n">
        <f aca="false">IF(AL758=0,9999,IF($H758=1,IF($AJ758&lt;1,AN757+1,0),AN757))</f>
        <v>9999</v>
      </c>
      <c r="AO758" s="37" t="n">
        <f aca="false">IF($A758-AM758&gt;0,1/(1+AM758),0)</f>
        <v>0</v>
      </c>
      <c r="AP758" s="37" t="n">
        <f aca="false">IF($A758-AN758&gt;0,1/(1+AN758),0)</f>
        <v>0</v>
      </c>
      <c r="AQ758" s="7" t="n">
        <f aca="false">IF(AK758=0,0,MAX(MIN(1,AO758^Power),0))</f>
        <v>0</v>
      </c>
      <c r="AR758" s="7" t="n">
        <f aca="false">IF(AL758=0,0,MAX(MIN(1,AP758^Power),0))</f>
        <v>0</v>
      </c>
      <c r="AS758" s="7" t="n">
        <f aca="false">IF($AJ758=1,IF($H758=0,K758,AS757),AS757)</f>
        <v>0</v>
      </c>
      <c r="AT758" s="7" t="n">
        <f aca="false">IF($AJ758=1,IF($H758=1,N758,AT757),AT757)</f>
        <v>0</v>
      </c>
    </row>
    <row r="759" customFormat="false" ht="13" hidden="false" customHeight="false" outlineLevel="0" collapsed="false">
      <c r="A759" s="16" t="n">
        <v>742</v>
      </c>
      <c r="B759" s="37" t="n">
        <f aca="true">IF(RAND()&lt;$D$8,1,0)</f>
        <v>1</v>
      </c>
      <c r="C759" s="20" t="n">
        <f aca="true">-LN(RAND())/$D$2</f>
        <v>0.389533891572926</v>
      </c>
      <c r="D759" s="38" t="n">
        <f aca="false">D758+C759</f>
        <v>780.127660170456</v>
      </c>
      <c r="E759" s="39" t="n">
        <f aca="false">MAX($E$3,AS758)</f>
        <v>0</v>
      </c>
      <c r="F759" s="39" t="n">
        <f aca="false">MAX($E$3,AT758)</f>
        <v>0</v>
      </c>
      <c r="G759" s="40" t="n">
        <v>0.5</v>
      </c>
      <c r="H759" s="38" t="n">
        <f aca="true">IF((B759=1),(IF((F759&lt;E759),1,(IF((F759=E759),(IF(RAND()&lt;G759,1,0)),0)))),(IF((RAND()&lt;G759),1,0)))</f>
        <v>0</v>
      </c>
      <c r="I759" s="38" t="n">
        <f aca="true">IF((H759=1),0,$D$3+$D$5*(RAND()-0.5))</f>
        <v>2.08324191077428</v>
      </c>
      <c r="J759" s="38" t="n">
        <f aca="false">I759+MAX(D759,J758)</f>
        <v>795.802929566856</v>
      </c>
      <c r="K759" s="38" t="n">
        <f aca="false">IF((H759=0),J759-D759,0)</f>
        <v>15.6752693963994</v>
      </c>
      <c r="L759" s="38" t="n">
        <f aca="true">IF(($H759=0),0,$D$4+$D$5*(RAND()-0.5))</f>
        <v>0</v>
      </c>
      <c r="M759" s="38" t="n">
        <f aca="false">L759+MAX(D759,M758)</f>
        <v>822.992666282548</v>
      </c>
      <c r="N759" s="38" t="n">
        <f aca="false">IF((H759=1),M759-D759,0)</f>
        <v>0</v>
      </c>
      <c r="O759" s="16" t="n">
        <v>742</v>
      </c>
      <c r="P759" s="41" t="n">
        <f aca="false">IF((Arterial=0),P758+1,P758)</f>
        <v>344</v>
      </c>
      <c r="Q759" s="41" t="n">
        <f aca="false">IF((Arterial=1),Q758+1,Q758)</f>
        <v>398</v>
      </c>
      <c r="R759" s="42" t="e">
        <f aca="false">IF((RESET=1),0,R759+K759)</f>
        <v>#N/A</v>
      </c>
      <c r="S759" s="14" t="n">
        <f aca="false">IF(RESET=1,0,S759+N759)</f>
        <v>688.306057164181</v>
      </c>
      <c r="T759" s="2" t="e">
        <f aca="false">IF(RESET=1,0,T759+IF(H759=0,1,0))</f>
        <v>#N/A</v>
      </c>
      <c r="U759" s="2" t="n">
        <f aca="false">IF(RESET=1,0,U759+H759)</f>
        <v>40</v>
      </c>
      <c r="V759" s="14" t="e">
        <f aca="false">R759/(T759+0.00001)</f>
        <v>#N/A</v>
      </c>
      <c r="W759" s="14" t="n">
        <f aca="false">S759/(U759+0.0001)</f>
        <v>17.2076084100835</v>
      </c>
      <c r="X759" s="39" t="n">
        <f aca="false">IF(Informed=1,K759,0)</f>
        <v>15.6752693963994</v>
      </c>
      <c r="Y759" s="39" t="n">
        <f aca="false">IF(Informed=0,K759,0)</f>
        <v>0</v>
      </c>
      <c r="Z759" s="39" t="n">
        <f aca="false">IF(Informed=1,N759,0)</f>
        <v>0</v>
      </c>
      <c r="AA759" s="39" t="n">
        <f aca="false">IF(Informed=0,N759,0)</f>
        <v>0</v>
      </c>
      <c r="AB759" s="43" t="n">
        <f aca="false">IF(Arterial=0,IF(Informed=1,1,0),0)</f>
        <v>1</v>
      </c>
      <c r="AC759" s="43" t="n">
        <f aca="false">IF(Arterial=0,IF(Informed=0,1,0),0)</f>
        <v>0</v>
      </c>
      <c r="AD759" s="43" t="n">
        <f aca="false">IF(Arterial=1,IF(Informed=1,1,0),0)</f>
        <v>0</v>
      </c>
      <c r="AE759" s="43" t="n">
        <f aca="false">IF(Arterial=1,IF(Informed=0,1,0),0)</f>
        <v>0</v>
      </c>
      <c r="AF759" s="35" t="n">
        <f aca="false">IF(AB759=1,(X759-G$1030)^2,0)</f>
        <v>24.6570955148516</v>
      </c>
      <c r="AG759" s="35" t="n">
        <f aca="false">IF(AC759=1,(Y759-H$1030)^2,0)</f>
        <v>0</v>
      </c>
      <c r="AH759" s="35" t="n">
        <f aca="false">IF(AD759=1,(Z759-I$1030)^2,0)</f>
        <v>0</v>
      </c>
      <c r="AI759" s="35" t="n">
        <f aca="false">IF(AE759=1,(AA759-J$1030)^2,0)</f>
        <v>0</v>
      </c>
      <c r="AJ759" s="37" t="n">
        <f aca="true">IF(RAND()&lt;$D$6,1,0)</f>
        <v>0</v>
      </c>
      <c r="AK759" s="14" t="n">
        <f aca="false">AK758+IF((AJ759=1),IF((H759=0),1,0),0)</f>
        <v>0</v>
      </c>
      <c r="AL759" s="14" t="n">
        <f aca="false">AL758+IF((AJ759=1),IF((H759=1),1,0),0)</f>
        <v>0</v>
      </c>
      <c r="AM759" s="37" t="n">
        <f aca="false">IF(AK759=0,9999,IF($H759=0,IF($AJ759&lt;1,AM758+1,0),AM758))</f>
        <v>9999</v>
      </c>
      <c r="AN759" s="37" t="n">
        <f aca="false">IF(AL759=0,9999,IF($H759=1,IF($AJ759&lt;1,AN758+1,0),AN758))</f>
        <v>9999</v>
      </c>
      <c r="AO759" s="37" t="n">
        <f aca="false">IF($A759-AM759&gt;0,1/(1+AM759),0)</f>
        <v>0</v>
      </c>
      <c r="AP759" s="37" t="n">
        <f aca="false">IF($A759-AN759&gt;0,1/(1+AN759),0)</f>
        <v>0</v>
      </c>
      <c r="AQ759" s="7" t="n">
        <f aca="false">IF(AK759=0,0,MAX(MIN(1,AO759^Power),0))</f>
        <v>0</v>
      </c>
      <c r="AR759" s="7" t="n">
        <f aca="false">IF(AL759=0,0,MAX(MIN(1,AP759^Power),0))</f>
        <v>0</v>
      </c>
      <c r="AS759" s="7" t="n">
        <f aca="false">IF($AJ759=1,IF($H759=0,K759,AS758),AS758)</f>
        <v>0</v>
      </c>
      <c r="AT759" s="7" t="n">
        <f aca="false">IF($AJ759=1,IF($H759=1,N759,AT758),AT758)</f>
        <v>0</v>
      </c>
    </row>
    <row r="760" customFormat="false" ht="13" hidden="false" customHeight="false" outlineLevel="0" collapsed="false">
      <c r="A760" s="16" t="n">
        <v>743</v>
      </c>
      <c r="B760" s="37" t="n">
        <f aca="true">IF(RAND()&lt;$D$8,1,0)</f>
        <v>0</v>
      </c>
      <c r="C760" s="20" t="n">
        <f aca="true">-LN(RAND())/$D$2</f>
        <v>0.47260538515884</v>
      </c>
      <c r="D760" s="38" t="n">
        <f aca="false">D759+C760</f>
        <v>780.600265555615</v>
      </c>
      <c r="E760" s="39" t="n">
        <f aca="false">MAX($E$3,AS759)</f>
        <v>0</v>
      </c>
      <c r="F760" s="39" t="n">
        <f aca="false">MAX($E$3,AT759)</f>
        <v>0</v>
      </c>
      <c r="G760" s="40" t="n">
        <v>0.5</v>
      </c>
      <c r="H760" s="38" t="n">
        <f aca="true">IF((B760=1),(IF((F760&lt;E760),1,(IF((F760=E760),(IF(RAND()&lt;G760,1,0)),0)))),(IF((RAND()&lt;G760),1,0)))</f>
        <v>0</v>
      </c>
      <c r="I760" s="38" t="n">
        <f aca="true">IF((H760=1),0,$D$3+$D$5*(RAND()-0.5))</f>
        <v>1.95342414488077</v>
      </c>
      <c r="J760" s="38" t="n">
        <f aca="false">I760+MAX(D760,J759)</f>
        <v>797.756353711736</v>
      </c>
      <c r="K760" s="38" t="n">
        <f aca="false">IF((H760=0),J760-D760,0)</f>
        <v>17.1560881561212</v>
      </c>
      <c r="L760" s="38" t="n">
        <f aca="true">IF(($H760=0),0,$D$4+$D$5*(RAND()-0.5))</f>
        <v>0</v>
      </c>
      <c r="M760" s="38" t="n">
        <f aca="false">L760+MAX(D760,M759)</f>
        <v>822.992666282548</v>
      </c>
      <c r="N760" s="38" t="n">
        <f aca="false">IF((H760=1),M760-D760,0)</f>
        <v>0</v>
      </c>
      <c r="O760" s="16" t="n">
        <v>743</v>
      </c>
      <c r="P760" s="41" t="n">
        <f aca="false">IF((Arterial=0),P759+1,P759)</f>
        <v>345</v>
      </c>
      <c r="Q760" s="41" t="n">
        <f aca="false">IF((Arterial=1),Q759+1,Q759)</f>
        <v>398</v>
      </c>
      <c r="R760" s="42" t="e">
        <f aca="false">IF((RESET=1),0,R760+K760)</f>
        <v>#N/A</v>
      </c>
      <c r="S760" s="14" t="n">
        <f aca="false">IF(RESET=1,0,S760+N760)</f>
        <v>653.91782359792</v>
      </c>
      <c r="T760" s="2" t="e">
        <f aca="false">IF(RESET=1,0,T760+IF(H760=0,1,0))</f>
        <v>#N/A</v>
      </c>
      <c r="U760" s="2" t="n">
        <f aca="false">IF(RESET=1,0,U760+H760)</f>
        <v>30</v>
      </c>
      <c r="V760" s="14" t="e">
        <f aca="false">R760/(T760+0.00001)</f>
        <v>#N/A</v>
      </c>
      <c r="W760" s="14" t="n">
        <f aca="false">S760/(U760+0.0001)</f>
        <v>21.7971881293036</v>
      </c>
      <c r="X760" s="39" t="n">
        <f aca="false">IF(Informed=1,K760,0)</f>
        <v>0</v>
      </c>
      <c r="Y760" s="39" t="n">
        <f aca="false">IF(Informed=0,K760,0)</f>
        <v>17.1560881561212</v>
      </c>
      <c r="Z760" s="39" t="n">
        <f aca="false">IF(Informed=1,N760,0)</f>
        <v>0</v>
      </c>
      <c r="AA760" s="39" t="n">
        <f aca="false">IF(Informed=0,N760,0)</f>
        <v>0</v>
      </c>
      <c r="AB760" s="43" t="n">
        <f aca="false">IF(Arterial=0,IF(Informed=1,1,0),0)</f>
        <v>0</v>
      </c>
      <c r="AC760" s="43" t="n">
        <f aca="false">IF(Arterial=0,IF(Informed=0,1,0),0)</f>
        <v>1</v>
      </c>
      <c r="AD760" s="43" t="n">
        <f aca="false">IF(Arterial=1,IF(Informed=1,1,0),0)</f>
        <v>0</v>
      </c>
      <c r="AE760" s="43" t="n">
        <f aca="false">IF(Arterial=1,IF(Informed=0,1,0),0)</f>
        <v>0</v>
      </c>
      <c r="AF760" s="35" t="n">
        <f aca="false">IF(AB760=1,(X760-G$1030)^2,0)</f>
        <v>0</v>
      </c>
      <c r="AG760" s="35" t="n">
        <f aca="false">IF(AC760=1,(Y760-H$1030)^2,0)</f>
        <v>38.8415995046737</v>
      </c>
      <c r="AH760" s="35" t="n">
        <f aca="false">IF(AD760=1,(Z760-I$1030)^2,0)</f>
        <v>0</v>
      </c>
      <c r="AI760" s="35" t="n">
        <f aca="false">IF(AE760=1,(AA760-J$1030)^2,0)</f>
        <v>0</v>
      </c>
      <c r="AJ760" s="37" t="n">
        <f aca="true">IF(RAND()&lt;$D$6,1,0)</f>
        <v>0</v>
      </c>
      <c r="AK760" s="14" t="n">
        <f aca="false">AK759+IF((AJ760=1),IF((H760=0),1,0),0)</f>
        <v>0</v>
      </c>
      <c r="AL760" s="14" t="n">
        <f aca="false">AL759+IF((AJ760=1),IF((H760=1),1,0),0)</f>
        <v>0</v>
      </c>
      <c r="AM760" s="37" t="n">
        <f aca="false">IF(AK760=0,9999,IF($H760=0,IF($AJ760&lt;1,AM759+1,0),AM759))</f>
        <v>9999</v>
      </c>
      <c r="AN760" s="37" t="n">
        <f aca="false">IF(AL760=0,9999,IF($H760=1,IF($AJ760&lt;1,AN759+1,0),AN759))</f>
        <v>9999</v>
      </c>
      <c r="AO760" s="37" t="n">
        <f aca="false">IF($A760-AM760&gt;0,1/(1+AM760),0)</f>
        <v>0</v>
      </c>
      <c r="AP760" s="37" t="n">
        <f aca="false">IF($A760-AN760&gt;0,1/(1+AN760),0)</f>
        <v>0</v>
      </c>
      <c r="AQ760" s="7" t="n">
        <f aca="false">IF(AK760=0,0,MAX(MIN(1,AO760^Power),0))</f>
        <v>0</v>
      </c>
      <c r="AR760" s="7" t="n">
        <f aca="false">IF(AL760=0,0,MAX(MIN(1,AP760^Power),0))</f>
        <v>0</v>
      </c>
      <c r="AS760" s="7" t="n">
        <f aca="false">IF($AJ760=1,IF($H760=0,K760,AS759),AS759)</f>
        <v>0</v>
      </c>
      <c r="AT760" s="7" t="n">
        <f aca="false">IF($AJ760=1,IF($H760=1,N760,AT759),AT759)</f>
        <v>0</v>
      </c>
    </row>
    <row r="761" customFormat="false" ht="13" hidden="false" customHeight="false" outlineLevel="0" collapsed="false">
      <c r="A761" s="16" t="n">
        <v>744</v>
      </c>
      <c r="B761" s="37" t="n">
        <f aca="true">IF(RAND()&lt;$D$8,1,0)</f>
        <v>0</v>
      </c>
      <c r="C761" s="20" t="n">
        <f aca="true">-LN(RAND())/$D$2</f>
        <v>0.902210144876236</v>
      </c>
      <c r="D761" s="38" t="n">
        <f aca="false">D760+C761</f>
        <v>781.502475700491</v>
      </c>
      <c r="E761" s="39" t="n">
        <f aca="false">MAX($E$3,AS760)</f>
        <v>0</v>
      </c>
      <c r="F761" s="39" t="n">
        <f aca="false">MAX($E$3,AT760)</f>
        <v>0</v>
      </c>
      <c r="G761" s="40" t="n">
        <v>0.5</v>
      </c>
      <c r="H761" s="38" t="n">
        <f aca="true">IF((B761=1),(IF((F761&lt;E761),1,(IF((F761=E761),(IF(RAND()&lt;G761,1,0)),0)))),(IF((RAND()&lt;G761),1,0)))</f>
        <v>0</v>
      </c>
      <c r="I761" s="38" t="n">
        <f aca="true">IF((H761=1),0,$D$3+$D$5*(RAND()-0.5))</f>
        <v>1.7668117000688</v>
      </c>
      <c r="J761" s="38" t="n">
        <f aca="false">I761+MAX(D761,J760)</f>
        <v>799.523165411805</v>
      </c>
      <c r="K761" s="38" t="n">
        <f aca="false">IF((H761=0),J761-D761,0)</f>
        <v>18.0206897113138</v>
      </c>
      <c r="L761" s="38" t="n">
        <f aca="true">IF(($H761=0),0,$D$4+$D$5*(RAND()-0.5))</f>
        <v>0</v>
      </c>
      <c r="M761" s="38" t="n">
        <f aca="false">L761+MAX(D761,M760)</f>
        <v>822.992666282548</v>
      </c>
      <c r="N761" s="38" t="n">
        <f aca="false">IF((H761=1),M761-D761,0)</f>
        <v>0</v>
      </c>
      <c r="O761" s="16" t="n">
        <v>744</v>
      </c>
      <c r="P761" s="41" t="n">
        <f aca="false">IF((Arterial=0),P760+1,P760)</f>
        <v>346</v>
      </c>
      <c r="Q761" s="41" t="n">
        <f aca="false">IF((Arterial=1),Q760+1,Q760)</f>
        <v>398</v>
      </c>
      <c r="R761" s="42" t="e">
        <f aca="false">IF((RESET=1),0,R761+K761)</f>
        <v>#N/A</v>
      </c>
      <c r="S761" s="14" t="n">
        <f aca="false">IF(RESET=1,0,S761+N761)</f>
        <v>624.870023546222</v>
      </c>
      <c r="T761" s="2" t="e">
        <f aca="false">IF(RESET=1,0,T761+IF(H761=0,1,0))</f>
        <v>#N/A</v>
      </c>
      <c r="U761" s="2" t="n">
        <f aca="false">IF(RESET=1,0,U761+H761)</f>
        <v>38</v>
      </c>
      <c r="V761" s="14" t="e">
        <f aca="false">R761/(T761+0.00001)</f>
        <v>#N/A</v>
      </c>
      <c r="W761" s="14" t="n">
        <f aca="false">S761/(U761+0.0001)</f>
        <v>16.443904714625</v>
      </c>
      <c r="X761" s="39" t="n">
        <f aca="false">IF(Informed=1,K761,0)</f>
        <v>0</v>
      </c>
      <c r="Y761" s="39" t="n">
        <f aca="false">IF(Informed=0,K761,0)</f>
        <v>18.0206897113138</v>
      </c>
      <c r="Z761" s="39" t="n">
        <f aca="false">IF(Informed=1,N761,0)</f>
        <v>0</v>
      </c>
      <c r="AA761" s="39" t="n">
        <f aca="false">IF(Informed=0,N761,0)</f>
        <v>0</v>
      </c>
      <c r="AB761" s="43" t="n">
        <f aca="false">IF(Arterial=0,IF(Informed=1,1,0),0)</f>
        <v>0</v>
      </c>
      <c r="AC761" s="43" t="n">
        <f aca="false">IF(Arterial=0,IF(Informed=0,1,0),0)</f>
        <v>1</v>
      </c>
      <c r="AD761" s="43" t="n">
        <f aca="false">IF(Arterial=1,IF(Informed=1,1,0),0)</f>
        <v>0</v>
      </c>
      <c r="AE761" s="43" t="n">
        <f aca="false">IF(Arterial=1,IF(Informed=0,1,0),0)</f>
        <v>0</v>
      </c>
      <c r="AF761" s="35" t="n">
        <f aca="false">IF(AB761=1,(X761-G$1030)^2,0)</f>
        <v>0</v>
      </c>
      <c r="AG761" s="35" t="n">
        <f aca="false">IF(AC761=1,(Y761-H$1030)^2,0)</f>
        <v>50.3660529227982</v>
      </c>
      <c r="AH761" s="35" t="n">
        <f aca="false">IF(AD761=1,(Z761-I$1030)^2,0)</f>
        <v>0</v>
      </c>
      <c r="AI761" s="35" t="n">
        <f aca="false">IF(AE761=1,(AA761-J$1030)^2,0)</f>
        <v>0</v>
      </c>
      <c r="AJ761" s="37" t="n">
        <f aca="true">IF(RAND()&lt;$D$6,1,0)</f>
        <v>0</v>
      </c>
      <c r="AK761" s="14" t="n">
        <f aca="false">AK760+IF((AJ761=1),IF((H761=0),1,0),0)</f>
        <v>0</v>
      </c>
      <c r="AL761" s="14" t="n">
        <f aca="false">AL760+IF((AJ761=1),IF((H761=1),1,0),0)</f>
        <v>0</v>
      </c>
      <c r="AM761" s="37" t="n">
        <f aca="false">IF(AK761=0,9999,IF($H761=0,IF($AJ761&lt;1,AM760+1,0),AM760))</f>
        <v>9999</v>
      </c>
      <c r="AN761" s="37" t="n">
        <f aca="false">IF(AL761=0,9999,IF($H761=1,IF($AJ761&lt;1,AN760+1,0),AN760))</f>
        <v>9999</v>
      </c>
      <c r="AO761" s="37" t="n">
        <f aca="false">IF($A761-AM761&gt;0,1/(1+AM761),0)</f>
        <v>0</v>
      </c>
      <c r="AP761" s="37" t="n">
        <f aca="false">IF($A761-AN761&gt;0,1/(1+AN761),0)</f>
        <v>0</v>
      </c>
      <c r="AQ761" s="7" t="n">
        <f aca="false">IF(AK761=0,0,MAX(MIN(1,AO761^Power),0))</f>
        <v>0</v>
      </c>
      <c r="AR761" s="7" t="n">
        <f aca="false">IF(AL761=0,0,MAX(MIN(1,AP761^Power),0))</f>
        <v>0</v>
      </c>
      <c r="AS761" s="7" t="n">
        <f aca="false">IF($AJ761=1,IF($H761=0,K761,AS760),AS760)</f>
        <v>0</v>
      </c>
      <c r="AT761" s="7" t="n">
        <f aca="false">IF($AJ761=1,IF($H761=1,N761,AT760),AT760)</f>
        <v>0</v>
      </c>
    </row>
    <row r="762" customFormat="false" ht="13" hidden="false" customHeight="false" outlineLevel="0" collapsed="false">
      <c r="A762" s="16" t="n">
        <v>745</v>
      </c>
      <c r="B762" s="37" t="n">
        <f aca="true">IF(RAND()&lt;$D$8,1,0)</f>
        <v>0</v>
      </c>
      <c r="C762" s="20" t="n">
        <f aca="true">-LN(RAND())/$D$2</f>
        <v>0.113840947259455</v>
      </c>
      <c r="D762" s="38" t="n">
        <f aca="false">D761+C762</f>
        <v>781.616316647751</v>
      </c>
      <c r="E762" s="39" t="n">
        <f aca="false">MAX($E$3,AS761)</f>
        <v>0</v>
      </c>
      <c r="F762" s="39" t="n">
        <f aca="false">MAX($E$3,AT761)</f>
        <v>0</v>
      </c>
      <c r="G762" s="40" t="n">
        <v>0.5</v>
      </c>
      <c r="H762" s="38" t="n">
        <f aca="true">IF((B762=1),(IF((F762&lt;E762),1,(IF((F762=E762),(IF(RAND()&lt;G762,1,0)),0)))),(IF((RAND()&lt;G762),1,0)))</f>
        <v>0</v>
      </c>
      <c r="I762" s="38" t="n">
        <f aca="true">IF((H762=1),0,$D$3+$D$5*(RAND()-0.5))</f>
        <v>1.94792626295106</v>
      </c>
      <c r="J762" s="38" t="n">
        <f aca="false">I762+MAX(D762,J761)</f>
        <v>801.471091674756</v>
      </c>
      <c r="K762" s="38" t="n">
        <f aca="false">IF((H762=0),J762-D762,0)</f>
        <v>19.8547750270055</v>
      </c>
      <c r="L762" s="38" t="n">
        <f aca="true">IF(($H762=0),0,$D$4+$D$5*(RAND()-0.5))</f>
        <v>0</v>
      </c>
      <c r="M762" s="38" t="n">
        <f aca="false">L762+MAX(D762,M761)</f>
        <v>822.992666282548</v>
      </c>
      <c r="N762" s="38" t="n">
        <f aca="false">IF((H762=1),M762-D762,0)</f>
        <v>0</v>
      </c>
      <c r="O762" s="16" t="n">
        <v>745</v>
      </c>
      <c r="P762" s="41" t="n">
        <f aca="false">IF((Arterial=0),P761+1,P761)</f>
        <v>347</v>
      </c>
      <c r="Q762" s="41" t="n">
        <f aca="false">IF((Arterial=1),Q761+1,Q761)</f>
        <v>398</v>
      </c>
      <c r="R762" s="42" t="e">
        <f aca="false">IF((RESET=1),0,R762+K762)</f>
        <v>#N/A</v>
      </c>
      <c r="S762" s="14" t="n">
        <f aca="false">IF(RESET=1,0,S762+N762)</f>
        <v>694.474819256701</v>
      </c>
      <c r="T762" s="2" t="e">
        <f aca="false">IF(RESET=1,0,T762+IF(H762=0,1,0))</f>
        <v>#N/A</v>
      </c>
      <c r="U762" s="2" t="n">
        <f aca="false">IF(RESET=1,0,U762+H762)</f>
        <v>43</v>
      </c>
      <c r="V762" s="14" t="e">
        <f aca="false">R762/(T762+0.00001)</f>
        <v>#N/A</v>
      </c>
      <c r="W762" s="14" t="n">
        <f aca="false">S762/(U762+0.0001)</f>
        <v>16.1505396326218</v>
      </c>
      <c r="X762" s="39" t="n">
        <f aca="false">IF(Informed=1,K762,0)</f>
        <v>0</v>
      </c>
      <c r="Y762" s="39" t="n">
        <f aca="false">IF(Informed=0,K762,0)</f>
        <v>19.8547750270055</v>
      </c>
      <c r="Z762" s="39" t="n">
        <f aca="false">IF(Informed=1,N762,0)</f>
        <v>0</v>
      </c>
      <c r="AA762" s="39" t="n">
        <f aca="false">IF(Informed=0,N762,0)</f>
        <v>0</v>
      </c>
      <c r="AB762" s="43" t="n">
        <f aca="false">IF(Arterial=0,IF(Informed=1,1,0),0)</f>
        <v>0</v>
      </c>
      <c r="AC762" s="43" t="n">
        <f aca="false">IF(Arterial=0,IF(Informed=0,1,0),0)</f>
        <v>1</v>
      </c>
      <c r="AD762" s="43" t="n">
        <f aca="false">IF(Arterial=1,IF(Informed=1,1,0),0)</f>
        <v>0</v>
      </c>
      <c r="AE762" s="43" t="n">
        <f aca="false">IF(Arterial=1,IF(Informed=0,1,0),0)</f>
        <v>0</v>
      </c>
      <c r="AF762" s="35" t="n">
        <f aca="false">IF(AB762=1,(X762-G$1030)^2,0)</f>
        <v>0</v>
      </c>
      <c r="AG762" s="35" t="n">
        <f aca="false">IF(AC762=1,(Y762-H$1030)^2,0)</f>
        <v>79.7625783841188</v>
      </c>
      <c r="AH762" s="35" t="n">
        <f aca="false">IF(AD762=1,(Z762-I$1030)^2,0)</f>
        <v>0</v>
      </c>
      <c r="AI762" s="35" t="n">
        <f aca="false">IF(AE762=1,(AA762-J$1030)^2,0)</f>
        <v>0</v>
      </c>
      <c r="AJ762" s="37" t="n">
        <f aca="true">IF(RAND()&lt;$D$6,1,0)</f>
        <v>0</v>
      </c>
      <c r="AK762" s="14" t="n">
        <f aca="false">AK761+IF((AJ762=1),IF((H762=0),1,0),0)</f>
        <v>0</v>
      </c>
      <c r="AL762" s="14" t="n">
        <f aca="false">AL761+IF((AJ762=1),IF((H762=1),1,0),0)</f>
        <v>0</v>
      </c>
      <c r="AM762" s="37" t="n">
        <f aca="false">IF(AK762=0,9999,IF($H762=0,IF($AJ762&lt;1,AM761+1,0),AM761))</f>
        <v>9999</v>
      </c>
      <c r="AN762" s="37" t="n">
        <f aca="false">IF(AL762=0,9999,IF($H762=1,IF($AJ762&lt;1,AN761+1,0),AN761))</f>
        <v>9999</v>
      </c>
      <c r="AO762" s="37" t="n">
        <f aca="false">IF($A762-AM762&gt;0,1/(1+AM762),0)</f>
        <v>0</v>
      </c>
      <c r="AP762" s="37" t="n">
        <f aca="false">IF($A762-AN762&gt;0,1/(1+AN762),0)</f>
        <v>0</v>
      </c>
      <c r="AQ762" s="7" t="n">
        <f aca="false">IF(AK762=0,0,MAX(MIN(1,AO762^Power),0))</f>
        <v>0</v>
      </c>
      <c r="AR762" s="7" t="n">
        <f aca="false">IF(AL762=0,0,MAX(MIN(1,AP762^Power),0))</f>
        <v>0</v>
      </c>
      <c r="AS762" s="7" t="n">
        <f aca="false">IF($AJ762=1,IF($H762=0,K762,AS761),AS761)</f>
        <v>0</v>
      </c>
      <c r="AT762" s="7" t="n">
        <f aca="false">IF($AJ762=1,IF($H762=1,N762,AT761),AT761)</f>
        <v>0</v>
      </c>
    </row>
    <row r="763" customFormat="false" ht="13" hidden="false" customHeight="false" outlineLevel="0" collapsed="false">
      <c r="A763" s="16" t="n">
        <v>746</v>
      </c>
      <c r="B763" s="37" t="n">
        <f aca="true">IF(RAND()&lt;$D$8,1,0)</f>
        <v>1</v>
      </c>
      <c r="C763" s="20" t="n">
        <f aca="true">-LN(RAND())/$D$2</f>
        <v>0.462631590144242</v>
      </c>
      <c r="D763" s="38" t="n">
        <f aca="false">D762+C763</f>
        <v>782.078948237895</v>
      </c>
      <c r="E763" s="39" t="n">
        <f aca="false">MAX($E$3,AS762)</f>
        <v>0</v>
      </c>
      <c r="F763" s="39" t="n">
        <f aca="false">MAX($E$3,AT762)</f>
        <v>0</v>
      </c>
      <c r="G763" s="40" t="n">
        <v>0.5</v>
      </c>
      <c r="H763" s="38" t="n">
        <f aca="true">IF((B763=1),(IF((F763&lt;E763),1,(IF((F763=E763),(IF(RAND()&lt;G763,1,0)),0)))),(IF((RAND()&lt;G763),1,0)))</f>
        <v>0</v>
      </c>
      <c r="I763" s="38" t="n">
        <f aca="true">IF((H763=1),0,$D$3+$D$5*(RAND()-0.5))</f>
        <v>2.12762157206088</v>
      </c>
      <c r="J763" s="38" t="n">
        <f aca="false">I763+MAX(D763,J762)</f>
        <v>803.598713246817</v>
      </c>
      <c r="K763" s="38" t="n">
        <f aca="false">IF((H763=0),J763-D763,0)</f>
        <v>21.5197650089222</v>
      </c>
      <c r="L763" s="38" t="n">
        <f aca="true">IF(($H763=0),0,$D$4+$D$5*(RAND()-0.5))</f>
        <v>0</v>
      </c>
      <c r="M763" s="38" t="n">
        <f aca="false">L763+MAX(D763,M762)</f>
        <v>822.992666282548</v>
      </c>
      <c r="N763" s="38" t="n">
        <f aca="false">IF((H763=1),M763-D763,0)</f>
        <v>0</v>
      </c>
      <c r="O763" s="16" t="n">
        <v>746</v>
      </c>
      <c r="P763" s="41" t="n">
        <f aca="false">IF((Arterial=0),P762+1,P762)</f>
        <v>348</v>
      </c>
      <c r="Q763" s="41" t="n">
        <f aca="false">IF((Arterial=1),Q762+1,Q762)</f>
        <v>398</v>
      </c>
      <c r="R763" s="42" t="e">
        <f aca="false">IF((RESET=1),0,R763+K763)</f>
        <v>#N/A</v>
      </c>
      <c r="S763" s="14" t="n">
        <f aca="false">IF(RESET=1,0,S763+N763)</f>
        <v>599.655970377233</v>
      </c>
      <c r="T763" s="2" t="e">
        <f aca="false">IF(RESET=1,0,T763+IF(H763=0,1,0))</f>
        <v>#N/A</v>
      </c>
      <c r="U763" s="2" t="n">
        <f aca="false">IF(RESET=1,0,U763+H763)</f>
        <v>30</v>
      </c>
      <c r="V763" s="14" t="e">
        <f aca="false">R763/(T763+0.00001)</f>
        <v>#N/A</v>
      </c>
      <c r="W763" s="14" t="n">
        <f aca="false">S763/(U763+0.0001)</f>
        <v>19.9884657176887</v>
      </c>
      <c r="X763" s="39" t="n">
        <f aca="false">IF(Informed=1,K763,0)</f>
        <v>21.5197650089222</v>
      </c>
      <c r="Y763" s="39" t="n">
        <f aca="false">IF(Informed=0,K763,0)</f>
        <v>0</v>
      </c>
      <c r="Z763" s="39" t="n">
        <f aca="false">IF(Informed=1,N763,0)</f>
        <v>0</v>
      </c>
      <c r="AA763" s="39" t="n">
        <f aca="false">IF(Informed=0,N763,0)</f>
        <v>0</v>
      </c>
      <c r="AB763" s="43" t="n">
        <f aca="false">IF(Arterial=0,IF(Informed=1,1,0),0)</f>
        <v>1</v>
      </c>
      <c r="AC763" s="43" t="n">
        <f aca="false">IF(Arterial=0,IF(Informed=0,1,0),0)</f>
        <v>0</v>
      </c>
      <c r="AD763" s="43" t="n">
        <f aca="false">IF(Arterial=1,IF(Informed=1,1,0),0)</f>
        <v>0</v>
      </c>
      <c r="AE763" s="43" t="n">
        <f aca="false">IF(Arterial=1,IF(Informed=0,1,0),0)</f>
        <v>0</v>
      </c>
      <c r="AF763" s="35" t="n">
        <f aca="false">IF(AB763=1,(X763-G$1030)^2,0)</f>
        <v>116.85797591318</v>
      </c>
      <c r="AG763" s="35" t="n">
        <f aca="false">IF(AC763=1,(Y763-H$1030)^2,0)</f>
        <v>0</v>
      </c>
      <c r="AH763" s="35" t="n">
        <f aca="false">IF(AD763=1,(Z763-I$1030)^2,0)</f>
        <v>0</v>
      </c>
      <c r="AI763" s="35" t="n">
        <f aca="false">IF(AE763=1,(AA763-J$1030)^2,0)</f>
        <v>0</v>
      </c>
      <c r="AJ763" s="37" t="n">
        <f aca="true">IF(RAND()&lt;$D$6,1,0)</f>
        <v>0</v>
      </c>
      <c r="AK763" s="14" t="n">
        <f aca="false">AK762+IF((AJ763=1),IF((H763=0),1,0),0)</f>
        <v>0</v>
      </c>
      <c r="AL763" s="14" t="n">
        <f aca="false">AL762+IF((AJ763=1),IF((H763=1),1,0),0)</f>
        <v>0</v>
      </c>
      <c r="AM763" s="37" t="n">
        <f aca="false">IF(AK763=0,9999,IF($H763=0,IF($AJ763&lt;1,AM762+1,0),AM762))</f>
        <v>9999</v>
      </c>
      <c r="AN763" s="37" t="n">
        <f aca="false">IF(AL763=0,9999,IF($H763=1,IF($AJ763&lt;1,AN762+1,0),AN762))</f>
        <v>9999</v>
      </c>
      <c r="AO763" s="37" t="n">
        <f aca="false">IF($A763-AM763&gt;0,1/(1+AM763),0)</f>
        <v>0</v>
      </c>
      <c r="AP763" s="37" t="n">
        <f aca="false">IF($A763-AN763&gt;0,1/(1+AN763),0)</f>
        <v>0</v>
      </c>
      <c r="AQ763" s="7" t="n">
        <f aca="false">IF(AK763=0,0,MAX(MIN(1,AO763^Power),0))</f>
        <v>0</v>
      </c>
      <c r="AR763" s="7" t="n">
        <f aca="false">IF(AL763=0,0,MAX(MIN(1,AP763^Power),0))</f>
        <v>0</v>
      </c>
      <c r="AS763" s="7" t="n">
        <f aca="false">IF($AJ763=1,IF($H763=0,K763,AS762),AS762)</f>
        <v>0</v>
      </c>
      <c r="AT763" s="7" t="n">
        <f aca="false">IF($AJ763=1,IF($H763=1,N763,AT762),AT762)</f>
        <v>0</v>
      </c>
    </row>
    <row r="764" customFormat="false" ht="13" hidden="false" customHeight="false" outlineLevel="0" collapsed="false">
      <c r="A764" s="16" t="n">
        <v>747</v>
      </c>
      <c r="B764" s="37" t="n">
        <f aca="true">IF(RAND()&lt;$D$8,1,0)</f>
        <v>0</v>
      </c>
      <c r="C764" s="20" t="n">
        <f aca="true">-LN(RAND())/$D$2</f>
        <v>1.38195557877572</v>
      </c>
      <c r="D764" s="38" t="n">
        <f aca="false">D763+C764</f>
        <v>783.460903816671</v>
      </c>
      <c r="E764" s="39" t="n">
        <f aca="false">MAX($E$3,AS763)</f>
        <v>0</v>
      </c>
      <c r="F764" s="39" t="n">
        <f aca="false">MAX($E$3,AT763)</f>
        <v>0</v>
      </c>
      <c r="G764" s="40" t="n">
        <v>0.5</v>
      </c>
      <c r="H764" s="38" t="n">
        <f aca="true">IF((B764=1),(IF((F764&lt;E764),1,(IF((F764=E764),(IF(RAND()&lt;G764,1,0)),0)))),(IF((RAND()&lt;G764),1,0)))</f>
        <v>1</v>
      </c>
      <c r="I764" s="38" t="n">
        <f aca="true">IF((H764=1),0,$D$3+$D$5*(RAND()-0.5))</f>
        <v>0</v>
      </c>
      <c r="J764" s="38" t="n">
        <f aca="false">I764+MAX(D764,J763)</f>
        <v>803.598713246817</v>
      </c>
      <c r="K764" s="38" t="n">
        <f aca="false">IF((H764=0),J764-D764,0)</f>
        <v>0</v>
      </c>
      <c r="L764" s="38" t="n">
        <f aca="true">IF(($H764=0),0,$D$4+$D$5*(RAND()-0.5))</f>
        <v>1.96742629830715</v>
      </c>
      <c r="M764" s="38" t="n">
        <f aca="false">L764+MAX(D764,M763)</f>
        <v>824.960092580855</v>
      </c>
      <c r="N764" s="38" t="n">
        <f aca="false">IF((H764=1),M764-D764,0)</f>
        <v>41.4991887641843</v>
      </c>
      <c r="O764" s="16" t="n">
        <v>747</v>
      </c>
      <c r="P764" s="41" t="n">
        <f aca="false">IF((Arterial=0),P763+1,P763)</f>
        <v>348</v>
      </c>
      <c r="Q764" s="41" t="n">
        <f aca="false">IF((Arterial=1),Q763+1,Q763)</f>
        <v>399</v>
      </c>
      <c r="R764" s="42" t="n">
        <f aca="false">IF((RESET=1),0,R764+K764)</f>
        <v>628.769805551573</v>
      </c>
      <c r="S764" s="14" t="e">
        <f aca="false">IF(RESET=1,0,S764+N764)</f>
        <v>#N/A</v>
      </c>
      <c r="T764" s="2" t="n">
        <f aca="false">IF(RESET=1,0,T764+IF(H764=0,1,0))</f>
        <v>35</v>
      </c>
      <c r="U764" s="2" t="e">
        <f aca="false">IF(RESET=1,0,U764+H764)</f>
        <v>#N/A</v>
      </c>
      <c r="V764" s="14" t="n">
        <f aca="false">R764/(T764+0.00001)</f>
        <v>17.9648464543745</v>
      </c>
      <c r="W764" s="14" t="e">
        <f aca="false">S764/(U764+0.0001)</f>
        <v>#N/A</v>
      </c>
      <c r="X764" s="39" t="n">
        <f aca="false">IF(Informed=1,K764,0)</f>
        <v>0</v>
      </c>
      <c r="Y764" s="39" t="n">
        <f aca="false">IF(Informed=0,K764,0)</f>
        <v>0</v>
      </c>
      <c r="Z764" s="39" t="n">
        <f aca="false">IF(Informed=1,N764,0)</f>
        <v>0</v>
      </c>
      <c r="AA764" s="39" t="n">
        <f aca="false">IF(Informed=0,N764,0)</f>
        <v>41.4991887641843</v>
      </c>
      <c r="AB764" s="43" t="n">
        <f aca="false">IF(Arterial=0,IF(Informed=1,1,0),0)</f>
        <v>0</v>
      </c>
      <c r="AC764" s="43" t="n">
        <f aca="false">IF(Arterial=0,IF(Informed=0,1,0),0)</f>
        <v>0</v>
      </c>
      <c r="AD764" s="43" t="n">
        <f aca="false">IF(Arterial=1,IF(Informed=1,1,0),0)</f>
        <v>0</v>
      </c>
      <c r="AE764" s="43" t="n">
        <f aca="false">IF(Arterial=1,IF(Informed=0,1,0),0)</f>
        <v>1</v>
      </c>
      <c r="AF764" s="35" t="n">
        <f aca="false">IF(AB764=1,(X764-G$1030)^2,0)</f>
        <v>0</v>
      </c>
      <c r="AG764" s="35" t="n">
        <f aca="false">IF(AC764=1,(Y764-H$1030)^2,0)</f>
        <v>0</v>
      </c>
      <c r="AH764" s="35" t="n">
        <f aca="false">IF(AD764=1,(Z764-I$1030)^2,0)</f>
        <v>0</v>
      </c>
      <c r="AI764" s="35" t="n">
        <f aca="false">IF(AE764=1,(AA764-J$1030)^2,0)</f>
        <v>142.442166792068</v>
      </c>
      <c r="AJ764" s="37" t="n">
        <f aca="true">IF(RAND()&lt;$D$6,1,0)</f>
        <v>0</v>
      </c>
      <c r="AK764" s="14" t="n">
        <f aca="false">AK763+IF((AJ764=1),IF((H764=0),1,0),0)</f>
        <v>0</v>
      </c>
      <c r="AL764" s="14" t="n">
        <f aca="false">AL763+IF((AJ764=1),IF((H764=1),1,0),0)</f>
        <v>0</v>
      </c>
      <c r="AM764" s="37" t="n">
        <f aca="false">IF(AK764=0,9999,IF($H764=0,IF($AJ764&lt;1,AM763+1,0),AM763))</f>
        <v>9999</v>
      </c>
      <c r="AN764" s="37" t="n">
        <f aca="false">IF(AL764=0,9999,IF($H764=1,IF($AJ764&lt;1,AN763+1,0),AN763))</f>
        <v>9999</v>
      </c>
      <c r="AO764" s="37" t="n">
        <f aca="false">IF($A764-AM764&gt;0,1/(1+AM764),0)</f>
        <v>0</v>
      </c>
      <c r="AP764" s="37" t="n">
        <f aca="false">IF($A764-AN764&gt;0,1/(1+AN764),0)</f>
        <v>0</v>
      </c>
      <c r="AQ764" s="7" t="n">
        <f aca="false">IF(AK764=0,0,MAX(MIN(1,AO764^Power),0))</f>
        <v>0</v>
      </c>
      <c r="AR764" s="7" t="n">
        <f aca="false">IF(AL764=0,0,MAX(MIN(1,AP764^Power),0))</f>
        <v>0</v>
      </c>
      <c r="AS764" s="7" t="n">
        <f aca="false">IF($AJ764=1,IF($H764=0,K764,AS763),AS763)</f>
        <v>0</v>
      </c>
      <c r="AT764" s="7" t="n">
        <f aca="false">IF($AJ764=1,IF($H764=1,N764,AT763),AT763)</f>
        <v>0</v>
      </c>
    </row>
    <row r="765" customFormat="false" ht="13" hidden="false" customHeight="false" outlineLevel="0" collapsed="false">
      <c r="A765" s="16" t="n">
        <v>748</v>
      </c>
      <c r="B765" s="37" t="n">
        <f aca="true">IF(RAND()&lt;$D$8,1,0)</f>
        <v>1</v>
      </c>
      <c r="C765" s="20" t="n">
        <f aca="true">-LN(RAND())/$D$2</f>
        <v>0.213936532783894</v>
      </c>
      <c r="D765" s="38" t="n">
        <f aca="false">D764+C765</f>
        <v>783.674840349455</v>
      </c>
      <c r="E765" s="39" t="n">
        <f aca="false">MAX($E$3,AS764)</f>
        <v>0</v>
      </c>
      <c r="F765" s="39" t="n">
        <f aca="false">MAX($E$3,AT764)</f>
        <v>0</v>
      </c>
      <c r="G765" s="40" t="n">
        <v>0.5</v>
      </c>
      <c r="H765" s="38" t="n">
        <f aca="true">IF((B765=1),(IF((F765&lt;E765),1,(IF((F765=E765),(IF(RAND()&lt;G765,1,0)),0)))),(IF((RAND()&lt;G765),1,0)))</f>
        <v>1</v>
      </c>
      <c r="I765" s="38" t="n">
        <f aca="true">IF((H765=1),0,$D$3+$D$5*(RAND()-0.5))</f>
        <v>0</v>
      </c>
      <c r="J765" s="38" t="n">
        <f aca="false">I765+MAX(D765,J764)</f>
        <v>803.598713246817</v>
      </c>
      <c r="K765" s="38" t="n">
        <f aca="false">IF((H765=0),J765-D765,0)</f>
        <v>0</v>
      </c>
      <c r="L765" s="38" t="n">
        <f aca="true">IF(($H765=0),0,$D$4+$D$5*(RAND()-0.5))</f>
        <v>2.09159329921316</v>
      </c>
      <c r="M765" s="38" t="n">
        <f aca="false">L765+MAX(D765,M764)</f>
        <v>827.051685880068</v>
      </c>
      <c r="N765" s="38" t="n">
        <f aca="false">IF((H765=1),M765-D765,0)</f>
        <v>43.3768455306135</v>
      </c>
      <c r="O765" s="16" t="n">
        <v>748</v>
      </c>
      <c r="P765" s="41" t="n">
        <f aca="false">IF((Arterial=0),P764+1,P764)</f>
        <v>348</v>
      </c>
      <c r="Q765" s="41" t="n">
        <f aca="false">IF((Arterial=1),Q764+1,Q764)</f>
        <v>400</v>
      </c>
      <c r="R765" s="42" t="n">
        <f aca="false">IF((RESET=1),0,R765+K765)</f>
        <v>849.901015695277</v>
      </c>
      <c r="S765" s="14" t="e">
        <f aca="false">IF(RESET=1,0,S765+N765)</f>
        <v>#N/A</v>
      </c>
      <c r="T765" s="2" t="n">
        <f aca="false">IF(RESET=1,0,T765+IF(H765=0,1,0))</f>
        <v>38</v>
      </c>
      <c r="U765" s="2" t="e">
        <f aca="false">IF(RESET=1,0,U765+H765)</f>
        <v>#N/A</v>
      </c>
      <c r="V765" s="14" t="n">
        <f aca="false">R765/(T765+0.00001)</f>
        <v>22.3658103167677</v>
      </c>
      <c r="W765" s="14" t="e">
        <f aca="false">S765/(U765+0.0001)</f>
        <v>#N/A</v>
      </c>
      <c r="X765" s="39" t="n">
        <f aca="false">IF(Informed=1,K765,0)</f>
        <v>0</v>
      </c>
      <c r="Y765" s="39" t="n">
        <f aca="false">IF(Informed=0,K765,0)</f>
        <v>0</v>
      </c>
      <c r="Z765" s="39" t="n">
        <f aca="false">IF(Informed=1,N765,0)</f>
        <v>43.3768455306135</v>
      </c>
      <c r="AA765" s="39" t="n">
        <f aca="false">IF(Informed=0,N765,0)</f>
        <v>0</v>
      </c>
      <c r="AB765" s="43" t="n">
        <f aca="false">IF(Arterial=0,IF(Informed=1,1,0),0)</f>
        <v>0</v>
      </c>
      <c r="AC765" s="43" t="n">
        <f aca="false">IF(Arterial=0,IF(Informed=0,1,0),0)</f>
        <v>0</v>
      </c>
      <c r="AD765" s="43" t="n">
        <f aca="false">IF(Arterial=1,IF(Informed=1,1,0),0)</f>
        <v>1</v>
      </c>
      <c r="AE765" s="43" t="n">
        <f aca="false">IF(Arterial=1,IF(Informed=0,1,0),0)</f>
        <v>0</v>
      </c>
      <c r="AF765" s="35" t="n">
        <f aca="false">IF(AB765=1,(X765-G$1030)^2,0)</f>
        <v>0</v>
      </c>
      <c r="AG765" s="35" t="n">
        <f aca="false">IF(AC765=1,(Y765-H$1030)^2,0)</f>
        <v>0</v>
      </c>
      <c r="AH765" s="35" t="n">
        <f aca="false">IF(AD765=1,(Z765-I$1030)^2,0)</f>
        <v>225.06032616439</v>
      </c>
      <c r="AI765" s="35" t="n">
        <f aca="false">IF(AE765=1,(AA765-J$1030)^2,0)</f>
        <v>0</v>
      </c>
      <c r="AJ765" s="37" t="n">
        <f aca="true">IF(RAND()&lt;$D$6,1,0)</f>
        <v>0</v>
      </c>
      <c r="AK765" s="14" t="n">
        <f aca="false">AK764+IF((AJ765=1),IF((H765=0),1,0),0)</f>
        <v>0</v>
      </c>
      <c r="AL765" s="14" t="n">
        <f aca="false">AL764+IF((AJ765=1),IF((H765=1),1,0),0)</f>
        <v>0</v>
      </c>
      <c r="AM765" s="37" t="n">
        <f aca="false">IF(AK765=0,9999,IF($H765=0,IF($AJ765&lt;1,AM764+1,0),AM764))</f>
        <v>9999</v>
      </c>
      <c r="AN765" s="37" t="n">
        <f aca="false">IF(AL765=0,9999,IF($H765=1,IF($AJ765&lt;1,AN764+1,0),AN764))</f>
        <v>9999</v>
      </c>
      <c r="AO765" s="37" t="n">
        <f aca="false">IF($A765-AM765&gt;0,1/(1+AM765),0)</f>
        <v>0</v>
      </c>
      <c r="AP765" s="37" t="n">
        <f aca="false">IF($A765-AN765&gt;0,1/(1+AN765),0)</f>
        <v>0</v>
      </c>
      <c r="AQ765" s="7" t="n">
        <f aca="false">IF(AK765=0,0,MAX(MIN(1,AO765^Power),0))</f>
        <v>0</v>
      </c>
      <c r="AR765" s="7" t="n">
        <f aca="false">IF(AL765=0,0,MAX(MIN(1,AP765^Power),0))</f>
        <v>0</v>
      </c>
      <c r="AS765" s="7" t="n">
        <f aca="false">IF($AJ765=1,IF($H765=0,K765,AS764),AS764)</f>
        <v>0</v>
      </c>
      <c r="AT765" s="7" t="n">
        <f aca="false">IF($AJ765=1,IF($H765=1,N765,AT764),AT764)</f>
        <v>0</v>
      </c>
    </row>
    <row r="766" customFormat="false" ht="13" hidden="false" customHeight="false" outlineLevel="0" collapsed="false">
      <c r="A766" s="16" t="n">
        <v>749</v>
      </c>
      <c r="B766" s="37" t="n">
        <f aca="true">IF(RAND()&lt;$D$8,1,0)</f>
        <v>1</v>
      </c>
      <c r="C766" s="20" t="n">
        <f aca="true">-LN(RAND())/$D$2</f>
        <v>2.87715943070713</v>
      </c>
      <c r="D766" s="38" t="n">
        <f aca="false">D765+C766</f>
        <v>786.551999780162</v>
      </c>
      <c r="E766" s="39" t="n">
        <f aca="false">MAX($E$3,AS765)</f>
        <v>0</v>
      </c>
      <c r="F766" s="39" t="n">
        <f aca="false">MAX($E$3,AT765)</f>
        <v>0</v>
      </c>
      <c r="G766" s="40" t="n">
        <v>0.5</v>
      </c>
      <c r="H766" s="38" t="n">
        <f aca="true">IF((B766=1),(IF((F766&lt;E766),1,(IF((F766=E766),(IF(RAND()&lt;G766,1,0)),0)))),(IF((RAND()&lt;G766),1,0)))</f>
        <v>0</v>
      </c>
      <c r="I766" s="38" t="n">
        <f aca="true">IF((H766=1),0,$D$3+$D$5*(RAND()-0.5))</f>
        <v>1.77708782377379</v>
      </c>
      <c r="J766" s="38" t="n">
        <f aca="false">I766+MAX(D766,J765)</f>
        <v>805.375801070591</v>
      </c>
      <c r="K766" s="38" t="n">
        <f aca="false">IF((H766=0),J766-D766,0)</f>
        <v>18.8238012904291</v>
      </c>
      <c r="L766" s="38" t="n">
        <f aca="true">IF(($H766=0),0,$D$4+$D$5*(RAND()-0.5))</f>
        <v>0</v>
      </c>
      <c r="M766" s="38" t="n">
        <f aca="false">L766+MAX(D766,M765)</f>
        <v>827.051685880068</v>
      </c>
      <c r="N766" s="38" t="n">
        <f aca="false">IF((H766=1),M766-D766,0)</f>
        <v>0</v>
      </c>
      <c r="O766" s="16" t="n">
        <v>749</v>
      </c>
      <c r="P766" s="41" t="n">
        <f aca="false">IF((Arterial=0),P765+1,P765)</f>
        <v>349</v>
      </c>
      <c r="Q766" s="41" t="n">
        <f aca="false">IF((Arterial=1),Q765+1,Q765)</f>
        <v>400</v>
      </c>
      <c r="R766" s="42" t="e">
        <f aca="false">IF((RESET=1),0,R766+K766)</f>
        <v>#N/A</v>
      </c>
      <c r="S766" s="14" t="n">
        <f aca="false">IF(RESET=1,0,S766+N766)</f>
        <v>601.350763697136</v>
      </c>
      <c r="T766" s="2" t="e">
        <f aca="false">IF(RESET=1,0,T766+IF(H766=0,1,0))</f>
        <v>#N/A</v>
      </c>
      <c r="U766" s="2" t="n">
        <f aca="false">IF(RESET=1,0,U766+H766)</f>
        <v>36</v>
      </c>
      <c r="V766" s="14" t="e">
        <f aca="false">R766/(T766+0.00001)</f>
        <v>#N/A</v>
      </c>
      <c r="W766" s="14" t="n">
        <f aca="false">S766/(U766+0.0001)</f>
        <v>16.704141480083</v>
      </c>
      <c r="X766" s="39" t="n">
        <f aca="false">IF(Informed=1,K766,0)</f>
        <v>18.8238012904291</v>
      </c>
      <c r="Y766" s="39" t="n">
        <f aca="false">IF(Informed=0,K766,0)</f>
        <v>0</v>
      </c>
      <c r="Z766" s="39" t="n">
        <f aca="false">IF(Informed=1,N766,0)</f>
        <v>0</v>
      </c>
      <c r="AA766" s="39" t="n">
        <f aca="false">IF(Informed=0,N766,0)</f>
        <v>0</v>
      </c>
      <c r="AB766" s="43" t="n">
        <f aca="false">IF(Arterial=0,IF(Informed=1,1,0),0)</f>
        <v>1</v>
      </c>
      <c r="AC766" s="43" t="n">
        <f aca="false">IF(Arterial=0,IF(Informed=0,1,0),0)</f>
        <v>0</v>
      </c>
      <c r="AD766" s="43" t="n">
        <f aca="false">IF(Arterial=1,IF(Informed=1,1,0),0)</f>
        <v>0</v>
      </c>
      <c r="AE766" s="43" t="n">
        <f aca="false">IF(Arterial=1,IF(Informed=0,1,0),0)</f>
        <v>0</v>
      </c>
      <c r="AF766" s="35" t="n">
        <f aca="false">IF(AB766=1,(X766-G$1030)^2,0)</f>
        <v>65.8389928486466</v>
      </c>
      <c r="AG766" s="35" t="n">
        <f aca="false">IF(AC766=1,(Y766-H$1030)^2,0)</f>
        <v>0</v>
      </c>
      <c r="AH766" s="35" t="n">
        <f aca="false">IF(AD766=1,(Z766-I$1030)^2,0)</f>
        <v>0</v>
      </c>
      <c r="AI766" s="35" t="n">
        <f aca="false">IF(AE766=1,(AA766-J$1030)^2,0)</f>
        <v>0</v>
      </c>
      <c r="AJ766" s="37" t="n">
        <f aca="true">IF(RAND()&lt;$D$6,1,0)</f>
        <v>0</v>
      </c>
      <c r="AK766" s="14" t="n">
        <f aca="false">AK765+IF((AJ766=1),IF((H766=0),1,0),0)</f>
        <v>0</v>
      </c>
      <c r="AL766" s="14" t="n">
        <f aca="false">AL765+IF((AJ766=1),IF((H766=1),1,0),0)</f>
        <v>0</v>
      </c>
      <c r="AM766" s="37" t="n">
        <f aca="false">IF(AK766=0,9999,IF($H766=0,IF($AJ766&lt;1,AM765+1,0),AM765))</f>
        <v>9999</v>
      </c>
      <c r="AN766" s="37" t="n">
        <f aca="false">IF(AL766=0,9999,IF($H766=1,IF($AJ766&lt;1,AN765+1,0),AN765))</f>
        <v>9999</v>
      </c>
      <c r="AO766" s="37" t="n">
        <f aca="false">IF($A766-AM766&gt;0,1/(1+AM766),0)</f>
        <v>0</v>
      </c>
      <c r="AP766" s="37" t="n">
        <f aca="false">IF($A766-AN766&gt;0,1/(1+AN766),0)</f>
        <v>0</v>
      </c>
      <c r="AQ766" s="7" t="n">
        <f aca="false">IF(AK766=0,0,MAX(MIN(1,AO766^Power),0))</f>
        <v>0</v>
      </c>
      <c r="AR766" s="7" t="n">
        <f aca="false">IF(AL766=0,0,MAX(MIN(1,AP766^Power),0))</f>
        <v>0</v>
      </c>
      <c r="AS766" s="7" t="n">
        <f aca="false">IF($AJ766=1,IF($H766=0,K766,AS765),AS765)</f>
        <v>0</v>
      </c>
      <c r="AT766" s="7" t="n">
        <f aca="false">IF($AJ766=1,IF($H766=1,N766,AT765),AT765)</f>
        <v>0</v>
      </c>
    </row>
    <row r="767" customFormat="false" ht="13" hidden="false" customHeight="false" outlineLevel="0" collapsed="false">
      <c r="A767" s="16" t="n">
        <v>750</v>
      </c>
      <c r="B767" s="37" t="n">
        <f aca="true">IF(RAND()&lt;$D$8,1,0)</f>
        <v>0</v>
      </c>
      <c r="C767" s="20" t="n">
        <f aca="true">-LN(RAND())/$D$2</f>
        <v>3.06829111078378</v>
      </c>
      <c r="D767" s="38" t="n">
        <f aca="false">D766+C767</f>
        <v>789.620290890946</v>
      </c>
      <c r="E767" s="39" t="n">
        <f aca="false">MAX($E$3,AS766)</f>
        <v>0</v>
      </c>
      <c r="F767" s="39" t="n">
        <f aca="false">MAX($E$3,AT766)</f>
        <v>0</v>
      </c>
      <c r="G767" s="40" t="n">
        <v>0.5</v>
      </c>
      <c r="H767" s="38" t="n">
        <f aca="true">IF((B767=1),(IF((F767&lt;E767),1,(IF((F767=E767),(IF(RAND()&lt;G767,1,0)),0)))),(IF((RAND()&lt;G767),1,0)))</f>
        <v>0</v>
      </c>
      <c r="I767" s="38" t="n">
        <f aca="true">IF((H767=1),0,$D$3+$D$5*(RAND()-0.5))</f>
        <v>2.23090122973866</v>
      </c>
      <c r="J767" s="38" t="n">
        <f aca="false">I767+MAX(D767,J766)</f>
        <v>807.60670230033</v>
      </c>
      <c r="K767" s="38" t="n">
        <f aca="false">IF((H767=0),J767-D767,0)</f>
        <v>17.986411409384</v>
      </c>
      <c r="L767" s="38" t="n">
        <f aca="true">IF(($H767=0),0,$D$4+$D$5*(RAND()-0.5))</f>
        <v>0</v>
      </c>
      <c r="M767" s="38" t="n">
        <f aca="false">L767+MAX(D767,M766)</f>
        <v>827.051685880068</v>
      </c>
      <c r="N767" s="38" t="n">
        <f aca="false">IF((H767=1),M767-D767,0)</f>
        <v>0</v>
      </c>
      <c r="O767" s="16" t="n">
        <v>750</v>
      </c>
      <c r="P767" s="41" t="n">
        <f aca="false">IF((Arterial=0),P766+1,P766)</f>
        <v>350</v>
      </c>
      <c r="Q767" s="41" t="n">
        <f aca="false">IF((Arterial=1),Q766+1,Q766)</f>
        <v>400</v>
      </c>
      <c r="R767" s="42" t="e">
        <f aca="false">IF((RESET=1),0,R767+K767)</f>
        <v>#N/A</v>
      </c>
      <c r="S767" s="14" t="n">
        <f aca="false">IF(RESET=1,0,S767+N767)</f>
        <v>533.013315572767</v>
      </c>
      <c r="T767" s="2" t="e">
        <f aca="false">IF(RESET=1,0,T767+IF(H767=0,1,0))</f>
        <v>#N/A</v>
      </c>
      <c r="U767" s="2" t="n">
        <f aca="false">IF(RESET=1,0,U767+H767)</f>
        <v>31</v>
      </c>
      <c r="V767" s="14" t="e">
        <f aca="false">R767/(T767+0.00001)</f>
        <v>#N/A</v>
      </c>
      <c r="W767" s="14" t="n">
        <f aca="false">S767/(U767+0.0001)</f>
        <v>17.1939224574362</v>
      </c>
      <c r="X767" s="39" t="n">
        <f aca="false">IF(Informed=1,K767,0)</f>
        <v>0</v>
      </c>
      <c r="Y767" s="39" t="n">
        <f aca="false">IF(Informed=0,K767,0)</f>
        <v>17.986411409384</v>
      </c>
      <c r="Z767" s="39" t="n">
        <f aca="false">IF(Informed=1,N767,0)</f>
        <v>0</v>
      </c>
      <c r="AA767" s="39" t="n">
        <f aca="false">IF(Informed=0,N767,0)</f>
        <v>0</v>
      </c>
      <c r="AB767" s="43" t="n">
        <f aca="false">IF(Arterial=0,IF(Informed=1,1,0),0)</f>
        <v>0</v>
      </c>
      <c r="AC767" s="43" t="n">
        <f aca="false">IF(Arterial=0,IF(Informed=0,1,0),0)</f>
        <v>1</v>
      </c>
      <c r="AD767" s="43" t="n">
        <f aca="false">IF(Arterial=1,IF(Informed=1,1,0),0)</f>
        <v>0</v>
      </c>
      <c r="AE767" s="43" t="n">
        <f aca="false">IF(Arterial=1,IF(Informed=0,1,0),0)</f>
        <v>0</v>
      </c>
      <c r="AF767" s="35" t="n">
        <f aca="false">IF(AB767=1,(X767-G$1030)^2,0)</f>
        <v>0</v>
      </c>
      <c r="AG767" s="35" t="n">
        <f aca="false">IF(AC767=1,(Y767-H$1030)^2,0)</f>
        <v>49.8806882570468</v>
      </c>
      <c r="AH767" s="35" t="n">
        <f aca="false">IF(AD767=1,(Z767-I$1030)^2,0)</f>
        <v>0</v>
      </c>
      <c r="AI767" s="35" t="n">
        <f aca="false">IF(AE767=1,(AA767-J$1030)^2,0)</f>
        <v>0</v>
      </c>
      <c r="AJ767" s="37" t="n">
        <f aca="true">IF(RAND()&lt;$D$6,1,0)</f>
        <v>0</v>
      </c>
      <c r="AK767" s="14" t="n">
        <f aca="false">AK766+IF((AJ767=1),IF((H767=0),1,0),0)</f>
        <v>0</v>
      </c>
      <c r="AL767" s="14" t="n">
        <f aca="false">AL766+IF((AJ767=1),IF((H767=1),1,0),0)</f>
        <v>0</v>
      </c>
      <c r="AM767" s="37" t="n">
        <f aca="false">IF(AK767=0,9999,IF($H767=0,IF($AJ767&lt;1,AM766+1,0),AM766))</f>
        <v>9999</v>
      </c>
      <c r="AN767" s="37" t="n">
        <f aca="false">IF(AL767=0,9999,IF($H767=1,IF($AJ767&lt;1,AN766+1,0),AN766))</f>
        <v>9999</v>
      </c>
      <c r="AO767" s="37" t="n">
        <f aca="false">IF($A767-AM767&gt;0,1/(1+AM767),0)</f>
        <v>0</v>
      </c>
      <c r="AP767" s="37" t="n">
        <f aca="false">IF($A767-AN767&gt;0,1/(1+AN767),0)</f>
        <v>0</v>
      </c>
      <c r="AQ767" s="7" t="n">
        <f aca="false">IF(AK767=0,0,MAX(MIN(1,AO767^Power),0))</f>
        <v>0</v>
      </c>
      <c r="AR767" s="7" t="n">
        <f aca="false">IF(AL767=0,0,MAX(MIN(1,AP767^Power),0))</f>
        <v>0</v>
      </c>
      <c r="AS767" s="7" t="n">
        <f aca="false">IF($AJ767=1,IF($H767=0,K767,AS766),AS766)</f>
        <v>0</v>
      </c>
      <c r="AT767" s="7" t="n">
        <f aca="false">IF($AJ767=1,IF($H767=1,N767,AT766),AT766)</f>
        <v>0</v>
      </c>
    </row>
    <row r="768" customFormat="false" ht="13" hidden="false" customHeight="false" outlineLevel="0" collapsed="false">
      <c r="A768" s="16" t="n">
        <v>751</v>
      </c>
      <c r="B768" s="37" t="n">
        <f aca="true">IF(RAND()&lt;$D$8,1,0)</f>
        <v>0</v>
      </c>
      <c r="C768" s="20" t="n">
        <f aca="true">-LN(RAND())/$D$2</f>
        <v>3.01452010620553</v>
      </c>
      <c r="D768" s="38" t="n">
        <f aca="false">D767+C768</f>
        <v>792.634810997151</v>
      </c>
      <c r="E768" s="39" t="n">
        <f aca="false">MAX($E$3,AS767)</f>
        <v>0</v>
      </c>
      <c r="F768" s="39" t="n">
        <f aca="false">MAX($E$3,AT767)</f>
        <v>0</v>
      </c>
      <c r="G768" s="40" t="n">
        <v>0.5</v>
      </c>
      <c r="H768" s="38" t="n">
        <f aca="true">IF((B768=1),(IF((F768&lt;E768),1,(IF((F768=E768),(IF(RAND()&lt;G768,1,0)),0)))),(IF((RAND()&lt;G768),1,0)))</f>
        <v>0</v>
      </c>
      <c r="I768" s="38" t="n">
        <f aca="true">IF((H768=1),0,$D$3+$D$5*(RAND()-0.5))</f>
        <v>2.17655097383255</v>
      </c>
      <c r="J768" s="38" t="n">
        <f aca="false">I768+MAX(D768,J767)</f>
        <v>809.783253274162</v>
      </c>
      <c r="K768" s="38" t="n">
        <f aca="false">IF((H768=0),J768-D768,0)</f>
        <v>17.148442277011</v>
      </c>
      <c r="L768" s="38" t="n">
        <f aca="true">IF(($H768=0),0,$D$4+$D$5*(RAND()-0.5))</f>
        <v>0</v>
      </c>
      <c r="M768" s="38" t="n">
        <f aca="false">L768+MAX(D768,M767)</f>
        <v>827.051685880068</v>
      </c>
      <c r="N768" s="38" t="n">
        <f aca="false">IF((H768=1),M768-D768,0)</f>
        <v>0</v>
      </c>
      <c r="O768" s="16" t="n">
        <v>751</v>
      </c>
      <c r="P768" s="41" t="n">
        <f aca="false">IF((Arterial=0),P767+1,P767)</f>
        <v>351</v>
      </c>
      <c r="Q768" s="41" t="n">
        <f aca="false">IF((Arterial=1),Q767+1,Q767)</f>
        <v>400</v>
      </c>
      <c r="R768" s="42" t="e">
        <f aca="false">IF((RESET=1),0,R768+K768)</f>
        <v>#N/A</v>
      </c>
      <c r="S768" s="14" t="n">
        <f aca="false">IF(RESET=1,0,S768+N768)</f>
        <v>485.622609436441</v>
      </c>
      <c r="T768" s="2" t="e">
        <f aca="false">IF(RESET=1,0,T768+IF(H768=0,1,0))</f>
        <v>#N/A</v>
      </c>
      <c r="U768" s="2" t="n">
        <f aca="false">IF(RESET=1,0,U768+H768)</f>
        <v>32</v>
      </c>
      <c r="V768" s="14" t="e">
        <f aca="false">R768/(T768+0.00001)</f>
        <v>#N/A</v>
      </c>
      <c r="W768" s="14" t="n">
        <f aca="false">S768/(U768+0.0001)</f>
        <v>15.175659120954</v>
      </c>
      <c r="X768" s="39" t="n">
        <f aca="false">IF(Informed=1,K768,0)</f>
        <v>0</v>
      </c>
      <c r="Y768" s="39" t="n">
        <f aca="false">IF(Informed=0,K768,0)</f>
        <v>17.148442277011</v>
      </c>
      <c r="Z768" s="39" t="n">
        <f aca="false">IF(Informed=1,N768,0)</f>
        <v>0</v>
      </c>
      <c r="AA768" s="39" t="n">
        <f aca="false">IF(Informed=0,N768,0)</f>
        <v>0</v>
      </c>
      <c r="AB768" s="43" t="n">
        <f aca="false">IF(Arterial=0,IF(Informed=1,1,0),0)</f>
        <v>0</v>
      </c>
      <c r="AC768" s="43" t="n">
        <f aca="false">IF(Arterial=0,IF(Informed=0,1,0),0)</f>
        <v>1</v>
      </c>
      <c r="AD768" s="43" t="n">
        <f aca="false">IF(Arterial=1,IF(Informed=1,1,0),0)</f>
        <v>0</v>
      </c>
      <c r="AE768" s="43" t="n">
        <f aca="false">IF(Arterial=1,IF(Informed=0,1,0),0)</f>
        <v>0</v>
      </c>
      <c r="AF768" s="35" t="n">
        <f aca="false">IF(AB768=1,(X768-G$1030)^2,0)</f>
        <v>0</v>
      </c>
      <c r="AG768" s="35" t="n">
        <f aca="false">IF(AC768=1,(Y768-H$1030)^2,0)</f>
        <v>38.7463550949552</v>
      </c>
      <c r="AH768" s="35" t="n">
        <f aca="false">IF(AD768=1,(Z768-I$1030)^2,0)</f>
        <v>0</v>
      </c>
      <c r="AI768" s="35" t="n">
        <f aca="false">IF(AE768=1,(AA768-J$1030)^2,0)</f>
        <v>0</v>
      </c>
      <c r="AJ768" s="37" t="n">
        <f aca="true">IF(RAND()&lt;$D$6,1,0)</f>
        <v>0</v>
      </c>
      <c r="AK768" s="14" t="n">
        <f aca="false">AK767+IF((AJ768=1),IF((H768=0),1,0),0)</f>
        <v>0</v>
      </c>
      <c r="AL768" s="14" t="n">
        <f aca="false">AL767+IF((AJ768=1),IF((H768=1),1,0),0)</f>
        <v>0</v>
      </c>
      <c r="AM768" s="37" t="n">
        <f aca="false">IF(AK768=0,9999,IF($H768=0,IF($AJ768&lt;1,AM767+1,0),AM767))</f>
        <v>9999</v>
      </c>
      <c r="AN768" s="37" t="n">
        <f aca="false">IF(AL768=0,9999,IF($H768=1,IF($AJ768&lt;1,AN767+1,0),AN767))</f>
        <v>9999</v>
      </c>
      <c r="AO768" s="37" t="n">
        <f aca="false">IF($A768-AM768&gt;0,1/(1+AM768),0)</f>
        <v>0</v>
      </c>
      <c r="AP768" s="37" t="n">
        <f aca="false">IF($A768-AN768&gt;0,1/(1+AN768),0)</f>
        <v>0</v>
      </c>
      <c r="AQ768" s="7" t="n">
        <f aca="false">IF(AK768=0,0,MAX(MIN(1,AO768^Power),0))</f>
        <v>0</v>
      </c>
      <c r="AR768" s="7" t="n">
        <f aca="false">IF(AL768=0,0,MAX(MIN(1,AP768^Power),0))</f>
        <v>0</v>
      </c>
      <c r="AS768" s="7" t="n">
        <f aca="false">IF($AJ768=1,IF($H768=0,K768,AS767),AS767)</f>
        <v>0</v>
      </c>
      <c r="AT768" s="7" t="n">
        <f aca="false">IF($AJ768=1,IF($H768=1,N768,AT767),AT767)</f>
        <v>0</v>
      </c>
    </row>
    <row r="769" customFormat="false" ht="13" hidden="false" customHeight="false" outlineLevel="0" collapsed="false">
      <c r="A769" s="16" t="n">
        <v>752</v>
      </c>
      <c r="B769" s="37" t="n">
        <f aca="true">IF(RAND()&lt;$D$8,1,0)</f>
        <v>0</v>
      </c>
      <c r="C769" s="20" t="n">
        <f aca="true">-LN(RAND())/$D$2</f>
        <v>0.191197309513197</v>
      </c>
      <c r="D769" s="38" t="n">
        <f aca="false">D768+C769</f>
        <v>792.826008306664</v>
      </c>
      <c r="E769" s="39" t="n">
        <f aca="false">MAX($E$3,AS768)</f>
        <v>0</v>
      </c>
      <c r="F769" s="39" t="n">
        <f aca="false">MAX($E$3,AT768)</f>
        <v>0</v>
      </c>
      <c r="G769" s="40" t="n">
        <v>0.5</v>
      </c>
      <c r="H769" s="38" t="n">
        <f aca="true">IF((B769=1),(IF((F769&lt;E769),1,(IF((F769=E769),(IF(RAND()&lt;G769,1,0)),0)))),(IF((RAND()&lt;G769),1,0)))</f>
        <v>0</v>
      </c>
      <c r="I769" s="38" t="n">
        <f aca="true">IF((H769=1),0,$D$3+$D$5*(RAND()-0.5))</f>
        <v>2.02974561249072</v>
      </c>
      <c r="J769" s="38" t="n">
        <f aca="false">I769+MAX(D769,J768)</f>
        <v>811.812998886653</v>
      </c>
      <c r="K769" s="38" t="n">
        <f aca="false">IF((H769=0),J769-D769,0)</f>
        <v>18.9869905799885</v>
      </c>
      <c r="L769" s="38" t="n">
        <f aca="true">IF(($H769=0),0,$D$4+$D$5*(RAND()-0.5))</f>
        <v>0</v>
      </c>
      <c r="M769" s="38" t="n">
        <f aca="false">L769+MAX(D769,M768)</f>
        <v>827.051685880068</v>
      </c>
      <c r="N769" s="38" t="n">
        <f aca="false">IF((H769=1),M769-D769,0)</f>
        <v>0</v>
      </c>
      <c r="O769" s="16" t="n">
        <v>752</v>
      </c>
      <c r="P769" s="41" t="n">
        <f aca="false">IF((Arterial=0),P768+1,P768)</f>
        <v>352</v>
      </c>
      <c r="Q769" s="41" t="n">
        <f aca="false">IF((Arterial=1),Q768+1,Q768)</f>
        <v>400</v>
      </c>
      <c r="R769" s="42" t="e">
        <f aca="false">IF((RESET=1),0,R769+K769)</f>
        <v>#N/A</v>
      </c>
      <c r="S769" s="14" t="n">
        <f aca="false">IF(RESET=1,0,S769+N769)</f>
        <v>445.433846322136</v>
      </c>
      <c r="T769" s="2" t="e">
        <f aca="false">IF(RESET=1,0,T769+IF(H769=0,1,0))</f>
        <v>#N/A</v>
      </c>
      <c r="U769" s="2" t="n">
        <f aca="false">IF(RESET=1,0,U769+H769)</f>
        <v>32</v>
      </c>
      <c r="V769" s="14" t="e">
        <f aca="false">R769/(T769+0.00001)</f>
        <v>#N/A</v>
      </c>
      <c r="W769" s="14" t="n">
        <f aca="false">S769/(U769+0.0001)</f>
        <v>13.9197641983036</v>
      </c>
      <c r="X769" s="39" t="n">
        <f aca="false">IF(Informed=1,K769,0)</f>
        <v>0</v>
      </c>
      <c r="Y769" s="39" t="n">
        <f aca="false">IF(Informed=0,K769,0)</f>
        <v>18.9869905799885</v>
      </c>
      <c r="Z769" s="39" t="n">
        <f aca="false">IF(Informed=1,N769,0)</f>
        <v>0</v>
      </c>
      <c r="AA769" s="39" t="n">
        <f aca="false">IF(Informed=0,N769,0)</f>
        <v>0</v>
      </c>
      <c r="AB769" s="43" t="n">
        <f aca="false">IF(Arterial=0,IF(Informed=1,1,0),0)</f>
        <v>0</v>
      </c>
      <c r="AC769" s="43" t="n">
        <f aca="false">IF(Arterial=0,IF(Informed=0,1,0),0)</f>
        <v>1</v>
      </c>
      <c r="AD769" s="43" t="n">
        <f aca="false">IF(Arterial=1,IF(Informed=1,1,0),0)</f>
        <v>0</v>
      </c>
      <c r="AE769" s="43" t="n">
        <f aca="false">IF(Arterial=1,IF(Informed=0,1,0),0)</f>
        <v>0</v>
      </c>
      <c r="AF769" s="35" t="n">
        <f aca="false">IF(AB769=1,(X769-G$1030)^2,0)</f>
        <v>0</v>
      </c>
      <c r="AG769" s="35" t="n">
        <f aca="false">IF(AC769=1,(Y769-H$1030)^2,0)</f>
        <v>65.0152801819461</v>
      </c>
      <c r="AH769" s="35" t="n">
        <f aca="false">IF(AD769=1,(Z769-I$1030)^2,0)</f>
        <v>0</v>
      </c>
      <c r="AI769" s="35" t="n">
        <f aca="false">IF(AE769=1,(AA769-J$1030)^2,0)</f>
        <v>0</v>
      </c>
      <c r="AJ769" s="37" t="n">
        <f aca="true">IF(RAND()&lt;$D$6,1,0)</f>
        <v>0</v>
      </c>
      <c r="AK769" s="14" t="n">
        <f aca="false">AK768+IF((AJ769=1),IF((H769=0),1,0),0)</f>
        <v>0</v>
      </c>
      <c r="AL769" s="14" t="n">
        <f aca="false">AL768+IF((AJ769=1),IF((H769=1),1,0),0)</f>
        <v>0</v>
      </c>
      <c r="AM769" s="37" t="n">
        <f aca="false">IF(AK769=0,9999,IF($H769=0,IF($AJ769&lt;1,AM768+1,0),AM768))</f>
        <v>9999</v>
      </c>
      <c r="AN769" s="37" t="n">
        <f aca="false">IF(AL769=0,9999,IF($H769=1,IF($AJ769&lt;1,AN768+1,0),AN768))</f>
        <v>9999</v>
      </c>
      <c r="AO769" s="37" t="n">
        <f aca="false">IF($A769-AM769&gt;0,1/(1+AM769),0)</f>
        <v>0</v>
      </c>
      <c r="AP769" s="37" t="n">
        <f aca="false">IF($A769-AN769&gt;0,1/(1+AN769),0)</f>
        <v>0</v>
      </c>
      <c r="AQ769" s="7" t="n">
        <f aca="false">IF(AK769=0,0,MAX(MIN(1,AO769^Power),0))</f>
        <v>0</v>
      </c>
      <c r="AR769" s="7" t="n">
        <f aca="false">IF(AL769=0,0,MAX(MIN(1,AP769^Power),0))</f>
        <v>0</v>
      </c>
      <c r="AS769" s="7" t="n">
        <f aca="false">IF($AJ769=1,IF($H769=0,K769,AS768),AS768)</f>
        <v>0</v>
      </c>
      <c r="AT769" s="7" t="n">
        <f aca="false">IF($AJ769=1,IF($H769=1,N769,AT768),AT768)</f>
        <v>0</v>
      </c>
    </row>
    <row r="770" customFormat="false" ht="13" hidden="false" customHeight="false" outlineLevel="0" collapsed="false">
      <c r="A770" s="16" t="n">
        <v>753</v>
      </c>
      <c r="B770" s="37" t="n">
        <f aca="true">IF(RAND()&lt;$D$8,1,0)</f>
        <v>1</v>
      </c>
      <c r="C770" s="20" t="n">
        <f aca="true">-LN(RAND())/$D$2</f>
        <v>0.575420088641001</v>
      </c>
      <c r="D770" s="38" t="n">
        <f aca="false">D769+C770</f>
        <v>793.401428395305</v>
      </c>
      <c r="E770" s="39" t="n">
        <f aca="false">MAX($E$3,AS769)</f>
        <v>0</v>
      </c>
      <c r="F770" s="39" t="n">
        <f aca="false">MAX($E$3,AT769)</f>
        <v>0</v>
      </c>
      <c r="G770" s="40" t="n">
        <v>0.5</v>
      </c>
      <c r="H770" s="38" t="n">
        <f aca="true">IF((B770=1),(IF((F770&lt;E770),1,(IF((F770=E770),(IF(RAND()&lt;G770,1,0)),0)))),(IF((RAND()&lt;G770),1,0)))</f>
        <v>0</v>
      </c>
      <c r="I770" s="38" t="n">
        <f aca="true">IF((H770=1),0,$D$3+$D$5*(RAND()-0.5))</f>
        <v>1.81321138552763</v>
      </c>
      <c r="J770" s="38" t="n">
        <f aca="false">I770+MAX(D770,J769)</f>
        <v>813.62621027218</v>
      </c>
      <c r="K770" s="38" t="n">
        <f aca="false">IF((H770=0),J770-D770,0)</f>
        <v>20.2247818768752</v>
      </c>
      <c r="L770" s="38" t="n">
        <f aca="true">IF(($H770=0),0,$D$4+$D$5*(RAND()-0.5))</f>
        <v>0</v>
      </c>
      <c r="M770" s="38" t="n">
        <f aca="false">L770+MAX(D770,M769)</f>
        <v>827.051685880068</v>
      </c>
      <c r="N770" s="38" t="n">
        <f aca="false">IF((H770=1),M770-D770,0)</f>
        <v>0</v>
      </c>
      <c r="O770" s="16" t="n">
        <v>753</v>
      </c>
      <c r="P770" s="41" t="n">
        <f aca="false">IF((Arterial=0),P769+1,P769)</f>
        <v>353</v>
      </c>
      <c r="Q770" s="41" t="n">
        <f aca="false">IF((Arterial=1),Q769+1,Q769)</f>
        <v>400</v>
      </c>
      <c r="R770" s="42" t="e">
        <f aca="false">IF((RESET=1),0,R770+K770)</f>
        <v>#N/A</v>
      </c>
      <c r="S770" s="14" t="n">
        <f aca="false">IF(RESET=1,0,S770+N770)</f>
        <v>573.677163847828</v>
      </c>
      <c r="T770" s="2" t="e">
        <f aca="false">IF(RESET=1,0,T770+IF(H770=0,1,0))</f>
        <v>#N/A</v>
      </c>
      <c r="U770" s="2" t="n">
        <f aca="false">IF(RESET=1,0,U770+H770)</f>
        <v>40</v>
      </c>
      <c r="V770" s="14" t="e">
        <f aca="false">R770/(T770+0.00001)</f>
        <v>#N/A</v>
      </c>
      <c r="W770" s="14" t="n">
        <f aca="false">S770/(U770+0.0001)</f>
        <v>14.3418932414626</v>
      </c>
      <c r="X770" s="39" t="n">
        <f aca="false">IF(Informed=1,K770,0)</f>
        <v>20.2247818768752</v>
      </c>
      <c r="Y770" s="39" t="n">
        <f aca="false">IF(Informed=0,K770,0)</f>
        <v>0</v>
      </c>
      <c r="Z770" s="39" t="n">
        <f aca="false">IF(Informed=1,N770,0)</f>
        <v>0</v>
      </c>
      <c r="AA770" s="39" t="n">
        <f aca="false">IF(Informed=0,N770,0)</f>
        <v>0</v>
      </c>
      <c r="AB770" s="43" t="n">
        <f aca="false">IF(Arterial=0,IF(Informed=1,1,0),0)</f>
        <v>1</v>
      </c>
      <c r="AC770" s="43" t="n">
        <f aca="false">IF(Arterial=0,IF(Informed=0,1,0),0)</f>
        <v>0</v>
      </c>
      <c r="AD770" s="43" t="n">
        <f aca="false">IF(Arterial=1,IF(Informed=1,1,0),0)</f>
        <v>0</v>
      </c>
      <c r="AE770" s="43" t="n">
        <f aca="false">IF(Arterial=1,IF(Informed=0,1,0),0)</f>
        <v>0</v>
      </c>
      <c r="AF770" s="35" t="n">
        <f aca="false">IF(AB770=1,(X770-G$1030)^2,0)</f>
        <v>90.537197186636</v>
      </c>
      <c r="AG770" s="35" t="n">
        <f aca="false">IF(AC770=1,(Y770-H$1030)^2,0)</f>
        <v>0</v>
      </c>
      <c r="AH770" s="35" t="n">
        <f aca="false">IF(AD770=1,(Z770-I$1030)^2,0)</f>
        <v>0</v>
      </c>
      <c r="AI770" s="35" t="n">
        <f aca="false">IF(AE770=1,(AA770-J$1030)^2,0)</f>
        <v>0</v>
      </c>
      <c r="AJ770" s="37" t="n">
        <f aca="true">IF(RAND()&lt;$D$6,1,0)</f>
        <v>0</v>
      </c>
      <c r="AK770" s="14" t="n">
        <f aca="false">AK769+IF((AJ770=1),IF((H770=0),1,0),0)</f>
        <v>0</v>
      </c>
      <c r="AL770" s="14" t="n">
        <f aca="false">AL769+IF((AJ770=1),IF((H770=1),1,0),0)</f>
        <v>0</v>
      </c>
      <c r="AM770" s="37" t="n">
        <f aca="false">IF(AK770=0,9999,IF($H770=0,IF($AJ770&lt;1,AM769+1,0),AM769))</f>
        <v>9999</v>
      </c>
      <c r="AN770" s="37" t="n">
        <f aca="false">IF(AL770=0,9999,IF($H770=1,IF($AJ770&lt;1,AN769+1,0),AN769))</f>
        <v>9999</v>
      </c>
      <c r="AO770" s="37" t="n">
        <f aca="false">IF($A770-AM770&gt;0,1/(1+AM770),0)</f>
        <v>0</v>
      </c>
      <c r="AP770" s="37" t="n">
        <f aca="false">IF($A770-AN770&gt;0,1/(1+AN770),0)</f>
        <v>0</v>
      </c>
      <c r="AQ770" s="7" t="n">
        <f aca="false">IF(AK770=0,0,MAX(MIN(1,AO770^Power),0))</f>
        <v>0</v>
      </c>
      <c r="AR770" s="7" t="n">
        <f aca="false">IF(AL770=0,0,MAX(MIN(1,AP770^Power),0))</f>
        <v>0</v>
      </c>
      <c r="AS770" s="7" t="n">
        <f aca="false">IF($AJ770=1,IF($H770=0,K770,AS769),AS769)</f>
        <v>0</v>
      </c>
      <c r="AT770" s="7" t="n">
        <f aca="false">IF($AJ770=1,IF($H770=1,N770,AT769),AT769)</f>
        <v>0</v>
      </c>
    </row>
    <row r="771" customFormat="false" ht="13" hidden="false" customHeight="false" outlineLevel="0" collapsed="false">
      <c r="A771" s="16" t="n">
        <v>754</v>
      </c>
      <c r="B771" s="37" t="n">
        <f aca="true">IF(RAND()&lt;$D$8,1,0)</f>
        <v>1</v>
      </c>
      <c r="C771" s="20" t="n">
        <f aca="true">-LN(RAND())/$D$2</f>
        <v>0.945119878643853</v>
      </c>
      <c r="D771" s="38" t="n">
        <f aca="false">D770+C771</f>
        <v>794.346548273949</v>
      </c>
      <c r="E771" s="39" t="n">
        <f aca="false">MAX($E$3,AS770)</f>
        <v>0</v>
      </c>
      <c r="F771" s="39" t="n">
        <f aca="false">MAX($E$3,AT770)</f>
        <v>0</v>
      </c>
      <c r="G771" s="40" t="n">
        <v>0.5</v>
      </c>
      <c r="H771" s="38" t="n">
        <f aca="true">IF((B771=1),(IF((F771&lt;E771),1,(IF((F771=E771),(IF(RAND()&lt;G771,1,0)),0)))),(IF((RAND()&lt;G771),1,0)))</f>
        <v>0</v>
      </c>
      <c r="I771" s="38" t="n">
        <f aca="true">IF((H771=1),0,$D$3+$D$5*(RAND()-0.5))</f>
        <v>2.14100678237222</v>
      </c>
      <c r="J771" s="38" t="n">
        <f aca="false">I771+MAX(D771,J770)</f>
        <v>815.767217054553</v>
      </c>
      <c r="K771" s="38" t="n">
        <f aca="false">IF((H771=0),J771-D771,0)</f>
        <v>21.4206687806036</v>
      </c>
      <c r="L771" s="38" t="n">
        <f aca="true">IF(($H771=0),0,$D$4+$D$5*(RAND()-0.5))</f>
        <v>0</v>
      </c>
      <c r="M771" s="38" t="n">
        <f aca="false">L771+MAX(D771,M770)</f>
        <v>827.051685880068</v>
      </c>
      <c r="N771" s="38" t="n">
        <f aca="false">IF((H771=1),M771-D771,0)</f>
        <v>0</v>
      </c>
      <c r="O771" s="16" t="n">
        <v>754</v>
      </c>
      <c r="P771" s="41" t="n">
        <f aca="false">IF((Arterial=0),P770+1,P770)</f>
        <v>354</v>
      </c>
      <c r="Q771" s="41" t="n">
        <f aca="false">IF((Arterial=1),Q770+1,Q770)</f>
        <v>400</v>
      </c>
      <c r="R771" s="42" t="e">
        <f aca="false">IF((RESET=1),0,R771+K771)</f>
        <v>#N/A</v>
      </c>
      <c r="S771" s="14" t="n">
        <f aca="false">IF(RESET=1,0,S771+N771)</f>
        <v>847.438891847373</v>
      </c>
      <c r="T771" s="2" t="e">
        <f aca="false">IF(RESET=1,0,T771+IF(H771=0,1,0))</f>
        <v>#N/A</v>
      </c>
      <c r="U771" s="2" t="n">
        <f aca="false">IF(RESET=1,0,U771+H771)</f>
        <v>47</v>
      </c>
      <c r="V771" s="14" t="e">
        <f aca="false">R771/(T771+0.00001)</f>
        <v>#N/A</v>
      </c>
      <c r="W771" s="14" t="n">
        <f aca="false">S771/(U771+0.0001)</f>
        <v>18.0305763572285</v>
      </c>
      <c r="X771" s="39" t="n">
        <f aca="false">IF(Informed=1,K771,0)</f>
        <v>21.4206687806036</v>
      </c>
      <c r="Y771" s="39" t="n">
        <f aca="false">IF(Informed=0,K771,0)</f>
        <v>0</v>
      </c>
      <c r="Z771" s="39" t="n">
        <f aca="false">IF(Informed=1,N771,0)</f>
        <v>0</v>
      </c>
      <c r="AA771" s="39" t="n">
        <f aca="false">IF(Informed=0,N771,0)</f>
        <v>0</v>
      </c>
      <c r="AB771" s="43" t="n">
        <f aca="false">IF(Arterial=0,IF(Informed=1,1,0),0)</f>
        <v>1</v>
      </c>
      <c r="AC771" s="43" t="n">
        <f aca="false">IF(Arterial=0,IF(Informed=0,1,0),0)</f>
        <v>0</v>
      </c>
      <c r="AD771" s="43" t="n">
        <f aca="false">IF(Arterial=1,IF(Informed=1,1,0),0)</f>
        <v>0</v>
      </c>
      <c r="AE771" s="43" t="n">
        <f aca="false">IF(Arterial=1,IF(Informed=0,1,0),0)</f>
        <v>0</v>
      </c>
      <c r="AF771" s="35" t="n">
        <f aca="false">IF(AB771=1,(X771-G$1030)^2,0)</f>
        <v>114.725318322806</v>
      </c>
      <c r="AG771" s="35" t="n">
        <f aca="false">IF(AC771=1,(Y771-H$1030)^2,0)</f>
        <v>0</v>
      </c>
      <c r="AH771" s="35" t="n">
        <f aca="false">IF(AD771=1,(Z771-I$1030)^2,0)</f>
        <v>0</v>
      </c>
      <c r="AI771" s="35" t="n">
        <f aca="false">IF(AE771=1,(AA771-J$1030)^2,0)</f>
        <v>0</v>
      </c>
      <c r="AJ771" s="37" t="n">
        <f aca="true">IF(RAND()&lt;$D$6,1,0)</f>
        <v>0</v>
      </c>
      <c r="AK771" s="14" t="n">
        <f aca="false">AK770+IF((AJ771=1),IF((H771=0),1,0),0)</f>
        <v>0</v>
      </c>
      <c r="AL771" s="14" t="n">
        <f aca="false">AL770+IF((AJ771=1),IF((H771=1),1,0),0)</f>
        <v>0</v>
      </c>
      <c r="AM771" s="37" t="n">
        <f aca="false">IF(AK771=0,9999,IF($H771=0,IF($AJ771&lt;1,AM770+1,0),AM770))</f>
        <v>9999</v>
      </c>
      <c r="AN771" s="37" t="n">
        <f aca="false">IF(AL771=0,9999,IF($H771=1,IF($AJ771&lt;1,AN770+1,0),AN770))</f>
        <v>9999</v>
      </c>
      <c r="AO771" s="37" t="n">
        <f aca="false">IF($A771-AM771&gt;0,1/(1+AM771),0)</f>
        <v>0</v>
      </c>
      <c r="AP771" s="37" t="n">
        <f aca="false">IF($A771-AN771&gt;0,1/(1+AN771),0)</f>
        <v>0</v>
      </c>
      <c r="AQ771" s="7" t="n">
        <f aca="false">IF(AK771=0,0,MAX(MIN(1,AO771^Power),0))</f>
        <v>0</v>
      </c>
      <c r="AR771" s="7" t="n">
        <f aca="false">IF(AL771=0,0,MAX(MIN(1,AP771^Power),0))</f>
        <v>0</v>
      </c>
      <c r="AS771" s="7" t="n">
        <f aca="false">IF($AJ771=1,IF($H771=0,K771,AS770),AS770)</f>
        <v>0</v>
      </c>
      <c r="AT771" s="7" t="n">
        <f aca="false">IF($AJ771=1,IF($H771=1,N771,AT770),AT770)</f>
        <v>0</v>
      </c>
    </row>
    <row r="772" customFormat="false" ht="13" hidden="false" customHeight="false" outlineLevel="0" collapsed="false">
      <c r="A772" s="16" t="n">
        <v>755</v>
      </c>
      <c r="B772" s="37" t="n">
        <f aca="true">IF(RAND()&lt;$D$8,1,0)</f>
        <v>1</v>
      </c>
      <c r="C772" s="20" t="n">
        <f aca="true">-LN(RAND())/$D$2</f>
        <v>0.114980941601475</v>
      </c>
      <c r="D772" s="38" t="n">
        <f aca="false">D771+C772</f>
        <v>794.461529215551</v>
      </c>
      <c r="E772" s="39" t="n">
        <f aca="false">MAX($E$3,AS771)</f>
        <v>0</v>
      </c>
      <c r="F772" s="39" t="n">
        <f aca="false">MAX($E$3,AT771)</f>
        <v>0</v>
      </c>
      <c r="G772" s="40" t="n">
        <v>0.5</v>
      </c>
      <c r="H772" s="38" t="n">
        <f aca="true">IF((B772=1),(IF((F772&lt;E772),1,(IF((F772=E772),(IF(RAND()&lt;G772,1,0)),0)))),(IF((RAND()&lt;G772),1,0)))</f>
        <v>0</v>
      </c>
      <c r="I772" s="38" t="n">
        <f aca="true">IF((H772=1),0,$D$3+$D$5*(RAND()-0.5))</f>
        <v>2.1387101736687</v>
      </c>
      <c r="J772" s="38" t="n">
        <f aca="false">I772+MAX(D772,J771)</f>
        <v>817.905927228221</v>
      </c>
      <c r="K772" s="38" t="n">
        <f aca="false">IF((H772=0),J772-D772,0)</f>
        <v>23.4443980126708</v>
      </c>
      <c r="L772" s="38" t="n">
        <f aca="true">IF(($H772=0),0,$D$4+$D$5*(RAND()-0.5))</f>
        <v>0</v>
      </c>
      <c r="M772" s="38" t="n">
        <f aca="false">L772+MAX(D772,M771)</f>
        <v>827.051685880068</v>
      </c>
      <c r="N772" s="38" t="n">
        <f aca="false">IF((H772=1),M772-D772,0)</f>
        <v>0</v>
      </c>
      <c r="O772" s="16" t="n">
        <v>755</v>
      </c>
      <c r="P772" s="41" t="n">
        <f aca="false">IF((Arterial=0),P771+1,P771)</f>
        <v>355</v>
      </c>
      <c r="Q772" s="41" t="n">
        <f aca="false">IF((Arterial=1),Q771+1,Q771)</f>
        <v>400</v>
      </c>
      <c r="R772" s="42" t="e">
        <f aca="false">IF((RESET=1),0,R772+K772)</f>
        <v>#N/A</v>
      </c>
      <c r="S772" s="14" t="n">
        <f aca="false">IF(RESET=1,0,S772+N772)</f>
        <v>671.221043380282</v>
      </c>
      <c r="T772" s="2" t="e">
        <f aca="false">IF(RESET=1,0,T772+IF(H772=0,1,0))</f>
        <v>#N/A</v>
      </c>
      <c r="U772" s="2" t="n">
        <f aca="false">IF(RESET=1,0,U772+H772)</f>
        <v>39</v>
      </c>
      <c r="V772" s="14" t="e">
        <f aca="false">R772/(T772+0.00001)</f>
        <v>#N/A</v>
      </c>
      <c r="W772" s="14" t="n">
        <f aca="false">S772/(U772+0.0001)</f>
        <v>17.2107518539768</v>
      </c>
      <c r="X772" s="39" t="n">
        <f aca="false">IF(Informed=1,K772,0)</f>
        <v>23.4443980126708</v>
      </c>
      <c r="Y772" s="39" t="n">
        <f aca="false">IF(Informed=0,K772,0)</f>
        <v>0</v>
      </c>
      <c r="Z772" s="39" t="n">
        <f aca="false">IF(Informed=1,N772,0)</f>
        <v>0</v>
      </c>
      <c r="AA772" s="39" t="n">
        <f aca="false">IF(Informed=0,N772,0)</f>
        <v>0</v>
      </c>
      <c r="AB772" s="43" t="n">
        <f aca="false">IF(Arterial=0,IF(Informed=1,1,0),0)</f>
        <v>1</v>
      </c>
      <c r="AC772" s="43" t="n">
        <f aca="false">IF(Arterial=0,IF(Informed=0,1,0),0)</f>
        <v>0</v>
      </c>
      <c r="AD772" s="43" t="n">
        <f aca="false">IF(Arterial=1,IF(Informed=1,1,0),0)</f>
        <v>0</v>
      </c>
      <c r="AE772" s="43" t="n">
        <f aca="false">IF(Arterial=1,IF(Informed=0,1,0),0)</f>
        <v>0</v>
      </c>
      <c r="AF772" s="35" t="n">
        <f aca="false">IF(AB772=1,(X772-G$1030)^2,0)</f>
        <v>162.173087643163</v>
      </c>
      <c r="AG772" s="35" t="n">
        <f aca="false">IF(AC772=1,(Y772-H$1030)^2,0)</f>
        <v>0</v>
      </c>
      <c r="AH772" s="35" t="n">
        <f aca="false">IF(AD772=1,(Z772-I$1030)^2,0)</f>
        <v>0</v>
      </c>
      <c r="AI772" s="35" t="n">
        <f aca="false">IF(AE772=1,(AA772-J$1030)^2,0)</f>
        <v>0</v>
      </c>
      <c r="AJ772" s="37" t="n">
        <f aca="true">IF(RAND()&lt;$D$6,1,0)</f>
        <v>0</v>
      </c>
      <c r="AK772" s="14" t="n">
        <f aca="false">AK771+IF((AJ772=1),IF((H772=0),1,0),0)</f>
        <v>0</v>
      </c>
      <c r="AL772" s="14" t="n">
        <f aca="false">AL771+IF((AJ772=1),IF((H772=1),1,0),0)</f>
        <v>0</v>
      </c>
      <c r="AM772" s="37" t="n">
        <f aca="false">IF(AK772=0,9999,IF($H772=0,IF($AJ772&lt;1,AM771+1,0),AM771))</f>
        <v>9999</v>
      </c>
      <c r="AN772" s="37" t="n">
        <f aca="false">IF(AL772=0,9999,IF($H772=1,IF($AJ772&lt;1,AN771+1,0),AN771))</f>
        <v>9999</v>
      </c>
      <c r="AO772" s="37" t="n">
        <f aca="false">IF($A772-AM772&gt;0,1/(1+AM772),0)</f>
        <v>0</v>
      </c>
      <c r="AP772" s="37" t="n">
        <f aca="false">IF($A772-AN772&gt;0,1/(1+AN772),0)</f>
        <v>0</v>
      </c>
      <c r="AQ772" s="7" t="n">
        <f aca="false">IF(AK772=0,0,MAX(MIN(1,AO772^Power),0))</f>
        <v>0</v>
      </c>
      <c r="AR772" s="7" t="n">
        <f aca="false">IF(AL772=0,0,MAX(MIN(1,AP772^Power),0))</f>
        <v>0</v>
      </c>
      <c r="AS772" s="7" t="n">
        <f aca="false">IF($AJ772=1,IF($H772=0,K772,AS771),AS771)</f>
        <v>0</v>
      </c>
      <c r="AT772" s="7" t="n">
        <f aca="false">IF($AJ772=1,IF($H772=1,N772,AT771),AT771)</f>
        <v>0</v>
      </c>
    </row>
    <row r="773" customFormat="false" ht="13" hidden="false" customHeight="false" outlineLevel="0" collapsed="false">
      <c r="A773" s="16" t="n">
        <v>756</v>
      </c>
      <c r="B773" s="37" t="n">
        <f aca="true">IF(RAND()&lt;$D$8,1,0)</f>
        <v>0</v>
      </c>
      <c r="C773" s="20" t="n">
        <f aca="true">-LN(RAND())/$D$2</f>
        <v>0.457440863074414</v>
      </c>
      <c r="D773" s="38" t="n">
        <f aca="false">D772+C773</f>
        <v>794.918970078625</v>
      </c>
      <c r="E773" s="39" t="n">
        <f aca="false">MAX($E$3,AS772)</f>
        <v>0</v>
      </c>
      <c r="F773" s="39" t="n">
        <f aca="false">MAX($E$3,AT772)</f>
        <v>0</v>
      </c>
      <c r="G773" s="40" t="n">
        <v>0.5</v>
      </c>
      <c r="H773" s="38" t="n">
        <f aca="true">IF((B773=1),(IF((F773&lt;E773),1,(IF((F773=E773),(IF(RAND()&lt;G773,1,0)),0)))),(IF((RAND()&lt;G773),1,0)))</f>
        <v>1</v>
      </c>
      <c r="I773" s="38" t="n">
        <f aca="true">IF((H773=1),0,$D$3+$D$5*(RAND()-0.5))</f>
        <v>0</v>
      </c>
      <c r="J773" s="38" t="n">
        <f aca="false">I773+MAX(D773,J772)</f>
        <v>817.905927228221</v>
      </c>
      <c r="K773" s="38" t="n">
        <f aca="false">IF((H773=0),J773-D773,0)</f>
        <v>0</v>
      </c>
      <c r="L773" s="38" t="n">
        <f aca="true">IF(($H773=0),0,$D$4+$D$5*(RAND()-0.5))</f>
        <v>2.13963382090179</v>
      </c>
      <c r="M773" s="38" t="n">
        <f aca="false">L773+MAX(D773,M772)</f>
        <v>829.19131970097</v>
      </c>
      <c r="N773" s="38" t="n">
        <f aca="false">IF((H773=1),M773-D773,0)</f>
        <v>34.2723496223449</v>
      </c>
      <c r="O773" s="16" t="n">
        <v>756</v>
      </c>
      <c r="P773" s="41" t="n">
        <f aca="false">IF((Arterial=0),P772+1,P772)</f>
        <v>355</v>
      </c>
      <c r="Q773" s="41" t="n">
        <f aca="false">IF((Arterial=1),Q772+1,Q772)</f>
        <v>401</v>
      </c>
      <c r="R773" s="42" t="n">
        <f aca="false">IF((RESET=1),0,R773+K773)</f>
        <v>652.181137619557</v>
      </c>
      <c r="S773" s="14" t="e">
        <f aca="false">IF(RESET=1,0,S773+N773)</f>
        <v>#N/A</v>
      </c>
      <c r="T773" s="2" t="n">
        <f aca="false">IF(RESET=1,0,T773+IF(H773=0,1,0))</f>
        <v>39</v>
      </c>
      <c r="U773" s="2" t="e">
        <f aca="false">IF(RESET=1,0,U773+H773)</f>
        <v>#N/A</v>
      </c>
      <c r="V773" s="14" t="n">
        <f aca="false">R773/(T773+0.00001)</f>
        <v>16.722588984453</v>
      </c>
      <c r="W773" s="14" t="e">
        <f aca="false">S773/(U773+0.0001)</f>
        <v>#N/A</v>
      </c>
      <c r="X773" s="39" t="n">
        <f aca="false">IF(Informed=1,K773,0)</f>
        <v>0</v>
      </c>
      <c r="Y773" s="39" t="n">
        <f aca="false">IF(Informed=0,K773,0)</f>
        <v>0</v>
      </c>
      <c r="Z773" s="39" t="n">
        <f aca="false">IF(Informed=1,N773,0)</f>
        <v>0</v>
      </c>
      <c r="AA773" s="39" t="n">
        <f aca="false">IF(Informed=0,N773,0)</f>
        <v>34.2723496223449</v>
      </c>
      <c r="AB773" s="43" t="n">
        <f aca="false">IF(Arterial=0,IF(Informed=1,1,0),0)</f>
        <v>0</v>
      </c>
      <c r="AC773" s="43" t="n">
        <f aca="false">IF(Arterial=0,IF(Informed=0,1,0),0)</f>
        <v>0</v>
      </c>
      <c r="AD773" s="43" t="n">
        <f aca="false">IF(Arterial=1,IF(Informed=1,1,0),0)</f>
        <v>0</v>
      </c>
      <c r="AE773" s="43" t="n">
        <f aca="false">IF(Arterial=1,IF(Informed=0,1,0),0)</f>
        <v>1</v>
      </c>
      <c r="AF773" s="35" t="n">
        <f aca="false">IF(AB773=1,(X773-G$1030)^2,0)</f>
        <v>0</v>
      </c>
      <c r="AG773" s="35" t="n">
        <f aca="false">IF(AC773=1,(Y773-H$1030)^2,0)</f>
        <v>0</v>
      </c>
      <c r="AH773" s="35" t="n">
        <f aca="false">IF(AD773=1,(Z773-I$1030)^2,0)</f>
        <v>0</v>
      </c>
      <c r="AI773" s="35" t="n">
        <f aca="false">IF(AE773=1,(AA773-J$1030)^2,0)</f>
        <v>22.1659667416997</v>
      </c>
      <c r="AJ773" s="37" t="n">
        <f aca="true">IF(RAND()&lt;$D$6,1,0)</f>
        <v>0</v>
      </c>
      <c r="AK773" s="14" t="n">
        <f aca="false">AK772+IF((AJ773=1),IF((H773=0),1,0),0)</f>
        <v>0</v>
      </c>
      <c r="AL773" s="14" t="n">
        <f aca="false">AL772+IF((AJ773=1),IF((H773=1),1,0),0)</f>
        <v>0</v>
      </c>
      <c r="AM773" s="37" t="n">
        <f aca="false">IF(AK773=0,9999,IF($H773=0,IF($AJ773&lt;1,AM772+1,0),AM772))</f>
        <v>9999</v>
      </c>
      <c r="AN773" s="37" t="n">
        <f aca="false">IF(AL773=0,9999,IF($H773=1,IF($AJ773&lt;1,AN772+1,0),AN772))</f>
        <v>9999</v>
      </c>
      <c r="AO773" s="37" t="n">
        <f aca="false">IF($A773-AM773&gt;0,1/(1+AM773),0)</f>
        <v>0</v>
      </c>
      <c r="AP773" s="37" t="n">
        <f aca="false">IF($A773-AN773&gt;0,1/(1+AN773),0)</f>
        <v>0</v>
      </c>
      <c r="AQ773" s="7" t="n">
        <f aca="false">IF(AK773=0,0,MAX(MIN(1,AO773^Power),0))</f>
        <v>0</v>
      </c>
      <c r="AR773" s="7" t="n">
        <f aca="false">IF(AL773=0,0,MAX(MIN(1,AP773^Power),0))</f>
        <v>0</v>
      </c>
      <c r="AS773" s="7" t="n">
        <f aca="false">IF($AJ773=1,IF($H773=0,K773,AS772),AS772)</f>
        <v>0</v>
      </c>
      <c r="AT773" s="7" t="n">
        <f aca="false">IF($AJ773=1,IF($H773=1,N773,AT772),AT772)</f>
        <v>0</v>
      </c>
    </row>
    <row r="774" customFormat="false" ht="13" hidden="false" customHeight="false" outlineLevel="0" collapsed="false">
      <c r="A774" s="16" t="n">
        <v>757</v>
      </c>
      <c r="B774" s="37" t="n">
        <f aca="true">IF(RAND()&lt;$D$8,1,0)</f>
        <v>1</v>
      </c>
      <c r="C774" s="20" t="n">
        <f aca="true">-LN(RAND())/$D$2</f>
        <v>2.24118347786684</v>
      </c>
      <c r="D774" s="38" t="n">
        <f aca="false">D773+C774</f>
        <v>797.160153556492</v>
      </c>
      <c r="E774" s="39" t="n">
        <f aca="false">MAX($E$3,AS773)</f>
        <v>0</v>
      </c>
      <c r="F774" s="39" t="n">
        <f aca="false">MAX($E$3,AT773)</f>
        <v>0</v>
      </c>
      <c r="G774" s="40" t="n">
        <v>0.5</v>
      </c>
      <c r="H774" s="38" t="n">
        <f aca="true">IF((B774=1),(IF((F774&lt;E774),1,(IF((F774=E774),(IF(RAND()&lt;G774,1,0)),0)))),(IF((RAND()&lt;G774),1,0)))</f>
        <v>0</v>
      </c>
      <c r="I774" s="38" t="n">
        <f aca="true">IF((H774=1),0,$D$3+$D$5*(RAND()-0.5))</f>
        <v>1.92944906483634</v>
      </c>
      <c r="J774" s="38" t="n">
        <f aca="false">I774+MAX(D774,J773)</f>
        <v>819.835376293058</v>
      </c>
      <c r="K774" s="38" t="n">
        <f aca="false">IF((H774=0),J774-D774,0)</f>
        <v>22.675222736566</v>
      </c>
      <c r="L774" s="38" t="n">
        <f aca="true">IF(($H774=0),0,$D$4+$D$5*(RAND()-0.5))</f>
        <v>0</v>
      </c>
      <c r="M774" s="38" t="n">
        <f aca="false">L774+MAX(D774,M773)</f>
        <v>829.19131970097</v>
      </c>
      <c r="N774" s="38" t="n">
        <f aca="false">IF((H774=1),M774-D774,0)</f>
        <v>0</v>
      </c>
      <c r="O774" s="16" t="n">
        <v>757</v>
      </c>
      <c r="P774" s="41" t="n">
        <f aca="false">IF((Arterial=0),P773+1,P773)</f>
        <v>356</v>
      </c>
      <c r="Q774" s="41" t="n">
        <f aca="false">IF((Arterial=1),Q773+1,Q773)</f>
        <v>401</v>
      </c>
      <c r="R774" s="42" t="e">
        <f aca="false">IF((RESET=1),0,R774+K774)</f>
        <v>#N/A</v>
      </c>
      <c r="S774" s="14" t="n">
        <f aca="false">IF(RESET=1,0,S774+N774)</f>
        <v>644.599469281897</v>
      </c>
      <c r="T774" s="2" t="e">
        <f aca="false">IF(RESET=1,0,T774+IF(H774=0,1,0))</f>
        <v>#N/A</v>
      </c>
      <c r="U774" s="2" t="n">
        <f aca="false">IF(RESET=1,0,U774+H774)</f>
        <v>34</v>
      </c>
      <c r="V774" s="14" t="e">
        <f aca="false">R774/(T774+0.00001)</f>
        <v>#N/A</v>
      </c>
      <c r="W774" s="14" t="n">
        <f aca="false">S774/(U774+0.0001)</f>
        <v>18.95875215902</v>
      </c>
      <c r="X774" s="39" t="n">
        <f aca="false">IF(Informed=1,K774,0)</f>
        <v>22.675222736566</v>
      </c>
      <c r="Y774" s="39" t="n">
        <f aca="false">IF(Informed=0,K774,0)</f>
        <v>0</v>
      </c>
      <c r="Z774" s="39" t="n">
        <f aca="false">IF(Informed=1,N774,0)</f>
        <v>0</v>
      </c>
      <c r="AA774" s="39" t="n">
        <f aca="false">IF(Informed=0,N774,0)</f>
        <v>0</v>
      </c>
      <c r="AB774" s="43" t="n">
        <f aca="false">IF(Arterial=0,IF(Informed=1,1,0),0)</f>
        <v>1</v>
      </c>
      <c r="AC774" s="43" t="n">
        <f aca="false">IF(Arterial=0,IF(Informed=0,1,0),0)</f>
        <v>0</v>
      </c>
      <c r="AD774" s="43" t="n">
        <f aca="false">IF(Arterial=1,IF(Informed=1,1,0),0)</f>
        <v>0</v>
      </c>
      <c r="AE774" s="43" t="n">
        <f aca="false">IF(Arterial=1,IF(Informed=0,1,0),0)</f>
        <v>0</v>
      </c>
      <c r="AF774" s="35" t="n">
        <f aca="false">IF(AB774=1,(X774-G$1030)^2,0)</f>
        <v>143.174255056745</v>
      </c>
      <c r="AG774" s="35" t="n">
        <f aca="false">IF(AC774=1,(Y774-H$1030)^2,0)</f>
        <v>0</v>
      </c>
      <c r="AH774" s="35" t="n">
        <f aca="false">IF(AD774=1,(Z774-I$1030)^2,0)</f>
        <v>0</v>
      </c>
      <c r="AI774" s="35" t="n">
        <f aca="false">IF(AE774=1,(AA774-J$1030)^2,0)</f>
        <v>0</v>
      </c>
      <c r="AJ774" s="37" t="n">
        <f aca="true">IF(RAND()&lt;$D$6,1,0)</f>
        <v>0</v>
      </c>
      <c r="AK774" s="14" t="n">
        <f aca="false">AK773+IF((AJ774=1),IF((H774=0),1,0),0)</f>
        <v>0</v>
      </c>
      <c r="AL774" s="14" t="n">
        <f aca="false">AL773+IF((AJ774=1),IF((H774=1),1,0),0)</f>
        <v>0</v>
      </c>
      <c r="AM774" s="37" t="n">
        <f aca="false">IF(AK774=0,9999,IF($H774=0,IF($AJ774&lt;1,AM773+1,0),AM773))</f>
        <v>9999</v>
      </c>
      <c r="AN774" s="37" t="n">
        <f aca="false">IF(AL774=0,9999,IF($H774=1,IF($AJ774&lt;1,AN773+1,0),AN773))</f>
        <v>9999</v>
      </c>
      <c r="AO774" s="37" t="n">
        <f aca="false">IF($A774-AM774&gt;0,1/(1+AM774),0)</f>
        <v>0</v>
      </c>
      <c r="AP774" s="37" t="n">
        <f aca="false">IF($A774-AN774&gt;0,1/(1+AN774),0)</f>
        <v>0</v>
      </c>
      <c r="AQ774" s="7" t="n">
        <f aca="false">IF(AK774=0,0,MAX(MIN(1,AO774^Power),0))</f>
        <v>0</v>
      </c>
      <c r="AR774" s="7" t="n">
        <f aca="false">IF(AL774=0,0,MAX(MIN(1,AP774^Power),0))</f>
        <v>0</v>
      </c>
      <c r="AS774" s="7" t="n">
        <f aca="false">IF($AJ774=1,IF($H774=0,K774,AS773),AS773)</f>
        <v>0</v>
      </c>
      <c r="AT774" s="7" t="n">
        <f aca="false">IF($AJ774=1,IF($H774=1,N774,AT773),AT773)</f>
        <v>0</v>
      </c>
    </row>
    <row r="775" customFormat="false" ht="13" hidden="false" customHeight="false" outlineLevel="0" collapsed="false">
      <c r="A775" s="16" t="n">
        <v>758</v>
      </c>
      <c r="B775" s="37" t="n">
        <f aca="true">IF(RAND()&lt;$D$8,1,0)</f>
        <v>0</v>
      </c>
      <c r="C775" s="20" t="n">
        <f aca="true">-LN(RAND())/$D$2</f>
        <v>0.673791665054647</v>
      </c>
      <c r="D775" s="38" t="n">
        <f aca="false">D774+C775</f>
        <v>797.833945221546</v>
      </c>
      <c r="E775" s="39" t="n">
        <f aca="false">MAX($E$3,AS774)</f>
        <v>0</v>
      </c>
      <c r="F775" s="39" t="n">
        <f aca="false">MAX($E$3,AT774)</f>
        <v>0</v>
      </c>
      <c r="G775" s="40" t="n">
        <v>0.5</v>
      </c>
      <c r="H775" s="38" t="n">
        <f aca="true">IF((B775=1),(IF((F775&lt;E775),1,(IF((F775=E775),(IF(RAND()&lt;G775,1,0)),0)))),(IF((RAND()&lt;G775),1,0)))</f>
        <v>0</v>
      </c>
      <c r="I775" s="38" t="n">
        <f aca="true">IF((H775=1),0,$D$3+$D$5*(RAND()-0.5))</f>
        <v>1.77195683011083</v>
      </c>
      <c r="J775" s="38" t="n">
        <f aca="false">I775+MAX(D775,J774)</f>
        <v>821.607333123169</v>
      </c>
      <c r="K775" s="38" t="n">
        <f aca="false">IF((H775=0),J775-D775,0)</f>
        <v>23.7733879016222</v>
      </c>
      <c r="L775" s="38" t="n">
        <f aca="true">IF(($H775=0),0,$D$4+$D$5*(RAND()-0.5))</f>
        <v>0</v>
      </c>
      <c r="M775" s="38" t="n">
        <f aca="false">L775+MAX(D775,M774)</f>
        <v>829.19131970097</v>
      </c>
      <c r="N775" s="38" t="n">
        <f aca="false">IF((H775=1),M775-D775,0)</f>
        <v>0</v>
      </c>
      <c r="O775" s="16" t="n">
        <v>758</v>
      </c>
      <c r="P775" s="41" t="n">
        <f aca="false">IF((Arterial=0),P774+1,P774)</f>
        <v>357</v>
      </c>
      <c r="Q775" s="41" t="n">
        <f aca="false">IF((Arterial=1),Q774+1,Q774)</f>
        <v>401</v>
      </c>
      <c r="R775" s="42" t="e">
        <f aca="false">IF((RESET=1),0,R775+K775)</f>
        <v>#N/A</v>
      </c>
      <c r="S775" s="14" t="n">
        <f aca="false">IF(RESET=1,0,S775+N775)</f>
        <v>742.669830842068</v>
      </c>
      <c r="T775" s="2" t="e">
        <f aca="false">IF(RESET=1,0,T775+IF(H775=0,1,0))</f>
        <v>#N/A</v>
      </c>
      <c r="U775" s="2" t="n">
        <f aca="false">IF(RESET=1,0,U775+H775)</f>
        <v>46</v>
      </c>
      <c r="V775" s="14" t="e">
        <f aca="false">R775/(T775+0.00001)</f>
        <v>#N/A</v>
      </c>
      <c r="W775" s="14" t="n">
        <f aca="false">S775/(U775+0.0001)</f>
        <v>16.1449612249119</v>
      </c>
      <c r="X775" s="39" t="n">
        <f aca="false">IF(Informed=1,K775,0)</f>
        <v>0</v>
      </c>
      <c r="Y775" s="39" t="n">
        <f aca="false">IF(Informed=0,K775,0)</f>
        <v>23.7733879016222</v>
      </c>
      <c r="Z775" s="39" t="n">
        <f aca="false">IF(Informed=1,N775,0)</f>
        <v>0</v>
      </c>
      <c r="AA775" s="39" t="n">
        <f aca="false">IF(Informed=0,N775,0)</f>
        <v>0</v>
      </c>
      <c r="AB775" s="43" t="n">
        <f aca="false">IF(Arterial=0,IF(Informed=1,1,0),0)</f>
        <v>0</v>
      </c>
      <c r="AC775" s="43" t="n">
        <f aca="false">IF(Arterial=0,IF(Informed=0,1,0),0)</f>
        <v>1</v>
      </c>
      <c r="AD775" s="43" t="n">
        <f aca="false">IF(Arterial=1,IF(Informed=1,1,0),0)</f>
        <v>0</v>
      </c>
      <c r="AE775" s="43" t="n">
        <f aca="false">IF(Arterial=1,IF(Informed=0,1,0),0)</f>
        <v>0</v>
      </c>
      <c r="AF775" s="35" t="n">
        <f aca="false">IF(AB775=1,(X775-G$1030)^2,0)</f>
        <v>0</v>
      </c>
      <c r="AG775" s="35" t="n">
        <f aca="false">IF(AC775=1,(Y775-H$1030)^2,0)</f>
        <v>165.112288286076</v>
      </c>
      <c r="AH775" s="35" t="n">
        <f aca="false">IF(AD775=1,(Z775-I$1030)^2,0)</f>
        <v>0</v>
      </c>
      <c r="AI775" s="35" t="n">
        <f aca="false">IF(AE775=1,(AA775-J$1030)^2,0)</f>
        <v>0</v>
      </c>
      <c r="AJ775" s="37" t="n">
        <f aca="true">IF(RAND()&lt;$D$6,1,0)</f>
        <v>0</v>
      </c>
      <c r="AK775" s="14" t="n">
        <f aca="false">AK774+IF((AJ775=1),IF((H775=0),1,0),0)</f>
        <v>0</v>
      </c>
      <c r="AL775" s="14" t="n">
        <f aca="false">AL774+IF((AJ775=1),IF((H775=1),1,0),0)</f>
        <v>0</v>
      </c>
      <c r="AM775" s="37" t="n">
        <f aca="false">IF(AK775=0,9999,IF($H775=0,IF($AJ775&lt;1,AM774+1,0),AM774))</f>
        <v>9999</v>
      </c>
      <c r="AN775" s="37" t="n">
        <f aca="false">IF(AL775=0,9999,IF($H775=1,IF($AJ775&lt;1,AN774+1,0),AN774))</f>
        <v>9999</v>
      </c>
      <c r="AO775" s="37" t="n">
        <f aca="false">IF($A775-AM775&gt;0,1/(1+AM775),0)</f>
        <v>0</v>
      </c>
      <c r="AP775" s="37" t="n">
        <f aca="false">IF($A775-AN775&gt;0,1/(1+AN775),0)</f>
        <v>0</v>
      </c>
      <c r="AQ775" s="7" t="n">
        <f aca="false">IF(AK775=0,0,MAX(MIN(1,AO775^Power),0))</f>
        <v>0</v>
      </c>
      <c r="AR775" s="7" t="n">
        <f aca="false">IF(AL775=0,0,MAX(MIN(1,AP775^Power),0))</f>
        <v>0</v>
      </c>
      <c r="AS775" s="7" t="n">
        <f aca="false">IF($AJ775=1,IF($H775=0,K775,AS774),AS774)</f>
        <v>0</v>
      </c>
      <c r="AT775" s="7" t="n">
        <f aca="false">IF($AJ775=1,IF($H775=1,N775,AT774),AT774)</f>
        <v>0</v>
      </c>
    </row>
    <row r="776" customFormat="false" ht="13" hidden="false" customHeight="false" outlineLevel="0" collapsed="false">
      <c r="A776" s="16" t="n">
        <v>759</v>
      </c>
      <c r="B776" s="37" t="n">
        <f aca="true">IF(RAND()&lt;$D$8,1,0)</f>
        <v>1</v>
      </c>
      <c r="C776" s="20" t="n">
        <f aca="true">-LN(RAND())/$D$2</f>
        <v>0.20556886530388</v>
      </c>
      <c r="D776" s="38" t="n">
        <f aca="false">D775+C776</f>
        <v>798.03951408685</v>
      </c>
      <c r="E776" s="39" t="n">
        <f aca="false">MAX($E$3,AS775)</f>
        <v>0</v>
      </c>
      <c r="F776" s="39" t="n">
        <f aca="false">MAX($E$3,AT775)</f>
        <v>0</v>
      </c>
      <c r="G776" s="40" t="n">
        <v>0.5</v>
      </c>
      <c r="H776" s="38" t="n">
        <f aca="true">IF((B776=1),(IF((F776&lt;E776),1,(IF((F776=E776),(IF(RAND()&lt;G776,1,0)),0)))),(IF((RAND()&lt;G776),1,0)))</f>
        <v>1</v>
      </c>
      <c r="I776" s="38" t="n">
        <f aca="true">IF((H776=1),0,$D$3+$D$5*(RAND()-0.5))</f>
        <v>0</v>
      </c>
      <c r="J776" s="38" t="n">
        <f aca="false">I776+MAX(D776,J775)</f>
        <v>821.607333123169</v>
      </c>
      <c r="K776" s="38" t="n">
        <f aca="false">IF((H776=0),J776-D776,0)</f>
        <v>0</v>
      </c>
      <c r="L776" s="38" t="n">
        <f aca="true">IF(($H776=0),0,$D$4+$D$5*(RAND()-0.5))</f>
        <v>1.99176901160161</v>
      </c>
      <c r="M776" s="38" t="n">
        <f aca="false">L776+MAX(D776,M775)</f>
        <v>831.183088712572</v>
      </c>
      <c r="N776" s="38" t="n">
        <f aca="false">IF((H776=1),M776-D776,0)</f>
        <v>33.1435746257212</v>
      </c>
      <c r="O776" s="16" t="n">
        <v>759</v>
      </c>
      <c r="P776" s="41" t="n">
        <f aca="false">IF((Arterial=0),P775+1,P775)</f>
        <v>357</v>
      </c>
      <c r="Q776" s="41" t="n">
        <f aca="false">IF((Arterial=1),Q775+1,Q775)</f>
        <v>402</v>
      </c>
      <c r="R776" s="42" t="n">
        <f aca="false">IF((RESET=1),0,R776+K776)</f>
        <v>869.179397215306</v>
      </c>
      <c r="S776" s="14" t="e">
        <f aca="false">IF(RESET=1,0,S776+N776)</f>
        <v>#N/A</v>
      </c>
      <c r="T776" s="2" t="n">
        <f aca="false">IF(RESET=1,0,T776+IF(H776=0,1,0))</f>
        <v>43</v>
      </c>
      <c r="U776" s="2" t="e">
        <f aca="false">IF(RESET=1,0,U776+H776)</f>
        <v>#N/A</v>
      </c>
      <c r="V776" s="14" t="n">
        <f aca="false">R776/(T776+0.00001)</f>
        <v>20.2134696530374</v>
      </c>
      <c r="W776" s="14" t="e">
        <f aca="false">S776/(U776+0.0001)</f>
        <v>#N/A</v>
      </c>
      <c r="X776" s="39" t="n">
        <f aca="false">IF(Informed=1,K776,0)</f>
        <v>0</v>
      </c>
      <c r="Y776" s="39" t="n">
        <f aca="false">IF(Informed=0,K776,0)</f>
        <v>0</v>
      </c>
      <c r="Z776" s="39" t="n">
        <f aca="false">IF(Informed=1,N776,0)</f>
        <v>33.1435746257212</v>
      </c>
      <c r="AA776" s="39" t="n">
        <f aca="false">IF(Informed=0,N776,0)</f>
        <v>0</v>
      </c>
      <c r="AB776" s="43" t="n">
        <f aca="false">IF(Arterial=0,IF(Informed=1,1,0),0)</f>
        <v>0</v>
      </c>
      <c r="AC776" s="43" t="n">
        <f aca="false">IF(Arterial=0,IF(Informed=0,1,0),0)</f>
        <v>0</v>
      </c>
      <c r="AD776" s="43" t="n">
        <f aca="false">IF(Arterial=1,IF(Informed=1,1,0),0)</f>
        <v>1</v>
      </c>
      <c r="AE776" s="43" t="n">
        <f aca="false">IF(Arterial=1,IF(Informed=0,1,0),0)</f>
        <v>0</v>
      </c>
      <c r="AF776" s="35" t="n">
        <f aca="false">IF(AB776=1,(X776-G$1030)^2,0)</f>
        <v>0</v>
      </c>
      <c r="AG776" s="35" t="n">
        <f aca="false">IF(AC776=1,(Y776-H$1030)^2,0)</f>
        <v>0</v>
      </c>
      <c r="AH776" s="35" t="n">
        <f aca="false">IF(AD776=1,(Z776-I$1030)^2,0)</f>
        <v>22.7408795899302</v>
      </c>
      <c r="AI776" s="35" t="n">
        <f aca="false">IF(AE776=1,(AA776-J$1030)^2,0)</f>
        <v>0</v>
      </c>
      <c r="AJ776" s="37" t="n">
        <f aca="true">IF(RAND()&lt;$D$6,1,0)</f>
        <v>0</v>
      </c>
      <c r="AK776" s="14" t="n">
        <f aca="false">AK775+IF((AJ776=1),IF((H776=0),1,0),0)</f>
        <v>0</v>
      </c>
      <c r="AL776" s="14" t="n">
        <f aca="false">AL775+IF((AJ776=1),IF((H776=1),1,0),0)</f>
        <v>0</v>
      </c>
      <c r="AM776" s="37" t="n">
        <f aca="false">IF(AK776=0,9999,IF($H776=0,IF($AJ776&lt;1,AM775+1,0),AM775))</f>
        <v>9999</v>
      </c>
      <c r="AN776" s="37" t="n">
        <f aca="false">IF(AL776=0,9999,IF($H776=1,IF($AJ776&lt;1,AN775+1,0),AN775))</f>
        <v>9999</v>
      </c>
      <c r="AO776" s="37" t="n">
        <f aca="false">IF($A776-AM776&gt;0,1/(1+AM776),0)</f>
        <v>0</v>
      </c>
      <c r="AP776" s="37" t="n">
        <f aca="false">IF($A776-AN776&gt;0,1/(1+AN776),0)</f>
        <v>0</v>
      </c>
      <c r="AQ776" s="7" t="n">
        <f aca="false">IF(AK776=0,0,MAX(MIN(1,AO776^Power),0))</f>
        <v>0</v>
      </c>
      <c r="AR776" s="7" t="n">
        <f aca="false">IF(AL776=0,0,MAX(MIN(1,AP776^Power),0))</f>
        <v>0</v>
      </c>
      <c r="AS776" s="7" t="n">
        <f aca="false">IF($AJ776=1,IF($H776=0,K776,AS775),AS775)</f>
        <v>0</v>
      </c>
      <c r="AT776" s="7" t="n">
        <f aca="false">IF($AJ776=1,IF($H776=1,N776,AT775),AT775)</f>
        <v>0</v>
      </c>
    </row>
    <row r="777" customFormat="false" ht="13" hidden="false" customHeight="false" outlineLevel="0" collapsed="false">
      <c r="A777" s="16" t="n">
        <v>760</v>
      </c>
      <c r="B777" s="37" t="n">
        <f aca="true">IF(RAND()&lt;$D$8,1,0)</f>
        <v>0</v>
      </c>
      <c r="C777" s="20" t="n">
        <f aca="true">-LN(RAND())/$D$2</f>
        <v>3.03171574611269</v>
      </c>
      <c r="D777" s="38" t="n">
        <f aca="false">D776+C777</f>
        <v>801.071229832963</v>
      </c>
      <c r="E777" s="39" t="n">
        <f aca="false">MAX($E$3,AS776)</f>
        <v>0</v>
      </c>
      <c r="F777" s="39" t="n">
        <f aca="false">MAX($E$3,AT776)</f>
        <v>0</v>
      </c>
      <c r="G777" s="40" t="n">
        <v>0.5</v>
      </c>
      <c r="H777" s="38" t="n">
        <f aca="true">IF((B777=1),(IF((F777&lt;E777),1,(IF((F777=E777),(IF(RAND()&lt;G777,1,0)),0)))),(IF((RAND()&lt;G777),1,0)))</f>
        <v>1</v>
      </c>
      <c r="I777" s="38" t="n">
        <f aca="true">IF((H777=1),0,$D$3+$D$5*(RAND()-0.5))</f>
        <v>0</v>
      </c>
      <c r="J777" s="38" t="n">
        <f aca="false">I777+MAX(D777,J776)</f>
        <v>821.607333123169</v>
      </c>
      <c r="K777" s="38" t="n">
        <f aca="false">IF((H777=0),J777-D777,0)</f>
        <v>0</v>
      </c>
      <c r="L777" s="38" t="n">
        <f aca="true">IF(($H777=0),0,$D$4+$D$5*(RAND()-0.5))</f>
        <v>2.23196770736808</v>
      </c>
      <c r="M777" s="38" t="n">
        <f aca="false">L777+MAX(D777,M776)</f>
        <v>833.41505641994</v>
      </c>
      <c r="N777" s="38" t="n">
        <f aca="false">IF((H777=1),M777-D777,0)</f>
        <v>32.3438265869766</v>
      </c>
      <c r="O777" s="16" t="n">
        <v>760</v>
      </c>
      <c r="P777" s="41" t="n">
        <f aca="false">IF((Arterial=0),P776+1,P776)</f>
        <v>357</v>
      </c>
      <c r="Q777" s="41" t="n">
        <f aca="false">IF((Arterial=1),Q776+1,Q776)</f>
        <v>403</v>
      </c>
      <c r="R777" s="42" t="n">
        <f aca="false">IF((RESET=1),0,R777+K777)</f>
        <v>763.961100760051</v>
      </c>
      <c r="S777" s="14" t="e">
        <f aca="false">IF(RESET=1,0,S777+N777)</f>
        <v>#N/A</v>
      </c>
      <c r="T777" s="2" t="n">
        <f aca="false">IF(RESET=1,0,T777+IF(H777=0,1,0))</f>
        <v>41</v>
      </c>
      <c r="U777" s="2" t="e">
        <f aca="false">IF(RESET=1,0,U777+H777)</f>
        <v>#N/A</v>
      </c>
      <c r="V777" s="14" t="n">
        <f aca="false">R777/(T777+0.00001)</f>
        <v>18.6331930348322</v>
      </c>
      <c r="W777" s="14" t="e">
        <f aca="false">S777/(U777+0.0001)</f>
        <v>#N/A</v>
      </c>
      <c r="X777" s="39" t="n">
        <f aca="false">IF(Informed=1,K777,0)</f>
        <v>0</v>
      </c>
      <c r="Y777" s="39" t="n">
        <f aca="false">IF(Informed=0,K777,0)</f>
        <v>0</v>
      </c>
      <c r="Z777" s="39" t="n">
        <f aca="false">IF(Informed=1,N777,0)</f>
        <v>0</v>
      </c>
      <c r="AA777" s="39" t="n">
        <f aca="false">IF(Informed=0,N777,0)</f>
        <v>32.3438265869766</v>
      </c>
      <c r="AB777" s="43" t="n">
        <f aca="false">IF(Arterial=0,IF(Informed=1,1,0),0)</f>
        <v>0</v>
      </c>
      <c r="AC777" s="43" t="n">
        <f aca="false">IF(Arterial=0,IF(Informed=0,1,0),0)</f>
        <v>0</v>
      </c>
      <c r="AD777" s="43" t="n">
        <f aca="false">IF(Arterial=1,IF(Informed=1,1,0),0)</f>
        <v>0</v>
      </c>
      <c r="AE777" s="43" t="n">
        <f aca="false">IF(Arterial=1,IF(Informed=0,1,0),0)</f>
        <v>1</v>
      </c>
      <c r="AF777" s="35" t="n">
        <f aca="false">IF(AB777=1,(X777-G$1030)^2,0)</f>
        <v>0</v>
      </c>
      <c r="AG777" s="35" t="n">
        <f aca="false">IF(AC777=1,(Y777-H$1030)^2,0)</f>
        <v>0</v>
      </c>
      <c r="AH777" s="35" t="n">
        <f aca="false">IF(AD777=1,(Z777-I$1030)^2,0)</f>
        <v>0</v>
      </c>
      <c r="AI777" s="35" t="n">
        <f aca="false">IF(AE777=1,(AA777-J$1030)^2,0)</f>
        <v>7.72590707905644</v>
      </c>
      <c r="AJ777" s="37" t="n">
        <f aca="true">IF(RAND()&lt;$D$6,1,0)</f>
        <v>0</v>
      </c>
      <c r="AK777" s="14" t="n">
        <f aca="false">AK776+IF((AJ777=1),IF((H777=0),1,0),0)</f>
        <v>0</v>
      </c>
      <c r="AL777" s="14" t="n">
        <f aca="false">AL776+IF((AJ777=1),IF((H777=1),1,0),0)</f>
        <v>0</v>
      </c>
      <c r="AM777" s="37" t="n">
        <f aca="false">IF(AK777=0,9999,IF($H777=0,IF($AJ777&lt;1,AM776+1,0),AM776))</f>
        <v>9999</v>
      </c>
      <c r="AN777" s="37" t="n">
        <f aca="false">IF(AL777=0,9999,IF($H777=1,IF($AJ777&lt;1,AN776+1,0),AN776))</f>
        <v>9999</v>
      </c>
      <c r="AO777" s="37" t="n">
        <f aca="false">IF($A777-AM777&gt;0,1/(1+AM777),0)</f>
        <v>0</v>
      </c>
      <c r="AP777" s="37" t="n">
        <f aca="false">IF($A777-AN777&gt;0,1/(1+AN777),0)</f>
        <v>0</v>
      </c>
      <c r="AQ777" s="7" t="n">
        <f aca="false">IF(AK777=0,0,MAX(MIN(1,AO777^Power),0))</f>
        <v>0</v>
      </c>
      <c r="AR777" s="7" t="n">
        <f aca="false">IF(AL777=0,0,MAX(MIN(1,AP777^Power),0))</f>
        <v>0</v>
      </c>
      <c r="AS777" s="7" t="n">
        <f aca="false">IF($AJ777=1,IF($H777=0,K777,AS776),AS776)</f>
        <v>0</v>
      </c>
      <c r="AT777" s="7" t="n">
        <f aca="false">IF($AJ777=1,IF($H777=1,N777,AT776),AT776)</f>
        <v>0</v>
      </c>
    </row>
    <row r="778" customFormat="false" ht="13" hidden="false" customHeight="false" outlineLevel="0" collapsed="false">
      <c r="A778" s="16" t="n">
        <v>761</v>
      </c>
      <c r="B778" s="37" t="n">
        <f aca="true">IF(RAND()&lt;$D$8,1,0)</f>
        <v>0</v>
      </c>
      <c r="C778" s="20" t="n">
        <f aca="true">-LN(RAND())/$D$2</f>
        <v>1.16593852650041</v>
      </c>
      <c r="D778" s="38" t="n">
        <f aca="false">D777+C778</f>
        <v>802.237168359464</v>
      </c>
      <c r="E778" s="39" t="n">
        <f aca="false">MAX($E$3,AS777)</f>
        <v>0</v>
      </c>
      <c r="F778" s="39" t="n">
        <f aca="false">MAX($E$3,AT777)</f>
        <v>0</v>
      </c>
      <c r="G778" s="40" t="n">
        <v>0.5</v>
      </c>
      <c r="H778" s="38" t="n">
        <f aca="true">IF((B778=1),(IF((F778&lt;E778),1,(IF((F778=E778),(IF(RAND()&lt;G778,1,0)),0)))),(IF((RAND()&lt;G778),1,0)))</f>
        <v>0</v>
      </c>
      <c r="I778" s="38" t="n">
        <f aca="true">IF((H778=1),0,$D$3+$D$5*(RAND()-0.5))</f>
        <v>2.07111410059406</v>
      </c>
      <c r="J778" s="38" t="n">
        <f aca="false">I778+MAX(D778,J777)</f>
        <v>823.678447223763</v>
      </c>
      <c r="K778" s="38" t="n">
        <f aca="false">IF((H778=0),J778-D778,0)</f>
        <v>21.4412788642992</v>
      </c>
      <c r="L778" s="38" t="n">
        <f aca="true">IF(($H778=0),0,$D$4+$D$5*(RAND()-0.5))</f>
        <v>0</v>
      </c>
      <c r="M778" s="38" t="n">
        <f aca="false">L778+MAX(D778,M777)</f>
        <v>833.41505641994</v>
      </c>
      <c r="N778" s="38" t="n">
        <f aca="false">IF((H778=1),M778-D778,0)</f>
        <v>0</v>
      </c>
      <c r="O778" s="16" t="n">
        <v>761</v>
      </c>
      <c r="P778" s="41" t="n">
        <f aca="false">IF((Arterial=0),P777+1,P777)</f>
        <v>358</v>
      </c>
      <c r="Q778" s="41" t="n">
        <f aca="false">IF((Arterial=1),Q777+1,Q777)</f>
        <v>403</v>
      </c>
      <c r="R778" s="42" t="e">
        <f aca="false">IF((RESET=1),0,R778+K778)</f>
        <v>#N/A</v>
      </c>
      <c r="S778" s="14" t="n">
        <f aca="false">IF(RESET=1,0,S778+N778)</f>
        <v>729.271559026396</v>
      </c>
      <c r="T778" s="2" t="e">
        <f aca="false">IF(RESET=1,0,T778+IF(H778=0,1,0))</f>
        <v>#N/A</v>
      </c>
      <c r="U778" s="2" t="n">
        <f aca="false">IF(RESET=1,0,U778+H778)</f>
        <v>40</v>
      </c>
      <c r="V778" s="14" t="e">
        <f aca="false">R778/(T778+0.00001)</f>
        <v>#N/A</v>
      </c>
      <c r="W778" s="14" t="n">
        <f aca="false">S778/(U778+0.0001)</f>
        <v>18.2317433963014</v>
      </c>
      <c r="X778" s="39" t="n">
        <f aca="false">IF(Informed=1,K778,0)</f>
        <v>0</v>
      </c>
      <c r="Y778" s="39" t="n">
        <f aca="false">IF(Informed=0,K778,0)</f>
        <v>21.4412788642992</v>
      </c>
      <c r="Z778" s="39" t="n">
        <f aca="false">IF(Informed=1,N778,0)</f>
        <v>0</v>
      </c>
      <c r="AA778" s="39" t="n">
        <f aca="false">IF(Informed=0,N778,0)</f>
        <v>0</v>
      </c>
      <c r="AB778" s="43" t="n">
        <f aca="false">IF(Arterial=0,IF(Informed=1,1,0),0)</f>
        <v>0</v>
      </c>
      <c r="AC778" s="43" t="n">
        <f aca="false">IF(Arterial=0,IF(Informed=0,1,0),0)</f>
        <v>1</v>
      </c>
      <c r="AD778" s="43" t="n">
        <f aca="false">IF(Arterial=1,IF(Informed=1,1,0),0)</f>
        <v>0</v>
      </c>
      <c r="AE778" s="43" t="n">
        <f aca="false">IF(Arterial=1,IF(Informed=0,1,0),0)</f>
        <v>0</v>
      </c>
      <c r="AF778" s="35" t="n">
        <f aca="false">IF(AB778=1,(X778-G$1030)^2,0)</f>
        <v>0</v>
      </c>
      <c r="AG778" s="35" t="n">
        <f aca="false">IF(AC778=1,(Y778-H$1030)^2,0)</f>
        <v>110.617671911682</v>
      </c>
      <c r="AH778" s="35" t="n">
        <f aca="false">IF(AD778=1,(Z778-I$1030)^2,0)</f>
        <v>0</v>
      </c>
      <c r="AI778" s="35" t="n">
        <f aca="false">IF(AE778=1,(AA778-J$1030)^2,0)</f>
        <v>0</v>
      </c>
      <c r="AJ778" s="37" t="n">
        <f aca="true">IF(RAND()&lt;$D$6,1,0)</f>
        <v>0</v>
      </c>
      <c r="AK778" s="14" t="n">
        <f aca="false">AK777+IF((AJ778=1),IF((H778=0),1,0),0)</f>
        <v>0</v>
      </c>
      <c r="AL778" s="14" t="n">
        <f aca="false">AL777+IF((AJ778=1),IF((H778=1),1,0),0)</f>
        <v>0</v>
      </c>
      <c r="AM778" s="37" t="n">
        <f aca="false">IF(AK778=0,9999,IF($H778=0,IF($AJ778&lt;1,AM777+1,0),AM777))</f>
        <v>9999</v>
      </c>
      <c r="AN778" s="37" t="n">
        <f aca="false">IF(AL778=0,9999,IF($H778=1,IF($AJ778&lt;1,AN777+1,0),AN777))</f>
        <v>9999</v>
      </c>
      <c r="AO778" s="37" t="n">
        <f aca="false">IF($A778-AM778&gt;0,1/(1+AM778),0)</f>
        <v>0</v>
      </c>
      <c r="AP778" s="37" t="n">
        <f aca="false">IF($A778-AN778&gt;0,1/(1+AN778),0)</f>
        <v>0</v>
      </c>
      <c r="AQ778" s="7" t="n">
        <f aca="false">IF(AK778=0,0,MAX(MIN(1,AO778^Power),0))</f>
        <v>0</v>
      </c>
      <c r="AR778" s="7" t="n">
        <f aca="false">IF(AL778=0,0,MAX(MIN(1,AP778^Power),0))</f>
        <v>0</v>
      </c>
      <c r="AS778" s="7" t="n">
        <f aca="false">IF($AJ778=1,IF($H778=0,K778,AS777),AS777)</f>
        <v>0</v>
      </c>
      <c r="AT778" s="7" t="n">
        <f aca="false">IF($AJ778=1,IF($H778=1,N778,AT777),AT777)</f>
        <v>0</v>
      </c>
    </row>
    <row r="779" customFormat="false" ht="13" hidden="false" customHeight="false" outlineLevel="0" collapsed="false">
      <c r="A779" s="16" t="n">
        <v>762</v>
      </c>
      <c r="B779" s="37" t="n">
        <f aca="true">IF(RAND()&lt;$D$8,1,0)</f>
        <v>1</v>
      </c>
      <c r="C779" s="20" t="n">
        <f aca="true">-LN(RAND())/$D$2</f>
        <v>1.31295297146759</v>
      </c>
      <c r="D779" s="38" t="n">
        <f aca="false">D778+C779</f>
        <v>803.550121330931</v>
      </c>
      <c r="E779" s="39" t="n">
        <f aca="false">MAX($E$3,AS778)</f>
        <v>0</v>
      </c>
      <c r="F779" s="39" t="n">
        <f aca="false">MAX($E$3,AT778)</f>
        <v>0</v>
      </c>
      <c r="G779" s="40" t="n">
        <v>0.5</v>
      </c>
      <c r="H779" s="38" t="n">
        <f aca="true">IF((B779=1),(IF((F779&lt;E779),1,(IF((F779=E779),(IF(RAND()&lt;G779,1,0)),0)))),(IF((RAND()&lt;G779),1,0)))</f>
        <v>1</v>
      </c>
      <c r="I779" s="38" t="n">
        <f aca="true">IF((H779=1),0,$D$3+$D$5*(RAND()-0.5))</f>
        <v>0</v>
      </c>
      <c r="J779" s="38" t="n">
        <f aca="false">I779+MAX(D779,J778)</f>
        <v>823.678447223763</v>
      </c>
      <c r="K779" s="38" t="n">
        <f aca="false">IF((H779=0),J779-D779,0)</f>
        <v>0</v>
      </c>
      <c r="L779" s="38" t="n">
        <f aca="true">IF(($H779=0),0,$D$4+$D$5*(RAND()-0.5))</f>
        <v>2.19726865274603</v>
      </c>
      <c r="M779" s="38" t="n">
        <f aca="false">L779+MAX(D779,M778)</f>
        <v>835.612325072686</v>
      </c>
      <c r="N779" s="38" t="n">
        <f aca="false">IF((H779=1),M779-D779,0)</f>
        <v>32.0622037417546</v>
      </c>
      <c r="O779" s="16" t="n">
        <v>762</v>
      </c>
      <c r="P779" s="41" t="n">
        <f aca="false">IF((Arterial=0),P778+1,P778)</f>
        <v>358</v>
      </c>
      <c r="Q779" s="41" t="n">
        <f aca="false">IF((Arterial=1),Q778+1,Q778)</f>
        <v>404</v>
      </c>
      <c r="R779" s="42" t="n">
        <f aca="false">IF((RESET=1),0,R779+K779)</f>
        <v>703.882644551712</v>
      </c>
      <c r="S779" s="14" t="e">
        <f aca="false">IF(RESET=1,0,S779+N779)</f>
        <v>#N/A</v>
      </c>
      <c r="T779" s="2" t="n">
        <f aca="false">IF(RESET=1,0,T779+IF(H779=0,1,0))</f>
        <v>37</v>
      </c>
      <c r="U779" s="2" t="e">
        <f aca="false">IF(RESET=1,0,U779+H779)</f>
        <v>#N/A</v>
      </c>
      <c r="V779" s="14" t="n">
        <f aca="false">R779/(T779+0.00001)</f>
        <v>19.0238501165733</v>
      </c>
      <c r="W779" s="14" t="e">
        <f aca="false">S779/(U779+0.0001)</f>
        <v>#N/A</v>
      </c>
      <c r="X779" s="39" t="n">
        <f aca="false">IF(Informed=1,K779,0)</f>
        <v>0</v>
      </c>
      <c r="Y779" s="39" t="n">
        <f aca="false">IF(Informed=0,K779,0)</f>
        <v>0</v>
      </c>
      <c r="Z779" s="39" t="n">
        <f aca="false">IF(Informed=1,N779,0)</f>
        <v>32.0622037417546</v>
      </c>
      <c r="AA779" s="39" t="n">
        <f aca="false">IF(Informed=0,N779,0)</f>
        <v>0</v>
      </c>
      <c r="AB779" s="43" t="n">
        <f aca="false">IF(Arterial=0,IF(Informed=1,1,0),0)</f>
        <v>0</v>
      </c>
      <c r="AC779" s="43" t="n">
        <f aca="false">IF(Arterial=0,IF(Informed=0,1,0),0)</f>
        <v>0</v>
      </c>
      <c r="AD779" s="43" t="n">
        <f aca="false">IF(Arterial=1,IF(Informed=1,1,0),0)</f>
        <v>1</v>
      </c>
      <c r="AE779" s="43" t="n">
        <f aca="false">IF(Arterial=1,IF(Informed=0,1,0),0)</f>
        <v>0</v>
      </c>
      <c r="AF779" s="35" t="n">
        <f aca="false">IF(AB779=1,(X779-G$1030)^2,0)</f>
        <v>0</v>
      </c>
      <c r="AG779" s="35" t="n">
        <f aca="false">IF(AC779=1,(Y779-H$1030)^2,0)</f>
        <v>0</v>
      </c>
      <c r="AH779" s="35" t="n">
        <f aca="false">IF(AD779=1,(Z779-I$1030)^2,0)</f>
        <v>13.596689762499</v>
      </c>
      <c r="AI779" s="35" t="n">
        <f aca="false">IF(AE779=1,(AA779-J$1030)^2,0)</f>
        <v>0</v>
      </c>
      <c r="AJ779" s="37" t="n">
        <f aca="true">IF(RAND()&lt;$D$6,1,0)</f>
        <v>0</v>
      </c>
      <c r="AK779" s="14" t="n">
        <f aca="false">AK778+IF((AJ779=1),IF((H779=0),1,0),0)</f>
        <v>0</v>
      </c>
      <c r="AL779" s="14" t="n">
        <f aca="false">AL778+IF((AJ779=1),IF((H779=1),1,0),0)</f>
        <v>0</v>
      </c>
      <c r="AM779" s="37" t="n">
        <f aca="false">IF(AK779=0,9999,IF($H779=0,IF($AJ779&lt;1,AM778+1,0),AM778))</f>
        <v>9999</v>
      </c>
      <c r="AN779" s="37" t="n">
        <f aca="false">IF(AL779=0,9999,IF($H779=1,IF($AJ779&lt;1,AN778+1,0),AN778))</f>
        <v>9999</v>
      </c>
      <c r="AO779" s="37" t="n">
        <f aca="false">IF($A779-AM779&gt;0,1/(1+AM779),0)</f>
        <v>0</v>
      </c>
      <c r="AP779" s="37" t="n">
        <f aca="false">IF($A779-AN779&gt;0,1/(1+AN779),0)</f>
        <v>0</v>
      </c>
      <c r="AQ779" s="7" t="n">
        <f aca="false">IF(AK779=0,0,MAX(MIN(1,AO779^Power),0))</f>
        <v>0</v>
      </c>
      <c r="AR779" s="7" t="n">
        <f aca="false">IF(AL779=0,0,MAX(MIN(1,AP779^Power),0))</f>
        <v>0</v>
      </c>
      <c r="AS779" s="7" t="n">
        <f aca="false">IF($AJ779=1,IF($H779=0,K779,AS778),AS778)</f>
        <v>0</v>
      </c>
      <c r="AT779" s="7" t="n">
        <f aca="false">IF($AJ779=1,IF($H779=1,N779,AT778),AT778)</f>
        <v>0</v>
      </c>
    </row>
    <row r="780" customFormat="false" ht="13" hidden="false" customHeight="false" outlineLevel="0" collapsed="false">
      <c r="A780" s="16" t="n">
        <v>763</v>
      </c>
      <c r="B780" s="37" t="n">
        <f aca="true">IF(RAND()&lt;$D$8,1,0)</f>
        <v>1</v>
      </c>
      <c r="C780" s="20" t="n">
        <f aca="true">-LN(RAND())/$D$2</f>
        <v>1.34803675732598</v>
      </c>
      <c r="D780" s="38" t="n">
        <f aca="false">D779+C780</f>
        <v>804.898158088257</v>
      </c>
      <c r="E780" s="39" t="n">
        <f aca="false">MAX($E$3,AS779)</f>
        <v>0</v>
      </c>
      <c r="F780" s="39" t="n">
        <f aca="false">MAX($E$3,AT779)</f>
        <v>0</v>
      </c>
      <c r="G780" s="40" t="n">
        <v>0.5</v>
      </c>
      <c r="H780" s="38" t="n">
        <f aca="true">IF((B780=1),(IF((F780&lt;E780),1,(IF((F780=E780),(IF(RAND()&lt;G780,1,0)),0)))),(IF((RAND()&lt;G780),1,0)))</f>
        <v>1</v>
      </c>
      <c r="I780" s="38" t="n">
        <f aca="true">IF((H780=1),0,$D$3+$D$5*(RAND()-0.5))</f>
        <v>0</v>
      </c>
      <c r="J780" s="38" t="n">
        <f aca="false">I780+MAX(D780,J779)</f>
        <v>823.678447223763</v>
      </c>
      <c r="K780" s="38" t="n">
        <f aca="false">IF((H780=0),J780-D780,0)</f>
        <v>0</v>
      </c>
      <c r="L780" s="38" t="n">
        <f aca="true">IF(($H780=0),0,$D$4+$D$5*(RAND()-0.5))</f>
        <v>1.8737471771707</v>
      </c>
      <c r="M780" s="38" t="n">
        <f aca="false">L780+MAX(D780,M779)</f>
        <v>837.486072249856</v>
      </c>
      <c r="N780" s="38" t="n">
        <f aca="false">IF((H780=1),M780-D780,0)</f>
        <v>32.5879141615993</v>
      </c>
      <c r="O780" s="16" t="n">
        <v>763</v>
      </c>
      <c r="P780" s="41" t="n">
        <f aca="false">IF((Arterial=0),P779+1,P779)</f>
        <v>358</v>
      </c>
      <c r="Q780" s="41" t="n">
        <f aca="false">IF((Arterial=1),Q779+1,Q779)</f>
        <v>405</v>
      </c>
      <c r="R780" s="42" t="n">
        <f aca="false">IF((RESET=1),0,R780+K780)</f>
        <v>992.134149050048</v>
      </c>
      <c r="S780" s="14" t="e">
        <f aca="false">IF(RESET=1,0,S780+N780)</f>
        <v>#N/A</v>
      </c>
      <c r="T780" s="2" t="n">
        <f aca="false">IF(RESET=1,0,T780+IF(H780=0,1,0))</f>
        <v>40</v>
      </c>
      <c r="U780" s="2" t="e">
        <f aca="false">IF(RESET=1,0,U780+H780)</f>
        <v>#N/A</v>
      </c>
      <c r="V780" s="14" t="n">
        <f aca="false">R780/(T780+0.00001)</f>
        <v>24.8033475254143</v>
      </c>
      <c r="W780" s="14" t="e">
        <f aca="false">S780/(U780+0.0001)</f>
        <v>#N/A</v>
      </c>
      <c r="X780" s="39" t="n">
        <f aca="false">IF(Informed=1,K780,0)</f>
        <v>0</v>
      </c>
      <c r="Y780" s="39" t="n">
        <f aca="false">IF(Informed=0,K780,0)</f>
        <v>0</v>
      </c>
      <c r="Z780" s="39" t="n">
        <f aca="false">IF(Informed=1,N780,0)</f>
        <v>32.5879141615993</v>
      </c>
      <c r="AA780" s="39" t="n">
        <f aca="false">IF(Informed=0,N780,0)</f>
        <v>0</v>
      </c>
      <c r="AB780" s="43" t="n">
        <f aca="false">IF(Arterial=0,IF(Informed=1,1,0),0)</f>
        <v>0</v>
      </c>
      <c r="AC780" s="43" t="n">
        <f aca="false">IF(Arterial=0,IF(Informed=0,1,0),0)</f>
        <v>0</v>
      </c>
      <c r="AD780" s="43" t="n">
        <f aca="false">IF(Arterial=1,IF(Informed=1,1,0),0)</f>
        <v>1</v>
      </c>
      <c r="AE780" s="43" t="n">
        <f aca="false">IF(Arterial=1,IF(Informed=0,1,0),0)</f>
        <v>0</v>
      </c>
      <c r="AF780" s="35" t="n">
        <f aca="false">IF(AB780=1,(X780-G$1030)^2,0)</f>
        <v>0</v>
      </c>
      <c r="AG780" s="35" t="n">
        <f aca="false">IF(AC780=1,(Y780-H$1030)^2,0)</f>
        <v>0</v>
      </c>
      <c r="AH780" s="35" t="n">
        <f aca="false">IF(AD780=1,(Z780-I$1030)^2,0)</f>
        <v>17.7500377641283</v>
      </c>
      <c r="AI780" s="35" t="n">
        <f aca="false">IF(AE780=1,(AA780-J$1030)^2,0)</f>
        <v>0</v>
      </c>
      <c r="AJ780" s="37" t="n">
        <f aca="true">IF(RAND()&lt;$D$6,1,0)</f>
        <v>0</v>
      </c>
      <c r="AK780" s="14" t="n">
        <f aca="false">AK779+IF((AJ780=1),IF((H780=0),1,0),0)</f>
        <v>0</v>
      </c>
      <c r="AL780" s="14" t="n">
        <f aca="false">AL779+IF((AJ780=1),IF((H780=1),1,0),0)</f>
        <v>0</v>
      </c>
      <c r="AM780" s="37" t="n">
        <f aca="false">IF(AK780=0,9999,IF($H780=0,IF($AJ780&lt;1,AM779+1,0),AM779))</f>
        <v>9999</v>
      </c>
      <c r="AN780" s="37" t="n">
        <f aca="false">IF(AL780=0,9999,IF($H780=1,IF($AJ780&lt;1,AN779+1,0),AN779))</f>
        <v>9999</v>
      </c>
      <c r="AO780" s="37" t="n">
        <f aca="false">IF($A780-AM780&gt;0,1/(1+AM780),0)</f>
        <v>0</v>
      </c>
      <c r="AP780" s="37" t="n">
        <f aca="false">IF($A780-AN780&gt;0,1/(1+AN780),0)</f>
        <v>0</v>
      </c>
      <c r="AQ780" s="7" t="n">
        <f aca="false">IF(AK780=0,0,MAX(MIN(1,AO780^Power),0))</f>
        <v>0</v>
      </c>
      <c r="AR780" s="7" t="n">
        <f aca="false">IF(AL780=0,0,MAX(MIN(1,AP780^Power),0))</f>
        <v>0</v>
      </c>
      <c r="AS780" s="7" t="n">
        <f aca="false">IF($AJ780=1,IF($H780=0,K780,AS779),AS779)</f>
        <v>0</v>
      </c>
      <c r="AT780" s="7" t="n">
        <f aca="false">IF($AJ780=1,IF($H780=1,N780,AT779),AT779)</f>
        <v>0</v>
      </c>
    </row>
    <row r="781" customFormat="false" ht="13" hidden="false" customHeight="false" outlineLevel="0" collapsed="false">
      <c r="A781" s="16" t="n">
        <v>764</v>
      </c>
      <c r="B781" s="37" t="n">
        <f aca="true">IF(RAND()&lt;$D$8,1,0)</f>
        <v>0</v>
      </c>
      <c r="C781" s="20" t="n">
        <f aca="true">-LN(RAND())/$D$2</f>
        <v>0.323540289388595</v>
      </c>
      <c r="D781" s="38" t="n">
        <f aca="false">D780+C781</f>
        <v>805.221698377646</v>
      </c>
      <c r="E781" s="39" t="n">
        <f aca="false">MAX($E$3,AS780)</f>
        <v>0</v>
      </c>
      <c r="F781" s="39" t="n">
        <f aca="false">MAX($E$3,AT780)</f>
        <v>0</v>
      </c>
      <c r="G781" s="40" t="n">
        <v>0.5</v>
      </c>
      <c r="H781" s="38" t="n">
        <f aca="true">IF((B781=1),(IF((F781&lt;E781),1,(IF((F781=E781),(IF(RAND()&lt;G781,1,0)),0)))),(IF((RAND()&lt;G781),1,0)))</f>
        <v>0</v>
      </c>
      <c r="I781" s="38" t="n">
        <f aca="true">IF((H781=1),0,$D$3+$D$5*(RAND()-0.5))</f>
        <v>2.03111425849184</v>
      </c>
      <c r="J781" s="38" t="n">
        <f aca="false">I781+MAX(D781,J780)</f>
        <v>825.709561482255</v>
      </c>
      <c r="K781" s="38" t="n">
        <f aca="false">IF((H781=0),J781-D781,0)</f>
        <v>20.4878631046089</v>
      </c>
      <c r="L781" s="38" t="n">
        <f aca="true">IF(($H781=0),0,$D$4+$D$5*(RAND()-0.5))</f>
        <v>0</v>
      </c>
      <c r="M781" s="38" t="n">
        <f aca="false">L781+MAX(D781,M780)</f>
        <v>837.486072249856</v>
      </c>
      <c r="N781" s="38" t="n">
        <f aca="false">IF((H781=1),M781-D781,0)</f>
        <v>0</v>
      </c>
      <c r="O781" s="16" t="n">
        <v>764</v>
      </c>
      <c r="P781" s="41" t="n">
        <f aca="false">IF((Arterial=0),P780+1,P780)</f>
        <v>359</v>
      </c>
      <c r="Q781" s="41" t="n">
        <f aca="false">IF((Arterial=1),Q780+1,Q780)</f>
        <v>405</v>
      </c>
      <c r="R781" s="42" t="e">
        <f aca="false">IF((RESET=1),0,R781+K781)</f>
        <v>#N/A</v>
      </c>
      <c r="S781" s="14" t="n">
        <f aca="false">IF(RESET=1,0,S781+N781)</f>
        <v>723.507600899223</v>
      </c>
      <c r="T781" s="2" t="e">
        <f aca="false">IF(RESET=1,0,T781+IF(H781=0,1,0))</f>
        <v>#N/A</v>
      </c>
      <c r="U781" s="2" t="n">
        <f aca="false">IF(RESET=1,0,U781+H781)</f>
        <v>46</v>
      </c>
      <c r="V781" s="14" t="e">
        <f aca="false">R781/(T781+0.00001)</f>
        <v>#N/A</v>
      </c>
      <c r="W781" s="14" t="n">
        <f aca="false">S781/(U781+0.0001)</f>
        <v>15.7283919143485</v>
      </c>
      <c r="X781" s="39" t="n">
        <f aca="false">IF(Informed=1,K781,0)</f>
        <v>0</v>
      </c>
      <c r="Y781" s="39" t="n">
        <f aca="false">IF(Informed=0,K781,0)</f>
        <v>20.4878631046089</v>
      </c>
      <c r="Z781" s="39" t="n">
        <f aca="false">IF(Informed=1,N781,0)</f>
        <v>0</v>
      </c>
      <c r="AA781" s="39" t="n">
        <f aca="false">IF(Informed=0,N781,0)</f>
        <v>0</v>
      </c>
      <c r="AB781" s="43" t="n">
        <f aca="false">IF(Arterial=0,IF(Informed=1,1,0),0)</f>
        <v>0</v>
      </c>
      <c r="AC781" s="43" t="n">
        <f aca="false">IF(Arterial=0,IF(Informed=0,1,0),0)</f>
        <v>1</v>
      </c>
      <c r="AD781" s="43" t="n">
        <f aca="false">IF(Arterial=1,IF(Informed=1,1,0),0)</f>
        <v>0</v>
      </c>
      <c r="AE781" s="43" t="n">
        <f aca="false">IF(Arterial=1,IF(Informed=0,1,0),0)</f>
        <v>0</v>
      </c>
      <c r="AF781" s="35" t="n">
        <f aca="false">IF(AB781=1,(X781-G$1030)^2,0)</f>
        <v>0</v>
      </c>
      <c r="AG781" s="35" t="n">
        <f aca="false">IF(AC781=1,(Y781-H$1030)^2,0)</f>
        <v>91.4715851952502</v>
      </c>
      <c r="AH781" s="35" t="n">
        <f aca="false">IF(AD781=1,(Z781-I$1030)^2,0)</f>
        <v>0</v>
      </c>
      <c r="AI781" s="35" t="n">
        <f aca="false">IF(AE781=1,(AA781-J$1030)^2,0)</f>
        <v>0</v>
      </c>
      <c r="AJ781" s="37" t="n">
        <f aca="true">IF(RAND()&lt;$D$6,1,0)</f>
        <v>0</v>
      </c>
      <c r="AK781" s="14" t="n">
        <f aca="false">AK780+IF((AJ781=1),IF((H781=0),1,0),0)</f>
        <v>0</v>
      </c>
      <c r="AL781" s="14" t="n">
        <f aca="false">AL780+IF((AJ781=1),IF((H781=1),1,0),0)</f>
        <v>0</v>
      </c>
      <c r="AM781" s="37" t="n">
        <f aca="false">IF(AK781=0,9999,IF($H781=0,IF($AJ781&lt;1,AM780+1,0),AM780))</f>
        <v>9999</v>
      </c>
      <c r="AN781" s="37" t="n">
        <f aca="false">IF(AL781=0,9999,IF($H781=1,IF($AJ781&lt;1,AN780+1,0),AN780))</f>
        <v>9999</v>
      </c>
      <c r="AO781" s="37" t="n">
        <f aca="false">IF($A781-AM781&gt;0,1/(1+AM781),0)</f>
        <v>0</v>
      </c>
      <c r="AP781" s="37" t="n">
        <f aca="false">IF($A781-AN781&gt;0,1/(1+AN781),0)</f>
        <v>0</v>
      </c>
      <c r="AQ781" s="7" t="n">
        <f aca="false">IF(AK781=0,0,MAX(MIN(1,AO781^Power),0))</f>
        <v>0</v>
      </c>
      <c r="AR781" s="7" t="n">
        <f aca="false">IF(AL781=0,0,MAX(MIN(1,AP781^Power),0))</f>
        <v>0</v>
      </c>
      <c r="AS781" s="7" t="n">
        <f aca="false">IF($AJ781=1,IF($H781=0,K781,AS780),AS780)</f>
        <v>0</v>
      </c>
      <c r="AT781" s="7" t="n">
        <f aca="false">IF($AJ781=1,IF($H781=1,N781,AT780),AT780)</f>
        <v>0</v>
      </c>
    </row>
    <row r="782" customFormat="false" ht="13" hidden="false" customHeight="false" outlineLevel="0" collapsed="false">
      <c r="A782" s="16" t="n">
        <v>765</v>
      </c>
      <c r="B782" s="37" t="n">
        <f aca="true">IF(RAND()&lt;$D$8,1,0)</f>
        <v>1</v>
      </c>
      <c r="C782" s="20" t="n">
        <f aca="true">-LN(RAND())/$D$2</f>
        <v>0.71188812202438</v>
      </c>
      <c r="D782" s="38" t="n">
        <f aca="false">D781+C782</f>
        <v>805.93358649967</v>
      </c>
      <c r="E782" s="39" t="n">
        <f aca="false">MAX($E$3,AS781)</f>
        <v>0</v>
      </c>
      <c r="F782" s="39" t="n">
        <f aca="false">MAX($E$3,AT781)</f>
        <v>0</v>
      </c>
      <c r="G782" s="40" t="n">
        <v>0.5</v>
      </c>
      <c r="H782" s="38" t="n">
        <f aca="true">IF((B782=1),(IF((F782&lt;E782),1,(IF((F782=E782),(IF(RAND()&lt;G782,1,0)),0)))),(IF((RAND()&lt;G782),1,0)))</f>
        <v>1</v>
      </c>
      <c r="I782" s="38" t="n">
        <f aca="true">IF((H782=1),0,$D$3+$D$5*(RAND()-0.5))</f>
        <v>0</v>
      </c>
      <c r="J782" s="38" t="n">
        <f aca="false">I782+MAX(D782,J781)</f>
        <v>825.709561482255</v>
      </c>
      <c r="K782" s="38" t="n">
        <f aca="false">IF((H782=0),J782-D782,0)</f>
        <v>0</v>
      </c>
      <c r="L782" s="38" t="n">
        <f aca="true">IF(($H782=0),0,$D$4+$D$5*(RAND()-0.5))</f>
        <v>2.22371181908745</v>
      </c>
      <c r="M782" s="38" t="n">
        <f aca="false">L782+MAX(D782,M781)</f>
        <v>839.709784068944</v>
      </c>
      <c r="N782" s="38" t="n">
        <f aca="false">IF((H782=1),M782-D782,0)</f>
        <v>33.7761975692739</v>
      </c>
      <c r="O782" s="16" t="n">
        <v>765</v>
      </c>
      <c r="P782" s="41" t="n">
        <f aca="false">IF((Arterial=0),P781+1,P781)</f>
        <v>359</v>
      </c>
      <c r="Q782" s="41" t="n">
        <f aca="false">IF((Arterial=1),Q781+1,Q781)</f>
        <v>406</v>
      </c>
      <c r="R782" s="42" t="n">
        <f aca="false">IF((RESET=1),0,R782+K782)</f>
        <v>985.128319952205</v>
      </c>
      <c r="S782" s="14" t="e">
        <f aca="false">IF(RESET=1,0,S782+N782)</f>
        <v>#N/A</v>
      </c>
      <c r="T782" s="2" t="n">
        <f aca="false">IF(RESET=1,0,T782+IF(H782=0,1,0))</f>
        <v>45</v>
      </c>
      <c r="U782" s="2" t="e">
        <f aca="false">IF(RESET=1,0,U782+H782)</f>
        <v>#N/A</v>
      </c>
      <c r="V782" s="14" t="n">
        <f aca="false">R782/(T782+0.00001)</f>
        <v>21.8917355785522</v>
      </c>
      <c r="W782" s="14" t="e">
        <f aca="false">S782/(U782+0.0001)</f>
        <v>#N/A</v>
      </c>
      <c r="X782" s="39" t="n">
        <f aca="false">IF(Informed=1,K782,0)</f>
        <v>0</v>
      </c>
      <c r="Y782" s="39" t="n">
        <f aca="false">IF(Informed=0,K782,0)</f>
        <v>0</v>
      </c>
      <c r="Z782" s="39" t="n">
        <f aca="false">IF(Informed=1,N782,0)</f>
        <v>33.7761975692739</v>
      </c>
      <c r="AA782" s="39" t="n">
        <f aca="false">IF(Informed=0,N782,0)</f>
        <v>0</v>
      </c>
      <c r="AB782" s="43" t="n">
        <f aca="false">IF(Arterial=0,IF(Informed=1,1,0),0)</f>
        <v>0</v>
      </c>
      <c r="AC782" s="43" t="n">
        <f aca="false">IF(Arterial=0,IF(Informed=0,1,0),0)</f>
        <v>0</v>
      </c>
      <c r="AD782" s="43" t="n">
        <f aca="false">IF(Arterial=1,IF(Informed=1,1,0),0)</f>
        <v>1</v>
      </c>
      <c r="AE782" s="43" t="n">
        <f aca="false">IF(Arterial=1,IF(Informed=0,1,0),0)</f>
        <v>0</v>
      </c>
      <c r="AF782" s="35" t="n">
        <f aca="false">IF(AB782=1,(X782-G$1030)^2,0)</f>
        <v>0</v>
      </c>
      <c r="AG782" s="35" t="n">
        <f aca="false">IF(AC782=1,(Y782-H$1030)^2,0)</f>
        <v>0</v>
      </c>
      <c r="AH782" s="35" t="n">
        <f aca="false">IF(AD782=1,(Z782-I$1030)^2,0)</f>
        <v>29.1747198383675</v>
      </c>
      <c r="AI782" s="35" t="n">
        <f aca="false">IF(AE782=1,(AA782-J$1030)^2,0)</f>
        <v>0</v>
      </c>
      <c r="AJ782" s="37" t="n">
        <f aca="true">IF(RAND()&lt;$D$6,1,0)</f>
        <v>0</v>
      </c>
      <c r="AK782" s="14" t="n">
        <f aca="false">AK781+IF((AJ782=1),IF((H782=0),1,0),0)</f>
        <v>0</v>
      </c>
      <c r="AL782" s="14" t="n">
        <f aca="false">AL781+IF((AJ782=1),IF((H782=1),1,0),0)</f>
        <v>0</v>
      </c>
      <c r="AM782" s="37" t="n">
        <f aca="false">IF(AK782=0,9999,IF($H782=0,IF($AJ782&lt;1,AM781+1,0),AM781))</f>
        <v>9999</v>
      </c>
      <c r="AN782" s="37" t="n">
        <f aca="false">IF(AL782=0,9999,IF($H782=1,IF($AJ782&lt;1,AN781+1,0),AN781))</f>
        <v>9999</v>
      </c>
      <c r="AO782" s="37" t="n">
        <f aca="false">IF($A782-AM782&gt;0,1/(1+AM782),0)</f>
        <v>0</v>
      </c>
      <c r="AP782" s="37" t="n">
        <f aca="false">IF($A782-AN782&gt;0,1/(1+AN782),0)</f>
        <v>0</v>
      </c>
      <c r="AQ782" s="7" t="n">
        <f aca="false">IF(AK782=0,0,MAX(MIN(1,AO782^Power),0))</f>
        <v>0</v>
      </c>
      <c r="AR782" s="7" t="n">
        <f aca="false">IF(AL782=0,0,MAX(MIN(1,AP782^Power),0))</f>
        <v>0</v>
      </c>
      <c r="AS782" s="7" t="n">
        <f aca="false">IF($AJ782=1,IF($H782=0,K782,AS781),AS781)</f>
        <v>0</v>
      </c>
      <c r="AT782" s="7" t="n">
        <f aca="false">IF($AJ782=1,IF($H782=1,N782,AT781),AT781)</f>
        <v>0</v>
      </c>
    </row>
    <row r="783" customFormat="false" ht="13" hidden="false" customHeight="false" outlineLevel="0" collapsed="false">
      <c r="A783" s="16" t="n">
        <v>766</v>
      </c>
      <c r="B783" s="37" t="n">
        <f aca="true">IF(RAND()&lt;$D$8,1,0)</f>
        <v>1</v>
      </c>
      <c r="C783" s="20" t="n">
        <f aca="true">-LN(RAND())/$D$2</f>
        <v>3.54125954829095</v>
      </c>
      <c r="D783" s="38" t="n">
        <f aca="false">D782+C783</f>
        <v>809.474846047961</v>
      </c>
      <c r="E783" s="39" t="n">
        <f aca="false">MAX($E$3,AS782)</f>
        <v>0</v>
      </c>
      <c r="F783" s="39" t="n">
        <f aca="false">MAX($E$3,AT782)</f>
        <v>0</v>
      </c>
      <c r="G783" s="40" t="n">
        <v>0.5</v>
      </c>
      <c r="H783" s="38" t="n">
        <f aca="true">IF((B783=1),(IF((F783&lt;E783),1,(IF((F783=E783),(IF(RAND()&lt;G783,1,0)),0)))),(IF((RAND()&lt;G783),1,0)))</f>
        <v>1</v>
      </c>
      <c r="I783" s="38" t="n">
        <f aca="true">IF((H783=1),0,$D$3+$D$5*(RAND()-0.5))</f>
        <v>0</v>
      </c>
      <c r="J783" s="38" t="n">
        <f aca="false">I783+MAX(D783,J782)</f>
        <v>825.709561482255</v>
      </c>
      <c r="K783" s="38" t="n">
        <f aca="false">IF((H783=0),J783-D783,0)</f>
        <v>0</v>
      </c>
      <c r="L783" s="38" t="n">
        <f aca="true">IF(($H783=0),0,$D$4+$D$5*(RAND()-0.5))</f>
        <v>2.03946390429493</v>
      </c>
      <c r="M783" s="38" t="n">
        <f aca="false">L783+MAX(D783,M782)</f>
        <v>841.749247973239</v>
      </c>
      <c r="N783" s="38" t="n">
        <f aca="false">IF((H783=1),M783-D783,0)</f>
        <v>32.274401925278</v>
      </c>
      <c r="O783" s="16" t="n">
        <v>766</v>
      </c>
      <c r="P783" s="41" t="n">
        <f aca="false">IF((Arterial=0),P782+1,P782)</f>
        <v>359</v>
      </c>
      <c r="Q783" s="41" t="n">
        <f aca="false">IF((Arterial=1),Q782+1,Q782)</f>
        <v>407</v>
      </c>
      <c r="R783" s="42" t="n">
        <f aca="false">IF((RESET=1),0,R783+K783)</f>
        <v>948.798779229869</v>
      </c>
      <c r="S783" s="14" t="e">
        <f aca="false">IF(RESET=1,0,S783+N783)</f>
        <v>#N/A</v>
      </c>
      <c r="T783" s="2" t="n">
        <f aca="false">IF(RESET=1,0,T783+IF(H783=0,1,0))</f>
        <v>48</v>
      </c>
      <c r="U783" s="2" t="e">
        <f aca="false">IF(RESET=1,0,U783+H783)</f>
        <v>#N/A</v>
      </c>
      <c r="V783" s="14" t="n">
        <f aca="false">R783/(T783+0.00001)</f>
        <v>19.7666371159062</v>
      </c>
      <c r="W783" s="14" t="e">
        <f aca="false">S783/(U783+0.0001)</f>
        <v>#N/A</v>
      </c>
      <c r="X783" s="39" t="n">
        <f aca="false">IF(Informed=1,K783,0)</f>
        <v>0</v>
      </c>
      <c r="Y783" s="39" t="n">
        <f aca="false">IF(Informed=0,K783,0)</f>
        <v>0</v>
      </c>
      <c r="Z783" s="39" t="n">
        <f aca="false">IF(Informed=1,N783,0)</f>
        <v>32.274401925278</v>
      </c>
      <c r="AA783" s="39" t="n">
        <f aca="false">IF(Informed=0,N783,0)</f>
        <v>0</v>
      </c>
      <c r="AB783" s="43" t="n">
        <f aca="false">IF(Arterial=0,IF(Informed=1,1,0),0)</f>
        <v>0</v>
      </c>
      <c r="AC783" s="43" t="n">
        <f aca="false">IF(Arterial=0,IF(Informed=0,1,0),0)</f>
        <v>0</v>
      </c>
      <c r="AD783" s="43" t="n">
        <f aca="false">IF(Arterial=1,IF(Informed=1,1,0),0)</f>
        <v>1</v>
      </c>
      <c r="AE783" s="43" t="n">
        <f aca="false">IF(Arterial=1,IF(Informed=0,1,0),0)</f>
        <v>0</v>
      </c>
      <c r="AF783" s="35" t="n">
        <f aca="false">IF(AB783=1,(X783-G$1030)^2,0)</f>
        <v>0</v>
      </c>
      <c r="AG783" s="35" t="n">
        <f aca="false">IF(AC783=1,(Y783-H$1030)^2,0)</f>
        <v>0</v>
      </c>
      <c r="AH783" s="35" t="n">
        <f aca="false">IF(AD783=1,(Z783-I$1030)^2,0)</f>
        <v>15.2066238173018</v>
      </c>
      <c r="AI783" s="35" t="n">
        <f aca="false">IF(AE783=1,(AA783-J$1030)^2,0)</f>
        <v>0</v>
      </c>
      <c r="AJ783" s="37" t="n">
        <f aca="true">IF(RAND()&lt;$D$6,1,0)</f>
        <v>0</v>
      </c>
      <c r="AK783" s="14" t="n">
        <f aca="false">AK782+IF((AJ783=1),IF((H783=0),1,0),0)</f>
        <v>0</v>
      </c>
      <c r="AL783" s="14" t="n">
        <f aca="false">AL782+IF((AJ783=1),IF((H783=1),1,0),0)</f>
        <v>0</v>
      </c>
      <c r="AM783" s="37" t="n">
        <f aca="false">IF(AK783=0,9999,IF($H783=0,IF($AJ783&lt;1,AM782+1,0),AM782))</f>
        <v>9999</v>
      </c>
      <c r="AN783" s="37" t="n">
        <f aca="false">IF(AL783=0,9999,IF($H783=1,IF($AJ783&lt;1,AN782+1,0),AN782))</f>
        <v>9999</v>
      </c>
      <c r="AO783" s="37" t="n">
        <f aca="false">IF($A783-AM783&gt;0,1/(1+AM783),0)</f>
        <v>0</v>
      </c>
      <c r="AP783" s="37" t="n">
        <f aca="false">IF($A783-AN783&gt;0,1/(1+AN783),0)</f>
        <v>0</v>
      </c>
      <c r="AQ783" s="7" t="n">
        <f aca="false">IF(AK783=0,0,MAX(MIN(1,AO783^Power),0))</f>
        <v>0</v>
      </c>
      <c r="AR783" s="7" t="n">
        <f aca="false">IF(AL783=0,0,MAX(MIN(1,AP783^Power),0))</f>
        <v>0</v>
      </c>
      <c r="AS783" s="7" t="n">
        <f aca="false">IF($AJ783=1,IF($H783=0,K783,AS782),AS782)</f>
        <v>0</v>
      </c>
      <c r="AT783" s="7" t="n">
        <f aca="false">IF($AJ783=1,IF($H783=1,N783,AT782),AT782)</f>
        <v>0</v>
      </c>
    </row>
    <row r="784" customFormat="false" ht="13" hidden="false" customHeight="false" outlineLevel="0" collapsed="false">
      <c r="A784" s="16" t="n">
        <v>767</v>
      </c>
      <c r="B784" s="37" t="n">
        <f aca="true">IF(RAND()&lt;$D$8,1,0)</f>
        <v>0</v>
      </c>
      <c r="C784" s="20" t="n">
        <f aca="true">-LN(RAND())/$D$2</f>
        <v>1.01511324089448</v>
      </c>
      <c r="D784" s="38" t="n">
        <f aca="false">D783+C784</f>
        <v>810.489959288855</v>
      </c>
      <c r="E784" s="39" t="n">
        <f aca="false">MAX($E$3,AS783)</f>
        <v>0</v>
      </c>
      <c r="F784" s="39" t="n">
        <f aca="false">MAX($E$3,AT783)</f>
        <v>0</v>
      </c>
      <c r="G784" s="40" t="n">
        <v>0.5</v>
      </c>
      <c r="H784" s="38" t="n">
        <f aca="true">IF((B784=1),(IF((F784&lt;E784),1,(IF((F784=E784),(IF(RAND()&lt;G784,1,0)),0)))),(IF((RAND()&lt;G784),1,0)))</f>
        <v>0</v>
      </c>
      <c r="I784" s="38" t="n">
        <f aca="true">IF((H784=1),0,$D$3+$D$5*(RAND()-0.5))</f>
        <v>2.04156207477446</v>
      </c>
      <c r="J784" s="38" t="n">
        <f aca="false">I784+MAX(D784,J783)</f>
        <v>827.751123557029</v>
      </c>
      <c r="K784" s="38" t="n">
        <f aca="false">IF((H784=0),J784-D784,0)</f>
        <v>17.2611642681736</v>
      </c>
      <c r="L784" s="38" t="n">
        <f aca="true">IF(($H784=0),0,$D$4+$D$5*(RAND()-0.5))</f>
        <v>0</v>
      </c>
      <c r="M784" s="38" t="n">
        <f aca="false">L784+MAX(D784,M783)</f>
        <v>841.749247973239</v>
      </c>
      <c r="N784" s="38" t="n">
        <f aca="false">IF((H784=1),M784-D784,0)</f>
        <v>0</v>
      </c>
      <c r="O784" s="16" t="n">
        <v>767</v>
      </c>
      <c r="P784" s="41" t="n">
        <f aca="false">IF((Arterial=0),P783+1,P783)</f>
        <v>360</v>
      </c>
      <c r="Q784" s="41" t="n">
        <f aca="false">IF((Arterial=1),Q783+1,Q783)</f>
        <v>407</v>
      </c>
      <c r="R784" s="42" t="e">
        <f aca="false">IF((RESET=1),0,R784+K784)</f>
        <v>#N/A</v>
      </c>
      <c r="S784" s="14" t="n">
        <f aca="false">IF(RESET=1,0,S784+N784)</f>
        <v>715.840533334212</v>
      </c>
      <c r="T784" s="2" t="e">
        <f aca="false">IF(RESET=1,0,T784+IF(H784=0,1,0))</f>
        <v>#N/A</v>
      </c>
      <c r="U784" s="2" t="n">
        <f aca="false">IF(RESET=1,0,U784+H784)</f>
        <v>40</v>
      </c>
      <c r="V784" s="14" t="e">
        <f aca="false">R784/(T784+0.00001)</f>
        <v>#N/A</v>
      </c>
      <c r="W784" s="14" t="n">
        <f aca="false">S784/(U784+0.0001)</f>
        <v>17.8959685934338</v>
      </c>
      <c r="X784" s="39" t="n">
        <f aca="false">IF(Informed=1,K784,0)</f>
        <v>0</v>
      </c>
      <c r="Y784" s="39" t="n">
        <f aca="false">IF(Informed=0,K784,0)</f>
        <v>17.2611642681736</v>
      </c>
      <c r="Z784" s="39" t="n">
        <f aca="false">IF(Informed=1,N784,0)</f>
        <v>0</v>
      </c>
      <c r="AA784" s="39" t="n">
        <f aca="false">IF(Informed=0,N784,0)</f>
        <v>0</v>
      </c>
      <c r="AB784" s="43" t="n">
        <f aca="false">IF(Arterial=0,IF(Informed=1,1,0),0)</f>
        <v>0</v>
      </c>
      <c r="AC784" s="43" t="n">
        <f aca="false">IF(Arterial=0,IF(Informed=0,1,0),0)</f>
        <v>1</v>
      </c>
      <c r="AD784" s="43" t="n">
        <f aca="false">IF(Arterial=1,IF(Informed=1,1,0),0)</f>
        <v>0</v>
      </c>
      <c r="AE784" s="43" t="n">
        <f aca="false">IF(Arterial=1,IF(Informed=0,1,0),0)</f>
        <v>0</v>
      </c>
      <c r="AF784" s="35" t="n">
        <f aca="false">IF(AB784=1,(X784-G$1030)^2,0)</f>
        <v>0</v>
      </c>
      <c r="AG784" s="35" t="n">
        <f aca="false">IF(AC784=1,(Y784-H$1030)^2,0)</f>
        <v>40.1623728108629</v>
      </c>
      <c r="AH784" s="35" t="n">
        <f aca="false">IF(AD784=1,(Z784-I$1030)^2,0)</f>
        <v>0</v>
      </c>
      <c r="AI784" s="35" t="n">
        <f aca="false">IF(AE784=1,(AA784-J$1030)^2,0)</f>
        <v>0</v>
      </c>
      <c r="AJ784" s="37" t="n">
        <f aca="true">IF(RAND()&lt;$D$6,1,0)</f>
        <v>0</v>
      </c>
      <c r="AK784" s="14" t="n">
        <f aca="false">AK783+IF((AJ784=1),IF((H784=0),1,0),0)</f>
        <v>0</v>
      </c>
      <c r="AL784" s="14" t="n">
        <f aca="false">AL783+IF((AJ784=1),IF((H784=1),1,0),0)</f>
        <v>0</v>
      </c>
      <c r="AM784" s="37" t="n">
        <f aca="false">IF(AK784=0,9999,IF($H784=0,IF($AJ784&lt;1,AM783+1,0),AM783))</f>
        <v>9999</v>
      </c>
      <c r="AN784" s="37" t="n">
        <f aca="false">IF(AL784=0,9999,IF($H784=1,IF($AJ784&lt;1,AN783+1,0),AN783))</f>
        <v>9999</v>
      </c>
      <c r="AO784" s="37" t="n">
        <f aca="false">IF($A784-AM784&gt;0,1/(1+AM784),0)</f>
        <v>0</v>
      </c>
      <c r="AP784" s="37" t="n">
        <f aca="false">IF($A784-AN784&gt;0,1/(1+AN784),0)</f>
        <v>0</v>
      </c>
      <c r="AQ784" s="7" t="n">
        <f aca="false">IF(AK784=0,0,MAX(MIN(1,AO784^Power),0))</f>
        <v>0</v>
      </c>
      <c r="AR784" s="7" t="n">
        <f aca="false">IF(AL784=0,0,MAX(MIN(1,AP784^Power),0))</f>
        <v>0</v>
      </c>
      <c r="AS784" s="7" t="n">
        <f aca="false">IF($AJ784=1,IF($H784=0,K784,AS783),AS783)</f>
        <v>0</v>
      </c>
      <c r="AT784" s="7" t="n">
        <f aca="false">IF($AJ784=1,IF($H784=1,N784,AT783),AT783)</f>
        <v>0</v>
      </c>
    </row>
    <row r="785" customFormat="false" ht="13" hidden="false" customHeight="false" outlineLevel="0" collapsed="false">
      <c r="A785" s="16" t="n">
        <v>768</v>
      </c>
      <c r="B785" s="37" t="n">
        <f aca="true">IF(RAND()&lt;$D$8,1,0)</f>
        <v>1</v>
      </c>
      <c r="C785" s="20" t="n">
        <f aca="true">-LN(RAND())/$D$2</f>
        <v>1.84062510745276</v>
      </c>
      <c r="D785" s="38" t="n">
        <f aca="false">D784+C785</f>
        <v>812.330584396308</v>
      </c>
      <c r="E785" s="39" t="n">
        <f aca="false">MAX($E$3,AS784)</f>
        <v>0</v>
      </c>
      <c r="F785" s="39" t="n">
        <f aca="false">MAX($E$3,AT784)</f>
        <v>0</v>
      </c>
      <c r="G785" s="40" t="n">
        <v>0.5</v>
      </c>
      <c r="H785" s="38" t="n">
        <f aca="true">IF((B785=1),(IF((F785&lt;E785),1,(IF((F785=E785),(IF(RAND()&lt;G785,1,0)),0)))),(IF((RAND()&lt;G785),1,0)))</f>
        <v>1</v>
      </c>
      <c r="I785" s="38" t="n">
        <f aca="true">IF((H785=1),0,$D$3+$D$5*(RAND()-0.5))</f>
        <v>0</v>
      </c>
      <c r="J785" s="38" t="n">
        <f aca="false">I785+MAX(D785,J784)</f>
        <v>827.751123557029</v>
      </c>
      <c r="K785" s="38" t="n">
        <f aca="false">IF((H785=0),J785-D785,0)</f>
        <v>0</v>
      </c>
      <c r="L785" s="38" t="n">
        <f aca="true">IF(($H785=0),0,$D$4+$D$5*(RAND()-0.5))</f>
        <v>2.14643853205043</v>
      </c>
      <c r="M785" s="38" t="n">
        <f aca="false">L785+MAX(D785,M784)</f>
        <v>843.895686505289</v>
      </c>
      <c r="N785" s="38" t="n">
        <f aca="false">IF((H785=1),M785-D785,0)</f>
        <v>31.5651021089811</v>
      </c>
      <c r="O785" s="16" t="n">
        <v>768</v>
      </c>
      <c r="P785" s="41" t="n">
        <f aca="false">IF((Arterial=0),P784+1,P784)</f>
        <v>360</v>
      </c>
      <c r="Q785" s="41" t="n">
        <f aca="false">IF((Arterial=1),Q784+1,Q784)</f>
        <v>408</v>
      </c>
      <c r="R785" s="42" t="n">
        <f aca="false">IF((RESET=1),0,R785+K785)</f>
        <v>997.62667767594</v>
      </c>
      <c r="S785" s="14" t="e">
        <f aca="false">IF(RESET=1,0,S785+N785)</f>
        <v>#N/A</v>
      </c>
      <c r="T785" s="2" t="n">
        <f aca="false">IF(RESET=1,0,T785+IF(H785=0,1,0))</f>
        <v>42</v>
      </c>
      <c r="U785" s="2" t="e">
        <f aca="false">IF(RESET=1,0,U785+H785)</f>
        <v>#N/A</v>
      </c>
      <c r="V785" s="14" t="n">
        <f aca="false">R785/(T785+0.00001)</f>
        <v>23.7530104796628</v>
      </c>
      <c r="W785" s="14" t="e">
        <f aca="false">S785/(U785+0.0001)</f>
        <v>#N/A</v>
      </c>
      <c r="X785" s="39" t="n">
        <f aca="false">IF(Informed=1,K785,0)</f>
        <v>0</v>
      </c>
      <c r="Y785" s="39" t="n">
        <f aca="false">IF(Informed=0,K785,0)</f>
        <v>0</v>
      </c>
      <c r="Z785" s="39" t="n">
        <f aca="false">IF(Informed=1,N785,0)</f>
        <v>31.5651021089811</v>
      </c>
      <c r="AA785" s="39" t="n">
        <f aca="false">IF(Informed=0,N785,0)</f>
        <v>0</v>
      </c>
      <c r="AB785" s="43" t="n">
        <f aca="false">IF(Arterial=0,IF(Informed=1,1,0),0)</f>
        <v>0</v>
      </c>
      <c r="AC785" s="43" t="n">
        <f aca="false">IF(Arterial=0,IF(Informed=0,1,0),0)</f>
        <v>0</v>
      </c>
      <c r="AD785" s="43" t="n">
        <f aca="false">IF(Arterial=1,IF(Informed=1,1,0),0)</f>
        <v>1</v>
      </c>
      <c r="AE785" s="43" t="n">
        <f aca="false">IF(Arterial=1,IF(Informed=0,1,0),0)</f>
        <v>0</v>
      </c>
      <c r="AF785" s="35" t="n">
        <f aca="false">IF(AB785=1,(X785-G$1030)^2,0)</f>
        <v>0</v>
      </c>
      <c r="AG785" s="35" t="n">
        <f aca="false">IF(AC785=1,(Y785-H$1030)^2,0)</f>
        <v>0</v>
      </c>
      <c r="AH785" s="35" t="n">
        <f aca="false">IF(AD785=1,(Z785-I$1030)^2,0)</f>
        <v>10.1778055459114</v>
      </c>
      <c r="AI785" s="35" t="n">
        <f aca="false">IF(AE785=1,(AA785-J$1030)^2,0)</f>
        <v>0</v>
      </c>
      <c r="AJ785" s="37" t="n">
        <f aca="true">IF(RAND()&lt;$D$6,1,0)</f>
        <v>0</v>
      </c>
      <c r="AK785" s="14" t="n">
        <f aca="false">AK784+IF((AJ785=1),IF((H785=0),1,0),0)</f>
        <v>0</v>
      </c>
      <c r="AL785" s="14" t="n">
        <f aca="false">AL784+IF((AJ785=1),IF((H785=1),1,0),0)</f>
        <v>0</v>
      </c>
      <c r="AM785" s="37" t="n">
        <f aca="false">IF(AK785=0,9999,IF($H785=0,IF($AJ785&lt;1,AM784+1,0),AM784))</f>
        <v>9999</v>
      </c>
      <c r="AN785" s="37" t="n">
        <f aca="false">IF(AL785=0,9999,IF($H785=1,IF($AJ785&lt;1,AN784+1,0),AN784))</f>
        <v>9999</v>
      </c>
      <c r="AO785" s="37" t="n">
        <f aca="false">IF($A785-AM785&gt;0,1/(1+AM785),0)</f>
        <v>0</v>
      </c>
      <c r="AP785" s="37" t="n">
        <f aca="false">IF($A785-AN785&gt;0,1/(1+AN785),0)</f>
        <v>0</v>
      </c>
      <c r="AQ785" s="7" t="n">
        <f aca="false">IF(AK785=0,0,MAX(MIN(1,AO785^Power),0))</f>
        <v>0</v>
      </c>
      <c r="AR785" s="7" t="n">
        <f aca="false">IF(AL785=0,0,MAX(MIN(1,AP785^Power),0))</f>
        <v>0</v>
      </c>
      <c r="AS785" s="7" t="n">
        <f aca="false">IF($AJ785=1,IF($H785=0,K785,AS784),AS784)</f>
        <v>0</v>
      </c>
      <c r="AT785" s="7" t="n">
        <f aca="false">IF($AJ785=1,IF($H785=1,N785,AT784),AT784)</f>
        <v>0</v>
      </c>
    </row>
    <row r="786" customFormat="false" ht="13" hidden="false" customHeight="false" outlineLevel="0" collapsed="false">
      <c r="A786" s="16" t="n">
        <v>769</v>
      </c>
      <c r="B786" s="37" t="n">
        <f aca="true">IF(RAND()&lt;$D$8,1,0)</f>
        <v>1</v>
      </c>
      <c r="C786" s="20" t="n">
        <f aca="true">-LN(RAND())/$D$2</f>
        <v>1.32111405382858</v>
      </c>
      <c r="D786" s="38" t="n">
        <f aca="false">D785+C786</f>
        <v>813.651698450137</v>
      </c>
      <c r="E786" s="39" t="n">
        <f aca="false">MAX($E$3,AS785)</f>
        <v>0</v>
      </c>
      <c r="F786" s="39" t="n">
        <f aca="false">MAX($E$3,AT785)</f>
        <v>0</v>
      </c>
      <c r="G786" s="40" t="n">
        <v>0.5</v>
      </c>
      <c r="H786" s="38" t="n">
        <f aca="true">IF((B786=1),(IF((F786&lt;E786),1,(IF((F786=E786),(IF(RAND()&lt;G786,1,0)),0)))),(IF((RAND()&lt;G786),1,0)))</f>
        <v>1</v>
      </c>
      <c r="I786" s="38" t="n">
        <f aca="true">IF((H786=1),0,$D$3+$D$5*(RAND()-0.5))</f>
        <v>0</v>
      </c>
      <c r="J786" s="38" t="n">
        <f aca="false">I786+MAX(D786,J785)</f>
        <v>827.751123557029</v>
      </c>
      <c r="K786" s="38" t="n">
        <f aca="false">IF((H786=0),J786-D786,0)</f>
        <v>0</v>
      </c>
      <c r="L786" s="38" t="n">
        <f aca="true">IF(($H786=0),0,$D$4+$D$5*(RAND()-0.5))</f>
        <v>1.98885913881343</v>
      </c>
      <c r="M786" s="38" t="n">
        <f aca="false">L786+MAX(D786,M785)</f>
        <v>845.884545644103</v>
      </c>
      <c r="N786" s="38" t="n">
        <f aca="false">IF((H786=1),M786-D786,0)</f>
        <v>32.232847193966</v>
      </c>
      <c r="O786" s="16" t="n">
        <v>769</v>
      </c>
      <c r="P786" s="41" t="n">
        <f aca="false">IF((Arterial=0),P785+1,P785)</f>
        <v>360</v>
      </c>
      <c r="Q786" s="41" t="n">
        <f aca="false">IF((Arterial=1),Q785+1,Q785)</f>
        <v>409</v>
      </c>
      <c r="R786" s="42" t="n">
        <f aca="false">IF((RESET=1),0,R786+K786)</f>
        <v>874.736691497913</v>
      </c>
      <c r="S786" s="14" t="e">
        <f aca="false">IF(RESET=1,0,S786+N786)</f>
        <v>#N/A</v>
      </c>
      <c r="T786" s="2" t="n">
        <f aca="false">IF(RESET=1,0,T786+IF(H786=0,1,0))</f>
        <v>41</v>
      </c>
      <c r="U786" s="2" t="e">
        <f aca="false">IF(RESET=1,0,U786+H786)</f>
        <v>#N/A</v>
      </c>
      <c r="V786" s="14" t="n">
        <f aca="false">R786/(T786+0.00001)</f>
        <v>21.3350360523793</v>
      </c>
      <c r="W786" s="14" t="e">
        <f aca="false">S786/(U786+0.0001)</f>
        <v>#N/A</v>
      </c>
      <c r="X786" s="39" t="n">
        <f aca="false">IF(Informed=1,K786,0)</f>
        <v>0</v>
      </c>
      <c r="Y786" s="39" t="n">
        <f aca="false">IF(Informed=0,K786,0)</f>
        <v>0</v>
      </c>
      <c r="Z786" s="39" t="n">
        <f aca="false">IF(Informed=1,N786,0)</f>
        <v>32.232847193966</v>
      </c>
      <c r="AA786" s="39" t="n">
        <f aca="false">IF(Informed=0,N786,0)</f>
        <v>0</v>
      </c>
      <c r="AB786" s="43" t="n">
        <f aca="false">IF(Arterial=0,IF(Informed=1,1,0),0)</f>
        <v>0</v>
      </c>
      <c r="AC786" s="43" t="n">
        <f aca="false">IF(Arterial=0,IF(Informed=0,1,0),0)</f>
        <v>0</v>
      </c>
      <c r="AD786" s="43" t="n">
        <f aca="false">IF(Arterial=1,IF(Informed=1,1,0),0)</f>
        <v>1</v>
      </c>
      <c r="AE786" s="43" t="n">
        <f aca="false">IF(Arterial=1,IF(Informed=0,1,0),0)</f>
        <v>0</v>
      </c>
      <c r="AF786" s="35" t="n">
        <f aca="false">IF(AB786=1,(X786-G$1030)^2,0)</f>
        <v>0</v>
      </c>
      <c r="AG786" s="35" t="n">
        <f aca="false">IF(AC786=1,(Y786-H$1030)^2,0)</f>
        <v>0</v>
      </c>
      <c r="AH786" s="35" t="n">
        <f aca="false">IF(AD786=1,(Z786-I$1030)^2,0)</f>
        <v>14.8842596841861</v>
      </c>
      <c r="AI786" s="35" t="n">
        <f aca="false">IF(AE786=1,(AA786-J$1030)^2,0)</f>
        <v>0</v>
      </c>
      <c r="AJ786" s="37" t="n">
        <f aca="true">IF(RAND()&lt;$D$6,1,0)</f>
        <v>0</v>
      </c>
      <c r="AK786" s="14" t="n">
        <f aca="false">AK785+IF((AJ786=1),IF((H786=0),1,0),0)</f>
        <v>0</v>
      </c>
      <c r="AL786" s="14" t="n">
        <f aca="false">AL785+IF((AJ786=1),IF((H786=1),1,0),0)</f>
        <v>0</v>
      </c>
      <c r="AM786" s="37" t="n">
        <f aca="false">IF(AK786=0,9999,IF($H786=0,IF($AJ786&lt;1,AM785+1,0),AM785))</f>
        <v>9999</v>
      </c>
      <c r="AN786" s="37" t="n">
        <f aca="false">IF(AL786=0,9999,IF($H786=1,IF($AJ786&lt;1,AN785+1,0),AN785))</f>
        <v>9999</v>
      </c>
      <c r="AO786" s="37" t="n">
        <f aca="false">IF($A786-AM786&gt;0,1/(1+AM786),0)</f>
        <v>0</v>
      </c>
      <c r="AP786" s="37" t="n">
        <f aca="false">IF($A786-AN786&gt;0,1/(1+AN786),0)</f>
        <v>0</v>
      </c>
      <c r="AQ786" s="7" t="n">
        <f aca="false">IF(AK786=0,0,MAX(MIN(1,AO786^Power),0))</f>
        <v>0</v>
      </c>
      <c r="AR786" s="7" t="n">
        <f aca="false">IF(AL786=0,0,MAX(MIN(1,AP786^Power),0))</f>
        <v>0</v>
      </c>
      <c r="AS786" s="7" t="n">
        <f aca="false">IF($AJ786=1,IF($H786=0,K786,AS785),AS785)</f>
        <v>0</v>
      </c>
      <c r="AT786" s="7" t="n">
        <f aca="false">IF($AJ786=1,IF($H786=1,N786,AT785),AT785)</f>
        <v>0</v>
      </c>
    </row>
    <row r="787" customFormat="false" ht="13" hidden="false" customHeight="false" outlineLevel="0" collapsed="false">
      <c r="A787" s="16" t="n">
        <v>770</v>
      </c>
      <c r="B787" s="37" t="n">
        <f aca="true">IF(RAND()&lt;$D$8,1,0)</f>
        <v>0</v>
      </c>
      <c r="C787" s="20" t="n">
        <f aca="true">-LN(RAND())/$D$2</f>
        <v>0.450977972884747</v>
      </c>
      <c r="D787" s="38" t="n">
        <f aca="false">D786+C787</f>
        <v>814.102676423021</v>
      </c>
      <c r="E787" s="39" t="n">
        <f aca="false">MAX($E$3,AS786)</f>
        <v>0</v>
      </c>
      <c r="F787" s="39" t="n">
        <f aca="false">MAX($E$3,AT786)</f>
        <v>0</v>
      </c>
      <c r="G787" s="40" t="n">
        <v>0.5</v>
      </c>
      <c r="H787" s="38" t="n">
        <f aca="true">IF((B787=1),(IF((F787&lt;E787),1,(IF((F787=E787),(IF(RAND()&lt;G787,1,0)),0)))),(IF((RAND()&lt;G787),1,0)))</f>
        <v>0</v>
      </c>
      <c r="I787" s="38" t="n">
        <f aca="true">IF((H787=1),0,$D$3+$D$5*(RAND()-0.5))</f>
        <v>1.82847098614242</v>
      </c>
      <c r="J787" s="38" t="n">
        <f aca="false">I787+MAX(D787,J786)</f>
        <v>829.579594543171</v>
      </c>
      <c r="K787" s="38" t="n">
        <f aca="false">IF((H787=0),J787-D787,0)</f>
        <v>15.47691812015</v>
      </c>
      <c r="L787" s="38" t="n">
        <f aca="true">IF(($H787=0),0,$D$4+$D$5*(RAND()-0.5))</f>
        <v>0</v>
      </c>
      <c r="M787" s="38" t="n">
        <f aca="false">L787+MAX(D787,M786)</f>
        <v>845.884545644103</v>
      </c>
      <c r="N787" s="38" t="n">
        <f aca="false">IF((H787=1),M787-D787,0)</f>
        <v>0</v>
      </c>
      <c r="O787" s="16" t="n">
        <v>770</v>
      </c>
      <c r="P787" s="41" t="n">
        <f aca="false">IF((Arterial=0),P786+1,P786)</f>
        <v>361</v>
      </c>
      <c r="Q787" s="41" t="n">
        <f aca="false">IF((Arterial=1),Q786+1,Q786)</f>
        <v>409</v>
      </c>
      <c r="R787" s="42" t="e">
        <f aca="false">IF((RESET=1),0,R787+K787)</f>
        <v>#N/A</v>
      </c>
      <c r="S787" s="14" t="n">
        <f aca="false">IF(RESET=1,0,S787+N787)</f>
        <v>663.822142227847</v>
      </c>
      <c r="T787" s="2" t="e">
        <f aca="false">IF(RESET=1,0,T787+IF(H787=0,1,0))</f>
        <v>#N/A</v>
      </c>
      <c r="U787" s="2" t="n">
        <f aca="false">IF(RESET=1,0,U787+H787)</f>
        <v>42</v>
      </c>
      <c r="V787" s="14" t="e">
        <f aca="false">R787/(T787+0.00001)</f>
        <v>#N/A</v>
      </c>
      <c r="W787" s="14" t="n">
        <f aca="false">S787/(U787+0.0001)</f>
        <v>15.8052514691119</v>
      </c>
      <c r="X787" s="39" t="n">
        <f aca="false">IF(Informed=1,K787,0)</f>
        <v>0</v>
      </c>
      <c r="Y787" s="39" t="n">
        <f aca="false">IF(Informed=0,K787,0)</f>
        <v>15.47691812015</v>
      </c>
      <c r="Z787" s="39" t="n">
        <f aca="false">IF(Informed=1,N787,0)</f>
        <v>0</v>
      </c>
      <c r="AA787" s="39" t="n">
        <f aca="false">IF(Informed=0,N787,0)</f>
        <v>0</v>
      </c>
      <c r="AB787" s="43" t="n">
        <f aca="false">IF(Arterial=0,IF(Informed=1,1,0),0)</f>
        <v>0</v>
      </c>
      <c r="AC787" s="43" t="n">
        <f aca="false">IF(Arterial=0,IF(Informed=0,1,0),0)</f>
        <v>1</v>
      </c>
      <c r="AD787" s="43" t="n">
        <f aca="false">IF(Arterial=1,IF(Informed=1,1,0),0)</f>
        <v>0</v>
      </c>
      <c r="AE787" s="43" t="n">
        <f aca="false">IF(Arterial=1,IF(Informed=0,1,0),0)</f>
        <v>0</v>
      </c>
      <c r="AF787" s="35" t="n">
        <f aca="false">IF(AB787=1,(X787-G$1030)^2,0)</f>
        <v>0</v>
      </c>
      <c r="AG787" s="35" t="n">
        <f aca="false">IF(AC787=1,(Y787-H$1030)^2,0)</f>
        <v>20.731018926685</v>
      </c>
      <c r="AH787" s="35" t="n">
        <f aca="false">IF(AD787=1,(Z787-I$1030)^2,0)</f>
        <v>0</v>
      </c>
      <c r="AI787" s="35" t="n">
        <f aca="false">IF(AE787=1,(AA787-J$1030)^2,0)</f>
        <v>0</v>
      </c>
      <c r="AJ787" s="37" t="n">
        <f aca="true">IF(RAND()&lt;$D$6,1,0)</f>
        <v>0</v>
      </c>
      <c r="AK787" s="14" t="n">
        <f aca="false">AK786+IF((AJ787=1),IF((H787=0),1,0),0)</f>
        <v>0</v>
      </c>
      <c r="AL787" s="14" t="n">
        <f aca="false">AL786+IF((AJ787=1),IF((H787=1),1,0),0)</f>
        <v>0</v>
      </c>
      <c r="AM787" s="37" t="n">
        <f aca="false">IF(AK787=0,9999,IF($H787=0,IF($AJ787&lt;1,AM786+1,0),AM786))</f>
        <v>9999</v>
      </c>
      <c r="AN787" s="37" t="n">
        <f aca="false">IF(AL787=0,9999,IF($H787=1,IF($AJ787&lt;1,AN786+1,0),AN786))</f>
        <v>9999</v>
      </c>
      <c r="AO787" s="37" t="n">
        <f aca="false">IF($A787-AM787&gt;0,1/(1+AM787),0)</f>
        <v>0</v>
      </c>
      <c r="AP787" s="37" t="n">
        <f aca="false">IF($A787-AN787&gt;0,1/(1+AN787),0)</f>
        <v>0</v>
      </c>
      <c r="AQ787" s="7" t="n">
        <f aca="false">IF(AK787=0,0,MAX(MIN(1,AO787^Power),0))</f>
        <v>0</v>
      </c>
      <c r="AR787" s="7" t="n">
        <f aca="false">IF(AL787=0,0,MAX(MIN(1,AP787^Power),0))</f>
        <v>0</v>
      </c>
      <c r="AS787" s="7" t="n">
        <f aca="false">IF($AJ787=1,IF($H787=0,K787,AS786),AS786)</f>
        <v>0</v>
      </c>
      <c r="AT787" s="7" t="n">
        <f aca="false">IF($AJ787=1,IF($H787=1,N787,AT786),AT786)</f>
        <v>0</v>
      </c>
    </row>
    <row r="788" customFormat="false" ht="13" hidden="false" customHeight="false" outlineLevel="0" collapsed="false">
      <c r="A788" s="16" t="n">
        <v>771</v>
      </c>
      <c r="B788" s="37" t="n">
        <f aca="true">IF(RAND()&lt;$D$8,1,0)</f>
        <v>0</v>
      </c>
      <c r="C788" s="20" t="n">
        <f aca="true">-LN(RAND())/$D$2</f>
        <v>0.0715564711091489</v>
      </c>
      <c r="D788" s="38" t="n">
        <f aca="false">D787+C788</f>
        <v>814.174232894131</v>
      </c>
      <c r="E788" s="39" t="n">
        <f aca="false">MAX($E$3,AS787)</f>
        <v>0</v>
      </c>
      <c r="F788" s="39" t="n">
        <f aca="false">MAX($E$3,AT787)</f>
        <v>0</v>
      </c>
      <c r="G788" s="40" t="n">
        <v>0.5</v>
      </c>
      <c r="H788" s="38" t="n">
        <f aca="true">IF((B788=1),(IF((F788&lt;E788),1,(IF((F788=E788),(IF(RAND()&lt;G788,1,0)),0)))),(IF((RAND()&lt;G788),1,0)))</f>
        <v>0</v>
      </c>
      <c r="I788" s="38" t="n">
        <f aca="true">IF((H788=1),0,$D$3+$D$5*(RAND()-0.5))</f>
        <v>1.75984308652677</v>
      </c>
      <c r="J788" s="38" t="n">
        <f aca="false">I788+MAX(D788,J787)</f>
        <v>831.339437629698</v>
      </c>
      <c r="K788" s="38" t="n">
        <f aca="false">IF((H788=0),J788-D788,0)</f>
        <v>17.1652047355676</v>
      </c>
      <c r="L788" s="38" t="n">
        <f aca="true">IF(($H788=0),0,$D$4+$D$5*(RAND()-0.5))</f>
        <v>0</v>
      </c>
      <c r="M788" s="38" t="n">
        <f aca="false">L788+MAX(D788,M787)</f>
        <v>845.884545644103</v>
      </c>
      <c r="N788" s="38" t="n">
        <f aca="false">IF((H788=1),M788-D788,0)</f>
        <v>0</v>
      </c>
      <c r="O788" s="16" t="n">
        <v>771</v>
      </c>
      <c r="P788" s="41" t="n">
        <f aca="false">IF((Arterial=0),P787+1,P787)</f>
        <v>362</v>
      </c>
      <c r="Q788" s="41" t="n">
        <f aca="false">IF((Arterial=1),Q787+1,Q787)</f>
        <v>409</v>
      </c>
      <c r="R788" s="42" t="e">
        <f aca="false">IF((RESET=1),0,R788+K788)</f>
        <v>#N/A</v>
      </c>
      <c r="S788" s="14" t="n">
        <f aca="false">IF(RESET=1,0,S788+N788)</f>
        <v>608.046694376998</v>
      </c>
      <c r="T788" s="2" t="e">
        <f aca="false">IF(RESET=1,0,T788+IF(H788=0,1,0))</f>
        <v>#N/A</v>
      </c>
      <c r="U788" s="2" t="n">
        <f aca="false">IF(RESET=1,0,U788+H788)</f>
        <v>38</v>
      </c>
      <c r="V788" s="14" t="e">
        <f aca="false">R788/(T788+0.00001)</f>
        <v>#N/A</v>
      </c>
      <c r="W788" s="14" t="n">
        <f aca="false">S788/(U788+0.0001)</f>
        <v>16.0011866910087</v>
      </c>
      <c r="X788" s="39" t="n">
        <f aca="false">IF(Informed=1,K788,0)</f>
        <v>0</v>
      </c>
      <c r="Y788" s="39" t="n">
        <f aca="false">IF(Informed=0,K788,0)</f>
        <v>17.1652047355676</v>
      </c>
      <c r="Z788" s="39" t="n">
        <f aca="false">IF(Informed=1,N788,0)</f>
        <v>0</v>
      </c>
      <c r="AA788" s="39" t="n">
        <f aca="false">IF(Informed=0,N788,0)</f>
        <v>0</v>
      </c>
      <c r="AB788" s="43" t="n">
        <f aca="false">IF(Arterial=0,IF(Informed=1,1,0),0)</f>
        <v>0</v>
      </c>
      <c r="AC788" s="43" t="n">
        <f aca="false">IF(Arterial=0,IF(Informed=0,1,0),0)</f>
        <v>1</v>
      </c>
      <c r="AD788" s="43" t="n">
        <f aca="false">IF(Arterial=1,IF(Informed=1,1,0),0)</f>
        <v>0</v>
      </c>
      <c r="AE788" s="43" t="n">
        <f aca="false">IF(Arterial=1,IF(Informed=0,1,0),0)</f>
        <v>0</v>
      </c>
      <c r="AF788" s="35" t="n">
        <f aca="false">IF(AB788=1,(X788-G$1030)^2,0)</f>
        <v>0</v>
      </c>
      <c r="AG788" s="35" t="n">
        <f aca="false">IF(AC788=1,(Y788-H$1030)^2,0)</f>
        <v>38.9553171858369</v>
      </c>
      <c r="AH788" s="35" t="n">
        <f aca="false">IF(AD788=1,(Z788-I$1030)^2,0)</f>
        <v>0</v>
      </c>
      <c r="AI788" s="35" t="n">
        <f aca="false">IF(AE788=1,(AA788-J$1030)^2,0)</f>
        <v>0</v>
      </c>
      <c r="AJ788" s="37" t="n">
        <f aca="true">IF(RAND()&lt;$D$6,1,0)</f>
        <v>0</v>
      </c>
      <c r="AK788" s="14" t="n">
        <f aca="false">AK787+IF((AJ788=1),IF((H788=0),1,0),0)</f>
        <v>0</v>
      </c>
      <c r="AL788" s="14" t="n">
        <f aca="false">AL787+IF((AJ788=1),IF((H788=1),1,0),0)</f>
        <v>0</v>
      </c>
      <c r="AM788" s="37" t="n">
        <f aca="false">IF(AK788=0,9999,IF($H788=0,IF($AJ788&lt;1,AM787+1,0),AM787))</f>
        <v>9999</v>
      </c>
      <c r="AN788" s="37" t="n">
        <f aca="false">IF(AL788=0,9999,IF($H788=1,IF($AJ788&lt;1,AN787+1,0),AN787))</f>
        <v>9999</v>
      </c>
      <c r="AO788" s="37" t="n">
        <f aca="false">IF($A788-AM788&gt;0,1/(1+AM788),0)</f>
        <v>0</v>
      </c>
      <c r="AP788" s="37" t="n">
        <f aca="false">IF($A788-AN788&gt;0,1/(1+AN788),0)</f>
        <v>0</v>
      </c>
      <c r="AQ788" s="7" t="n">
        <f aca="false">IF(AK788=0,0,MAX(MIN(1,AO788^Power),0))</f>
        <v>0</v>
      </c>
      <c r="AR788" s="7" t="n">
        <f aca="false">IF(AL788=0,0,MAX(MIN(1,AP788^Power),0))</f>
        <v>0</v>
      </c>
      <c r="AS788" s="7" t="n">
        <f aca="false">IF($AJ788=1,IF($H788=0,K788,AS787),AS787)</f>
        <v>0</v>
      </c>
      <c r="AT788" s="7" t="n">
        <f aca="false">IF($AJ788=1,IF($H788=1,N788,AT787),AT787)</f>
        <v>0</v>
      </c>
    </row>
    <row r="789" customFormat="false" ht="13" hidden="false" customHeight="false" outlineLevel="0" collapsed="false">
      <c r="A789" s="16" t="n">
        <v>772</v>
      </c>
      <c r="B789" s="37" t="n">
        <f aca="true">IF(RAND()&lt;$D$8,1,0)</f>
        <v>0</v>
      </c>
      <c r="C789" s="20" t="n">
        <f aca="true">-LN(RAND())/$D$2</f>
        <v>1.00650378655636</v>
      </c>
      <c r="D789" s="38" t="n">
        <f aca="false">D788+C789</f>
        <v>815.180736680687</v>
      </c>
      <c r="E789" s="39" t="n">
        <f aca="false">MAX($E$3,AS788)</f>
        <v>0</v>
      </c>
      <c r="F789" s="39" t="n">
        <f aca="false">MAX($E$3,AT788)</f>
        <v>0</v>
      </c>
      <c r="G789" s="40" t="n">
        <v>0.5</v>
      </c>
      <c r="H789" s="38" t="n">
        <f aca="true">IF((B789=1),(IF((F789&lt;E789),1,(IF((F789=E789),(IF(RAND()&lt;G789,1,0)),0)))),(IF((RAND()&lt;G789),1,0)))</f>
        <v>0</v>
      </c>
      <c r="I789" s="38" t="n">
        <f aca="true">IF((H789=1),0,$D$3+$D$5*(RAND()-0.5))</f>
        <v>1.76678453330601</v>
      </c>
      <c r="J789" s="38" t="n">
        <f aca="false">I789+MAX(D789,J788)</f>
        <v>833.106222163004</v>
      </c>
      <c r="K789" s="38" t="n">
        <f aca="false">IF((H789=0),J789-D789,0)</f>
        <v>17.9254854823173</v>
      </c>
      <c r="L789" s="38" t="n">
        <f aca="true">IF(($H789=0),0,$D$4+$D$5*(RAND()-0.5))</f>
        <v>0</v>
      </c>
      <c r="M789" s="38" t="n">
        <f aca="false">L789+MAX(D789,M788)</f>
        <v>845.884545644103</v>
      </c>
      <c r="N789" s="38" t="n">
        <f aca="false">IF((H789=1),M789-D789,0)</f>
        <v>0</v>
      </c>
      <c r="O789" s="16" t="n">
        <v>772</v>
      </c>
      <c r="P789" s="41" t="n">
        <f aca="false">IF((Arterial=0),P788+1,P788)</f>
        <v>363</v>
      </c>
      <c r="Q789" s="41" t="n">
        <f aca="false">IF((Arterial=1),Q788+1,Q788)</f>
        <v>409</v>
      </c>
      <c r="R789" s="42" t="e">
        <f aca="false">IF((RESET=1),0,R789+K789)</f>
        <v>#N/A</v>
      </c>
      <c r="S789" s="14" t="n">
        <f aca="false">IF(RESET=1,0,S789+N789)</f>
        <v>443.947051160782</v>
      </c>
      <c r="T789" s="2" t="e">
        <f aca="false">IF(RESET=1,0,T789+IF(H789=0,1,0))</f>
        <v>#N/A</v>
      </c>
      <c r="U789" s="2" t="n">
        <f aca="false">IF(RESET=1,0,U789+H789)</f>
        <v>33</v>
      </c>
      <c r="V789" s="14" t="e">
        <f aca="false">R789/(T789+0.00001)</f>
        <v>#N/A</v>
      </c>
      <c r="W789" s="14" t="n">
        <f aca="false">S789/(U789+0.0001)</f>
        <v>13.4529001779019</v>
      </c>
      <c r="X789" s="39" t="n">
        <f aca="false">IF(Informed=1,K789,0)</f>
        <v>0</v>
      </c>
      <c r="Y789" s="39" t="n">
        <f aca="false">IF(Informed=0,K789,0)</f>
        <v>17.9254854823173</v>
      </c>
      <c r="Z789" s="39" t="n">
        <f aca="false">IF(Informed=1,N789,0)</f>
        <v>0</v>
      </c>
      <c r="AA789" s="39" t="n">
        <f aca="false">IF(Informed=0,N789,0)</f>
        <v>0</v>
      </c>
      <c r="AB789" s="43" t="n">
        <f aca="false">IF(Arterial=0,IF(Informed=1,1,0),0)</f>
        <v>0</v>
      </c>
      <c r="AC789" s="43" t="n">
        <f aca="false">IF(Arterial=0,IF(Informed=0,1,0),0)</f>
        <v>1</v>
      </c>
      <c r="AD789" s="43" t="n">
        <f aca="false">IF(Arterial=1,IF(Informed=1,1,0),0)</f>
        <v>0</v>
      </c>
      <c r="AE789" s="43" t="n">
        <f aca="false">IF(Arterial=1,IF(Informed=0,1,0),0)</f>
        <v>0</v>
      </c>
      <c r="AF789" s="35" t="n">
        <f aca="false">IF(AB789=1,(X789-G$1030)^2,0)</f>
        <v>0</v>
      </c>
      <c r="AG789" s="35" t="n">
        <f aca="false">IF(AC789=1,(Y789-H$1030)^2,0)</f>
        <v>49.0238061331513</v>
      </c>
      <c r="AH789" s="35" t="n">
        <f aca="false">IF(AD789=1,(Z789-I$1030)^2,0)</f>
        <v>0</v>
      </c>
      <c r="AI789" s="35" t="n">
        <f aca="false">IF(AE789=1,(AA789-J$1030)^2,0)</f>
        <v>0</v>
      </c>
      <c r="AJ789" s="37" t="n">
        <f aca="true">IF(RAND()&lt;$D$6,1,0)</f>
        <v>0</v>
      </c>
      <c r="AK789" s="14" t="n">
        <f aca="false">AK788+IF((AJ789=1),IF((H789=0),1,0),0)</f>
        <v>0</v>
      </c>
      <c r="AL789" s="14" t="n">
        <f aca="false">AL788+IF((AJ789=1),IF((H789=1),1,0),0)</f>
        <v>0</v>
      </c>
      <c r="AM789" s="37" t="n">
        <f aca="false">IF(AK789=0,9999,IF($H789=0,IF($AJ789&lt;1,AM788+1,0),AM788))</f>
        <v>9999</v>
      </c>
      <c r="AN789" s="37" t="n">
        <f aca="false">IF(AL789=0,9999,IF($H789=1,IF($AJ789&lt;1,AN788+1,0),AN788))</f>
        <v>9999</v>
      </c>
      <c r="AO789" s="37" t="n">
        <f aca="false">IF($A789-AM789&gt;0,1/(1+AM789),0)</f>
        <v>0</v>
      </c>
      <c r="AP789" s="37" t="n">
        <f aca="false">IF($A789-AN789&gt;0,1/(1+AN789),0)</f>
        <v>0</v>
      </c>
      <c r="AQ789" s="7" t="n">
        <f aca="false">IF(AK789=0,0,MAX(MIN(1,AO789^Power),0))</f>
        <v>0</v>
      </c>
      <c r="AR789" s="7" t="n">
        <f aca="false">IF(AL789=0,0,MAX(MIN(1,AP789^Power),0))</f>
        <v>0</v>
      </c>
      <c r="AS789" s="7" t="n">
        <f aca="false">IF($AJ789=1,IF($H789=0,K789,AS788),AS788)</f>
        <v>0</v>
      </c>
      <c r="AT789" s="7" t="n">
        <f aca="false">IF($AJ789=1,IF($H789=1,N789,AT788),AT788)</f>
        <v>0</v>
      </c>
    </row>
    <row r="790" customFormat="false" ht="13" hidden="false" customHeight="false" outlineLevel="0" collapsed="false">
      <c r="A790" s="16" t="n">
        <v>773</v>
      </c>
      <c r="B790" s="37" t="n">
        <f aca="true">IF(RAND()&lt;$D$8,1,0)</f>
        <v>0</v>
      </c>
      <c r="C790" s="20" t="n">
        <f aca="true">-LN(RAND())/$D$2</f>
        <v>0.664663089903584</v>
      </c>
      <c r="D790" s="38" t="n">
        <f aca="false">D789+C790</f>
        <v>815.84539977059</v>
      </c>
      <c r="E790" s="39" t="n">
        <f aca="false">MAX($E$3,AS789)</f>
        <v>0</v>
      </c>
      <c r="F790" s="39" t="n">
        <f aca="false">MAX($E$3,AT789)</f>
        <v>0</v>
      </c>
      <c r="G790" s="40" t="n">
        <v>0.5</v>
      </c>
      <c r="H790" s="38" t="n">
        <f aca="true">IF((B790=1),(IF((F790&lt;E790),1,(IF((F790=E790),(IF(RAND()&lt;G790,1,0)),0)))),(IF((RAND()&lt;G790),1,0)))</f>
        <v>1</v>
      </c>
      <c r="I790" s="38" t="n">
        <f aca="true">IF((H790=1),0,$D$3+$D$5*(RAND()-0.5))</f>
        <v>0</v>
      </c>
      <c r="J790" s="38" t="n">
        <f aca="false">I790+MAX(D790,J789)</f>
        <v>833.106222163004</v>
      </c>
      <c r="K790" s="38" t="n">
        <f aca="false">IF((H790=0),J790-D790,0)</f>
        <v>0</v>
      </c>
      <c r="L790" s="38" t="n">
        <f aca="true">IF(($H790=0),0,$D$4+$D$5*(RAND()-0.5))</f>
        <v>2.06921802747407</v>
      </c>
      <c r="M790" s="38" t="n">
        <f aca="false">L790+MAX(D790,M789)</f>
        <v>847.953763671577</v>
      </c>
      <c r="N790" s="38" t="n">
        <f aca="false">IF((H790=1),M790-D790,0)</f>
        <v>32.1083639009863</v>
      </c>
      <c r="O790" s="16" t="n">
        <v>773</v>
      </c>
      <c r="P790" s="41" t="n">
        <f aca="false">IF((Arterial=0),P789+1,P789)</f>
        <v>363</v>
      </c>
      <c r="Q790" s="41" t="n">
        <f aca="false">IF((Arterial=1),Q789+1,Q789)</f>
        <v>410</v>
      </c>
      <c r="R790" s="42" t="n">
        <f aca="false">IF((RESET=1),0,R790+K790)</f>
        <v>927.346024449871</v>
      </c>
      <c r="S790" s="14" t="e">
        <f aca="false">IF(RESET=1,0,S790+N790)</f>
        <v>#N/A</v>
      </c>
      <c r="T790" s="2" t="n">
        <f aca="false">IF(RESET=1,0,T790+IF(H790=0,1,0))</f>
        <v>40</v>
      </c>
      <c r="U790" s="2" t="e">
        <f aca="false">IF(RESET=1,0,U790+H790)</f>
        <v>#N/A</v>
      </c>
      <c r="V790" s="14" t="n">
        <f aca="false">R790/(T790+0.00001)</f>
        <v>23.1836448153356</v>
      </c>
      <c r="W790" s="14" t="e">
        <f aca="false">S790/(U790+0.0001)</f>
        <v>#N/A</v>
      </c>
      <c r="X790" s="39" t="n">
        <f aca="false">IF(Informed=1,K790,0)</f>
        <v>0</v>
      </c>
      <c r="Y790" s="39" t="n">
        <f aca="false">IF(Informed=0,K790,0)</f>
        <v>0</v>
      </c>
      <c r="Z790" s="39" t="n">
        <f aca="false">IF(Informed=1,N790,0)</f>
        <v>0</v>
      </c>
      <c r="AA790" s="39" t="n">
        <f aca="false">IF(Informed=0,N790,0)</f>
        <v>32.1083639009863</v>
      </c>
      <c r="AB790" s="43" t="n">
        <f aca="false">IF(Arterial=0,IF(Informed=1,1,0),0)</f>
        <v>0</v>
      </c>
      <c r="AC790" s="43" t="n">
        <f aca="false">IF(Arterial=0,IF(Informed=0,1,0),0)</f>
        <v>0</v>
      </c>
      <c r="AD790" s="43" t="n">
        <f aca="false">IF(Arterial=1,IF(Informed=1,1,0),0)</f>
        <v>0</v>
      </c>
      <c r="AE790" s="43" t="n">
        <f aca="false">IF(Arterial=1,IF(Informed=0,1,0),0)</f>
        <v>1</v>
      </c>
      <c r="AF790" s="35" t="n">
        <f aca="false">IF(AB790=1,(X790-G$1030)^2,0)</f>
        <v>0</v>
      </c>
      <c r="AG790" s="35" t="n">
        <f aca="false">IF(AC790=1,(Y790-H$1030)^2,0)</f>
        <v>0</v>
      </c>
      <c r="AH790" s="35" t="n">
        <f aca="false">IF(AD790=1,(Z790-I$1030)^2,0)</f>
        <v>0</v>
      </c>
      <c r="AI790" s="35" t="n">
        <f aca="false">IF(AE790=1,(AA790-J$1030)^2,0)</f>
        <v>6.47238838590665</v>
      </c>
      <c r="AJ790" s="37" t="n">
        <f aca="true">IF(RAND()&lt;$D$6,1,0)</f>
        <v>0</v>
      </c>
      <c r="AK790" s="14" t="n">
        <f aca="false">AK789+IF((AJ790=1),IF((H790=0),1,0),0)</f>
        <v>0</v>
      </c>
      <c r="AL790" s="14" t="n">
        <f aca="false">AL789+IF((AJ790=1),IF((H790=1),1,0),0)</f>
        <v>0</v>
      </c>
      <c r="AM790" s="37" t="n">
        <f aca="false">IF(AK790=0,9999,IF($H790=0,IF($AJ790&lt;1,AM789+1,0),AM789))</f>
        <v>9999</v>
      </c>
      <c r="AN790" s="37" t="n">
        <f aca="false">IF(AL790=0,9999,IF($H790=1,IF($AJ790&lt;1,AN789+1,0),AN789))</f>
        <v>9999</v>
      </c>
      <c r="AO790" s="37" t="n">
        <f aca="false">IF($A790-AM790&gt;0,1/(1+AM790),0)</f>
        <v>0</v>
      </c>
      <c r="AP790" s="37" t="n">
        <f aca="false">IF($A790-AN790&gt;0,1/(1+AN790),0)</f>
        <v>0</v>
      </c>
      <c r="AQ790" s="7" t="n">
        <f aca="false">IF(AK790=0,0,MAX(MIN(1,AO790^Power),0))</f>
        <v>0</v>
      </c>
      <c r="AR790" s="7" t="n">
        <f aca="false">IF(AL790=0,0,MAX(MIN(1,AP790^Power),0))</f>
        <v>0</v>
      </c>
      <c r="AS790" s="7" t="n">
        <f aca="false">IF($AJ790=1,IF($H790=0,K790,AS789),AS789)</f>
        <v>0</v>
      </c>
      <c r="AT790" s="7" t="n">
        <f aca="false">IF($AJ790=1,IF($H790=1,N790,AT789),AT789)</f>
        <v>0</v>
      </c>
    </row>
    <row r="791" customFormat="false" ht="13" hidden="false" customHeight="false" outlineLevel="0" collapsed="false">
      <c r="A791" s="16" t="n">
        <v>774</v>
      </c>
      <c r="B791" s="37" t="n">
        <f aca="true">IF(RAND()&lt;$D$8,1,0)</f>
        <v>1</v>
      </c>
      <c r="C791" s="20" t="n">
        <f aca="true">-LN(RAND())/$D$2</f>
        <v>2.69695699983987</v>
      </c>
      <c r="D791" s="38" t="n">
        <f aca="false">D790+C791</f>
        <v>818.54235677043</v>
      </c>
      <c r="E791" s="39" t="n">
        <f aca="false">MAX($E$3,AS790)</f>
        <v>0</v>
      </c>
      <c r="F791" s="39" t="n">
        <f aca="false">MAX($E$3,AT790)</f>
        <v>0</v>
      </c>
      <c r="G791" s="40" t="n">
        <v>0.5</v>
      </c>
      <c r="H791" s="38" t="n">
        <f aca="true">IF((B791=1),(IF((F791&lt;E791),1,(IF((F791=E791),(IF(RAND()&lt;G791,1,0)),0)))),(IF((RAND()&lt;G791),1,0)))</f>
        <v>1</v>
      </c>
      <c r="I791" s="38" t="n">
        <f aca="true">IF((H791=1),0,$D$3+$D$5*(RAND()-0.5))</f>
        <v>0</v>
      </c>
      <c r="J791" s="38" t="n">
        <f aca="false">I791+MAX(D791,J790)</f>
        <v>833.106222163004</v>
      </c>
      <c r="K791" s="38" t="n">
        <f aca="false">IF((H791=0),J791-D791,0)</f>
        <v>0</v>
      </c>
      <c r="L791" s="38" t="n">
        <f aca="true">IF(($H791=0),0,$D$4+$D$5*(RAND()-0.5))</f>
        <v>2.09997715840961</v>
      </c>
      <c r="M791" s="38" t="n">
        <f aca="false">L791+MAX(D791,M790)</f>
        <v>850.053740829986</v>
      </c>
      <c r="N791" s="38" t="n">
        <f aca="false">IF((H791=1),M791-D791,0)</f>
        <v>31.5113840595561</v>
      </c>
      <c r="O791" s="16" t="n">
        <v>774</v>
      </c>
      <c r="P791" s="41" t="n">
        <f aca="false">IF((Arterial=0),P790+1,P790)</f>
        <v>363</v>
      </c>
      <c r="Q791" s="41" t="n">
        <f aca="false">IF((Arterial=1),Q790+1,Q790)</f>
        <v>411</v>
      </c>
      <c r="R791" s="42" t="n">
        <f aca="false">IF((RESET=1),0,R791+K791)</f>
        <v>742.27327859086</v>
      </c>
      <c r="S791" s="14" t="e">
        <f aca="false">IF(RESET=1,0,S791+N791)</f>
        <v>#N/A</v>
      </c>
      <c r="T791" s="2" t="n">
        <f aca="false">IF(RESET=1,0,T791+IF(H791=0,1,0))</f>
        <v>39</v>
      </c>
      <c r="U791" s="2" t="e">
        <f aca="false">IF(RESET=1,0,U791+H791)</f>
        <v>#N/A</v>
      </c>
      <c r="V791" s="14" t="n">
        <f aca="false">R791/(T791+0.00001)</f>
        <v>19.0326432888315</v>
      </c>
      <c r="W791" s="14" t="e">
        <f aca="false">S791/(U791+0.0001)</f>
        <v>#N/A</v>
      </c>
      <c r="X791" s="39" t="n">
        <f aca="false">IF(Informed=1,K791,0)</f>
        <v>0</v>
      </c>
      <c r="Y791" s="39" t="n">
        <f aca="false">IF(Informed=0,K791,0)</f>
        <v>0</v>
      </c>
      <c r="Z791" s="39" t="n">
        <f aca="false">IF(Informed=1,N791,0)</f>
        <v>31.5113840595561</v>
      </c>
      <c r="AA791" s="39" t="n">
        <f aca="false">IF(Informed=0,N791,0)</f>
        <v>0</v>
      </c>
      <c r="AB791" s="43" t="n">
        <f aca="false">IF(Arterial=0,IF(Informed=1,1,0),0)</f>
        <v>0</v>
      </c>
      <c r="AC791" s="43" t="n">
        <f aca="false">IF(Arterial=0,IF(Informed=0,1,0),0)</f>
        <v>0</v>
      </c>
      <c r="AD791" s="43" t="n">
        <f aca="false">IF(Arterial=1,IF(Informed=1,1,0),0)</f>
        <v>1</v>
      </c>
      <c r="AE791" s="43" t="n">
        <f aca="false">IF(Arterial=1,IF(Informed=0,1,0),0)</f>
        <v>0</v>
      </c>
      <c r="AF791" s="35" t="n">
        <f aca="false">IF(AB791=1,(X791-G$1030)^2,0)</f>
        <v>0</v>
      </c>
      <c r="AG791" s="35" t="n">
        <f aca="false">IF(AC791=1,(Y791-H$1030)^2,0)</f>
        <v>0</v>
      </c>
      <c r="AH791" s="35" t="n">
        <f aca="false">IF(AD791=1,(Z791-I$1030)^2,0)</f>
        <v>9.83794130005306</v>
      </c>
      <c r="AI791" s="35" t="n">
        <f aca="false">IF(AE791=1,(AA791-J$1030)^2,0)</f>
        <v>0</v>
      </c>
      <c r="AJ791" s="37" t="n">
        <f aca="true">IF(RAND()&lt;$D$6,1,0)</f>
        <v>0</v>
      </c>
      <c r="AK791" s="14" t="n">
        <f aca="false">AK790+IF((AJ791=1),IF((H791=0),1,0),0)</f>
        <v>0</v>
      </c>
      <c r="AL791" s="14" t="n">
        <f aca="false">AL790+IF((AJ791=1),IF((H791=1),1,0),0)</f>
        <v>0</v>
      </c>
      <c r="AM791" s="37" t="n">
        <f aca="false">IF(AK791=0,9999,IF($H791=0,IF($AJ791&lt;1,AM790+1,0),AM790))</f>
        <v>9999</v>
      </c>
      <c r="AN791" s="37" t="n">
        <f aca="false">IF(AL791=0,9999,IF($H791=1,IF($AJ791&lt;1,AN790+1,0),AN790))</f>
        <v>9999</v>
      </c>
      <c r="AO791" s="37" t="n">
        <f aca="false">IF($A791-AM791&gt;0,1/(1+AM791),0)</f>
        <v>0</v>
      </c>
      <c r="AP791" s="37" t="n">
        <f aca="false">IF($A791-AN791&gt;0,1/(1+AN791),0)</f>
        <v>0</v>
      </c>
      <c r="AQ791" s="7" t="n">
        <f aca="false">IF(AK791=0,0,MAX(MIN(1,AO791^Power),0))</f>
        <v>0</v>
      </c>
      <c r="AR791" s="7" t="n">
        <f aca="false">IF(AL791=0,0,MAX(MIN(1,AP791^Power),0))</f>
        <v>0</v>
      </c>
      <c r="AS791" s="7" t="n">
        <f aca="false">IF($AJ791=1,IF($H791=0,K791,AS790),AS790)</f>
        <v>0</v>
      </c>
      <c r="AT791" s="7" t="n">
        <f aca="false">IF($AJ791=1,IF($H791=1,N791,AT790),AT790)</f>
        <v>0</v>
      </c>
    </row>
    <row r="792" customFormat="false" ht="13" hidden="false" customHeight="false" outlineLevel="0" collapsed="false">
      <c r="A792" s="16" t="n">
        <v>775</v>
      </c>
      <c r="B792" s="37" t="n">
        <f aca="true">IF(RAND()&lt;$D$8,1,0)</f>
        <v>1</v>
      </c>
      <c r="C792" s="20" t="n">
        <f aca="true">-LN(RAND())/$D$2</f>
        <v>2.29639299908166</v>
      </c>
      <c r="D792" s="38" t="n">
        <f aca="false">D791+C792</f>
        <v>820.838749769512</v>
      </c>
      <c r="E792" s="39" t="n">
        <f aca="false">MAX($E$3,AS791)</f>
        <v>0</v>
      </c>
      <c r="F792" s="39" t="n">
        <f aca="false">MAX($E$3,AT791)</f>
        <v>0</v>
      </c>
      <c r="G792" s="40" t="n">
        <v>0.5</v>
      </c>
      <c r="H792" s="38" t="n">
        <f aca="true">IF((B792=1),(IF((F792&lt;E792),1,(IF((F792=E792),(IF(RAND()&lt;G792,1,0)),0)))),(IF((RAND()&lt;G792),1,0)))</f>
        <v>0</v>
      </c>
      <c r="I792" s="38" t="n">
        <f aca="true">IF((H792=1),0,$D$3+$D$5*(RAND()-0.5))</f>
        <v>1.88158011032999</v>
      </c>
      <c r="J792" s="38" t="n">
        <f aca="false">I792+MAX(D792,J791)</f>
        <v>834.987802273334</v>
      </c>
      <c r="K792" s="38" t="n">
        <f aca="false">IF((H792=0),J792-D792,0)</f>
        <v>14.1490525038223</v>
      </c>
      <c r="L792" s="38" t="n">
        <f aca="true">IF(($H792=0),0,$D$4+$D$5*(RAND()-0.5))</f>
        <v>0</v>
      </c>
      <c r="M792" s="38" t="n">
        <f aca="false">L792+MAX(D792,M791)</f>
        <v>850.053740829986</v>
      </c>
      <c r="N792" s="38" t="n">
        <f aca="false">IF((H792=1),M792-D792,0)</f>
        <v>0</v>
      </c>
      <c r="O792" s="16" t="n">
        <v>775</v>
      </c>
      <c r="P792" s="41" t="n">
        <f aca="false">IF((Arterial=0),P791+1,P791)</f>
        <v>364</v>
      </c>
      <c r="Q792" s="41" t="n">
        <f aca="false">IF((Arterial=1),Q791+1,Q791)</f>
        <v>411</v>
      </c>
      <c r="R792" s="42" t="e">
        <f aca="false">IF((RESET=1),0,R792+K792)</f>
        <v>#N/A</v>
      </c>
      <c r="S792" s="14" t="n">
        <f aca="false">IF(RESET=1,0,S792+N792)</f>
        <v>686.419780409927</v>
      </c>
      <c r="T792" s="2" t="e">
        <f aca="false">IF(RESET=1,0,T792+IF(H792=0,1,0))</f>
        <v>#N/A</v>
      </c>
      <c r="U792" s="2" t="n">
        <f aca="false">IF(RESET=1,0,U792+H792)</f>
        <v>37</v>
      </c>
      <c r="V792" s="14" t="e">
        <f aca="false">R792/(T792+0.00001)</f>
        <v>#N/A</v>
      </c>
      <c r="W792" s="14" t="n">
        <f aca="false">S792/(U792+0.0001)</f>
        <v>18.5518358169283</v>
      </c>
      <c r="X792" s="39" t="n">
        <f aca="false">IF(Informed=1,K792,0)</f>
        <v>14.1490525038223</v>
      </c>
      <c r="Y792" s="39" t="n">
        <f aca="false">IF(Informed=0,K792,0)</f>
        <v>0</v>
      </c>
      <c r="Z792" s="39" t="n">
        <f aca="false">IF(Informed=1,N792,0)</f>
        <v>0</v>
      </c>
      <c r="AA792" s="39" t="n">
        <f aca="false">IF(Informed=0,N792,0)</f>
        <v>0</v>
      </c>
      <c r="AB792" s="43" t="n">
        <f aca="false">IF(Arterial=0,IF(Informed=1,1,0),0)</f>
        <v>1</v>
      </c>
      <c r="AC792" s="43" t="n">
        <f aca="false">IF(Arterial=0,IF(Informed=0,1,0),0)</f>
        <v>0</v>
      </c>
      <c r="AD792" s="43" t="n">
        <f aca="false">IF(Arterial=1,IF(Informed=1,1,0),0)</f>
        <v>0</v>
      </c>
      <c r="AE792" s="43" t="n">
        <f aca="false">IF(Arterial=1,IF(Informed=0,1,0),0)</f>
        <v>0</v>
      </c>
      <c r="AF792" s="35" t="n">
        <f aca="false">IF(AB792=1,(X792-G$1030)^2,0)</f>
        <v>11.8292953144112</v>
      </c>
      <c r="AG792" s="35" t="n">
        <f aca="false">IF(AC792=1,(Y792-H$1030)^2,0)</f>
        <v>0</v>
      </c>
      <c r="AH792" s="35" t="n">
        <f aca="false">IF(AD792=1,(Z792-I$1030)^2,0)</f>
        <v>0</v>
      </c>
      <c r="AI792" s="35" t="n">
        <f aca="false">IF(AE792=1,(AA792-J$1030)^2,0)</f>
        <v>0</v>
      </c>
      <c r="AJ792" s="37" t="n">
        <f aca="true">IF(RAND()&lt;$D$6,1,0)</f>
        <v>0</v>
      </c>
      <c r="AK792" s="14" t="n">
        <f aca="false">AK791+IF((AJ792=1),IF((H792=0),1,0),0)</f>
        <v>0</v>
      </c>
      <c r="AL792" s="14" t="n">
        <f aca="false">AL791+IF((AJ792=1),IF((H792=1),1,0),0)</f>
        <v>0</v>
      </c>
      <c r="AM792" s="37" t="n">
        <f aca="false">IF(AK792=0,9999,IF($H792=0,IF($AJ792&lt;1,AM791+1,0),AM791))</f>
        <v>9999</v>
      </c>
      <c r="AN792" s="37" t="n">
        <f aca="false">IF(AL792=0,9999,IF($H792=1,IF($AJ792&lt;1,AN791+1,0),AN791))</f>
        <v>9999</v>
      </c>
      <c r="AO792" s="37" t="n">
        <f aca="false">IF($A792-AM792&gt;0,1/(1+AM792),0)</f>
        <v>0</v>
      </c>
      <c r="AP792" s="37" t="n">
        <f aca="false">IF($A792-AN792&gt;0,1/(1+AN792),0)</f>
        <v>0</v>
      </c>
      <c r="AQ792" s="7" t="n">
        <f aca="false">IF(AK792=0,0,MAX(MIN(1,AO792^Power),0))</f>
        <v>0</v>
      </c>
      <c r="AR792" s="7" t="n">
        <f aca="false">IF(AL792=0,0,MAX(MIN(1,AP792^Power),0))</f>
        <v>0</v>
      </c>
      <c r="AS792" s="7" t="n">
        <f aca="false">IF($AJ792=1,IF($H792=0,K792,AS791),AS791)</f>
        <v>0</v>
      </c>
      <c r="AT792" s="7" t="n">
        <f aca="false">IF($AJ792=1,IF($H792=1,N792,AT791),AT791)</f>
        <v>0</v>
      </c>
    </row>
    <row r="793" customFormat="false" ht="13" hidden="false" customHeight="false" outlineLevel="0" collapsed="false">
      <c r="A793" s="16" t="n">
        <v>776</v>
      </c>
      <c r="B793" s="37" t="n">
        <f aca="true">IF(RAND()&lt;$D$8,1,0)</f>
        <v>1</v>
      </c>
      <c r="C793" s="20" t="n">
        <f aca="true">-LN(RAND())/$D$2</f>
        <v>0.133673267147789</v>
      </c>
      <c r="D793" s="38" t="n">
        <f aca="false">D792+C793</f>
        <v>820.97242303666</v>
      </c>
      <c r="E793" s="39" t="n">
        <f aca="false">MAX($E$3,AS792)</f>
        <v>0</v>
      </c>
      <c r="F793" s="39" t="n">
        <f aca="false">MAX($E$3,AT792)</f>
        <v>0</v>
      </c>
      <c r="G793" s="40" t="n">
        <v>0.5</v>
      </c>
      <c r="H793" s="38" t="n">
        <f aca="true">IF((B793=1),(IF((F793&lt;E793),1,(IF((F793=E793),(IF(RAND()&lt;G793,1,0)),0)))),(IF((RAND()&lt;G793),1,0)))</f>
        <v>0</v>
      </c>
      <c r="I793" s="38" t="n">
        <f aca="true">IF((H793=1),0,$D$3+$D$5*(RAND()-0.5))</f>
        <v>1.98887859770062</v>
      </c>
      <c r="J793" s="38" t="n">
        <f aca="false">I793+MAX(D793,J792)</f>
        <v>836.976680871035</v>
      </c>
      <c r="K793" s="38" t="n">
        <f aca="false">IF((H793=0),J793-D793,0)</f>
        <v>16.0042578343752</v>
      </c>
      <c r="L793" s="38" t="n">
        <f aca="true">IF(($H793=0),0,$D$4+$D$5*(RAND()-0.5))</f>
        <v>0</v>
      </c>
      <c r="M793" s="38" t="n">
        <f aca="false">L793+MAX(D793,M792)</f>
        <v>850.053740829986</v>
      </c>
      <c r="N793" s="38" t="n">
        <f aca="false">IF((H793=1),M793-D793,0)</f>
        <v>0</v>
      </c>
      <c r="O793" s="16" t="n">
        <v>776</v>
      </c>
      <c r="P793" s="41" t="n">
        <f aca="false">IF((Arterial=0),P792+1,P792)</f>
        <v>365</v>
      </c>
      <c r="Q793" s="41" t="n">
        <f aca="false">IF((Arterial=1),Q792+1,Q792)</f>
        <v>411</v>
      </c>
      <c r="R793" s="42" t="e">
        <f aca="false">IF((RESET=1),0,R793+K793)</f>
        <v>#N/A</v>
      </c>
      <c r="S793" s="14" t="n">
        <f aca="false">IF(RESET=1,0,S793+N793)</f>
        <v>640.258122252518</v>
      </c>
      <c r="T793" s="2" t="e">
        <f aca="false">IF(RESET=1,0,T793+IF(H793=0,1,0))</f>
        <v>#N/A</v>
      </c>
      <c r="U793" s="2" t="n">
        <f aca="false">IF(RESET=1,0,U793+H793)</f>
        <v>43</v>
      </c>
      <c r="V793" s="14" t="e">
        <f aca="false">R793/(T793+0.00001)</f>
        <v>#N/A</v>
      </c>
      <c r="W793" s="14" t="n">
        <f aca="false">S793/(U793+0.0001)</f>
        <v>14.8896891461303</v>
      </c>
      <c r="X793" s="39" t="n">
        <f aca="false">IF(Informed=1,K793,0)</f>
        <v>16.0042578343752</v>
      </c>
      <c r="Y793" s="39" t="n">
        <f aca="false">IF(Informed=0,K793,0)</f>
        <v>0</v>
      </c>
      <c r="Z793" s="39" t="n">
        <f aca="false">IF(Informed=1,N793,0)</f>
        <v>0</v>
      </c>
      <c r="AA793" s="39" t="n">
        <f aca="false">IF(Informed=0,N793,0)</f>
        <v>0</v>
      </c>
      <c r="AB793" s="43" t="n">
        <f aca="false">IF(Arterial=0,IF(Informed=1,1,0),0)</f>
        <v>1</v>
      </c>
      <c r="AC793" s="43" t="n">
        <f aca="false">IF(Arterial=0,IF(Informed=0,1,0),0)</f>
        <v>0</v>
      </c>
      <c r="AD793" s="43" t="n">
        <f aca="false">IF(Arterial=1,IF(Informed=1,1,0),0)</f>
        <v>0</v>
      </c>
      <c r="AE793" s="43" t="n">
        <f aca="false">IF(Arterial=1,IF(Informed=0,1,0),0)</f>
        <v>0</v>
      </c>
      <c r="AF793" s="35" t="n">
        <f aca="false">IF(AB793=1,(X793-G$1030)^2,0)</f>
        <v>28.0325730623438</v>
      </c>
      <c r="AG793" s="35" t="n">
        <f aca="false">IF(AC793=1,(Y793-H$1030)^2,0)</f>
        <v>0</v>
      </c>
      <c r="AH793" s="35" t="n">
        <f aca="false">IF(AD793=1,(Z793-I$1030)^2,0)</f>
        <v>0</v>
      </c>
      <c r="AI793" s="35" t="n">
        <f aca="false">IF(AE793=1,(AA793-J$1030)^2,0)</f>
        <v>0</v>
      </c>
      <c r="AJ793" s="37" t="n">
        <f aca="true">IF(RAND()&lt;$D$6,1,0)</f>
        <v>0</v>
      </c>
      <c r="AK793" s="14" t="n">
        <f aca="false">AK792+IF((AJ793=1),IF((H793=0),1,0),0)</f>
        <v>0</v>
      </c>
      <c r="AL793" s="14" t="n">
        <f aca="false">AL792+IF((AJ793=1),IF((H793=1),1,0),0)</f>
        <v>0</v>
      </c>
      <c r="AM793" s="37" t="n">
        <f aca="false">IF(AK793=0,9999,IF($H793=0,IF($AJ793&lt;1,AM792+1,0),AM792))</f>
        <v>9999</v>
      </c>
      <c r="AN793" s="37" t="n">
        <f aca="false">IF(AL793=0,9999,IF($H793=1,IF($AJ793&lt;1,AN792+1,0),AN792))</f>
        <v>9999</v>
      </c>
      <c r="AO793" s="37" t="n">
        <f aca="false">IF($A793-AM793&gt;0,1/(1+AM793),0)</f>
        <v>0</v>
      </c>
      <c r="AP793" s="37" t="n">
        <f aca="false">IF($A793-AN793&gt;0,1/(1+AN793),0)</f>
        <v>0</v>
      </c>
      <c r="AQ793" s="7" t="n">
        <f aca="false">IF(AK793=0,0,MAX(MIN(1,AO793^Power),0))</f>
        <v>0</v>
      </c>
      <c r="AR793" s="7" t="n">
        <f aca="false">IF(AL793=0,0,MAX(MIN(1,AP793^Power),0))</f>
        <v>0</v>
      </c>
      <c r="AS793" s="7" t="n">
        <f aca="false">IF($AJ793=1,IF($H793=0,K793,AS792),AS792)</f>
        <v>0</v>
      </c>
      <c r="AT793" s="7" t="n">
        <f aca="false">IF($AJ793=1,IF($H793=1,N793,AT792),AT792)</f>
        <v>0</v>
      </c>
    </row>
    <row r="794" customFormat="false" ht="13" hidden="false" customHeight="false" outlineLevel="0" collapsed="false">
      <c r="A794" s="16" t="n">
        <v>777</v>
      </c>
      <c r="B794" s="37" t="n">
        <f aca="true">IF(RAND()&lt;$D$8,1,0)</f>
        <v>0</v>
      </c>
      <c r="C794" s="20" t="n">
        <f aca="true">-LN(RAND())/$D$2</f>
        <v>0.126113724766317</v>
      </c>
      <c r="D794" s="38" t="n">
        <f aca="false">D793+C794</f>
        <v>821.098536761426</v>
      </c>
      <c r="E794" s="39" t="n">
        <f aca="false">MAX($E$3,AS793)</f>
        <v>0</v>
      </c>
      <c r="F794" s="39" t="n">
        <f aca="false">MAX($E$3,AT793)</f>
        <v>0</v>
      </c>
      <c r="G794" s="40" t="n">
        <v>0.5</v>
      </c>
      <c r="H794" s="38" t="n">
        <f aca="true">IF((B794=1),(IF((F794&lt;E794),1,(IF((F794=E794),(IF(RAND()&lt;G794,1,0)),0)))),(IF((RAND()&lt;G794),1,0)))</f>
        <v>0</v>
      </c>
      <c r="I794" s="38" t="n">
        <f aca="true">IF((H794=1),0,$D$3+$D$5*(RAND()-0.5))</f>
        <v>1.954881905955</v>
      </c>
      <c r="J794" s="38" t="n">
        <f aca="false">I794+MAX(D794,J793)</f>
        <v>838.93156277699</v>
      </c>
      <c r="K794" s="38" t="n">
        <f aca="false">IF((H794=0),J794-D794,0)</f>
        <v>17.8330260155637</v>
      </c>
      <c r="L794" s="38" t="n">
        <f aca="true">IF(($H794=0),0,$D$4+$D$5*(RAND()-0.5))</f>
        <v>0</v>
      </c>
      <c r="M794" s="38" t="n">
        <f aca="false">L794+MAX(D794,M793)</f>
        <v>850.053740829986</v>
      </c>
      <c r="N794" s="38" t="n">
        <f aca="false">IF((H794=1),M794-D794,0)</f>
        <v>0</v>
      </c>
      <c r="O794" s="16" t="n">
        <v>777</v>
      </c>
      <c r="P794" s="41" t="n">
        <f aca="false">IF((Arterial=0),P793+1,P793)</f>
        <v>366</v>
      </c>
      <c r="Q794" s="41" t="n">
        <f aca="false">IF((Arterial=1),Q793+1,Q793)</f>
        <v>411</v>
      </c>
      <c r="R794" s="42" t="e">
        <f aca="false">IF((RESET=1),0,R794+K794)</f>
        <v>#N/A</v>
      </c>
      <c r="S794" s="14" t="n">
        <f aca="false">IF(RESET=1,0,S794+N794)</f>
        <v>657.389690983575</v>
      </c>
      <c r="T794" s="2" t="e">
        <f aca="false">IF(RESET=1,0,T794+IF(H794=0,1,0))</f>
        <v>#N/A</v>
      </c>
      <c r="U794" s="2" t="n">
        <f aca="false">IF(RESET=1,0,U794+H794)</f>
        <v>39</v>
      </c>
      <c r="V794" s="14" t="e">
        <f aca="false">R794/(T794+0.00001)</f>
        <v>#N/A</v>
      </c>
      <c r="W794" s="14" t="n">
        <f aca="false">S794/(U794+0.0001)</f>
        <v>16.8561027018796</v>
      </c>
      <c r="X794" s="39" t="n">
        <f aca="false">IF(Informed=1,K794,0)</f>
        <v>0</v>
      </c>
      <c r="Y794" s="39" t="n">
        <f aca="false">IF(Informed=0,K794,0)</f>
        <v>17.8330260155637</v>
      </c>
      <c r="Z794" s="39" t="n">
        <f aca="false">IF(Informed=1,N794,0)</f>
        <v>0</v>
      </c>
      <c r="AA794" s="39" t="n">
        <f aca="false">IF(Informed=0,N794,0)</f>
        <v>0</v>
      </c>
      <c r="AB794" s="43" t="n">
        <f aca="false">IF(Arterial=0,IF(Informed=1,1,0),0)</f>
        <v>0</v>
      </c>
      <c r="AC794" s="43" t="n">
        <f aca="false">IF(Arterial=0,IF(Informed=0,1,0),0)</f>
        <v>1</v>
      </c>
      <c r="AD794" s="43" t="n">
        <f aca="false">IF(Arterial=1,IF(Informed=1,1,0),0)</f>
        <v>0</v>
      </c>
      <c r="AE794" s="43" t="n">
        <f aca="false">IF(Arterial=1,IF(Informed=0,1,0),0)</f>
        <v>0</v>
      </c>
      <c r="AF794" s="35" t="n">
        <f aca="false">IF(AB794=1,(X794-G$1030)^2,0)</f>
        <v>0</v>
      </c>
      <c r="AG794" s="35" t="n">
        <f aca="false">IF(AC794=1,(Y794-H$1030)^2,0)</f>
        <v>47.7376079465802</v>
      </c>
      <c r="AH794" s="35" t="n">
        <f aca="false">IF(AD794=1,(Z794-I$1030)^2,0)</f>
        <v>0</v>
      </c>
      <c r="AI794" s="35" t="n">
        <f aca="false">IF(AE794=1,(AA794-J$1030)^2,0)</f>
        <v>0</v>
      </c>
      <c r="AJ794" s="37" t="n">
        <f aca="true">IF(RAND()&lt;$D$6,1,0)</f>
        <v>0</v>
      </c>
      <c r="AK794" s="14" t="n">
        <f aca="false">AK793+IF((AJ794=1),IF((H794=0),1,0),0)</f>
        <v>0</v>
      </c>
      <c r="AL794" s="14" t="n">
        <f aca="false">AL793+IF((AJ794=1),IF((H794=1),1,0),0)</f>
        <v>0</v>
      </c>
      <c r="AM794" s="37" t="n">
        <f aca="false">IF(AK794=0,9999,IF($H794=0,IF($AJ794&lt;1,AM793+1,0),AM793))</f>
        <v>9999</v>
      </c>
      <c r="AN794" s="37" t="n">
        <f aca="false">IF(AL794=0,9999,IF($H794=1,IF($AJ794&lt;1,AN793+1,0),AN793))</f>
        <v>9999</v>
      </c>
      <c r="AO794" s="37" t="n">
        <f aca="false">IF($A794-AM794&gt;0,1/(1+AM794),0)</f>
        <v>0</v>
      </c>
      <c r="AP794" s="37" t="n">
        <f aca="false">IF($A794-AN794&gt;0,1/(1+AN794),0)</f>
        <v>0</v>
      </c>
      <c r="AQ794" s="7" t="n">
        <f aca="false">IF(AK794=0,0,MAX(MIN(1,AO794^Power),0))</f>
        <v>0</v>
      </c>
      <c r="AR794" s="7" t="n">
        <f aca="false">IF(AL794=0,0,MAX(MIN(1,AP794^Power),0))</f>
        <v>0</v>
      </c>
      <c r="AS794" s="7" t="n">
        <f aca="false">IF($AJ794=1,IF($H794=0,K794,AS793),AS793)</f>
        <v>0</v>
      </c>
      <c r="AT794" s="7" t="n">
        <f aca="false">IF($AJ794=1,IF($H794=1,N794,AT793),AT793)</f>
        <v>0</v>
      </c>
    </row>
    <row r="795" customFormat="false" ht="13" hidden="false" customHeight="false" outlineLevel="0" collapsed="false">
      <c r="A795" s="16" t="n">
        <v>778</v>
      </c>
      <c r="B795" s="37" t="n">
        <f aca="true">IF(RAND()&lt;$D$8,1,0)</f>
        <v>0</v>
      </c>
      <c r="C795" s="20" t="n">
        <f aca="true">-LN(RAND())/$D$2</f>
        <v>0.32009454467413</v>
      </c>
      <c r="D795" s="38" t="n">
        <f aca="false">D794+C795</f>
        <v>821.4186313061</v>
      </c>
      <c r="E795" s="39" t="n">
        <f aca="false">MAX($E$3,AS794)</f>
        <v>0</v>
      </c>
      <c r="F795" s="39" t="n">
        <f aca="false">MAX($E$3,AT794)</f>
        <v>0</v>
      </c>
      <c r="G795" s="40" t="n">
        <v>0.5</v>
      </c>
      <c r="H795" s="38" t="n">
        <f aca="true">IF((B795=1),(IF((F795&lt;E795),1,(IF((F795=E795),(IF(RAND()&lt;G795,1,0)),0)))),(IF((RAND()&lt;G795),1,0)))</f>
        <v>0</v>
      </c>
      <c r="I795" s="38" t="n">
        <f aca="true">IF((H795=1),0,$D$3+$D$5*(RAND()-0.5))</f>
        <v>2.00130728995711</v>
      </c>
      <c r="J795" s="38" t="n">
        <f aca="false">I795+MAX(D795,J794)</f>
        <v>840.932870066947</v>
      </c>
      <c r="K795" s="38" t="n">
        <f aca="false">IF((H795=0),J795-D795,0)</f>
        <v>19.5142387608468</v>
      </c>
      <c r="L795" s="38" t="n">
        <f aca="true">IF(($H795=0),0,$D$4+$D$5*(RAND()-0.5))</f>
        <v>0</v>
      </c>
      <c r="M795" s="38" t="n">
        <f aca="false">L795+MAX(D795,M794)</f>
        <v>850.053740829986</v>
      </c>
      <c r="N795" s="38" t="n">
        <f aca="false">IF((H795=1),M795-D795,0)</f>
        <v>0</v>
      </c>
      <c r="O795" s="16" t="n">
        <v>778</v>
      </c>
      <c r="P795" s="41" t="n">
        <f aca="false">IF((Arterial=0),P794+1,P794)</f>
        <v>367</v>
      </c>
      <c r="Q795" s="41" t="n">
        <f aca="false">IF((Arterial=1),Q794+1,Q794)</f>
        <v>411</v>
      </c>
      <c r="R795" s="42" t="e">
        <f aca="false">IF((RESET=1),0,R795+K795)</f>
        <v>#N/A</v>
      </c>
      <c r="S795" s="14" t="n">
        <f aca="false">IF(RESET=1,0,S795+N795)</f>
        <v>629.33679622406</v>
      </c>
      <c r="T795" s="2" t="e">
        <f aca="false">IF(RESET=1,0,T795+IF(H795=0,1,0))</f>
        <v>#N/A</v>
      </c>
      <c r="U795" s="2" t="n">
        <f aca="false">IF(RESET=1,0,U795+H795)</f>
        <v>40</v>
      </c>
      <c r="V795" s="14" t="e">
        <f aca="false">R795/(T795+0.00001)</f>
        <v>#N/A</v>
      </c>
      <c r="W795" s="14" t="n">
        <f aca="false">S795/(U795+0.0001)</f>
        <v>15.7333805721501</v>
      </c>
      <c r="X795" s="39" t="n">
        <f aca="false">IF(Informed=1,K795,0)</f>
        <v>0</v>
      </c>
      <c r="Y795" s="39" t="n">
        <f aca="false">IF(Informed=0,K795,0)</f>
        <v>19.5142387608468</v>
      </c>
      <c r="Z795" s="39" t="n">
        <f aca="false">IF(Informed=1,N795,0)</f>
        <v>0</v>
      </c>
      <c r="AA795" s="39" t="n">
        <f aca="false">IF(Informed=0,N795,0)</f>
        <v>0</v>
      </c>
      <c r="AB795" s="43" t="n">
        <f aca="false">IF(Arterial=0,IF(Informed=1,1,0),0)</f>
        <v>0</v>
      </c>
      <c r="AC795" s="43" t="n">
        <f aca="false">IF(Arterial=0,IF(Informed=0,1,0),0)</f>
        <v>1</v>
      </c>
      <c r="AD795" s="43" t="n">
        <f aca="false">IF(Arterial=1,IF(Informed=1,1,0),0)</f>
        <v>0</v>
      </c>
      <c r="AE795" s="43" t="n">
        <f aca="false">IF(Arterial=1,IF(Informed=0,1,0),0)</f>
        <v>0</v>
      </c>
      <c r="AF795" s="35" t="n">
        <f aca="false">IF(AB795=1,(X795-G$1030)^2,0)</f>
        <v>0</v>
      </c>
      <c r="AG795" s="35" t="n">
        <f aca="false">IF(AC795=1,(Y795-H$1030)^2,0)</f>
        <v>73.7958915096511</v>
      </c>
      <c r="AH795" s="35" t="n">
        <f aca="false">IF(AD795=1,(Z795-I$1030)^2,0)</f>
        <v>0</v>
      </c>
      <c r="AI795" s="35" t="n">
        <f aca="false">IF(AE795=1,(AA795-J$1030)^2,0)</f>
        <v>0</v>
      </c>
      <c r="AJ795" s="37" t="n">
        <f aca="true">IF(RAND()&lt;$D$6,1,0)</f>
        <v>0</v>
      </c>
      <c r="AK795" s="14" t="n">
        <f aca="false">AK794+IF((AJ795=1),IF((H795=0),1,0),0)</f>
        <v>0</v>
      </c>
      <c r="AL795" s="14" t="n">
        <f aca="false">AL794+IF((AJ795=1),IF((H795=1),1,0),0)</f>
        <v>0</v>
      </c>
      <c r="AM795" s="37" t="n">
        <f aca="false">IF(AK795=0,9999,IF($H795=0,IF($AJ795&lt;1,AM794+1,0),AM794))</f>
        <v>9999</v>
      </c>
      <c r="AN795" s="37" t="n">
        <f aca="false">IF(AL795=0,9999,IF($H795=1,IF($AJ795&lt;1,AN794+1,0),AN794))</f>
        <v>9999</v>
      </c>
      <c r="AO795" s="37" t="n">
        <f aca="false">IF($A795-AM795&gt;0,1/(1+AM795),0)</f>
        <v>0</v>
      </c>
      <c r="AP795" s="37" t="n">
        <f aca="false">IF($A795-AN795&gt;0,1/(1+AN795),0)</f>
        <v>0</v>
      </c>
      <c r="AQ795" s="7" t="n">
        <f aca="false">IF(AK795=0,0,MAX(MIN(1,AO795^Power),0))</f>
        <v>0</v>
      </c>
      <c r="AR795" s="7" t="n">
        <f aca="false">IF(AL795=0,0,MAX(MIN(1,AP795^Power),0))</f>
        <v>0</v>
      </c>
      <c r="AS795" s="7" t="n">
        <f aca="false">IF($AJ795=1,IF($H795=0,K795,AS794),AS794)</f>
        <v>0</v>
      </c>
      <c r="AT795" s="7" t="n">
        <f aca="false">IF($AJ795=1,IF($H795=1,N795,AT794),AT794)</f>
        <v>0</v>
      </c>
    </row>
    <row r="796" customFormat="false" ht="13" hidden="false" customHeight="false" outlineLevel="0" collapsed="false">
      <c r="A796" s="16" t="n">
        <v>779</v>
      </c>
      <c r="B796" s="37" t="n">
        <f aca="true">IF(RAND()&lt;$D$8,1,0)</f>
        <v>0</v>
      </c>
      <c r="C796" s="20" t="n">
        <f aca="true">-LN(RAND())/$D$2</f>
        <v>0.957439210832817</v>
      </c>
      <c r="D796" s="38" t="n">
        <f aca="false">D795+C796</f>
        <v>822.376070516933</v>
      </c>
      <c r="E796" s="39" t="n">
        <f aca="false">MAX($E$3,AS795)</f>
        <v>0</v>
      </c>
      <c r="F796" s="39" t="n">
        <f aca="false">MAX($E$3,AT795)</f>
        <v>0</v>
      </c>
      <c r="G796" s="40" t="n">
        <v>0.5</v>
      </c>
      <c r="H796" s="38" t="n">
        <f aca="true">IF((B796=1),(IF((F796&lt;E796),1,(IF((F796=E796),(IF(RAND()&lt;G796,1,0)),0)))),(IF((RAND()&lt;G796),1,0)))</f>
        <v>0</v>
      </c>
      <c r="I796" s="38" t="n">
        <f aca="true">IF((H796=1),0,$D$3+$D$5*(RAND()-0.5))</f>
        <v>1.88673555591624</v>
      </c>
      <c r="J796" s="38" t="n">
        <f aca="false">I796+MAX(D796,J795)</f>
        <v>842.819605622863</v>
      </c>
      <c r="K796" s="38" t="n">
        <f aca="false">IF((H796=0),J796-D796,0)</f>
        <v>20.4435351059302</v>
      </c>
      <c r="L796" s="38" t="n">
        <f aca="true">IF(($H796=0),0,$D$4+$D$5*(RAND()-0.5))</f>
        <v>0</v>
      </c>
      <c r="M796" s="38" t="n">
        <f aca="false">L796+MAX(D796,M795)</f>
        <v>850.053740829986</v>
      </c>
      <c r="N796" s="38" t="n">
        <f aca="false">IF((H796=1),M796-D796,0)</f>
        <v>0</v>
      </c>
      <c r="O796" s="16" t="n">
        <v>779</v>
      </c>
      <c r="P796" s="41" t="n">
        <f aca="false">IF((Arterial=0),P795+1,P795)</f>
        <v>368</v>
      </c>
      <c r="Q796" s="41" t="n">
        <f aca="false">IF((Arterial=1),Q795+1,Q795)</f>
        <v>411</v>
      </c>
      <c r="R796" s="42" t="e">
        <f aca="false">IF((RESET=1),0,R796+K796)</f>
        <v>#N/A</v>
      </c>
      <c r="S796" s="14" t="n">
        <f aca="false">IF(RESET=1,0,S796+N796)</f>
        <v>954.765542822198</v>
      </c>
      <c r="T796" s="2" t="e">
        <f aca="false">IF(RESET=1,0,T796+IF(H796=0,1,0))</f>
        <v>#N/A</v>
      </c>
      <c r="U796" s="2" t="n">
        <f aca="false">IF(RESET=1,0,U796+H796)</f>
        <v>51</v>
      </c>
      <c r="V796" s="14" t="e">
        <f aca="false">R796/(T796+0.00001)</f>
        <v>#N/A</v>
      </c>
      <c r="W796" s="14" t="n">
        <f aca="false">S796/(U796+0.0001)</f>
        <v>18.7208562889523</v>
      </c>
      <c r="X796" s="39" t="n">
        <f aca="false">IF(Informed=1,K796,0)</f>
        <v>0</v>
      </c>
      <c r="Y796" s="39" t="n">
        <f aca="false">IF(Informed=0,K796,0)</f>
        <v>20.4435351059302</v>
      </c>
      <c r="Z796" s="39" t="n">
        <f aca="false">IF(Informed=1,N796,0)</f>
        <v>0</v>
      </c>
      <c r="AA796" s="39" t="n">
        <f aca="false">IF(Informed=0,N796,0)</f>
        <v>0</v>
      </c>
      <c r="AB796" s="43" t="n">
        <f aca="false">IF(Arterial=0,IF(Informed=1,1,0),0)</f>
        <v>0</v>
      </c>
      <c r="AC796" s="43" t="n">
        <f aca="false">IF(Arterial=0,IF(Informed=0,1,0),0)</f>
        <v>1</v>
      </c>
      <c r="AD796" s="43" t="n">
        <f aca="false">IF(Arterial=1,IF(Informed=1,1,0),0)</f>
        <v>0</v>
      </c>
      <c r="AE796" s="43" t="n">
        <f aca="false">IF(Arterial=1,IF(Informed=0,1,0),0)</f>
        <v>0</v>
      </c>
      <c r="AF796" s="35" t="n">
        <f aca="false">IF(AB796=1,(X796-G$1030)^2,0)</f>
        <v>0</v>
      </c>
      <c r="AG796" s="35" t="n">
        <f aca="false">IF(AC796=1,(Y796-H$1030)^2,0)</f>
        <v>90.6256373057771</v>
      </c>
      <c r="AH796" s="35" t="n">
        <f aca="false">IF(AD796=1,(Z796-I$1030)^2,0)</f>
        <v>0</v>
      </c>
      <c r="AI796" s="35" t="n">
        <f aca="false">IF(AE796=1,(AA796-J$1030)^2,0)</f>
        <v>0</v>
      </c>
      <c r="AJ796" s="37" t="n">
        <f aca="true">IF(RAND()&lt;$D$6,1,0)</f>
        <v>0</v>
      </c>
      <c r="AK796" s="14" t="n">
        <f aca="false">AK795+IF((AJ796=1),IF((H796=0),1,0),0)</f>
        <v>0</v>
      </c>
      <c r="AL796" s="14" t="n">
        <f aca="false">AL795+IF((AJ796=1),IF((H796=1),1,0),0)</f>
        <v>0</v>
      </c>
      <c r="AM796" s="37" t="n">
        <f aca="false">IF(AK796=0,9999,IF($H796=0,IF($AJ796&lt;1,AM795+1,0),AM795))</f>
        <v>9999</v>
      </c>
      <c r="AN796" s="37" t="n">
        <f aca="false">IF(AL796=0,9999,IF($H796=1,IF($AJ796&lt;1,AN795+1,0),AN795))</f>
        <v>9999</v>
      </c>
      <c r="AO796" s="37" t="n">
        <f aca="false">IF($A796-AM796&gt;0,1/(1+AM796),0)</f>
        <v>0</v>
      </c>
      <c r="AP796" s="37" t="n">
        <f aca="false">IF($A796-AN796&gt;0,1/(1+AN796),0)</f>
        <v>0</v>
      </c>
      <c r="AQ796" s="7" t="n">
        <f aca="false">IF(AK796=0,0,MAX(MIN(1,AO796^Power),0))</f>
        <v>0</v>
      </c>
      <c r="AR796" s="7" t="n">
        <f aca="false">IF(AL796=0,0,MAX(MIN(1,AP796^Power),0))</f>
        <v>0</v>
      </c>
      <c r="AS796" s="7" t="n">
        <f aca="false">IF($AJ796=1,IF($H796=0,K796,AS795),AS795)</f>
        <v>0</v>
      </c>
      <c r="AT796" s="7" t="n">
        <f aca="false">IF($AJ796=1,IF($H796=1,N796,AT795),AT795)</f>
        <v>0</v>
      </c>
    </row>
    <row r="797" customFormat="false" ht="13" hidden="false" customHeight="false" outlineLevel="0" collapsed="false">
      <c r="A797" s="16" t="n">
        <v>780</v>
      </c>
      <c r="B797" s="37" t="n">
        <f aca="true">IF(RAND()&lt;$D$8,1,0)</f>
        <v>1</v>
      </c>
      <c r="C797" s="20" t="n">
        <f aca="true">-LN(RAND())/$D$2</f>
        <v>0.776266381672197</v>
      </c>
      <c r="D797" s="38" t="n">
        <f aca="false">D796+C797</f>
        <v>823.152336898605</v>
      </c>
      <c r="E797" s="39" t="n">
        <f aca="false">MAX($E$3,AS796)</f>
        <v>0</v>
      </c>
      <c r="F797" s="39" t="n">
        <f aca="false">MAX($E$3,AT796)</f>
        <v>0</v>
      </c>
      <c r="G797" s="40" t="n">
        <v>0.5</v>
      </c>
      <c r="H797" s="38" t="n">
        <f aca="true">IF((B797=1),(IF((F797&lt;E797),1,(IF((F797=E797),(IF(RAND()&lt;G797,1,0)),0)))),(IF((RAND()&lt;G797),1,0)))</f>
        <v>0</v>
      </c>
      <c r="I797" s="38" t="n">
        <f aca="true">IF((H797=1),0,$D$3+$D$5*(RAND()-0.5))</f>
        <v>2.24056066043705</v>
      </c>
      <c r="J797" s="38" t="n">
        <f aca="false">I797+MAX(D797,J796)</f>
        <v>845.0601662833</v>
      </c>
      <c r="K797" s="38" t="n">
        <f aca="false">IF((H797=0),J797-D797,0)</f>
        <v>21.9078293846951</v>
      </c>
      <c r="L797" s="38" t="n">
        <f aca="true">IF(($H797=0),0,$D$4+$D$5*(RAND()-0.5))</f>
        <v>0</v>
      </c>
      <c r="M797" s="38" t="n">
        <f aca="false">L797+MAX(D797,M796)</f>
        <v>850.053740829986</v>
      </c>
      <c r="N797" s="38" t="n">
        <f aca="false">IF((H797=1),M797-D797,0)</f>
        <v>0</v>
      </c>
      <c r="O797" s="16" t="n">
        <v>780</v>
      </c>
      <c r="P797" s="41" t="n">
        <f aca="false">IF((Arterial=0),P796+1,P796)</f>
        <v>369</v>
      </c>
      <c r="Q797" s="41" t="n">
        <f aca="false">IF((Arterial=1),Q796+1,Q796)</f>
        <v>411</v>
      </c>
      <c r="R797" s="42" t="e">
        <f aca="false">IF((RESET=1),0,R797+K797)</f>
        <v>#N/A</v>
      </c>
      <c r="S797" s="14" t="n">
        <f aca="false">IF(RESET=1,0,S797+N797)</f>
        <v>663.203659848671</v>
      </c>
      <c r="T797" s="2" t="e">
        <f aca="false">IF(RESET=1,0,T797+IF(H797=0,1,0))</f>
        <v>#N/A</v>
      </c>
      <c r="U797" s="2" t="n">
        <f aca="false">IF(RESET=1,0,U797+H797)</f>
        <v>42</v>
      </c>
      <c r="V797" s="14" t="e">
        <f aca="false">R797/(T797+0.00001)</f>
        <v>#N/A</v>
      </c>
      <c r="W797" s="14" t="n">
        <f aca="false">S797/(U797+0.0001)</f>
        <v>15.7905257332404</v>
      </c>
      <c r="X797" s="39" t="n">
        <f aca="false">IF(Informed=1,K797,0)</f>
        <v>21.9078293846951</v>
      </c>
      <c r="Y797" s="39" t="n">
        <f aca="false">IF(Informed=0,K797,0)</f>
        <v>0</v>
      </c>
      <c r="Z797" s="39" t="n">
        <f aca="false">IF(Informed=1,N797,0)</f>
        <v>0</v>
      </c>
      <c r="AA797" s="39" t="n">
        <f aca="false">IF(Informed=0,N797,0)</f>
        <v>0</v>
      </c>
      <c r="AB797" s="43" t="n">
        <f aca="false">IF(Arterial=0,IF(Informed=1,1,0),0)</f>
        <v>1</v>
      </c>
      <c r="AC797" s="43" t="n">
        <f aca="false">IF(Arterial=0,IF(Informed=0,1,0),0)</f>
        <v>0</v>
      </c>
      <c r="AD797" s="43" t="n">
        <f aca="false">IF(Arterial=1,IF(Informed=1,1,0),0)</f>
        <v>0</v>
      </c>
      <c r="AE797" s="43" t="n">
        <f aca="false">IF(Arterial=1,IF(Informed=0,1,0),0)</f>
        <v>0</v>
      </c>
      <c r="AF797" s="35" t="n">
        <f aca="false">IF(AB797=1,(X797-G$1030)^2,0)</f>
        <v>125.39858901961</v>
      </c>
      <c r="AG797" s="35" t="n">
        <f aca="false">IF(AC797=1,(Y797-H$1030)^2,0)</f>
        <v>0</v>
      </c>
      <c r="AH797" s="35" t="n">
        <f aca="false">IF(AD797=1,(Z797-I$1030)^2,0)</f>
        <v>0</v>
      </c>
      <c r="AI797" s="35" t="n">
        <f aca="false">IF(AE797=1,(AA797-J$1030)^2,0)</f>
        <v>0</v>
      </c>
      <c r="AJ797" s="37" t="n">
        <f aca="true">IF(RAND()&lt;$D$6,1,0)</f>
        <v>0</v>
      </c>
      <c r="AK797" s="14" t="n">
        <f aca="false">AK796+IF((AJ797=1),IF((H797=0),1,0),0)</f>
        <v>0</v>
      </c>
      <c r="AL797" s="14" t="n">
        <f aca="false">AL796+IF((AJ797=1),IF((H797=1),1,0),0)</f>
        <v>0</v>
      </c>
      <c r="AM797" s="37" t="n">
        <f aca="false">IF(AK797=0,9999,IF($H797=0,IF($AJ797&lt;1,AM796+1,0),AM796))</f>
        <v>9999</v>
      </c>
      <c r="AN797" s="37" t="n">
        <f aca="false">IF(AL797=0,9999,IF($H797=1,IF($AJ797&lt;1,AN796+1,0),AN796))</f>
        <v>9999</v>
      </c>
      <c r="AO797" s="37" t="n">
        <f aca="false">IF($A797-AM797&gt;0,1/(1+AM797),0)</f>
        <v>0</v>
      </c>
      <c r="AP797" s="37" t="n">
        <f aca="false">IF($A797-AN797&gt;0,1/(1+AN797),0)</f>
        <v>0</v>
      </c>
      <c r="AQ797" s="7" t="n">
        <f aca="false">IF(AK797=0,0,MAX(MIN(1,AO797^Power),0))</f>
        <v>0</v>
      </c>
      <c r="AR797" s="7" t="n">
        <f aca="false">IF(AL797=0,0,MAX(MIN(1,AP797^Power),0))</f>
        <v>0</v>
      </c>
      <c r="AS797" s="7" t="n">
        <f aca="false">IF($AJ797=1,IF($H797=0,K797,AS796),AS796)</f>
        <v>0</v>
      </c>
      <c r="AT797" s="7" t="n">
        <f aca="false">IF($AJ797=1,IF($H797=1,N797,AT796),AT796)</f>
        <v>0</v>
      </c>
    </row>
    <row r="798" customFormat="false" ht="13" hidden="false" customHeight="false" outlineLevel="0" collapsed="false">
      <c r="A798" s="16" t="n">
        <v>781</v>
      </c>
      <c r="B798" s="37" t="n">
        <f aca="true">IF(RAND()&lt;$D$8,1,0)</f>
        <v>1</v>
      </c>
      <c r="C798" s="20" t="n">
        <f aca="true">-LN(RAND())/$D$2</f>
        <v>2.96302955472917</v>
      </c>
      <c r="D798" s="38" t="n">
        <f aca="false">D797+C798</f>
        <v>826.115366453334</v>
      </c>
      <c r="E798" s="39" t="n">
        <f aca="false">MAX($E$3,AS797)</f>
        <v>0</v>
      </c>
      <c r="F798" s="39" t="n">
        <f aca="false">MAX($E$3,AT797)</f>
        <v>0</v>
      </c>
      <c r="G798" s="40" t="n">
        <v>0.5</v>
      </c>
      <c r="H798" s="38" t="n">
        <f aca="true">IF((B798=1),(IF((F798&lt;E798),1,(IF((F798=E798),(IF(RAND()&lt;G798,1,0)),0)))),(IF((RAND()&lt;G798),1,0)))</f>
        <v>0</v>
      </c>
      <c r="I798" s="38" t="n">
        <f aca="true">IF((H798=1),0,$D$3+$D$5*(RAND()-0.5))</f>
        <v>1.92961002918728</v>
      </c>
      <c r="J798" s="38" t="n">
        <f aca="false">I798+MAX(D798,J797)</f>
        <v>846.989776312487</v>
      </c>
      <c r="K798" s="38" t="n">
        <f aca="false">IF((H798=0),J798-D798,0)</f>
        <v>20.8744098591533</v>
      </c>
      <c r="L798" s="38" t="n">
        <f aca="true">IF(($H798=0),0,$D$4+$D$5*(RAND()-0.5))</f>
        <v>0</v>
      </c>
      <c r="M798" s="38" t="n">
        <f aca="false">L798+MAX(D798,M797)</f>
        <v>850.053740829986</v>
      </c>
      <c r="N798" s="38" t="n">
        <f aca="false">IF((H798=1),M798-D798,0)</f>
        <v>0</v>
      </c>
      <c r="O798" s="16" t="n">
        <v>781</v>
      </c>
      <c r="P798" s="41" t="n">
        <f aca="false">IF((Arterial=0),P797+1,P797)</f>
        <v>370</v>
      </c>
      <c r="Q798" s="41" t="n">
        <f aca="false">IF((Arterial=1),Q797+1,Q797)</f>
        <v>411</v>
      </c>
      <c r="R798" s="42" t="e">
        <f aca="false">IF((RESET=1),0,R798+K798)</f>
        <v>#N/A</v>
      </c>
      <c r="S798" s="14" t="n">
        <f aca="false">IF(RESET=1,0,S798+N798)</f>
        <v>604.717906638542</v>
      </c>
      <c r="T798" s="2" t="e">
        <f aca="false">IF(RESET=1,0,T798+IF(H798=0,1,0))</f>
        <v>#N/A</v>
      </c>
      <c r="U798" s="2" t="n">
        <f aca="false">IF(RESET=1,0,U798+H798)</f>
        <v>39</v>
      </c>
      <c r="V798" s="14" t="e">
        <f aca="false">R798/(T798+0.00001)</f>
        <v>#N/A</v>
      </c>
      <c r="W798" s="14" t="n">
        <f aca="false">S798/(U798+0.0001)</f>
        <v>15.5055475918919</v>
      </c>
      <c r="X798" s="39" t="n">
        <f aca="false">IF(Informed=1,K798,0)</f>
        <v>20.8744098591533</v>
      </c>
      <c r="Y798" s="39" t="n">
        <f aca="false">IF(Informed=0,K798,0)</f>
        <v>0</v>
      </c>
      <c r="Z798" s="39" t="n">
        <f aca="false">IF(Informed=1,N798,0)</f>
        <v>0</v>
      </c>
      <c r="AA798" s="39" t="n">
        <f aca="false">IF(Informed=0,N798,0)</f>
        <v>0</v>
      </c>
      <c r="AB798" s="43" t="n">
        <f aca="false">IF(Arterial=0,IF(Informed=1,1,0),0)</f>
        <v>1</v>
      </c>
      <c r="AC798" s="43" t="n">
        <f aca="false">IF(Arterial=0,IF(Informed=0,1,0),0)</f>
        <v>0</v>
      </c>
      <c r="AD798" s="43" t="n">
        <f aca="false">IF(Arterial=1,IF(Informed=1,1,0),0)</f>
        <v>0</v>
      </c>
      <c r="AE798" s="43" t="n">
        <f aca="false">IF(Arterial=1,IF(Informed=0,1,0),0)</f>
        <v>0</v>
      </c>
      <c r="AF798" s="35" t="n">
        <f aca="false">IF(AB798=1,(X798-G$1030)^2,0)</f>
        <v>103.321768853264</v>
      </c>
      <c r="AG798" s="35" t="n">
        <f aca="false">IF(AC798=1,(Y798-H$1030)^2,0)</f>
        <v>0</v>
      </c>
      <c r="AH798" s="35" t="n">
        <f aca="false">IF(AD798=1,(Z798-I$1030)^2,0)</f>
        <v>0</v>
      </c>
      <c r="AI798" s="35" t="n">
        <f aca="false">IF(AE798=1,(AA798-J$1030)^2,0)</f>
        <v>0</v>
      </c>
      <c r="AJ798" s="37" t="n">
        <f aca="true">IF(RAND()&lt;$D$6,1,0)</f>
        <v>0</v>
      </c>
      <c r="AK798" s="14" t="n">
        <f aca="false">AK797+IF((AJ798=1),IF((H798=0),1,0),0)</f>
        <v>0</v>
      </c>
      <c r="AL798" s="14" t="n">
        <f aca="false">AL797+IF((AJ798=1),IF((H798=1),1,0),0)</f>
        <v>0</v>
      </c>
      <c r="AM798" s="37" t="n">
        <f aca="false">IF(AK798=0,9999,IF($H798=0,IF($AJ798&lt;1,AM797+1,0),AM797))</f>
        <v>9999</v>
      </c>
      <c r="AN798" s="37" t="n">
        <f aca="false">IF(AL798=0,9999,IF($H798=1,IF($AJ798&lt;1,AN797+1,0),AN797))</f>
        <v>9999</v>
      </c>
      <c r="AO798" s="37" t="n">
        <f aca="false">IF($A798-AM798&gt;0,1/(1+AM798),0)</f>
        <v>0</v>
      </c>
      <c r="AP798" s="37" t="n">
        <f aca="false">IF($A798-AN798&gt;0,1/(1+AN798),0)</f>
        <v>0</v>
      </c>
      <c r="AQ798" s="7" t="n">
        <f aca="false">IF(AK798=0,0,MAX(MIN(1,AO798^Power),0))</f>
        <v>0</v>
      </c>
      <c r="AR798" s="7" t="n">
        <f aca="false">IF(AL798=0,0,MAX(MIN(1,AP798^Power),0))</f>
        <v>0</v>
      </c>
      <c r="AS798" s="7" t="n">
        <f aca="false">IF($AJ798=1,IF($H798=0,K798,AS797),AS797)</f>
        <v>0</v>
      </c>
      <c r="AT798" s="7" t="n">
        <f aca="false">IF($AJ798=1,IF($H798=1,N798,AT797),AT797)</f>
        <v>0</v>
      </c>
    </row>
    <row r="799" customFormat="false" ht="13" hidden="false" customHeight="false" outlineLevel="0" collapsed="false">
      <c r="A799" s="16" t="n">
        <v>782</v>
      </c>
      <c r="B799" s="37" t="n">
        <f aca="true">IF(RAND()&lt;$D$8,1,0)</f>
        <v>1</v>
      </c>
      <c r="C799" s="20" t="n">
        <f aca="true">-LN(RAND())/$D$2</f>
        <v>0.194595394992106</v>
      </c>
      <c r="D799" s="38" t="n">
        <f aca="false">D798+C799</f>
        <v>826.309961848326</v>
      </c>
      <c r="E799" s="39" t="n">
        <f aca="false">MAX($E$3,AS798)</f>
        <v>0</v>
      </c>
      <c r="F799" s="39" t="n">
        <f aca="false">MAX($E$3,AT798)</f>
        <v>0</v>
      </c>
      <c r="G799" s="40" t="n">
        <v>0.5</v>
      </c>
      <c r="H799" s="38" t="n">
        <f aca="true">IF((B799=1),(IF((F799&lt;E799),1,(IF((F799=E799),(IF(RAND()&lt;G799,1,0)),0)))),(IF((RAND()&lt;G799),1,0)))</f>
        <v>0</v>
      </c>
      <c r="I799" s="38" t="n">
        <f aca="true">IF((H799=1),0,$D$3+$D$5*(RAND()-0.5))</f>
        <v>2.09676372398508</v>
      </c>
      <c r="J799" s="38" t="n">
        <f aca="false">I799+MAX(D799,J798)</f>
        <v>849.086540036473</v>
      </c>
      <c r="K799" s="38" t="n">
        <f aca="false">IF((H799=0),J799-D799,0)</f>
        <v>22.7765781881462</v>
      </c>
      <c r="L799" s="38" t="n">
        <f aca="true">IF(($H799=0),0,$D$4+$D$5*(RAND()-0.5))</f>
        <v>0</v>
      </c>
      <c r="M799" s="38" t="n">
        <f aca="false">L799+MAX(D799,M798)</f>
        <v>850.053740829986</v>
      </c>
      <c r="N799" s="38" t="n">
        <f aca="false">IF((H799=1),M799-D799,0)</f>
        <v>0</v>
      </c>
      <c r="O799" s="16" t="n">
        <v>782</v>
      </c>
      <c r="P799" s="41" t="n">
        <f aca="false">IF((Arterial=0),P798+1,P798)</f>
        <v>371</v>
      </c>
      <c r="Q799" s="41" t="n">
        <f aca="false">IF((Arterial=1),Q798+1,Q798)</f>
        <v>411</v>
      </c>
      <c r="R799" s="42" t="e">
        <f aca="false">IF((RESET=1),0,R799+K799)</f>
        <v>#N/A</v>
      </c>
      <c r="S799" s="14" t="n">
        <f aca="false">IF(RESET=1,0,S799+N799)</f>
        <v>652.458445644641</v>
      </c>
      <c r="T799" s="2" t="e">
        <f aca="false">IF(RESET=1,0,T799+IF(H799=0,1,0))</f>
        <v>#N/A</v>
      </c>
      <c r="U799" s="2" t="n">
        <f aca="false">IF(RESET=1,0,U799+H799)</f>
        <v>38</v>
      </c>
      <c r="V799" s="14" t="e">
        <f aca="false">R799/(T799+0.00001)</f>
        <v>#N/A</v>
      </c>
      <c r="W799" s="14" t="n">
        <f aca="false">S799/(U799+0.0001)</f>
        <v>17.1699139119276</v>
      </c>
      <c r="X799" s="39" t="n">
        <f aca="false">IF(Informed=1,K799,0)</f>
        <v>22.7765781881462</v>
      </c>
      <c r="Y799" s="39" t="n">
        <f aca="false">IF(Informed=0,K799,0)</f>
        <v>0</v>
      </c>
      <c r="Z799" s="39" t="n">
        <f aca="false">IF(Informed=1,N799,0)</f>
        <v>0</v>
      </c>
      <c r="AA799" s="39" t="n">
        <f aca="false">IF(Informed=0,N799,0)</f>
        <v>0</v>
      </c>
      <c r="AB799" s="43" t="n">
        <f aca="false">IF(Arterial=0,IF(Informed=1,1,0),0)</f>
        <v>1</v>
      </c>
      <c r="AC799" s="43" t="n">
        <f aca="false">IF(Arterial=0,IF(Informed=0,1,0),0)</f>
        <v>0</v>
      </c>
      <c r="AD799" s="43" t="n">
        <f aca="false">IF(Arterial=1,IF(Informed=1,1,0),0)</f>
        <v>0</v>
      </c>
      <c r="AE799" s="43" t="n">
        <f aca="false">IF(Arterial=1,IF(Informed=0,1,0),0)</f>
        <v>0</v>
      </c>
      <c r="AF799" s="35" t="n">
        <f aca="false">IF(AB799=1,(X799-G$1030)^2,0)</f>
        <v>145.610074315656</v>
      </c>
      <c r="AG799" s="35" t="n">
        <f aca="false">IF(AC799=1,(Y799-H$1030)^2,0)</f>
        <v>0</v>
      </c>
      <c r="AH799" s="35" t="n">
        <f aca="false">IF(AD799=1,(Z799-I$1030)^2,0)</f>
        <v>0</v>
      </c>
      <c r="AI799" s="35" t="n">
        <f aca="false">IF(AE799=1,(AA799-J$1030)^2,0)</f>
        <v>0</v>
      </c>
      <c r="AJ799" s="37" t="n">
        <f aca="true">IF(RAND()&lt;$D$6,1,0)</f>
        <v>0</v>
      </c>
      <c r="AK799" s="14" t="n">
        <f aca="false">AK798+IF((AJ799=1),IF((H799=0),1,0),0)</f>
        <v>0</v>
      </c>
      <c r="AL799" s="14" t="n">
        <f aca="false">AL798+IF((AJ799=1),IF((H799=1),1,0),0)</f>
        <v>0</v>
      </c>
      <c r="AM799" s="37" t="n">
        <f aca="false">IF(AK799=0,9999,IF($H799=0,IF($AJ799&lt;1,AM798+1,0),AM798))</f>
        <v>9999</v>
      </c>
      <c r="AN799" s="37" t="n">
        <f aca="false">IF(AL799=0,9999,IF($H799=1,IF($AJ799&lt;1,AN798+1,0),AN798))</f>
        <v>9999</v>
      </c>
      <c r="AO799" s="37" t="n">
        <f aca="false">IF($A799-AM799&gt;0,1/(1+AM799),0)</f>
        <v>0</v>
      </c>
      <c r="AP799" s="37" t="n">
        <f aca="false">IF($A799-AN799&gt;0,1/(1+AN799),0)</f>
        <v>0</v>
      </c>
      <c r="AQ799" s="7" t="n">
        <f aca="false">IF(AK799=0,0,MAX(MIN(1,AO799^Power),0))</f>
        <v>0</v>
      </c>
      <c r="AR799" s="7" t="n">
        <f aca="false">IF(AL799=0,0,MAX(MIN(1,AP799^Power),0))</f>
        <v>0</v>
      </c>
      <c r="AS799" s="7" t="n">
        <f aca="false">IF($AJ799=1,IF($H799=0,K799,AS798),AS798)</f>
        <v>0</v>
      </c>
      <c r="AT799" s="7" t="n">
        <f aca="false">IF($AJ799=1,IF($H799=1,N799,AT798),AT798)</f>
        <v>0</v>
      </c>
    </row>
    <row r="800" customFormat="false" ht="13" hidden="false" customHeight="false" outlineLevel="0" collapsed="false">
      <c r="A800" s="16" t="n">
        <v>783</v>
      </c>
      <c r="B800" s="37" t="n">
        <f aca="true">IF(RAND()&lt;$D$8,1,0)</f>
        <v>0</v>
      </c>
      <c r="C800" s="20" t="n">
        <f aca="true">-LN(RAND())/$D$2</f>
        <v>1.10960309950001</v>
      </c>
      <c r="D800" s="38" t="n">
        <f aca="false">D799+C800</f>
        <v>827.419564947826</v>
      </c>
      <c r="E800" s="39" t="n">
        <f aca="false">MAX($E$3,AS799)</f>
        <v>0</v>
      </c>
      <c r="F800" s="39" t="n">
        <f aca="false">MAX($E$3,AT799)</f>
        <v>0</v>
      </c>
      <c r="G800" s="40" t="n">
        <v>0.5</v>
      </c>
      <c r="H800" s="38" t="n">
        <f aca="true">IF((B800=1),(IF((F800&lt;E800),1,(IF((F800=E800),(IF(RAND()&lt;G800,1,0)),0)))),(IF((RAND()&lt;G800),1,0)))</f>
        <v>1</v>
      </c>
      <c r="I800" s="38" t="n">
        <f aca="true">IF((H800=1),0,$D$3+$D$5*(RAND()-0.5))</f>
        <v>0</v>
      </c>
      <c r="J800" s="38" t="n">
        <f aca="false">I800+MAX(D800,J799)</f>
        <v>849.086540036473</v>
      </c>
      <c r="K800" s="38" t="n">
        <f aca="false">IF((H800=0),J800-D800,0)</f>
        <v>0</v>
      </c>
      <c r="L800" s="38" t="n">
        <f aca="true">IF(($H800=0),0,$D$4+$D$5*(RAND()-0.5))</f>
        <v>1.94579290952891</v>
      </c>
      <c r="M800" s="38" t="n">
        <f aca="false">L800+MAX(D800,M799)</f>
        <v>851.999533739515</v>
      </c>
      <c r="N800" s="38" t="n">
        <f aca="false">IF((H800=1),M800-D800,0)</f>
        <v>24.579968791689</v>
      </c>
      <c r="O800" s="16" t="n">
        <v>783</v>
      </c>
      <c r="P800" s="41" t="n">
        <f aca="false">IF((Arterial=0),P799+1,P799)</f>
        <v>371</v>
      </c>
      <c r="Q800" s="41" t="n">
        <f aca="false">IF((Arterial=1),Q799+1,Q799)</f>
        <v>412</v>
      </c>
      <c r="R800" s="42" t="n">
        <f aca="false">IF((RESET=1),0,R800+K800)</f>
        <v>930.783023671795</v>
      </c>
      <c r="S800" s="14" t="e">
        <f aca="false">IF(RESET=1,0,S800+N800)</f>
        <v>#N/A</v>
      </c>
      <c r="T800" s="2" t="n">
        <f aca="false">IF(RESET=1,0,T800+IF(H800=0,1,0))</f>
        <v>46</v>
      </c>
      <c r="U800" s="2" t="e">
        <f aca="false">IF(RESET=1,0,U800+H800)</f>
        <v>#N/A</v>
      </c>
      <c r="V800" s="14" t="n">
        <f aca="false">R800/(T800+0.00001)</f>
        <v>20.2344091592979</v>
      </c>
      <c r="W800" s="14" t="e">
        <f aca="false">S800/(U800+0.0001)</f>
        <v>#N/A</v>
      </c>
      <c r="X800" s="39" t="n">
        <f aca="false">IF(Informed=1,K800,0)</f>
        <v>0</v>
      </c>
      <c r="Y800" s="39" t="n">
        <f aca="false">IF(Informed=0,K800,0)</f>
        <v>0</v>
      </c>
      <c r="Z800" s="39" t="n">
        <f aca="false">IF(Informed=1,N800,0)</f>
        <v>0</v>
      </c>
      <c r="AA800" s="39" t="n">
        <f aca="false">IF(Informed=0,N800,0)</f>
        <v>24.579968791689</v>
      </c>
      <c r="AB800" s="43" t="n">
        <f aca="false">IF(Arterial=0,IF(Informed=1,1,0),0)</f>
        <v>0</v>
      </c>
      <c r="AC800" s="43" t="n">
        <f aca="false">IF(Arterial=0,IF(Informed=0,1,0),0)</f>
        <v>0</v>
      </c>
      <c r="AD800" s="43" t="n">
        <f aca="false">IF(Arterial=1,IF(Informed=1,1,0),0)</f>
        <v>0</v>
      </c>
      <c r="AE800" s="43" t="n">
        <f aca="false">IF(Arterial=1,IF(Informed=0,1,0),0)</f>
        <v>1</v>
      </c>
      <c r="AF800" s="35" t="n">
        <f aca="false">IF(AB800=1,(X800-G$1030)^2,0)</f>
        <v>0</v>
      </c>
      <c r="AG800" s="35" t="n">
        <f aca="false">IF(AC800=1,(Y800-H$1030)^2,0)</f>
        <v>0</v>
      </c>
      <c r="AH800" s="35" t="n">
        <f aca="false">IF(AD800=1,(Z800-I$1030)^2,0)</f>
        <v>0</v>
      </c>
      <c r="AI800" s="35" t="n">
        <f aca="false">IF(AE800=1,(AA800-J$1030)^2,0)</f>
        <v>24.8433082806705</v>
      </c>
      <c r="AJ800" s="37" t="n">
        <f aca="true">IF(RAND()&lt;$D$6,1,0)</f>
        <v>0</v>
      </c>
      <c r="AK800" s="14" t="n">
        <f aca="false">AK799+IF((AJ800=1),IF((H800=0),1,0),0)</f>
        <v>0</v>
      </c>
      <c r="AL800" s="14" t="n">
        <f aca="false">AL799+IF((AJ800=1),IF((H800=1),1,0),0)</f>
        <v>0</v>
      </c>
      <c r="AM800" s="37" t="n">
        <f aca="false">IF(AK800=0,9999,IF($H800=0,IF($AJ800&lt;1,AM799+1,0),AM799))</f>
        <v>9999</v>
      </c>
      <c r="AN800" s="37" t="n">
        <f aca="false">IF(AL800=0,9999,IF($H800=1,IF($AJ800&lt;1,AN799+1,0),AN799))</f>
        <v>9999</v>
      </c>
      <c r="AO800" s="37" t="n">
        <f aca="false">IF($A800-AM800&gt;0,1/(1+AM800),0)</f>
        <v>0</v>
      </c>
      <c r="AP800" s="37" t="n">
        <f aca="false">IF($A800-AN800&gt;0,1/(1+AN800),0)</f>
        <v>0</v>
      </c>
      <c r="AQ800" s="7" t="n">
        <f aca="false">IF(AK800=0,0,MAX(MIN(1,AO800^Power),0))</f>
        <v>0</v>
      </c>
      <c r="AR800" s="7" t="n">
        <f aca="false">IF(AL800=0,0,MAX(MIN(1,AP800^Power),0))</f>
        <v>0</v>
      </c>
      <c r="AS800" s="7" t="n">
        <f aca="false">IF($AJ800=1,IF($H800=0,K800,AS799),AS799)</f>
        <v>0</v>
      </c>
      <c r="AT800" s="7" t="n">
        <f aca="false">IF($AJ800=1,IF($H800=1,N800,AT799),AT799)</f>
        <v>0</v>
      </c>
    </row>
    <row r="801" customFormat="false" ht="13" hidden="false" customHeight="false" outlineLevel="0" collapsed="false">
      <c r="A801" s="16" t="n">
        <v>784</v>
      </c>
      <c r="B801" s="37" t="n">
        <f aca="true">IF(RAND()&lt;$D$8,1,0)</f>
        <v>0</v>
      </c>
      <c r="C801" s="20" t="n">
        <f aca="true">-LN(RAND())/$D$2</f>
        <v>1.10825770217859</v>
      </c>
      <c r="D801" s="38" t="n">
        <f aca="false">D800+C801</f>
        <v>828.527822650005</v>
      </c>
      <c r="E801" s="39" t="n">
        <f aca="false">MAX($E$3,AS800)</f>
        <v>0</v>
      </c>
      <c r="F801" s="39" t="n">
        <f aca="false">MAX($E$3,AT800)</f>
        <v>0</v>
      </c>
      <c r="G801" s="40" t="n">
        <v>0.5</v>
      </c>
      <c r="H801" s="38" t="n">
        <f aca="true">IF((B801=1),(IF((F801&lt;E801),1,(IF((F801=E801),(IF(RAND()&lt;G801,1,0)),0)))),(IF((RAND()&lt;G801),1,0)))</f>
        <v>1</v>
      </c>
      <c r="I801" s="38" t="n">
        <f aca="true">IF((H801=1),0,$D$3+$D$5*(RAND()-0.5))</f>
        <v>0</v>
      </c>
      <c r="J801" s="38" t="n">
        <f aca="false">I801+MAX(D801,J800)</f>
        <v>849.086540036473</v>
      </c>
      <c r="K801" s="38" t="n">
        <f aca="false">IF((H801=0),J801-D801,0)</f>
        <v>0</v>
      </c>
      <c r="L801" s="38" t="n">
        <f aca="true">IF(($H801=0),0,$D$4+$D$5*(RAND()-0.5))</f>
        <v>2.06347821427844</v>
      </c>
      <c r="M801" s="38" t="n">
        <f aca="false">L801+MAX(D801,M800)</f>
        <v>854.063011953794</v>
      </c>
      <c r="N801" s="38" t="n">
        <f aca="false">IF((H801=1),M801-D801,0)</f>
        <v>25.5351893037889</v>
      </c>
      <c r="O801" s="16" t="n">
        <v>784</v>
      </c>
      <c r="P801" s="41" t="n">
        <f aca="false">IF((Arterial=0),P800+1,P800)</f>
        <v>371</v>
      </c>
      <c r="Q801" s="41" t="n">
        <f aca="false">IF((Arterial=1),Q800+1,Q800)</f>
        <v>413</v>
      </c>
      <c r="R801" s="42" t="n">
        <f aca="false">IF((RESET=1),0,R801+K801)</f>
        <v>881.728302450264</v>
      </c>
      <c r="S801" s="14" t="e">
        <f aca="false">IF(RESET=1,0,S801+N801)</f>
        <v>#N/A</v>
      </c>
      <c r="T801" s="2" t="n">
        <f aca="false">IF(RESET=1,0,T801+IF(H801=0,1,0))</f>
        <v>48</v>
      </c>
      <c r="U801" s="2" t="e">
        <f aca="false">IF(RESET=1,0,U801+H801)</f>
        <v>#N/A</v>
      </c>
      <c r="V801" s="14" t="n">
        <f aca="false">R801/(T801+0.00001)</f>
        <v>18.3693358074355</v>
      </c>
      <c r="W801" s="14" t="e">
        <f aca="false">S801/(U801+0.0001)</f>
        <v>#N/A</v>
      </c>
      <c r="X801" s="39" t="n">
        <f aca="false">IF(Informed=1,K801,0)</f>
        <v>0</v>
      </c>
      <c r="Y801" s="39" t="n">
        <f aca="false">IF(Informed=0,K801,0)</f>
        <v>0</v>
      </c>
      <c r="Z801" s="39" t="n">
        <f aca="false">IF(Informed=1,N801,0)</f>
        <v>0</v>
      </c>
      <c r="AA801" s="39" t="n">
        <f aca="false">IF(Informed=0,N801,0)</f>
        <v>25.5351893037889</v>
      </c>
      <c r="AB801" s="43" t="n">
        <f aca="false">IF(Arterial=0,IF(Informed=1,1,0),0)</f>
        <v>0</v>
      </c>
      <c r="AC801" s="43" t="n">
        <f aca="false">IF(Arterial=0,IF(Informed=0,1,0),0)</f>
        <v>0</v>
      </c>
      <c r="AD801" s="43" t="n">
        <f aca="false">IF(Arterial=1,IF(Informed=1,1,0),0)</f>
        <v>0</v>
      </c>
      <c r="AE801" s="43" t="n">
        <f aca="false">IF(Arterial=1,IF(Informed=0,1,0),0)</f>
        <v>1</v>
      </c>
      <c r="AF801" s="35" t="n">
        <f aca="false">IF(AB801=1,(X801-G$1030)^2,0)</f>
        <v>0</v>
      </c>
      <c r="AG801" s="35" t="n">
        <f aca="false">IF(AC801=1,(Y801-H$1030)^2,0)</f>
        <v>0</v>
      </c>
      <c r="AH801" s="35" t="n">
        <f aca="false">IF(AD801=1,(Z801-I$1030)^2,0)</f>
        <v>0</v>
      </c>
      <c r="AI801" s="35" t="n">
        <f aca="false">IF(AE801=1,(AA801-J$1030)^2,0)</f>
        <v>16.2335314685683</v>
      </c>
      <c r="AJ801" s="37" t="n">
        <f aca="true">IF(RAND()&lt;$D$6,1,0)</f>
        <v>0</v>
      </c>
      <c r="AK801" s="14" t="n">
        <f aca="false">AK800+IF((AJ801=1),IF((H801=0),1,0),0)</f>
        <v>0</v>
      </c>
      <c r="AL801" s="14" t="n">
        <f aca="false">AL800+IF((AJ801=1),IF((H801=1),1,0),0)</f>
        <v>0</v>
      </c>
      <c r="AM801" s="37" t="n">
        <f aca="false">IF(AK801=0,9999,IF($H801=0,IF($AJ801&lt;1,AM800+1,0),AM800))</f>
        <v>9999</v>
      </c>
      <c r="AN801" s="37" t="n">
        <f aca="false">IF(AL801=0,9999,IF($H801=1,IF($AJ801&lt;1,AN800+1,0),AN800))</f>
        <v>9999</v>
      </c>
      <c r="AO801" s="37" t="n">
        <f aca="false">IF($A801-AM801&gt;0,1/(1+AM801),0)</f>
        <v>0</v>
      </c>
      <c r="AP801" s="37" t="n">
        <f aca="false">IF($A801-AN801&gt;0,1/(1+AN801),0)</f>
        <v>0</v>
      </c>
      <c r="AQ801" s="7" t="n">
        <f aca="false">IF(AK801=0,0,MAX(MIN(1,AO801^Power),0))</f>
        <v>0</v>
      </c>
      <c r="AR801" s="7" t="n">
        <f aca="false">IF(AL801=0,0,MAX(MIN(1,AP801^Power),0))</f>
        <v>0</v>
      </c>
      <c r="AS801" s="7" t="n">
        <f aca="false">IF($AJ801=1,IF($H801=0,K801,AS800),AS800)</f>
        <v>0</v>
      </c>
      <c r="AT801" s="7" t="n">
        <f aca="false">IF($AJ801=1,IF($H801=1,N801,AT800),AT800)</f>
        <v>0</v>
      </c>
    </row>
    <row r="802" customFormat="false" ht="13" hidden="false" customHeight="false" outlineLevel="0" collapsed="false">
      <c r="A802" s="16" t="n">
        <v>785</v>
      </c>
      <c r="B802" s="37" t="n">
        <f aca="true">IF(RAND()&lt;$D$8,1,0)</f>
        <v>0</v>
      </c>
      <c r="C802" s="20" t="n">
        <f aca="true">-LN(RAND())/$D$2</f>
        <v>1.97291205585062</v>
      </c>
      <c r="D802" s="38" t="n">
        <f aca="false">D801+C802</f>
        <v>830.500734705855</v>
      </c>
      <c r="E802" s="39" t="n">
        <f aca="false">MAX($E$3,AS801)</f>
        <v>0</v>
      </c>
      <c r="F802" s="39" t="n">
        <f aca="false">MAX($E$3,AT801)</f>
        <v>0</v>
      </c>
      <c r="G802" s="40" t="n">
        <v>0.5</v>
      </c>
      <c r="H802" s="38" t="n">
        <f aca="true">IF((B802=1),(IF((F802&lt;E802),1,(IF((F802=E802),(IF(RAND()&lt;G802,1,0)),0)))),(IF((RAND()&lt;G802),1,0)))</f>
        <v>0</v>
      </c>
      <c r="I802" s="38" t="n">
        <f aca="true">IF((H802=1),0,$D$3+$D$5*(RAND()-0.5))</f>
        <v>1.95318927669171</v>
      </c>
      <c r="J802" s="38" t="n">
        <f aca="false">I802+MAX(D802,J801)</f>
        <v>851.039729313164</v>
      </c>
      <c r="K802" s="38" t="n">
        <f aca="false">IF((H802=0),J802-D802,0)</f>
        <v>20.5389946073087</v>
      </c>
      <c r="L802" s="38" t="n">
        <f aca="true">IF(($H802=0),0,$D$4+$D$5*(RAND()-0.5))</f>
        <v>0</v>
      </c>
      <c r="M802" s="38" t="n">
        <f aca="false">L802+MAX(D802,M801)</f>
        <v>854.063011953794</v>
      </c>
      <c r="N802" s="38" t="n">
        <f aca="false">IF((H802=1),M802-D802,0)</f>
        <v>0</v>
      </c>
      <c r="O802" s="16" t="n">
        <v>785</v>
      </c>
      <c r="P802" s="41" t="n">
        <f aca="false">IF((Arterial=0),P801+1,P801)</f>
        <v>372</v>
      </c>
      <c r="Q802" s="41" t="n">
        <f aca="false">IF((Arterial=1),Q801+1,Q801)</f>
        <v>413</v>
      </c>
      <c r="R802" s="42" t="e">
        <f aca="false">IF((RESET=1),0,R802+K802)</f>
        <v>#N/A</v>
      </c>
      <c r="S802" s="14" t="n">
        <f aca="false">IF(RESET=1,0,S802+N802)</f>
        <v>596.606447117344</v>
      </c>
      <c r="T802" s="2" t="e">
        <f aca="false">IF(RESET=1,0,T802+IF(H802=0,1,0))</f>
        <v>#N/A</v>
      </c>
      <c r="U802" s="2" t="n">
        <f aca="false">IF(RESET=1,0,U802+H802)</f>
        <v>40</v>
      </c>
      <c r="V802" s="14" t="e">
        <f aca="false">R802/(T802+0.00001)</f>
        <v>#N/A</v>
      </c>
      <c r="W802" s="14" t="n">
        <f aca="false">S802/(U802+0.0001)</f>
        <v>14.9151238901239</v>
      </c>
      <c r="X802" s="39" t="n">
        <f aca="false">IF(Informed=1,K802,0)</f>
        <v>0</v>
      </c>
      <c r="Y802" s="39" t="n">
        <f aca="false">IF(Informed=0,K802,0)</f>
        <v>20.5389946073087</v>
      </c>
      <c r="Z802" s="39" t="n">
        <f aca="false">IF(Informed=1,N802,0)</f>
        <v>0</v>
      </c>
      <c r="AA802" s="39" t="n">
        <f aca="false">IF(Informed=0,N802,0)</f>
        <v>0</v>
      </c>
      <c r="AB802" s="43" t="n">
        <f aca="false">IF(Arterial=0,IF(Informed=1,1,0),0)</f>
        <v>0</v>
      </c>
      <c r="AC802" s="43" t="n">
        <f aca="false">IF(Arterial=0,IF(Informed=0,1,0),0)</f>
        <v>1</v>
      </c>
      <c r="AD802" s="43" t="n">
        <f aca="false">IF(Arterial=1,IF(Informed=1,1,0),0)</f>
        <v>0</v>
      </c>
      <c r="AE802" s="43" t="n">
        <f aca="false">IF(Arterial=1,IF(Informed=0,1,0),0)</f>
        <v>0</v>
      </c>
      <c r="AF802" s="35" t="n">
        <f aca="false">IF(AB802=1,(X802-G$1030)^2,0)</f>
        <v>0</v>
      </c>
      <c r="AG802" s="35" t="n">
        <f aca="false">IF(AC802=1,(Y802-H$1030)^2,0)</f>
        <v>92.4522509710336</v>
      </c>
      <c r="AH802" s="35" t="n">
        <f aca="false">IF(AD802=1,(Z802-I$1030)^2,0)</f>
        <v>0</v>
      </c>
      <c r="AI802" s="35" t="n">
        <f aca="false">IF(AE802=1,(AA802-J$1030)^2,0)</f>
        <v>0</v>
      </c>
      <c r="AJ802" s="37" t="n">
        <f aca="true">IF(RAND()&lt;$D$6,1,0)</f>
        <v>0</v>
      </c>
      <c r="AK802" s="14" t="n">
        <f aca="false">AK801+IF((AJ802=1),IF((H802=0),1,0),0)</f>
        <v>0</v>
      </c>
      <c r="AL802" s="14" t="n">
        <f aca="false">AL801+IF((AJ802=1),IF((H802=1),1,0),0)</f>
        <v>0</v>
      </c>
      <c r="AM802" s="37" t="n">
        <f aca="false">IF(AK802=0,9999,IF($H802=0,IF($AJ802&lt;1,AM801+1,0),AM801))</f>
        <v>9999</v>
      </c>
      <c r="AN802" s="37" t="n">
        <f aca="false">IF(AL802=0,9999,IF($H802=1,IF($AJ802&lt;1,AN801+1,0),AN801))</f>
        <v>9999</v>
      </c>
      <c r="AO802" s="37" t="n">
        <f aca="false">IF($A802-AM802&gt;0,1/(1+AM802),0)</f>
        <v>0</v>
      </c>
      <c r="AP802" s="37" t="n">
        <f aca="false">IF($A802-AN802&gt;0,1/(1+AN802),0)</f>
        <v>0</v>
      </c>
      <c r="AQ802" s="7" t="n">
        <f aca="false">IF(AK802=0,0,MAX(MIN(1,AO802^Power),0))</f>
        <v>0</v>
      </c>
      <c r="AR802" s="7" t="n">
        <f aca="false">IF(AL802=0,0,MAX(MIN(1,AP802^Power),0))</f>
        <v>0</v>
      </c>
      <c r="AS802" s="7" t="n">
        <f aca="false">IF($AJ802=1,IF($H802=0,K802,AS801),AS801)</f>
        <v>0</v>
      </c>
      <c r="AT802" s="7" t="n">
        <f aca="false">IF($AJ802=1,IF($H802=1,N802,AT801),AT801)</f>
        <v>0</v>
      </c>
    </row>
    <row r="803" customFormat="false" ht="13" hidden="false" customHeight="false" outlineLevel="0" collapsed="false">
      <c r="A803" s="16" t="n">
        <v>786</v>
      </c>
      <c r="B803" s="37" t="n">
        <f aca="true">IF(RAND()&lt;$D$8,1,0)</f>
        <v>1</v>
      </c>
      <c r="C803" s="20" t="n">
        <f aca="true">-LN(RAND())/$D$2</f>
        <v>0.158433058407354</v>
      </c>
      <c r="D803" s="38" t="n">
        <f aca="false">D802+C803</f>
        <v>830.659167764263</v>
      </c>
      <c r="E803" s="39" t="n">
        <f aca="false">MAX($E$3,AS802)</f>
        <v>0</v>
      </c>
      <c r="F803" s="39" t="n">
        <f aca="false">MAX($E$3,AT802)</f>
        <v>0</v>
      </c>
      <c r="G803" s="40" t="n">
        <v>0.5</v>
      </c>
      <c r="H803" s="38" t="n">
        <f aca="true">IF((B803=1),(IF((F803&lt;E803),1,(IF((F803=E803),(IF(RAND()&lt;G803,1,0)),0)))),(IF((RAND()&lt;G803),1,0)))</f>
        <v>0</v>
      </c>
      <c r="I803" s="38" t="n">
        <f aca="true">IF((H803=1),0,$D$3+$D$5*(RAND()-0.5))</f>
        <v>1.75752212314235</v>
      </c>
      <c r="J803" s="38" t="n">
        <f aca="false">I803+MAX(D803,J802)</f>
        <v>852.797251436307</v>
      </c>
      <c r="K803" s="38" t="n">
        <f aca="false">IF((H803=0),J803-D803,0)</f>
        <v>22.1380836720438</v>
      </c>
      <c r="L803" s="38" t="n">
        <f aca="true">IF(($H803=0),0,$D$4+$D$5*(RAND()-0.5))</f>
        <v>0</v>
      </c>
      <c r="M803" s="38" t="n">
        <f aca="false">L803+MAX(D803,M802)</f>
        <v>854.063011953794</v>
      </c>
      <c r="N803" s="38" t="n">
        <f aca="false">IF((H803=1),M803-D803,0)</f>
        <v>0</v>
      </c>
      <c r="O803" s="16" t="n">
        <v>786</v>
      </c>
      <c r="P803" s="41" t="n">
        <f aca="false">IF((Arterial=0),P802+1,P802)</f>
        <v>373</v>
      </c>
      <c r="Q803" s="41" t="n">
        <f aca="false">IF((Arterial=1),Q802+1,Q802)</f>
        <v>413</v>
      </c>
      <c r="R803" s="42" t="e">
        <f aca="false">IF((RESET=1),0,R803+K803)</f>
        <v>#N/A</v>
      </c>
      <c r="S803" s="14" t="n">
        <f aca="false">IF(RESET=1,0,S803+N803)</f>
        <v>553.809129661404</v>
      </c>
      <c r="T803" s="2" t="e">
        <f aca="false">IF(RESET=1,0,T803+IF(H803=0,1,0))</f>
        <v>#N/A</v>
      </c>
      <c r="U803" s="2" t="n">
        <f aca="false">IF(RESET=1,0,U803+H803)</f>
        <v>37</v>
      </c>
      <c r="V803" s="14" t="e">
        <f aca="false">R803/(T803+0.00001)</f>
        <v>#N/A</v>
      </c>
      <c r="W803" s="14" t="n">
        <f aca="false">S803/(U803+0.0001)</f>
        <v>14.9677738617302</v>
      </c>
      <c r="X803" s="39" t="n">
        <f aca="false">IF(Informed=1,K803,0)</f>
        <v>22.1380836720438</v>
      </c>
      <c r="Y803" s="39" t="n">
        <f aca="false">IF(Informed=0,K803,0)</f>
        <v>0</v>
      </c>
      <c r="Z803" s="39" t="n">
        <f aca="false">IF(Informed=1,N803,0)</f>
        <v>0</v>
      </c>
      <c r="AA803" s="39" t="n">
        <f aca="false">IF(Informed=0,N803,0)</f>
        <v>0</v>
      </c>
      <c r="AB803" s="43" t="n">
        <f aca="false">IF(Arterial=0,IF(Informed=1,1,0),0)</f>
        <v>1</v>
      </c>
      <c r="AC803" s="43" t="n">
        <f aca="false">IF(Arterial=0,IF(Informed=0,1,0),0)</f>
        <v>0</v>
      </c>
      <c r="AD803" s="43" t="n">
        <f aca="false">IF(Arterial=1,IF(Informed=1,1,0),0)</f>
        <v>0</v>
      </c>
      <c r="AE803" s="43" t="n">
        <f aca="false">IF(Arterial=1,IF(Informed=0,1,0),0)</f>
        <v>0</v>
      </c>
      <c r="AF803" s="35" t="n">
        <f aca="false">IF(AB803=1,(X803-G$1030)^2,0)</f>
        <v>130.608450678523</v>
      </c>
      <c r="AG803" s="35" t="n">
        <f aca="false">IF(AC803=1,(Y803-H$1030)^2,0)</f>
        <v>0</v>
      </c>
      <c r="AH803" s="35" t="n">
        <f aca="false">IF(AD803=1,(Z803-I$1030)^2,0)</f>
        <v>0</v>
      </c>
      <c r="AI803" s="35" t="n">
        <f aca="false">IF(AE803=1,(AA803-J$1030)^2,0)</f>
        <v>0</v>
      </c>
      <c r="AJ803" s="37" t="n">
        <f aca="true">IF(RAND()&lt;$D$6,1,0)</f>
        <v>0</v>
      </c>
      <c r="AK803" s="14" t="n">
        <f aca="false">AK802+IF((AJ803=1),IF((H803=0),1,0),0)</f>
        <v>0</v>
      </c>
      <c r="AL803" s="14" t="n">
        <f aca="false">AL802+IF((AJ803=1),IF((H803=1),1,0),0)</f>
        <v>0</v>
      </c>
      <c r="AM803" s="37" t="n">
        <f aca="false">IF(AK803=0,9999,IF($H803=0,IF($AJ803&lt;1,AM802+1,0),AM802))</f>
        <v>9999</v>
      </c>
      <c r="AN803" s="37" t="n">
        <f aca="false">IF(AL803=0,9999,IF($H803=1,IF($AJ803&lt;1,AN802+1,0),AN802))</f>
        <v>9999</v>
      </c>
      <c r="AO803" s="37" t="n">
        <f aca="false">IF($A803-AM803&gt;0,1/(1+AM803),0)</f>
        <v>0</v>
      </c>
      <c r="AP803" s="37" t="n">
        <f aca="false">IF($A803-AN803&gt;0,1/(1+AN803),0)</f>
        <v>0</v>
      </c>
      <c r="AQ803" s="7" t="n">
        <f aca="false">IF(AK803=0,0,MAX(MIN(1,AO803^Power),0))</f>
        <v>0</v>
      </c>
      <c r="AR803" s="7" t="n">
        <f aca="false">IF(AL803=0,0,MAX(MIN(1,AP803^Power),0))</f>
        <v>0</v>
      </c>
      <c r="AS803" s="7" t="n">
        <f aca="false">IF($AJ803=1,IF($H803=0,K803,AS802),AS802)</f>
        <v>0</v>
      </c>
      <c r="AT803" s="7" t="n">
        <f aca="false">IF($AJ803=1,IF($H803=1,N803,AT802),AT802)</f>
        <v>0</v>
      </c>
    </row>
    <row r="804" customFormat="false" ht="13" hidden="false" customHeight="false" outlineLevel="0" collapsed="false">
      <c r="A804" s="16" t="n">
        <v>787</v>
      </c>
      <c r="B804" s="37" t="n">
        <f aca="true">IF(RAND()&lt;$D$8,1,0)</f>
        <v>1</v>
      </c>
      <c r="C804" s="20" t="n">
        <f aca="true">-LN(RAND())/$D$2</f>
        <v>0.145927791720345</v>
      </c>
      <c r="D804" s="38" t="n">
        <f aca="false">D803+C804</f>
        <v>830.805095555983</v>
      </c>
      <c r="E804" s="39" t="n">
        <f aca="false">MAX($E$3,AS803)</f>
        <v>0</v>
      </c>
      <c r="F804" s="39" t="n">
        <f aca="false">MAX($E$3,AT803)</f>
        <v>0</v>
      </c>
      <c r="G804" s="40" t="n">
        <v>0.5</v>
      </c>
      <c r="H804" s="38" t="n">
        <f aca="true">IF((B804=1),(IF((F804&lt;E804),1,(IF((F804=E804),(IF(RAND()&lt;G804,1,0)),0)))),(IF((RAND()&lt;G804),1,0)))</f>
        <v>1</v>
      </c>
      <c r="I804" s="38" t="n">
        <f aca="true">IF((H804=1),0,$D$3+$D$5*(RAND()-0.5))</f>
        <v>0</v>
      </c>
      <c r="J804" s="38" t="n">
        <f aca="false">I804+MAX(D804,J803)</f>
        <v>852.797251436307</v>
      </c>
      <c r="K804" s="38" t="n">
        <f aca="false">IF((H804=0),J804-D804,0)</f>
        <v>0</v>
      </c>
      <c r="L804" s="38" t="n">
        <f aca="true">IF(($H804=0),0,$D$4+$D$5*(RAND()-0.5))</f>
        <v>2.12982958179614</v>
      </c>
      <c r="M804" s="38" t="n">
        <f aca="false">L804+MAX(D804,M803)</f>
        <v>856.19284153559</v>
      </c>
      <c r="N804" s="38" t="n">
        <f aca="false">IF((H804=1),M804-D804,0)</f>
        <v>25.3877459796066</v>
      </c>
      <c r="O804" s="16" t="n">
        <v>787</v>
      </c>
      <c r="P804" s="41" t="n">
        <f aca="false">IF((Arterial=0),P803+1,P803)</f>
        <v>373</v>
      </c>
      <c r="Q804" s="41" t="n">
        <f aca="false">IF((Arterial=1),Q803+1,Q803)</f>
        <v>414</v>
      </c>
      <c r="R804" s="42" t="n">
        <f aca="false">IF((RESET=1),0,R804+K804)</f>
        <v>749.632597920776</v>
      </c>
      <c r="S804" s="14" t="e">
        <f aca="false">IF(RESET=1,0,S804+N804)</f>
        <v>#N/A</v>
      </c>
      <c r="T804" s="2" t="n">
        <f aca="false">IF(RESET=1,0,T804+IF(H804=0,1,0))</f>
        <v>37</v>
      </c>
      <c r="U804" s="2" t="e">
        <f aca="false">IF(RESET=1,0,U804+H804)</f>
        <v>#N/A</v>
      </c>
      <c r="V804" s="14" t="n">
        <f aca="false">R804/(T804+0.00001)</f>
        <v>20.2603350085791</v>
      </c>
      <c r="W804" s="14" t="e">
        <f aca="false">S804/(U804+0.0001)</f>
        <v>#N/A</v>
      </c>
      <c r="X804" s="39" t="n">
        <f aca="false">IF(Informed=1,K804,0)</f>
        <v>0</v>
      </c>
      <c r="Y804" s="39" t="n">
        <f aca="false">IF(Informed=0,K804,0)</f>
        <v>0</v>
      </c>
      <c r="Z804" s="39" t="n">
        <f aca="false">IF(Informed=1,N804,0)</f>
        <v>25.3877459796066</v>
      </c>
      <c r="AA804" s="39" t="n">
        <f aca="false">IF(Informed=0,N804,0)</f>
        <v>0</v>
      </c>
      <c r="AB804" s="43" t="n">
        <f aca="false">IF(Arterial=0,IF(Informed=1,1,0),0)</f>
        <v>0</v>
      </c>
      <c r="AC804" s="43" t="n">
        <f aca="false">IF(Arterial=0,IF(Informed=0,1,0),0)</f>
        <v>0</v>
      </c>
      <c r="AD804" s="43" t="n">
        <f aca="false">IF(Arterial=1,IF(Informed=1,1,0),0)</f>
        <v>1</v>
      </c>
      <c r="AE804" s="43" t="n">
        <f aca="false">IF(Arterial=1,IF(Informed=0,1,0),0)</f>
        <v>0</v>
      </c>
      <c r="AF804" s="35" t="n">
        <f aca="false">IF(AB804=1,(X804-G$1030)^2,0)</f>
        <v>0</v>
      </c>
      <c r="AG804" s="35" t="n">
        <f aca="false">IF(AC804=1,(Y804-H$1030)^2,0)</f>
        <v>0</v>
      </c>
      <c r="AH804" s="35" t="n">
        <f aca="false">IF(AD804=1,(Z804-I$1030)^2,0)</f>
        <v>8.92269958050999</v>
      </c>
      <c r="AI804" s="35" t="n">
        <f aca="false">IF(AE804=1,(AA804-J$1030)^2,0)</f>
        <v>0</v>
      </c>
      <c r="AJ804" s="37" t="n">
        <f aca="true">IF(RAND()&lt;$D$6,1,0)</f>
        <v>0</v>
      </c>
      <c r="AK804" s="14" t="n">
        <f aca="false">AK803+IF((AJ804=1),IF((H804=0),1,0),0)</f>
        <v>0</v>
      </c>
      <c r="AL804" s="14" t="n">
        <f aca="false">AL803+IF((AJ804=1),IF((H804=1),1,0),0)</f>
        <v>0</v>
      </c>
      <c r="AM804" s="37" t="n">
        <f aca="false">IF(AK804=0,9999,IF($H804=0,IF($AJ804&lt;1,AM803+1,0),AM803))</f>
        <v>9999</v>
      </c>
      <c r="AN804" s="37" t="n">
        <f aca="false">IF(AL804=0,9999,IF($H804=1,IF($AJ804&lt;1,AN803+1,0),AN803))</f>
        <v>9999</v>
      </c>
      <c r="AO804" s="37" t="n">
        <f aca="false">IF($A804-AM804&gt;0,1/(1+AM804),0)</f>
        <v>0</v>
      </c>
      <c r="AP804" s="37" t="n">
        <f aca="false">IF($A804-AN804&gt;0,1/(1+AN804),0)</f>
        <v>0</v>
      </c>
      <c r="AQ804" s="7" t="n">
        <f aca="false">IF(AK804=0,0,MAX(MIN(1,AO804^Power),0))</f>
        <v>0</v>
      </c>
      <c r="AR804" s="7" t="n">
        <f aca="false">IF(AL804=0,0,MAX(MIN(1,AP804^Power),0))</f>
        <v>0</v>
      </c>
      <c r="AS804" s="7" t="n">
        <f aca="false">IF($AJ804=1,IF($H804=0,K804,AS803),AS803)</f>
        <v>0</v>
      </c>
      <c r="AT804" s="7" t="n">
        <f aca="false">IF($AJ804=1,IF($H804=1,N804,AT803),AT803)</f>
        <v>0</v>
      </c>
    </row>
    <row r="805" customFormat="false" ht="13" hidden="false" customHeight="false" outlineLevel="0" collapsed="false">
      <c r="A805" s="16" t="n">
        <v>788</v>
      </c>
      <c r="B805" s="37" t="n">
        <f aca="true">IF(RAND()&lt;$D$8,1,0)</f>
        <v>0</v>
      </c>
      <c r="C805" s="20" t="n">
        <f aca="true">-LN(RAND())/$D$2</f>
        <v>0.594764268512611</v>
      </c>
      <c r="D805" s="38" t="n">
        <f aca="false">D804+C805</f>
        <v>831.399859824496</v>
      </c>
      <c r="E805" s="39" t="n">
        <f aca="false">MAX($E$3,AS804)</f>
        <v>0</v>
      </c>
      <c r="F805" s="39" t="n">
        <f aca="false">MAX($E$3,AT804)</f>
        <v>0</v>
      </c>
      <c r="G805" s="40" t="n">
        <v>0.5</v>
      </c>
      <c r="H805" s="38" t="n">
        <f aca="true">IF((B805=1),(IF((F805&lt;E805),1,(IF((F805=E805),(IF(RAND()&lt;G805,1,0)),0)))),(IF((RAND()&lt;G805),1,0)))</f>
        <v>0</v>
      </c>
      <c r="I805" s="38" t="n">
        <f aca="true">IF((H805=1),0,$D$3+$D$5*(RAND()-0.5))</f>
        <v>1.76299726958845</v>
      </c>
      <c r="J805" s="38" t="n">
        <f aca="false">I805+MAX(D805,J804)</f>
        <v>854.560248705895</v>
      </c>
      <c r="K805" s="38" t="n">
        <f aca="false">IF((H805=0),J805-D805,0)</f>
        <v>23.1603888813993</v>
      </c>
      <c r="L805" s="38" t="n">
        <f aca="true">IF(($H805=0),0,$D$4+$D$5*(RAND()-0.5))</f>
        <v>0</v>
      </c>
      <c r="M805" s="38" t="n">
        <f aca="false">L805+MAX(D805,M804)</f>
        <v>856.19284153559</v>
      </c>
      <c r="N805" s="38" t="n">
        <f aca="false">IF((H805=1),M805-D805,0)</f>
        <v>0</v>
      </c>
      <c r="O805" s="16" t="n">
        <v>788</v>
      </c>
      <c r="P805" s="41" t="n">
        <f aca="false">IF((Arterial=0),P804+1,P804)</f>
        <v>374</v>
      </c>
      <c r="Q805" s="41" t="n">
        <f aca="false">IF((Arterial=1),Q804+1,Q804)</f>
        <v>414</v>
      </c>
      <c r="R805" s="42" t="e">
        <f aca="false">IF((RESET=1),0,R805+K805)</f>
        <v>#N/A</v>
      </c>
      <c r="S805" s="14" t="n">
        <f aca="false">IF(RESET=1,0,S805+N805)</f>
        <v>481.347006940312</v>
      </c>
      <c r="T805" s="2" t="e">
        <f aca="false">IF(RESET=1,0,T805+IF(H805=0,1,0))</f>
        <v>#N/A</v>
      </c>
      <c r="U805" s="2" t="n">
        <f aca="false">IF(RESET=1,0,U805+H805)</f>
        <v>34</v>
      </c>
      <c r="V805" s="14" t="e">
        <f aca="false">R805/(T805+0.00001)</f>
        <v>#N/A</v>
      </c>
      <c r="W805" s="14" t="n">
        <f aca="false">S805/(U805+0.0001)</f>
        <v>14.1572232711172</v>
      </c>
      <c r="X805" s="39" t="n">
        <f aca="false">IF(Informed=1,K805,0)</f>
        <v>0</v>
      </c>
      <c r="Y805" s="39" t="n">
        <f aca="false">IF(Informed=0,K805,0)</f>
        <v>23.1603888813993</v>
      </c>
      <c r="Z805" s="39" t="n">
        <f aca="false">IF(Informed=1,N805,0)</f>
        <v>0</v>
      </c>
      <c r="AA805" s="39" t="n">
        <f aca="false">IF(Informed=0,N805,0)</f>
        <v>0</v>
      </c>
      <c r="AB805" s="43" t="n">
        <f aca="false">IF(Arterial=0,IF(Informed=1,1,0),0)</f>
        <v>0</v>
      </c>
      <c r="AC805" s="43" t="n">
        <f aca="false">IF(Arterial=0,IF(Informed=0,1,0),0)</f>
        <v>1</v>
      </c>
      <c r="AD805" s="43" t="n">
        <f aca="false">IF(Arterial=1,IF(Informed=1,1,0),0)</f>
        <v>0</v>
      </c>
      <c r="AE805" s="43" t="n">
        <f aca="false">IF(Arterial=1,IF(Informed=0,1,0),0)</f>
        <v>0</v>
      </c>
      <c r="AF805" s="35" t="n">
        <f aca="false">IF(AB805=1,(X805-G$1030)^2,0)</f>
        <v>0</v>
      </c>
      <c r="AG805" s="35" t="n">
        <f aca="false">IF(AC805=1,(Y805-H$1030)^2,0)</f>
        <v>149.734468414356</v>
      </c>
      <c r="AH805" s="35" t="n">
        <f aca="false">IF(AD805=1,(Z805-I$1030)^2,0)</f>
        <v>0</v>
      </c>
      <c r="AI805" s="35" t="n">
        <f aca="false">IF(AE805=1,(AA805-J$1030)^2,0)</f>
        <v>0</v>
      </c>
      <c r="AJ805" s="37" t="n">
        <f aca="true">IF(RAND()&lt;$D$6,1,0)</f>
        <v>0</v>
      </c>
      <c r="AK805" s="14" t="n">
        <f aca="false">AK804+IF((AJ805=1),IF((H805=0),1,0),0)</f>
        <v>0</v>
      </c>
      <c r="AL805" s="14" t="n">
        <f aca="false">AL804+IF((AJ805=1),IF((H805=1),1,0),0)</f>
        <v>0</v>
      </c>
      <c r="AM805" s="37" t="n">
        <f aca="false">IF(AK805=0,9999,IF($H805=0,IF($AJ805&lt;1,AM804+1,0),AM804))</f>
        <v>9999</v>
      </c>
      <c r="AN805" s="37" t="n">
        <f aca="false">IF(AL805=0,9999,IF($H805=1,IF($AJ805&lt;1,AN804+1,0),AN804))</f>
        <v>9999</v>
      </c>
      <c r="AO805" s="37" t="n">
        <f aca="false">IF($A805-AM805&gt;0,1/(1+AM805),0)</f>
        <v>0</v>
      </c>
      <c r="AP805" s="37" t="n">
        <f aca="false">IF($A805-AN805&gt;0,1/(1+AN805),0)</f>
        <v>0</v>
      </c>
      <c r="AQ805" s="7" t="n">
        <f aca="false">IF(AK805=0,0,MAX(MIN(1,AO805^Power),0))</f>
        <v>0</v>
      </c>
      <c r="AR805" s="7" t="n">
        <f aca="false">IF(AL805=0,0,MAX(MIN(1,AP805^Power),0))</f>
        <v>0</v>
      </c>
      <c r="AS805" s="7" t="n">
        <f aca="false">IF($AJ805=1,IF($H805=0,K805,AS804),AS804)</f>
        <v>0</v>
      </c>
      <c r="AT805" s="7" t="n">
        <f aca="false">IF($AJ805=1,IF($H805=1,N805,AT804),AT804)</f>
        <v>0</v>
      </c>
    </row>
    <row r="806" customFormat="false" ht="13" hidden="false" customHeight="false" outlineLevel="0" collapsed="false">
      <c r="A806" s="16" t="n">
        <v>789</v>
      </c>
      <c r="B806" s="37" t="n">
        <f aca="true">IF(RAND()&lt;$D$8,1,0)</f>
        <v>1</v>
      </c>
      <c r="C806" s="20" t="n">
        <f aca="true">-LN(RAND())/$D$2</f>
        <v>1.45930361284358</v>
      </c>
      <c r="D806" s="38" t="n">
        <f aca="false">D805+C806</f>
        <v>832.859163437339</v>
      </c>
      <c r="E806" s="39" t="n">
        <f aca="false">MAX($E$3,AS805)</f>
        <v>0</v>
      </c>
      <c r="F806" s="39" t="n">
        <f aca="false">MAX($E$3,AT805)</f>
        <v>0</v>
      </c>
      <c r="G806" s="40" t="n">
        <v>0.5</v>
      </c>
      <c r="H806" s="38" t="n">
        <f aca="true">IF((B806=1),(IF((F806&lt;E806),1,(IF((F806=E806),(IF(RAND()&lt;G806,1,0)),0)))),(IF((RAND()&lt;G806),1,0)))</f>
        <v>0</v>
      </c>
      <c r="I806" s="38" t="n">
        <f aca="true">IF((H806=1),0,$D$3+$D$5*(RAND()-0.5))</f>
        <v>1.86798631655206</v>
      </c>
      <c r="J806" s="38" t="n">
        <f aca="false">I806+MAX(D806,J805)</f>
        <v>856.428235022447</v>
      </c>
      <c r="K806" s="38" t="n">
        <f aca="false">IF((H806=0),J806-D806,0)</f>
        <v>23.5690715851079</v>
      </c>
      <c r="L806" s="38" t="n">
        <f aca="true">IF(($H806=0),0,$D$4+$D$5*(RAND()-0.5))</f>
        <v>0</v>
      </c>
      <c r="M806" s="38" t="n">
        <f aca="false">L806+MAX(D806,M805)</f>
        <v>856.19284153559</v>
      </c>
      <c r="N806" s="38" t="n">
        <f aca="false">IF((H806=1),M806-D806,0)</f>
        <v>0</v>
      </c>
      <c r="O806" s="16" t="n">
        <v>789</v>
      </c>
      <c r="P806" s="41" t="n">
        <f aca="false">IF((Arterial=0),P805+1,P805)</f>
        <v>375</v>
      </c>
      <c r="Q806" s="41" t="n">
        <f aca="false">IF((Arterial=1),Q805+1,Q805)</f>
        <v>414</v>
      </c>
      <c r="R806" s="42" t="e">
        <f aca="false">IF((RESET=1),0,R806+K806)</f>
        <v>#N/A</v>
      </c>
      <c r="S806" s="14" t="n">
        <f aca="false">IF(RESET=1,0,S806+N806)</f>
        <v>715.772971291042</v>
      </c>
      <c r="T806" s="2" t="e">
        <f aca="false">IF(RESET=1,0,T806+IF(H806=0,1,0))</f>
        <v>#N/A</v>
      </c>
      <c r="U806" s="2" t="n">
        <f aca="false">IF(RESET=1,0,U806+H806)</f>
        <v>46</v>
      </c>
      <c r="V806" s="14" t="e">
        <f aca="false">R806/(T806+0.00001)</f>
        <v>#N/A</v>
      </c>
      <c r="W806" s="14" t="n">
        <f aca="false">S806/(U806+0.0001)</f>
        <v>15.5602481579614</v>
      </c>
      <c r="X806" s="39" t="n">
        <f aca="false">IF(Informed=1,K806,0)</f>
        <v>23.5690715851079</v>
      </c>
      <c r="Y806" s="39" t="n">
        <f aca="false">IF(Informed=0,K806,0)</f>
        <v>0</v>
      </c>
      <c r="Z806" s="39" t="n">
        <f aca="false">IF(Informed=1,N806,0)</f>
        <v>0</v>
      </c>
      <c r="AA806" s="39" t="n">
        <f aca="false">IF(Informed=0,N806,0)</f>
        <v>0</v>
      </c>
      <c r="AB806" s="43" t="n">
        <f aca="false">IF(Arterial=0,IF(Informed=1,1,0),0)</f>
        <v>1</v>
      </c>
      <c r="AC806" s="43" t="n">
        <f aca="false">IF(Arterial=0,IF(Informed=0,1,0),0)</f>
        <v>0</v>
      </c>
      <c r="AD806" s="43" t="n">
        <f aca="false">IF(Arterial=1,IF(Informed=1,1,0),0)</f>
        <v>0</v>
      </c>
      <c r="AE806" s="43" t="n">
        <f aca="false">IF(Arterial=1,IF(Informed=0,1,0),0)</f>
        <v>0</v>
      </c>
      <c r="AF806" s="35" t="n">
        <f aca="false">IF(AB806=1,(X806-G$1030)^2,0)</f>
        <v>165.36399715847</v>
      </c>
      <c r="AG806" s="35" t="n">
        <f aca="false">IF(AC806=1,(Y806-H$1030)^2,0)</f>
        <v>0</v>
      </c>
      <c r="AH806" s="35" t="n">
        <f aca="false">IF(AD806=1,(Z806-I$1030)^2,0)</f>
        <v>0</v>
      </c>
      <c r="AI806" s="35" t="n">
        <f aca="false">IF(AE806=1,(AA806-J$1030)^2,0)</f>
        <v>0</v>
      </c>
      <c r="AJ806" s="37" t="n">
        <f aca="true">IF(RAND()&lt;$D$6,1,0)</f>
        <v>0</v>
      </c>
      <c r="AK806" s="14" t="n">
        <f aca="false">AK805+IF((AJ806=1),IF((H806=0),1,0),0)</f>
        <v>0</v>
      </c>
      <c r="AL806" s="14" t="n">
        <f aca="false">AL805+IF((AJ806=1),IF((H806=1),1,0),0)</f>
        <v>0</v>
      </c>
      <c r="AM806" s="37" t="n">
        <f aca="false">IF(AK806=0,9999,IF($H806=0,IF($AJ806&lt;1,AM805+1,0),AM805))</f>
        <v>9999</v>
      </c>
      <c r="AN806" s="37" t="n">
        <f aca="false">IF(AL806=0,9999,IF($H806=1,IF($AJ806&lt;1,AN805+1,0),AN805))</f>
        <v>9999</v>
      </c>
      <c r="AO806" s="37" t="n">
        <f aca="false">IF($A806-AM806&gt;0,1/(1+AM806),0)</f>
        <v>0</v>
      </c>
      <c r="AP806" s="37" t="n">
        <f aca="false">IF($A806-AN806&gt;0,1/(1+AN806),0)</f>
        <v>0</v>
      </c>
      <c r="AQ806" s="7" t="n">
        <f aca="false">IF(AK806=0,0,MAX(MIN(1,AO806^Power),0))</f>
        <v>0</v>
      </c>
      <c r="AR806" s="7" t="n">
        <f aca="false">IF(AL806=0,0,MAX(MIN(1,AP806^Power),0))</f>
        <v>0</v>
      </c>
      <c r="AS806" s="7" t="n">
        <f aca="false">IF($AJ806=1,IF($H806=0,K806,AS805),AS805)</f>
        <v>0</v>
      </c>
      <c r="AT806" s="7" t="n">
        <f aca="false">IF($AJ806=1,IF($H806=1,N806,AT805),AT805)</f>
        <v>0</v>
      </c>
    </row>
    <row r="807" customFormat="false" ht="13" hidden="false" customHeight="false" outlineLevel="0" collapsed="false">
      <c r="A807" s="16" t="n">
        <v>790</v>
      </c>
      <c r="B807" s="37" t="n">
        <f aca="true">IF(RAND()&lt;$D$8,1,0)</f>
        <v>1</v>
      </c>
      <c r="C807" s="20" t="n">
        <f aca="true">-LN(RAND())/$D$2</f>
        <v>2.04883418827446</v>
      </c>
      <c r="D807" s="38" t="n">
        <f aca="false">D806+C807</f>
        <v>834.907997625614</v>
      </c>
      <c r="E807" s="39" t="n">
        <f aca="false">MAX($E$3,AS806)</f>
        <v>0</v>
      </c>
      <c r="F807" s="39" t="n">
        <f aca="false">MAX($E$3,AT806)</f>
        <v>0</v>
      </c>
      <c r="G807" s="40" t="n">
        <v>0.5</v>
      </c>
      <c r="H807" s="38" t="n">
        <f aca="true">IF((B807=1),(IF((F807&lt;E807),1,(IF((F807=E807),(IF(RAND()&lt;G807,1,0)),0)))),(IF((RAND()&lt;G807),1,0)))</f>
        <v>1</v>
      </c>
      <c r="I807" s="38" t="n">
        <f aca="true">IF((H807=1),0,$D$3+$D$5*(RAND()-0.5))</f>
        <v>0</v>
      </c>
      <c r="J807" s="38" t="n">
        <f aca="false">I807+MAX(D807,J806)</f>
        <v>856.428235022447</v>
      </c>
      <c r="K807" s="38" t="n">
        <f aca="false">IF((H807=0),J807-D807,0)</f>
        <v>0</v>
      </c>
      <c r="L807" s="38" t="n">
        <f aca="true">IF(($H807=0),0,$D$4+$D$5*(RAND()-0.5))</f>
        <v>1.87369375316913</v>
      </c>
      <c r="M807" s="38" t="n">
        <f aca="false">L807+MAX(D807,M806)</f>
        <v>858.066535288759</v>
      </c>
      <c r="N807" s="38" t="n">
        <f aca="false">IF((H807=1),M807-D807,0)</f>
        <v>23.1585376631452</v>
      </c>
      <c r="O807" s="16" t="n">
        <v>790</v>
      </c>
      <c r="P807" s="41" t="n">
        <f aca="false">IF((Arterial=0),P806+1,P806)</f>
        <v>375</v>
      </c>
      <c r="Q807" s="41" t="n">
        <f aca="false">IF((Arterial=1),Q806+1,Q806)</f>
        <v>415</v>
      </c>
      <c r="R807" s="42" t="n">
        <f aca="false">IF((RESET=1),0,R807+K807)</f>
        <v>1019.3560441819</v>
      </c>
      <c r="S807" s="14" t="e">
        <f aca="false">IF(RESET=1,0,S807+N807)</f>
        <v>#N/A</v>
      </c>
      <c r="T807" s="2" t="n">
        <f aca="false">IF(RESET=1,0,T807+IF(H807=0,1,0))</f>
        <v>52</v>
      </c>
      <c r="U807" s="2" t="e">
        <f aca="false">IF(RESET=1,0,U807+H807)</f>
        <v>#N/A</v>
      </c>
      <c r="V807" s="14" t="n">
        <f aca="false">R807/(T807+0.00001)</f>
        <v>19.6029970798448</v>
      </c>
      <c r="W807" s="14" t="e">
        <f aca="false">S807/(U807+0.0001)</f>
        <v>#N/A</v>
      </c>
      <c r="X807" s="39" t="n">
        <f aca="false">IF(Informed=1,K807,0)</f>
        <v>0</v>
      </c>
      <c r="Y807" s="39" t="n">
        <f aca="false">IF(Informed=0,K807,0)</f>
        <v>0</v>
      </c>
      <c r="Z807" s="39" t="n">
        <f aca="false">IF(Informed=1,N807,0)</f>
        <v>23.1585376631452</v>
      </c>
      <c r="AA807" s="39" t="n">
        <f aca="false">IF(Informed=0,N807,0)</f>
        <v>0</v>
      </c>
      <c r="AB807" s="43" t="n">
        <f aca="false">IF(Arterial=0,IF(Informed=1,1,0),0)</f>
        <v>0</v>
      </c>
      <c r="AC807" s="43" t="n">
        <f aca="false">IF(Arterial=0,IF(Informed=0,1,0),0)</f>
        <v>0</v>
      </c>
      <c r="AD807" s="43" t="n">
        <f aca="false">IF(Arterial=1,IF(Informed=1,1,0),0)</f>
        <v>1</v>
      </c>
      <c r="AE807" s="43" t="n">
        <f aca="false">IF(Arterial=1,IF(Informed=0,1,0),0)</f>
        <v>0</v>
      </c>
      <c r="AF807" s="35" t="n">
        <f aca="false">IF(AB807=1,(X807-G$1030)^2,0)</f>
        <v>0</v>
      </c>
      <c r="AG807" s="35" t="n">
        <f aca="false">IF(AC807=1,(Y807-H$1030)^2,0)</f>
        <v>0</v>
      </c>
      <c r="AH807" s="35" t="n">
        <f aca="false">IF(AD807=1,(Z807-I$1030)^2,0)</f>
        <v>27.2097557493935</v>
      </c>
      <c r="AI807" s="35" t="n">
        <f aca="false">IF(AE807=1,(AA807-J$1030)^2,0)</f>
        <v>0</v>
      </c>
      <c r="AJ807" s="37" t="n">
        <f aca="true">IF(RAND()&lt;$D$6,1,0)</f>
        <v>0</v>
      </c>
      <c r="AK807" s="14" t="n">
        <f aca="false">AK806+IF((AJ807=1),IF((H807=0),1,0),0)</f>
        <v>0</v>
      </c>
      <c r="AL807" s="14" t="n">
        <f aca="false">AL806+IF((AJ807=1),IF((H807=1),1,0),0)</f>
        <v>0</v>
      </c>
      <c r="AM807" s="37" t="n">
        <f aca="false">IF(AK807=0,9999,IF($H807=0,IF($AJ807&lt;1,AM806+1,0),AM806))</f>
        <v>9999</v>
      </c>
      <c r="AN807" s="37" t="n">
        <f aca="false">IF(AL807=0,9999,IF($H807=1,IF($AJ807&lt;1,AN806+1,0),AN806))</f>
        <v>9999</v>
      </c>
      <c r="AO807" s="37" t="n">
        <f aca="false">IF($A807-AM807&gt;0,1/(1+AM807),0)</f>
        <v>0</v>
      </c>
      <c r="AP807" s="37" t="n">
        <f aca="false">IF($A807-AN807&gt;0,1/(1+AN807),0)</f>
        <v>0</v>
      </c>
      <c r="AQ807" s="7" t="n">
        <f aca="false">IF(AK807=0,0,MAX(MIN(1,AO807^Power),0))</f>
        <v>0</v>
      </c>
      <c r="AR807" s="7" t="n">
        <f aca="false">IF(AL807=0,0,MAX(MIN(1,AP807^Power),0))</f>
        <v>0</v>
      </c>
      <c r="AS807" s="7" t="n">
        <f aca="false">IF($AJ807=1,IF($H807=0,K807,AS806),AS806)</f>
        <v>0</v>
      </c>
      <c r="AT807" s="7" t="n">
        <f aca="false">IF($AJ807=1,IF($H807=1,N807,AT806),AT806)</f>
        <v>0</v>
      </c>
    </row>
    <row r="808" customFormat="false" ht="13" hidden="false" customHeight="false" outlineLevel="0" collapsed="false">
      <c r="A808" s="16" t="n">
        <v>791</v>
      </c>
      <c r="B808" s="37" t="n">
        <f aca="true">IF(RAND()&lt;$D$8,1,0)</f>
        <v>1</v>
      </c>
      <c r="C808" s="20" t="n">
        <f aca="true">-LN(RAND())/$D$2</f>
        <v>0.140806255932188</v>
      </c>
      <c r="D808" s="38" t="n">
        <f aca="false">D807+C808</f>
        <v>835.048803881546</v>
      </c>
      <c r="E808" s="39" t="n">
        <f aca="false">MAX($E$3,AS807)</f>
        <v>0</v>
      </c>
      <c r="F808" s="39" t="n">
        <f aca="false">MAX($E$3,AT807)</f>
        <v>0</v>
      </c>
      <c r="G808" s="40" t="n">
        <v>0.5</v>
      </c>
      <c r="H808" s="38" t="n">
        <f aca="true">IF((B808=1),(IF((F808&lt;E808),1,(IF((F808=E808),(IF(RAND()&lt;G808,1,0)),0)))),(IF((RAND()&lt;G808),1,0)))</f>
        <v>1</v>
      </c>
      <c r="I808" s="38" t="n">
        <f aca="true">IF((H808=1),0,$D$3+$D$5*(RAND()-0.5))</f>
        <v>0</v>
      </c>
      <c r="J808" s="38" t="n">
        <f aca="false">I808+MAX(D808,J807)</f>
        <v>856.428235022447</v>
      </c>
      <c r="K808" s="38" t="n">
        <f aca="false">IF((H808=0),J808-D808,0)</f>
        <v>0</v>
      </c>
      <c r="L808" s="38" t="n">
        <f aca="true">IF(($H808=0),0,$D$4+$D$5*(RAND()-0.5))</f>
        <v>1.9288415209404</v>
      </c>
      <c r="M808" s="38" t="n">
        <f aca="false">L808+MAX(D808,M807)</f>
        <v>859.995376809699</v>
      </c>
      <c r="N808" s="38" t="n">
        <f aca="false">IF((H808=1),M808-D808,0)</f>
        <v>24.9465729281535</v>
      </c>
      <c r="O808" s="16" t="n">
        <v>791</v>
      </c>
      <c r="P808" s="41" t="n">
        <f aca="false">IF((Arterial=0),P807+1,P807)</f>
        <v>375</v>
      </c>
      <c r="Q808" s="41" t="n">
        <f aca="false">IF((Arterial=1),Q807+1,Q807)</f>
        <v>416</v>
      </c>
      <c r="R808" s="42" t="n">
        <f aca="false">IF((RESET=1),0,R808+K808)</f>
        <v>797.206216126264</v>
      </c>
      <c r="S808" s="14" t="e">
        <f aca="false">IF(RESET=1,0,S808+N808)</f>
        <v>#N/A</v>
      </c>
      <c r="T808" s="2" t="n">
        <f aca="false">IF(RESET=1,0,T808+IF(H808=0,1,0))</f>
        <v>40</v>
      </c>
      <c r="U808" s="2" t="e">
        <f aca="false">IF(RESET=1,0,U808+H808)</f>
        <v>#N/A</v>
      </c>
      <c r="V808" s="14" t="n">
        <f aca="false">R808/(T808+0.00001)</f>
        <v>19.930150420619</v>
      </c>
      <c r="W808" s="14" t="e">
        <f aca="false">S808/(U808+0.0001)</f>
        <v>#N/A</v>
      </c>
      <c r="X808" s="39" t="n">
        <f aca="false">IF(Informed=1,K808,0)</f>
        <v>0</v>
      </c>
      <c r="Y808" s="39" t="n">
        <f aca="false">IF(Informed=0,K808,0)</f>
        <v>0</v>
      </c>
      <c r="Z808" s="39" t="n">
        <f aca="false">IF(Informed=1,N808,0)</f>
        <v>24.9465729281535</v>
      </c>
      <c r="AA808" s="39" t="n">
        <f aca="false">IF(Informed=0,N808,0)</f>
        <v>0</v>
      </c>
      <c r="AB808" s="43" t="n">
        <f aca="false">IF(Arterial=0,IF(Informed=1,1,0),0)</f>
        <v>0</v>
      </c>
      <c r="AC808" s="43" t="n">
        <f aca="false">IF(Arterial=0,IF(Informed=0,1,0),0)</f>
        <v>0</v>
      </c>
      <c r="AD808" s="43" t="n">
        <f aca="false">IF(Arterial=1,IF(Informed=1,1,0),0)</f>
        <v>1</v>
      </c>
      <c r="AE808" s="43" t="n">
        <f aca="false">IF(Arterial=1,IF(Informed=0,1,0),0)</f>
        <v>0</v>
      </c>
      <c r="AF808" s="35" t="n">
        <f aca="false">IF(AB808=1,(X808-G$1030)^2,0)</f>
        <v>0</v>
      </c>
      <c r="AG808" s="35" t="n">
        <f aca="false">IF(AC808=1,(Y808-H$1030)^2,0)</f>
        <v>0</v>
      </c>
      <c r="AH808" s="35" t="n">
        <f aca="false">IF(AD808=1,(Z808-I$1030)^2,0)</f>
        <v>11.7529794155792</v>
      </c>
      <c r="AI808" s="35" t="n">
        <f aca="false">IF(AE808=1,(AA808-J$1030)^2,0)</f>
        <v>0</v>
      </c>
      <c r="AJ808" s="37" t="n">
        <f aca="true">IF(RAND()&lt;$D$6,1,0)</f>
        <v>0</v>
      </c>
      <c r="AK808" s="14" t="n">
        <f aca="false">AK807+IF((AJ808=1),IF((H808=0),1,0),0)</f>
        <v>0</v>
      </c>
      <c r="AL808" s="14" t="n">
        <f aca="false">AL807+IF((AJ808=1),IF((H808=1),1,0),0)</f>
        <v>0</v>
      </c>
      <c r="AM808" s="37" t="n">
        <f aca="false">IF(AK808=0,9999,IF($H808=0,IF($AJ808&lt;1,AM807+1,0),AM807))</f>
        <v>9999</v>
      </c>
      <c r="AN808" s="37" t="n">
        <f aca="false">IF(AL808=0,9999,IF($H808=1,IF($AJ808&lt;1,AN807+1,0),AN807))</f>
        <v>9999</v>
      </c>
      <c r="AO808" s="37" t="n">
        <f aca="false">IF($A808-AM808&gt;0,1/(1+AM808),0)</f>
        <v>0</v>
      </c>
      <c r="AP808" s="37" t="n">
        <f aca="false">IF($A808-AN808&gt;0,1/(1+AN808),0)</f>
        <v>0</v>
      </c>
      <c r="AQ808" s="7" t="n">
        <f aca="false">IF(AK808=0,0,MAX(MIN(1,AO808^Power),0))</f>
        <v>0</v>
      </c>
      <c r="AR808" s="7" t="n">
        <f aca="false">IF(AL808=0,0,MAX(MIN(1,AP808^Power),0))</f>
        <v>0</v>
      </c>
      <c r="AS808" s="7" t="n">
        <f aca="false">IF($AJ808=1,IF($H808=0,K808,AS807),AS807)</f>
        <v>0</v>
      </c>
      <c r="AT808" s="7" t="n">
        <f aca="false">IF($AJ808=1,IF($H808=1,N808,AT807),AT807)</f>
        <v>0</v>
      </c>
    </row>
    <row r="809" customFormat="false" ht="13" hidden="false" customHeight="false" outlineLevel="0" collapsed="false">
      <c r="A809" s="16" t="n">
        <v>792</v>
      </c>
      <c r="B809" s="37" t="n">
        <f aca="true">IF(RAND()&lt;$D$8,1,0)</f>
        <v>1</v>
      </c>
      <c r="C809" s="20" t="n">
        <f aca="true">-LN(RAND())/$D$2</f>
        <v>0.694589830898398</v>
      </c>
      <c r="D809" s="38" t="n">
        <f aca="false">D808+C809</f>
        <v>835.743393712444</v>
      </c>
      <c r="E809" s="39" t="n">
        <f aca="false">MAX($E$3,AS808)</f>
        <v>0</v>
      </c>
      <c r="F809" s="39" t="n">
        <f aca="false">MAX($E$3,AT808)</f>
        <v>0</v>
      </c>
      <c r="G809" s="40" t="n">
        <v>0.5</v>
      </c>
      <c r="H809" s="38" t="n">
        <f aca="true">IF((B809=1),(IF((F809&lt;E809),1,(IF((F809=E809),(IF(RAND()&lt;G809,1,0)),0)))),(IF((RAND()&lt;G809),1,0)))</f>
        <v>1</v>
      </c>
      <c r="I809" s="38" t="n">
        <f aca="true">IF((H809=1),0,$D$3+$D$5*(RAND()-0.5))</f>
        <v>0</v>
      </c>
      <c r="J809" s="38" t="n">
        <f aca="false">I809+MAX(D809,J808)</f>
        <v>856.428235022447</v>
      </c>
      <c r="K809" s="38" t="n">
        <f aca="false">IF((H809=0),J809-D809,0)</f>
        <v>0</v>
      </c>
      <c r="L809" s="38" t="n">
        <f aca="true">IF(($H809=0),0,$D$4+$D$5*(RAND()-0.5))</f>
        <v>2.03525907933507</v>
      </c>
      <c r="M809" s="38" t="n">
        <f aca="false">L809+MAX(D809,M808)</f>
        <v>862.030635889034</v>
      </c>
      <c r="N809" s="38" t="n">
        <f aca="false">IF((H809=1),M809-D809,0)</f>
        <v>26.2872421765902</v>
      </c>
      <c r="O809" s="16" t="n">
        <v>792</v>
      </c>
      <c r="P809" s="41" t="n">
        <f aca="false">IF((Arterial=0),P808+1,P808)</f>
        <v>375</v>
      </c>
      <c r="Q809" s="41" t="n">
        <f aca="false">IF((Arterial=1),Q808+1,Q808)</f>
        <v>417</v>
      </c>
      <c r="R809" s="42" t="n">
        <f aca="false">IF((RESET=1),0,R809+K809)</f>
        <v>828.654518121662</v>
      </c>
      <c r="S809" s="14" t="e">
        <f aca="false">IF(RESET=1,0,S809+N809)</f>
        <v>#N/A</v>
      </c>
      <c r="T809" s="2" t="n">
        <f aca="false">IF(RESET=1,0,T809+IF(H809=0,1,0))</f>
        <v>32</v>
      </c>
      <c r="U809" s="2" t="e">
        <f aca="false">IF(RESET=1,0,U809+H809)</f>
        <v>#N/A</v>
      </c>
      <c r="V809" s="14" t="n">
        <f aca="false">R809/(T809+0.00001)</f>
        <v>25.8954455989752</v>
      </c>
      <c r="W809" s="14" t="e">
        <f aca="false">S809/(U809+0.0001)</f>
        <v>#N/A</v>
      </c>
      <c r="X809" s="39" t="n">
        <f aca="false">IF(Informed=1,K809,0)</f>
        <v>0</v>
      </c>
      <c r="Y809" s="39" t="n">
        <f aca="false">IF(Informed=0,K809,0)</f>
        <v>0</v>
      </c>
      <c r="Z809" s="39" t="n">
        <f aca="false">IF(Informed=1,N809,0)</f>
        <v>26.2872421765902</v>
      </c>
      <c r="AA809" s="39" t="n">
        <f aca="false">IF(Informed=0,N809,0)</f>
        <v>0</v>
      </c>
      <c r="AB809" s="43" t="n">
        <f aca="false">IF(Arterial=0,IF(Informed=1,1,0),0)</f>
        <v>0</v>
      </c>
      <c r="AC809" s="43" t="n">
        <f aca="false">IF(Arterial=0,IF(Informed=0,1,0),0)</f>
        <v>0</v>
      </c>
      <c r="AD809" s="43" t="n">
        <f aca="false">IF(Arterial=1,IF(Informed=1,1,0),0)</f>
        <v>1</v>
      </c>
      <c r="AE809" s="43" t="n">
        <f aca="false">IF(Arterial=1,IF(Informed=0,1,0),0)</f>
        <v>0</v>
      </c>
      <c r="AF809" s="35" t="n">
        <f aca="false">IF(AB809=1,(X809-G$1030)^2,0)</f>
        <v>0</v>
      </c>
      <c r="AG809" s="35" t="n">
        <f aca="false">IF(AC809=1,(Y809-H$1030)^2,0)</f>
        <v>0</v>
      </c>
      <c r="AH809" s="35" t="n">
        <f aca="false">IF(AD809=1,(Z809-I$1030)^2,0)</f>
        <v>4.35804293307416</v>
      </c>
      <c r="AI809" s="35" t="n">
        <f aca="false">IF(AE809=1,(AA809-J$1030)^2,0)</f>
        <v>0</v>
      </c>
      <c r="AJ809" s="37" t="n">
        <f aca="true">IF(RAND()&lt;$D$6,1,0)</f>
        <v>0</v>
      </c>
      <c r="AK809" s="14" t="n">
        <f aca="false">AK808+IF((AJ809=1),IF((H809=0),1,0),0)</f>
        <v>0</v>
      </c>
      <c r="AL809" s="14" t="n">
        <f aca="false">AL808+IF((AJ809=1),IF((H809=1),1,0),0)</f>
        <v>0</v>
      </c>
      <c r="AM809" s="37" t="n">
        <f aca="false">IF(AK809=0,9999,IF($H809=0,IF($AJ809&lt;1,AM808+1,0),AM808))</f>
        <v>9999</v>
      </c>
      <c r="AN809" s="37" t="n">
        <f aca="false">IF(AL809=0,9999,IF($H809=1,IF($AJ809&lt;1,AN808+1,0),AN808))</f>
        <v>9999</v>
      </c>
      <c r="AO809" s="37" t="n">
        <f aca="false">IF($A809-AM809&gt;0,1/(1+AM809),0)</f>
        <v>0</v>
      </c>
      <c r="AP809" s="37" t="n">
        <f aca="false">IF($A809-AN809&gt;0,1/(1+AN809),0)</f>
        <v>0</v>
      </c>
      <c r="AQ809" s="7" t="n">
        <f aca="false">IF(AK809=0,0,MAX(MIN(1,AO809^Power),0))</f>
        <v>0</v>
      </c>
      <c r="AR809" s="7" t="n">
        <f aca="false">IF(AL809=0,0,MAX(MIN(1,AP809^Power),0))</f>
        <v>0</v>
      </c>
      <c r="AS809" s="7" t="n">
        <f aca="false">IF($AJ809=1,IF($H809=0,K809,AS808),AS808)</f>
        <v>0</v>
      </c>
      <c r="AT809" s="7" t="n">
        <f aca="false">IF($AJ809=1,IF($H809=1,N809,AT808),AT808)</f>
        <v>0</v>
      </c>
    </row>
    <row r="810" customFormat="false" ht="13" hidden="false" customHeight="false" outlineLevel="0" collapsed="false">
      <c r="A810" s="16" t="n">
        <v>793</v>
      </c>
      <c r="B810" s="37" t="n">
        <f aca="true">IF(RAND()&lt;$D$8,1,0)</f>
        <v>1</v>
      </c>
      <c r="C810" s="20" t="n">
        <f aca="true">-LN(RAND())/$D$2</f>
        <v>2.52932166891449</v>
      </c>
      <c r="D810" s="38" t="n">
        <f aca="false">D809+C810</f>
        <v>838.272715381359</v>
      </c>
      <c r="E810" s="39" t="n">
        <f aca="false">MAX($E$3,AS809)</f>
        <v>0</v>
      </c>
      <c r="F810" s="39" t="n">
        <f aca="false">MAX($E$3,AT809)</f>
        <v>0</v>
      </c>
      <c r="G810" s="40" t="n">
        <v>0.5</v>
      </c>
      <c r="H810" s="38" t="n">
        <f aca="true">IF((B810=1),(IF((F810&lt;E810),1,(IF((F810=E810),(IF(RAND()&lt;G810,1,0)),0)))),(IF((RAND()&lt;G810),1,0)))</f>
        <v>0</v>
      </c>
      <c r="I810" s="38" t="n">
        <f aca="true">IF((H810=1),0,$D$3+$D$5*(RAND()-0.5))</f>
        <v>1.88549726860296</v>
      </c>
      <c r="J810" s="38" t="n">
        <f aca="false">I810+MAX(D810,J809)</f>
        <v>858.31373229105</v>
      </c>
      <c r="K810" s="38" t="n">
        <f aca="false">IF((H810=0),J810-D810,0)</f>
        <v>20.0410169096914</v>
      </c>
      <c r="L810" s="38" t="n">
        <f aca="true">IF(($H810=0),0,$D$4+$D$5*(RAND()-0.5))</f>
        <v>0</v>
      </c>
      <c r="M810" s="38" t="n">
        <f aca="false">L810+MAX(D810,M809)</f>
        <v>862.030635889034</v>
      </c>
      <c r="N810" s="38" t="n">
        <f aca="false">IF((H810=1),M810-D810,0)</f>
        <v>0</v>
      </c>
      <c r="O810" s="16" t="n">
        <v>793</v>
      </c>
      <c r="P810" s="41" t="n">
        <f aca="false">IF((Arterial=0),P809+1,P809)</f>
        <v>376</v>
      </c>
      <c r="Q810" s="41" t="n">
        <f aca="false">IF((Arterial=1),Q809+1,Q809)</f>
        <v>417</v>
      </c>
      <c r="R810" s="42" t="e">
        <f aca="false">IF((RESET=1),0,R810+K810)</f>
        <v>#N/A</v>
      </c>
      <c r="S810" s="14" t="n">
        <f aca="false">IF(RESET=1,0,S810+N810)</f>
        <v>654.706024725555</v>
      </c>
      <c r="T810" s="2" t="e">
        <f aca="false">IF(RESET=1,0,T810+IF(H810=0,1,0))</f>
        <v>#N/A</v>
      </c>
      <c r="U810" s="2" t="n">
        <f aca="false">IF(RESET=1,0,U810+H810)</f>
        <v>42</v>
      </c>
      <c r="V810" s="14" t="e">
        <f aca="false">R810/(T810+0.00001)</f>
        <v>#N/A</v>
      </c>
      <c r="W810" s="14" t="n">
        <f aca="false">S810/(U810+0.0001)</f>
        <v>15.5882015691762</v>
      </c>
      <c r="X810" s="39" t="n">
        <f aca="false">IF(Informed=1,K810,0)</f>
        <v>20.0410169096914</v>
      </c>
      <c r="Y810" s="39" t="n">
        <f aca="false">IF(Informed=0,K810,0)</f>
        <v>0</v>
      </c>
      <c r="Z810" s="39" t="n">
        <f aca="false">IF(Informed=1,N810,0)</f>
        <v>0</v>
      </c>
      <c r="AA810" s="39" t="n">
        <f aca="false">IF(Informed=0,N810,0)</f>
        <v>0</v>
      </c>
      <c r="AB810" s="43" t="n">
        <f aca="false">IF(Arterial=0,IF(Informed=1,1,0),0)</f>
        <v>1</v>
      </c>
      <c r="AC810" s="43" t="n">
        <f aca="false">IF(Arterial=0,IF(Informed=0,1,0),0)</f>
        <v>0</v>
      </c>
      <c r="AD810" s="43" t="n">
        <f aca="false">IF(Arterial=1,IF(Informed=1,1,0),0)</f>
        <v>0</v>
      </c>
      <c r="AE810" s="43" t="n">
        <f aca="false">IF(Arterial=1,IF(Informed=0,1,0),0)</f>
        <v>0</v>
      </c>
      <c r="AF810" s="35" t="n">
        <f aca="false">IF(AB810=1,(X810-G$1030)^2,0)</f>
        <v>87.0738813352914</v>
      </c>
      <c r="AG810" s="35" t="n">
        <f aca="false">IF(AC810=1,(Y810-H$1030)^2,0)</f>
        <v>0</v>
      </c>
      <c r="AH810" s="35" t="n">
        <f aca="false">IF(AD810=1,(Z810-I$1030)^2,0)</f>
        <v>0</v>
      </c>
      <c r="AI810" s="35" t="n">
        <f aca="false">IF(AE810=1,(AA810-J$1030)^2,0)</f>
        <v>0</v>
      </c>
      <c r="AJ810" s="37" t="n">
        <f aca="true">IF(RAND()&lt;$D$6,1,0)</f>
        <v>0</v>
      </c>
      <c r="AK810" s="14" t="n">
        <f aca="false">AK809+IF((AJ810=1),IF((H810=0),1,0),0)</f>
        <v>0</v>
      </c>
      <c r="AL810" s="14" t="n">
        <f aca="false">AL809+IF((AJ810=1),IF((H810=1),1,0),0)</f>
        <v>0</v>
      </c>
      <c r="AM810" s="37" t="n">
        <f aca="false">IF(AK810=0,9999,IF($H810=0,IF($AJ810&lt;1,AM809+1,0),AM809))</f>
        <v>9999</v>
      </c>
      <c r="AN810" s="37" t="n">
        <f aca="false">IF(AL810=0,9999,IF($H810=1,IF($AJ810&lt;1,AN809+1,0),AN809))</f>
        <v>9999</v>
      </c>
      <c r="AO810" s="37" t="n">
        <f aca="false">IF($A810-AM810&gt;0,1/(1+AM810),0)</f>
        <v>0</v>
      </c>
      <c r="AP810" s="37" t="n">
        <f aca="false">IF($A810-AN810&gt;0,1/(1+AN810),0)</f>
        <v>0</v>
      </c>
      <c r="AQ810" s="7" t="n">
        <f aca="false">IF(AK810=0,0,MAX(MIN(1,AO810^Power),0))</f>
        <v>0</v>
      </c>
      <c r="AR810" s="7" t="n">
        <f aca="false">IF(AL810=0,0,MAX(MIN(1,AP810^Power),0))</f>
        <v>0</v>
      </c>
      <c r="AS810" s="7" t="n">
        <f aca="false">IF($AJ810=1,IF($H810=0,K810,AS809),AS809)</f>
        <v>0</v>
      </c>
      <c r="AT810" s="7" t="n">
        <f aca="false">IF($AJ810=1,IF($H810=1,N810,AT809),AT809)</f>
        <v>0</v>
      </c>
    </row>
    <row r="811" customFormat="false" ht="13" hidden="false" customHeight="false" outlineLevel="0" collapsed="false">
      <c r="A811" s="16" t="n">
        <v>794</v>
      </c>
      <c r="B811" s="37" t="n">
        <f aca="true">IF(RAND()&lt;$D$8,1,0)</f>
        <v>1</v>
      </c>
      <c r="C811" s="20" t="n">
        <f aca="true">-LN(RAND())/$D$2</f>
        <v>1.82215824870333</v>
      </c>
      <c r="D811" s="38" t="n">
        <f aca="false">D810+C811</f>
        <v>840.094873630062</v>
      </c>
      <c r="E811" s="39" t="n">
        <f aca="false">MAX($E$3,AS810)</f>
        <v>0</v>
      </c>
      <c r="F811" s="39" t="n">
        <f aca="false">MAX($E$3,AT810)</f>
        <v>0</v>
      </c>
      <c r="G811" s="40" t="n">
        <v>0.5</v>
      </c>
      <c r="H811" s="38" t="n">
        <f aca="true">IF((B811=1),(IF((F811&lt;E811),1,(IF((F811=E811),(IF(RAND()&lt;G811,1,0)),0)))),(IF((RAND()&lt;G811),1,0)))</f>
        <v>1</v>
      </c>
      <c r="I811" s="38" t="n">
        <f aca="true">IF((H811=1),0,$D$3+$D$5*(RAND()-0.5))</f>
        <v>0</v>
      </c>
      <c r="J811" s="38" t="n">
        <f aca="false">I811+MAX(D811,J810)</f>
        <v>858.31373229105</v>
      </c>
      <c r="K811" s="38" t="n">
        <f aca="false">IF((H811=0),J811-D811,0)</f>
        <v>0</v>
      </c>
      <c r="L811" s="38" t="n">
        <f aca="true">IF(($H811=0),0,$D$4+$D$5*(RAND()-0.5))</f>
        <v>1.97039644439233</v>
      </c>
      <c r="M811" s="38" t="n">
        <f aca="false">L811+MAX(D811,M810)</f>
        <v>864.001032333427</v>
      </c>
      <c r="N811" s="38" t="n">
        <f aca="false">IF((H811=1),M811-D811,0)</f>
        <v>23.9061587033648</v>
      </c>
      <c r="O811" s="16" t="n">
        <v>794</v>
      </c>
      <c r="P811" s="41" t="n">
        <f aca="false">IF((Arterial=0),P810+1,P810)</f>
        <v>376</v>
      </c>
      <c r="Q811" s="41" t="n">
        <f aca="false">IF((Arterial=1),Q810+1,Q810)</f>
        <v>418</v>
      </c>
      <c r="R811" s="42" t="n">
        <f aca="false">IF((RESET=1),0,R811+K811)</f>
        <v>598.436349231941</v>
      </c>
      <c r="S811" s="14" t="e">
        <f aca="false">IF(RESET=1,0,S811+N811)</f>
        <v>#N/A</v>
      </c>
      <c r="T811" s="2" t="n">
        <f aca="false">IF(RESET=1,0,T811+IF(H811=0,1,0))</f>
        <v>33</v>
      </c>
      <c r="U811" s="2" t="e">
        <f aca="false">IF(RESET=1,0,U811+H811)</f>
        <v>#N/A</v>
      </c>
      <c r="V811" s="14" t="n">
        <f aca="false">R811/(T811+0.00001)</f>
        <v>18.1344293299287</v>
      </c>
      <c r="W811" s="14" t="e">
        <f aca="false">S811/(U811+0.0001)</f>
        <v>#N/A</v>
      </c>
      <c r="X811" s="39" t="n">
        <f aca="false">IF(Informed=1,K811,0)</f>
        <v>0</v>
      </c>
      <c r="Y811" s="39" t="n">
        <f aca="false">IF(Informed=0,K811,0)</f>
        <v>0</v>
      </c>
      <c r="Z811" s="39" t="n">
        <f aca="false">IF(Informed=1,N811,0)</f>
        <v>23.9061587033648</v>
      </c>
      <c r="AA811" s="39" t="n">
        <f aca="false">IF(Informed=0,N811,0)</f>
        <v>0</v>
      </c>
      <c r="AB811" s="43" t="n">
        <f aca="false">IF(Arterial=0,IF(Informed=1,1,0),0)</f>
        <v>0</v>
      </c>
      <c r="AC811" s="43" t="n">
        <f aca="false">IF(Arterial=0,IF(Informed=0,1,0),0)</f>
        <v>0</v>
      </c>
      <c r="AD811" s="43" t="n">
        <f aca="false">IF(Arterial=1,IF(Informed=1,1,0),0)</f>
        <v>1</v>
      </c>
      <c r="AE811" s="43" t="n">
        <f aca="false">IF(Arterial=1,IF(Informed=0,1,0),0)</f>
        <v>0</v>
      </c>
      <c r="AF811" s="35" t="n">
        <f aca="false">IF(AB811=1,(X811-G$1030)^2,0)</f>
        <v>0</v>
      </c>
      <c r="AG811" s="35" t="n">
        <f aca="false">IF(AC811=1,(Y811-H$1030)^2,0)</f>
        <v>0</v>
      </c>
      <c r="AH811" s="35" t="n">
        <f aca="false">IF(AD811=1,(Z811-I$1030)^2,0)</f>
        <v>19.9690659961871</v>
      </c>
      <c r="AI811" s="35" t="n">
        <f aca="false">IF(AE811=1,(AA811-J$1030)^2,0)</f>
        <v>0</v>
      </c>
      <c r="AJ811" s="37" t="n">
        <f aca="true">IF(RAND()&lt;$D$6,1,0)</f>
        <v>0</v>
      </c>
      <c r="AK811" s="14" t="n">
        <f aca="false">AK810+IF((AJ811=1),IF((H811=0),1,0),0)</f>
        <v>0</v>
      </c>
      <c r="AL811" s="14" t="n">
        <f aca="false">AL810+IF((AJ811=1),IF((H811=1),1,0),0)</f>
        <v>0</v>
      </c>
      <c r="AM811" s="37" t="n">
        <f aca="false">IF(AK811=0,9999,IF($H811=0,IF($AJ811&lt;1,AM810+1,0),AM810))</f>
        <v>9999</v>
      </c>
      <c r="AN811" s="37" t="n">
        <f aca="false">IF(AL811=0,9999,IF($H811=1,IF($AJ811&lt;1,AN810+1,0),AN810))</f>
        <v>9999</v>
      </c>
      <c r="AO811" s="37" t="n">
        <f aca="false">IF($A811-AM811&gt;0,1/(1+AM811),0)</f>
        <v>0</v>
      </c>
      <c r="AP811" s="37" t="n">
        <f aca="false">IF($A811-AN811&gt;0,1/(1+AN811),0)</f>
        <v>0</v>
      </c>
      <c r="AQ811" s="7" t="n">
        <f aca="false">IF(AK811=0,0,MAX(MIN(1,AO811^Power),0))</f>
        <v>0</v>
      </c>
      <c r="AR811" s="7" t="n">
        <f aca="false">IF(AL811=0,0,MAX(MIN(1,AP811^Power),0))</f>
        <v>0</v>
      </c>
      <c r="AS811" s="7" t="n">
        <f aca="false">IF($AJ811=1,IF($H811=0,K811,AS810),AS810)</f>
        <v>0</v>
      </c>
      <c r="AT811" s="7" t="n">
        <f aca="false">IF($AJ811=1,IF($H811=1,N811,AT810),AT810)</f>
        <v>0</v>
      </c>
    </row>
    <row r="812" customFormat="false" ht="13" hidden="false" customHeight="false" outlineLevel="0" collapsed="false">
      <c r="A812" s="16" t="n">
        <v>795</v>
      </c>
      <c r="B812" s="37" t="n">
        <f aca="true">IF(RAND()&lt;$D$8,1,0)</f>
        <v>0</v>
      </c>
      <c r="C812" s="20" t="n">
        <f aca="true">-LN(RAND())/$D$2</f>
        <v>0.77929229740491</v>
      </c>
      <c r="D812" s="38" t="n">
        <f aca="false">D811+C812</f>
        <v>840.874165927467</v>
      </c>
      <c r="E812" s="39" t="n">
        <f aca="false">MAX($E$3,AS811)</f>
        <v>0</v>
      </c>
      <c r="F812" s="39" t="n">
        <f aca="false">MAX($E$3,AT811)</f>
        <v>0</v>
      </c>
      <c r="G812" s="40" t="n">
        <v>0.5</v>
      </c>
      <c r="H812" s="38" t="n">
        <f aca="true">IF((B812=1),(IF((F812&lt;E812),1,(IF((F812=E812),(IF(RAND()&lt;G812,1,0)),0)))),(IF((RAND()&lt;G812),1,0)))</f>
        <v>1</v>
      </c>
      <c r="I812" s="38" t="n">
        <f aca="true">IF((H812=1),0,$D$3+$D$5*(RAND()-0.5))</f>
        <v>0</v>
      </c>
      <c r="J812" s="38" t="n">
        <f aca="false">I812+MAX(D812,J811)</f>
        <v>858.31373229105</v>
      </c>
      <c r="K812" s="38" t="n">
        <f aca="false">IF((H812=0),J812-D812,0)</f>
        <v>0</v>
      </c>
      <c r="L812" s="38" t="n">
        <f aca="true">IF(($H812=0),0,$D$4+$D$5*(RAND()-0.5))</f>
        <v>1.99773557286715</v>
      </c>
      <c r="M812" s="38" t="n">
        <f aca="false">L812+MAX(D812,M811)</f>
        <v>865.998767906294</v>
      </c>
      <c r="N812" s="38" t="n">
        <f aca="false">IF((H812=1),M812-D812,0)</f>
        <v>25.1246019788269</v>
      </c>
      <c r="O812" s="16" t="n">
        <v>795</v>
      </c>
      <c r="P812" s="41" t="n">
        <f aca="false">IF((Arterial=0),P811+1,P811)</f>
        <v>376</v>
      </c>
      <c r="Q812" s="41" t="n">
        <f aca="false">IF((Arterial=1),Q811+1,Q811)</f>
        <v>419</v>
      </c>
      <c r="R812" s="42" t="n">
        <f aca="false">IF((RESET=1),0,R812+K812)</f>
        <v>441.90659521924</v>
      </c>
      <c r="S812" s="14" t="e">
        <f aca="false">IF(RESET=1,0,S812+N812)</f>
        <v>#N/A</v>
      </c>
      <c r="T812" s="2" t="n">
        <f aca="false">IF(RESET=1,0,T812+IF(H812=0,1,0))</f>
        <v>27</v>
      </c>
      <c r="U812" s="2" t="e">
        <f aca="false">IF(RESET=1,0,U812+H812)</f>
        <v>#N/A</v>
      </c>
      <c r="V812" s="14" t="n">
        <f aca="false">R812/(T812+0.00001)</f>
        <v>16.3669048722293</v>
      </c>
      <c r="W812" s="14" t="e">
        <f aca="false">S812/(U812+0.0001)</f>
        <v>#N/A</v>
      </c>
      <c r="X812" s="39" t="n">
        <f aca="false">IF(Informed=1,K812,0)</f>
        <v>0</v>
      </c>
      <c r="Y812" s="39" t="n">
        <f aca="false">IF(Informed=0,K812,0)</f>
        <v>0</v>
      </c>
      <c r="Z812" s="39" t="n">
        <f aca="false">IF(Informed=1,N812,0)</f>
        <v>0</v>
      </c>
      <c r="AA812" s="39" t="n">
        <f aca="false">IF(Informed=0,N812,0)</f>
        <v>25.1246019788269</v>
      </c>
      <c r="AB812" s="43" t="n">
        <f aca="false">IF(Arterial=0,IF(Informed=1,1,0),0)</f>
        <v>0</v>
      </c>
      <c r="AC812" s="43" t="n">
        <f aca="false">IF(Arterial=0,IF(Informed=0,1,0),0)</f>
        <v>0</v>
      </c>
      <c r="AD812" s="43" t="n">
        <f aca="false">IF(Arterial=1,IF(Informed=1,1,0),0)</f>
        <v>0</v>
      </c>
      <c r="AE812" s="43" t="n">
        <f aca="false">IF(Arterial=1,IF(Informed=0,1,0),0)</f>
        <v>1</v>
      </c>
      <c r="AF812" s="35" t="n">
        <f aca="false">IF(AB812=1,(X812-G$1030)^2,0)</f>
        <v>0</v>
      </c>
      <c r="AG812" s="35" t="n">
        <f aca="false">IF(AC812=1,(Y812-H$1030)^2,0)</f>
        <v>0</v>
      </c>
      <c r="AH812" s="35" t="n">
        <f aca="false">IF(AD812=1,(Z812-I$1030)^2,0)</f>
        <v>0</v>
      </c>
      <c r="AI812" s="35" t="n">
        <f aca="false">IF(AE812=1,(AA812-J$1030)^2,0)</f>
        <v>19.7106964480526</v>
      </c>
      <c r="AJ812" s="37" t="n">
        <f aca="true">IF(RAND()&lt;$D$6,1,0)</f>
        <v>0</v>
      </c>
      <c r="AK812" s="14" t="n">
        <f aca="false">AK811+IF((AJ812=1),IF((H812=0),1,0),0)</f>
        <v>0</v>
      </c>
      <c r="AL812" s="14" t="n">
        <f aca="false">AL811+IF((AJ812=1),IF((H812=1),1,0),0)</f>
        <v>0</v>
      </c>
      <c r="AM812" s="37" t="n">
        <f aca="false">IF(AK812=0,9999,IF($H812=0,IF($AJ812&lt;1,AM811+1,0),AM811))</f>
        <v>9999</v>
      </c>
      <c r="AN812" s="37" t="n">
        <f aca="false">IF(AL812=0,9999,IF($H812=1,IF($AJ812&lt;1,AN811+1,0),AN811))</f>
        <v>9999</v>
      </c>
      <c r="AO812" s="37" t="n">
        <f aca="false">IF($A812-AM812&gt;0,1/(1+AM812),0)</f>
        <v>0</v>
      </c>
      <c r="AP812" s="37" t="n">
        <f aca="false">IF($A812-AN812&gt;0,1/(1+AN812),0)</f>
        <v>0</v>
      </c>
      <c r="AQ812" s="7" t="n">
        <f aca="false">IF(AK812=0,0,MAX(MIN(1,AO812^Power),0))</f>
        <v>0</v>
      </c>
      <c r="AR812" s="7" t="n">
        <f aca="false">IF(AL812=0,0,MAX(MIN(1,AP812^Power),0))</f>
        <v>0</v>
      </c>
      <c r="AS812" s="7" t="n">
        <f aca="false">IF($AJ812=1,IF($H812=0,K812,AS811),AS811)</f>
        <v>0</v>
      </c>
      <c r="AT812" s="7" t="n">
        <f aca="false">IF($AJ812=1,IF($H812=1,N812,AT811),AT811)</f>
        <v>0</v>
      </c>
    </row>
    <row r="813" customFormat="false" ht="13" hidden="false" customHeight="false" outlineLevel="0" collapsed="false">
      <c r="A813" s="16" t="n">
        <v>796</v>
      </c>
      <c r="B813" s="37" t="n">
        <f aca="true">IF(RAND()&lt;$D$8,1,0)</f>
        <v>1</v>
      </c>
      <c r="C813" s="20" t="n">
        <f aca="true">-LN(RAND())/$D$2</f>
        <v>0.111897726137604</v>
      </c>
      <c r="D813" s="38" t="n">
        <f aca="false">D812+C813</f>
        <v>840.986063653605</v>
      </c>
      <c r="E813" s="39" t="n">
        <f aca="false">MAX($E$3,AS812)</f>
        <v>0</v>
      </c>
      <c r="F813" s="39" t="n">
        <f aca="false">MAX($E$3,AT812)</f>
        <v>0</v>
      </c>
      <c r="G813" s="40" t="n">
        <v>0.5</v>
      </c>
      <c r="H813" s="38" t="n">
        <f aca="true">IF((B813=1),(IF((F813&lt;E813),1,(IF((F813=E813),(IF(RAND()&lt;G813,1,0)),0)))),(IF((RAND()&lt;G813),1,0)))</f>
        <v>0</v>
      </c>
      <c r="I813" s="38" t="n">
        <f aca="true">IF((H813=1),0,$D$3+$D$5*(RAND()-0.5))</f>
        <v>1.97579002145343</v>
      </c>
      <c r="J813" s="38" t="n">
        <f aca="false">I813+MAX(D813,J812)</f>
        <v>860.289522312504</v>
      </c>
      <c r="K813" s="38" t="n">
        <f aca="false">IF((H813=0),J813-D813,0)</f>
        <v>19.303458658899</v>
      </c>
      <c r="L813" s="38" t="n">
        <f aca="true">IF(($H813=0),0,$D$4+$D$5*(RAND()-0.5))</f>
        <v>0</v>
      </c>
      <c r="M813" s="38" t="n">
        <f aca="false">L813+MAX(D813,M812)</f>
        <v>865.998767906294</v>
      </c>
      <c r="N813" s="38" t="n">
        <f aca="false">IF((H813=1),M813-D813,0)</f>
        <v>0</v>
      </c>
      <c r="O813" s="16" t="n">
        <v>796</v>
      </c>
      <c r="P813" s="41" t="n">
        <f aca="false">IF((Arterial=0),P812+1,P812)</f>
        <v>377</v>
      </c>
      <c r="Q813" s="41" t="n">
        <f aca="false">IF((Arterial=1),Q812+1,Q812)</f>
        <v>419</v>
      </c>
      <c r="R813" s="42" t="e">
        <f aca="false">IF((RESET=1),0,R813+K813)</f>
        <v>#N/A</v>
      </c>
      <c r="S813" s="14" t="n">
        <f aca="false">IF(RESET=1,0,S813+N813)</f>
        <v>658.572841107651</v>
      </c>
      <c r="T813" s="2" t="e">
        <f aca="false">IF(RESET=1,0,T813+IF(H813=0,1,0))</f>
        <v>#N/A</v>
      </c>
      <c r="U813" s="2" t="n">
        <f aca="false">IF(RESET=1,0,U813+H813)</f>
        <v>39</v>
      </c>
      <c r="V813" s="14" t="e">
        <f aca="false">R813/(T813+0.00001)</f>
        <v>#N/A</v>
      </c>
      <c r="W813" s="14" t="n">
        <f aca="false">S813/(U813+0.0001)</f>
        <v>16.8864398067608</v>
      </c>
      <c r="X813" s="39" t="n">
        <f aca="false">IF(Informed=1,K813,0)</f>
        <v>19.303458658899</v>
      </c>
      <c r="Y813" s="39" t="n">
        <f aca="false">IF(Informed=0,K813,0)</f>
        <v>0</v>
      </c>
      <c r="Z813" s="39" t="n">
        <f aca="false">IF(Informed=1,N813,0)</f>
        <v>0</v>
      </c>
      <c r="AA813" s="39" t="n">
        <f aca="false">IF(Informed=0,N813,0)</f>
        <v>0</v>
      </c>
      <c r="AB813" s="43" t="n">
        <f aca="false">IF(Arterial=0,IF(Informed=1,1,0),0)</f>
        <v>1</v>
      </c>
      <c r="AC813" s="43" t="n">
        <f aca="false">IF(Arterial=0,IF(Informed=0,1,0),0)</f>
        <v>0</v>
      </c>
      <c r="AD813" s="43" t="n">
        <f aca="false">IF(Arterial=1,IF(Informed=1,1,0),0)</f>
        <v>0</v>
      </c>
      <c r="AE813" s="43" t="n">
        <f aca="false">IF(Arterial=1,IF(Informed=0,1,0),0)</f>
        <v>0</v>
      </c>
      <c r="AF813" s="35" t="n">
        <f aca="false">IF(AB813=1,(X813-G$1030)^2,0)</f>
        <v>73.8530618576882</v>
      </c>
      <c r="AG813" s="35" t="n">
        <f aca="false">IF(AC813=1,(Y813-H$1030)^2,0)</f>
        <v>0</v>
      </c>
      <c r="AH813" s="35" t="n">
        <f aca="false">IF(AD813=1,(Z813-I$1030)^2,0)</f>
        <v>0</v>
      </c>
      <c r="AI813" s="35" t="n">
        <f aca="false">IF(AE813=1,(AA813-J$1030)^2,0)</f>
        <v>0</v>
      </c>
      <c r="AJ813" s="37" t="n">
        <f aca="true">IF(RAND()&lt;$D$6,1,0)</f>
        <v>0</v>
      </c>
      <c r="AK813" s="14" t="n">
        <f aca="false">AK812+IF((AJ813=1),IF((H813=0),1,0),0)</f>
        <v>0</v>
      </c>
      <c r="AL813" s="14" t="n">
        <f aca="false">AL812+IF((AJ813=1),IF((H813=1),1,0),0)</f>
        <v>0</v>
      </c>
      <c r="AM813" s="37" t="n">
        <f aca="false">IF(AK813=0,9999,IF($H813=0,IF($AJ813&lt;1,AM812+1,0),AM812))</f>
        <v>9999</v>
      </c>
      <c r="AN813" s="37" t="n">
        <f aca="false">IF(AL813=0,9999,IF($H813=1,IF($AJ813&lt;1,AN812+1,0),AN812))</f>
        <v>9999</v>
      </c>
      <c r="AO813" s="37" t="n">
        <f aca="false">IF($A813-AM813&gt;0,1/(1+AM813),0)</f>
        <v>0</v>
      </c>
      <c r="AP813" s="37" t="n">
        <f aca="false">IF($A813-AN813&gt;0,1/(1+AN813),0)</f>
        <v>0</v>
      </c>
      <c r="AQ813" s="7" t="n">
        <f aca="false">IF(AK813=0,0,MAX(MIN(1,AO813^Power),0))</f>
        <v>0</v>
      </c>
      <c r="AR813" s="7" t="n">
        <f aca="false">IF(AL813=0,0,MAX(MIN(1,AP813^Power),0))</f>
        <v>0</v>
      </c>
      <c r="AS813" s="7" t="n">
        <f aca="false">IF($AJ813=1,IF($H813=0,K813,AS812),AS812)</f>
        <v>0</v>
      </c>
      <c r="AT813" s="7" t="n">
        <f aca="false">IF($AJ813=1,IF($H813=1,N813,AT812),AT812)</f>
        <v>0</v>
      </c>
    </row>
    <row r="814" customFormat="false" ht="13" hidden="false" customHeight="false" outlineLevel="0" collapsed="false">
      <c r="A814" s="16" t="n">
        <v>797</v>
      </c>
      <c r="B814" s="37" t="n">
        <f aca="true">IF(RAND()&lt;$D$8,1,0)</f>
        <v>1</v>
      </c>
      <c r="C814" s="20" t="n">
        <f aca="true">-LN(RAND())/$D$2</f>
        <v>0.530227332974041</v>
      </c>
      <c r="D814" s="38" t="n">
        <f aca="false">D813+C814</f>
        <v>841.516290986579</v>
      </c>
      <c r="E814" s="39" t="n">
        <f aca="false">MAX($E$3,AS813)</f>
        <v>0</v>
      </c>
      <c r="F814" s="39" t="n">
        <f aca="false">MAX($E$3,AT813)</f>
        <v>0</v>
      </c>
      <c r="G814" s="40" t="n">
        <v>0.5</v>
      </c>
      <c r="H814" s="38" t="n">
        <f aca="true">IF((B814=1),(IF((F814&lt;E814),1,(IF((F814=E814),(IF(RAND()&lt;G814,1,0)),0)))),(IF((RAND()&lt;G814),1,0)))</f>
        <v>1</v>
      </c>
      <c r="I814" s="38" t="n">
        <f aca="true">IF((H814=1),0,$D$3+$D$5*(RAND()-0.5))</f>
        <v>0</v>
      </c>
      <c r="J814" s="38" t="n">
        <f aca="false">I814+MAX(D814,J813)</f>
        <v>860.289522312504</v>
      </c>
      <c r="K814" s="38" t="n">
        <f aca="false">IF((H814=0),J814-D814,0)</f>
        <v>0</v>
      </c>
      <c r="L814" s="38" t="n">
        <f aca="true">IF(($H814=0),0,$D$4+$D$5*(RAND()-0.5))</f>
        <v>1.85832828553274</v>
      </c>
      <c r="M814" s="38" t="n">
        <f aca="false">L814+MAX(D814,M813)</f>
        <v>867.857096191827</v>
      </c>
      <c r="N814" s="38" t="n">
        <f aca="false">IF((H814=1),M814-D814,0)</f>
        <v>26.340805205248</v>
      </c>
      <c r="O814" s="16" t="n">
        <v>797</v>
      </c>
      <c r="P814" s="41" t="n">
        <f aca="false">IF((Arterial=0),P813+1,P813)</f>
        <v>377</v>
      </c>
      <c r="Q814" s="41" t="n">
        <f aca="false">IF((Arterial=1),Q813+1,Q813)</f>
        <v>420</v>
      </c>
      <c r="R814" s="42" t="n">
        <f aca="false">IF((RESET=1),0,R814+K814)</f>
        <v>954.672973511262</v>
      </c>
      <c r="S814" s="14" t="e">
        <f aca="false">IF(RESET=1,0,S814+N814)</f>
        <v>#N/A</v>
      </c>
      <c r="T814" s="2" t="n">
        <f aca="false">IF(RESET=1,0,T814+IF(H814=0,1,0))</f>
        <v>42</v>
      </c>
      <c r="U814" s="2" t="e">
        <f aca="false">IF(RESET=1,0,U814+H814)</f>
        <v>#N/A</v>
      </c>
      <c r="V814" s="14" t="n">
        <f aca="false">R814/(T814+0.00001)</f>
        <v>22.7303034811483</v>
      </c>
      <c r="W814" s="14" t="e">
        <f aca="false">S814/(U814+0.0001)</f>
        <v>#N/A</v>
      </c>
      <c r="X814" s="39" t="n">
        <f aca="false">IF(Informed=1,K814,0)</f>
        <v>0</v>
      </c>
      <c r="Y814" s="39" t="n">
        <f aca="false">IF(Informed=0,K814,0)</f>
        <v>0</v>
      </c>
      <c r="Z814" s="39" t="n">
        <f aca="false">IF(Informed=1,N814,0)</f>
        <v>26.340805205248</v>
      </c>
      <c r="AA814" s="39" t="n">
        <f aca="false">IF(Informed=0,N814,0)</f>
        <v>0</v>
      </c>
      <c r="AB814" s="43" t="n">
        <f aca="false">IF(Arterial=0,IF(Informed=1,1,0),0)</f>
        <v>0</v>
      </c>
      <c r="AC814" s="43" t="n">
        <f aca="false">IF(Arterial=0,IF(Informed=0,1,0),0)</f>
        <v>0</v>
      </c>
      <c r="AD814" s="43" t="n">
        <f aca="false">IF(Arterial=1,IF(Informed=1,1,0),0)</f>
        <v>1</v>
      </c>
      <c r="AE814" s="43" t="n">
        <f aca="false">IF(Arterial=1,IF(Informed=0,1,0),0)</f>
        <v>0</v>
      </c>
      <c r="AF814" s="35" t="n">
        <f aca="false">IF(AB814=1,(X814-G$1030)^2,0)</f>
        <v>0</v>
      </c>
      <c r="AG814" s="35" t="n">
        <f aca="false">IF(AC814=1,(Y814-H$1030)^2,0)</f>
        <v>0</v>
      </c>
      <c r="AH814" s="35" t="n">
        <f aca="false">IF(AD814=1,(Z814-I$1030)^2,0)</f>
        <v>4.13727636481083</v>
      </c>
      <c r="AI814" s="35" t="n">
        <f aca="false">IF(AE814=1,(AA814-J$1030)^2,0)</f>
        <v>0</v>
      </c>
      <c r="AJ814" s="37" t="n">
        <f aca="true">IF(RAND()&lt;$D$6,1,0)</f>
        <v>0</v>
      </c>
      <c r="AK814" s="14" t="n">
        <f aca="false">AK813+IF((AJ814=1),IF((H814=0),1,0),0)</f>
        <v>0</v>
      </c>
      <c r="AL814" s="14" t="n">
        <f aca="false">AL813+IF((AJ814=1),IF((H814=1),1,0),0)</f>
        <v>0</v>
      </c>
      <c r="AM814" s="37" t="n">
        <f aca="false">IF(AK814=0,9999,IF($H814=0,IF($AJ814&lt;1,AM813+1,0),AM813))</f>
        <v>9999</v>
      </c>
      <c r="AN814" s="37" t="n">
        <f aca="false">IF(AL814=0,9999,IF($H814=1,IF($AJ814&lt;1,AN813+1,0),AN813))</f>
        <v>9999</v>
      </c>
      <c r="AO814" s="37" t="n">
        <f aca="false">IF($A814-AM814&gt;0,1/(1+AM814),0)</f>
        <v>0</v>
      </c>
      <c r="AP814" s="37" t="n">
        <f aca="false">IF($A814-AN814&gt;0,1/(1+AN814),0)</f>
        <v>0</v>
      </c>
      <c r="AQ814" s="7" t="n">
        <f aca="false">IF(AK814=0,0,MAX(MIN(1,AO814^Power),0))</f>
        <v>0</v>
      </c>
      <c r="AR814" s="7" t="n">
        <f aca="false">IF(AL814=0,0,MAX(MIN(1,AP814^Power),0))</f>
        <v>0</v>
      </c>
      <c r="AS814" s="7" t="n">
        <f aca="false">IF($AJ814=1,IF($H814=0,K814,AS813),AS813)</f>
        <v>0</v>
      </c>
      <c r="AT814" s="7" t="n">
        <f aca="false">IF($AJ814=1,IF($H814=1,N814,AT813),AT813)</f>
        <v>0</v>
      </c>
    </row>
    <row r="815" customFormat="false" ht="13" hidden="false" customHeight="false" outlineLevel="0" collapsed="false">
      <c r="A815" s="16" t="n">
        <v>798</v>
      </c>
      <c r="B815" s="37" t="n">
        <f aca="true">IF(RAND()&lt;$D$8,1,0)</f>
        <v>1</v>
      </c>
      <c r="C815" s="20" t="n">
        <f aca="true">-LN(RAND())/$D$2</f>
        <v>2.2266965043814</v>
      </c>
      <c r="D815" s="38" t="n">
        <f aca="false">D814+C815</f>
        <v>843.74298749096</v>
      </c>
      <c r="E815" s="39" t="n">
        <f aca="false">MAX($E$3,AS814)</f>
        <v>0</v>
      </c>
      <c r="F815" s="39" t="n">
        <f aca="false">MAX($E$3,AT814)</f>
        <v>0</v>
      </c>
      <c r="G815" s="40" t="n">
        <v>0.5</v>
      </c>
      <c r="H815" s="38" t="n">
        <f aca="true">IF((B815=1),(IF((F815&lt;E815),1,(IF((F815=E815),(IF(RAND()&lt;G815,1,0)),0)))),(IF((RAND()&lt;G815),1,0)))</f>
        <v>0</v>
      </c>
      <c r="I815" s="38" t="n">
        <f aca="true">IF((H815=1),0,$D$3+$D$5*(RAND()-0.5))</f>
        <v>1.78677607158845</v>
      </c>
      <c r="J815" s="38" t="n">
        <f aca="false">I815+MAX(D815,J814)</f>
        <v>862.076298384092</v>
      </c>
      <c r="K815" s="38" t="n">
        <f aca="false">IF((H815=0),J815-D815,0)</f>
        <v>18.333310893132</v>
      </c>
      <c r="L815" s="38" t="n">
        <f aca="true">IF(($H815=0),0,$D$4+$D$5*(RAND()-0.5))</f>
        <v>0</v>
      </c>
      <c r="M815" s="38" t="n">
        <f aca="false">L815+MAX(D815,M814)</f>
        <v>867.857096191827</v>
      </c>
      <c r="N815" s="38" t="n">
        <f aca="false">IF((H815=1),M815-D815,0)</f>
        <v>0</v>
      </c>
      <c r="O815" s="16" t="n">
        <v>798</v>
      </c>
      <c r="P815" s="41" t="n">
        <f aca="false">IF((Arterial=0),P814+1,P814)</f>
        <v>378</v>
      </c>
      <c r="Q815" s="41" t="n">
        <f aca="false">IF((Arterial=1),Q814+1,Q814)</f>
        <v>420</v>
      </c>
      <c r="R815" s="42" t="e">
        <f aca="false">IF((RESET=1),0,R815+K815)</f>
        <v>#N/A</v>
      </c>
      <c r="S815" s="14" t="n">
        <f aca="false">IF(RESET=1,0,S815+N815)</f>
        <v>687.111313373949</v>
      </c>
      <c r="T815" s="2" t="e">
        <f aca="false">IF(RESET=1,0,T815+IF(H815=0,1,0))</f>
        <v>#N/A</v>
      </c>
      <c r="U815" s="2" t="n">
        <f aca="false">IF(RESET=1,0,U815+H815)</f>
        <v>37</v>
      </c>
      <c r="V815" s="14" t="e">
        <f aca="false">R815/(T815+0.00001)</f>
        <v>#N/A</v>
      </c>
      <c r="W815" s="14" t="n">
        <f aca="false">S815/(U815+0.0001)</f>
        <v>18.5705258465234</v>
      </c>
      <c r="X815" s="39" t="n">
        <f aca="false">IF(Informed=1,K815,0)</f>
        <v>18.333310893132</v>
      </c>
      <c r="Y815" s="39" t="n">
        <f aca="false">IF(Informed=0,K815,0)</f>
        <v>0</v>
      </c>
      <c r="Z815" s="39" t="n">
        <f aca="false">IF(Informed=1,N815,0)</f>
        <v>0</v>
      </c>
      <c r="AA815" s="39" t="n">
        <f aca="false">IF(Informed=0,N815,0)</f>
        <v>0</v>
      </c>
      <c r="AB815" s="43" t="n">
        <f aca="false">IF(Arterial=0,IF(Informed=1,1,0),0)</f>
        <v>1</v>
      </c>
      <c r="AC815" s="43" t="n">
        <f aca="false">IF(Arterial=0,IF(Informed=0,1,0),0)</f>
        <v>0</v>
      </c>
      <c r="AD815" s="43" t="n">
        <f aca="false">IF(Arterial=1,IF(Informed=1,1,0),0)</f>
        <v>0</v>
      </c>
      <c r="AE815" s="43" t="n">
        <f aca="false">IF(Arterial=1,IF(Informed=0,1,0),0)</f>
        <v>0</v>
      </c>
      <c r="AF815" s="35" t="n">
        <f aca="false">IF(AB815=1,(X815-G$1030)^2,0)</f>
        <v>58.1197748027867</v>
      </c>
      <c r="AG815" s="35" t="n">
        <f aca="false">IF(AC815=1,(Y815-H$1030)^2,0)</f>
        <v>0</v>
      </c>
      <c r="AH815" s="35" t="n">
        <f aca="false">IF(AD815=1,(Z815-I$1030)^2,0)</f>
        <v>0</v>
      </c>
      <c r="AI815" s="35" t="n">
        <f aca="false">IF(AE815=1,(AA815-J$1030)^2,0)</f>
        <v>0</v>
      </c>
      <c r="AJ815" s="37" t="n">
        <f aca="true">IF(RAND()&lt;$D$6,1,0)</f>
        <v>0</v>
      </c>
      <c r="AK815" s="14" t="n">
        <f aca="false">AK814+IF((AJ815=1),IF((H815=0),1,0),0)</f>
        <v>0</v>
      </c>
      <c r="AL815" s="14" t="n">
        <f aca="false">AL814+IF((AJ815=1),IF((H815=1),1,0),0)</f>
        <v>0</v>
      </c>
      <c r="AM815" s="37" t="n">
        <f aca="false">IF(AK815=0,9999,IF($H815=0,IF($AJ815&lt;1,AM814+1,0),AM814))</f>
        <v>9999</v>
      </c>
      <c r="AN815" s="37" t="n">
        <f aca="false">IF(AL815=0,9999,IF($H815=1,IF($AJ815&lt;1,AN814+1,0),AN814))</f>
        <v>9999</v>
      </c>
      <c r="AO815" s="37" t="n">
        <f aca="false">IF($A815-AM815&gt;0,1/(1+AM815),0)</f>
        <v>0</v>
      </c>
      <c r="AP815" s="37" t="n">
        <f aca="false">IF($A815-AN815&gt;0,1/(1+AN815),0)</f>
        <v>0</v>
      </c>
      <c r="AQ815" s="7" t="n">
        <f aca="false">IF(AK815=0,0,MAX(MIN(1,AO815^Power),0))</f>
        <v>0</v>
      </c>
      <c r="AR815" s="7" t="n">
        <f aca="false">IF(AL815=0,0,MAX(MIN(1,AP815^Power),0))</f>
        <v>0</v>
      </c>
      <c r="AS815" s="7" t="n">
        <f aca="false">IF($AJ815=1,IF($H815=0,K815,AS814),AS814)</f>
        <v>0</v>
      </c>
      <c r="AT815" s="7" t="n">
        <f aca="false">IF($AJ815=1,IF($H815=1,N815,AT814),AT814)</f>
        <v>0</v>
      </c>
    </row>
    <row r="816" customFormat="false" ht="13" hidden="false" customHeight="false" outlineLevel="0" collapsed="false">
      <c r="A816" s="16" t="n">
        <v>799</v>
      </c>
      <c r="B816" s="37" t="n">
        <f aca="true">IF(RAND()&lt;$D$8,1,0)</f>
        <v>0</v>
      </c>
      <c r="C816" s="20" t="n">
        <f aca="true">-LN(RAND())/$D$2</f>
        <v>0.773809322273157</v>
      </c>
      <c r="D816" s="38" t="n">
        <f aca="false">D815+C816</f>
        <v>844.516796813233</v>
      </c>
      <c r="E816" s="39" t="n">
        <f aca="false">MAX($E$3,AS815)</f>
        <v>0</v>
      </c>
      <c r="F816" s="39" t="n">
        <f aca="false">MAX($E$3,AT815)</f>
        <v>0</v>
      </c>
      <c r="G816" s="40" t="n">
        <v>0.5</v>
      </c>
      <c r="H816" s="38" t="n">
        <f aca="true">IF((B816=1),(IF((F816&lt;E816),1,(IF((F816=E816),(IF(RAND()&lt;G816,1,0)),0)))),(IF((RAND()&lt;G816),1,0)))</f>
        <v>1</v>
      </c>
      <c r="I816" s="38" t="n">
        <f aca="true">IF((H816=1),0,$D$3+$D$5*(RAND()-0.5))</f>
        <v>0</v>
      </c>
      <c r="J816" s="38" t="n">
        <f aca="false">I816+MAX(D816,J815)</f>
        <v>862.076298384092</v>
      </c>
      <c r="K816" s="38" t="n">
        <f aca="false">IF((H816=0),J816-D816,0)</f>
        <v>0</v>
      </c>
      <c r="L816" s="38" t="n">
        <f aca="true">IF(($H816=0),0,$D$4+$D$5*(RAND()-0.5))</f>
        <v>1.82069014884354</v>
      </c>
      <c r="M816" s="38" t="n">
        <f aca="false">L816+MAX(D816,M815)</f>
        <v>869.67778634067</v>
      </c>
      <c r="N816" s="38" t="n">
        <f aca="false">IF((H816=1),M816-D816,0)</f>
        <v>25.160989527437</v>
      </c>
      <c r="O816" s="16" t="n">
        <v>799</v>
      </c>
      <c r="P816" s="41" t="n">
        <f aca="false">IF((Arterial=0),P815+1,P815)</f>
        <v>378</v>
      </c>
      <c r="Q816" s="41" t="n">
        <f aca="false">IF((Arterial=1),Q815+1,Q815)</f>
        <v>421</v>
      </c>
      <c r="R816" s="42" t="n">
        <f aca="false">IF((RESET=1),0,R816+K816)</f>
        <v>1010.07584049553</v>
      </c>
      <c r="S816" s="14" t="e">
        <f aca="false">IF(RESET=1,0,S816+N816)</f>
        <v>#N/A</v>
      </c>
      <c r="T816" s="2" t="n">
        <f aca="false">IF(RESET=1,0,T816+IF(H816=0,1,0))</f>
        <v>47</v>
      </c>
      <c r="U816" s="2" t="e">
        <f aca="false">IF(RESET=1,0,U816+H816)</f>
        <v>#N/A</v>
      </c>
      <c r="V816" s="14" t="n">
        <f aca="false">R816/(T816+0.00001)</f>
        <v>21.4909707571451</v>
      </c>
      <c r="W816" s="14" t="e">
        <f aca="false">S816/(U816+0.0001)</f>
        <v>#N/A</v>
      </c>
      <c r="X816" s="39" t="n">
        <f aca="false">IF(Informed=1,K816,0)</f>
        <v>0</v>
      </c>
      <c r="Y816" s="39" t="n">
        <f aca="false">IF(Informed=0,K816,0)</f>
        <v>0</v>
      </c>
      <c r="Z816" s="39" t="n">
        <f aca="false">IF(Informed=1,N816,0)</f>
        <v>0</v>
      </c>
      <c r="AA816" s="39" t="n">
        <f aca="false">IF(Informed=0,N816,0)</f>
        <v>25.160989527437</v>
      </c>
      <c r="AB816" s="43" t="n">
        <f aca="false">IF(Arterial=0,IF(Informed=1,1,0),0)</f>
        <v>0</v>
      </c>
      <c r="AC816" s="43" t="n">
        <f aca="false">IF(Arterial=0,IF(Informed=0,1,0),0)</f>
        <v>0</v>
      </c>
      <c r="AD816" s="43" t="n">
        <f aca="false">IF(Arterial=1,IF(Informed=1,1,0),0)</f>
        <v>0</v>
      </c>
      <c r="AE816" s="43" t="n">
        <f aca="false">IF(Arterial=1,IF(Informed=0,1,0),0)</f>
        <v>1</v>
      </c>
      <c r="AF816" s="35" t="n">
        <f aca="false">IF(AB816=1,(X816-G$1030)^2,0)</f>
        <v>0</v>
      </c>
      <c r="AG816" s="35" t="n">
        <f aca="false">IF(AC816=1,(Y816-H$1030)^2,0)</f>
        <v>0</v>
      </c>
      <c r="AH816" s="35" t="n">
        <f aca="false">IF(AD816=1,(Z816-I$1030)^2,0)</f>
        <v>0</v>
      </c>
      <c r="AI816" s="35" t="n">
        <f aca="false">IF(AE816=1,(AA816-J$1030)^2,0)</f>
        <v>19.3889228667173</v>
      </c>
      <c r="AJ816" s="37" t="n">
        <f aca="true">IF(RAND()&lt;$D$6,1,0)</f>
        <v>0</v>
      </c>
      <c r="AK816" s="14" t="n">
        <f aca="false">AK815+IF((AJ816=1),IF((H816=0),1,0),0)</f>
        <v>0</v>
      </c>
      <c r="AL816" s="14" t="n">
        <f aca="false">AL815+IF((AJ816=1),IF((H816=1),1,0),0)</f>
        <v>0</v>
      </c>
      <c r="AM816" s="37" t="n">
        <f aca="false">IF(AK816=0,9999,IF($H816=0,IF($AJ816&lt;1,AM815+1,0),AM815))</f>
        <v>9999</v>
      </c>
      <c r="AN816" s="37" t="n">
        <f aca="false">IF(AL816=0,9999,IF($H816=1,IF($AJ816&lt;1,AN815+1,0),AN815))</f>
        <v>9999</v>
      </c>
      <c r="AO816" s="37" t="n">
        <f aca="false">IF($A816-AM816&gt;0,1/(1+AM816),0)</f>
        <v>0</v>
      </c>
      <c r="AP816" s="37" t="n">
        <f aca="false">IF($A816-AN816&gt;0,1/(1+AN816),0)</f>
        <v>0</v>
      </c>
      <c r="AQ816" s="7" t="n">
        <f aca="false">IF(AK816=0,0,MAX(MIN(1,AO816^Power),0))</f>
        <v>0</v>
      </c>
      <c r="AR816" s="7" t="n">
        <f aca="false">IF(AL816=0,0,MAX(MIN(1,AP816^Power),0))</f>
        <v>0</v>
      </c>
      <c r="AS816" s="7" t="n">
        <f aca="false">IF($AJ816=1,IF($H816=0,K816,AS815),AS815)</f>
        <v>0</v>
      </c>
      <c r="AT816" s="7" t="n">
        <f aca="false">IF($AJ816=1,IF($H816=1,N816,AT815),AT815)</f>
        <v>0</v>
      </c>
    </row>
    <row r="817" customFormat="false" ht="13" hidden="false" customHeight="false" outlineLevel="0" collapsed="false">
      <c r="A817" s="16" t="n">
        <v>800</v>
      </c>
      <c r="B817" s="37" t="n">
        <f aca="true">IF(RAND()&lt;$D$8,1,0)</f>
        <v>0</v>
      </c>
      <c r="C817" s="20" t="n">
        <f aca="true">-LN(RAND())/$D$2</f>
        <v>0.609617767231282</v>
      </c>
      <c r="D817" s="38" t="n">
        <f aca="false">D816+C817</f>
        <v>845.126414580464</v>
      </c>
      <c r="E817" s="39" t="n">
        <f aca="false">MAX($E$3,AS816)</f>
        <v>0</v>
      </c>
      <c r="F817" s="39" t="n">
        <f aca="false">MAX($E$3,AT816)</f>
        <v>0</v>
      </c>
      <c r="G817" s="40" t="n">
        <v>0.5</v>
      </c>
      <c r="H817" s="38" t="n">
        <f aca="true">IF((B817=1),(IF((F817&lt;E817),1,(IF((F817=E817),(IF(RAND()&lt;G817,1,0)),0)))),(IF((RAND()&lt;G817),1,0)))</f>
        <v>1</v>
      </c>
      <c r="I817" s="38" t="n">
        <f aca="true">IF((H817=1),0,$D$3+$D$5*(RAND()-0.5))</f>
        <v>0</v>
      </c>
      <c r="J817" s="38" t="n">
        <f aca="false">I817+MAX(D817,J816)</f>
        <v>862.076298384092</v>
      </c>
      <c r="K817" s="38" t="n">
        <f aca="false">IF((H817=0),J817-D817,0)</f>
        <v>0</v>
      </c>
      <c r="L817" s="38" t="n">
        <f aca="true">IF(($H817=0),0,$D$4+$D$5*(RAND()-0.5))</f>
        <v>2.08348829436059</v>
      </c>
      <c r="M817" s="38" t="n">
        <f aca="false">L817+MAX(D817,M816)</f>
        <v>871.761274635031</v>
      </c>
      <c r="N817" s="38" t="n">
        <f aca="false">IF((H817=1),M817-D817,0)</f>
        <v>26.6348600545663</v>
      </c>
      <c r="O817" s="16" t="n">
        <v>800</v>
      </c>
      <c r="P817" s="41" t="n">
        <f aca="false">IF((Arterial=0),P816+1,P816)</f>
        <v>378</v>
      </c>
      <c r="Q817" s="41" t="n">
        <f aca="false">IF((Arterial=1),Q816+1,Q816)</f>
        <v>422</v>
      </c>
      <c r="R817" s="42" t="n">
        <f aca="false">IF((RESET=1),0,R817+K817)</f>
        <v>769.933762943623</v>
      </c>
      <c r="S817" s="14" t="e">
        <f aca="false">IF(RESET=1,0,S817+N817)</f>
        <v>#N/A</v>
      </c>
      <c r="T817" s="2" t="n">
        <f aca="false">IF(RESET=1,0,T817+IF(H817=0,1,0))</f>
        <v>36</v>
      </c>
      <c r="U817" s="2" t="e">
        <f aca="false">IF(RESET=1,0,U817+H817)</f>
        <v>#N/A</v>
      </c>
      <c r="V817" s="14" t="n">
        <f aca="false">R817/(T817+0.00001)</f>
        <v>21.3870430298109</v>
      </c>
      <c r="W817" s="14" t="e">
        <f aca="false">S817/(U817+0.0001)</f>
        <v>#N/A</v>
      </c>
      <c r="X817" s="39" t="n">
        <f aca="false">IF(Informed=1,K817,0)</f>
        <v>0</v>
      </c>
      <c r="Y817" s="39" t="n">
        <f aca="false">IF(Informed=0,K817,0)</f>
        <v>0</v>
      </c>
      <c r="Z817" s="39" t="n">
        <f aca="false">IF(Informed=1,N817,0)</f>
        <v>0</v>
      </c>
      <c r="AA817" s="39" t="n">
        <f aca="false">IF(Informed=0,N817,0)</f>
        <v>26.6348600545663</v>
      </c>
      <c r="AB817" s="43" t="n">
        <f aca="false">IF(Arterial=0,IF(Informed=1,1,0),0)</f>
        <v>0</v>
      </c>
      <c r="AC817" s="43" t="n">
        <f aca="false">IF(Arterial=0,IF(Informed=0,1,0),0)</f>
        <v>0</v>
      </c>
      <c r="AD817" s="43" t="n">
        <f aca="false">IF(Arterial=1,IF(Informed=1,1,0),0)</f>
        <v>0</v>
      </c>
      <c r="AE817" s="43" t="n">
        <f aca="false">IF(Arterial=1,IF(Informed=0,1,0),0)</f>
        <v>1</v>
      </c>
      <c r="AF817" s="35" t="n">
        <f aca="false">IF(AB817=1,(X817-G$1030)^2,0)</f>
        <v>0</v>
      </c>
      <c r="AG817" s="35" t="n">
        <f aca="false">IF(AC817=1,(Y817-H$1030)^2,0)</f>
        <v>0</v>
      </c>
      <c r="AH817" s="35" t="n">
        <f aca="false">IF(AD817=1,(Z817-I$1030)^2,0)</f>
        <v>0</v>
      </c>
      <c r="AI817" s="35" t="n">
        <f aca="false">IF(AE817=1,(AA817-J$1030)^2,0)</f>
        <v>8.58147186520522</v>
      </c>
      <c r="AJ817" s="37" t="n">
        <f aca="true">IF(RAND()&lt;$D$6,1,0)</f>
        <v>0</v>
      </c>
      <c r="AK817" s="14" t="n">
        <f aca="false">AK816+IF((AJ817=1),IF((H817=0),1,0),0)</f>
        <v>0</v>
      </c>
      <c r="AL817" s="14" t="n">
        <f aca="false">AL816+IF((AJ817=1),IF((H817=1),1,0),0)</f>
        <v>0</v>
      </c>
      <c r="AM817" s="37" t="n">
        <f aca="false">IF(AK817=0,9999,IF($H817=0,IF($AJ817&lt;1,AM816+1,0),AM816))</f>
        <v>9999</v>
      </c>
      <c r="AN817" s="37" t="n">
        <f aca="false">IF(AL817=0,9999,IF($H817=1,IF($AJ817&lt;1,AN816+1,0),AN816))</f>
        <v>9999</v>
      </c>
      <c r="AO817" s="37" t="n">
        <f aca="false">IF($A817-AM817&gt;0,1/(1+AM817),0)</f>
        <v>0</v>
      </c>
      <c r="AP817" s="37" t="n">
        <f aca="false">IF($A817-AN817&gt;0,1/(1+AN817),0)</f>
        <v>0</v>
      </c>
      <c r="AQ817" s="7" t="n">
        <f aca="false">IF(AK817=0,0,MAX(MIN(1,AO817^Power),0))</f>
        <v>0</v>
      </c>
      <c r="AR817" s="7" t="n">
        <f aca="false">IF(AL817=0,0,MAX(MIN(1,AP817^Power),0))</f>
        <v>0</v>
      </c>
      <c r="AS817" s="7" t="n">
        <f aca="false">IF($AJ817=1,IF($H817=0,K817,AS816),AS816)</f>
        <v>0</v>
      </c>
      <c r="AT817" s="7" t="n">
        <f aca="false">IF($AJ817=1,IF($H817=1,N817,AT816),AT816)</f>
        <v>0</v>
      </c>
    </row>
    <row r="818" customFormat="false" ht="13" hidden="false" customHeight="false" outlineLevel="0" collapsed="false">
      <c r="A818" s="16" t="n">
        <v>801</v>
      </c>
      <c r="B818" s="37" t="n">
        <f aca="true">IF(RAND()&lt;$D$8,1,0)</f>
        <v>0</v>
      </c>
      <c r="C818" s="20" t="n">
        <f aca="true">-LN(RAND())/$D$2</f>
        <v>0.646967892213156</v>
      </c>
      <c r="D818" s="38" t="n">
        <f aca="false">D817+C818</f>
        <v>845.773382472678</v>
      </c>
      <c r="E818" s="39" t="n">
        <f aca="false">MAX($E$3,AS817)</f>
        <v>0</v>
      </c>
      <c r="F818" s="39" t="n">
        <f aca="false">MAX($E$3,AT817)</f>
        <v>0</v>
      </c>
      <c r="G818" s="40" t="n">
        <v>0.5</v>
      </c>
      <c r="H818" s="38" t="n">
        <f aca="true">IF((B818=1),(IF((F818&lt;E818),1,(IF((F818=E818),(IF(RAND()&lt;G818,1,0)),0)))),(IF((RAND()&lt;G818),1,0)))</f>
        <v>1</v>
      </c>
      <c r="I818" s="38" t="n">
        <f aca="true">IF((H818=1),0,$D$3+$D$5*(RAND()-0.5))</f>
        <v>0</v>
      </c>
      <c r="J818" s="38" t="n">
        <f aca="false">I818+MAX(D818,J817)</f>
        <v>862.076298384092</v>
      </c>
      <c r="K818" s="38" t="n">
        <f aca="false">IF((H818=0),J818-D818,0)</f>
        <v>0</v>
      </c>
      <c r="L818" s="38" t="n">
        <f aca="true">IF(($H818=0),0,$D$4+$D$5*(RAND()-0.5))</f>
        <v>2.0078232635539</v>
      </c>
      <c r="M818" s="38" t="n">
        <f aca="false">L818+MAX(D818,M817)</f>
        <v>873.769097898585</v>
      </c>
      <c r="N818" s="38" t="n">
        <f aca="false">IF((H818=1),M818-D818,0)</f>
        <v>27.995715425907</v>
      </c>
      <c r="O818" s="16" t="n">
        <v>801</v>
      </c>
      <c r="P818" s="41" t="n">
        <f aca="false">IF((Arterial=0),P817+1,P817)</f>
        <v>378</v>
      </c>
      <c r="Q818" s="41" t="n">
        <f aca="false">IF((Arterial=1),Q817+1,Q817)</f>
        <v>423</v>
      </c>
      <c r="R818" s="42" t="n">
        <f aca="false">IF((RESET=1),0,R818+K818)</f>
        <v>704.956787413022</v>
      </c>
      <c r="S818" s="14" t="e">
        <f aca="false">IF(RESET=1,0,S818+N818)</f>
        <v>#N/A</v>
      </c>
      <c r="T818" s="2" t="n">
        <f aca="false">IF(RESET=1,0,T818+IF(H818=0,1,0))</f>
        <v>35</v>
      </c>
      <c r="U818" s="2" t="e">
        <f aca="false">IF(RESET=1,0,U818+H818)</f>
        <v>#N/A</v>
      </c>
      <c r="V818" s="14" t="n">
        <f aca="false">R818/(T818+0.00001)</f>
        <v>20.1416167427673</v>
      </c>
      <c r="W818" s="14" t="e">
        <f aca="false">S818/(U818+0.0001)</f>
        <v>#N/A</v>
      </c>
      <c r="X818" s="39" t="n">
        <f aca="false">IF(Informed=1,K818,0)</f>
        <v>0</v>
      </c>
      <c r="Y818" s="39" t="n">
        <f aca="false">IF(Informed=0,K818,0)</f>
        <v>0</v>
      </c>
      <c r="Z818" s="39" t="n">
        <f aca="false">IF(Informed=1,N818,0)</f>
        <v>0</v>
      </c>
      <c r="AA818" s="39" t="n">
        <f aca="false">IF(Informed=0,N818,0)</f>
        <v>27.995715425907</v>
      </c>
      <c r="AB818" s="43" t="n">
        <f aca="false">IF(Arterial=0,IF(Informed=1,1,0),0)</f>
        <v>0</v>
      </c>
      <c r="AC818" s="43" t="n">
        <f aca="false">IF(Arterial=0,IF(Informed=0,1,0),0)</f>
        <v>0</v>
      </c>
      <c r="AD818" s="43" t="n">
        <f aca="false">IF(Arterial=1,IF(Informed=1,1,0),0)</f>
        <v>0</v>
      </c>
      <c r="AE818" s="43" t="n">
        <f aca="false">IF(Arterial=1,IF(Informed=0,1,0),0)</f>
        <v>1</v>
      </c>
      <c r="AF818" s="35" t="n">
        <f aca="false">IF(AB818=1,(X818-G$1030)^2,0)</f>
        <v>0</v>
      </c>
      <c r="AG818" s="35" t="n">
        <f aca="false">IF(AC818=1,(Y818-H$1030)^2,0)</f>
        <v>0</v>
      </c>
      <c r="AH818" s="35" t="n">
        <f aca="false">IF(AD818=1,(Z818-I$1030)^2,0)</f>
        <v>0</v>
      </c>
      <c r="AI818" s="35" t="n">
        <f aca="false">IF(AE818=1,(AA818-J$1030)^2,0)</f>
        <v>2.46037910678408</v>
      </c>
      <c r="AJ818" s="37" t="n">
        <f aca="true">IF(RAND()&lt;$D$6,1,0)</f>
        <v>0</v>
      </c>
      <c r="AK818" s="14" t="n">
        <f aca="false">AK817+IF((AJ818=1),IF((H818=0),1,0),0)</f>
        <v>0</v>
      </c>
      <c r="AL818" s="14" t="n">
        <f aca="false">AL817+IF((AJ818=1),IF((H818=1),1,0),0)</f>
        <v>0</v>
      </c>
      <c r="AM818" s="37" t="n">
        <f aca="false">IF(AK818=0,9999,IF($H818=0,IF($AJ818&lt;1,AM817+1,0),AM817))</f>
        <v>9999</v>
      </c>
      <c r="AN818" s="37" t="n">
        <f aca="false">IF(AL818=0,9999,IF($H818=1,IF($AJ818&lt;1,AN817+1,0),AN817))</f>
        <v>9999</v>
      </c>
      <c r="AO818" s="37" t="n">
        <f aca="false">IF($A818-AM818&gt;0,1/(1+AM818),0)</f>
        <v>0</v>
      </c>
      <c r="AP818" s="37" t="n">
        <f aca="false">IF($A818-AN818&gt;0,1/(1+AN818),0)</f>
        <v>0</v>
      </c>
      <c r="AQ818" s="7" t="n">
        <f aca="false">IF(AK818=0,0,MAX(MIN(1,AO818^Power),0))</f>
        <v>0</v>
      </c>
      <c r="AR818" s="7" t="n">
        <f aca="false">IF(AL818=0,0,MAX(MIN(1,AP818^Power),0))</f>
        <v>0</v>
      </c>
      <c r="AS818" s="7" t="n">
        <f aca="false">IF($AJ818=1,IF($H818=0,K818,AS817),AS817)</f>
        <v>0</v>
      </c>
      <c r="AT818" s="7" t="n">
        <f aca="false">IF($AJ818=1,IF($H818=1,N818,AT817),AT817)</f>
        <v>0</v>
      </c>
    </row>
    <row r="819" customFormat="false" ht="13" hidden="false" customHeight="false" outlineLevel="0" collapsed="false">
      <c r="A819" s="16" t="n">
        <v>802</v>
      </c>
      <c r="B819" s="37" t="n">
        <f aca="true">IF(RAND()&lt;$D$8,1,0)</f>
        <v>1</v>
      </c>
      <c r="C819" s="20" t="n">
        <f aca="true">-LN(RAND())/$D$2</f>
        <v>1.86010598584607</v>
      </c>
      <c r="D819" s="38" t="n">
        <f aca="false">D818+C819</f>
        <v>847.633488458524</v>
      </c>
      <c r="E819" s="39" t="n">
        <f aca="false">MAX($E$3,AS818)</f>
        <v>0</v>
      </c>
      <c r="F819" s="39" t="n">
        <f aca="false">MAX($E$3,AT818)</f>
        <v>0</v>
      </c>
      <c r="G819" s="40" t="n">
        <v>0.5</v>
      </c>
      <c r="H819" s="38" t="n">
        <f aca="true">IF((B819=1),(IF((F819&lt;E819),1,(IF((F819=E819),(IF(RAND()&lt;G819,1,0)),0)))),(IF((RAND()&lt;G819),1,0)))</f>
        <v>0</v>
      </c>
      <c r="I819" s="38" t="n">
        <f aca="true">IF((H819=1),0,$D$3+$D$5*(RAND()-0.5))</f>
        <v>2.15819098936233</v>
      </c>
      <c r="J819" s="38" t="n">
        <f aca="false">I819+MAX(D819,J818)</f>
        <v>864.234489373454</v>
      </c>
      <c r="K819" s="38" t="n">
        <f aca="false">IF((H819=0),J819-D819,0)</f>
        <v>16.6010009149306</v>
      </c>
      <c r="L819" s="38" t="n">
        <f aca="true">IF(($H819=0),0,$D$4+$D$5*(RAND()-0.5))</f>
        <v>0</v>
      </c>
      <c r="M819" s="38" t="n">
        <f aca="false">L819+MAX(D819,M818)</f>
        <v>873.769097898585</v>
      </c>
      <c r="N819" s="38" t="n">
        <f aca="false">IF((H819=1),M819-D819,0)</f>
        <v>0</v>
      </c>
      <c r="O819" s="16" t="n">
        <v>802</v>
      </c>
      <c r="P819" s="41" t="n">
        <f aca="false">IF((Arterial=0),P818+1,P818)</f>
        <v>379</v>
      </c>
      <c r="Q819" s="41" t="n">
        <f aca="false">IF((Arterial=1),Q818+1,Q818)</f>
        <v>423</v>
      </c>
      <c r="R819" s="42" t="e">
        <f aca="false">IF((RESET=1),0,R819+K819)</f>
        <v>#N/A</v>
      </c>
      <c r="S819" s="14" t="n">
        <f aca="false">IF(RESET=1,0,S819+N819)</f>
        <v>824.658205095158</v>
      </c>
      <c r="T819" s="2" t="e">
        <f aca="false">IF(RESET=1,0,T819+IF(H819=0,1,0))</f>
        <v>#N/A</v>
      </c>
      <c r="U819" s="2" t="n">
        <f aca="false">IF(RESET=1,0,U819+H819)</f>
        <v>42</v>
      </c>
      <c r="V819" s="14" t="e">
        <f aca="false">R819/(T819+0.00001)</f>
        <v>#N/A</v>
      </c>
      <c r="W819" s="14" t="n">
        <f aca="false">S819/(U819+0.0001)</f>
        <v>19.6346724197123</v>
      </c>
      <c r="X819" s="39" t="n">
        <f aca="false">IF(Informed=1,K819,0)</f>
        <v>16.6010009149306</v>
      </c>
      <c r="Y819" s="39" t="n">
        <f aca="false">IF(Informed=0,K819,0)</f>
        <v>0</v>
      </c>
      <c r="Z819" s="39" t="n">
        <f aca="false">IF(Informed=1,N819,0)</f>
        <v>0</v>
      </c>
      <c r="AA819" s="39" t="n">
        <f aca="false">IF(Informed=0,N819,0)</f>
        <v>0</v>
      </c>
      <c r="AB819" s="43" t="n">
        <f aca="false">IF(Arterial=0,IF(Informed=1,1,0),0)</f>
        <v>1</v>
      </c>
      <c r="AC819" s="43" t="n">
        <f aca="false">IF(Arterial=0,IF(Informed=0,1,0),0)</f>
        <v>0</v>
      </c>
      <c r="AD819" s="43" t="n">
        <f aca="false">IF(Arterial=1,IF(Informed=1,1,0),0)</f>
        <v>0</v>
      </c>
      <c r="AE819" s="43" t="n">
        <f aca="false">IF(Arterial=1,IF(Informed=0,1,0),0)</f>
        <v>0</v>
      </c>
      <c r="AF819" s="35" t="n">
        <f aca="false">IF(AB819=1,(X819-G$1030)^2,0)</f>
        <v>34.7076828391996</v>
      </c>
      <c r="AG819" s="35" t="n">
        <f aca="false">IF(AC819=1,(Y819-H$1030)^2,0)</f>
        <v>0</v>
      </c>
      <c r="AH819" s="35" t="n">
        <f aca="false">IF(AD819=1,(Z819-I$1030)^2,0)</f>
        <v>0</v>
      </c>
      <c r="AI819" s="35" t="n">
        <f aca="false">IF(AE819=1,(AA819-J$1030)^2,0)</f>
        <v>0</v>
      </c>
      <c r="AJ819" s="37" t="n">
        <f aca="true">IF(RAND()&lt;$D$6,1,0)</f>
        <v>0</v>
      </c>
      <c r="AK819" s="14" t="n">
        <f aca="false">AK818+IF((AJ819=1),IF((H819=0),1,0),0)</f>
        <v>0</v>
      </c>
      <c r="AL819" s="14" t="n">
        <f aca="false">AL818+IF((AJ819=1),IF((H819=1),1,0),0)</f>
        <v>0</v>
      </c>
      <c r="AM819" s="37" t="n">
        <f aca="false">IF(AK819=0,9999,IF($H819=0,IF($AJ819&lt;1,AM818+1,0),AM818))</f>
        <v>9999</v>
      </c>
      <c r="AN819" s="37" t="n">
        <f aca="false">IF(AL819=0,9999,IF($H819=1,IF($AJ819&lt;1,AN818+1,0),AN818))</f>
        <v>9999</v>
      </c>
      <c r="AO819" s="37" t="n">
        <f aca="false">IF($A819-AM819&gt;0,1/(1+AM819),0)</f>
        <v>0</v>
      </c>
      <c r="AP819" s="37" t="n">
        <f aca="false">IF($A819-AN819&gt;0,1/(1+AN819),0)</f>
        <v>0</v>
      </c>
      <c r="AQ819" s="7" t="n">
        <f aca="false">IF(AK819=0,0,MAX(MIN(1,AO819^Power),0))</f>
        <v>0</v>
      </c>
      <c r="AR819" s="7" t="n">
        <f aca="false">IF(AL819=0,0,MAX(MIN(1,AP819^Power),0))</f>
        <v>0</v>
      </c>
      <c r="AS819" s="7" t="n">
        <f aca="false">IF($AJ819=1,IF($H819=0,K819,AS818),AS818)</f>
        <v>0</v>
      </c>
      <c r="AT819" s="7" t="n">
        <f aca="false">IF($AJ819=1,IF($H819=1,N819,AT818),AT818)</f>
        <v>0</v>
      </c>
    </row>
    <row r="820" customFormat="false" ht="13" hidden="false" customHeight="false" outlineLevel="0" collapsed="false">
      <c r="A820" s="16" t="n">
        <v>803</v>
      </c>
      <c r="B820" s="37" t="n">
        <f aca="true">IF(RAND()&lt;$D$8,1,0)</f>
        <v>0</v>
      </c>
      <c r="C820" s="20" t="n">
        <f aca="true">-LN(RAND())/$D$2</f>
        <v>0.100700849542217</v>
      </c>
      <c r="D820" s="38" t="n">
        <f aca="false">D819+C820</f>
        <v>847.734189308066</v>
      </c>
      <c r="E820" s="39" t="n">
        <f aca="false">MAX($E$3,AS819)</f>
        <v>0</v>
      </c>
      <c r="F820" s="39" t="n">
        <f aca="false">MAX($E$3,AT819)</f>
        <v>0</v>
      </c>
      <c r="G820" s="40" t="n">
        <v>0.5</v>
      </c>
      <c r="H820" s="38" t="n">
        <f aca="true">IF((B820=1),(IF((F820&lt;E820),1,(IF((F820=E820),(IF(RAND()&lt;G820,1,0)),0)))),(IF((RAND()&lt;G820),1,0)))</f>
        <v>0</v>
      </c>
      <c r="I820" s="38" t="n">
        <f aca="true">IF((H820=1),0,$D$3+$D$5*(RAND()-0.5))</f>
        <v>2.16064800943585</v>
      </c>
      <c r="J820" s="38" t="n">
        <f aca="false">I820+MAX(D820,J819)</f>
        <v>866.39513738289</v>
      </c>
      <c r="K820" s="38" t="n">
        <f aca="false">IF((H820=0),J820-D820,0)</f>
        <v>18.6609480748242</v>
      </c>
      <c r="L820" s="38" t="n">
        <f aca="true">IF(($H820=0),0,$D$4+$D$5*(RAND()-0.5))</f>
        <v>0</v>
      </c>
      <c r="M820" s="38" t="n">
        <f aca="false">L820+MAX(D820,M819)</f>
        <v>873.769097898585</v>
      </c>
      <c r="N820" s="38" t="n">
        <f aca="false">IF((H820=1),M820-D820,0)</f>
        <v>0</v>
      </c>
      <c r="O820" s="16" t="n">
        <v>803</v>
      </c>
      <c r="P820" s="41" t="n">
        <f aca="false">IF((Arterial=0),P819+1,P819)</f>
        <v>380</v>
      </c>
      <c r="Q820" s="41" t="n">
        <f aca="false">IF((Arterial=1),Q819+1,Q819)</f>
        <v>423</v>
      </c>
      <c r="R820" s="42" t="e">
        <f aca="false">IF((RESET=1),0,R820+K820)</f>
        <v>#N/A</v>
      </c>
      <c r="S820" s="14" t="n">
        <f aca="false">IF(RESET=1,0,S820+N820)</f>
        <v>556.50354506975</v>
      </c>
      <c r="T820" s="2" t="e">
        <f aca="false">IF(RESET=1,0,T820+IF(H820=0,1,0))</f>
        <v>#N/A</v>
      </c>
      <c r="U820" s="2" t="n">
        <f aca="false">IF(RESET=1,0,U820+H820)</f>
        <v>35</v>
      </c>
      <c r="V820" s="14" t="e">
        <f aca="false">R820/(T820+0.00001)</f>
        <v>#N/A</v>
      </c>
      <c r="W820" s="14" t="n">
        <f aca="false">S820/(U820+0.0001)</f>
        <v>15.9000558589761</v>
      </c>
      <c r="X820" s="39" t="n">
        <f aca="false">IF(Informed=1,K820,0)</f>
        <v>0</v>
      </c>
      <c r="Y820" s="39" t="n">
        <f aca="false">IF(Informed=0,K820,0)</f>
        <v>18.6609480748242</v>
      </c>
      <c r="Z820" s="39" t="n">
        <f aca="false">IF(Informed=1,N820,0)</f>
        <v>0</v>
      </c>
      <c r="AA820" s="39" t="n">
        <f aca="false">IF(Informed=0,N820,0)</f>
        <v>0</v>
      </c>
      <c r="AB820" s="43" t="n">
        <f aca="false">IF(Arterial=0,IF(Informed=1,1,0),0)</f>
        <v>0</v>
      </c>
      <c r="AC820" s="43" t="n">
        <f aca="false">IF(Arterial=0,IF(Informed=0,1,0),0)</f>
        <v>1</v>
      </c>
      <c r="AD820" s="43" t="n">
        <f aca="false">IF(Arterial=1,IF(Informed=1,1,0),0)</f>
        <v>0</v>
      </c>
      <c r="AE820" s="43" t="n">
        <f aca="false">IF(Arterial=1,IF(Informed=0,1,0),0)</f>
        <v>0</v>
      </c>
      <c r="AF820" s="35" t="n">
        <f aca="false">IF(AB820=1,(X820-G$1030)^2,0)</f>
        <v>0</v>
      </c>
      <c r="AG820" s="35" t="n">
        <f aca="false">IF(AC820=1,(Y820-H$1030)^2,0)</f>
        <v>59.863688566702</v>
      </c>
      <c r="AH820" s="35" t="n">
        <f aca="false">IF(AD820=1,(Z820-I$1030)^2,0)</f>
        <v>0</v>
      </c>
      <c r="AI820" s="35" t="n">
        <f aca="false">IF(AE820=1,(AA820-J$1030)^2,0)</f>
        <v>0</v>
      </c>
      <c r="AJ820" s="37" t="n">
        <f aca="true">IF(RAND()&lt;$D$6,1,0)</f>
        <v>0</v>
      </c>
      <c r="AK820" s="14" t="n">
        <f aca="false">AK819+IF((AJ820=1),IF((H820=0),1,0),0)</f>
        <v>0</v>
      </c>
      <c r="AL820" s="14" t="n">
        <f aca="false">AL819+IF((AJ820=1),IF((H820=1),1,0),0)</f>
        <v>0</v>
      </c>
      <c r="AM820" s="37" t="n">
        <f aca="false">IF(AK820=0,9999,IF($H820=0,IF($AJ820&lt;1,AM819+1,0),AM819))</f>
        <v>9999</v>
      </c>
      <c r="AN820" s="37" t="n">
        <f aca="false">IF(AL820=0,9999,IF($H820=1,IF($AJ820&lt;1,AN819+1,0),AN819))</f>
        <v>9999</v>
      </c>
      <c r="AO820" s="37" t="n">
        <f aca="false">IF($A820-AM820&gt;0,1/(1+AM820),0)</f>
        <v>0</v>
      </c>
      <c r="AP820" s="37" t="n">
        <f aca="false">IF($A820-AN820&gt;0,1/(1+AN820),0)</f>
        <v>0</v>
      </c>
      <c r="AQ820" s="7" t="n">
        <f aca="false">IF(AK820=0,0,MAX(MIN(1,AO820^Power),0))</f>
        <v>0</v>
      </c>
      <c r="AR820" s="7" t="n">
        <f aca="false">IF(AL820=0,0,MAX(MIN(1,AP820^Power),0))</f>
        <v>0</v>
      </c>
      <c r="AS820" s="7" t="n">
        <f aca="false">IF($AJ820=1,IF($H820=0,K820,AS819),AS819)</f>
        <v>0</v>
      </c>
      <c r="AT820" s="7" t="n">
        <f aca="false">IF($AJ820=1,IF($H820=1,N820,AT819),AT819)</f>
        <v>0</v>
      </c>
    </row>
    <row r="821" customFormat="false" ht="13" hidden="false" customHeight="false" outlineLevel="0" collapsed="false">
      <c r="A821" s="16" t="n">
        <v>804</v>
      </c>
      <c r="B821" s="37" t="n">
        <f aca="true">IF(RAND()&lt;$D$8,1,0)</f>
        <v>1</v>
      </c>
      <c r="C821" s="20" t="n">
        <f aca="true">-LN(RAND())/$D$2</f>
        <v>4.82703143257451</v>
      </c>
      <c r="D821" s="38" t="n">
        <f aca="false">D820+C821</f>
        <v>852.56122074064</v>
      </c>
      <c r="E821" s="39" t="n">
        <f aca="false">MAX($E$3,AS820)</f>
        <v>0</v>
      </c>
      <c r="F821" s="39" t="n">
        <f aca="false">MAX($E$3,AT820)</f>
        <v>0</v>
      </c>
      <c r="G821" s="40" t="n">
        <v>0.5</v>
      </c>
      <c r="H821" s="38" t="n">
        <f aca="true">IF((B821=1),(IF((F821&lt;E821),1,(IF((F821=E821),(IF(RAND()&lt;G821,1,0)),0)))),(IF((RAND()&lt;G821),1,0)))</f>
        <v>0</v>
      </c>
      <c r="I821" s="38" t="n">
        <f aca="true">IF((H821=1),0,$D$3+$D$5*(RAND()-0.5))</f>
        <v>2.05899203356781</v>
      </c>
      <c r="J821" s="38" t="n">
        <f aca="false">I821+MAX(D821,J820)</f>
        <v>868.454129416458</v>
      </c>
      <c r="K821" s="38" t="n">
        <f aca="false">IF((H821=0),J821-D821,0)</f>
        <v>15.8929086758176</v>
      </c>
      <c r="L821" s="38" t="n">
        <f aca="true">IF(($H821=0),0,$D$4+$D$5*(RAND()-0.5))</f>
        <v>0</v>
      </c>
      <c r="M821" s="38" t="n">
        <f aca="false">L821+MAX(D821,M820)</f>
        <v>873.769097898585</v>
      </c>
      <c r="N821" s="38" t="n">
        <f aca="false">IF((H821=1),M821-D821,0)</f>
        <v>0</v>
      </c>
      <c r="O821" s="16" t="n">
        <v>804</v>
      </c>
      <c r="P821" s="41" t="n">
        <f aca="false">IF((Arterial=0),P820+1,P820)</f>
        <v>381</v>
      </c>
      <c r="Q821" s="41" t="n">
        <f aca="false">IF((Arterial=1),Q820+1,Q820)</f>
        <v>423</v>
      </c>
      <c r="R821" s="42" t="e">
        <f aca="false">IF((RESET=1),0,R821+K821)</f>
        <v>#N/A</v>
      </c>
      <c r="S821" s="14" t="n">
        <f aca="false">IF(RESET=1,0,S821+N821)</f>
        <v>692.98995947985</v>
      </c>
      <c r="T821" s="2" t="e">
        <f aca="false">IF(RESET=1,0,T821+IF(H821=0,1,0))</f>
        <v>#N/A</v>
      </c>
      <c r="U821" s="2" t="n">
        <f aca="false">IF(RESET=1,0,U821+H821)</f>
        <v>36</v>
      </c>
      <c r="V821" s="14" t="e">
        <f aca="false">R821/(T821+0.00001)</f>
        <v>#N/A</v>
      </c>
      <c r="W821" s="14" t="n">
        <f aca="false">S821/(U821+0.0001)</f>
        <v>19.2496676253635</v>
      </c>
      <c r="X821" s="39" t="n">
        <f aca="false">IF(Informed=1,K821,0)</f>
        <v>15.8929086758176</v>
      </c>
      <c r="Y821" s="39" t="n">
        <f aca="false">IF(Informed=0,K821,0)</f>
        <v>0</v>
      </c>
      <c r="Z821" s="39" t="n">
        <f aca="false">IF(Informed=1,N821,0)</f>
        <v>0</v>
      </c>
      <c r="AA821" s="39" t="n">
        <f aca="false">IF(Informed=0,N821,0)</f>
        <v>0</v>
      </c>
      <c r="AB821" s="43" t="n">
        <f aca="false">IF(Arterial=0,IF(Informed=1,1,0),0)</f>
        <v>1</v>
      </c>
      <c r="AC821" s="43" t="n">
        <f aca="false">IF(Arterial=0,IF(Informed=0,1,0),0)</f>
        <v>0</v>
      </c>
      <c r="AD821" s="43" t="n">
        <f aca="false">IF(Arterial=1,IF(Informed=1,1,0),0)</f>
        <v>0</v>
      </c>
      <c r="AE821" s="43" t="n">
        <f aca="false">IF(Arterial=1,IF(Informed=0,1,0),0)</f>
        <v>0</v>
      </c>
      <c r="AF821" s="35" t="n">
        <f aca="false">IF(AB821=1,(X821-G$1030)^2,0)</f>
        <v>26.8658777323517</v>
      </c>
      <c r="AG821" s="35" t="n">
        <f aca="false">IF(AC821=1,(Y821-H$1030)^2,0)</f>
        <v>0</v>
      </c>
      <c r="AH821" s="35" t="n">
        <f aca="false">IF(AD821=1,(Z821-I$1030)^2,0)</f>
        <v>0</v>
      </c>
      <c r="AI821" s="35" t="n">
        <f aca="false">IF(AE821=1,(AA821-J$1030)^2,0)</f>
        <v>0</v>
      </c>
      <c r="AJ821" s="37" t="n">
        <f aca="true">IF(RAND()&lt;$D$6,1,0)</f>
        <v>0</v>
      </c>
      <c r="AK821" s="14" t="n">
        <f aca="false">AK820+IF((AJ821=1),IF((H821=0),1,0),0)</f>
        <v>0</v>
      </c>
      <c r="AL821" s="14" t="n">
        <f aca="false">AL820+IF((AJ821=1),IF((H821=1),1,0),0)</f>
        <v>0</v>
      </c>
      <c r="AM821" s="37" t="n">
        <f aca="false">IF(AK821=0,9999,IF($H821=0,IF($AJ821&lt;1,AM820+1,0),AM820))</f>
        <v>9999</v>
      </c>
      <c r="AN821" s="37" t="n">
        <f aca="false">IF(AL821=0,9999,IF($H821=1,IF($AJ821&lt;1,AN820+1,0),AN820))</f>
        <v>9999</v>
      </c>
      <c r="AO821" s="37" t="n">
        <f aca="false">IF($A821-AM821&gt;0,1/(1+AM821),0)</f>
        <v>0</v>
      </c>
      <c r="AP821" s="37" t="n">
        <f aca="false">IF($A821-AN821&gt;0,1/(1+AN821),0)</f>
        <v>0</v>
      </c>
      <c r="AQ821" s="7" t="n">
        <f aca="false">IF(AK821=0,0,MAX(MIN(1,AO821^Power),0))</f>
        <v>0</v>
      </c>
      <c r="AR821" s="7" t="n">
        <f aca="false">IF(AL821=0,0,MAX(MIN(1,AP821^Power),0))</f>
        <v>0</v>
      </c>
      <c r="AS821" s="7" t="n">
        <f aca="false">IF($AJ821=1,IF($H821=0,K821,AS820),AS820)</f>
        <v>0</v>
      </c>
      <c r="AT821" s="7" t="n">
        <f aca="false">IF($AJ821=1,IF($H821=1,N821,AT820),AT820)</f>
        <v>0</v>
      </c>
    </row>
    <row r="822" customFormat="false" ht="13" hidden="false" customHeight="false" outlineLevel="0" collapsed="false">
      <c r="A822" s="16" t="n">
        <v>805</v>
      </c>
      <c r="B822" s="37" t="n">
        <f aca="true">IF(RAND()&lt;$D$8,1,0)</f>
        <v>1</v>
      </c>
      <c r="C822" s="20" t="n">
        <f aca="true">-LN(RAND())/$D$2</f>
        <v>0.23213466085333</v>
      </c>
      <c r="D822" s="38" t="n">
        <f aca="false">D821+C822</f>
        <v>852.793355401494</v>
      </c>
      <c r="E822" s="39" t="n">
        <f aca="false">MAX($E$3,AS821)</f>
        <v>0</v>
      </c>
      <c r="F822" s="39" t="n">
        <f aca="false">MAX($E$3,AT821)</f>
        <v>0</v>
      </c>
      <c r="G822" s="40" t="n">
        <v>0.5</v>
      </c>
      <c r="H822" s="38" t="n">
        <f aca="true">IF((B822=1),(IF((F822&lt;E822),1,(IF((F822=E822),(IF(RAND()&lt;G822,1,0)),0)))),(IF((RAND()&lt;G822),1,0)))</f>
        <v>0</v>
      </c>
      <c r="I822" s="38" t="n">
        <f aca="true">IF((H822=1),0,$D$3+$D$5*(RAND()-0.5))</f>
        <v>1.96894439228169</v>
      </c>
      <c r="J822" s="38" t="n">
        <f aca="false">I822+MAX(D822,J821)</f>
        <v>870.42307380874</v>
      </c>
      <c r="K822" s="38" t="n">
        <f aca="false">IF((H822=0),J822-D822,0)</f>
        <v>17.6297184072459</v>
      </c>
      <c r="L822" s="38" t="n">
        <f aca="true">IF(($H822=0),0,$D$4+$D$5*(RAND()-0.5))</f>
        <v>0</v>
      </c>
      <c r="M822" s="38" t="n">
        <f aca="false">L822+MAX(D822,M821)</f>
        <v>873.769097898585</v>
      </c>
      <c r="N822" s="38" t="n">
        <f aca="false">IF((H822=1),M822-D822,0)</f>
        <v>0</v>
      </c>
      <c r="O822" s="16" t="n">
        <v>805</v>
      </c>
      <c r="P822" s="41" t="n">
        <f aca="false">IF((Arterial=0),P821+1,P821)</f>
        <v>382</v>
      </c>
      <c r="Q822" s="41" t="n">
        <f aca="false">IF((Arterial=1),Q821+1,Q821)</f>
        <v>423</v>
      </c>
      <c r="R822" s="42" t="e">
        <f aca="false">IF((RESET=1),0,R822+K822)</f>
        <v>#N/A</v>
      </c>
      <c r="S822" s="14" t="n">
        <f aca="false">IF(RESET=1,0,S822+N822)</f>
        <v>644.8847865606</v>
      </c>
      <c r="T822" s="2" t="e">
        <f aca="false">IF(RESET=1,0,T822+IF(H822=0,1,0))</f>
        <v>#N/A</v>
      </c>
      <c r="U822" s="2" t="n">
        <f aca="false">IF(RESET=1,0,U822+H822)</f>
        <v>38</v>
      </c>
      <c r="V822" s="14" t="e">
        <f aca="false">R822/(T822+0.00001)</f>
        <v>#N/A</v>
      </c>
      <c r="W822" s="14" t="n">
        <f aca="false">S822/(U822+0.0001)</f>
        <v>16.9706076184168</v>
      </c>
      <c r="X822" s="39" t="n">
        <f aca="false">IF(Informed=1,K822,0)</f>
        <v>17.6297184072459</v>
      </c>
      <c r="Y822" s="39" t="n">
        <f aca="false">IF(Informed=0,K822,0)</f>
        <v>0</v>
      </c>
      <c r="Z822" s="39" t="n">
        <f aca="false">IF(Informed=1,N822,0)</f>
        <v>0</v>
      </c>
      <c r="AA822" s="39" t="n">
        <f aca="false">IF(Informed=0,N822,0)</f>
        <v>0</v>
      </c>
      <c r="AB822" s="43" t="n">
        <f aca="false">IF(Arterial=0,IF(Informed=1,1,0),0)</f>
        <v>1</v>
      </c>
      <c r="AC822" s="43" t="n">
        <f aca="false">IF(Arterial=0,IF(Informed=0,1,0),0)</f>
        <v>0</v>
      </c>
      <c r="AD822" s="43" t="n">
        <f aca="false">IF(Arterial=1,IF(Informed=1,1,0),0)</f>
        <v>0</v>
      </c>
      <c r="AE822" s="43" t="n">
        <f aca="false">IF(Arterial=1,IF(Informed=0,1,0),0)</f>
        <v>0</v>
      </c>
      <c r="AF822" s="35" t="n">
        <f aca="false">IF(AB822=1,(X822-G$1030)^2,0)</f>
        <v>47.8869558916864</v>
      </c>
      <c r="AG822" s="35" t="n">
        <f aca="false">IF(AC822=1,(Y822-H$1030)^2,0)</f>
        <v>0</v>
      </c>
      <c r="AH822" s="35" t="n">
        <f aca="false">IF(AD822=1,(Z822-I$1030)^2,0)</f>
        <v>0</v>
      </c>
      <c r="AI822" s="35" t="n">
        <f aca="false">IF(AE822=1,(AA822-J$1030)^2,0)</f>
        <v>0</v>
      </c>
      <c r="AJ822" s="37" t="n">
        <f aca="true">IF(RAND()&lt;$D$6,1,0)</f>
        <v>0</v>
      </c>
      <c r="AK822" s="14" t="n">
        <f aca="false">AK821+IF((AJ822=1),IF((H822=0),1,0),0)</f>
        <v>0</v>
      </c>
      <c r="AL822" s="14" t="n">
        <f aca="false">AL821+IF((AJ822=1),IF((H822=1),1,0),0)</f>
        <v>0</v>
      </c>
      <c r="AM822" s="37" t="n">
        <f aca="false">IF(AK822=0,9999,IF($H822=0,IF($AJ822&lt;1,AM821+1,0),AM821))</f>
        <v>9999</v>
      </c>
      <c r="AN822" s="37" t="n">
        <f aca="false">IF(AL822=0,9999,IF($H822=1,IF($AJ822&lt;1,AN821+1,0),AN821))</f>
        <v>9999</v>
      </c>
      <c r="AO822" s="37" t="n">
        <f aca="false">IF($A822-AM822&gt;0,1/(1+AM822),0)</f>
        <v>0</v>
      </c>
      <c r="AP822" s="37" t="n">
        <f aca="false">IF($A822-AN822&gt;0,1/(1+AN822),0)</f>
        <v>0</v>
      </c>
      <c r="AQ822" s="7" t="n">
        <f aca="false">IF(AK822=0,0,MAX(MIN(1,AO822^Power),0))</f>
        <v>0</v>
      </c>
      <c r="AR822" s="7" t="n">
        <f aca="false">IF(AL822=0,0,MAX(MIN(1,AP822^Power),0))</f>
        <v>0</v>
      </c>
      <c r="AS822" s="7" t="n">
        <f aca="false">IF($AJ822=1,IF($H822=0,K822,AS821),AS821)</f>
        <v>0</v>
      </c>
      <c r="AT822" s="7" t="n">
        <f aca="false">IF($AJ822=1,IF($H822=1,N822,AT821),AT821)</f>
        <v>0</v>
      </c>
    </row>
    <row r="823" customFormat="false" ht="13" hidden="false" customHeight="false" outlineLevel="0" collapsed="false">
      <c r="A823" s="16" t="n">
        <v>806</v>
      </c>
      <c r="B823" s="37" t="n">
        <f aca="true">IF(RAND()&lt;$D$8,1,0)</f>
        <v>0</v>
      </c>
      <c r="C823" s="20" t="n">
        <f aca="true">-LN(RAND())/$D$2</f>
        <v>1.92383940788997</v>
      </c>
      <c r="D823" s="38" t="n">
        <f aca="false">D822+C823</f>
        <v>854.717194809384</v>
      </c>
      <c r="E823" s="39" t="n">
        <f aca="false">MAX($E$3,AS822)</f>
        <v>0</v>
      </c>
      <c r="F823" s="39" t="n">
        <f aca="false">MAX($E$3,AT822)</f>
        <v>0</v>
      </c>
      <c r="G823" s="40" t="n">
        <v>0.5</v>
      </c>
      <c r="H823" s="38" t="n">
        <f aca="true">IF((B823=1),(IF((F823&lt;E823),1,(IF((F823=E823),(IF(RAND()&lt;G823,1,0)),0)))),(IF((RAND()&lt;G823),1,0)))</f>
        <v>1</v>
      </c>
      <c r="I823" s="38" t="n">
        <f aca="true">IF((H823=1),0,$D$3+$D$5*(RAND()-0.5))</f>
        <v>0</v>
      </c>
      <c r="J823" s="38" t="n">
        <f aca="false">I823+MAX(D823,J822)</f>
        <v>870.42307380874</v>
      </c>
      <c r="K823" s="38" t="n">
        <f aca="false">IF((H823=0),J823-D823,0)</f>
        <v>0</v>
      </c>
      <c r="L823" s="38" t="n">
        <f aca="true">IF(($H823=0),0,$D$4+$D$5*(RAND()-0.5))</f>
        <v>2.24308263550753</v>
      </c>
      <c r="M823" s="38" t="n">
        <f aca="false">L823+MAX(D823,M822)</f>
        <v>876.012180534092</v>
      </c>
      <c r="N823" s="38" t="n">
        <f aca="false">IF((H823=1),M823-D823,0)</f>
        <v>21.2949857247083</v>
      </c>
      <c r="O823" s="16" t="n">
        <v>806</v>
      </c>
      <c r="P823" s="41" t="n">
        <f aca="false">IF((Arterial=0),P822+1,P822)</f>
        <v>382</v>
      </c>
      <c r="Q823" s="41" t="n">
        <f aca="false">IF((Arterial=1),Q822+1,Q822)</f>
        <v>424</v>
      </c>
      <c r="R823" s="42" t="n">
        <f aca="false">IF((RESET=1),0,R823+K823)</f>
        <v>720.234678103996</v>
      </c>
      <c r="S823" s="14" t="e">
        <f aca="false">IF(RESET=1,0,S823+N823)</f>
        <v>#N/A</v>
      </c>
      <c r="T823" s="2" t="n">
        <f aca="false">IF(RESET=1,0,T823+IF(H823=0,1,0))</f>
        <v>42</v>
      </c>
      <c r="U823" s="2" t="e">
        <f aca="false">IF(RESET=1,0,U823+H823)</f>
        <v>#N/A</v>
      </c>
      <c r="V823" s="14" t="n">
        <f aca="false">R823/(T823+0.00001)</f>
        <v>17.1484406337997</v>
      </c>
      <c r="W823" s="14" t="e">
        <f aca="false">S823/(U823+0.0001)</f>
        <v>#N/A</v>
      </c>
      <c r="X823" s="39" t="n">
        <f aca="false">IF(Informed=1,K823,0)</f>
        <v>0</v>
      </c>
      <c r="Y823" s="39" t="n">
        <f aca="false">IF(Informed=0,K823,0)</f>
        <v>0</v>
      </c>
      <c r="Z823" s="39" t="n">
        <f aca="false">IF(Informed=1,N823,0)</f>
        <v>0</v>
      </c>
      <c r="AA823" s="39" t="n">
        <f aca="false">IF(Informed=0,N823,0)</f>
        <v>21.2949857247083</v>
      </c>
      <c r="AB823" s="43" t="n">
        <f aca="false">IF(Arterial=0,IF(Informed=1,1,0),0)</f>
        <v>0</v>
      </c>
      <c r="AC823" s="43" t="n">
        <f aca="false">IF(Arterial=0,IF(Informed=0,1,0),0)</f>
        <v>0</v>
      </c>
      <c r="AD823" s="43" t="n">
        <f aca="false">IF(Arterial=1,IF(Informed=1,1,0),0)</f>
        <v>0</v>
      </c>
      <c r="AE823" s="43" t="n">
        <f aca="false">IF(Arterial=1,IF(Informed=0,1,0),0)</f>
        <v>1</v>
      </c>
      <c r="AF823" s="35" t="n">
        <f aca="false">IF(AB823=1,(X823-G$1030)^2,0)</f>
        <v>0</v>
      </c>
      <c r="AG823" s="35" t="n">
        <f aca="false">IF(AC823=1,(Y823-H$1030)^2,0)</f>
        <v>0</v>
      </c>
      <c r="AH823" s="35" t="n">
        <f aca="false">IF(AD823=1,(Z823-I$1030)^2,0)</f>
        <v>0</v>
      </c>
      <c r="AI823" s="35" t="n">
        <f aca="false">IF(AE823=1,(AA823-J$1030)^2,0)</f>
        <v>68.3811449566333</v>
      </c>
      <c r="AJ823" s="37" t="n">
        <f aca="true">IF(RAND()&lt;$D$6,1,0)</f>
        <v>0</v>
      </c>
      <c r="AK823" s="14" t="n">
        <f aca="false">AK822+IF((AJ823=1),IF((H823=0),1,0),0)</f>
        <v>0</v>
      </c>
      <c r="AL823" s="14" t="n">
        <f aca="false">AL822+IF((AJ823=1),IF((H823=1),1,0),0)</f>
        <v>0</v>
      </c>
      <c r="AM823" s="37" t="n">
        <f aca="false">IF(AK823=0,9999,IF($H823=0,IF($AJ823&lt;1,AM822+1,0),AM822))</f>
        <v>9999</v>
      </c>
      <c r="AN823" s="37" t="n">
        <f aca="false">IF(AL823=0,9999,IF($H823=1,IF($AJ823&lt;1,AN822+1,0),AN822))</f>
        <v>9999</v>
      </c>
      <c r="AO823" s="37" t="n">
        <f aca="false">IF($A823-AM823&gt;0,1/(1+AM823),0)</f>
        <v>0</v>
      </c>
      <c r="AP823" s="37" t="n">
        <f aca="false">IF($A823-AN823&gt;0,1/(1+AN823),0)</f>
        <v>0</v>
      </c>
      <c r="AQ823" s="7" t="n">
        <f aca="false">IF(AK823=0,0,MAX(MIN(1,AO823^Power),0))</f>
        <v>0</v>
      </c>
      <c r="AR823" s="7" t="n">
        <f aca="false">IF(AL823=0,0,MAX(MIN(1,AP823^Power),0))</f>
        <v>0</v>
      </c>
      <c r="AS823" s="7" t="n">
        <f aca="false">IF($AJ823=1,IF($H823=0,K823,AS822),AS822)</f>
        <v>0</v>
      </c>
      <c r="AT823" s="7" t="n">
        <f aca="false">IF($AJ823=1,IF($H823=1,N823,AT822),AT822)</f>
        <v>0</v>
      </c>
    </row>
    <row r="824" customFormat="false" ht="13" hidden="false" customHeight="false" outlineLevel="0" collapsed="false">
      <c r="A824" s="16" t="n">
        <v>807</v>
      </c>
      <c r="B824" s="37" t="n">
        <f aca="true">IF(RAND()&lt;$D$8,1,0)</f>
        <v>0</v>
      </c>
      <c r="C824" s="20" t="n">
        <f aca="true">-LN(RAND())/$D$2</f>
        <v>2.0234544709243</v>
      </c>
      <c r="D824" s="38" t="n">
        <f aca="false">D823+C824</f>
        <v>856.740649280308</v>
      </c>
      <c r="E824" s="39" t="n">
        <f aca="false">MAX($E$3,AS823)</f>
        <v>0</v>
      </c>
      <c r="F824" s="39" t="n">
        <f aca="false">MAX($E$3,AT823)</f>
        <v>0</v>
      </c>
      <c r="G824" s="40" t="n">
        <v>0.5</v>
      </c>
      <c r="H824" s="38" t="n">
        <f aca="true">IF((B824=1),(IF((F824&lt;E824),1,(IF((F824=E824),(IF(RAND()&lt;G824,1,0)),0)))),(IF((RAND()&lt;G824),1,0)))</f>
        <v>1</v>
      </c>
      <c r="I824" s="38" t="n">
        <f aca="true">IF((H824=1),0,$D$3+$D$5*(RAND()-0.5))</f>
        <v>0</v>
      </c>
      <c r="J824" s="38" t="n">
        <f aca="false">I824+MAX(D824,J823)</f>
        <v>870.42307380874</v>
      </c>
      <c r="K824" s="38" t="n">
        <f aca="false">IF((H824=0),J824-D824,0)</f>
        <v>0</v>
      </c>
      <c r="L824" s="38" t="n">
        <f aca="true">IF(($H824=0),0,$D$4+$D$5*(RAND()-0.5))</f>
        <v>2.13811217103961</v>
      </c>
      <c r="M824" s="38" t="n">
        <f aca="false">L824+MAX(D824,M823)</f>
        <v>878.150292705132</v>
      </c>
      <c r="N824" s="38" t="n">
        <f aca="false">IF((H824=1),M824-D824,0)</f>
        <v>21.4096434248237</v>
      </c>
      <c r="O824" s="16" t="n">
        <v>807</v>
      </c>
      <c r="P824" s="41" t="n">
        <f aca="false">IF((Arterial=0),P823+1,P823)</f>
        <v>382</v>
      </c>
      <c r="Q824" s="41" t="n">
        <f aca="false">IF((Arterial=1),Q823+1,Q823)</f>
        <v>425</v>
      </c>
      <c r="R824" s="42" t="n">
        <f aca="false">IF((RESET=1),0,R824+K824)</f>
        <v>814.876986072239</v>
      </c>
      <c r="S824" s="14" t="e">
        <f aca="false">IF(RESET=1,0,S824+N824)</f>
        <v>#N/A</v>
      </c>
      <c r="T824" s="2" t="n">
        <f aca="false">IF(RESET=1,0,T824+IF(H824=0,1,0))</f>
        <v>43</v>
      </c>
      <c r="U824" s="2" t="e">
        <f aca="false">IF(RESET=1,0,U824+H824)</f>
        <v>#N/A</v>
      </c>
      <c r="V824" s="14" t="n">
        <f aca="false">R824/(T824+0.00001)</f>
        <v>18.9506231759537</v>
      </c>
      <c r="W824" s="14" t="e">
        <f aca="false">S824/(U824+0.0001)</f>
        <v>#N/A</v>
      </c>
      <c r="X824" s="39" t="n">
        <f aca="false">IF(Informed=1,K824,0)</f>
        <v>0</v>
      </c>
      <c r="Y824" s="39" t="n">
        <f aca="false">IF(Informed=0,K824,0)</f>
        <v>0</v>
      </c>
      <c r="Z824" s="39" t="n">
        <f aca="false">IF(Informed=1,N824,0)</f>
        <v>0</v>
      </c>
      <c r="AA824" s="39" t="n">
        <f aca="false">IF(Informed=0,N824,0)</f>
        <v>21.4096434248237</v>
      </c>
      <c r="AB824" s="43" t="n">
        <f aca="false">IF(Arterial=0,IF(Informed=1,1,0),0)</f>
        <v>0</v>
      </c>
      <c r="AC824" s="43" t="n">
        <f aca="false">IF(Arterial=0,IF(Informed=0,1,0),0)</f>
        <v>0</v>
      </c>
      <c r="AD824" s="43" t="n">
        <f aca="false">IF(Arterial=1,IF(Informed=1,1,0),0)</f>
        <v>0</v>
      </c>
      <c r="AE824" s="43" t="n">
        <f aca="false">IF(Arterial=1,IF(Informed=0,1,0),0)</f>
        <v>1</v>
      </c>
      <c r="AF824" s="35" t="n">
        <f aca="false">IF(AB824=1,(X824-G$1030)^2,0)</f>
        <v>0</v>
      </c>
      <c r="AG824" s="35" t="n">
        <f aca="false">IF(AC824=1,(Y824-H$1030)^2,0)</f>
        <v>0</v>
      </c>
      <c r="AH824" s="35" t="n">
        <f aca="false">IF(AD824=1,(Z824-I$1030)^2,0)</f>
        <v>0</v>
      </c>
      <c r="AI824" s="35" t="n">
        <f aca="false">IF(AE824=1,(AA824-J$1030)^2,0)</f>
        <v>66.4980159672859</v>
      </c>
      <c r="AJ824" s="37" t="n">
        <f aca="true">IF(RAND()&lt;$D$6,1,0)</f>
        <v>0</v>
      </c>
      <c r="AK824" s="14" t="n">
        <f aca="false">AK823+IF((AJ824=1),IF((H824=0),1,0),0)</f>
        <v>0</v>
      </c>
      <c r="AL824" s="14" t="n">
        <f aca="false">AL823+IF((AJ824=1),IF((H824=1),1,0),0)</f>
        <v>0</v>
      </c>
      <c r="AM824" s="37" t="n">
        <f aca="false">IF(AK824=0,9999,IF($H824=0,IF($AJ824&lt;1,AM823+1,0),AM823))</f>
        <v>9999</v>
      </c>
      <c r="AN824" s="37" t="n">
        <f aca="false">IF(AL824=0,9999,IF($H824=1,IF($AJ824&lt;1,AN823+1,0),AN823))</f>
        <v>9999</v>
      </c>
      <c r="AO824" s="37" t="n">
        <f aca="false">IF($A824-AM824&gt;0,1/(1+AM824),0)</f>
        <v>0</v>
      </c>
      <c r="AP824" s="37" t="n">
        <f aca="false">IF($A824-AN824&gt;0,1/(1+AN824),0)</f>
        <v>0</v>
      </c>
      <c r="AQ824" s="7" t="n">
        <f aca="false">IF(AK824=0,0,MAX(MIN(1,AO824^Power),0))</f>
        <v>0</v>
      </c>
      <c r="AR824" s="7" t="n">
        <f aca="false">IF(AL824=0,0,MAX(MIN(1,AP824^Power),0))</f>
        <v>0</v>
      </c>
      <c r="AS824" s="7" t="n">
        <f aca="false">IF($AJ824=1,IF($H824=0,K824,AS823),AS823)</f>
        <v>0</v>
      </c>
      <c r="AT824" s="7" t="n">
        <f aca="false">IF($AJ824=1,IF($H824=1,N824,AT823),AT823)</f>
        <v>0</v>
      </c>
    </row>
    <row r="825" customFormat="false" ht="13" hidden="false" customHeight="false" outlineLevel="0" collapsed="false">
      <c r="A825" s="16" t="n">
        <v>808</v>
      </c>
      <c r="B825" s="37" t="n">
        <f aca="true">IF(RAND()&lt;$D$8,1,0)</f>
        <v>1</v>
      </c>
      <c r="C825" s="20" t="n">
        <f aca="true">-LN(RAND())/$D$2</f>
        <v>0.163005281115299</v>
      </c>
      <c r="D825" s="38" t="n">
        <f aca="false">D824+C825</f>
        <v>856.903654561423</v>
      </c>
      <c r="E825" s="39" t="n">
        <f aca="false">MAX($E$3,AS824)</f>
        <v>0</v>
      </c>
      <c r="F825" s="39" t="n">
        <f aca="false">MAX($E$3,AT824)</f>
        <v>0</v>
      </c>
      <c r="G825" s="40" t="n">
        <v>0.5</v>
      </c>
      <c r="H825" s="38" t="n">
        <f aca="true">IF((B825=1),(IF((F825&lt;E825),1,(IF((F825=E825),(IF(RAND()&lt;G825,1,0)),0)))),(IF((RAND()&lt;G825),1,0)))</f>
        <v>1</v>
      </c>
      <c r="I825" s="38" t="n">
        <f aca="true">IF((H825=1),0,$D$3+$D$5*(RAND()-0.5))</f>
        <v>0</v>
      </c>
      <c r="J825" s="38" t="n">
        <f aca="false">I825+MAX(D825,J824)</f>
        <v>870.42307380874</v>
      </c>
      <c r="K825" s="38" t="n">
        <f aca="false">IF((H825=0),J825-D825,0)</f>
        <v>0</v>
      </c>
      <c r="L825" s="38" t="n">
        <f aca="true">IF(($H825=0),0,$D$4+$D$5*(RAND()-0.5))</f>
        <v>1.79385742407202</v>
      </c>
      <c r="M825" s="38" t="n">
        <f aca="false">L825+MAX(D825,M824)</f>
        <v>879.944150129204</v>
      </c>
      <c r="N825" s="38" t="n">
        <f aca="false">IF((H825=1),M825-D825,0)</f>
        <v>23.0404955677805</v>
      </c>
      <c r="O825" s="16" t="n">
        <v>808</v>
      </c>
      <c r="P825" s="41" t="n">
        <f aca="false">IF((Arterial=0),P824+1,P824)</f>
        <v>382</v>
      </c>
      <c r="Q825" s="41" t="n">
        <f aca="false">IF((Arterial=1),Q824+1,Q824)</f>
        <v>426</v>
      </c>
      <c r="R825" s="42" t="n">
        <f aca="false">IF((RESET=1),0,R825+K825)</f>
        <v>926.547501334896</v>
      </c>
      <c r="S825" s="14" t="e">
        <f aca="false">IF(RESET=1,0,S825+N825)</f>
        <v>#N/A</v>
      </c>
      <c r="T825" s="2" t="n">
        <f aca="false">IF(RESET=1,0,T825+IF(H825=0,1,0))</f>
        <v>43</v>
      </c>
      <c r="U825" s="2" t="e">
        <f aca="false">IF(RESET=1,0,U825+H825)</f>
        <v>#N/A</v>
      </c>
      <c r="V825" s="14" t="n">
        <f aca="false">R825/(T825+0.00001)</f>
        <v>21.5476112990415</v>
      </c>
      <c r="W825" s="14" t="e">
        <f aca="false">S825/(U825+0.0001)</f>
        <v>#N/A</v>
      </c>
      <c r="X825" s="39" t="n">
        <f aca="false">IF(Informed=1,K825,0)</f>
        <v>0</v>
      </c>
      <c r="Y825" s="39" t="n">
        <f aca="false">IF(Informed=0,K825,0)</f>
        <v>0</v>
      </c>
      <c r="Z825" s="39" t="n">
        <f aca="false">IF(Informed=1,N825,0)</f>
        <v>23.0404955677805</v>
      </c>
      <c r="AA825" s="39" t="n">
        <f aca="false">IF(Informed=0,N825,0)</f>
        <v>0</v>
      </c>
      <c r="AB825" s="43" t="n">
        <f aca="false">IF(Arterial=0,IF(Informed=1,1,0),0)</f>
        <v>0</v>
      </c>
      <c r="AC825" s="43" t="n">
        <f aca="false">IF(Arterial=0,IF(Informed=0,1,0),0)</f>
        <v>0</v>
      </c>
      <c r="AD825" s="43" t="n">
        <f aca="false">IF(Arterial=1,IF(Informed=1,1,0),0)</f>
        <v>1</v>
      </c>
      <c r="AE825" s="43" t="n">
        <f aca="false">IF(Arterial=1,IF(Informed=0,1,0),0)</f>
        <v>0</v>
      </c>
      <c r="AF825" s="35" t="n">
        <f aca="false">IF(AB825=1,(X825-G$1030)^2,0)</f>
        <v>0</v>
      </c>
      <c r="AG825" s="35" t="n">
        <f aca="false">IF(AC825=1,(Y825-H$1030)^2,0)</f>
        <v>0</v>
      </c>
      <c r="AH825" s="35" t="n">
        <f aca="false">IF(AD825=1,(Z825-I$1030)^2,0)</f>
        <v>28.4551749722341</v>
      </c>
      <c r="AI825" s="35" t="n">
        <f aca="false">IF(AE825=1,(AA825-J$1030)^2,0)</f>
        <v>0</v>
      </c>
      <c r="AJ825" s="37" t="n">
        <f aca="true">IF(RAND()&lt;$D$6,1,0)</f>
        <v>0</v>
      </c>
      <c r="AK825" s="14" t="n">
        <f aca="false">AK824+IF((AJ825=1),IF((H825=0),1,0),0)</f>
        <v>0</v>
      </c>
      <c r="AL825" s="14" t="n">
        <f aca="false">AL824+IF((AJ825=1),IF((H825=1),1,0),0)</f>
        <v>0</v>
      </c>
      <c r="AM825" s="37" t="n">
        <f aca="false">IF(AK825=0,9999,IF($H825=0,IF($AJ825&lt;1,AM824+1,0),AM824))</f>
        <v>9999</v>
      </c>
      <c r="AN825" s="37" t="n">
        <f aca="false">IF(AL825=0,9999,IF($H825=1,IF($AJ825&lt;1,AN824+1,0),AN824))</f>
        <v>9999</v>
      </c>
      <c r="AO825" s="37" t="n">
        <f aca="false">IF($A825-AM825&gt;0,1/(1+AM825),0)</f>
        <v>0</v>
      </c>
      <c r="AP825" s="37" t="n">
        <f aca="false">IF($A825-AN825&gt;0,1/(1+AN825),0)</f>
        <v>0</v>
      </c>
      <c r="AQ825" s="7" t="n">
        <f aca="false">IF(AK825=0,0,MAX(MIN(1,AO825^Power),0))</f>
        <v>0</v>
      </c>
      <c r="AR825" s="7" t="n">
        <f aca="false">IF(AL825=0,0,MAX(MIN(1,AP825^Power),0))</f>
        <v>0</v>
      </c>
      <c r="AS825" s="7" t="n">
        <f aca="false">IF($AJ825=1,IF($H825=0,K825,AS824),AS824)</f>
        <v>0</v>
      </c>
      <c r="AT825" s="7" t="n">
        <f aca="false">IF($AJ825=1,IF($H825=1,N825,AT824),AT824)</f>
        <v>0</v>
      </c>
    </row>
    <row r="826" customFormat="false" ht="13" hidden="false" customHeight="false" outlineLevel="0" collapsed="false">
      <c r="A826" s="16" t="n">
        <v>809</v>
      </c>
      <c r="B826" s="37" t="n">
        <f aca="true">IF(RAND()&lt;$D$8,1,0)</f>
        <v>1</v>
      </c>
      <c r="C826" s="20" t="n">
        <f aca="true">-LN(RAND())/$D$2</f>
        <v>1.07391932521476</v>
      </c>
      <c r="D826" s="38" t="n">
        <f aca="false">D825+C826</f>
        <v>857.977573886638</v>
      </c>
      <c r="E826" s="39" t="n">
        <f aca="false">MAX($E$3,AS825)</f>
        <v>0</v>
      </c>
      <c r="F826" s="39" t="n">
        <f aca="false">MAX($E$3,AT825)</f>
        <v>0</v>
      </c>
      <c r="G826" s="40" t="n">
        <v>0.5</v>
      </c>
      <c r="H826" s="38" t="n">
        <f aca="true">IF((B826=1),(IF((F826&lt;E826),1,(IF((F826=E826),(IF(RAND()&lt;G826,1,0)),0)))),(IF((RAND()&lt;G826),1,0)))</f>
        <v>1</v>
      </c>
      <c r="I826" s="38" t="n">
        <f aca="true">IF((H826=1),0,$D$3+$D$5*(RAND()-0.5))</f>
        <v>0</v>
      </c>
      <c r="J826" s="38" t="n">
        <f aca="false">I826+MAX(D826,J825)</f>
        <v>870.42307380874</v>
      </c>
      <c r="K826" s="38" t="n">
        <f aca="false">IF((H826=0),J826-D826,0)</f>
        <v>0</v>
      </c>
      <c r="L826" s="38" t="n">
        <f aca="true">IF(($H826=0),0,$D$4+$D$5*(RAND()-0.5))</f>
        <v>2.06133913494208</v>
      </c>
      <c r="M826" s="38" t="n">
        <f aca="false">L826+MAX(D826,M825)</f>
        <v>882.005489264146</v>
      </c>
      <c r="N826" s="38" t="n">
        <f aca="false">IF((H826=1),M826-D826,0)</f>
        <v>24.0279153775077</v>
      </c>
      <c r="O826" s="16" t="n">
        <v>809</v>
      </c>
      <c r="P826" s="41" t="n">
        <f aca="false">IF((Arterial=0),P825+1,P825)</f>
        <v>382</v>
      </c>
      <c r="Q826" s="41" t="n">
        <f aca="false">IF((Arterial=1),Q825+1,Q825)</f>
        <v>427</v>
      </c>
      <c r="R826" s="42" t="n">
        <f aca="false">IF((RESET=1),0,R826+K826)</f>
        <v>700.647985183511</v>
      </c>
      <c r="S826" s="14" t="e">
        <f aca="false">IF(RESET=1,0,S826+N826)</f>
        <v>#N/A</v>
      </c>
      <c r="T826" s="2" t="n">
        <f aca="false">IF(RESET=1,0,T826+IF(H826=0,1,0))</f>
        <v>35</v>
      </c>
      <c r="U826" s="2" t="e">
        <f aca="false">IF(RESET=1,0,U826+H826)</f>
        <v>#N/A</v>
      </c>
      <c r="V826" s="14" t="n">
        <f aca="false">R826/(T826+0.00001)</f>
        <v>20.0185081428123</v>
      </c>
      <c r="W826" s="14" t="e">
        <f aca="false">S826/(U826+0.0001)</f>
        <v>#N/A</v>
      </c>
      <c r="X826" s="39" t="n">
        <f aca="false">IF(Informed=1,K826,0)</f>
        <v>0</v>
      </c>
      <c r="Y826" s="39" t="n">
        <f aca="false">IF(Informed=0,K826,0)</f>
        <v>0</v>
      </c>
      <c r="Z826" s="39" t="n">
        <f aca="false">IF(Informed=1,N826,0)</f>
        <v>24.0279153775077</v>
      </c>
      <c r="AA826" s="39" t="n">
        <f aca="false">IF(Informed=0,N826,0)</f>
        <v>0</v>
      </c>
      <c r="AB826" s="43" t="n">
        <f aca="false">IF(Arterial=0,IF(Informed=1,1,0),0)</f>
        <v>0</v>
      </c>
      <c r="AC826" s="43" t="n">
        <f aca="false">IF(Arterial=0,IF(Informed=0,1,0),0)</f>
        <v>0</v>
      </c>
      <c r="AD826" s="43" t="n">
        <f aca="false">IF(Arterial=1,IF(Informed=1,1,0),0)</f>
        <v>1</v>
      </c>
      <c r="AE826" s="43" t="n">
        <f aca="false">IF(Arterial=1,IF(Informed=0,1,0),0)</f>
        <v>0</v>
      </c>
      <c r="AF826" s="35" t="n">
        <f aca="false">IF(AB826=1,(X826-G$1030)^2,0)</f>
        <v>0</v>
      </c>
      <c r="AG826" s="35" t="n">
        <f aca="false">IF(AC826=1,(Y826-H$1030)^2,0)</f>
        <v>0</v>
      </c>
      <c r="AH826" s="35" t="n">
        <f aca="false">IF(AD826=1,(Z826-I$1030)^2,0)</f>
        <v>18.8957084068358</v>
      </c>
      <c r="AI826" s="35" t="n">
        <f aca="false">IF(AE826=1,(AA826-J$1030)^2,0)</f>
        <v>0</v>
      </c>
      <c r="AJ826" s="37" t="n">
        <f aca="true">IF(RAND()&lt;$D$6,1,0)</f>
        <v>0</v>
      </c>
      <c r="AK826" s="14" t="n">
        <f aca="false">AK825+IF((AJ826=1),IF((H826=0),1,0),0)</f>
        <v>0</v>
      </c>
      <c r="AL826" s="14" t="n">
        <f aca="false">AL825+IF((AJ826=1),IF((H826=1),1,0),0)</f>
        <v>0</v>
      </c>
      <c r="AM826" s="37" t="n">
        <f aca="false">IF(AK826=0,9999,IF($H826=0,IF($AJ826&lt;1,AM825+1,0),AM825))</f>
        <v>9999</v>
      </c>
      <c r="AN826" s="37" t="n">
        <f aca="false">IF(AL826=0,9999,IF($H826=1,IF($AJ826&lt;1,AN825+1,0),AN825))</f>
        <v>9999</v>
      </c>
      <c r="AO826" s="37" t="n">
        <f aca="false">IF($A826-AM826&gt;0,1/(1+AM826),0)</f>
        <v>0</v>
      </c>
      <c r="AP826" s="37" t="n">
        <f aca="false">IF($A826-AN826&gt;0,1/(1+AN826),0)</f>
        <v>0</v>
      </c>
      <c r="AQ826" s="7" t="n">
        <f aca="false">IF(AK826=0,0,MAX(MIN(1,AO826^Power),0))</f>
        <v>0</v>
      </c>
      <c r="AR826" s="7" t="n">
        <f aca="false">IF(AL826=0,0,MAX(MIN(1,AP826^Power),0))</f>
        <v>0</v>
      </c>
      <c r="AS826" s="7" t="n">
        <f aca="false">IF($AJ826=1,IF($H826=0,K826,AS825),AS825)</f>
        <v>0</v>
      </c>
      <c r="AT826" s="7" t="n">
        <f aca="false">IF($AJ826=1,IF($H826=1,N826,AT825),AT825)</f>
        <v>0</v>
      </c>
    </row>
    <row r="827" customFormat="false" ht="13" hidden="false" customHeight="false" outlineLevel="0" collapsed="false">
      <c r="A827" s="16" t="n">
        <v>810</v>
      </c>
      <c r="B827" s="37" t="n">
        <f aca="true">IF(RAND()&lt;$D$8,1,0)</f>
        <v>1</v>
      </c>
      <c r="C827" s="20" t="n">
        <f aca="true">-LN(RAND())/$D$2</f>
        <v>2.87829262240234</v>
      </c>
      <c r="D827" s="38" t="n">
        <f aca="false">D826+C827</f>
        <v>860.85586650904</v>
      </c>
      <c r="E827" s="39" t="n">
        <f aca="false">MAX($E$3,AS826)</f>
        <v>0</v>
      </c>
      <c r="F827" s="39" t="n">
        <f aca="false">MAX($E$3,AT826)</f>
        <v>0</v>
      </c>
      <c r="G827" s="40" t="n">
        <v>0.5</v>
      </c>
      <c r="H827" s="38" t="n">
        <f aca="true">IF((B827=1),(IF((F827&lt;E827),1,(IF((F827=E827),(IF(RAND()&lt;G827,1,0)),0)))),(IF((RAND()&lt;G827),1,0)))</f>
        <v>1</v>
      </c>
      <c r="I827" s="38" t="n">
        <f aca="true">IF((H827=1),0,$D$3+$D$5*(RAND()-0.5))</f>
        <v>0</v>
      </c>
      <c r="J827" s="38" t="n">
        <f aca="false">I827+MAX(D827,J826)</f>
        <v>870.42307380874</v>
      </c>
      <c r="K827" s="38" t="n">
        <f aca="false">IF((H827=0),J827-D827,0)</f>
        <v>0</v>
      </c>
      <c r="L827" s="38" t="n">
        <f aca="true">IF(($H827=0),0,$D$4+$D$5*(RAND()-0.5))</f>
        <v>2.21390346532197</v>
      </c>
      <c r="M827" s="38" t="n">
        <f aca="false">L827+MAX(D827,M826)</f>
        <v>884.219392729468</v>
      </c>
      <c r="N827" s="38" t="n">
        <f aca="false">IF((H827=1),M827-D827,0)</f>
        <v>23.3635262204274</v>
      </c>
      <c r="O827" s="16" t="n">
        <v>810</v>
      </c>
      <c r="P827" s="41" t="n">
        <f aca="false">IF((Arterial=0),P826+1,P826)</f>
        <v>382</v>
      </c>
      <c r="Q827" s="41" t="n">
        <f aca="false">IF((Arterial=1),Q826+1,Q826)</f>
        <v>428</v>
      </c>
      <c r="R827" s="42" t="n">
        <f aca="false">IF((RESET=1),0,R827+K827)</f>
        <v>886.691409643447</v>
      </c>
      <c r="S827" s="14" t="e">
        <f aca="false">IF(RESET=1,0,S827+N827)</f>
        <v>#N/A</v>
      </c>
      <c r="T827" s="2" t="n">
        <f aca="false">IF(RESET=1,0,T827+IF(H827=0,1,0))</f>
        <v>42</v>
      </c>
      <c r="U827" s="2" t="e">
        <f aca="false">IF(RESET=1,0,U827+H827)</f>
        <v>#N/A</v>
      </c>
      <c r="V827" s="14" t="n">
        <f aca="false">R827/(T827+0.00001)</f>
        <v>21.1116952030118</v>
      </c>
      <c r="W827" s="14" t="e">
        <f aca="false">S827/(U827+0.0001)</f>
        <v>#N/A</v>
      </c>
      <c r="X827" s="39" t="n">
        <f aca="false">IF(Informed=1,K827,0)</f>
        <v>0</v>
      </c>
      <c r="Y827" s="39" t="n">
        <f aca="false">IF(Informed=0,K827,0)</f>
        <v>0</v>
      </c>
      <c r="Z827" s="39" t="n">
        <f aca="false">IF(Informed=1,N827,0)</f>
        <v>23.3635262204274</v>
      </c>
      <c r="AA827" s="39" t="n">
        <f aca="false">IF(Informed=0,N827,0)</f>
        <v>0</v>
      </c>
      <c r="AB827" s="43" t="n">
        <f aca="false">IF(Arterial=0,IF(Informed=1,1,0),0)</f>
        <v>0</v>
      </c>
      <c r="AC827" s="43" t="n">
        <f aca="false">IF(Arterial=0,IF(Informed=0,1,0),0)</f>
        <v>0</v>
      </c>
      <c r="AD827" s="43" t="n">
        <f aca="false">IF(Arterial=1,IF(Informed=1,1,0),0)</f>
        <v>1</v>
      </c>
      <c r="AE827" s="43" t="n">
        <f aca="false">IF(Arterial=1,IF(Informed=0,1,0),0)</f>
        <v>0</v>
      </c>
      <c r="AF827" s="35" t="n">
        <f aca="false">IF(AB827=1,(X827-G$1030)^2,0)</f>
        <v>0</v>
      </c>
      <c r="AG827" s="35" t="n">
        <f aca="false">IF(AC827=1,(Y827-H$1030)^2,0)</f>
        <v>0</v>
      </c>
      <c r="AH827" s="35" t="n">
        <f aca="false">IF(AD827=1,(Z827-I$1030)^2,0)</f>
        <v>25.1132136119055</v>
      </c>
      <c r="AI827" s="35" t="n">
        <f aca="false">IF(AE827=1,(AA827-J$1030)^2,0)</f>
        <v>0</v>
      </c>
      <c r="AJ827" s="37" t="n">
        <f aca="true">IF(RAND()&lt;$D$6,1,0)</f>
        <v>0</v>
      </c>
      <c r="AK827" s="14" t="n">
        <f aca="false">AK826+IF((AJ827=1),IF((H827=0),1,0),0)</f>
        <v>0</v>
      </c>
      <c r="AL827" s="14" t="n">
        <f aca="false">AL826+IF((AJ827=1),IF((H827=1),1,0),0)</f>
        <v>0</v>
      </c>
      <c r="AM827" s="37" t="n">
        <f aca="false">IF(AK827=0,9999,IF($H827=0,IF($AJ827&lt;1,AM826+1,0),AM826))</f>
        <v>9999</v>
      </c>
      <c r="AN827" s="37" t="n">
        <f aca="false">IF(AL827=0,9999,IF($H827=1,IF($AJ827&lt;1,AN826+1,0),AN826))</f>
        <v>9999</v>
      </c>
      <c r="AO827" s="37" t="n">
        <f aca="false">IF($A827-AM827&gt;0,1/(1+AM827),0)</f>
        <v>0</v>
      </c>
      <c r="AP827" s="37" t="n">
        <f aca="false">IF($A827-AN827&gt;0,1/(1+AN827),0)</f>
        <v>0</v>
      </c>
      <c r="AQ827" s="7" t="n">
        <f aca="false">IF(AK827=0,0,MAX(MIN(1,AO827^Power),0))</f>
        <v>0</v>
      </c>
      <c r="AR827" s="7" t="n">
        <f aca="false">IF(AL827=0,0,MAX(MIN(1,AP827^Power),0))</f>
        <v>0</v>
      </c>
      <c r="AS827" s="7" t="n">
        <f aca="false">IF($AJ827=1,IF($H827=0,K827,AS826),AS826)</f>
        <v>0</v>
      </c>
      <c r="AT827" s="7" t="n">
        <f aca="false">IF($AJ827=1,IF($H827=1,N827,AT826),AT826)</f>
        <v>0</v>
      </c>
    </row>
    <row r="828" customFormat="false" ht="13" hidden="false" customHeight="false" outlineLevel="0" collapsed="false">
      <c r="A828" s="16" t="n">
        <v>811</v>
      </c>
      <c r="B828" s="37" t="n">
        <f aca="true">IF(RAND()&lt;$D$8,1,0)</f>
        <v>0</v>
      </c>
      <c r="C828" s="20" t="n">
        <f aca="true">-LN(RAND())/$D$2</f>
        <v>0.0218562351473433</v>
      </c>
      <c r="D828" s="38" t="n">
        <f aca="false">D827+C828</f>
        <v>860.877722744188</v>
      </c>
      <c r="E828" s="39" t="n">
        <f aca="false">MAX($E$3,AS827)</f>
        <v>0</v>
      </c>
      <c r="F828" s="39" t="n">
        <f aca="false">MAX($E$3,AT827)</f>
        <v>0</v>
      </c>
      <c r="G828" s="40" t="n">
        <v>0.5</v>
      </c>
      <c r="H828" s="38" t="n">
        <f aca="true">IF((B828=1),(IF((F828&lt;E828),1,(IF((F828=E828),(IF(RAND()&lt;G828,1,0)),0)))),(IF((RAND()&lt;G828),1,0)))</f>
        <v>1</v>
      </c>
      <c r="I828" s="38" t="n">
        <f aca="true">IF((H828=1),0,$D$3+$D$5*(RAND()-0.5))</f>
        <v>0</v>
      </c>
      <c r="J828" s="38" t="n">
        <f aca="false">I828+MAX(D828,J827)</f>
        <v>870.42307380874</v>
      </c>
      <c r="K828" s="38" t="n">
        <f aca="false">IF((H828=0),J828-D828,0)</f>
        <v>0</v>
      </c>
      <c r="L828" s="38" t="n">
        <f aca="true">IF(($H828=0),0,$D$4+$D$5*(RAND()-0.5))</f>
        <v>2.06220335259438</v>
      </c>
      <c r="M828" s="38" t="n">
        <f aca="false">L828+MAX(D828,M827)</f>
        <v>886.281596082062</v>
      </c>
      <c r="N828" s="38" t="n">
        <f aca="false">IF((H828=1),M828-D828,0)</f>
        <v>25.4038733378744</v>
      </c>
      <c r="O828" s="16" t="n">
        <v>811</v>
      </c>
      <c r="P828" s="41" t="n">
        <f aca="false">IF((Arterial=0),P827+1,P827)</f>
        <v>382</v>
      </c>
      <c r="Q828" s="41" t="n">
        <f aca="false">IF((Arterial=1),Q827+1,Q827)</f>
        <v>429</v>
      </c>
      <c r="R828" s="42" t="n">
        <f aca="false">IF((RESET=1),0,R828+K828)</f>
        <v>668.267104242833</v>
      </c>
      <c r="S828" s="14" t="e">
        <f aca="false">IF(RESET=1,0,S828+N828)</f>
        <v>#N/A</v>
      </c>
      <c r="T828" s="2" t="n">
        <f aca="false">IF(RESET=1,0,T828+IF(H828=0,1,0))</f>
        <v>38</v>
      </c>
      <c r="U828" s="2" t="e">
        <f aca="false">IF(RESET=1,0,U828+H828)</f>
        <v>#N/A</v>
      </c>
      <c r="V828" s="14" t="n">
        <f aca="false">R828/(T828+0.00001)</f>
        <v>17.5859717995557</v>
      </c>
      <c r="W828" s="14" t="e">
        <f aca="false">S828/(U828+0.0001)</f>
        <v>#N/A</v>
      </c>
      <c r="X828" s="39" t="n">
        <f aca="false">IF(Informed=1,K828,0)</f>
        <v>0</v>
      </c>
      <c r="Y828" s="39" t="n">
        <f aca="false">IF(Informed=0,K828,0)</f>
        <v>0</v>
      </c>
      <c r="Z828" s="39" t="n">
        <f aca="false">IF(Informed=1,N828,0)</f>
        <v>0</v>
      </c>
      <c r="AA828" s="39" t="n">
        <f aca="false">IF(Informed=0,N828,0)</f>
        <v>25.4038733378744</v>
      </c>
      <c r="AB828" s="43" t="n">
        <f aca="false">IF(Arterial=0,IF(Informed=1,1,0),0)</f>
        <v>0</v>
      </c>
      <c r="AC828" s="43" t="n">
        <f aca="false">IF(Arterial=0,IF(Informed=0,1,0),0)</f>
        <v>0</v>
      </c>
      <c r="AD828" s="43" t="n">
        <f aca="false">IF(Arterial=1,IF(Informed=1,1,0),0)</f>
        <v>0</v>
      </c>
      <c r="AE828" s="43" t="n">
        <f aca="false">IF(Arterial=1,IF(Informed=0,1,0),0)</f>
        <v>1</v>
      </c>
      <c r="AF828" s="35" t="n">
        <f aca="false">IF(AB828=1,(X828-G$1030)^2,0)</f>
        <v>0</v>
      </c>
      <c r="AG828" s="35" t="n">
        <f aca="false">IF(AC828=1,(Y828-H$1030)^2,0)</f>
        <v>0</v>
      </c>
      <c r="AH828" s="35" t="n">
        <f aca="false">IF(AD828=1,(Z828-I$1030)^2,0)</f>
        <v>0</v>
      </c>
      <c r="AI828" s="35" t="n">
        <f aca="false">IF(AE828=1,(AA828-J$1030)^2,0)</f>
        <v>17.3089419088031</v>
      </c>
      <c r="AJ828" s="37" t="n">
        <f aca="true">IF(RAND()&lt;$D$6,1,0)</f>
        <v>0</v>
      </c>
      <c r="AK828" s="14" t="n">
        <f aca="false">AK827+IF((AJ828=1),IF((H828=0),1,0),0)</f>
        <v>0</v>
      </c>
      <c r="AL828" s="14" t="n">
        <f aca="false">AL827+IF((AJ828=1),IF((H828=1),1,0),0)</f>
        <v>0</v>
      </c>
      <c r="AM828" s="37" t="n">
        <f aca="false">IF(AK828=0,9999,IF($H828=0,IF($AJ828&lt;1,AM827+1,0),AM827))</f>
        <v>9999</v>
      </c>
      <c r="AN828" s="37" t="n">
        <f aca="false">IF(AL828=0,9999,IF($H828=1,IF($AJ828&lt;1,AN827+1,0),AN827))</f>
        <v>9999</v>
      </c>
      <c r="AO828" s="37" t="n">
        <f aca="false">IF($A828-AM828&gt;0,1/(1+AM828),0)</f>
        <v>0</v>
      </c>
      <c r="AP828" s="37" t="n">
        <f aca="false">IF($A828-AN828&gt;0,1/(1+AN828),0)</f>
        <v>0</v>
      </c>
      <c r="AQ828" s="7" t="n">
        <f aca="false">IF(AK828=0,0,MAX(MIN(1,AO828^Power),0))</f>
        <v>0</v>
      </c>
      <c r="AR828" s="7" t="n">
        <f aca="false">IF(AL828=0,0,MAX(MIN(1,AP828^Power),0))</f>
        <v>0</v>
      </c>
      <c r="AS828" s="7" t="n">
        <f aca="false">IF($AJ828=1,IF($H828=0,K828,AS827),AS827)</f>
        <v>0</v>
      </c>
      <c r="AT828" s="7" t="n">
        <f aca="false">IF($AJ828=1,IF($H828=1,N828,AT827),AT827)</f>
        <v>0</v>
      </c>
    </row>
    <row r="829" customFormat="false" ht="13" hidden="false" customHeight="false" outlineLevel="0" collapsed="false">
      <c r="A829" s="16" t="n">
        <v>812</v>
      </c>
      <c r="B829" s="37" t="n">
        <f aca="true">IF(RAND()&lt;$D$8,1,0)</f>
        <v>1</v>
      </c>
      <c r="C829" s="20" t="n">
        <f aca="true">-LN(RAND())/$D$2</f>
        <v>0.333740184272329</v>
      </c>
      <c r="D829" s="38" t="n">
        <f aca="false">D828+C829</f>
        <v>861.21146292846</v>
      </c>
      <c r="E829" s="39" t="n">
        <f aca="false">MAX($E$3,AS828)</f>
        <v>0</v>
      </c>
      <c r="F829" s="39" t="n">
        <f aca="false">MAX($E$3,AT828)</f>
        <v>0</v>
      </c>
      <c r="G829" s="40" t="n">
        <v>0.5</v>
      </c>
      <c r="H829" s="38" t="n">
        <f aca="true">IF((B829=1),(IF((F829&lt;E829),1,(IF((F829=E829),(IF(RAND()&lt;G829,1,0)),0)))),(IF((RAND()&lt;G829),1,0)))</f>
        <v>0</v>
      </c>
      <c r="I829" s="38" t="n">
        <f aca="true">IF((H829=1),0,$D$3+$D$5*(RAND()-0.5))</f>
        <v>2.09350163355871</v>
      </c>
      <c r="J829" s="38" t="n">
        <f aca="false">I829+MAX(D829,J828)</f>
        <v>872.516575442298</v>
      </c>
      <c r="K829" s="38" t="n">
        <f aca="false">IF((H829=0),J829-D829,0)</f>
        <v>11.3051125138384</v>
      </c>
      <c r="L829" s="38" t="n">
        <f aca="true">IF(($H829=0),0,$D$4+$D$5*(RAND()-0.5))</f>
        <v>0</v>
      </c>
      <c r="M829" s="38" t="n">
        <f aca="false">L829+MAX(D829,M828)</f>
        <v>886.281596082062</v>
      </c>
      <c r="N829" s="38" t="n">
        <f aca="false">IF((H829=1),M829-D829,0)</f>
        <v>0</v>
      </c>
      <c r="O829" s="16" t="n">
        <v>812</v>
      </c>
      <c r="P829" s="41" t="n">
        <f aca="false">IF((Arterial=0),P828+1,P828)</f>
        <v>383</v>
      </c>
      <c r="Q829" s="41" t="n">
        <f aca="false">IF((Arterial=1),Q828+1,Q828)</f>
        <v>429</v>
      </c>
      <c r="R829" s="42" t="e">
        <f aca="false">IF((RESET=1),0,R829+K829)</f>
        <v>#N/A</v>
      </c>
      <c r="S829" s="14" t="n">
        <f aca="false">IF(RESET=1,0,S829+N829)</f>
        <v>617.967194242113</v>
      </c>
      <c r="T829" s="2" t="e">
        <f aca="false">IF(RESET=1,0,T829+IF(H829=0,1,0))</f>
        <v>#N/A</v>
      </c>
      <c r="U829" s="2" t="n">
        <f aca="false">IF(RESET=1,0,U829+H829)</f>
        <v>39</v>
      </c>
      <c r="V829" s="14" t="e">
        <f aca="false">R829/(T829+0.00001)</f>
        <v>#N/A</v>
      </c>
      <c r="W829" s="14" t="n">
        <f aca="false">S829/(U829+0.0001)</f>
        <v>15.845272043972</v>
      </c>
      <c r="X829" s="39" t="n">
        <f aca="false">IF(Informed=1,K829,0)</f>
        <v>11.3051125138384</v>
      </c>
      <c r="Y829" s="39" t="n">
        <f aca="false">IF(Informed=0,K829,0)</f>
        <v>0</v>
      </c>
      <c r="Z829" s="39" t="n">
        <f aca="false">IF(Informed=1,N829,0)</f>
        <v>0</v>
      </c>
      <c r="AA829" s="39" t="n">
        <f aca="false">IF(Informed=0,N829,0)</f>
        <v>0</v>
      </c>
      <c r="AB829" s="43" t="n">
        <f aca="false">IF(Arterial=0,IF(Informed=1,1,0),0)</f>
        <v>1</v>
      </c>
      <c r="AC829" s="43" t="n">
        <f aca="false">IF(Arterial=0,IF(Informed=0,1,0),0)</f>
        <v>0</v>
      </c>
      <c r="AD829" s="43" t="n">
        <f aca="false">IF(Arterial=1,IF(Informed=1,1,0),0)</f>
        <v>0</v>
      </c>
      <c r="AE829" s="43" t="n">
        <f aca="false">IF(Arterial=1,IF(Informed=0,1,0),0)</f>
        <v>0</v>
      </c>
      <c r="AF829" s="35" t="n">
        <f aca="false">IF(AB829=1,(X829-G$1030)^2,0)</f>
        <v>0.354541972343781</v>
      </c>
      <c r="AG829" s="35" t="n">
        <f aca="false">IF(AC829=1,(Y829-H$1030)^2,0)</f>
        <v>0</v>
      </c>
      <c r="AH829" s="35" t="n">
        <f aca="false">IF(AD829=1,(Z829-I$1030)^2,0)</f>
        <v>0</v>
      </c>
      <c r="AI829" s="35" t="n">
        <f aca="false">IF(AE829=1,(AA829-J$1030)^2,0)</f>
        <v>0</v>
      </c>
      <c r="AJ829" s="37" t="n">
        <f aca="true">IF(RAND()&lt;$D$6,1,0)</f>
        <v>0</v>
      </c>
      <c r="AK829" s="14" t="n">
        <f aca="false">AK828+IF((AJ829=1),IF((H829=0),1,0),0)</f>
        <v>0</v>
      </c>
      <c r="AL829" s="14" t="n">
        <f aca="false">AL828+IF((AJ829=1),IF((H829=1),1,0),0)</f>
        <v>0</v>
      </c>
      <c r="AM829" s="37" t="n">
        <f aca="false">IF(AK829=0,9999,IF($H829=0,IF($AJ829&lt;1,AM828+1,0),AM828))</f>
        <v>9999</v>
      </c>
      <c r="AN829" s="37" t="n">
        <f aca="false">IF(AL829=0,9999,IF($H829=1,IF($AJ829&lt;1,AN828+1,0),AN828))</f>
        <v>9999</v>
      </c>
      <c r="AO829" s="37" t="n">
        <f aca="false">IF($A829-AM829&gt;0,1/(1+AM829),0)</f>
        <v>0</v>
      </c>
      <c r="AP829" s="37" t="n">
        <f aca="false">IF($A829-AN829&gt;0,1/(1+AN829),0)</f>
        <v>0</v>
      </c>
      <c r="AQ829" s="7" t="n">
        <f aca="false">IF(AK829=0,0,MAX(MIN(1,AO829^Power),0))</f>
        <v>0</v>
      </c>
      <c r="AR829" s="7" t="n">
        <f aca="false">IF(AL829=0,0,MAX(MIN(1,AP829^Power),0))</f>
        <v>0</v>
      </c>
      <c r="AS829" s="7" t="n">
        <f aca="false">IF($AJ829=1,IF($H829=0,K829,AS828),AS828)</f>
        <v>0</v>
      </c>
      <c r="AT829" s="7" t="n">
        <f aca="false">IF($AJ829=1,IF($H829=1,N829,AT828),AT828)</f>
        <v>0</v>
      </c>
    </row>
    <row r="830" customFormat="false" ht="13" hidden="false" customHeight="false" outlineLevel="0" collapsed="false">
      <c r="A830" s="16" t="n">
        <v>813</v>
      </c>
      <c r="B830" s="37" t="n">
        <f aca="true">IF(RAND()&lt;$D$8,1,0)</f>
        <v>0</v>
      </c>
      <c r="C830" s="20" t="n">
        <f aca="true">-LN(RAND())/$D$2</f>
        <v>0.682996549255653</v>
      </c>
      <c r="D830" s="38" t="n">
        <f aca="false">D829+C830</f>
        <v>861.894459477716</v>
      </c>
      <c r="E830" s="39" t="n">
        <f aca="false">MAX($E$3,AS829)</f>
        <v>0</v>
      </c>
      <c r="F830" s="39" t="n">
        <f aca="false">MAX($E$3,AT829)</f>
        <v>0</v>
      </c>
      <c r="G830" s="40" t="n">
        <v>0.5</v>
      </c>
      <c r="H830" s="38" t="n">
        <f aca="true">IF((B830=1),(IF((F830&lt;E830),1,(IF((F830=E830),(IF(RAND()&lt;G830,1,0)),0)))),(IF((RAND()&lt;G830),1,0)))</f>
        <v>0</v>
      </c>
      <c r="I830" s="38" t="n">
        <f aca="true">IF((H830=1),0,$D$3+$D$5*(RAND()-0.5))</f>
        <v>2.22036068926277</v>
      </c>
      <c r="J830" s="38" t="n">
        <f aca="false">I830+MAX(D830,J829)</f>
        <v>874.736936131561</v>
      </c>
      <c r="K830" s="38" t="n">
        <f aca="false">IF((H830=0),J830-D830,0)</f>
        <v>12.8424766538454</v>
      </c>
      <c r="L830" s="38" t="n">
        <f aca="true">IF(($H830=0),0,$D$4+$D$5*(RAND()-0.5))</f>
        <v>0</v>
      </c>
      <c r="M830" s="38" t="n">
        <f aca="false">L830+MAX(D830,M829)</f>
        <v>886.281596082062</v>
      </c>
      <c r="N830" s="38" t="n">
        <f aca="false">IF((H830=1),M830-D830,0)</f>
        <v>0</v>
      </c>
      <c r="O830" s="16" t="n">
        <v>813</v>
      </c>
      <c r="P830" s="41" t="n">
        <f aca="false">IF((Arterial=0),P829+1,P829)</f>
        <v>384</v>
      </c>
      <c r="Q830" s="41" t="n">
        <f aca="false">IF((Arterial=1),Q829+1,Q829)</f>
        <v>429</v>
      </c>
      <c r="R830" s="42" t="e">
        <f aca="false">IF((RESET=1),0,R830+K830)</f>
        <v>#N/A</v>
      </c>
      <c r="S830" s="14" t="n">
        <f aca="false">IF(RESET=1,0,S830+N830)</f>
        <v>640.114723999604</v>
      </c>
      <c r="T830" s="2" t="e">
        <f aca="false">IF(RESET=1,0,T830+IF(H830=0,1,0))</f>
        <v>#N/A</v>
      </c>
      <c r="U830" s="2" t="n">
        <f aca="false">IF(RESET=1,0,U830+H830)</f>
        <v>39</v>
      </c>
      <c r="V830" s="14" t="e">
        <f aca="false">R830/(T830+0.00001)</f>
        <v>#N/A</v>
      </c>
      <c r="W830" s="14" t="n">
        <f aca="false">S830/(U830+0.0001)</f>
        <v>16.4131559662566</v>
      </c>
      <c r="X830" s="39" t="n">
        <f aca="false">IF(Informed=1,K830,0)</f>
        <v>0</v>
      </c>
      <c r="Y830" s="39" t="n">
        <f aca="false">IF(Informed=0,K830,0)</f>
        <v>12.8424766538454</v>
      </c>
      <c r="Z830" s="39" t="n">
        <f aca="false">IF(Informed=1,N830,0)</f>
        <v>0</v>
      </c>
      <c r="AA830" s="39" t="n">
        <f aca="false">IF(Informed=0,N830,0)</f>
        <v>0</v>
      </c>
      <c r="AB830" s="43" t="n">
        <f aca="false">IF(Arterial=0,IF(Informed=1,1,0),0)</f>
        <v>0</v>
      </c>
      <c r="AC830" s="43" t="n">
        <f aca="false">IF(Arterial=0,IF(Informed=0,1,0),0)</f>
        <v>1</v>
      </c>
      <c r="AD830" s="43" t="n">
        <f aca="false">IF(Arterial=1,IF(Informed=1,1,0),0)</f>
        <v>0</v>
      </c>
      <c r="AE830" s="43" t="n">
        <f aca="false">IF(Arterial=1,IF(Informed=0,1,0),0)</f>
        <v>0</v>
      </c>
      <c r="AF830" s="35" t="n">
        <f aca="false">IF(AB830=1,(X830-G$1030)^2,0)</f>
        <v>0</v>
      </c>
      <c r="AG830" s="35" t="n">
        <f aca="false">IF(AC830=1,(Y830-H$1030)^2,0)</f>
        <v>3.68137670042792</v>
      </c>
      <c r="AH830" s="35" t="n">
        <f aca="false">IF(AD830=1,(Z830-I$1030)^2,0)</f>
        <v>0</v>
      </c>
      <c r="AI830" s="35" t="n">
        <f aca="false">IF(AE830=1,(AA830-J$1030)^2,0)</f>
        <v>0</v>
      </c>
      <c r="AJ830" s="37" t="n">
        <f aca="true">IF(RAND()&lt;$D$6,1,0)</f>
        <v>0</v>
      </c>
      <c r="AK830" s="14" t="n">
        <f aca="false">AK829+IF((AJ830=1),IF((H830=0),1,0),0)</f>
        <v>0</v>
      </c>
      <c r="AL830" s="14" t="n">
        <f aca="false">AL829+IF((AJ830=1),IF((H830=1),1,0),0)</f>
        <v>0</v>
      </c>
      <c r="AM830" s="37" t="n">
        <f aca="false">IF(AK830=0,9999,IF($H830=0,IF($AJ830&lt;1,AM829+1,0),AM829))</f>
        <v>9999</v>
      </c>
      <c r="AN830" s="37" t="n">
        <f aca="false">IF(AL830=0,9999,IF($H830=1,IF($AJ830&lt;1,AN829+1,0),AN829))</f>
        <v>9999</v>
      </c>
      <c r="AO830" s="37" t="n">
        <f aca="false">IF($A830-AM830&gt;0,1/(1+AM830),0)</f>
        <v>0</v>
      </c>
      <c r="AP830" s="37" t="n">
        <f aca="false">IF($A830-AN830&gt;0,1/(1+AN830),0)</f>
        <v>0</v>
      </c>
      <c r="AQ830" s="7" t="n">
        <f aca="false">IF(AK830=0,0,MAX(MIN(1,AO830^Power),0))</f>
        <v>0</v>
      </c>
      <c r="AR830" s="7" t="n">
        <f aca="false">IF(AL830=0,0,MAX(MIN(1,AP830^Power),0))</f>
        <v>0</v>
      </c>
      <c r="AS830" s="7" t="n">
        <f aca="false">IF($AJ830=1,IF($H830=0,K830,AS829),AS829)</f>
        <v>0</v>
      </c>
      <c r="AT830" s="7" t="n">
        <f aca="false">IF($AJ830=1,IF($H830=1,N830,AT829),AT829)</f>
        <v>0</v>
      </c>
    </row>
    <row r="831" customFormat="false" ht="13" hidden="false" customHeight="false" outlineLevel="0" collapsed="false">
      <c r="A831" s="16" t="n">
        <v>814</v>
      </c>
      <c r="B831" s="37" t="n">
        <f aca="true">IF(RAND()&lt;$D$8,1,0)</f>
        <v>1</v>
      </c>
      <c r="C831" s="20" t="n">
        <f aca="true">-LN(RAND())/$D$2</f>
        <v>0.490979723188674</v>
      </c>
      <c r="D831" s="38" t="n">
        <f aca="false">D830+C831</f>
        <v>862.385439200904</v>
      </c>
      <c r="E831" s="39" t="n">
        <f aca="false">MAX($E$3,AS830)</f>
        <v>0</v>
      </c>
      <c r="F831" s="39" t="n">
        <f aca="false">MAX($E$3,AT830)</f>
        <v>0</v>
      </c>
      <c r="G831" s="40" t="n">
        <v>0.5</v>
      </c>
      <c r="H831" s="38" t="n">
        <f aca="true">IF((B831=1),(IF((F831&lt;E831),1,(IF((F831=E831),(IF(RAND()&lt;G831,1,0)),0)))),(IF((RAND()&lt;G831),1,0)))</f>
        <v>0</v>
      </c>
      <c r="I831" s="38" t="n">
        <f aca="true">IF((H831=1),0,$D$3+$D$5*(RAND()-0.5))</f>
        <v>2.07681826114861</v>
      </c>
      <c r="J831" s="38" t="n">
        <f aca="false">I831+MAX(D831,J830)</f>
        <v>876.81375439271</v>
      </c>
      <c r="K831" s="38" t="n">
        <f aca="false">IF((H831=0),J831-D831,0)</f>
        <v>14.4283151918053</v>
      </c>
      <c r="L831" s="38" t="n">
        <f aca="true">IF(($H831=0),0,$D$4+$D$5*(RAND()-0.5))</f>
        <v>0</v>
      </c>
      <c r="M831" s="38" t="n">
        <f aca="false">L831+MAX(D831,M830)</f>
        <v>886.281596082062</v>
      </c>
      <c r="N831" s="38" t="n">
        <f aca="false">IF((H831=1),M831-D831,0)</f>
        <v>0</v>
      </c>
      <c r="O831" s="16" t="n">
        <v>814</v>
      </c>
      <c r="P831" s="41" t="n">
        <f aca="false">IF((Arterial=0),P830+1,P830)</f>
        <v>385</v>
      </c>
      <c r="Q831" s="41" t="n">
        <f aca="false">IF((Arterial=1),Q830+1,Q830)</f>
        <v>429</v>
      </c>
      <c r="R831" s="42" t="e">
        <f aca="false">IF((RESET=1),0,R831+K831)</f>
        <v>#N/A</v>
      </c>
      <c r="S831" s="14" t="n">
        <f aca="false">IF(RESET=1,0,S831+N831)</f>
        <v>684.569826981324</v>
      </c>
      <c r="T831" s="2" t="e">
        <f aca="false">IF(RESET=1,0,T831+IF(H831=0,1,0))</f>
        <v>#N/A</v>
      </c>
      <c r="U831" s="2" t="n">
        <f aca="false">IF(RESET=1,0,U831+H831)</f>
        <v>44</v>
      </c>
      <c r="V831" s="14" t="e">
        <f aca="false">R831/(T831+0.00001)</f>
        <v>#N/A</v>
      </c>
      <c r="W831" s="14" t="n">
        <f aca="false">S831/(U831+0.0001)</f>
        <v>15.5583697987351</v>
      </c>
      <c r="X831" s="39" t="n">
        <f aca="false">IF(Informed=1,K831,0)</f>
        <v>14.4283151918053</v>
      </c>
      <c r="Y831" s="39" t="n">
        <f aca="false">IF(Informed=0,K831,0)</f>
        <v>0</v>
      </c>
      <c r="Z831" s="39" t="n">
        <f aca="false">IF(Informed=1,N831,0)</f>
        <v>0</v>
      </c>
      <c r="AA831" s="39" t="n">
        <f aca="false">IF(Informed=0,N831,0)</f>
        <v>0</v>
      </c>
      <c r="AB831" s="43" t="n">
        <f aca="false">IF(Arterial=0,IF(Informed=1,1,0),0)</f>
        <v>1</v>
      </c>
      <c r="AC831" s="43" t="n">
        <f aca="false">IF(Arterial=0,IF(Informed=0,1,0),0)</f>
        <v>0</v>
      </c>
      <c r="AD831" s="43" t="n">
        <f aca="false">IF(Arterial=1,IF(Informed=1,1,0),0)</f>
        <v>0</v>
      </c>
      <c r="AE831" s="43" t="n">
        <f aca="false">IF(Arterial=1,IF(Informed=0,1,0),0)</f>
        <v>0</v>
      </c>
      <c r="AF831" s="35" t="n">
        <f aca="false">IF(AB831=1,(X831-G$1030)^2,0)</f>
        <v>13.8282607661064</v>
      </c>
      <c r="AG831" s="35" t="n">
        <f aca="false">IF(AC831=1,(Y831-H$1030)^2,0)</f>
        <v>0</v>
      </c>
      <c r="AH831" s="35" t="n">
        <f aca="false">IF(AD831=1,(Z831-I$1030)^2,0)</f>
        <v>0</v>
      </c>
      <c r="AI831" s="35" t="n">
        <f aca="false">IF(AE831=1,(AA831-J$1030)^2,0)</f>
        <v>0</v>
      </c>
      <c r="AJ831" s="37" t="n">
        <f aca="true">IF(RAND()&lt;$D$6,1,0)</f>
        <v>0</v>
      </c>
      <c r="AK831" s="14" t="n">
        <f aca="false">AK830+IF((AJ831=1),IF((H831=0),1,0),0)</f>
        <v>0</v>
      </c>
      <c r="AL831" s="14" t="n">
        <f aca="false">AL830+IF((AJ831=1),IF((H831=1),1,0),0)</f>
        <v>0</v>
      </c>
      <c r="AM831" s="37" t="n">
        <f aca="false">IF(AK831=0,9999,IF($H831=0,IF($AJ831&lt;1,AM830+1,0),AM830))</f>
        <v>9999</v>
      </c>
      <c r="AN831" s="37" t="n">
        <f aca="false">IF(AL831=0,9999,IF($H831=1,IF($AJ831&lt;1,AN830+1,0),AN830))</f>
        <v>9999</v>
      </c>
      <c r="AO831" s="37" t="n">
        <f aca="false">IF($A831-AM831&gt;0,1/(1+AM831),0)</f>
        <v>0</v>
      </c>
      <c r="AP831" s="37" t="n">
        <f aca="false">IF($A831-AN831&gt;0,1/(1+AN831),0)</f>
        <v>0</v>
      </c>
      <c r="AQ831" s="7" t="n">
        <f aca="false">IF(AK831=0,0,MAX(MIN(1,AO831^Power),0))</f>
        <v>0</v>
      </c>
      <c r="AR831" s="7" t="n">
        <f aca="false">IF(AL831=0,0,MAX(MIN(1,AP831^Power),0))</f>
        <v>0</v>
      </c>
      <c r="AS831" s="7" t="n">
        <f aca="false">IF($AJ831=1,IF($H831=0,K831,AS830),AS830)</f>
        <v>0</v>
      </c>
      <c r="AT831" s="7" t="n">
        <f aca="false">IF($AJ831=1,IF($H831=1,N831,AT830),AT830)</f>
        <v>0</v>
      </c>
    </row>
    <row r="832" customFormat="false" ht="13" hidden="false" customHeight="false" outlineLevel="0" collapsed="false">
      <c r="A832" s="16" t="n">
        <v>815</v>
      </c>
      <c r="B832" s="37" t="n">
        <f aca="true">IF(RAND()&lt;$D$8,1,0)</f>
        <v>0</v>
      </c>
      <c r="C832" s="20" t="n">
        <f aca="true">-LN(RAND())/$D$2</f>
        <v>1.22111829746051</v>
      </c>
      <c r="D832" s="38" t="n">
        <f aca="false">D831+C832</f>
        <v>863.606557498365</v>
      </c>
      <c r="E832" s="39" t="n">
        <f aca="false">MAX($E$3,AS831)</f>
        <v>0</v>
      </c>
      <c r="F832" s="39" t="n">
        <f aca="false">MAX($E$3,AT831)</f>
        <v>0</v>
      </c>
      <c r="G832" s="40" t="n">
        <v>0.5</v>
      </c>
      <c r="H832" s="38" t="n">
        <f aca="true">IF((B832=1),(IF((F832&lt;E832),1,(IF((F832=E832),(IF(RAND()&lt;G832,1,0)),0)))),(IF((RAND()&lt;G832),1,0)))</f>
        <v>1</v>
      </c>
      <c r="I832" s="38" t="n">
        <f aca="true">IF((H832=1),0,$D$3+$D$5*(RAND()-0.5))</f>
        <v>0</v>
      </c>
      <c r="J832" s="38" t="n">
        <f aca="false">I832+MAX(D832,J831)</f>
        <v>876.81375439271</v>
      </c>
      <c r="K832" s="38" t="n">
        <f aca="false">IF((H832=0),J832-D832,0)</f>
        <v>0</v>
      </c>
      <c r="L832" s="38" t="n">
        <f aca="true">IF(($H832=0),0,$D$4+$D$5*(RAND()-0.5))</f>
        <v>1.85005309779755</v>
      </c>
      <c r="M832" s="38" t="n">
        <f aca="false">L832+MAX(D832,M831)</f>
        <v>888.13164917986</v>
      </c>
      <c r="N832" s="38" t="n">
        <f aca="false">IF((H832=1),M832-D832,0)</f>
        <v>24.5250916814947</v>
      </c>
      <c r="O832" s="16" t="n">
        <v>815</v>
      </c>
      <c r="P832" s="41" t="n">
        <f aca="false">IF((Arterial=0),P831+1,P831)</f>
        <v>385</v>
      </c>
      <c r="Q832" s="41" t="n">
        <f aca="false">IF((Arterial=1),Q831+1,Q831)</f>
        <v>430</v>
      </c>
      <c r="R832" s="42" t="n">
        <f aca="false">IF((RESET=1),0,R832+K832)</f>
        <v>759.772105548353</v>
      </c>
      <c r="S832" s="14" t="e">
        <f aca="false">IF(RESET=1,0,S832+N832)</f>
        <v>#N/A</v>
      </c>
      <c r="T832" s="2" t="n">
        <f aca="false">IF(RESET=1,0,T832+IF(H832=0,1,0))</f>
        <v>39</v>
      </c>
      <c r="U832" s="2" t="e">
        <f aca="false">IF(RESET=1,0,U832+H832)</f>
        <v>#N/A</v>
      </c>
      <c r="V832" s="14" t="n">
        <f aca="false">R832/(T832+0.00001)</f>
        <v>19.4813310444883</v>
      </c>
      <c r="W832" s="14" t="e">
        <f aca="false">S832/(U832+0.0001)</f>
        <v>#N/A</v>
      </c>
      <c r="X832" s="39" t="n">
        <f aca="false">IF(Informed=1,K832,0)</f>
        <v>0</v>
      </c>
      <c r="Y832" s="39" t="n">
        <f aca="false">IF(Informed=0,K832,0)</f>
        <v>0</v>
      </c>
      <c r="Z832" s="39" t="n">
        <f aca="false">IF(Informed=1,N832,0)</f>
        <v>0</v>
      </c>
      <c r="AA832" s="39" t="n">
        <f aca="false">IF(Informed=0,N832,0)</f>
        <v>24.5250916814947</v>
      </c>
      <c r="AB832" s="43" t="n">
        <f aca="false">IF(Arterial=0,IF(Informed=1,1,0),0)</f>
        <v>0</v>
      </c>
      <c r="AC832" s="43" t="n">
        <f aca="false">IF(Arterial=0,IF(Informed=0,1,0),0)</f>
        <v>0</v>
      </c>
      <c r="AD832" s="43" t="n">
        <f aca="false">IF(Arterial=1,IF(Informed=1,1,0),0)</f>
        <v>0</v>
      </c>
      <c r="AE832" s="43" t="n">
        <f aca="false">IF(Arterial=1,IF(Informed=0,1,0),0)</f>
        <v>1</v>
      </c>
      <c r="AF832" s="35" t="n">
        <f aca="false">IF(AB832=1,(X832-G$1030)^2,0)</f>
        <v>0</v>
      </c>
      <c r="AG832" s="35" t="n">
        <f aca="false">IF(AC832=1,(Y832-H$1030)^2,0)</f>
        <v>0</v>
      </c>
      <c r="AH832" s="35" t="n">
        <f aca="false">IF(AD832=1,(Z832-I$1030)^2,0)</f>
        <v>0</v>
      </c>
      <c r="AI832" s="35" t="n">
        <f aca="false">IF(AE832=1,(AA832-J$1030)^2,0)</f>
        <v>25.3933684188911</v>
      </c>
      <c r="AJ832" s="37" t="n">
        <f aca="true">IF(RAND()&lt;$D$6,1,0)</f>
        <v>0</v>
      </c>
      <c r="AK832" s="14" t="n">
        <f aca="false">AK831+IF((AJ832=1),IF((H832=0),1,0),0)</f>
        <v>0</v>
      </c>
      <c r="AL832" s="14" t="n">
        <f aca="false">AL831+IF((AJ832=1),IF((H832=1),1,0),0)</f>
        <v>0</v>
      </c>
      <c r="AM832" s="37" t="n">
        <f aca="false">IF(AK832=0,9999,IF($H832=0,IF($AJ832&lt;1,AM831+1,0),AM831))</f>
        <v>9999</v>
      </c>
      <c r="AN832" s="37" t="n">
        <f aca="false">IF(AL832=0,9999,IF($H832=1,IF($AJ832&lt;1,AN831+1,0),AN831))</f>
        <v>9999</v>
      </c>
      <c r="AO832" s="37" t="n">
        <f aca="false">IF($A832-AM832&gt;0,1/(1+AM832),0)</f>
        <v>0</v>
      </c>
      <c r="AP832" s="37" t="n">
        <f aca="false">IF($A832-AN832&gt;0,1/(1+AN832),0)</f>
        <v>0</v>
      </c>
      <c r="AQ832" s="7" t="n">
        <f aca="false">IF(AK832=0,0,MAX(MIN(1,AO832^Power),0))</f>
        <v>0</v>
      </c>
      <c r="AR832" s="7" t="n">
        <f aca="false">IF(AL832=0,0,MAX(MIN(1,AP832^Power),0))</f>
        <v>0</v>
      </c>
      <c r="AS832" s="7" t="n">
        <f aca="false">IF($AJ832=1,IF($H832=0,K832,AS831),AS831)</f>
        <v>0</v>
      </c>
      <c r="AT832" s="7" t="n">
        <f aca="false">IF($AJ832=1,IF($H832=1,N832,AT831),AT831)</f>
        <v>0</v>
      </c>
    </row>
    <row r="833" customFormat="false" ht="13" hidden="false" customHeight="false" outlineLevel="0" collapsed="false">
      <c r="A833" s="16" t="n">
        <v>816</v>
      </c>
      <c r="B833" s="37" t="n">
        <f aca="true">IF(RAND()&lt;$D$8,1,0)</f>
        <v>0</v>
      </c>
      <c r="C833" s="20" t="n">
        <f aca="true">-LN(RAND())/$D$2</f>
        <v>0.275696538827071</v>
      </c>
      <c r="D833" s="38" t="n">
        <f aca="false">D832+C833</f>
        <v>863.882254037192</v>
      </c>
      <c r="E833" s="39" t="n">
        <f aca="false">MAX($E$3,AS832)</f>
        <v>0</v>
      </c>
      <c r="F833" s="39" t="n">
        <f aca="false">MAX($E$3,AT832)</f>
        <v>0</v>
      </c>
      <c r="G833" s="40" t="n">
        <v>0.5</v>
      </c>
      <c r="H833" s="38" t="n">
        <f aca="true">IF((B833=1),(IF((F833&lt;E833),1,(IF((F833=E833),(IF(RAND()&lt;G833,1,0)),0)))),(IF((RAND()&lt;G833),1,0)))</f>
        <v>1</v>
      </c>
      <c r="I833" s="38" t="n">
        <f aca="true">IF((H833=1),0,$D$3+$D$5*(RAND()-0.5))</f>
        <v>0</v>
      </c>
      <c r="J833" s="38" t="n">
        <f aca="false">I833+MAX(D833,J832)</f>
        <v>876.81375439271</v>
      </c>
      <c r="K833" s="38" t="n">
        <f aca="false">IF((H833=0),J833-D833,0)</f>
        <v>0</v>
      </c>
      <c r="L833" s="38" t="n">
        <f aca="true">IF(($H833=0),0,$D$4+$D$5*(RAND()-0.5))</f>
        <v>2.11949280174536</v>
      </c>
      <c r="M833" s="38" t="n">
        <f aca="false">L833+MAX(D833,M832)</f>
        <v>890.251141981605</v>
      </c>
      <c r="N833" s="38" t="n">
        <f aca="false">IF((H833=1),M833-D833,0)</f>
        <v>26.3688879444129</v>
      </c>
      <c r="O833" s="16" t="n">
        <v>816</v>
      </c>
      <c r="P833" s="41" t="n">
        <f aca="false">IF((Arterial=0),P832+1,P832)</f>
        <v>385</v>
      </c>
      <c r="Q833" s="41" t="n">
        <f aca="false">IF((Arterial=1),Q832+1,Q832)</f>
        <v>431</v>
      </c>
      <c r="R833" s="42" t="n">
        <f aca="false">IF((RESET=1),0,R833+K833)</f>
        <v>950.730149773951</v>
      </c>
      <c r="S833" s="14" t="e">
        <f aca="false">IF(RESET=1,0,S833+N833)</f>
        <v>#N/A</v>
      </c>
      <c r="T833" s="2" t="n">
        <f aca="false">IF(RESET=1,0,T833+IF(H833=0,1,0))</f>
        <v>38</v>
      </c>
      <c r="U833" s="2" t="e">
        <f aca="false">IF(RESET=1,0,U833+H833)</f>
        <v>#N/A</v>
      </c>
      <c r="V833" s="14" t="n">
        <f aca="false">R833/(T833+0.00001)</f>
        <v>25.0192078837335</v>
      </c>
      <c r="W833" s="14" t="e">
        <f aca="false">S833/(U833+0.0001)</f>
        <v>#N/A</v>
      </c>
      <c r="X833" s="39" t="n">
        <f aca="false">IF(Informed=1,K833,0)</f>
        <v>0</v>
      </c>
      <c r="Y833" s="39" t="n">
        <f aca="false">IF(Informed=0,K833,0)</f>
        <v>0</v>
      </c>
      <c r="Z833" s="39" t="n">
        <f aca="false">IF(Informed=1,N833,0)</f>
        <v>0</v>
      </c>
      <c r="AA833" s="39" t="n">
        <f aca="false">IF(Informed=0,N833,0)</f>
        <v>26.3688879444129</v>
      </c>
      <c r="AB833" s="43" t="n">
        <f aca="false">IF(Arterial=0,IF(Informed=1,1,0),0)</f>
        <v>0</v>
      </c>
      <c r="AC833" s="43" t="n">
        <f aca="false">IF(Arterial=0,IF(Informed=0,1,0),0)</f>
        <v>0</v>
      </c>
      <c r="AD833" s="43" t="n">
        <f aca="false">IF(Arterial=1,IF(Informed=1,1,0),0)</f>
        <v>0</v>
      </c>
      <c r="AE833" s="43" t="n">
        <f aca="false">IF(Arterial=1,IF(Informed=0,1,0),0)</f>
        <v>1</v>
      </c>
      <c r="AF833" s="35" t="n">
        <f aca="false">IF(AB833=1,(X833-G$1030)^2,0)</f>
        <v>0</v>
      </c>
      <c r="AG833" s="35" t="n">
        <f aca="false">IF(AC833=1,(Y833-H$1030)^2,0)</f>
        <v>0</v>
      </c>
      <c r="AH833" s="35" t="n">
        <f aca="false">IF(AD833=1,(Z833-I$1030)^2,0)</f>
        <v>0</v>
      </c>
      <c r="AI833" s="35" t="n">
        <f aca="false">IF(AE833=1,(AA833-J$1030)^2,0)</f>
        <v>10.2104983724836</v>
      </c>
      <c r="AJ833" s="37" t="n">
        <f aca="true">IF(RAND()&lt;$D$6,1,0)</f>
        <v>0</v>
      </c>
      <c r="AK833" s="14" t="n">
        <f aca="false">AK832+IF((AJ833=1),IF((H833=0),1,0),0)</f>
        <v>0</v>
      </c>
      <c r="AL833" s="14" t="n">
        <f aca="false">AL832+IF((AJ833=1),IF((H833=1),1,0),0)</f>
        <v>0</v>
      </c>
      <c r="AM833" s="37" t="n">
        <f aca="false">IF(AK833=0,9999,IF($H833=0,IF($AJ833&lt;1,AM832+1,0),AM832))</f>
        <v>9999</v>
      </c>
      <c r="AN833" s="37" t="n">
        <f aca="false">IF(AL833=0,9999,IF($H833=1,IF($AJ833&lt;1,AN832+1,0),AN832))</f>
        <v>9999</v>
      </c>
      <c r="AO833" s="37" t="n">
        <f aca="false">IF($A833-AM833&gt;0,1/(1+AM833),0)</f>
        <v>0</v>
      </c>
      <c r="AP833" s="37" t="n">
        <f aca="false">IF($A833-AN833&gt;0,1/(1+AN833),0)</f>
        <v>0</v>
      </c>
      <c r="AQ833" s="7" t="n">
        <f aca="false">IF(AK833=0,0,MAX(MIN(1,AO833^Power),0))</f>
        <v>0</v>
      </c>
      <c r="AR833" s="7" t="n">
        <f aca="false">IF(AL833=0,0,MAX(MIN(1,AP833^Power),0))</f>
        <v>0</v>
      </c>
      <c r="AS833" s="7" t="n">
        <f aca="false">IF($AJ833=1,IF($H833=0,K833,AS832),AS832)</f>
        <v>0</v>
      </c>
      <c r="AT833" s="7" t="n">
        <f aca="false">IF($AJ833=1,IF($H833=1,N833,AT832),AT832)</f>
        <v>0</v>
      </c>
    </row>
    <row r="834" customFormat="false" ht="13" hidden="false" customHeight="false" outlineLevel="0" collapsed="false">
      <c r="A834" s="16" t="n">
        <v>817</v>
      </c>
      <c r="B834" s="37" t="n">
        <f aca="true">IF(RAND()&lt;$D$8,1,0)</f>
        <v>1</v>
      </c>
      <c r="C834" s="20" t="n">
        <f aca="true">-LN(RAND())/$D$2</f>
        <v>0.019655972997054</v>
      </c>
      <c r="D834" s="38" t="n">
        <f aca="false">D833+C834</f>
        <v>863.901910010189</v>
      </c>
      <c r="E834" s="39" t="n">
        <f aca="false">MAX($E$3,AS833)</f>
        <v>0</v>
      </c>
      <c r="F834" s="39" t="n">
        <f aca="false">MAX($E$3,AT833)</f>
        <v>0</v>
      </c>
      <c r="G834" s="40" t="n">
        <v>0.5</v>
      </c>
      <c r="H834" s="38" t="n">
        <f aca="true">IF((B834=1),(IF((F834&lt;E834),1,(IF((F834=E834),(IF(RAND()&lt;G834,1,0)),0)))),(IF((RAND()&lt;G834),1,0)))</f>
        <v>1</v>
      </c>
      <c r="I834" s="38" t="n">
        <f aca="true">IF((H834=1),0,$D$3+$D$5*(RAND()-0.5))</f>
        <v>0</v>
      </c>
      <c r="J834" s="38" t="n">
        <f aca="false">I834+MAX(D834,J833)</f>
        <v>876.81375439271</v>
      </c>
      <c r="K834" s="38" t="n">
        <f aca="false">IF((H834=0),J834-D834,0)</f>
        <v>0</v>
      </c>
      <c r="L834" s="38" t="n">
        <f aca="true">IF(($H834=0),0,$D$4+$D$5*(RAND()-0.5))</f>
        <v>1.90165924494764</v>
      </c>
      <c r="M834" s="38" t="n">
        <f aca="false">L834+MAX(D834,M833)</f>
        <v>892.152801226553</v>
      </c>
      <c r="N834" s="38" t="n">
        <f aca="false">IF((H834=1),M834-D834,0)</f>
        <v>28.2508912163635</v>
      </c>
      <c r="O834" s="16" t="n">
        <v>817</v>
      </c>
      <c r="P834" s="41" t="n">
        <f aca="false">IF((Arterial=0),P833+1,P833)</f>
        <v>385</v>
      </c>
      <c r="Q834" s="41" t="n">
        <f aca="false">IF((Arterial=1),Q833+1,Q833)</f>
        <v>432</v>
      </c>
      <c r="R834" s="42" t="n">
        <f aca="false">IF((RESET=1),0,R834+K834)</f>
        <v>746.350091158282</v>
      </c>
      <c r="S834" s="14" t="e">
        <f aca="false">IF(RESET=1,0,S834+N834)</f>
        <v>#N/A</v>
      </c>
      <c r="T834" s="2" t="n">
        <f aca="false">IF(RESET=1,0,T834+IF(H834=0,1,0))</f>
        <v>39</v>
      </c>
      <c r="U834" s="2" t="e">
        <f aca="false">IF(RESET=1,0,U834+H834)</f>
        <v>#N/A</v>
      </c>
      <c r="V834" s="14" t="n">
        <f aca="false">R834/(T834+0.00001)</f>
        <v>19.1371769176029</v>
      </c>
      <c r="W834" s="14" t="e">
        <f aca="false">S834/(U834+0.0001)</f>
        <v>#N/A</v>
      </c>
      <c r="X834" s="39" t="n">
        <f aca="false">IF(Informed=1,K834,0)</f>
        <v>0</v>
      </c>
      <c r="Y834" s="39" t="n">
        <f aca="false">IF(Informed=0,K834,0)</f>
        <v>0</v>
      </c>
      <c r="Z834" s="39" t="n">
        <f aca="false">IF(Informed=1,N834,0)</f>
        <v>28.2508912163635</v>
      </c>
      <c r="AA834" s="39" t="n">
        <f aca="false">IF(Informed=0,N834,0)</f>
        <v>0</v>
      </c>
      <c r="AB834" s="43" t="n">
        <f aca="false">IF(Arterial=0,IF(Informed=1,1,0),0)</f>
        <v>0</v>
      </c>
      <c r="AC834" s="43" t="n">
        <f aca="false">IF(Arterial=0,IF(Informed=0,1,0),0)</f>
        <v>0</v>
      </c>
      <c r="AD834" s="43" t="n">
        <f aca="false">IF(Arterial=1,IF(Informed=1,1,0),0)</f>
        <v>1</v>
      </c>
      <c r="AE834" s="43" t="n">
        <f aca="false">IF(Arterial=1,IF(Informed=0,1,0),0)</f>
        <v>0</v>
      </c>
      <c r="AF834" s="35" t="n">
        <f aca="false">IF(AB834=1,(X834-G$1030)^2,0)</f>
        <v>0</v>
      </c>
      <c r="AG834" s="35" t="n">
        <f aca="false">IF(AC834=1,(Y834-H$1030)^2,0)</f>
        <v>0</v>
      </c>
      <c r="AH834" s="35" t="n">
        <f aca="false">IF(AD834=1,(Z834-I$1030)^2,0)</f>
        <v>0.0153620102479658</v>
      </c>
      <c r="AI834" s="35" t="n">
        <f aca="false">IF(AE834=1,(AA834-J$1030)^2,0)</f>
        <v>0</v>
      </c>
      <c r="AJ834" s="37" t="n">
        <f aca="true">IF(RAND()&lt;$D$6,1,0)</f>
        <v>0</v>
      </c>
      <c r="AK834" s="14" t="n">
        <f aca="false">AK833+IF((AJ834=1),IF((H834=0),1,0),0)</f>
        <v>0</v>
      </c>
      <c r="AL834" s="14" t="n">
        <f aca="false">AL833+IF((AJ834=1),IF((H834=1),1,0),0)</f>
        <v>0</v>
      </c>
      <c r="AM834" s="37" t="n">
        <f aca="false">IF(AK834=0,9999,IF($H834=0,IF($AJ834&lt;1,AM833+1,0),AM833))</f>
        <v>9999</v>
      </c>
      <c r="AN834" s="37" t="n">
        <f aca="false">IF(AL834=0,9999,IF($H834=1,IF($AJ834&lt;1,AN833+1,0),AN833))</f>
        <v>9999</v>
      </c>
      <c r="AO834" s="37" t="n">
        <f aca="false">IF($A834-AM834&gt;0,1/(1+AM834),0)</f>
        <v>0</v>
      </c>
      <c r="AP834" s="37" t="n">
        <f aca="false">IF($A834-AN834&gt;0,1/(1+AN834),0)</f>
        <v>0</v>
      </c>
      <c r="AQ834" s="7" t="n">
        <f aca="false">IF(AK834=0,0,MAX(MIN(1,AO834^Power),0))</f>
        <v>0</v>
      </c>
      <c r="AR834" s="7" t="n">
        <f aca="false">IF(AL834=0,0,MAX(MIN(1,AP834^Power),0))</f>
        <v>0</v>
      </c>
      <c r="AS834" s="7" t="n">
        <f aca="false">IF($AJ834=1,IF($H834=0,K834,AS833),AS833)</f>
        <v>0</v>
      </c>
      <c r="AT834" s="7" t="n">
        <f aca="false">IF($AJ834=1,IF($H834=1,N834,AT833),AT833)</f>
        <v>0</v>
      </c>
    </row>
    <row r="835" customFormat="false" ht="13" hidden="false" customHeight="false" outlineLevel="0" collapsed="false">
      <c r="A835" s="16" t="n">
        <v>818</v>
      </c>
      <c r="B835" s="37" t="n">
        <f aca="true">IF(RAND()&lt;$D$8,1,0)</f>
        <v>1</v>
      </c>
      <c r="C835" s="20" t="n">
        <f aca="true">-LN(RAND())/$D$2</f>
        <v>0.538397481014238</v>
      </c>
      <c r="D835" s="38" t="n">
        <f aca="false">D834+C835</f>
        <v>864.440307491203</v>
      </c>
      <c r="E835" s="39" t="n">
        <f aca="false">MAX($E$3,AS834)</f>
        <v>0</v>
      </c>
      <c r="F835" s="39" t="n">
        <f aca="false">MAX($E$3,AT834)</f>
        <v>0</v>
      </c>
      <c r="G835" s="40" t="n">
        <v>0.5</v>
      </c>
      <c r="H835" s="38" t="n">
        <f aca="true">IF((B835=1),(IF((F835&lt;E835),1,(IF((F835=E835),(IF(RAND()&lt;G835,1,0)),0)))),(IF((RAND()&lt;G835),1,0)))</f>
        <v>1</v>
      </c>
      <c r="I835" s="38" t="n">
        <f aca="true">IF((H835=1),0,$D$3+$D$5*(RAND()-0.5))</f>
        <v>0</v>
      </c>
      <c r="J835" s="38" t="n">
        <f aca="false">I835+MAX(D835,J834)</f>
        <v>876.81375439271</v>
      </c>
      <c r="K835" s="38" t="n">
        <f aca="false">IF((H835=0),J835-D835,0)</f>
        <v>0</v>
      </c>
      <c r="L835" s="38" t="n">
        <f aca="true">IF(($H835=0),0,$D$4+$D$5*(RAND()-0.5))</f>
        <v>1.94341274596496</v>
      </c>
      <c r="M835" s="38" t="n">
        <f aca="false">L835+MAX(D835,M834)</f>
        <v>894.096213972518</v>
      </c>
      <c r="N835" s="38" t="n">
        <f aca="false">IF((H835=1),M835-D835,0)</f>
        <v>29.6559064813141</v>
      </c>
      <c r="O835" s="16" t="n">
        <v>818</v>
      </c>
      <c r="P835" s="41" t="n">
        <f aca="false">IF((Arterial=0),P834+1,P834)</f>
        <v>385</v>
      </c>
      <c r="Q835" s="41" t="n">
        <f aca="false">IF((Arterial=1),Q834+1,Q834)</f>
        <v>433</v>
      </c>
      <c r="R835" s="42" t="n">
        <f aca="false">IF((RESET=1),0,R835+K835)</f>
        <v>1066.53842808386</v>
      </c>
      <c r="S835" s="14" t="e">
        <f aca="false">IF(RESET=1,0,S835+N835)</f>
        <v>#N/A</v>
      </c>
      <c r="T835" s="2" t="n">
        <f aca="false">IF(RESET=1,0,T835+IF(H835=0,1,0))</f>
        <v>46</v>
      </c>
      <c r="U835" s="2" t="e">
        <f aca="false">IF(RESET=1,0,U835+H835)</f>
        <v>#N/A</v>
      </c>
      <c r="V835" s="14" t="n">
        <f aca="false">R835/(T835+0.00001)</f>
        <v>23.1856129614723</v>
      </c>
      <c r="W835" s="14" t="e">
        <f aca="false">S835/(U835+0.0001)</f>
        <v>#N/A</v>
      </c>
      <c r="X835" s="39" t="n">
        <f aca="false">IF(Informed=1,K835,0)</f>
        <v>0</v>
      </c>
      <c r="Y835" s="39" t="n">
        <f aca="false">IF(Informed=0,K835,0)</f>
        <v>0</v>
      </c>
      <c r="Z835" s="39" t="n">
        <f aca="false">IF(Informed=1,N835,0)</f>
        <v>29.6559064813141</v>
      </c>
      <c r="AA835" s="39" t="n">
        <f aca="false">IF(Informed=0,N835,0)</f>
        <v>0</v>
      </c>
      <c r="AB835" s="43" t="n">
        <f aca="false">IF(Arterial=0,IF(Informed=1,1,0),0)</f>
        <v>0</v>
      </c>
      <c r="AC835" s="43" t="n">
        <f aca="false">IF(Arterial=0,IF(Informed=0,1,0),0)</f>
        <v>0</v>
      </c>
      <c r="AD835" s="43" t="n">
        <f aca="false">IF(Arterial=1,IF(Informed=1,1,0),0)</f>
        <v>1</v>
      </c>
      <c r="AE835" s="43" t="n">
        <f aca="false">IF(Arterial=1,IF(Informed=0,1,0),0)</f>
        <v>0</v>
      </c>
      <c r="AF835" s="35" t="n">
        <f aca="false">IF(AB835=1,(X835-G$1030)^2,0)</f>
        <v>0</v>
      </c>
      <c r="AG835" s="35" t="n">
        <f aca="false">IF(AC835=1,(Y835-H$1030)^2,0)</f>
        <v>0</v>
      </c>
      <c r="AH835" s="35" t="n">
        <f aca="false">IF(AD835=1,(Z835-I$1030)^2,0)</f>
        <v>1.64114466999519</v>
      </c>
      <c r="AI835" s="35" t="n">
        <f aca="false">IF(AE835=1,(AA835-J$1030)^2,0)</f>
        <v>0</v>
      </c>
      <c r="AJ835" s="37" t="n">
        <f aca="true">IF(RAND()&lt;$D$6,1,0)</f>
        <v>0</v>
      </c>
      <c r="AK835" s="14" t="n">
        <f aca="false">AK834+IF((AJ835=1),IF((H835=0),1,0),0)</f>
        <v>0</v>
      </c>
      <c r="AL835" s="14" t="n">
        <f aca="false">AL834+IF((AJ835=1),IF((H835=1),1,0),0)</f>
        <v>0</v>
      </c>
      <c r="AM835" s="37" t="n">
        <f aca="false">IF(AK835=0,9999,IF($H835=0,IF($AJ835&lt;1,AM834+1,0),AM834))</f>
        <v>9999</v>
      </c>
      <c r="AN835" s="37" t="n">
        <f aca="false">IF(AL835=0,9999,IF($H835=1,IF($AJ835&lt;1,AN834+1,0),AN834))</f>
        <v>9999</v>
      </c>
      <c r="AO835" s="37" t="n">
        <f aca="false">IF($A835-AM835&gt;0,1/(1+AM835),0)</f>
        <v>0</v>
      </c>
      <c r="AP835" s="37" t="n">
        <f aca="false">IF($A835-AN835&gt;0,1/(1+AN835),0)</f>
        <v>0</v>
      </c>
      <c r="AQ835" s="7" t="n">
        <f aca="false">IF(AK835=0,0,MAX(MIN(1,AO835^Power),0))</f>
        <v>0</v>
      </c>
      <c r="AR835" s="7" t="n">
        <f aca="false">IF(AL835=0,0,MAX(MIN(1,AP835^Power),0))</f>
        <v>0</v>
      </c>
      <c r="AS835" s="7" t="n">
        <f aca="false">IF($AJ835=1,IF($H835=0,K835,AS834),AS834)</f>
        <v>0</v>
      </c>
      <c r="AT835" s="7" t="n">
        <f aca="false">IF($AJ835=1,IF($H835=1,N835,AT834),AT834)</f>
        <v>0</v>
      </c>
    </row>
    <row r="836" customFormat="false" ht="13" hidden="false" customHeight="false" outlineLevel="0" collapsed="false">
      <c r="A836" s="16" t="n">
        <v>819</v>
      </c>
      <c r="B836" s="37" t="n">
        <f aca="true">IF(RAND()&lt;$D$8,1,0)</f>
        <v>0</v>
      </c>
      <c r="C836" s="20" t="n">
        <f aca="true">-LN(RAND())/$D$2</f>
        <v>0.626688318788521</v>
      </c>
      <c r="D836" s="38" t="n">
        <f aca="false">D835+C836</f>
        <v>865.066995809992</v>
      </c>
      <c r="E836" s="39" t="n">
        <f aca="false">MAX($E$3,AS835)</f>
        <v>0</v>
      </c>
      <c r="F836" s="39" t="n">
        <f aca="false">MAX($E$3,AT835)</f>
        <v>0</v>
      </c>
      <c r="G836" s="40" t="n">
        <v>0.5</v>
      </c>
      <c r="H836" s="38" t="n">
        <f aca="true">IF((B836=1),(IF((F836&lt;E836),1,(IF((F836=E836),(IF(RAND()&lt;G836,1,0)),0)))),(IF((RAND()&lt;G836),1,0)))</f>
        <v>1</v>
      </c>
      <c r="I836" s="38" t="n">
        <f aca="true">IF((H836=1),0,$D$3+$D$5*(RAND()-0.5))</f>
        <v>0</v>
      </c>
      <c r="J836" s="38" t="n">
        <f aca="false">I836+MAX(D836,J835)</f>
        <v>876.81375439271</v>
      </c>
      <c r="K836" s="38" t="n">
        <f aca="false">IF((H836=0),J836-D836,0)</f>
        <v>0</v>
      </c>
      <c r="L836" s="38" t="n">
        <f aca="true">IF(($H836=0),0,$D$4+$D$5*(RAND()-0.5))</f>
        <v>2.21998643020421</v>
      </c>
      <c r="M836" s="38" t="n">
        <f aca="false">L836+MAX(D836,M835)</f>
        <v>896.316200402722</v>
      </c>
      <c r="N836" s="38" t="n">
        <f aca="false">IF((H836=1),M836-D836,0)</f>
        <v>31.2492045927298</v>
      </c>
      <c r="O836" s="16" t="n">
        <v>819</v>
      </c>
      <c r="P836" s="41" t="n">
        <f aca="false">IF((Arterial=0),P835+1,P835)</f>
        <v>385</v>
      </c>
      <c r="Q836" s="41" t="n">
        <f aca="false">IF((Arterial=1),Q835+1,Q835)</f>
        <v>434</v>
      </c>
      <c r="R836" s="42" t="n">
        <f aca="false">IF((RESET=1),0,R836+K836)</f>
        <v>929.68086038089</v>
      </c>
      <c r="S836" s="14" t="e">
        <f aca="false">IF(RESET=1,0,S836+N836)</f>
        <v>#N/A</v>
      </c>
      <c r="T836" s="2" t="n">
        <f aca="false">IF(RESET=1,0,T836+IF(H836=0,1,0))</f>
        <v>40</v>
      </c>
      <c r="U836" s="2" t="e">
        <f aca="false">IF(RESET=1,0,U836+H836)</f>
        <v>#N/A</v>
      </c>
      <c r="V836" s="14" t="n">
        <f aca="false">R836/(T836+0.00001)</f>
        <v>23.2420156990183</v>
      </c>
      <c r="W836" s="14" t="e">
        <f aca="false">S836/(U836+0.0001)</f>
        <v>#N/A</v>
      </c>
      <c r="X836" s="39" t="n">
        <f aca="false">IF(Informed=1,K836,0)</f>
        <v>0</v>
      </c>
      <c r="Y836" s="39" t="n">
        <f aca="false">IF(Informed=0,K836,0)</f>
        <v>0</v>
      </c>
      <c r="Z836" s="39" t="n">
        <f aca="false">IF(Informed=1,N836,0)</f>
        <v>0</v>
      </c>
      <c r="AA836" s="39" t="n">
        <f aca="false">IF(Informed=0,N836,0)</f>
        <v>31.2492045927298</v>
      </c>
      <c r="AB836" s="43" t="n">
        <f aca="false">IF(Arterial=0,IF(Informed=1,1,0),0)</f>
        <v>0</v>
      </c>
      <c r="AC836" s="43" t="n">
        <f aca="false">IF(Arterial=0,IF(Informed=0,1,0),0)</f>
        <v>0</v>
      </c>
      <c r="AD836" s="43" t="n">
        <f aca="false">IF(Arterial=1,IF(Informed=1,1,0),0)</f>
        <v>0</v>
      </c>
      <c r="AE836" s="43" t="n">
        <f aca="false">IF(Arterial=1,IF(Informed=0,1,0),0)</f>
        <v>1</v>
      </c>
      <c r="AF836" s="35" t="n">
        <f aca="false">IF(AB836=1,(X836-G$1030)^2,0)</f>
        <v>0</v>
      </c>
      <c r="AG836" s="35" t="n">
        <f aca="false">IF(AC836=1,(Y836-H$1030)^2,0)</f>
        <v>0</v>
      </c>
      <c r="AH836" s="35" t="n">
        <f aca="false">IF(AD836=1,(Z836-I$1030)^2,0)</f>
        <v>0</v>
      </c>
      <c r="AI836" s="35" t="n">
        <f aca="false">IF(AE836=1,(AA836-J$1030)^2,0)</f>
        <v>2.83898776542881</v>
      </c>
      <c r="AJ836" s="37" t="n">
        <f aca="true">IF(RAND()&lt;$D$6,1,0)</f>
        <v>0</v>
      </c>
      <c r="AK836" s="14" t="n">
        <f aca="false">AK835+IF((AJ836=1),IF((H836=0),1,0),0)</f>
        <v>0</v>
      </c>
      <c r="AL836" s="14" t="n">
        <f aca="false">AL835+IF((AJ836=1),IF((H836=1),1,0),0)</f>
        <v>0</v>
      </c>
      <c r="AM836" s="37" t="n">
        <f aca="false">IF(AK836=0,9999,IF($H836=0,IF($AJ836&lt;1,AM835+1,0),AM835))</f>
        <v>9999</v>
      </c>
      <c r="AN836" s="37" t="n">
        <f aca="false">IF(AL836=0,9999,IF($H836=1,IF($AJ836&lt;1,AN835+1,0),AN835))</f>
        <v>9999</v>
      </c>
      <c r="AO836" s="37" t="n">
        <f aca="false">IF($A836-AM836&gt;0,1/(1+AM836),0)</f>
        <v>0</v>
      </c>
      <c r="AP836" s="37" t="n">
        <f aca="false">IF($A836-AN836&gt;0,1/(1+AN836),0)</f>
        <v>0</v>
      </c>
      <c r="AQ836" s="7" t="n">
        <f aca="false">IF(AK836=0,0,MAX(MIN(1,AO836^Power),0))</f>
        <v>0</v>
      </c>
      <c r="AR836" s="7" t="n">
        <f aca="false">IF(AL836=0,0,MAX(MIN(1,AP836^Power),0))</f>
        <v>0</v>
      </c>
      <c r="AS836" s="7" t="n">
        <f aca="false">IF($AJ836=1,IF($H836=0,K836,AS835),AS835)</f>
        <v>0</v>
      </c>
      <c r="AT836" s="7" t="n">
        <f aca="false">IF($AJ836=1,IF($H836=1,N836,AT835),AT835)</f>
        <v>0</v>
      </c>
    </row>
    <row r="837" customFormat="false" ht="13" hidden="false" customHeight="false" outlineLevel="0" collapsed="false">
      <c r="A837" s="16" t="n">
        <v>820</v>
      </c>
      <c r="B837" s="37" t="n">
        <f aca="true">IF(RAND()&lt;$D$8,1,0)</f>
        <v>1</v>
      </c>
      <c r="C837" s="20" t="n">
        <f aca="true">-LN(RAND())/$D$2</f>
        <v>2.23957593956819</v>
      </c>
      <c r="D837" s="38" t="n">
        <f aca="false">D836+C837</f>
        <v>867.30657174956</v>
      </c>
      <c r="E837" s="39" t="n">
        <f aca="false">MAX($E$3,AS836)</f>
        <v>0</v>
      </c>
      <c r="F837" s="39" t="n">
        <f aca="false">MAX($E$3,AT836)</f>
        <v>0</v>
      </c>
      <c r="G837" s="40" t="n">
        <v>0.5</v>
      </c>
      <c r="H837" s="38" t="n">
        <f aca="true">IF((B837=1),(IF((F837&lt;E837),1,(IF((F837=E837),(IF(RAND()&lt;G837,1,0)),0)))),(IF((RAND()&lt;G837),1,0)))</f>
        <v>0</v>
      </c>
      <c r="I837" s="38" t="n">
        <f aca="true">IF((H837=1),0,$D$3+$D$5*(RAND()-0.5))</f>
        <v>1.85350220020105</v>
      </c>
      <c r="J837" s="38" t="n">
        <f aca="false">I837+MAX(D837,J836)</f>
        <v>878.667256592911</v>
      </c>
      <c r="K837" s="38" t="n">
        <f aca="false">IF((H837=0),J837-D837,0)</f>
        <v>11.3606848433507</v>
      </c>
      <c r="L837" s="38" t="n">
        <f aca="true">IF(($H837=0),0,$D$4+$D$5*(RAND()-0.5))</f>
        <v>0</v>
      </c>
      <c r="M837" s="38" t="n">
        <f aca="false">L837+MAX(D837,M836)</f>
        <v>896.316200402722</v>
      </c>
      <c r="N837" s="38" t="n">
        <f aca="false">IF((H837=1),M837-D837,0)</f>
        <v>0</v>
      </c>
      <c r="O837" s="16" t="n">
        <v>820</v>
      </c>
      <c r="P837" s="41" t="n">
        <f aca="false">IF((Arterial=0),P836+1,P836)</f>
        <v>386</v>
      </c>
      <c r="Q837" s="41" t="n">
        <f aca="false">IF((Arterial=1),Q836+1,Q836)</f>
        <v>434</v>
      </c>
      <c r="R837" s="42" t="e">
        <f aca="false">IF((RESET=1),0,R837+K837)</f>
        <v>#N/A</v>
      </c>
      <c r="S837" s="14" t="n">
        <f aca="false">IF(RESET=1,0,S837+N837)</f>
        <v>550.056358469432</v>
      </c>
      <c r="T837" s="2" t="e">
        <f aca="false">IF(RESET=1,0,T837+IF(H837=0,1,0))</f>
        <v>#N/A</v>
      </c>
      <c r="U837" s="2" t="n">
        <f aca="false">IF(RESET=1,0,U837+H837)</f>
        <v>32</v>
      </c>
      <c r="V837" s="14" t="e">
        <f aca="false">R837/(T837+0.00001)</f>
        <v>#N/A</v>
      </c>
      <c r="W837" s="14" t="n">
        <f aca="false">S837/(U837+0.0001)</f>
        <v>17.1892074858964</v>
      </c>
      <c r="X837" s="39" t="n">
        <f aca="false">IF(Informed=1,K837,0)</f>
        <v>11.3606848433507</v>
      </c>
      <c r="Y837" s="39" t="n">
        <f aca="false">IF(Informed=0,K837,0)</f>
        <v>0</v>
      </c>
      <c r="Z837" s="39" t="n">
        <f aca="false">IF(Informed=1,N837,0)</f>
        <v>0</v>
      </c>
      <c r="AA837" s="39" t="n">
        <f aca="false">IF(Informed=0,N837,0)</f>
        <v>0</v>
      </c>
      <c r="AB837" s="43" t="n">
        <f aca="false">IF(Arterial=0,IF(Informed=1,1,0),0)</f>
        <v>1</v>
      </c>
      <c r="AC837" s="43" t="n">
        <f aca="false">IF(Arterial=0,IF(Informed=0,1,0),0)</f>
        <v>0</v>
      </c>
      <c r="AD837" s="43" t="n">
        <f aca="false">IF(Arterial=1,IF(Informed=1,1,0),0)</f>
        <v>0</v>
      </c>
      <c r="AE837" s="43" t="n">
        <f aca="false">IF(Arterial=1,IF(Informed=0,1,0),0)</f>
        <v>0</v>
      </c>
      <c r="AF837" s="35" t="n">
        <f aca="false">IF(AB837=1,(X837-G$1030)^2,0)</f>
        <v>0.423809595290891</v>
      </c>
      <c r="AG837" s="35" t="n">
        <f aca="false">IF(AC837=1,(Y837-H$1030)^2,0)</f>
        <v>0</v>
      </c>
      <c r="AH837" s="35" t="n">
        <f aca="false">IF(AD837=1,(Z837-I$1030)^2,0)</f>
        <v>0</v>
      </c>
      <c r="AI837" s="35" t="n">
        <f aca="false">IF(AE837=1,(AA837-J$1030)^2,0)</f>
        <v>0</v>
      </c>
      <c r="AJ837" s="37" t="n">
        <f aca="true">IF(RAND()&lt;$D$6,1,0)</f>
        <v>0</v>
      </c>
      <c r="AK837" s="14" t="n">
        <f aca="false">AK836+IF((AJ837=1),IF((H837=0),1,0),0)</f>
        <v>0</v>
      </c>
      <c r="AL837" s="14" t="n">
        <f aca="false">AL836+IF((AJ837=1),IF((H837=1),1,0),0)</f>
        <v>0</v>
      </c>
      <c r="AM837" s="37" t="n">
        <f aca="false">IF(AK837=0,9999,IF($H837=0,IF($AJ837&lt;1,AM836+1,0),AM836))</f>
        <v>9999</v>
      </c>
      <c r="AN837" s="37" t="n">
        <f aca="false">IF(AL837=0,9999,IF($H837=1,IF($AJ837&lt;1,AN836+1,0),AN836))</f>
        <v>9999</v>
      </c>
      <c r="AO837" s="37" t="n">
        <f aca="false">IF($A837-AM837&gt;0,1/(1+AM837),0)</f>
        <v>0</v>
      </c>
      <c r="AP837" s="37" t="n">
        <f aca="false">IF($A837-AN837&gt;0,1/(1+AN837),0)</f>
        <v>0</v>
      </c>
      <c r="AQ837" s="7" t="n">
        <f aca="false">IF(AK837=0,0,MAX(MIN(1,AO837^Power),0))</f>
        <v>0</v>
      </c>
      <c r="AR837" s="7" t="n">
        <f aca="false">IF(AL837=0,0,MAX(MIN(1,AP837^Power),0))</f>
        <v>0</v>
      </c>
      <c r="AS837" s="7" t="n">
        <f aca="false">IF($AJ837=1,IF($H837=0,K837,AS836),AS836)</f>
        <v>0</v>
      </c>
      <c r="AT837" s="7" t="n">
        <f aca="false">IF($AJ837=1,IF($H837=1,N837,AT836),AT836)</f>
        <v>0</v>
      </c>
    </row>
    <row r="838" customFormat="false" ht="13" hidden="false" customHeight="false" outlineLevel="0" collapsed="false">
      <c r="A838" s="16" t="n">
        <v>821</v>
      </c>
      <c r="B838" s="37" t="n">
        <f aca="true">IF(RAND()&lt;$D$8,1,0)</f>
        <v>0</v>
      </c>
      <c r="C838" s="20" t="n">
        <f aca="true">-LN(RAND())/$D$2</f>
        <v>1.40638295151648</v>
      </c>
      <c r="D838" s="38" t="n">
        <f aca="false">D837+C838</f>
        <v>868.712954701077</v>
      </c>
      <c r="E838" s="39" t="n">
        <f aca="false">MAX($E$3,AS837)</f>
        <v>0</v>
      </c>
      <c r="F838" s="39" t="n">
        <f aca="false">MAX($E$3,AT837)</f>
        <v>0</v>
      </c>
      <c r="G838" s="40" t="n">
        <v>0.5</v>
      </c>
      <c r="H838" s="38" t="n">
        <f aca="true">IF((B838=1),(IF((F838&lt;E838),1,(IF((F838=E838),(IF(RAND()&lt;G838,1,0)),0)))),(IF((RAND()&lt;G838),1,0)))</f>
        <v>1</v>
      </c>
      <c r="I838" s="38" t="n">
        <f aca="true">IF((H838=1),0,$D$3+$D$5*(RAND()-0.5))</f>
        <v>0</v>
      </c>
      <c r="J838" s="38" t="n">
        <f aca="false">I838+MAX(D838,J837)</f>
        <v>878.667256592911</v>
      </c>
      <c r="K838" s="38" t="n">
        <f aca="false">IF((H838=0),J838-D838,0)</f>
        <v>0</v>
      </c>
      <c r="L838" s="38" t="n">
        <f aca="true">IF(($H838=0),0,$D$4+$D$5*(RAND()-0.5))</f>
        <v>2.02918795079051</v>
      </c>
      <c r="M838" s="38" t="n">
        <f aca="false">L838+MAX(D838,M837)</f>
        <v>898.345388353512</v>
      </c>
      <c r="N838" s="38" t="n">
        <f aca="false">IF((H838=1),M838-D838,0)</f>
        <v>29.6324336524357</v>
      </c>
      <c r="O838" s="16" t="n">
        <v>821</v>
      </c>
      <c r="P838" s="41" t="n">
        <f aca="false">IF((Arterial=0),P837+1,P837)</f>
        <v>386</v>
      </c>
      <c r="Q838" s="41" t="n">
        <f aca="false">IF((Arterial=1),Q837+1,Q837)</f>
        <v>435</v>
      </c>
      <c r="R838" s="42" t="n">
        <f aca="false">IF((RESET=1),0,R838+K838)</f>
        <v>1017.36319774827</v>
      </c>
      <c r="S838" s="14" t="e">
        <f aca="false">IF(RESET=1,0,S838+N838)</f>
        <v>#N/A</v>
      </c>
      <c r="T838" s="2" t="n">
        <f aca="false">IF(RESET=1,0,T838+IF(H838=0,1,0))</f>
        <v>44</v>
      </c>
      <c r="U838" s="2" t="e">
        <f aca="false">IF(RESET=1,0,U838+H838)</f>
        <v>#N/A</v>
      </c>
      <c r="V838" s="14" t="n">
        <f aca="false">R838/(T838+0.00001)</f>
        <v>23.1218856029412</v>
      </c>
      <c r="W838" s="14" t="e">
        <f aca="false">S838/(U838+0.0001)</f>
        <v>#N/A</v>
      </c>
      <c r="X838" s="39" t="n">
        <f aca="false">IF(Informed=1,K838,0)</f>
        <v>0</v>
      </c>
      <c r="Y838" s="39" t="n">
        <f aca="false">IF(Informed=0,K838,0)</f>
        <v>0</v>
      </c>
      <c r="Z838" s="39" t="n">
        <f aca="false">IF(Informed=1,N838,0)</f>
        <v>0</v>
      </c>
      <c r="AA838" s="39" t="n">
        <f aca="false">IF(Informed=0,N838,0)</f>
        <v>29.6324336524357</v>
      </c>
      <c r="AB838" s="43" t="n">
        <f aca="false">IF(Arterial=0,IF(Informed=1,1,0),0)</f>
        <v>0</v>
      </c>
      <c r="AC838" s="43" t="n">
        <f aca="false">IF(Arterial=0,IF(Informed=0,1,0),0)</f>
        <v>0</v>
      </c>
      <c r="AD838" s="43" t="n">
        <f aca="false">IF(Arterial=1,IF(Informed=1,1,0),0)</f>
        <v>0</v>
      </c>
      <c r="AE838" s="43" t="n">
        <f aca="false">IF(Arterial=1,IF(Informed=0,1,0),0)</f>
        <v>1</v>
      </c>
      <c r="AF838" s="35" t="n">
        <f aca="false">IF(AB838=1,(X838-G$1030)^2,0)</f>
        <v>0</v>
      </c>
      <c r="AG838" s="35" t="n">
        <f aca="false">IF(AC838=1,(Y838-H$1030)^2,0)</f>
        <v>0</v>
      </c>
      <c r="AH838" s="35" t="n">
        <f aca="false">IF(AD838=1,(Z838-I$1030)^2,0)</f>
        <v>0</v>
      </c>
      <c r="AI838" s="35" t="n">
        <f aca="false">IF(AE838=1,(AA838-J$1030)^2,0)</f>
        <v>0.00464560323563363</v>
      </c>
      <c r="AJ838" s="37" t="n">
        <f aca="true">IF(RAND()&lt;$D$6,1,0)</f>
        <v>0</v>
      </c>
      <c r="AK838" s="14" t="n">
        <f aca="false">AK837+IF((AJ838=1),IF((H838=0),1,0),0)</f>
        <v>0</v>
      </c>
      <c r="AL838" s="14" t="n">
        <f aca="false">AL837+IF((AJ838=1),IF((H838=1),1,0),0)</f>
        <v>0</v>
      </c>
      <c r="AM838" s="37" t="n">
        <f aca="false">IF(AK838=0,9999,IF($H838=0,IF($AJ838&lt;1,AM837+1,0),AM837))</f>
        <v>9999</v>
      </c>
      <c r="AN838" s="37" t="n">
        <f aca="false">IF(AL838=0,9999,IF($H838=1,IF($AJ838&lt;1,AN837+1,0),AN837))</f>
        <v>9999</v>
      </c>
      <c r="AO838" s="37" t="n">
        <f aca="false">IF($A838-AM838&gt;0,1/(1+AM838),0)</f>
        <v>0</v>
      </c>
      <c r="AP838" s="37" t="n">
        <f aca="false">IF($A838-AN838&gt;0,1/(1+AN838),0)</f>
        <v>0</v>
      </c>
      <c r="AQ838" s="7" t="n">
        <f aca="false">IF(AK838=0,0,MAX(MIN(1,AO838^Power),0))</f>
        <v>0</v>
      </c>
      <c r="AR838" s="7" t="n">
        <f aca="false">IF(AL838=0,0,MAX(MIN(1,AP838^Power),0))</f>
        <v>0</v>
      </c>
      <c r="AS838" s="7" t="n">
        <f aca="false">IF($AJ838=1,IF($H838=0,K838,AS837),AS837)</f>
        <v>0</v>
      </c>
      <c r="AT838" s="7" t="n">
        <f aca="false">IF($AJ838=1,IF($H838=1,N838,AT837),AT837)</f>
        <v>0</v>
      </c>
    </row>
    <row r="839" customFormat="false" ht="13" hidden="false" customHeight="false" outlineLevel="0" collapsed="false">
      <c r="A839" s="16" t="n">
        <v>822</v>
      </c>
      <c r="B839" s="37" t="n">
        <f aca="true">IF(RAND()&lt;$D$8,1,0)</f>
        <v>0</v>
      </c>
      <c r="C839" s="20" t="n">
        <f aca="true">-LN(RAND())/$D$2</f>
        <v>0.784531156130313</v>
      </c>
      <c r="D839" s="38" t="n">
        <f aca="false">D838+C839</f>
        <v>869.497485857207</v>
      </c>
      <c r="E839" s="39" t="n">
        <f aca="false">MAX($E$3,AS838)</f>
        <v>0</v>
      </c>
      <c r="F839" s="39" t="n">
        <f aca="false">MAX($E$3,AT838)</f>
        <v>0</v>
      </c>
      <c r="G839" s="40" t="n">
        <v>0.5</v>
      </c>
      <c r="H839" s="38" t="n">
        <f aca="true">IF((B839=1),(IF((F839&lt;E839),1,(IF((F839=E839),(IF(RAND()&lt;G839,1,0)),0)))),(IF((RAND()&lt;G839),1,0)))</f>
        <v>0</v>
      </c>
      <c r="I839" s="38" t="n">
        <f aca="true">IF((H839=1),0,$D$3+$D$5*(RAND()-0.5))</f>
        <v>1.81919752555737</v>
      </c>
      <c r="J839" s="38" t="n">
        <f aca="false">I839+MAX(D839,J838)</f>
        <v>880.486454118468</v>
      </c>
      <c r="K839" s="38" t="n">
        <f aca="false">IF((H839=0),J839-D839,0)</f>
        <v>10.9889682612612</v>
      </c>
      <c r="L839" s="38" t="n">
        <f aca="true">IF(($H839=0),0,$D$4+$D$5*(RAND()-0.5))</f>
        <v>0</v>
      </c>
      <c r="M839" s="38" t="n">
        <f aca="false">L839+MAX(D839,M838)</f>
        <v>898.345388353512</v>
      </c>
      <c r="N839" s="38" t="n">
        <f aca="false">IF((H839=1),M839-D839,0)</f>
        <v>0</v>
      </c>
      <c r="O839" s="16" t="n">
        <v>822</v>
      </c>
      <c r="P839" s="41" t="n">
        <f aca="false">IF((Arterial=0),P838+1,P838)</f>
        <v>387</v>
      </c>
      <c r="Q839" s="41" t="n">
        <f aca="false">IF((Arterial=1),Q838+1,Q838)</f>
        <v>435</v>
      </c>
      <c r="R839" s="42" t="e">
        <f aca="false">IF((RESET=1),0,R839+K839)</f>
        <v>#N/A</v>
      </c>
      <c r="S839" s="14" t="n">
        <f aca="false">IF(RESET=1,0,S839+N839)</f>
        <v>548.972367316769</v>
      </c>
      <c r="T839" s="2" t="e">
        <f aca="false">IF(RESET=1,0,T839+IF(H839=0,1,0))</f>
        <v>#N/A</v>
      </c>
      <c r="U839" s="2" t="n">
        <f aca="false">IF(RESET=1,0,U839+H839)</f>
        <v>36</v>
      </c>
      <c r="V839" s="14" t="e">
        <f aca="false">R839/(T839+0.00001)</f>
        <v>#N/A</v>
      </c>
      <c r="W839" s="14" t="n">
        <f aca="false">S839/(U839+0.0001)</f>
        <v>15.2491900666045</v>
      </c>
      <c r="X839" s="39" t="n">
        <f aca="false">IF(Informed=1,K839,0)</f>
        <v>0</v>
      </c>
      <c r="Y839" s="39" t="n">
        <f aca="false">IF(Informed=0,K839,0)</f>
        <v>10.9889682612612</v>
      </c>
      <c r="Z839" s="39" t="n">
        <f aca="false">IF(Informed=1,N839,0)</f>
        <v>0</v>
      </c>
      <c r="AA839" s="39" t="n">
        <f aca="false">IF(Informed=0,N839,0)</f>
        <v>0</v>
      </c>
      <c r="AB839" s="43" t="n">
        <f aca="false">IF(Arterial=0,IF(Informed=1,1,0),0)</f>
        <v>0</v>
      </c>
      <c r="AC839" s="43" t="n">
        <f aca="false">IF(Arterial=0,IF(Informed=0,1,0),0)</f>
        <v>1</v>
      </c>
      <c r="AD839" s="43" t="n">
        <f aca="false">IF(Arterial=1,IF(Informed=1,1,0),0)</f>
        <v>0</v>
      </c>
      <c r="AE839" s="43" t="n">
        <f aca="false">IF(Arterial=1,IF(Informed=0,1,0),0)</f>
        <v>0</v>
      </c>
      <c r="AF839" s="35" t="n">
        <f aca="false">IF(AB839=1,(X839-G$1030)^2,0)</f>
        <v>0</v>
      </c>
      <c r="AG839" s="35" t="n">
        <f aca="false">IF(AC839=1,(Y839-H$1030)^2,0)</f>
        <v>0.00424882486323239</v>
      </c>
      <c r="AH839" s="35" t="n">
        <f aca="false">IF(AD839=1,(Z839-I$1030)^2,0)</f>
        <v>0</v>
      </c>
      <c r="AI839" s="35" t="n">
        <f aca="false">IF(AE839=1,(AA839-J$1030)^2,0)</f>
        <v>0</v>
      </c>
      <c r="AJ839" s="37" t="n">
        <f aca="true">IF(RAND()&lt;$D$6,1,0)</f>
        <v>0</v>
      </c>
      <c r="AK839" s="14" t="n">
        <f aca="false">AK838+IF((AJ839=1),IF((H839=0),1,0),0)</f>
        <v>0</v>
      </c>
      <c r="AL839" s="14" t="n">
        <f aca="false">AL838+IF((AJ839=1),IF((H839=1),1,0),0)</f>
        <v>0</v>
      </c>
      <c r="AM839" s="37" t="n">
        <f aca="false">IF(AK839=0,9999,IF($H839=0,IF($AJ839&lt;1,AM838+1,0),AM838))</f>
        <v>9999</v>
      </c>
      <c r="AN839" s="37" t="n">
        <f aca="false">IF(AL839=0,9999,IF($H839=1,IF($AJ839&lt;1,AN838+1,0),AN838))</f>
        <v>9999</v>
      </c>
      <c r="AO839" s="37" t="n">
        <f aca="false">IF($A839-AM839&gt;0,1/(1+AM839),0)</f>
        <v>0</v>
      </c>
      <c r="AP839" s="37" t="n">
        <f aca="false">IF($A839-AN839&gt;0,1/(1+AN839),0)</f>
        <v>0</v>
      </c>
      <c r="AQ839" s="7" t="n">
        <f aca="false">IF(AK839=0,0,MAX(MIN(1,AO839^Power),0))</f>
        <v>0</v>
      </c>
      <c r="AR839" s="7" t="n">
        <f aca="false">IF(AL839=0,0,MAX(MIN(1,AP839^Power),0))</f>
        <v>0</v>
      </c>
      <c r="AS839" s="7" t="n">
        <f aca="false">IF($AJ839=1,IF($H839=0,K839,AS838),AS838)</f>
        <v>0</v>
      </c>
      <c r="AT839" s="7" t="n">
        <f aca="false">IF($AJ839=1,IF($H839=1,N839,AT838),AT838)</f>
        <v>0</v>
      </c>
    </row>
    <row r="840" customFormat="false" ht="13" hidden="false" customHeight="false" outlineLevel="0" collapsed="false">
      <c r="A840" s="16" t="n">
        <v>823</v>
      </c>
      <c r="B840" s="37" t="n">
        <f aca="true">IF(RAND()&lt;$D$8,1,0)</f>
        <v>1</v>
      </c>
      <c r="C840" s="20" t="n">
        <f aca="true">-LN(RAND())/$D$2</f>
        <v>1.02128192293861</v>
      </c>
      <c r="D840" s="38" t="n">
        <f aca="false">D839+C840</f>
        <v>870.518767780146</v>
      </c>
      <c r="E840" s="39" t="n">
        <f aca="false">MAX($E$3,AS839)</f>
        <v>0</v>
      </c>
      <c r="F840" s="39" t="n">
        <f aca="false">MAX($E$3,AT839)</f>
        <v>0</v>
      </c>
      <c r="G840" s="40" t="n">
        <v>0.5</v>
      </c>
      <c r="H840" s="38" t="n">
        <f aca="true">IF((B840=1),(IF((F840&lt;E840),1,(IF((F840=E840),(IF(RAND()&lt;G840,1,0)),0)))),(IF((RAND()&lt;G840),1,0)))</f>
        <v>0</v>
      </c>
      <c r="I840" s="38" t="n">
        <f aca="true">IF((H840=1),0,$D$3+$D$5*(RAND()-0.5))</f>
        <v>2.21156038355256</v>
      </c>
      <c r="J840" s="38" t="n">
        <f aca="false">I840+MAX(D840,J839)</f>
        <v>882.698014502021</v>
      </c>
      <c r="K840" s="38" t="n">
        <f aca="false">IF((H840=0),J840-D840,0)</f>
        <v>12.1792467218751</v>
      </c>
      <c r="L840" s="38" t="n">
        <f aca="true">IF(($H840=0),0,$D$4+$D$5*(RAND()-0.5))</f>
        <v>0</v>
      </c>
      <c r="M840" s="38" t="n">
        <f aca="false">L840+MAX(D840,M839)</f>
        <v>898.345388353512</v>
      </c>
      <c r="N840" s="38" t="n">
        <f aca="false">IF((H840=1),M840-D840,0)</f>
        <v>0</v>
      </c>
      <c r="O840" s="16" t="n">
        <v>823</v>
      </c>
      <c r="P840" s="41" t="n">
        <f aca="false">IF((Arterial=0),P839+1,P839)</f>
        <v>388</v>
      </c>
      <c r="Q840" s="41" t="n">
        <f aca="false">IF((Arterial=1),Q839+1,Q839)</f>
        <v>435</v>
      </c>
      <c r="R840" s="42" t="e">
        <f aca="false">IF((RESET=1),0,R840+K840)</f>
        <v>#N/A</v>
      </c>
      <c r="S840" s="14" t="n">
        <f aca="false">IF(RESET=1,0,S840+N840)</f>
        <v>724.664192442322</v>
      </c>
      <c r="T840" s="2" t="e">
        <f aca="false">IF(RESET=1,0,T840+IF(H840=0,1,0))</f>
        <v>#N/A</v>
      </c>
      <c r="U840" s="2" t="n">
        <f aca="false">IF(RESET=1,0,U840+H840)</f>
        <v>45</v>
      </c>
      <c r="V840" s="14" t="e">
        <f aca="false">R840/(T840+0.00001)</f>
        <v>#N/A</v>
      </c>
      <c r="W840" s="14" t="n">
        <f aca="false">S840/(U840+0.0001)</f>
        <v>16.103612935134</v>
      </c>
      <c r="X840" s="39" t="n">
        <f aca="false">IF(Informed=1,K840,0)</f>
        <v>12.1792467218751</v>
      </c>
      <c r="Y840" s="39" t="n">
        <f aca="false">IF(Informed=0,K840,0)</f>
        <v>0</v>
      </c>
      <c r="Z840" s="39" t="n">
        <f aca="false">IF(Informed=1,N840,0)</f>
        <v>0</v>
      </c>
      <c r="AA840" s="39" t="n">
        <f aca="false">IF(Informed=0,N840,0)</f>
        <v>0</v>
      </c>
      <c r="AB840" s="43" t="n">
        <f aca="false">IF(Arterial=0,IF(Informed=1,1,0),0)</f>
        <v>1</v>
      </c>
      <c r="AC840" s="43" t="n">
        <f aca="false">IF(Arterial=0,IF(Informed=0,1,0),0)</f>
        <v>0</v>
      </c>
      <c r="AD840" s="43" t="n">
        <f aca="false">IF(Arterial=1,IF(Informed=1,1,0),0)</f>
        <v>0</v>
      </c>
      <c r="AE840" s="43" t="n">
        <f aca="false">IF(Arterial=1,IF(Informed=0,1,0),0)</f>
        <v>0</v>
      </c>
      <c r="AF840" s="35" t="n">
        <f aca="false">IF(AB840=1,(X840-G$1030)^2,0)</f>
        <v>2.15963151769414</v>
      </c>
      <c r="AG840" s="35" t="n">
        <f aca="false">IF(AC840=1,(Y840-H$1030)^2,0)</f>
        <v>0</v>
      </c>
      <c r="AH840" s="35" t="n">
        <f aca="false">IF(AD840=1,(Z840-I$1030)^2,0)</f>
        <v>0</v>
      </c>
      <c r="AI840" s="35" t="n">
        <f aca="false">IF(AE840=1,(AA840-J$1030)^2,0)</f>
        <v>0</v>
      </c>
      <c r="AJ840" s="37" t="n">
        <f aca="true">IF(RAND()&lt;$D$6,1,0)</f>
        <v>0</v>
      </c>
      <c r="AK840" s="14" t="n">
        <f aca="false">AK839+IF((AJ840=1),IF((H840=0),1,0),0)</f>
        <v>0</v>
      </c>
      <c r="AL840" s="14" t="n">
        <f aca="false">AL839+IF((AJ840=1),IF((H840=1),1,0),0)</f>
        <v>0</v>
      </c>
      <c r="AM840" s="37" t="n">
        <f aca="false">IF(AK840=0,9999,IF($H840=0,IF($AJ840&lt;1,AM839+1,0),AM839))</f>
        <v>9999</v>
      </c>
      <c r="AN840" s="37" t="n">
        <f aca="false">IF(AL840=0,9999,IF($H840=1,IF($AJ840&lt;1,AN839+1,0),AN839))</f>
        <v>9999</v>
      </c>
      <c r="AO840" s="37" t="n">
        <f aca="false">IF($A840-AM840&gt;0,1/(1+AM840),0)</f>
        <v>0</v>
      </c>
      <c r="AP840" s="37" t="n">
        <f aca="false">IF($A840-AN840&gt;0,1/(1+AN840),0)</f>
        <v>0</v>
      </c>
      <c r="AQ840" s="7" t="n">
        <f aca="false">IF(AK840=0,0,MAX(MIN(1,AO840^Power),0))</f>
        <v>0</v>
      </c>
      <c r="AR840" s="7" t="n">
        <f aca="false">IF(AL840=0,0,MAX(MIN(1,AP840^Power),0))</f>
        <v>0</v>
      </c>
      <c r="AS840" s="7" t="n">
        <f aca="false">IF($AJ840=1,IF($H840=0,K840,AS839),AS839)</f>
        <v>0</v>
      </c>
      <c r="AT840" s="7" t="n">
        <f aca="false">IF($AJ840=1,IF($H840=1,N840,AT839),AT839)</f>
        <v>0</v>
      </c>
    </row>
    <row r="841" customFormat="false" ht="13" hidden="false" customHeight="false" outlineLevel="0" collapsed="false">
      <c r="A841" s="16" t="n">
        <v>824</v>
      </c>
      <c r="B841" s="37" t="n">
        <f aca="true">IF(RAND()&lt;$D$8,1,0)</f>
        <v>1</v>
      </c>
      <c r="C841" s="20" t="n">
        <f aca="true">-LN(RAND())/$D$2</f>
        <v>1.41046998395129</v>
      </c>
      <c r="D841" s="38" t="n">
        <f aca="false">D840+C841</f>
        <v>871.929237764097</v>
      </c>
      <c r="E841" s="39" t="n">
        <f aca="false">MAX($E$3,AS840)</f>
        <v>0</v>
      </c>
      <c r="F841" s="39" t="n">
        <f aca="false">MAX($E$3,AT840)</f>
        <v>0</v>
      </c>
      <c r="G841" s="40" t="n">
        <v>0.5</v>
      </c>
      <c r="H841" s="38" t="n">
        <f aca="true">IF((B841=1),(IF((F841&lt;E841),1,(IF((F841=E841),(IF(RAND()&lt;G841,1,0)),0)))),(IF((RAND()&lt;G841),1,0)))</f>
        <v>0</v>
      </c>
      <c r="I841" s="38" t="n">
        <f aca="true">IF((H841=1),0,$D$3+$D$5*(RAND()-0.5))</f>
        <v>2.23599141132317</v>
      </c>
      <c r="J841" s="38" t="n">
        <f aca="false">I841+MAX(D841,J840)</f>
        <v>884.934005913344</v>
      </c>
      <c r="K841" s="38" t="n">
        <f aca="false">IF((H841=0),J841-D841,0)</f>
        <v>13.004768149247</v>
      </c>
      <c r="L841" s="38" t="n">
        <f aca="true">IF(($H841=0),0,$D$4+$D$5*(RAND()-0.5))</f>
        <v>0</v>
      </c>
      <c r="M841" s="38" t="n">
        <f aca="false">L841+MAX(D841,M840)</f>
        <v>898.345388353512</v>
      </c>
      <c r="N841" s="38" t="n">
        <f aca="false">IF((H841=1),M841-D841,0)</f>
        <v>0</v>
      </c>
      <c r="O841" s="16" t="n">
        <v>824</v>
      </c>
      <c r="P841" s="41" t="n">
        <f aca="false">IF((Arterial=0),P840+1,P840)</f>
        <v>389</v>
      </c>
      <c r="Q841" s="41" t="n">
        <f aca="false">IF((Arterial=1),Q840+1,Q840)</f>
        <v>435</v>
      </c>
      <c r="R841" s="42" t="e">
        <f aca="false">IF((RESET=1),0,R841+K841)</f>
        <v>#N/A</v>
      </c>
      <c r="S841" s="14" t="n">
        <f aca="false">IF(RESET=1,0,S841+N841)</f>
        <v>436.714591142624</v>
      </c>
      <c r="T841" s="2" t="e">
        <f aca="false">IF(RESET=1,0,T841+IF(H841=0,1,0))</f>
        <v>#N/A</v>
      </c>
      <c r="U841" s="2" t="n">
        <f aca="false">IF(RESET=1,0,U841+H841)</f>
        <v>38</v>
      </c>
      <c r="V841" s="14" t="e">
        <f aca="false">R841/(T841+0.00001)</f>
        <v>#N/A</v>
      </c>
      <c r="W841" s="14" t="n">
        <f aca="false">S841/(U841+0.0001)</f>
        <v>11.4924589972822</v>
      </c>
      <c r="X841" s="39" t="n">
        <f aca="false">IF(Informed=1,K841,0)</f>
        <v>13.004768149247</v>
      </c>
      <c r="Y841" s="39" t="n">
        <f aca="false">IF(Informed=0,K841,0)</f>
        <v>0</v>
      </c>
      <c r="Z841" s="39" t="n">
        <f aca="false">IF(Informed=1,N841,0)</f>
        <v>0</v>
      </c>
      <c r="AA841" s="39" t="n">
        <f aca="false">IF(Informed=0,N841,0)</f>
        <v>0</v>
      </c>
      <c r="AB841" s="43" t="n">
        <f aca="false">IF(Arterial=0,IF(Informed=1,1,0),0)</f>
        <v>1</v>
      </c>
      <c r="AC841" s="43" t="n">
        <f aca="false">IF(Arterial=0,IF(Informed=0,1,0),0)</f>
        <v>0</v>
      </c>
      <c r="AD841" s="43" t="n">
        <f aca="false">IF(Arterial=1,IF(Informed=1,1,0),0)</f>
        <v>0</v>
      </c>
      <c r="AE841" s="43" t="n">
        <f aca="false">IF(Arterial=1,IF(Informed=0,1,0),0)</f>
        <v>0</v>
      </c>
      <c r="AF841" s="35" t="n">
        <f aca="false">IF(AB841=1,(X841-G$1030)^2,0)</f>
        <v>5.26743768336479</v>
      </c>
      <c r="AG841" s="35" t="n">
        <f aca="false">IF(AC841=1,(Y841-H$1030)^2,0)</f>
        <v>0</v>
      </c>
      <c r="AH841" s="35" t="n">
        <f aca="false">IF(AD841=1,(Z841-I$1030)^2,0)</f>
        <v>0</v>
      </c>
      <c r="AI841" s="35" t="n">
        <f aca="false">IF(AE841=1,(AA841-J$1030)^2,0)</f>
        <v>0</v>
      </c>
      <c r="AJ841" s="37" t="n">
        <f aca="true">IF(RAND()&lt;$D$6,1,0)</f>
        <v>0</v>
      </c>
      <c r="AK841" s="14" t="n">
        <f aca="false">AK840+IF((AJ841=1),IF((H841=0),1,0),0)</f>
        <v>0</v>
      </c>
      <c r="AL841" s="14" t="n">
        <f aca="false">AL840+IF((AJ841=1),IF((H841=1),1,0),0)</f>
        <v>0</v>
      </c>
      <c r="AM841" s="37" t="n">
        <f aca="false">IF(AK841=0,9999,IF($H841=0,IF($AJ841&lt;1,AM840+1,0),AM840))</f>
        <v>9999</v>
      </c>
      <c r="AN841" s="37" t="n">
        <f aca="false">IF(AL841=0,9999,IF($H841=1,IF($AJ841&lt;1,AN840+1,0),AN840))</f>
        <v>9999</v>
      </c>
      <c r="AO841" s="37" t="n">
        <f aca="false">IF($A841-AM841&gt;0,1/(1+AM841),0)</f>
        <v>0</v>
      </c>
      <c r="AP841" s="37" t="n">
        <f aca="false">IF($A841-AN841&gt;0,1/(1+AN841),0)</f>
        <v>0</v>
      </c>
      <c r="AQ841" s="7" t="n">
        <f aca="false">IF(AK841=0,0,MAX(MIN(1,AO841^Power),0))</f>
        <v>0</v>
      </c>
      <c r="AR841" s="7" t="n">
        <f aca="false">IF(AL841=0,0,MAX(MIN(1,AP841^Power),0))</f>
        <v>0</v>
      </c>
      <c r="AS841" s="7" t="n">
        <f aca="false">IF($AJ841=1,IF($H841=0,K841,AS840),AS840)</f>
        <v>0</v>
      </c>
      <c r="AT841" s="7" t="n">
        <f aca="false">IF($AJ841=1,IF($H841=1,N841,AT840),AT840)</f>
        <v>0</v>
      </c>
    </row>
    <row r="842" customFormat="false" ht="13" hidden="false" customHeight="false" outlineLevel="0" collapsed="false">
      <c r="A842" s="16" t="n">
        <v>825</v>
      </c>
      <c r="B842" s="37" t="n">
        <f aca="true">IF(RAND()&lt;$D$8,1,0)</f>
        <v>1</v>
      </c>
      <c r="C842" s="20" t="n">
        <f aca="true">-LN(RAND())/$D$2</f>
        <v>1.24223357583238</v>
      </c>
      <c r="D842" s="38" t="n">
        <f aca="false">D841+C842</f>
        <v>873.171471339929</v>
      </c>
      <c r="E842" s="39" t="n">
        <f aca="false">MAX($E$3,AS841)</f>
        <v>0</v>
      </c>
      <c r="F842" s="39" t="n">
        <f aca="false">MAX($E$3,AT841)</f>
        <v>0</v>
      </c>
      <c r="G842" s="40" t="n">
        <v>0.5</v>
      </c>
      <c r="H842" s="38" t="n">
        <f aca="true">IF((B842=1),(IF((F842&lt;E842),1,(IF((F842=E842),(IF(RAND()&lt;G842,1,0)),0)))),(IF((RAND()&lt;G842),1,0)))</f>
        <v>1</v>
      </c>
      <c r="I842" s="38" t="n">
        <f aca="true">IF((H842=1),0,$D$3+$D$5*(RAND()-0.5))</f>
        <v>0</v>
      </c>
      <c r="J842" s="38" t="n">
        <f aca="false">I842+MAX(D842,J841)</f>
        <v>884.934005913344</v>
      </c>
      <c r="K842" s="38" t="n">
        <f aca="false">IF((H842=0),J842-D842,0)</f>
        <v>0</v>
      </c>
      <c r="L842" s="38" t="n">
        <f aca="true">IF(($H842=0),0,$D$4+$D$5*(RAND()-0.5))</f>
        <v>1.92811620265331</v>
      </c>
      <c r="M842" s="38" t="n">
        <f aca="false">L842+MAX(D842,M841)</f>
        <v>900.273504556166</v>
      </c>
      <c r="N842" s="38" t="n">
        <f aca="false">IF((H842=1),M842-D842,0)</f>
        <v>27.1020332162362</v>
      </c>
      <c r="O842" s="16" t="n">
        <v>825</v>
      </c>
      <c r="P842" s="41" t="n">
        <f aca="false">IF((Arterial=0),P841+1,P841)</f>
        <v>389</v>
      </c>
      <c r="Q842" s="41" t="n">
        <f aca="false">IF((Arterial=1),Q841+1,Q841)</f>
        <v>436</v>
      </c>
      <c r="R842" s="42" t="n">
        <f aca="false">IF((RESET=1),0,R842+K842)</f>
        <v>731.380031410113</v>
      </c>
      <c r="S842" s="14" t="e">
        <f aca="false">IF(RESET=1,0,S842+N842)</f>
        <v>#N/A</v>
      </c>
      <c r="T842" s="2" t="n">
        <f aca="false">IF(RESET=1,0,T842+IF(H842=0,1,0))</f>
        <v>32</v>
      </c>
      <c r="U842" s="2" t="e">
        <f aca="false">IF(RESET=1,0,U842+H842)</f>
        <v>#N/A</v>
      </c>
      <c r="V842" s="14" t="n">
        <f aca="false">R842/(T842+0.00001)</f>
        <v>22.8556188391851</v>
      </c>
      <c r="W842" s="14" t="e">
        <f aca="false">S842/(U842+0.0001)</f>
        <v>#N/A</v>
      </c>
      <c r="X842" s="39" t="n">
        <f aca="false">IF(Informed=1,K842,0)</f>
        <v>0</v>
      </c>
      <c r="Y842" s="39" t="n">
        <f aca="false">IF(Informed=0,K842,0)</f>
        <v>0</v>
      </c>
      <c r="Z842" s="39" t="n">
        <f aca="false">IF(Informed=1,N842,0)</f>
        <v>27.1020332162362</v>
      </c>
      <c r="AA842" s="39" t="n">
        <f aca="false">IF(Informed=0,N842,0)</f>
        <v>0</v>
      </c>
      <c r="AB842" s="43" t="n">
        <f aca="false">IF(Arterial=0,IF(Informed=1,1,0),0)</f>
        <v>0</v>
      </c>
      <c r="AC842" s="43" t="n">
        <f aca="false">IF(Arterial=0,IF(Informed=0,1,0),0)</f>
        <v>0</v>
      </c>
      <c r="AD842" s="43" t="n">
        <f aca="false">IF(Arterial=1,IF(Informed=1,1,0),0)</f>
        <v>1</v>
      </c>
      <c r="AE842" s="43" t="n">
        <f aca="false">IF(Arterial=1,IF(Informed=0,1,0),0)</f>
        <v>0</v>
      </c>
      <c r="AF842" s="35" t="n">
        <f aca="false">IF(AB842=1,(X842-G$1030)^2,0)</f>
        <v>0</v>
      </c>
      <c r="AG842" s="35" t="n">
        <f aca="false">IF(AC842=1,(Y842-H$1030)^2,0)</f>
        <v>0</v>
      </c>
      <c r="AH842" s="35" t="n">
        <f aca="false">IF(AD842=1,(Z842-I$1030)^2,0)</f>
        <v>1.62002385441318</v>
      </c>
      <c r="AI842" s="35" t="n">
        <f aca="false">IF(AE842=1,(AA842-J$1030)^2,0)</f>
        <v>0</v>
      </c>
      <c r="AJ842" s="37" t="n">
        <f aca="true">IF(RAND()&lt;$D$6,1,0)</f>
        <v>0</v>
      </c>
      <c r="AK842" s="14" t="n">
        <f aca="false">AK841+IF((AJ842=1),IF((H842=0),1,0),0)</f>
        <v>0</v>
      </c>
      <c r="AL842" s="14" t="n">
        <f aca="false">AL841+IF((AJ842=1),IF((H842=1),1,0),0)</f>
        <v>0</v>
      </c>
      <c r="AM842" s="37" t="n">
        <f aca="false">IF(AK842=0,9999,IF($H842=0,IF($AJ842&lt;1,AM841+1,0),AM841))</f>
        <v>9999</v>
      </c>
      <c r="AN842" s="37" t="n">
        <f aca="false">IF(AL842=0,9999,IF($H842=1,IF($AJ842&lt;1,AN841+1,0),AN841))</f>
        <v>9999</v>
      </c>
      <c r="AO842" s="37" t="n">
        <f aca="false">IF($A842-AM842&gt;0,1/(1+AM842),0)</f>
        <v>0</v>
      </c>
      <c r="AP842" s="37" t="n">
        <f aca="false">IF($A842-AN842&gt;0,1/(1+AN842),0)</f>
        <v>0</v>
      </c>
      <c r="AQ842" s="7" t="n">
        <f aca="false">IF(AK842=0,0,MAX(MIN(1,AO842^Power),0))</f>
        <v>0</v>
      </c>
      <c r="AR842" s="7" t="n">
        <f aca="false">IF(AL842=0,0,MAX(MIN(1,AP842^Power),0))</f>
        <v>0</v>
      </c>
      <c r="AS842" s="7" t="n">
        <f aca="false">IF($AJ842=1,IF($H842=0,K842,AS841),AS841)</f>
        <v>0</v>
      </c>
      <c r="AT842" s="7" t="n">
        <f aca="false">IF($AJ842=1,IF($H842=1,N842,AT841),AT841)</f>
        <v>0</v>
      </c>
    </row>
    <row r="843" customFormat="false" ht="13" hidden="false" customHeight="false" outlineLevel="0" collapsed="false">
      <c r="A843" s="16" t="n">
        <v>826</v>
      </c>
      <c r="B843" s="37" t="n">
        <f aca="true">IF(RAND()&lt;$D$8,1,0)</f>
        <v>0</v>
      </c>
      <c r="C843" s="20" t="n">
        <f aca="true">-LN(RAND())/$D$2</f>
        <v>0.127859019991354</v>
      </c>
      <c r="D843" s="38" t="n">
        <f aca="false">D842+C843</f>
        <v>873.299330359921</v>
      </c>
      <c r="E843" s="39" t="n">
        <f aca="false">MAX($E$3,AS842)</f>
        <v>0</v>
      </c>
      <c r="F843" s="39" t="n">
        <f aca="false">MAX($E$3,AT842)</f>
        <v>0</v>
      </c>
      <c r="G843" s="40" t="n">
        <v>0.5</v>
      </c>
      <c r="H843" s="38" t="n">
        <f aca="true">IF((B843=1),(IF((F843&lt;E843),1,(IF((F843=E843),(IF(RAND()&lt;G843,1,0)),0)))),(IF((RAND()&lt;G843),1,0)))</f>
        <v>0</v>
      </c>
      <c r="I843" s="38" t="n">
        <f aca="true">IF((H843=1),0,$D$3+$D$5*(RAND()-0.5))</f>
        <v>1.79352078718217</v>
      </c>
      <c r="J843" s="38" t="n">
        <f aca="false">I843+MAX(D843,J842)</f>
        <v>886.727526700526</v>
      </c>
      <c r="K843" s="38" t="n">
        <f aca="false">IF((H843=0),J843-D843,0)</f>
        <v>13.4281963406054</v>
      </c>
      <c r="L843" s="38" t="n">
        <f aca="true">IF(($H843=0),0,$D$4+$D$5*(RAND()-0.5))</f>
        <v>0</v>
      </c>
      <c r="M843" s="38" t="n">
        <f aca="false">L843+MAX(D843,M842)</f>
        <v>900.273504556166</v>
      </c>
      <c r="N843" s="38" t="n">
        <f aca="false">IF((H843=1),M843-D843,0)</f>
        <v>0</v>
      </c>
      <c r="O843" s="16" t="n">
        <v>826</v>
      </c>
      <c r="P843" s="41" t="n">
        <f aca="false">IF((Arterial=0),P842+1,P842)</f>
        <v>390</v>
      </c>
      <c r="Q843" s="41" t="n">
        <f aca="false">IF((Arterial=1),Q842+1,Q842)</f>
        <v>436</v>
      </c>
      <c r="R843" s="42" t="e">
        <f aca="false">IF((RESET=1),0,R843+K843)</f>
        <v>#N/A</v>
      </c>
      <c r="S843" s="14" t="n">
        <f aca="false">IF(RESET=1,0,S843+N843)</f>
        <v>735.270149432824</v>
      </c>
      <c r="T843" s="2" t="e">
        <f aca="false">IF(RESET=1,0,T843+IF(H843=0,1,0))</f>
        <v>#N/A</v>
      </c>
      <c r="U843" s="2" t="n">
        <f aca="false">IF(RESET=1,0,U843+H843)</f>
        <v>42</v>
      </c>
      <c r="V843" s="14" t="e">
        <f aca="false">R843/(T843+0.00001)</f>
        <v>#N/A</v>
      </c>
      <c r="W843" s="14" t="n">
        <f aca="false">S843/(U843+0.0001)</f>
        <v>17.5063904474709</v>
      </c>
      <c r="X843" s="39" t="n">
        <f aca="false">IF(Informed=1,K843,0)</f>
        <v>0</v>
      </c>
      <c r="Y843" s="39" t="n">
        <f aca="false">IF(Informed=0,K843,0)</f>
        <v>13.4281963406054</v>
      </c>
      <c r="Z843" s="39" t="n">
        <f aca="false">IF(Informed=1,N843,0)</f>
        <v>0</v>
      </c>
      <c r="AA843" s="39" t="n">
        <f aca="false">IF(Informed=0,N843,0)</f>
        <v>0</v>
      </c>
      <c r="AB843" s="43" t="n">
        <f aca="false">IF(Arterial=0,IF(Informed=1,1,0),0)</f>
        <v>0</v>
      </c>
      <c r="AC843" s="43" t="n">
        <f aca="false">IF(Arterial=0,IF(Informed=0,1,0),0)</f>
        <v>1</v>
      </c>
      <c r="AD843" s="43" t="n">
        <f aca="false">IF(Arterial=1,IF(Informed=1,1,0),0)</f>
        <v>0</v>
      </c>
      <c r="AE843" s="43" t="n">
        <f aca="false">IF(Arterial=1,IF(Informed=0,1,0),0)</f>
        <v>0</v>
      </c>
      <c r="AF843" s="35" t="n">
        <f aca="false">IF(AB843=1,(X843-G$1030)^2,0)</f>
        <v>0</v>
      </c>
      <c r="AG843" s="35" t="n">
        <f aca="false">IF(AC843=1,(Y843-H$1030)^2,0)</f>
        <v>6.27207490714148</v>
      </c>
      <c r="AH843" s="35" t="n">
        <f aca="false">IF(AD843=1,(Z843-I$1030)^2,0)</f>
        <v>0</v>
      </c>
      <c r="AI843" s="35" t="n">
        <f aca="false">IF(AE843=1,(AA843-J$1030)^2,0)</f>
        <v>0</v>
      </c>
      <c r="AJ843" s="37" t="n">
        <f aca="true">IF(RAND()&lt;$D$6,1,0)</f>
        <v>0</v>
      </c>
      <c r="AK843" s="14" t="n">
        <f aca="false">AK842+IF((AJ843=1),IF((H843=0),1,0),0)</f>
        <v>0</v>
      </c>
      <c r="AL843" s="14" t="n">
        <f aca="false">AL842+IF((AJ843=1),IF((H843=1),1,0),0)</f>
        <v>0</v>
      </c>
      <c r="AM843" s="37" t="n">
        <f aca="false">IF(AK843=0,9999,IF($H843=0,IF($AJ843&lt;1,AM842+1,0),AM842))</f>
        <v>9999</v>
      </c>
      <c r="AN843" s="37" t="n">
        <f aca="false">IF(AL843=0,9999,IF($H843=1,IF($AJ843&lt;1,AN842+1,0),AN842))</f>
        <v>9999</v>
      </c>
      <c r="AO843" s="37" t="n">
        <f aca="false">IF($A843-AM843&gt;0,1/(1+AM843),0)</f>
        <v>0</v>
      </c>
      <c r="AP843" s="37" t="n">
        <f aca="false">IF($A843-AN843&gt;0,1/(1+AN843),0)</f>
        <v>0</v>
      </c>
      <c r="AQ843" s="7" t="n">
        <f aca="false">IF(AK843=0,0,MAX(MIN(1,AO843^Power),0))</f>
        <v>0</v>
      </c>
      <c r="AR843" s="7" t="n">
        <f aca="false">IF(AL843=0,0,MAX(MIN(1,AP843^Power),0))</f>
        <v>0</v>
      </c>
      <c r="AS843" s="7" t="n">
        <f aca="false">IF($AJ843=1,IF($H843=0,K843,AS842),AS842)</f>
        <v>0</v>
      </c>
      <c r="AT843" s="7" t="n">
        <f aca="false">IF($AJ843=1,IF($H843=1,N843,AT842),AT842)</f>
        <v>0</v>
      </c>
    </row>
    <row r="844" customFormat="false" ht="13" hidden="false" customHeight="false" outlineLevel="0" collapsed="false">
      <c r="A844" s="16" t="n">
        <v>827</v>
      </c>
      <c r="B844" s="37" t="n">
        <f aca="true">IF(RAND()&lt;$D$8,1,0)</f>
        <v>1</v>
      </c>
      <c r="C844" s="20" t="n">
        <f aca="true">-LN(RAND())/$D$2</f>
        <v>1.0672969501846</v>
      </c>
      <c r="D844" s="38" t="n">
        <f aca="false">D843+C844</f>
        <v>874.366627310105</v>
      </c>
      <c r="E844" s="39" t="n">
        <f aca="false">MAX($E$3,AS843)</f>
        <v>0</v>
      </c>
      <c r="F844" s="39" t="n">
        <f aca="false">MAX($E$3,AT843)</f>
        <v>0</v>
      </c>
      <c r="G844" s="40" t="n">
        <v>0.5</v>
      </c>
      <c r="H844" s="38" t="n">
        <f aca="true">IF((B844=1),(IF((F844&lt;E844),1,(IF((F844=E844),(IF(RAND()&lt;G844,1,0)),0)))),(IF((RAND()&lt;G844),1,0)))</f>
        <v>1</v>
      </c>
      <c r="I844" s="38" t="n">
        <f aca="true">IF((H844=1),0,$D$3+$D$5*(RAND()-0.5))</f>
        <v>0</v>
      </c>
      <c r="J844" s="38" t="n">
        <f aca="false">I844+MAX(D844,J843)</f>
        <v>886.727526700526</v>
      </c>
      <c r="K844" s="38" t="n">
        <f aca="false">IF((H844=0),J844-D844,0)</f>
        <v>0</v>
      </c>
      <c r="L844" s="38" t="n">
        <f aca="true">IF(($H844=0),0,$D$4+$D$5*(RAND()-0.5))</f>
        <v>2.03482656811853</v>
      </c>
      <c r="M844" s="38" t="n">
        <f aca="false">L844+MAX(D844,M843)</f>
        <v>902.308331124284</v>
      </c>
      <c r="N844" s="38" t="n">
        <f aca="false">IF((H844=1),M844-D844,0)</f>
        <v>27.9417038141788</v>
      </c>
      <c r="O844" s="16" t="n">
        <v>827</v>
      </c>
      <c r="P844" s="41" t="n">
        <f aca="false">IF((Arterial=0),P843+1,P843)</f>
        <v>390</v>
      </c>
      <c r="Q844" s="41" t="n">
        <f aca="false">IF((Arterial=1),Q843+1,Q843)</f>
        <v>437</v>
      </c>
      <c r="R844" s="42" t="n">
        <f aca="false">IF((RESET=1),0,R844+K844)</f>
        <v>910.815181071858</v>
      </c>
      <c r="S844" s="14" t="e">
        <f aca="false">IF(RESET=1,0,S844+N844)</f>
        <v>#N/A</v>
      </c>
      <c r="T844" s="2" t="n">
        <f aca="false">IF(RESET=1,0,T844+IF(H844=0,1,0))</f>
        <v>37</v>
      </c>
      <c r="U844" s="2" t="e">
        <f aca="false">IF(RESET=1,0,U844+H844)</f>
        <v>#N/A</v>
      </c>
      <c r="V844" s="14" t="n">
        <f aca="false">R844/(T844+0.00001)</f>
        <v>24.6166198623151</v>
      </c>
      <c r="W844" s="14" t="e">
        <f aca="false">S844/(U844+0.0001)</f>
        <v>#N/A</v>
      </c>
      <c r="X844" s="39" t="n">
        <f aca="false">IF(Informed=1,K844,0)</f>
        <v>0</v>
      </c>
      <c r="Y844" s="39" t="n">
        <f aca="false">IF(Informed=0,K844,0)</f>
        <v>0</v>
      </c>
      <c r="Z844" s="39" t="n">
        <f aca="false">IF(Informed=1,N844,0)</f>
        <v>27.9417038141788</v>
      </c>
      <c r="AA844" s="39" t="n">
        <f aca="false">IF(Informed=0,N844,0)</f>
        <v>0</v>
      </c>
      <c r="AB844" s="43" t="n">
        <f aca="false">IF(Arterial=0,IF(Informed=1,1,0),0)</f>
        <v>0</v>
      </c>
      <c r="AC844" s="43" t="n">
        <f aca="false">IF(Arterial=0,IF(Informed=0,1,0),0)</f>
        <v>0</v>
      </c>
      <c r="AD844" s="43" t="n">
        <f aca="false">IF(Arterial=1,IF(Informed=1,1,0),0)</f>
        <v>1</v>
      </c>
      <c r="AE844" s="43" t="n">
        <f aca="false">IF(Arterial=1,IF(Informed=0,1,0),0)</f>
        <v>0</v>
      </c>
      <c r="AF844" s="35" t="n">
        <f aca="false">IF(AB844=1,(X844-G$1030)^2,0)</f>
        <v>0</v>
      </c>
      <c r="AG844" s="35" t="n">
        <f aca="false">IF(AC844=1,(Y844-H$1030)^2,0)</f>
        <v>0</v>
      </c>
      <c r="AH844" s="35" t="n">
        <f aca="false">IF(AD844=1,(Z844-I$1030)^2,0)</f>
        <v>0.187602445019061</v>
      </c>
      <c r="AI844" s="35" t="n">
        <f aca="false">IF(AE844=1,(AA844-J$1030)^2,0)</f>
        <v>0</v>
      </c>
      <c r="AJ844" s="37" t="n">
        <f aca="true">IF(RAND()&lt;$D$6,1,0)</f>
        <v>0</v>
      </c>
      <c r="AK844" s="14" t="n">
        <f aca="false">AK843+IF((AJ844=1),IF((H844=0),1,0),0)</f>
        <v>0</v>
      </c>
      <c r="AL844" s="14" t="n">
        <f aca="false">AL843+IF((AJ844=1),IF((H844=1),1,0),0)</f>
        <v>0</v>
      </c>
      <c r="AM844" s="37" t="n">
        <f aca="false">IF(AK844=0,9999,IF($H844=0,IF($AJ844&lt;1,AM843+1,0),AM843))</f>
        <v>9999</v>
      </c>
      <c r="AN844" s="37" t="n">
        <f aca="false">IF(AL844=0,9999,IF($H844=1,IF($AJ844&lt;1,AN843+1,0),AN843))</f>
        <v>9999</v>
      </c>
      <c r="AO844" s="37" t="n">
        <f aca="false">IF($A844-AM844&gt;0,1/(1+AM844),0)</f>
        <v>0</v>
      </c>
      <c r="AP844" s="37" t="n">
        <f aca="false">IF($A844-AN844&gt;0,1/(1+AN844),0)</f>
        <v>0</v>
      </c>
      <c r="AQ844" s="7" t="n">
        <f aca="false">IF(AK844=0,0,MAX(MIN(1,AO844^Power),0))</f>
        <v>0</v>
      </c>
      <c r="AR844" s="7" t="n">
        <f aca="false">IF(AL844=0,0,MAX(MIN(1,AP844^Power),0))</f>
        <v>0</v>
      </c>
      <c r="AS844" s="7" t="n">
        <f aca="false">IF($AJ844=1,IF($H844=0,K844,AS843),AS843)</f>
        <v>0</v>
      </c>
      <c r="AT844" s="7" t="n">
        <f aca="false">IF($AJ844=1,IF($H844=1,N844,AT843),AT843)</f>
        <v>0</v>
      </c>
    </row>
    <row r="845" customFormat="false" ht="13" hidden="false" customHeight="false" outlineLevel="0" collapsed="false">
      <c r="A845" s="16" t="n">
        <v>828</v>
      </c>
      <c r="B845" s="37" t="n">
        <f aca="true">IF(RAND()&lt;$D$8,1,0)</f>
        <v>0</v>
      </c>
      <c r="C845" s="20" t="n">
        <f aca="true">-LN(RAND())/$D$2</f>
        <v>0.270794594478828</v>
      </c>
      <c r="D845" s="38" t="n">
        <f aca="false">D844+C845</f>
        <v>874.637421904584</v>
      </c>
      <c r="E845" s="39" t="n">
        <f aca="false">MAX($E$3,AS844)</f>
        <v>0</v>
      </c>
      <c r="F845" s="39" t="n">
        <f aca="false">MAX($E$3,AT844)</f>
        <v>0</v>
      </c>
      <c r="G845" s="40" t="n">
        <v>0.5</v>
      </c>
      <c r="H845" s="38" t="n">
        <f aca="true">IF((B845=1),(IF((F845&lt;E845),1,(IF((F845=E845),(IF(RAND()&lt;G845,1,0)),0)))),(IF((RAND()&lt;G845),1,0)))</f>
        <v>0</v>
      </c>
      <c r="I845" s="38" t="n">
        <f aca="true">IF((H845=1),0,$D$3+$D$5*(RAND()-0.5))</f>
        <v>1.94517309563043</v>
      </c>
      <c r="J845" s="38" t="n">
        <f aca="false">I845+MAX(D845,J844)</f>
        <v>888.672699796157</v>
      </c>
      <c r="K845" s="38" t="n">
        <f aca="false">IF((H845=0),J845-D845,0)</f>
        <v>14.0352778915724</v>
      </c>
      <c r="L845" s="38" t="n">
        <f aca="true">IF(($H845=0),0,$D$4+$D$5*(RAND()-0.5))</f>
        <v>0</v>
      </c>
      <c r="M845" s="38" t="n">
        <f aca="false">L845+MAX(D845,M844)</f>
        <v>902.308331124284</v>
      </c>
      <c r="N845" s="38" t="n">
        <f aca="false">IF((H845=1),M845-D845,0)</f>
        <v>0</v>
      </c>
      <c r="O845" s="16" t="n">
        <v>828</v>
      </c>
      <c r="P845" s="41" t="n">
        <f aca="false">IF((Arterial=0),P844+1,P844)</f>
        <v>391</v>
      </c>
      <c r="Q845" s="41" t="n">
        <f aca="false">IF((Arterial=1),Q844+1,Q844)</f>
        <v>437</v>
      </c>
      <c r="R845" s="42" t="e">
        <f aca="false">IF((RESET=1),0,R845+K845)</f>
        <v>#N/A</v>
      </c>
      <c r="S845" s="14" t="n">
        <f aca="false">IF(RESET=1,0,S845+N845)</f>
        <v>596.736312628895</v>
      </c>
      <c r="T845" s="2" t="e">
        <f aca="false">IF(RESET=1,0,T845+IF(H845=0,1,0))</f>
        <v>#N/A</v>
      </c>
      <c r="U845" s="2" t="n">
        <f aca="false">IF(RESET=1,0,U845+H845)</f>
        <v>34</v>
      </c>
      <c r="V845" s="14" t="e">
        <f aca="false">R845/(T845+0.00001)</f>
        <v>#N/A</v>
      </c>
      <c r="W845" s="14" t="n">
        <f aca="false">S845/(U845+0.0001)</f>
        <v>17.5510163978605</v>
      </c>
      <c r="X845" s="39" t="n">
        <f aca="false">IF(Informed=1,K845,0)</f>
        <v>0</v>
      </c>
      <c r="Y845" s="39" t="n">
        <f aca="false">IF(Informed=0,K845,0)</f>
        <v>14.0352778915724</v>
      </c>
      <c r="Z845" s="39" t="n">
        <f aca="false">IF(Informed=1,N845,0)</f>
        <v>0</v>
      </c>
      <c r="AA845" s="39" t="n">
        <f aca="false">IF(Informed=0,N845,0)</f>
        <v>0</v>
      </c>
      <c r="AB845" s="43" t="n">
        <f aca="false">IF(Arterial=0,IF(Informed=1,1,0),0)</f>
        <v>0</v>
      </c>
      <c r="AC845" s="43" t="n">
        <f aca="false">IF(Arterial=0,IF(Informed=0,1,0),0)</f>
        <v>1</v>
      </c>
      <c r="AD845" s="43" t="n">
        <f aca="false">IF(Arterial=1,IF(Informed=1,1,0),0)</f>
        <v>0</v>
      </c>
      <c r="AE845" s="43" t="n">
        <f aca="false">IF(Arterial=1,IF(Informed=0,1,0),0)</f>
        <v>0</v>
      </c>
      <c r="AF845" s="35" t="n">
        <f aca="false">IF(AB845=1,(X845-G$1030)^2,0)</f>
        <v>0</v>
      </c>
      <c r="AG845" s="35" t="n">
        <f aca="false">IF(AC845=1,(Y845-H$1030)^2,0)</f>
        <v>9.68138645407924</v>
      </c>
      <c r="AH845" s="35" t="n">
        <f aca="false">IF(AD845=1,(Z845-I$1030)^2,0)</f>
        <v>0</v>
      </c>
      <c r="AI845" s="35" t="n">
        <f aca="false">IF(AE845=1,(AA845-J$1030)^2,0)</f>
        <v>0</v>
      </c>
      <c r="AJ845" s="37" t="n">
        <f aca="true">IF(RAND()&lt;$D$6,1,0)</f>
        <v>0</v>
      </c>
      <c r="AK845" s="14" t="n">
        <f aca="false">AK844+IF((AJ845=1),IF((H845=0),1,0),0)</f>
        <v>0</v>
      </c>
      <c r="AL845" s="14" t="n">
        <f aca="false">AL844+IF((AJ845=1),IF((H845=1),1,0),0)</f>
        <v>0</v>
      </c>
      <c r="AM845" s="37" t="n">
        <f aca="false">IF(AK845=0,9999,IF($H845=0,IF($AJ845&lt;1,AM844+1,0),AM844))</f>
        <v>9999</v>
      </c>
      <c r="AN845" s="37" t="n">
        <f aca="false">IF(AL845=0,9999,IF($H845=1,IF($AJ845&lt;1,AN844+1,0),AN844))</f>
        <v>9999</v>
      </c>
      <c r="AO845" s="37" t="n">
        <f aca="false">IF($A845-AM845&gt;0,1/(1+AM845),0)</f>
        <v>0</v>
      </c>
      <c r="AP845" s="37" t="n">
        <f aca="false">IF($A845-AN845&gt;0,1/(1+AN845),0)</f>
        <v>0</v>
      </c>
      <c r="AQ845" s="7" t="n">
        <f aca="false">IF(AK845=0,0,MAX(MIN(1,AO845^Power),0))</f>
        <v>0</v>
      </c>
      <c r="AR845" s="7" t="n">
        <f aca="false">IF(AL845=0,0,MAX(MIN(1,AP845^Power),0))</f>
        <v>0</v>
      </c>
      <c r="AS845" s="7" t="n">
        <f aca="false">IF($AJ845=1,IF($H845=0,K845,AS844),AS844)</f>
        <v>0</v>
      </c>
      <c r="AT845" s="7" t="n">
        <f aca="false">IF($AJ845=1,IF($H845=1,N845,AT844),AT844)</f>
        <v>0</v>
      </c>
    </row>
    <row r="846" customFormat="false" ht="13" hidden="false" customHeight="false" outlineLevel="0" collapsed="false">
      <c r="A846" s="16" t="n">
        <v>829</v>
      </c>
      <c r="B846" s="37" t="n">
        <f aca="true">IF(RAND()&lt;$D$8,1,0)</f>
        <v>1</v>
      </c>
      <c r="C846" s="20" t="n">
        <f aca="true">-LN(RAND())/$D$2</f>
        <v>0.429784971865415</v>
      </c>
      <c r="D846" s="38" t="n">
        <f aca="false">D845+C846</f>
        <v>875.06720687645</v>
      </c>
      <c r="E846" s="39" t="n">
        <f aca="false">MAX($E$3,AS845)</f>
        <v>0</v>
      </c>
      <c r="F846" s="39" t="n">
        <f aca="false">MAX($E$3,AT845)</f>
        <v>0</v>
      </c>
      <c r="G846" s="40" t="n">
        <v>0.5</v>
      </c>
      <c r="H846" s="38" t="n">
        <f aca="true">IF((B846=1),(IF((F846&lt;E846),1,(IF((F846=E846),(IF(RAND()&lt;G846,1,0)),0)))),(IF((RAND()&lt;G846),1,0)))</f>
        <v>1</v>
      </c>
      <c r="I846" s="38" t="n">
        <f aca="true">IF((H846=1),0,$D$3+$D$5*(RAND()-0.5))</f>
        <v>0</v>
      </c>
      <c r="J846" s="38" t="n">
        <f aca="false">I846+MAX(D846,J845)</f>
        <v>888.672699796157</v>
      </c>
      <c r="K846" s="38" t="n">
        <f aca="false">IF((H846=0),J846-D846,0)</f>
        <v>0</v>
      </c>
      <c r="L846" s="38" t="n">
        <f aca="true">IF(($H846=0),0,$D$4+$D$5*(RAND()-0.5))</f>
        <v>1.99650737802609</v>
      </c>
      <c r="M846" s="38" t="n">
        <f aca="false">L846+MAX(D846,M845)</f>
        <v>904.30483850231</v>
      </c>
      <c r="N846" s="38" t="n">
        <f aca="false">IF((H846=1),M846-D846,0)</f>
        <v>29.2376316258607</v>
      </c>
      <c r="O846" s="16" t="n">
        <v>829</v>
      </c>
      <c r="P846" s="41" t="n">
        <f aca="false">IF((Arterial=0),P845+1,P845)</f>
        <v>391</v>
      </c>
      <c r="Q846" s="41" t="n">
        <f aca="false">IF((Arterial=1),Q845+1,Q845)</f>
        <v>438</v>
      </c>
      <c r="R846" s="42" t="n">
        <f aca="false">IF((RESET=1),0,R846+K846)</f>
        <v>621.563768612579</v>
      </c>
      <c r="S846" s="14" t="e">
        <f aca="false">IF(RESET=1,0,S846+N846)</f>
        <v>#N/A</v>
      </c>
      <c r="T846" s="2" t="n">
        <f aca="false">IF(RESET=1,0,T846+IF(H846=0,1,0))</f>
        <v>33</v>
      </c>
      <c r="U846" s="2" t="e">
        <f aca="false">IF(RESET=1,0,U846+H846)</f>
        <v>#N/A</v>
      </c>
      <c r="V846" s="14" t="n">
        <f aca="false">R846/(T846+0.00001)</f>
        <v>18.8352600078782</v>
      </c>
      <c r="W846" s="14" t="e">
        <f aca="false">S846/(U846+0.0001)</f>
        <v>#N/A</v>
      </c>
      <c r="X846" s="39" t="n">
        <f aca="false">IF(Informed=1,K846,0)</f>
        <v>0</v>
      </c>
      <c r="Y846" s="39" t="n">
        <f aca="false">IF(Informed=0,K846,0)</f>
        <v>0</v>
      </c>
      <c r="Z846" s="39" t="n">
        <f aca="false">IF(Informed=1,N846,0)</f>
        <v>29.2376316258607</v>
      </c>
      <c r="AA846" s="39" t="n">
        <f aca="false">IF(Informed=0,N846,0)</f>
        <v>0</v>
      </c>
      <c r="AB846" s="43" t="n">
        <f aca="false">IF(Arterial=0,IF(Informed=1,1,0),0)</f>
        <v>0</v>
      </c>
      <c r="AC846" s="43" t="n">
        <f aca="false">IF(Arterial=0,IF(Informed=0,1,0),0)</f>
        <v>0</v>
      </c>
      <c r="AD846" s="43" t="n">
        <f aca="false">IF(Arterial=1,IF(Informed=1,1,0),0)</f>
        <v>1</v>
      </c>
      <c r="AE846" s="43" t="n">
        <f aca="false">IF(Arterial=1,IF(Informed=0,1,0),0)</f>
        <v>0</v>
      </c>
      <c r="AF846" s="35" t="n">
        <f aca="false">IF(AB846=1,(X846-G$1030)^2,0)</f>
        <v>0</v>
      </c>
      <c r="AG846" s="35" t="n">
        <f aca="false">IF(AC846=1,(Y846-H$1030)^2,0)</f>
        <v>0</v>
      </c>
      <c r="AH846" s="35" t="n">
        <f aca="false">IF(AD846=1,(Z846-I$1030)^2,0)</f>
        <v>0.744418374387103</v>
      </c>
      <c r="AI846" s="35" t="n">
        <f aca="false">IF(AE846=1,(AA846-J$1030)^2,0)</f>
        <v>0</v>
      </c>
      <c r="AJ846" s="37" t="n">
        <f aca="true">IF(RAND()&lt;$D$6,1,0)</f>
        <v>0</v>
      </c>
      <c r="AK846" s="14" t="n">
        <f aca="false">AK845+IF((AJ846=1),IF((H846=0),1,0),0)</f>
        <v>0</v>
      </c>
      <c r="AL846" s="14" t="n">
        <f aca="false">AL845+IF((AJ846=1),IF((H846=1),1,0),0)</f>
        <v>0</v>
      </c>
      <c r="AM846" s="37" t="n">
        <f aca="false">IF(AK846=0,9999,IF($H846=0,IF($AJ846&lt;1,AM845+1,0),AM845))</f>
        <v>9999</v>
      </c>
      <c r="AN846" s="37" t="n">
        <f aca="false">IF(AL846=0,9999,IF($H846=1,IF($AJ846&lt;1,AN845+1,0),AN845))</f>
        <v>9999</v>
      </c>
      <c r="AO846" s="37" t="n">
        <f aca="false">IF($A846-AM846&gt;0,1/(1+AM846),0)</f>
        <v>0</v>
      </c>
      <c r="AP846" s="37" t="n">
        <f aca="false">IF($A846-AN846&gt;0,1/(1+AN846),0)</f>
        <v>0</v>
      </c>
      <c r="AQ846" s="7" t="n">
        <f aca="false">IF(AK846=0,0,MAX(MIN(1,AO846^Power),0))</f>
        <v>0</v>
      </c>
      <c r="AR846" s="7" t="n">
        <f aca="false">IF(AL846=0,0,MAX(MIN(1,AP846^Power),0))</f>
        <v>0</v>
      </c>
      <c r="AS846" s="7" t="n">
        <f aca="false">IF($AJ846=1,IF($H846=0,K846,AS845),AS845)</f>
        <v>0</v>
      </c>
      <c r="AT846" s="7" t="n">
        <f aca="false">IF($AJ846=1,IF($H846=1,N846,AT845),AT845)</f>
        <v>0</v>
      </c>
    </row>
    <row r="847" customFormat="false" ht="13" hidden="false" customHeight="false" outlineLevel="0" collapsed="false">
      <c r="A847" s="16" t="n">
        <v>830</v>
      </c>
      <c r="B847" s="37" t="n">
        <f aca="true">IF(RAND()&lt;$D$8,1,0)</f>
        <v>1</v>
      </c>
      <c r="C847" s="20" t="n">
        <f aca="true">-LN(RAND())/$D$2</f>
        <v>0.371493239383736</v>
      </c>
      <c r="D847" s="38" t="n">
        <f aca="false">D846+C847</f>
        <v>875.438700115833</v>
      </c>
      <c r="E847" s="39" t="n">
        <f aca="false">MAX($E$3,AS846)</f>
        <v>0</v>
      </c>
      <c r="F847" s="39" t="n">
        <f aca="false">MAX($E$3,AT846)</f>
        <v>0</v>
      </c>
      <c r="G847" s="40" t="n">
        <v>0.5</v>
      </c>
      <c r="H847" s="38" t="n">
        <f aca="true">IF((B847=1),(IF((F847&lt;E847),1,(IF((F847=E847),(IF(RAND()&lt;G847,1,0)),0)))),(IF((RAND()&lt;G847),1,0)))</f>
        <v>0</v>
      </c>
      <c r="I847" s="38" t="n">
        <f aca="true">IF((H847=1),0,$D$3+$D$5*(RAND()-0.5))</f>
        <v>2.1403573565253</v>
      </c>
      <c r="J847" s="38" t="n">
        <f aca="false">I847+MAX(D847,J846)</f>
        <v>890.813057152682</v>
      </c>
      <c r="K847" s="38" t="n">
        <f aca="false">IF((H847=0),J847-D847,0)</f>
        <v>15.3743570368486</v>
      </c>
      <c r="L847" s="38" t="n">
        <f aca="true">IF(($H847=0),0,$D$4+$D$5*(RAND()-0.5))</f>
        <v>0</v>
      </c>
      <c r="M847" s="38" t="n">
        <f aca="false">L847+MAX(D847,M846)</f>
        <v>904.30483850231</v>
      </c>
      <c r="N847" s="38" t="n">
        <f aca="false">IF((H847=1),M847-D847,0)</f>
        <v>0</v>
      </c>
      <c r="O847" s="16" t="n">
        <v>830</v>
      </c>
      <c r="P847" s="41" t="n">
        <f aca="false">IF((Arterial=0),P846+1,P846)</f>
        <v>392</v>
      </c>
      <c r="Q847" s="41" t="n">
        <f aca="false">IF((Arterial=1),Q846+1,Q846)</f>
        <v>438</v>
      </c>
      <c r="R847" s="42" t="e">
        <f aca="false">IF((RESET=1),0,R847+K847)</f>
        <v>#N/A</v>
      </c>
      <c r="S847" s="14" t="n">
        <f aca="false">IF(RESET=1,0,S847+N847)</f>
        <v>666.532175265315</v>
      </c>
      <c r="T847" s="2" t="e">
        <f aca="false">IF(RESET=1,0,T847+IF(H847=0,1,0))</f>
        <v>#N/A</v>
      </c>
      <c r="U847" s="2" t="n">
        <f aca="false">IF(RESET=1,0,U847+H847)</f>
        <v>41</v>
      </c>
      <c r="V847" s="14" t="e">
        <f aca="false">R847/(T847+0.00001)</f>
        <v>#N/A</v>
      </c>
      <c r="W847" s="14" t="n">
        <f aca="false">S847/(U847+0.0001)</f>
        <v>16.2568426727085</v>
      </c>
      <c r="X847" s="39" t="n">
        <f aca="false">IF(Informed=1,K847,0)</f>
        <v>15.3743570368486</v>
      </c>
      <c r="Y847" s="39" t="n">
        <f aca="false">IF(Informed=0,K847,0)</f>
        <v>0</v>
      </c>
      <c r="Z847" s="39" t="n">
        <f aca="false">IF(Informed=1,N847,0)</f>
        <v>0</v>
      </c>
      <c r="AA847" s="39" t="n">
        <f aca="false">IF(Informed=0,N847,0)</f>
        <v>0</v>
      </c>
      <c r="AB847" s="43" t="n">
        <f aca="false">IF(Arterial=0,IF(Informed=1,1,0),0)</f>
        <v>1</v>
      </c>
      <c r="AC847" s="43" t="n">
        <f aca="false">IF(Arterial=0,IF(Informed=0,1,0),0)</f>
        <v>0</v>
      </c>
      <c r="AD847" s="43" t="n">
        <f aca="false">IF(Arterial=1,IF(Informed=1,1,0),0)</f>
        <v>0</v>
      </c>
      <c r="AE847" s="43" t="n">
        <f aca="false">IF(Arterial=1,IF(Informed=0,1,0),0)</f>
        <v>0</v>
      </c>
      <c r="AF847" s="35" t="n">
        <f aca="false">IF(AB847=1,(X847-G$1030)^2,0)</f>
        <v>21.7592282611787</v>
      </c>
      <c r="AG847" s="35" t="n">
        <f aca="false">IF(AC847=1,(Y847-H$1030)^2,0)</f>
        <v>0</v>
      </c>
      <c r="AH847" s="35" t="n">
        <f aca="false">IF(AD847=1,(Z847-I$1030)^2,0)</f>
        <v>0</v>
      </c>
      <c r="AI847" s="35" t="n">
        <f aca="false">IF(AE847=1,(AA847-J$1030)^2,0)</f>
        <v>0</v>
      </c>
      <c r="AJ847" s="37" t="n">
        <f aca="true">IF(RAND()&lt;$D$6,1,0)</f>
        <v>0</v>
      </c>
      <c r="AK847" s="14" t="n">
        <f aca="false">AK846+IF((AJ847=1),IF((H847=0),1,0),0)</f>
        <v>0</v>
      </c>
      <c r="AL847" s="14" t="n">
        <f aca="false">AL846+IF((AJ847=1),IF((H847=1),1,0),0)</f>
        <v>0</v>
      </c>
      <c r="AM847" s="37" t="n">
        <f aca="false">IF(AK847=0,9999,IF($H847=0,IF($AJ847&lt;1,AM846+1,0),AM846))</f>
        <v>9999</v>
      </c>
      <c r="AN847" s="37" t="n">
        <f aca="false">IF(AL847=0,9999,IF($H847=1,IF($AJ847&lt;1,AN846+1,0),AN846))</f>
        <v>9999</v>
      </c>
      <c r="AO847" s="37" t="n">
        <f aca="false">IF($A847-AM847&gt;0,1/(1+AM847),0)</f>
        <v>0</v>
      </c>
      <c r="AP847" s="37" t="n">
        <f aca="false">IF($A847-AN847&gt;0,1/(1+AN847),0)</f>
        <v>0</v>
      </c>
      <c r="AQ847" s="7" t="n">
        <f aca="false">IF(AK847=0,0,MAX(MIN(1,AO847^Power),0))</f>
        <v>0</v>
      </c>
      <c r="AR847" s="7" t="n">
        <f aca="false">IF(AL847=0,0,MAX(MIN(1,AP847^Power),0))</f>
        <v>0</v>
      </c>
      <c r="AS847" s="7" t="n">
        <f aca="false">IF($AJ847=1,IF($H847=0,K847,AS846),AS846)</f>
        <v>0</v>
      </c>
      <c r="AT847" s="7" t="n">
        <f aca="false">IF($AJ847=1,IF($H847=1,N847,AT846),AT846)</f>
        <v>0</v>
      </c>
    </row>
    <row r="848" customFormat="false" ht="13" hidden="false" customHeight="false" outlineLevel="0" collapsed="false">
      <c r="A848" s="16" t="n">
        <v>831</v>
      </c>
      <c r="B848" s="37" t="n">
        <f aca="true">IF(RAND()&lt;$D$8,1,0)</f>
        <v>0</v>
      </c>
      <c r="C848" s="20" t="n">
        <f aca="true">-LN(RAND())/$D$2</f>
        <v>3.02795273986622</v>
      </c>
      <c r="D848" s="38" t="n">
        <f aca="false">D847+C848</f>
        <v>878.4666528557</v>
      </c>
      <c r="E848" s="39" t="n">
        <f aca="false">MAX($E$3,AS847)</f>
        <v>0</v>
      </c>
      <c r="F848" s="39" t="n">
        <f aca="false">MAX($E$3,AT847)</f>
        <v>0</v>
      </c>
      <c r="G848" s="40" t="n">
        <v>0.5</v>
      </c>
      <c r="H848" s="38" t="n">
        <f aca="true">IF((B848=1),(IF((F848&lt;E848),1,(IF((F848=E848),(IF(RAND()&lt;G848,1,0)),0)))),(IF((RAND()&lt;G848),1,0)))</f>
        <v>1</v>
      </c>
      <c r="I848" s="38" t="n">
        <f aca="true">IF((H848=1),0,$D$3+$D$5*(RAND()-0.5))</f>
        <v>0</v>
      </c>
      <c r="J848" s="38" t="n">
        <f aca="false">I848+MAX(D848,J847)</f>
        <v>890.813057152682</v>
      </c>
      <c r="K848" s="38" t="n">
        <f aca="false">IF((H848=0),J848-D848,0)</f>
        <v>0</v>
      </c>
      <c r="L848" s="38" t="n">
        <f aca="true">IF(($H848=0),0,$D$4+$D$5*(RAND()-0.5))</f>
        <v>2.0784150346773</v>
      </c>
      <c r="M848" s="38" t="n">
        <f aca="false">L848+MAX(D848,M847)</f>
        <v>906.383253536988</v>
      </c>
      <c r="N848" s="38" t="n">
        <f aca="false">IF((H848=1),M848-D848,0)</f>
        <v>27.9166006812879</v>
      </c>
      <c r="O848" s="16" t="n">
        <v>831</v>
      </c>
      <c r="P848" s="41" t="n">
        <f aca="false">IF((Arterial=0),P847+1,P847)</f>
        <v>392</v>
      </c>
      <c r="Q848" s="41" t="n">
        <f aca="false">IF((Arterial=1),Q847+1,Q847)</f>
        <v>439</v>
      </c>
      <c r="R848" s="42" t="n">
        <f aca="false">IF((RESET=1),0,R848+K848)</f>
        <v>711.00906818012</v>
      </c>
      <c r="S848" s="14" t="e">
        <f aca="false">IF(RESET=1,0,S848+N848)</f>
        <v>#N/A</v>
      </c>
      <c r="T848" s="2" t="n">
        <f aca="false">IF(RESET=1,0,T848+IF(H848=0,1,0))</f>
        <v>29</v>
      </c>
      <c r="U848" s="2" t="e">
        <f aca="false">IF(RESET=1,0,U848+H848)</f>
        <v>#N/A</v>
      </c>
      <c r="V848" s="14" t="n">
        <f aca="false">R848/(T848+0.00001)</f>
        <v>24.5175456208505</v>
      </c>
      <c r="W848" s="14" t="e">
        <f aca="false">S848/(U848+0.0001)</f>
        <v>#N/A</v>
      </c>
      <c r="X848" s="39" t="n">
        <f aca="false">IF(Informed=1,K848,0)</f>
        <v>0</v>
      </c>
      <c r="Y848" s="39" t="n">
        <f aca="false">IF(Informed=0,K848,0)</f>
        <v>0</v>
      </c>
      <c r="Z848" s="39" t="n">
        <f aca="false">IF(Informed=1,N848,0)</f>
        <v>0</v>
      </c>
      <c r="AA848" s="39" t="n">
        <f aca="false">IF(Informed=0,N848,0)</f>
        <v>27.9166006812879</v>
      </c>
      <c r="AB848" s="43" t="n">
        <f aca="false">IF(Arterial=0,IF(Informed=1,1,0),0)</f>
        <v>0</v>
      </c>
      <c r="AC848" s="43" t="n">
        <f aca="false">IF(Arterial=0,IF(Informed=0,1,0),0)</f>
        <v>0</v>
      </c>
      <c r="AD848" s="43" t="n">
        <f aca="false">IF(Arterial=1,IF(Informed=1,1,0),0)</f>
        <v>0</v>
      </c>
      <c r="AE848" s="43" t="n">
        <f aca="false">IF(Arterial=1,IF(Informed=0,1,0),0)</f>
        <v>1</v>
      </c>
      <c r="AF848" s="35" t="n">
        <f aca="false">IF(AB848=1,(X848-G$1030)^2,0)</f>
        <v>0</v>
      </c>
      <c r="AG848" s="35" t="n">
        <f aca="false">IF(AC848=1,(Y848-H$1030)^2,0)</f>
        <v>0</v>
      </c>
      <c r="AH848" s="35" t="n">
        <f aca="false">IF(AD848=1,(Z848-I$1030)^2,0)</f>
        <v>0</v>
      </c>
      <c r="AI848" s="35" t="n">
        <f aca="false">IF(AE848=1,(AA848-J$1030)^2,0)</f>
        <v>2.71483062830016</v>
      </c>
      <c r="AJ848" s="37" t="n">
        <f aca="true">IF(RAND()&lt;$D$6,1,0)</f>
        <v>0</v>
      </c>
      <c r="AK848" s="14" t="n">
        <f aca="false">AK847+IF((AJ848=1),IF((H848=0),1,0),0)</f>
        <v>0</v>
      </c>
      <c r="AL848" s="14" t="n">
        <f aca="false">AL847+IF((AJ848=1),IF((H848=1),1,0),0)</f>
        <v>0</v>
      </c>
      <c r="AM848" s="37" t="n">
        <f aca="false">IF(AK848=0,9999,IF($H848=0,IF($AJ848&lt;1,AM847+1,0),AM847))</f>
        <v>9999</v>
      </c>
      <c r="AN848" s="37" t="n">
        <f aca="false">IF(AL848=0,9999,IF($H848=1,IF($AJ848&lt;1,AN847+1,0),AN847))</f>
        <v>9999</v>
      </c>
      <c r="AO848" s="37" t="n">
        <f aca="false">IF($A848-AM848&gt;0,1/(1+AM848),0)</f>
        <v>0</v>
      </c>
      <c r="AP848" s="37" t="n">
        <f aca="false">IF($A848-AN848&gt;0,1/(1+AN848),0)</f>
        <v>0</v>
      </c>
      <c r="AQ848" s="7" t="n">
        <f aca="false">IF(AK848=0,0,MAX(MIN(1,AO848^Power),0))</f>
        <v>0</v>
      </c>
      <c r="AR848" s="7" t="n">
        <f aca="false">IF(AL848=0,0,MAX(MIN(1,AP848^Power),0))</f>
        <v>0</v>
      </c>
      <c r="AS848" s="7" t="n">
        <f aca="false">IF($AJ848=1,IF($H848=0,K848,AS847),AS847)</f>
        <v>0</v>
      </c>
      <c r="AT848" s="7" t="n">
        <f aca="false">IF($AJ848=1,IF($H848=1,N848,AT847),AT847)</f>
        <v>0</v>
      </c>
    </row>
    <row r="849" customFormat="false" ht="13" hidden="false" customHeight="false" outlineLevel="0" collapsed="false">
      <c r="A849" s="16" t="n">
        <v>832</v>
      </c>
      <c r="B849" s="37" t="n">
        <f aca="true">IF(RAND()&lt;$D$8,1,0)</f>
        <v>1</v>
      </c>
      <c r="C849" s="20" t="n">
        <f aca="true">-LN(RAND())/$D$2</f>
        <v>0.330625470114506</v>
      </c>
      <c r="D849" s="38" t="n">
        <f aca="false">D848+C849</f>
        <v>878.797278325814</v>
      </c>
      <c r="E849" s="39" t="n">
        <f aca="false">MAX($E$3,AS848)</f>
        <v>0</v>
      </c>
      <c r="F849" s="39" t="n">
        <f aca="false">MAX($E$3,AT848)</f>
        <v>0</v>
      </c>
      <c r="G849" s="40" t="n">
        <v>0.5</v>
      </c>
      <c r="H849" s="38" t="n">
        <f aca="true">IF((B849=1),(IF((F849&lt;E849),1,(IF((F849=E849),(IF(RAND()&lt;G849,1,0)),0)))),(IF((RAND()&lt;G849),1,0)))</f>
        <v>1</v>
      </c>
      <c r="I849" s="38" t="n">
        <f aca="true">IF((H849=1),0,$D$3+$D$5*(RAND()-0.5))</f>
        <v>0</v>
      </c>
      <c r="J849" s="38" t="n">
        <f aca="false">I849+MAX(D849,J848)</f>
        <v>890.813057152682</v>
      </c>
      <c r="K849" s="38" t="n">
        <f aca="false">IF((H849=0),J849-D849,0)</f>
        <v>0</v>
      </c>
      <c r="L849" s="38" t="n">
        <f aca="true">IF(($H849=0),0,$D$4+$D$5*(RAND()-0.5))</f>
        <v>1.91780036011685</v>
      </c>
      <c r="M849" s="38" t="n">
        <f aca="false">L849+MAX(D849,M848)</f>
        <v>908.301053897104</v>
      </c>
      <c r="N849" s="38" t="n">
        <f aca="false">IF((H849=1),M849-D849,0)</f>
        <v>29.5037755712904</v>
      </c>
      <c r="O849" s="16" t="n">
        <v>832</v>
      </c>
      <c r="P849" s="41" t="n">
        <f aca="false">IF((Arterial=0),P848+1,P848)</f>
        <v>392</v>
      </c>
      <c r="Q849" s="41" t="n">
        <f aca="false">IF((Arterial=1),Q848+1,Q848)</f>
        <v>440</v>
      </c>
      <c r="R849" s="42" t="n">
        <f aca="false">IF((RESET=1),0,R849+K849)</f>
        <v>1077.710281139</v>
      </c>
      <c r="S849" s="14" t="e">
        <f aca="false">IF(RESET=1,0,S849+N849)</f>
        <v>#N/A</v>
      </c>
      <c r="T849" s="2" t="n">
        <f aca="false">IF(RESET=1,0,T849+IF(H849=0,1,0))</f>
        <v>49</v>
      </c>
      <c r="U849" s="2" t="e">
        <f aca="false">IF(RESET=1,0,U849+H849)</f>
        <v>#N/A</v>
      </c>
      <c r="V849" s="14" t="n">
        <f aca="false">R849/(T849+0.00001)</f>
        <v>21.9940828815953</v>
      </c>
      <c r="W849" s="14" t="e">
        <f aca="false">S849/(U849+0.0001)</f>
        <v>#N/A</v>
      </c>
      <c r="X849" s="39" t="n">
        <f aca="false">IF(Informed=1,K849,0)</f>
        <v>0</v>
      </c>
      <c r="Y849" s="39" t="n">
        <f aca="false">IF(Informed=0,K849,0)</f>
        <v>0</v>
      </c>
      <c r="Z849" s="39" t="n">
        <f aca="false">IF(Informed=1,N849,0)</f>
        <v>29.5037755712904</v>
      </c>
      <c r="AA849" s="39" t="n">
        <f aca="false">IF(Informed=0,N849,0)</f>
        <v>0</v>
      </c>
      <c r="AB849" s="43" t="n">
        <f aca="false">IF(Arterial=0,IF(Informed=1,1,0),0)</f>
        <v>0</v>
      </c>
      <c r="AC849" s="43" t="n">
        <f aca="false">IF(Arterial=0,IF(Informed=0,1,0),0)</f>
        <v>0</v>
      </c>
      <c r="AD849" s="43" t="n">
        <f aca="false">IF(Arterial=1,IF(Informed=1,1,0),0)</f>
        <v>1</v>
      </c>
      <c r="AE849" s="43" t="n">
        <f aca="false">IF(Arterial=1,IF(Informed=0,1,0),0)</f>
        <v>0</v>
      </c>
      <c r="AF849" s="35" t="n">
        <f aca="false">IF(AB849=1,(X849-G$1030)^2,0)</f>
        <v>0</v>
      </c>
      <c r="AG849" s="35" t="n">
        <f aca="false">IF(AC849=1,(Y849-H$1030)^2,0)</f>
        <v>0</v>
      </c>
      <c r="AH849" s="35" t="n">
        <f aca="false">IF(AD849=1,(Z849-I$1030)^2,0)</f>
        <v>1.2745072803539</v>
      </c>
      <c r="AI849" s="35" t="n">
        <f aca="false">IF(AE849=1,(AA849-J$1030)^2,0)</f>
        <v>0</v>
      </c>
      <c r="AJ849" s="37" t="n">
        <f aca="true">IF(RAND()&lt;$D$6,1,0)</f>
        <v>0</v>
      </c>
      <c r="AK849" s="14" t="n">
        <f aca="false">AK848+IF((AJ849=1),IF((H849=0),1,0),0)</f>
        <v>0</v>
      </c>
      <c r="AL849" s="14" t="n">
        <f aca="false">AL848+IF((AJ849=1),IF((H849=1),1,0),0)</f>
        <v>0</v>
      </c>
      <c r="AM849" s="37" t="n">
        <f aca="false">IF(AK849=0,9999,IF($H849=0,IF($AJ849&lt;1,AM848+1,0),AM848))</f>
        <v>9999</v>
      </c>
      <c r="AN849" s="37" t="n">
        <f aca="false">IF(AL849=0,9999,IF($H849=1,IF($AJ849&lt;1,AN848+1,0),AN848))</f>
        <v>9999</v>
      </c>
      <c r="AO849" s="37" t="n">
        <f aca="false">IF($A849-AM849&gt;0,1/(1+AM849),0)</f>
        <v>0</v>
      </c>
      <c r="AP849" s="37" t="n">
        <f aca="false">IF($A849-AN849&gt;0,1/(1+AN849),0)</f>
        <v>0</v>
      </c>
      <c r="AQ849" s="7" t="n">
        <f aca="false">IF(AK849=0,0,MAX(MIN(1,AO849^Power),0))</f>
        <v>0</v>
      </c>
      <c r="AR849" s="7" t="n">
        <f aca="false">IF(AL849=0,0,MAX(MIN(1,AP849^Power),0))</f>
        <v>0</v>
      </c>
      <c r="AS849" s="7" t="n">
        <f aca="false">IF($AJ849=1,IF($H849=0,K849,AS848),AS848)</f>
        <v>0</v>
      </c>
      <c r="AT849" s="7" t="n">
        <f aca="false">IF($AJ849=1,IF($H849=1,N849,AT848),AT848)</f>
        <v>0</v>
      </c>
    </row>
    <row r="850" customFormat="false" ht="13" hidden="false" customHeight="false" outlineLevel="0" collapsed="false">
      <c r="A850" s="16" t="n">
        <v>833</v>
      </c>
      <c r="B850" s="37" t="n">
        <f aca="true">IF(RAND()&lt;$D$8,1,0)</f>
        <v>1</v>
      </c>
      <c r="C850" s="20" t="n">
        <f aca="true">-LN(RAND())/$D$2</f>
        <v>0.594422531314795</v>
      </c>
      <c r="D850" s="38" t="n">
        <f aca="false">D849+C850</f>
        <v>879.391700857129</v>
      </c>
      <c r="E850" s="39" t="n">
        <f aca="false">MAX($E$3,AS849)</f>
        <v>0</v>
      </c>
      <c r="F850" s="39" t="n">
        <f aca="false">MAX($E$3,AT849)</f>
        <v>0</v>
      </c>
      <c r="G850" s="40" t="n">
        <v>0.5</v>
      </c>
      <c r="H850" s="38" t="n">
        <f aca="true">IF((B850=1),(IF((F850&lt;E850),1,(IF((F850=E850),(IF(RAND()&lt;G850,1,0)),0)))),(IF((RAND()&lt;G850),1,0)))</f>
        <v>1</v>
      </c>
      <c r="I850" s="38" t="n">
        <f aca="true">IF((H850=1),0,$D$3+$D$5*(RAND()-0.5))</f>
        <v>0</v>
      </c>
      <c r="J850" s="38" t="n">
        <f aca="false">I850+MAX(D850,J849)</f>
        <v>890.813057152682</v>
      </c>
      <c r="K850" s="38" t="n">
        <f aca="false">IF((H850=0),J850-D850,0)</f>
        <v>0</v>
      </c>
      <c r="L850" s="38" t="n">
        <f aca="true">IF(($H850=0),0,$D$4+$D$5*(RAND()-0.5))</f>
        <v>2.19017814062188</v>
      </c>
      <c r="M850" s="38" t="n">
        <f aca="false">L850+MAX(D850,M849)</f>
        <v>910.491232037726</v>
      </c>
      <c r="N850" s="38" t="n">
        <f aca="false">IF((H850=1),M850-D850,0)</f>
        <v>31.0995311805975</v>
      </c>
      <c r="O850" s="16" t="n">
        <v>833</v>
      </c>
      <c r="P850" s="41" t="n">
        <f aca="false">IF((Arterial=0),P849+1,P849)</f>
        <v>392</v>
      </c>
      <c r="Q850" s="41" t="n">
        <f aca="false">IF((Arterial=1),Q849+1,Q849)</f>
        <v>441</v>
      </c>
      <c r="R850" s="42" t="n">
        <f aca="false">IF((RESET=1),0,R850+K850)</f>
        <v>689.020963652323</v>
      </c>
      <c r="S850" s="14" t="e">
        <f aca="false">IF(RESET=1,0,S850+N850)</f>
        <v>#N/A</v>
      </c>
      <c r="T850" s="2" t="n">
        <f aca="false">IF(RESET=1,0,T850+IF(H850=0,1,0))</f>
        <v>34</v>
      </c>
      <c r="U850" s="2" t="e">
        <f aca="false">IF(RESET=1,0,U850+H850)</f>
        <v>#N/A</v>
      </c>
      <c r="V850" s="14" t="n">
        <f aca="false">R850/(T850+0.00001)</f>
        <v>20.2653164999752</v>
      </c>
      <c r="W850" s="14" t="e">
        <f aca="false">S850/(U850+0.0001)</f>
        <v>#N/A</v>
      </c>
      <c r="X850" s="39" t="n">
        <f aca="false">IF(Informed=1,K850,0)</f>
        <v>0</v>
      </c>
      <c r="Y850" s="39" t="n">
        <f aca="false">IF(Informed=0,K850,0)</f>
        <v>0</v>
      </c>
      <c r="Z850" s="39" t="n">
        <f aca="false">IF(Informed=1,N850,0)</f>
        <v>31.0995311805975</v>
      </c>
      <c r="AA850" s="39" t="n">
        <f aca="false">IF(Informed=0,N850,0)</f>
        <v>0</v>
      </c>
      <c r="AB850" s="43" t="n">
        <f aca="false">IF(Arterial=0,IF(Informed=1,1,0),0)</f>
        <v>0</v>
      </c>
      <c r="AC850" s="43" t="n">
        <f aca="false">IF(Arterial=0,IF(Informed=0,1,0),0)</f>
        <v>0</v>
      </c>
      <c r="AD850" s="43" t="n">
        <f aca="false">IF(Arterial=1,IF(Informed=1,1,0),0)</f>
        <v>1</v>
      </c>
      <c r="AE850" s="43" t="n">
        <f aca="false">IF(Arterial=1,IF(Informed=0,1,0),0)</f>
        <v>0</v>
      </c>
      <c r="AF850" s="35" t="n">
        <f aca="false">IF(AB850=1,(X850-G$1030)^2,0)</f>
        <v>0</v>
      </c>
      <c r="AG850" s="35" t="n">
        <f aca="false">IF(AC850=1,(Y850-H$1030)^2,0)</f>
        <v>0</v>
      </c>
      <c r="AH850" s="35" t="n">
        <f aca="false">IF(AD850=1,(Z850-I$1030)^2,0)</f>
        <v>7.42397040330074</v>
      </c>
      <c r="AI850" s="35" t="n">
        <f aca="false">IF(AE850=1,(AA850-J$1030)^2,0)</f>
        <v>0</v>
      </c>
      <c r="AJ850" s="37" t="n">
        <f aca="true">IF(RAND()&lt;$D$6,1,0)</f>
        <v>0</v>
      </c>
      <c r="AK850" s="14" t="n">
        <f aca="false">AK849+IF((AJ850=1),IF((H850=0),1,0),0)</f>
        <v>0</v>
      </c>
      <c r="AL850" s="14" t="n">
        <f aca="false">AL849+IF((AJ850=1),IF((H850=1),1,0),0)</f>
        <v>0</v>
      </c>
      <c r="AM850" s="37" t="n">
        <f aca="false">IF(AK850=0,9999,IF($H850=0,IF($AJ850&lt;1,AM849+1,0),AM849))</f>
        <v>9999</v>
      </c>
      <c r="AN850" s="37" t="n">
        <f aca="false">IF(AL850=0,9999,IF($H850=1,IF($AJ850&lt;1,AN849+1,0),AN849))</f>
        <v>9999</v>
      </c>
      <c r="AO850" s="37" t="n">
        <f aca="false">IF($A850-AM850&gt;0,1/(1+AM850),0)</f>
        <v>0</v>
      </c>
      <c r="AP850" s="37" t="n">
        <f aca="false">IF($A850-AN850&gt;0,1/(1+AN850),0)</f>
        <v>0</v>
      </c>
      <c r="AQ850" s="7" t="n">
        <f aca="false">IF(AK850=0,0,MAX(MIN(1,AO850^Power),0))</f>
        <v>0</v>
      </c>
      <c r="AR850" s="7" t="n">
        <f aca="false">IF(AL850=0,0,MAX(MIN(1,AP850^Power),0))</f>
        <v>0</v>
      </c>
      <c r="AS850" s="7" t="n">
        <f aca="false">IF($AJ850=1,IF($H850=0,K850,AS849),AS849)</f>
        <v>0</v>
      </c>
      <c r="AT850" s="7" t="n">
        <f aca="false">IF($AJ850=1,IF($H850=1,N850,AT849),AT849)</f>
        <v>0</v>
      </c>
    </row>
    <row r="851" customFormat="false" ht="13" hidden="false" customHeight="false" outlineLevel="0" collapsed="false">
      <c r="A851" s="16" t="n">
        <v>834</v>
      </c>
      <c r="B851" s="37" t="n">
        <f aca="true">IF(RAND()&lt;$D$8,1,0)</f>
        <v>0</v>
      </c>
      <c r="C851" s="20" t="n">
        <f aca="true">-LN(RAND())/$D$2</f>
        <v>2.07225216211911</v>
      </c>
      <c r="D851" s="38" t="n">
        <f aca="false">D850+C851</f>
        <v>881.463953019248</v>
      </c>
      <c r="E851" s="39" t="n">
        <f aca="false">MAX($E$3,AS850)</f>
        <v>0</v>
      </c>
      <c r="F851" s="39" t="n">
        <f aca="false">MAX($E$3,AT850)</f>
        <v>0</v>
      </c>
      <c r="G851" s="40" t="n">
        <v>0.5</v>
      </c>
      <c r="H851" s="38" t="n">
        <f aca="true">IF((B851=1),(IF((F851&lt;E851),1,(IF((F851=E851),(IF(RAND()&lt;G851,1,0)),0)))),(IF((RAND()&lt;G851),1,0)))</f>
        <v>0</v>
      </c>
      <c r="I851" s="38" t="n">
        <f aca="true">IF((H851=1),0,$D$3+$D$5*(RAND()-0.5))</f>
        <v>1.81517323428007</v>
      </c>
      <c r="J851" s="38" t="n">
        <f aca="false">I851+MAX(D851,J850)</f>
        <v>892.628230386962</v>
      </c>
      <c r="K851" s="38" t="n">
        <f aca="false">IF((H851=0),J851-D851,0)</f>
        <v>11.1642773677141</v>
      </c>
      <c r="L851" s="38" t="n">
        <f aca="true">IF(($H851=0),0,$D$4+$D$5*(RAND()-0.5))</f>
        <v>0</v>
      </c>
      <c r="M851" s="38" t="n">
        <f aca="false">L851+MAX(D851,M850)</f>
        <v>910.491232037726</v>
      </c>
      <c r="N851" s="38" t="n">
        <f aca="false">IF((H851=1),M851-D851,0)</f>
        <v>0</v>
      </c>
      <c r="O851" s="16" t="n">
        <v>834</v>
      </c>
      <c r="P851" s="41" t="n">
        <f aca="false">IF((Arterial=0),P850+1,P850)</f>
        <v>393</v>
      </c>
      <c r="Q851" s="41" t="n">
        <f aca="false">IF((Arterial=1),Q850+1,Q850)</f>
        <v>441</v>
      </c>
      <c r="R851" s="42" t="e">
        <f aca="false">IF((RESET=1),0,R851+K851)</f>
        <v>#N/A</v>
      </c>
      <c r="S851" s="14" t="n">
        <f aca="false">IF(RESET=1,0,S851+N851)</f>
        <v>783.969902056825</v>
      </c>
      <c r="T851" s="2" t="e">
        <f aca="false">IF(RESET=1,0,T851+IF(H851=0,1,0))</f>
        <v>#N/A</v>
      </c>
      <c r="U851" s="2" t="n">
        <f aca="false">IF(RESET=1,0,U851+H851)</f>
        <v>44</v>
      </c>
      <c r="V851" s="14" t="e">
        <f aca="false">R851/(T851+0.00001)</f>
        <v>#N/A</v>
      </c>
      <c r="W851" s="14" t="n">
        <f aca="false">S851/(U851+0.0001)</f>
        <v>17.8174572797977</v>
      </c>
      <c r="X851" s="39" t="n">
        <f aca="false">IF(Informed=1,K851,0)</f>
        <v>0</v>
      </c>
      <c r="Y851" s="39" t="n">
        <f aca="false">IF(Informed=0,K851,0)</f>
        <v>11.1642773677141</v>
      </c>
      <c r="Z851" s="39" t="n">
        <f aca="false">IF(Informed=1,N851,0)</f>
        <v>0</v>
      </c>
      <c r="AA851" s="39" t="n">
        <f aca="false">IF(Informed=0,N851,0)</f>
        <v>0</v>
      </c>
      <c r="AB851" s="43" t="n">
        <f aca="false">IF(Arterial=0,IF(Informed=1,1,0),0)</f>
        <v>0</v>
      </c>
      <c r="AC851" s="43" t="n">
        <f aca="false">IF(Arterial=0,IF(Informed=0,1,0),0)</f>
        <v>1</v>
      </c>
      <c r="AD851" s="43" t="n">
        <f aca="false">IF(Arterial=1,IF(Informed=1,1,0),0)</f>
        <v>0</v>
      </c>
      <c r="AE851" s="43" t="n">
        <f aca="false">IF(Arterial=1,IF(Informed=0,1,0),0)</f>
        <v>0</v>
      </c>
      <c r="AF851" s="35" t="n">
        <f aca="false">IF(AB851=1,(X851-G$1030)^2,0)</f>
        <v>0</v>
      </c>
      <c r="AG851" s="35" t="n">
        <f aca="false">IF(AC851=1,(Y851-H$1030)^2,0)</f>
        <v>0.057836458336378</v>
      </c>
      <c r="AH851" s="35" t="n">
        <f aca="false">IF(AD851=1,(Z851-I$1030)^2,0)</f>
        <v>0</v>
      </c>
      <c r="AI851" s="35" t="n">
        <f aca="false">IF(AE851=1,(AA851-J$1030)^2,0)</f>
        <v>0</v>
      </c>
      <c r="AJ851" s="37" t="n">
        <f aca="true">IF(RAND()&lt;$D$6,1,0)</f>
        <v>0</v>
      </c>
      <c r="AK851" s="14" t="n">
        <f aca="false">AK850+IF((AJ851=1),IF((H851=0),1,0),0)</f>
        <v>0</v>
      </c>
      <c r="AL851" s="14" t="n">
        <f aca="false">AL850+IF((AJ851=1),IF((H851=1),1,0),0)</f>
        <v>0</v>
      </c>
      <c r="AM851" s="37" t="n">
        <f aca="false">IF(AK851=0,9999,IF($H851=0,IF($AJ851&lt;1,AM850+1,0),AM850))</f>
        <v>9999</v>
      </c>
      <c r="AN851" s="37" t="n">
        <f aca="false">IF(AL851=0,9999,IF($H851=1,IF($AJ851&lt;1,AN850+1,0),AN850))</f>
        <v>9999</v>
      </c>
      <c r="AO851" s="37" t="n">
        <f aca="false">IF($A851-AM851&gt;0,1/(1+AM851),0)</f>
        <v>0</v>
      </c>
      <c r="AP851" s="37" t="n">
        <f aca="false">IF($A851-AN851&gt;0,1/(1+AN851),0)</f>
        <v>0</v>
      </c>
      <c r="AQ851" s="7" t="n">
        <f aca="false">IF(AK851=0,0,MAX(MIN(1,AO851^Power),0))</f>
        <v>0</v>
      </c>
      <c r="AR851" s="7" t="n">
        <f aca="false">IF(AL851=0,0,MAX(MIN(1,AP851^Power),0))</f>
        <v>0</v>
      </c>
      <c r="AS851" s="7" t="n">
        <f aca="false">IF($AJ851=1,IF($H851=0,K851,AS850),AS850)</f>
        <v>0</v>
      </c>
      <c r="AT851" s="7" t="n">
        <f aca="false">IF($AJ851=1,IF($H851=1,N851,AT850),AT850)</f>
        <v>0</v>
      </c>
    </row>
    <row r="852" customFormat="false" ht="13" hidden="false" customHeight="false" outlineLevel="0" collapsed="false">
      <c r="A852" s="16" t="n">
        <v>835</v>
      </c>
      <c r="B852" s="37" t="n">
        <f aca="true">IF(RAND()&lt;$D$8,1,0)</f>
        <v>1</v>
      </c>
      <c r="C852" s="20" t="n">
        <f aca="true">-LN(RAND())/$D$2</f>
        <v>0.211143808849823</v>
      </c>
      <c r="D852" s="38" t="n">
        <f aca="false">D851+C852</f>
        <v>881.675096828098</v>
      </c>
      <c r="E852" s="39" t="n">
        <f aca="false">MAX($E$3,AS851)</f>
        <v>0</v>
      </c>
      <c r="F852" s="39" t="n">
        <f aca="false">MAX($E$3,AT851)</f>
        <v>0</v>
      </c>
      <c r="G852" s="40" t="n">
        <v>0.5</v>
      </c>
      <c r="H852" s="38" t="n">
        <f aca="true">IF((B852=1),(IF((F852&lt;E852),1,(IF((F852=E852),(IF(RAND()&lt;G852,1,0)),0)))),(IF((RAND()&lt;G852),1,0)))</f>
        <v>1</v>
      </c>
      <c r="I852" s="38" t="n">
        <f aca="true">IF((H852=1),0,$D$3+$D$5*(RAND()-0.5))</f>
        <v>0</v>
      </c>
      <c r="J852" s="38" t="n">
        <f aca="false">I852+MAX(D852,J851)</f>
        <v>892.628230386962</v>
      </c>
      <c r="K852" s="38" t="n">
        <f aca="false">IF((H852=0),J852-D852,0)</f>
        <v>0</v>
      </c>
      <c r="L852" s="38" t="n">
        <f aca="true">IF(($H852=0),0,$D$4+$D$5*(RAND()-0.5))</f>
        <v>1.82894140039061</v>
      </c>
      <c r="M852" s="38" t="n">
        <f aca="false">L852+MAX(D852,M851)</f>
        <v>912.320173438117</v>
      </c>
      <c r="N852" s="38" t="n">
        <f aca="false">IF((H852=1),M852-D852,0)</f>
        <v>30.6450766100193</v>
      </c>
      <c r="O852" s="16" t="n">
        <v>835</v>
      </c>
      <c r="P852" s="41" t="n">
        <f aca="false">IF((Arterial=0),P851+1,P851)</f>
        <v>393</v>
      </c>
      <c r="Q852" s="41" t="n">
        <f aca="false">IF((Arterial=1),Q851+1,Q851)</f>
        <v>442</v>
      </c>
      <c r="R852" s="42" t="n">
        <f aca="false">IF((RESET=1),0,R852+K852)</f>
        <v>755.675806719533</v>
      </c>
      <c r="S852" s="14" t="e">
        <f aca="false">IF(RESET=1,0,S852+N852)</f>
        <v>#N/A</v>
      </c>
      <c r="T852" s="2" t="n">
        <f aca="false">IF(RESET=1,0,T852+IF(H852=0,1,0))</f>
        <v>37</v>
      </c>
      <c r="U852" s="2" t="e">
        <f aca="false">IF(RESET=1,0,U852+H852)</f>
        <v>#N/A</v>
      </c>
      <c r="V852" s="14" t="n">
        <f aca="false">R852/(T852+0.00001)</f>
        <v>20.4236649319698</v>
      </c>
      <c r="W852" s="14" t="e">
        <f aca="false">S852/(U852+0.0001)</f>
        <v>#N/A</v>
      </c>
      <c r="X852" s="39" t="n">
        <f aca="false">IF(Informed=1,K852,0)</f>
        <v>0</v>
      </c>
      <c r="Y852" s="39" t="n">
        <f aca="false">IF(Informed=0,K852,0)</f>
        <v>0</v>
      </c>
      <c r="Z852" s="39" t="n">
        <f aca="false">IF(Informed=1,N852,0)</f>
        <v>30.6450766100193</v>
      </c>
      <c r="AA852" s="39" t="n">
        <f aca="false">IF(Informed=0,N852,0)</f>
        <v>0</v>
      </c>
      <c r="AB852" s="43" t="n">
        <f aca="false">IF(Arterial=0,IF(Informed=1,1,0),0)</f>
        <v>0</v>
      </c>
      <c r="AC852" s="43" t="n">
        <f aca="false">IF(Arterial=0,IF(Informed=0,1,0),0)</f>
        <v>0</v>
      </c>
      <c r="AD852" s="43" t="n">
        <f aca="false">IF(Arterial=1,IF(Informed=1,1,0),0)</f>
        <v>1</v>
      </c>
      <c r="AE852" s="43" t="n">
        <f aca="false">IF(Arterial=1,IF(Informed=0,1,0),0)</f>
        <v>0</v>
      </c>
      <c r="AF852" s="35" t="n">
        <f aca="false">IF(AB852=1,(X852-G$1030)^2,0)</f>
        <v>0</v>
      </c>
      <c r="AG852" s="35" t="n">
        <f aca="false">IF(AC852=1,(Y852-H$1030)^2,0)</f>
        <v>0</v>
      </c>
      <c r="AH852" s="35" t="n">
        <f aca="false">IF(AD852=1,(Z852-I$1030)^2,0)</f>
        <v>5.15399790667119</v>
      </c>
      <c r="AI852" s="35" t="n">
        <f aca="false">IF(AE852=1,(AA852-J$1030)^2,0)</f>
        <v>0</v>
      </c>
      <c r="AJ852" s="37" t="n">
        <f aca="true">IF(RAND()&lt;$D$6,1,0)</f>
        <v>0</v>
      </c>
      <c r="AK852" s="14" t="n">
        <f aca="false">AK851+IF((AJ852=1),IF((H852=0),1,0),0)</f>
        <v>0</v>
      </c>
      <c r="AL852" s="14" t="n">
        <f aca="false">AL851+IF((AJ852=1),IF((H852=1),1,0),0)</f>
        <v>0</v>
      </c>
      <c r="AM852" s="37" t="n">
        <f aca="false">IF(AK852=0,9999,IF($H852=0,IF($AJ852&lt;1,AM851+1,0),AM851))</f>
        <v>9999</v>
      </c>
      <c r="AN852" s="37" t="n">
        <f aca="false">IF(AL852=0,9999,IF($H852=1,IF($AJ852&lt;1,AN851+1,0),AN851))</f>
        <v>9999</v>
      </c>
      <c r="AO852" s="37" t="n">
        <f aca="false">IF($A852-AM852&gt;0,1/(1+AM852),0)</f>
        <v>0</v>
      </c>
      <c r="AP852" s="37" t="n">
        <f aca="false">IF($A852-AN852&gt;0,1/(1+AN852),0)</f>
        <v>0</v>
      </c>
      <c r="AQ852" s="7" t="n">
        <f aca="false">IF(AK852=0,0,MAX(MIN(1,AO852^Power),0))</f>
        <v>0</v>
      </c>
      <c r="AR852" s="7" t="n">
        <f aca="false">IF(AL852=0,0,MAX(MIN(1,AP852^Power),0))</f>
        <v>0</v>
      </c>
      <c r="AS852" s="7" t="n">
        <f aca="false">IF($AJ852=1,IF($H852=0,K852,AS851),AS851)</f>
        <v>0</v>
      </c>
      <c r="AT852" s="7" t="n">
        <f aca="false">IF($AJ852=1,IF($H852=1,N852,AT851),AT851)</f>
        <v>0</v>
      </c>
    </row>
    <row r="853" customFormat="false" ht="13" hidden="false" customHeight="false" outlineLevel="0" collapsed="false">
      <c r="A853" s="16" t="n">
        <v>836</v>
      </c>
      <c r="B853" s="37" t="n">
        <f aca="true">IF(RAND()&lt;$D$8,1,0)</f>
        <v>0</v>
      </c>
      <c r="C853" s="20" t="n">
        <f aca="true">-LN(RAND())/$D$2</f>
        <v>0.80882151548259</v>
      </c>
      <c r="D853" s="38" t="n">
        <f aca="false">D852+C853</f>
        <v>882.48391834358</v>
      </c>
      <c r="E853" s="39" t="n">
        <f aca="false">MAX($E$3,AS852)</f>
        <v>0</v>
      </c>
      <c r="F853" s="39" t="n">
        <f aca="false">MAX($E$3,AT852)</f>
        <v>0</v>
      </c>
      <c r="G853" s="40" t="n">
        <v>0.5</v>
      </c>
      <c r="H853" s="38" t="n">
        <f aca="true">IF((B853=1),(IF((F853&lt;E853),1,(IF((F853=E853),(IF(RAND()&lt;G853,1,0)),0)))),(IF((RAND()&lt;G853),1,0)))</f>
        <v>1</v>
      </c>
      <c r="I853" s="38" t="n">
        <f aca="true">IF((H853=1),0,$D$3+$D$5*(RAND()-0.5))</f>
        <v>0</v>
      </c>
      <c r="J853" s="38" t="n">
        <f aca="false">I853+MAX(D853,J852)</f>
        <v>892.628230386962</v>
      </c>
      <c r="K853" s="38" t="n">
        <f aca="false">IF((H853=0),J853-D853,0)</f>
        <v>0</v>
      </c>
      <c r="L853" s="38" t="n">
        <f aca="true">IF(($H853=0),0,$D$4+$D$5*(RAND()-0.5))</f>
        <v>1.803738649151</v>
      </c>
      <c r="M853" s="38" t="n">
        <f aca="false">L853+MAX(D853,M852)</f>
        <v>914.123912087268</v>
      </c>
      <c r="N853" s="38" t="n">
        <f aca="false">IF((H853=1),M853-D853,0)</f>
        <v>31.6399937436877</v>
      </c>
      <c r="O853" s="16" t="n">
        <v>836</v>
      </c>
      <c r="P853" s="41" t="n">
        <f aca="false">IF((Arterial=0),P852+1,P852)</f>
        <v>393</v>
      </c>
      <c r="Q853" s="41" t="n">
        <f aca="false">IF((Arterial=1),Q852+1,Q852)</f>
        <v>443</v>
      </c>
      <c r="R853" s="42" t="n">
        <f aca="false">IF((RESET=1),0,R853+K853)</f>
        <v>659.447199101632</v>
      </c>
      <c r="S853" s="14" t="e">
        <f aca="false">IF(RESET=1,0,S853+N853)</f>
        <v>#N/A</v>
      </c>
      <c r="T853" s="2" t="n">
        <f aca="false">IF(RESET=1,0,T853+IF(H853=0,1,0))</f>
        <v>35</v>
      </c>
      <c r="U853" s="2" t="e">
        <f aca="false">IF(RESET=1,0,U853+H853)</f>
        <v>#N/A</v>
      </c>
      <c r="V853" s="14" t="n">
        <f aca="false">R853/(T853+0.00001)</f>
        <v>18.84134316252</v>
      </c>
      <c r="W853" s="14" t="e">
        <f aca="false">S853/(U853+0.0001)</f>
        <v>#N/A</v>
      </c>
      <c r="X853" s="39" t="n">
        <f aca="false">IF(Informed=1,K853,0)</f>
        <v>0</v>
      </c>
      <c r="Y853" s="39" t="n">
        <f aca="false">IF(Informed=0,K853,0)</f>
        <v>0</v>
      </c>
      <c r="Z853" s="39" t="n">
        <f aca="false">IF(Informed=1,N853,0)</f>
        <v>0</v>
      </c>
      <c r="AA853" s="39" t="n">
        <f aca="false">IF(Informed=0,N853,0)</f>
        <v>31.6399937436877</v>
      </c>
      <c r="AB853" s="43" t="n">
        <f aca="false">IF(Arterial=0,IF(Informed=1,1,0),0)</f>
        <v>0</v>
      </c>
      <c r="AC853" s="43" t="n">
        <f aca="false">IF(Arterial=0,IF(Informed=0,1,0),0)</f>
        <v>0</v>
      </c>
      <c r="AD853" s="43" t="n">
        <f aca="false">IF(Arterial=1,IF(Informed=1,1,0),0)</f>
        <v>0</v>
      </c>
      <c r="AE853" s="43" t="n">
        <f aca="false">IF(Arterial=1,IF(Informed=0,1,0),0)</f>
        <v>1</v>
      </c>
      <c r="AF853" s="35" t="n">
        <f aca="false">IF(AB853=1,(X853-G$1030)^2,0)</f>
        <v>0</v>
      </c>
      <c r="AG853" s="35" t="n">
        <f aca="false">IF(AC853=1,(Y853-H$1030)^2,0)</f>
        <v>0</v>
      </c>
      <c r="AH853" s="35" t="n">
        <f aca="false">IF(AD853=1,(Z853-I$1030)^2,0)</f>
        <v>0</v>
      </c>
      <c r="AI853" s="35" t="n">
        <f aca="false">IF(AE853=1,(AA853-J$1030)^2,0)</f>
        <v>4.30860834351578</v>
      </c>
      <c r="AJ853" s="37" t="n">
        <f aca="true">IF(RAND()&lt;$D$6,1,0)</f>
        <v>0</v>
      </c>
      <c r="AK853" s="14" t="n">
        <f aca="false">AK852+IF((AJ853=1),IF((H853=0),1,0),0)</f>
        <v>0</v>
      </c>
      <c r="AL853" s="14" t="n">
        <f aca="false">AL852+IF((AJ853=1),IF((H853=1),1,0),0)</f>
        <v>0</v>
      </c>
      <c r="AM853" s="37" t="n">
        <f aca="false">IF(AK853=0,9999,IF($H853=0,IF($AJ853&lt;1,AM852+1,0),AM852))</f>
        <v>9999</v>
      </c>
      <c r="AN853" s="37" t="n">
        <f aca="false">IF(AL853=0,9999,IF($H853=1,IF($AJ853&lt;1,AN852+1,0),AN852))</f>
        <v>9999</v>
      </c>
      <c r="AO853" s="37" t="n">
        <f aca="false">IF($A853-AM853&gt;0,1/(1+AM853),0)</f>
        <v>0</v>
      </c>
      <c r="AP853" s="37" t="n">
        <f aca="false">IF($A853-AN853&gt;0,1/(1+AN853),0)</f>
        <v>0</v>
      </c>
      <c r="AQ853" s="7" t="n">
        <f aca="false">IF(AK853=0,0,MAX(MIN(1,AO853^Power),0))</f>
        <v>0</v>
      </c>
      <c r="AR853" s="7" t="n">
        <f aca="false">IF(AL853=0,0,MAX(MIN(1,AP853^Power),0))</f>
        <v>0</v>
      </c>
      <c r="AS853" s="7" t="n">
        <f aca="false">IF($AJ853=1,IF($H853=0,K853,AS852),AS852)</f>
        <v>0</v>
      </c>
      <c r="AT853" s="7" t="n">
        <f aca="false">IF($AJ853=1,IF($H853=1,N853,AT852),AT852)</f>
        <v>0</v>
      </c>
    </row>
    <row r="854" customFormat="false" ht="13" hidden="false" customHeight="false" outlineLevel="0" collapsed="false">
      <c r="A854" s="16" t="n">
        <v>837</v>
      </c>
      <c r="B854" s="37" t="n">
        <f aca="true">IF(RAND()&lt;$D$8,1,0)</f>
        <v>0</v>
      </c>
      <c r="C854" s="20" t="n">
        <f aca="true">-LN(RAND())/$D$2</f>
        <v>1.15413642225608</v>
      </c>
      <c r="D854" s="38" t="n">
        <f aca="false">D853+C854</f>
        <v>883.638054765836</v>
      </c>
      <c r="E854" s="39" t="n">
        <f aca="false">MAX($E$3,AS853)</f>
        <v>0</v>
      </c>
      <c r="F854" s="39" t="n">
        <f aca="false">MAX($E$3,AT853)</f>
        <v>0</v>
      </c>
      <c r="G854" s="40" t="n">
        <v>0.5</v>
      </c>
      <c r="H854" s="38" t="n">
        <f aca="true">IF((B854=1),(IF((F854&lt;E854),1,(IF((F854=E854),(IF(RAND()&lt;G854,1,0)),0)))),(IF((RAND()&lt;G854),1,0)))</f>
        <v>0</v>
      </c>
      <c r="I854" s="38" t="n">
        <f aca="true">IF((H854=1),0,$D$3+$D$5*(RAND()-0.5))</f>
        <v>2.22443664370924</v>
      </c>
      <c r="J854" s="38" t="n">
        <f aca="false">I854+MAX(D854,J853)</f>
        <v>894.852667030671</v>
      </c>
      <c r="K854" s="38" t="n">
        <f aca="false">IF((H854=0),J854-D854,0)</f>
        <v>11.214612264835</v>
      </c>
      <c r="L854" s="38" t="n">
        <f aca="true">IF(($H854=0),0,$D$4+$D$5*(RAND()-0.5))</f>
        <v>0</v>
      </c>
      <c r="M854" s="38" t="n">
        <f aca="false">L854+MAX(D854,M853)</f>
        <v>914.123912087268</v>
      </c>
      <c r="N854" s="38" t="n">
        <f aca="false">IF((H854=1),M854-D854,0)</f>
        <v>0</v>
      </c>
      <c r="O854" s="16" t="n">
        <v>837</v>
      </c>
      <c r="P854" s="41" t="n">
        <f aca="false">IF((Arterial=0),P853+1,P853)</f>
        <v>394</v>
      </c>
      <c r="Q854" s="41" t="n">
        <f aca="false">IF((Arterial=1),Q853+1,Q853)</f>
        <v>443</v>
      </c>
      <c r="R854" s="42" t="e">
        <f aca="false">IF((RESET=1),0,R854+K854)</f>
        <v>#N/A</v>
      </c>
      <c r="S854" s="14" t="n">
        <f aca="false">IF(RESET=1,0,S854+N854)</f>
        <v>757.421792399503</v>
      </c>
      <c r="T854" s="2" t="e">
        <f aca="false">IF(RESET=1,0,T854+IF(H854=0,1,0))</f>
        <v>#N/A</v>
      </c>
      <c r="U854" s="2" t="n">
        <f aca="false">IF(RESET=1,0,U854+H854)</f>
        <v>37</v>
      </c>
      <c r="V854" s="14" t="e">
        <f aca="false">R854/(T854+0.00001)</f>
        <v>#N/A</v>
      </c>
      <c r="W854" s="14" t="n">
        <f aca="false">S854/(U854+0.0001)</f>
        <v>20.4708039275435</v>
      </c>
      <c r="X854" s="39" t="n">
        <f aca="false">IF(Informed=1,K854,0)</f>
        <v>0</v>
      </c>
      <c r="Y854" s="39" t="n">
        <f aca="false">IF(Informed=0,K854,0)</f>
        <v>11.214612264835</v>
      </c>
      <c r="Z854" s="39" t="n">
        <f aca="false">IF(Informed=1,N854,0)</f>
        <v>0</v>
      </c>
      <c r="AA854" s="39" t="n">
        <f aca="false">IF(Informed=0,N854,0)</f>
        <v>0</v>
      </c>
      <c r="AB854" s="43" t="n">
        <f aca="false">IF(Arterial=0,IF(Informed=1,1,0),0)</f>
        <v>0</v>
      </c>
      <c r="AC854" s="43" t="n">
        <f aca="false">IF(Arterial=0,IF(Informed=0,1,0),0)</f>
        <v>1</v>
      </c>
      <c r="AD854" s="43" t="n">
        <f aca="false">IF(Arterial=1,IF(Informed=1,1,0),0)</f>
        <v>0</v>
      </c>
      <c r="AE854" s="43" t="n">
        <f aca="false">IF(Arterial=1,IF(Informed=0,1,0),0)</f>
        <v>0</v>
      </c>
      <c r="AF854" s="35" t="n">
        <f aca="false">IF(AB854=1,(X854-G$1030)^2,0)</f>
        <v>0</v>
      </c>
      <c r="AG854" s="35" t="n">
        <f aca="false">IF(AC854=1,(Y854-H$1030)^2,0)</f>
        <v>0.0845803521390893</v>
      </c>
      <c r="AH854" s="35" t="n">
        <f aca="false">IF(AD854=1,(Z854-I$1030)^2,0)</f>
        <v>0</v>
      </c>
      <c r="AI854" s="35" t="n">
        <f aca="false">IF(AE854=1,(AA854-J$1030)^2,0)</f>
        <v>0</v>
      </c>
      <c r="AJ854" s="37" t="n">
        <f aca="true">IF(RAND()&lt;$D$6,1,0)</f>
        <v>0</v>
      </c>
      <c r="AK854" s="14" t="n">
        <f aca="false">AK853+IF((AJ854=1),IF((H854=0),1,0),0)</f>
        <v>0</v>
      </c>
      <c r="AL854" s="14" t="n">
        <f aca="false">AL853+IF((AJ854=1),IF((H854=1),1,0),0)</f>
        <v>0</v>
      </c>
      <c r="AM854" s="37" t="n">
        <f aca="false">IF(AK854=0,9999,IF($H854=0,IF($AJ854&lt;1,AM853+1,0),AM853))</f>
        <v>9999</v>
      </c>
      <c r="AN854" s="37" t="n">
        <f aca="false">IF(AL854=0,9999,IF($H854=1,IF($AJ854&lt;1,AN853+1,0),AN853))</f>
        <v>9999</v>
      </c>
      <c r="AO854" s="37" t="n">
        <f aca="false">IF($A854-AM854&gt;0,1/(1+AM854),0)</f>
        <v>0</v>
      </c>
      <c r="AP854" s="37" t="n">
        <f aca="false">IF($A854-AN854&gt;0,1/(1+AN854),0)</f>
        <v>0</v>
      </c>
      <c r="AQ854" s="7" t="n">
        <f aca="false">IF(AK854=0,0,MAX(MIN(1,AO854^Power),0))</f>
        <v>0</v>
      </c>
      <c r="AR854" s="7" t="n">
        <f aca="false">IF(AL854=0,0,MAX(MIN(1,AP854^Power),0))</f>
        <v>0</v>
      </c>
      <c r="AS854" s="7" t="n">
        <f aca="false">IF($AJ854=1,IF($H854=0,K854,AS853),AS853)</f>
        <v>0</v>
      </c>
      <c r="AT854" s="7" t="n">
        <f aca="false">IF($AJ854=1,IF($H854=1,N854,AT853),AT853)</f>
        <v>0</v>
      </c>
    </row>
    <row r="855" customFormat="false" ht="13" hidden="false" customHeight="false" outlineLevel="0" collapsed="false">
      <c r="A855" s="16" t="n">
        <v>838</v>
      </c>
      <c r="B855" s="37" t="n">
        <f aca="true">IF(RAND()&lt;$D$8,1,0)</f>
        <v>1</v>
      </c>
      <c r="C855" s="20" t="n">
        <f aca="true">-LN(RAND())/$D$2</f>
        <v>0.368802762736125</v>
      </c>
      <c r="D855" s="38" t="n">
        <f aca="false">D854+C855</f>
        <v>884.006857528572</v>
      </c>
      <c r="E855" s="39" t="n">
        <f aca="false">MAX($E$3,AS854)</f>
        <v>0</v>
      </c>
      <c r="F855" s="39" t="n">
        <f aca="false">MAX($E$3,AT854)</f>
        <v>0</v>
      </c>
      <c r="G855" s="40" t="n">
        <v>0.5</v>
      </c>
      <c r="H855" s="38" t="n">
        <f aca="true">IF((B855=1),(IF((F855&lt;E855),1,(IF((F855=E855),(IF(RAND()&lt;G855,1,0)),0)))),(IF((RAND()&lt;G855),1,0)))</f>
        <v>1</v>
      </c>
      <c r="I855" s="38" t="n">
        <f aca="true">IF((H855=1),0,$D$3+$D$5*(RAND()-0.5))</f>
        <v>0</v>
      </c>
      <c r="J855" s="38" t="n">
        <f aca="false">I855+MAX(D855,J854)</f>
        <v>894.852667030671</v>
      </c>
      <c r="K855" s="38" t="n">
        <f aca="false">IF((H855=0),J855-D855,0)</f>
        <v>0</v>
      </c>
      <c r="L855" s="38" t="n">
        <f aca="true">IF(($H855=0),0,$D$4+$D$5*(RAND()-0.5))</f>
        <v>1.99723919012083</v>
      </c>
      <c r="M855" s="38" t="n">
        <f aca="false">L855+MAX(D855,M854)</f>
        <v>916.121151277389</v>
      </c>
      <c r="N855" s="38" t="n">
        <f aca="false">IF((H855=1),M855-D855,0)</f>
        <v>32.1142937488163</v>
      </c>
      <c r="O855" s="16" t="n">
        <v>838</v>
      </c>
      <c r="P855" s="41" t="n">
        <f aca="false">IF((Arterial=0),P854+1,P854)</f>
        <v>394</v>
      </c>
      <c r="Q855" s="41" t="n">
        <f aca="false">IF((Arterial=1),Q854+1,Q854)</f>
        <v>444</v>
      </c>
      <c r="R855" s="42" t="n">
        <f aca="false">IF((RESET=1),0,R855+K855)</f>
        <v>768.276040608311</v>
      </c>
      <c r="S855" s="14" t="e">
        <f aca="false">IF(RESET=1,0,S855+N855)</f>
        <v>#N/A</v>
      </c>
      <c r="T855" s="2" t="n">
        <f aca="false">IF(RESET=1,0,T855+IF(H855=0,1,0))</f>
        <v>37</v>
      </c>
      <c r="U855" s="2" t="e">
        <f aca="false">IF(RESET=1,0,U855+H855)</f>
        <v>#N/A</v>
      </c>
      <c r="V855" s="14" t="n">
        <f aca="false">R855/(T855+0.00001)</f>
        <v>20.764211701789</v>
      </c>
      <c r="W855" s="14" t="e">
        <f aca="false">S855/(U855+0.0001)</f>
        <v>#N/A</v>
      </c>
      <c r="X855" s="39" t="n">
        <f aca="false">IF(Informed=1,K855,0)</f>
        <v>0</v>
      </c>
      <c r="Y855" s="39" t="n">
        <f aca="false">IF(Informed=0,K855,0)</f>
        <v>0</v>
      </c>
      <c r="Z855" s="39" t="n">
        <f aca="false">IF(Informed=1,N855,0)</f>
        <v>32.1142937488163</v>
      </c>
      <c r="AA855" s="39" t="n">
        <f aca="false">IF(Informed=0,N855,0)</f>
        <v>0</v>
      </c>
      <c r="AB855" s="43" t="n">
        <f aca="false">IF(Arterial=0,IF(Informed=1,1,0),0)</f>
        <v>0</v>
      </c>
      <c r="AC855" s="43" t="n">
        <f aca="false">IF(Arterial=0,IF(Informed=0,1,0),0)</f>
        <v>0</v>
      </c>
      <c r="AD855" s="43" t="n">
        <f aca="false">IF(Arterial=1,IF(Informed=1,1,0),0)</f>
        <v>1</v>
      </c>
      <c r="AE855" s="43" t="n">
        <f aca="false">IF(Arterial=1,IF(Informed=0,1,0),0)</f>
        <v>0</v>
      </c>
      <c r="AF855" s="35" t="n">
        <f aca="false">IF(AB855=1,(X855-G$1030)^2,0)</f>
        <v>0</v>
      </c>
      <c r="AG855" s="35" t="n">
        <f aca="false">IF(AC855=1,(Y855-H$1030)^2,0)</f>
        <v>0</v>
      </c>
      <c r="AH855" s="35" t="n">
        <f aca="false">IF(AD855=1,(Z855-I$1030)^2,0)</f>
        <v>13.9835532804694</v>
      </c>
      <c r="AI855" s="35" t="n">
        <f aca="false">IF(AE855=1,(AA855-J$1030)^2,0)</f>
        <v>0</v>
      </c>
      <c r="AJ855" s="37" t="n">
        <f aca="true">IF(RAND()&lt;$D$6,1,0)</f>
        <v>0</v>
      </c>
      <c r="AK855" s="14" t="n">
        <f aca="false">AK854+IF((AJ855=1),IF((H855=0),1,0),0)</f>
        <v>0</v>
      </c>
      <c r="AL855" s="14" t="n">
        <f aca="false">AL854+IF((AJ855=1),IF((H855=1),1,0),0)</f>
        <v>0</v>
      </c>
      <c r="AM855" s="37" t="n">
        <f aca="false">IF(AK855=0,9999,IF($H855=0,IF($AJ855&lt;1,AM854+1,0),AM854))</f>
        <v>9999</v>
      </c>
      <c r="AN855" s="37" t="n">
        <f aca="false">IF(AL855=0,9999,IF($H855=1,IF($AJ855&lt;1,AN854+1,0),AN854))</f>
        <v>9999</v>
      </c>
      <c r="AO855" s="37" t="n">
        <f aca="false">IF($A855-AM855&gt;0,1/(1+AM855),0)</f>
        <v>0</v>
      </c>
      <c r="AP855" s="37" t="n">
        <f aca="false">IF($A855-AN855&gt;0,1/(1+AN855),0)</f>
        <v>0</v>
      </c>
      <c r="AQ855" s="7" t="n">
        <f aca="false">IF(AK855=0,0,MAX(MIN(1,AO855^Power),0))</f>
        <v>0</v>
      </c>
      <c r="AR855" s="7" t="n">
        <f aca="false">IF(AL855=0,0,MAX(MIN(1,AP855^Power),0))</f>
        <v>0</v>
      </c>
      <c r="AS855" s="7" t="n">
        <f aca="false">IF($AJ855=1,IF($H855=0,K855,AS854),AS854)</f>
        <v>0</v>
      </c>
      <c r="AT855" s="7" t="n">
        <f aca="false">IF($AJ855=1,IF($H855=1,N855,AT854),AT854)</f>
        <v>0</v>
      </c>
    </row>
    <row r="856" customFormat="false" ht="13" hidden="false" customHeight="false" outlineLevel="0" collapsed="false">
      <c r="A856" s="16" t="n">
        <v>839</v>
      </c>
      <c r="B856" s="37" t="n">
        <f aca="true">IF(RAND()&lt;$D$8,1,0)</f>
        <v>0</v>
      </c>
      <c r="C856" s="20" t="n">
        <f aca="true">-LN(RAND())/$D$2</f>
        <v>1.71350390122641</v>
      </c>
      <c r="D856" s="38" t="n">
        <f aca="false">D855+C856</f>
        <v>885.720361429799</v>
      </c>
      <c r="E856" s="39" t="n">
        <f aca="false">MAX($E$3,AS855)</f>
        <v>0</v>
      </c>
      <c r="F856" s="39" t="n">
        <f aca="false">MAX($E$3,AT855)</f>
        <v>0</v>
      </c>
      <c r="G856" s="40" t="n">
        <v>0.5</v>
      </c>
      <c r="H856" s="38" t="n">
        <f aca="true">IF((B856=1),(IF((F856&lt;E856),1,(IF((F856=E856),(IF(RAND()&lt;G856,1,0)),0)))),(IF((RAND()&lt;G856),1,0)))</f>
        <v>0</v>
      </c>
      <c r="I856" s="38" t="n">
        <f aca="true">IF((H856=1),0,$D$3+$D$5*(RAND()-0.5))</f>
        <v>2.1581296973223</v>
      </c>
      <c r="J856" s="38" t="n">
        <f aca="false">I856+MAX(D856,J855)</f>
        <v>897.010796727994</v>
      </c>
      <c r="K856" s="38" t="n">
        <f aca="false">IF((H856=0),J856-D856,0)</f>
        <v>11.2904352981948</v>
      </c>
      <c r="L856" s="38" t="n">
        <f aca="true">IF(($H856=0),0,$D$4+$D$5*(RAND()-0.5))</f>
        <v>0</v>
      </c>
      <c r="M856" s="38" t="n">
        <f aca="false">L856+MAX(D856,M855)</f>
        <v>916.121151277389</v>
      </c>
      <c r="N856" s="38" t="n">
        <f aca="false">IF((H856=1),M856-D856,0)</f>
        <v>0</v>
      </c>
      <c r="O856" s="16" t="n">
        <v>839</v>
      </c>
      <c r="P856" s="41" t="n">
        <f aca="false">IF((Arterial=0),P855+1,P855)</f>
        <v>395</v>
      </c>
      <c r="Q856" s="41" t="n">
        <f aca="false">IF((Arterial=1),Q855+1,Q855)</f>
        <v>444</v>
      </c>
      <c r="R856" s="42" t="e">
        <f aca="false">IF((RESET=1),0,R856+K856)</f>
        <v>#N/A</v>
      </c>
      <c r="S856" s="14" t="n">
        <f aca="false">IF(RESET=1,0,S856+N856)</f>
        <v>642.255470414396</v>
      </c>
      <c r="T856" s="2" t="e">
        <f aca="false">IF(RESET=1,0,T856+IF(H856=0,1,0))</f>
        <v>#N/A</v>
      </c>
      <c r="U856" s="2" t="n">
        <f aca="false">IF(RESET=1,0,U856+H856)</f>
        <v>38</v>
      </c>
      <c r="V856" s="14" t="e">
        <f aca="false">R856/(T856+0.00001)</f>
        <v>#N/A</v>
      </c>
      <c r="W856" s="14" t="n">
        <f aca="false">S856/(U856+0.0001)</f>
        <v>16.9014152703387</v>
      </c>
      <c r="X856" s="39" t="n">
        <f aca="false">IF(Informed=1,K856,0)</f>
        <v>0</v>
      </c>
      <c r="Y856" s="39" t="n">
        <f aca="false">IF(Informed=0,K856,0)</f>
        <v>11.2904352981948</v>
      </c>
      <c r="Z856" s="39" t="n">
        <f aca="false">IF(Informed=1,N856,0)</f>
        <v>0</v>
      </c>
      <c r="AA856" s="39" t="n">
        <f aca="false">IF(Informed=0,N856,0)</f>
        <v>0</v>
      </c>
      <c r="AB856" s="43" t="n">
        <f aca="false">IF(Arterial=0,IF(Informed=1,1,0),0)</f>
        <v>0</v>
      </c>
      <c r="AC856" s="43" t="n">
        <f aca="false">IF(Arterial=0,IF(Informed=0,1,0),0)</f>
        <v>1</v>
      </c>
      <c r="AD856" s="43" t="n">
        <f aca="false">IF(Arterial=1,IF(Informed=1,1,0),0)</f>
        <v>0</v>
      </c>
      <c r="AE856" s="43" t="n">
        <f aca="false">IF(Arterial=1,IF(Informed=0,1,0),0)</f>
        <v>0</v>
      </c>
      <c r="AF856" s="35" t="n">
        <f aca="false">IF(AB856=1,(X856-G$1030)^2,0)</f>
        <v>0</v>
      </c>
      <c r="AG856" s="35" t="n">
        <f aca="false">IF(AC856=1,(Y856-H$1030)^2,0)</f>
        <v>0.134432257313345</v>
      </c>
      <c r="AH856" s="35" t="n">
        <f aca="false">IF(AD856=1,(Z856-I$1030)^2,0)</f>
        <v>0</v>
      </c>
      <c r="AI856" s="35" t="n">
        <f aca="false">IF(AE856=1,(AA856-J$1030)^2,0)</f>
        <v>0</v>
      </c>
      <c r="AJ856" s="37" t="n">
        <f aca="true">IF(RAND()&lt;$D$6,1,0)</f>
        <v>0</v>
      </c>
      <c r="AK856" s="14" t="n">
        <f aca="false">AK855+IF((AJ856=1),IF((H856=0),1,0),0)</f>
        <v>0</v>
      </c>
      <c r="AL856" s="14" t="n">
        <f aca="false">AL855+IF((AJ856=1),IF((H856=1),1,0),0)</f>
        <v>0</v>
      </c>
      <c r="AM856" s="37" t="n">
        <f aca="false">IF(AK856=0,9999,IF($H856=0,IF($AJ856&lt;1,AM855+1,0),AM855))</f>
        <v>9999</v>
      </c>
      <c r="AN856" s="37" t="n">
        <f aca="false">IF(AL856=0,9999,IF($H856=1,IF($AJ856&lt;1,AN855+1,0),AN855))</f>
        <v>9999</v>
      </c>
      <c r="AO856" s="37" t="n">
        <f aca="false">IF($A856-AM856&gt;0,1/(1+AM856),0)</f>
        <v>0</v>
      </c>
      <c r="AP856" s="37" t="n">
        <f aca="false">IF($A856-AN856&gt;0,1/(1+AN856),0)</f>
        <v>0</v>
      </c>
      <c r="AQ856" s="7" t="n">
        <f aca="false">IF(AK856=0,0,MAX(MIN(1,AO856^Power),0))</f>
        <v>0</v>
      </c>
      <c r="AR856" s="7" t="n">
        <f aca="false">IF(AL856=0,0,MAX(MIN(1,AP856^Power),0))</f>
        <v>0</v>
      </c>
      <c r="AS856" s="7" t="n">
        <f aca="false">IF($AJ856=1,IF($H856=0,K856,AS855),AS855)</f>
        <v>0</v>
      </c>
      <c r="AT856" s="7" t="n">
        <f aca="false">IF($AJ856=1,IF($H856=1,N856,AT855),AT855)</f>
        <v>0</v>
      </c>
    </row>
    <row r="857" customFormat="false" ht="13" hidden="false" customHeight="false" outlineLevel="0" collapsed="false">
      <c r="A857" s="16" t="n">
        <v>840</v>
      </c>
      <c r="B857" s="37" t="n">
        <f aca="true">IF(RAND()&lt;$D$8,1,0)</f>
        <v>1</v>
      </c>
      <c r="C857" s="20" t="n">
        <f aca="true">-LN(RAND())/$D$2</f>
        <v>0.451312670531265</v>
      </c>
      <c r="D857" s="38" t="n">
        <f aca="false">D856+C857</f>
        <v>886.17167410033</v>
      </c>
      <c r="E857" s="39" t="n">
        <f aca="false">MAX($E$3,AS856)</f>
        <v>0</v>
      </c>
      <c r="F857" s="39" t="n">
        <f aca="false">MAX($E$3,AT856)</f>
        <v>0</v>
      </c>
      <c r="G857" s="40" t="n">
        <v>0.5</v>
      </c>
      <c r="H857" s="38" t="n">
        <f aca="true">IF((B857=1),(IF((F857&lt;E857),1,(IF((F857=E857),(IF(RAND()&lt;G857,1,0)),0)))),(IF((RAND()&lt;G857),1,0)))</f>
        <v>0</v>
      </c>
      <c r="I857" s="38" t="n">
        <f aca="true">IF((H857=1),0,$D$3+$D$5*(RAND()-0.5))</f>
        <v>2.06140263168739</v>
      </c>
      <c r="J857" s="38" t="n">
        <f aca="false">I857+MAX(D857,J856)</f>
        <v>899.072199359681</v>
      </c>
      <c r="K857" s="38" t="n">
        <f aca="false">IF((H857=0),J857-D857,0)</f>
        <v>12.900525259351</v>
      </c>
      <c r="L857" s="38" t="n">
        <f aca="true">IF(($H857=0),0,$D$4+$D$5*(RAND()-0.5))</f>
        <v>0</v>
      </c>
      <c r="M857" s="38" t="n">
        <f aca="false">L857+MAX(D857,M856)</f>
        <v>916.121151277389</v>
      </c>
      <c r="N857" s="38" t="n">
        <f aca="false">IF((H857=1),M857-D857,0)</f>
        <v>0</v>
      </c>
      <c r="O857" s="16" t="n">
        <v>840</v>
      </c>
      <c r="P857" s="41" t="n">
        <f aca="false">IF((Arterial=0),P856+1,P856)</f>
        <v>396</v>
      </c>
      <c r="Q857" s="41" t="n">
        <f aca="false">IF((Arterial=1),Q856+1,Q856)</f>
        <v>444</v>
      </c>
      <c r="R857" s="42" t="e">
        <f aca="false">IF((RESET=1),0,R857+K857)</f>
        <v>#N/A</v>
      </c>
      <c r="S857" s="14" t="n">
        <f aca="false">IF(RESET=1,0,S857+N857)</f>
        <v>774.734509067648</v>
      </c>
      <c r="T857" s="2" t="e">
        <f aca="false">IF(RESET=1,0,T857+IF(H857=0,1,0))</f>
        <v>#N/A</v>
      </c>
      <c r="U857" s="2" t="n">
        <f aca="false">IF(RESET=1,0,U857+H857)</f>
        <v>43</v>
      </c>
      <c r="V857" s="14" t="e">
        <f aca="false">R857/(T857+0.00001)</f>
        <v>#N/A</v>
      </c>
      <c r="W857" s="14" t="n">
        <f aca="false">S857/(U857+0.0001)</f>
        <v>18.017039706132</v>
      </c>
      <c r="X857" s="39" t="n">
        <f aca="false">IF(Informed=1,K857,0)</f>
        <v>12.900525259351</v>
      </c>
      <c r="Y857" s="39" t="n">
        <f aca="false">IF(Informed=0,K857,0)</f>
        <v>0</v>
      </c>
      <c r="Z857" s="39" t="n">
        <f aca="false">IF(Informed=1,N857,0)</f>
        <v>0</v>
      </c>
      <c r="AA857" s="39" t="n">
        <f aca="false">IF(Informed=0,N857,0)</f>
        <v>0</v>
      </c>
      <c r="AB857" s="43" t="n">
        <f aca="false">IF(Arterial=0,IF(Informed=1,1,0),0)</f>
        <v>1</v>
      </c>
      <c r="AC857" s="43" t="n">
        <f aca="false">IF(Arterial=0,IF(Informed=0,1,0),0)</f>
        <v>0</v>
      </c>
      <c r="AD857" s="43" t="n">
        <f aca="false">IF(Arterial=1,IF(Informed=1,1,0),0)</f>
        <v>0</v>
      </c>
      <c r="AE857" s="43" t="n">
        <f aca="false">IF(Arterial=1,IF(Informed=0,1,0),0)</f>
        <v>0</v>
      </c>
      <c r="AF857" s="35" t="n">
        <f aca="false">IF(AB857=1,(X857-G$1030)^2,0)</f>
        <v>4.7998106544073</v>
      </c>
      <c r="AG857" s="35" t="n">
        <f aca="false">IF(AC857=1,(Y857-H$1030)^2,0)</f>
        <v>0</v>
      </c>
      <c r="AH857" s="35" t="n">
        <f aca="false">IF(AD857=1,(Z857-I$1030)^2,0)</f>
        <v>0</v>
      </c>
      <c r="AI857" s="35" t="n">
        <f aca="false">IF(AE857=1,(AA857-J$1030)^2,0)</f>
        <v>0</v>
      </c>
      <c r="AJ857" s="37" t="n">
        <f aca="true">IF(RAND()&lt;$D$6,1,0)</f>
        <v>0</v>
      </c>
      <c r="AK857" s="14" t="n">
        <f aca="false">AK856+IF((AJ857=1),IF((H857=0),1,0),0)</f>
        <v>0</v>
      </c>
      <c r="AL857" s="14" t="n">
        <f aca="false">AL856+IF((AJ857=1),IF((H857=1),1,0),0)</f>
        <v>0</v>
      </c>
      <c r="AM857" s="37" t="n">
        <f aca="false">IF(AK857=0,9999,IF($H857=0,IF($AJ857&lt;1,AM856+1,0),AM856))</f>
        <v>9999</v>
      </c>
      <c r="AN857" s="37" t="n">
        <f aca="false">IF(AL857=0,9999,IF($H857=1,IF($AJ857&lt;1,AN856+1,0),AN856))</f>
        <v>9999</v>
      </c>
      <c r="AO857" s="37" t="n">
        <f aca="false">IF($A857-AM857&gt;0,1/(1+AM857),0)</f>
        <v>0</v>
      </c>
      <c r="AP857" s="37" t="n">
        <f aca="false">IF($A857-AN857&gt;0,1/(1+AN857),0)</f>
        <v>0</v>
      </c>
      <c r="AQ857" s="7" t="n">
        <f aca="false">IF(AK857=0,0,MAX(MIN(1,AO857^Power),0))</f>
        <v>0</v>
      </c>
      <c r="AR857" s="7" t="n">
        <f aca="false">IF(AL857=0,0,MAX(MIN(1,AP857^Power),0))</f>
        <v>0</v>
      </c>
      <c r="AS857" s="7" t="n">
        <f aca="false">IF($AJ857=1,IF($H857=0,K857,AS856),AS856)</f>
        <v>0</v>
      </c>
      <c r="AT857" s="7" t="n">
        <f aca="false">IF($AJ857=1,IF($H857=1,N857,AT856),AT856)</f>
        <v>0</v>
      </c>
    </row>
    <row r="858" customFormat="false" ht="13" hidden="false" customHeight="false" outlineLevel="0" collapsed="false">
      <c r="A858" s="16" t="n">
        <v>841</v>
      </c>
      <c r="B858" s="37" t="n">
        <f aca="true">IF(RAND()&lt;$D$8,1,0)</f>
        <v>1</v>
      </c>
      <c r="C858" s="20" t="n">
        <f aca="true">-LN(RAND())/$D$2</f>
        <v>0.80781186761927</v>
      </c>
      <c r="D858" s="38" t="n">
        <f aca="false">D857+C858</f>
        <v>886.979485967949</v>
      </c>
      <c r="E858" s="39" t="n">
        <f aca="false">MAX($E$3,AS857)</f>
        <v>0</v>
      </c>
      <c r="F858" s="39" t="n">
        <f aca="false">MAX($E$3,AT857)</f>
        <v>0</v>
      </c>
      <c r="G858" s="40" t="n">
        <v>0.5</v>
      </c>
      <c r="H858" s="38" t="n">
        <f aca="true">IF((B858=1),(IF((F858&lt;E858),1,(IF((F858=E858),(IF(RAND()&lt;G858,1,0)),0)))),(IF((RAND()&lt;G858),1,0)))</f>
        <v>1</v>
      </c>
      <c r="I858" s="38" t="n">
        <f aca="true">IF((H858=1),0,$D$3+$D$5*(RAND()-0.5))</f>
        <v>0</v>
      </c>
      <c r="J858" s="38" t="n">
        <f aca="false">I858+MAX(D858,J857)</f>
        <v>899.072199359681</v>
      </c>
      <c r="K858" s="38" t="n">
        <f aca="false">IF((H858=0),J858-D858,0)</f>
        <v>0</v>
      </c>
      <c r="L858" s="38" t="n">
        <f aca="true">IF(($H858=0),0,$D$4+$D$5*(RAND()-0.5))</f>
        <v>2.20421350389782</v>
      </c>
      <c r="M858" s="38" t="n">
        <f aca="false">L858+MAX(D858,M857)</f>
        <v>918.325364781287</v>
      </c>
      <c r="N858" s="38" t="n">
        <f aca="false">IF((H858=1),M858-D858,0)</f>
        <v>31.3458788133371</v>
      </c>
      <c r="O858" s="16" t="n">
        <v>841</v>
      </c>
      <c r="P858" s="41" t="n">
        <f aca="false">IF((Arterial=0),P857+1,P857)</f>
        <v>396</v>
      </c>
      <c r="Q858" s="41" t="n">
        <f aca="false">IF((Arterial=1),Q857+1,Q857)</f>
        <v>445</v>
      </c>
      <c r="R858" s="42" t="n">
        <f aca="false">IF((RESET=1),0,R858+K858)</f>
        <v>772.583613656231</v>
      </c>
      <c r="S858" s="14" t="e">
        <f aca="false">IF(RESET=1,0,S858+N858)</f>
        <v>#N/A</v>
      </c>
      <c r="T858" s="2" t="n">
        <f aca="false">IF(RESET=1,0,T858+IF(H858=0,1,0))</f>
        <v>37</v>
      </c>
      <c r="U858" s="2" t="e">
        <f aca="false">IF(RESET=1,0,U858+H858)</f>
        <v>#N/A</v>
      </c>
      <c r="V858" s="14" t="n">
        <f aca="false">R858/(T858+0.00001)</f>
        <v>20.8806325635109</v>
      </c>
      <c r="W858" s="14" t="e">
        <f aca="false">S858/(U858+0.0001)</f>
        <v>#N/A</v>
      </c>
      <c r="X858" s="39" t="n">
        <f aca="false">IF(Informed=1,K858,0)</f>
        <v>0</v>
      </c>
      <c r="Y858" s="39" t="n">
        <f aca="false">IF(Informed=0,K858,0)</f>
        <v>0</v>
      </c>
      <c r="Z858" s="39" t="n">
        <f aca="false">IF(Informed=1,N858,0)</f>
        <v>31.3458788133371</v>
      </c>
      <c r="AA858" s="39" t="n">
        <f aca="false">IF(Informed=0,N858,0)</f>
        <v>0</v>
      </c>
      <c r="AB858" s="43" t="n">
        <f aca="false">IF(Arterial=0,IF(Informed=1,1,0),0)</f>
        <v>0</v>
      </c>
      <c r="AC858" s="43" t="n">
        <f aca="false">IF(Arterial=0,IF(Informed=0,1,0),0)</f>
        <v>0</v>
      </c>
      <c r="AD858" s="43" t="n">
        <f aca="false">IF(Arterial=1,IF(Informed=1,1,0),0)</f>
        <v>1</v>
      </c>
      <c r="AE858" s="43" t="n">
        <f aca="false">IF(Arterial=1,IF(Informed=0,1,0),0)</f>
        <v>0</v>
      </c>
      <c r="AF858" s="35" t="n">
        <f aca="false">IF(AB858=1,(X858-G$1030)^2,0)</f>
        <v>0</v>
      </c>
      <c r="AG858" s="35" t="n">
        <f aca="false">IF(AC858=1,(Y858-H$1030)^2,0)</f>
        <v>0</v>
      </c>
      <c r="AH858" s="35" t="n">
        <f aca="false">IF(AD858=1,(Z858-I$1030)^2,0)</f>
        <v>8.82710256937826</v>
      </c>
      <c r="AI858" s="35" t="n">
        <f aca="false">IF(AE858=1,(AA858-J$1030)^2,0)</f>
        <v>0</v>
      </c>
      <c r="AJ858" s="37" t="n">
        <f aca="true">IF(RAND()&lt;$D$6,1,0)</f>
        <v>0</v>
      </c>
      <c r="AK858" s="14" t="n">
        <f aca="false">AK857+IF((AJ858=1),IF((H858=0),1,0),0)</f>
        <v>0</v>
      </c>
      <c r="AL858" s="14" t="n">
        <f aca="false">AL857+IF((AJ858=1),IF((H858=1),1,0),0)</f>
        <v>0</v>
      </c>
      <c r="AM858" s="37" t="n">
        <f aca="false">IF(AK858=0,9999,IF($H858=0,IF($AJ858&lt;1,AM857+1,0),AM857))</f>
        <v>9999</v>
      </c>
      <c r="AN858" s="37" t="n">
        <f aca="false">IF(AL858=0,9999,IF($H858=1,IF($AJ858&lt;1,AN857+1,0),AN857))</f>
        <v>9999</v>
      </c>
      <c r="AO858" s="37" t="n">
        <f aca="false">IF($A858-AM858&gt;0,1/(1+AM858),0)</f>
        <v>0</v>
      </c>
      <c r="AP858" s="37" t="n">
        <f aca="false">IF($A858-AN858&gt;0,1/(1+AN858),0)</f>
        <v>0</v>
      </c>
      <c r="AQ858" s="7" t="n">
        <f aca="false">IF(AK858=0,0,MAX(MIN(1,AO858^Power),0))</f>
        <v>0</v>
      </c>
      <c r="AR858" s="7" t="n">
        <f aca="false">IF(AL858=0,0,MAX(MIN(1,AP858^Power),0))</f>
        <v>0</v>
      </c>
      <c r="AS858" s="7" t="n">
        <f aca="false">IF($AJ858=1,IF($H858=0,K858,AS857),AS857)</f>
        <v>0</v>
      </c>
      <c r="AT858" s="7" t="n">
        <f aca="false">IF($AJ858=1,IF($H858=1,N858,AT857),AT857)</f>
        <v>0</v>
      </c>
    </row>
    <row r="859" customFormat="false" ht="13" hidden="false" customHeight="false" outlineLevel="0" collapsed="false">
      <c r="A859" s="16" t="n">
        <v>842</v>
      </c>
      <c r="B859" s="37" t="n">
        <f aca="true">IF(RAND()&lt;$D$8,1,0)</f>
        <v>1</v>
      </c>
      <c r="C859" s="20" t="n">
        <f aca="true">-LN(RAND())/$D$2</f>
        <v>0.259333007855503</v>
      </c>
      <c r="D859" s="38" t="n">
        <f aca="false">D858+C859</f>
        <v>887.238818975805</v>
      </c>
      <c r="E859" s="39" t="n">
        <f aca="false">MAX($E$3,AS858)</f>
        <v>0</v>
      </c>
      <c r="F859" s="39" t="n">
        <f aca="false">MAX($E$3,AT858)</f>
        <v>0</v>
      </c>
      <c r="G859" s="40" t="n">
        <v>0.5</v>
      </c>
      <c r="H859" s="38" t="n">
        <f aca="true">IF((B859=1),(IF((F859&lt;E859),1,(IF((F859=E859),(IF(RAND()&lt;G859,1,0)),0)))),(IF((RAND()&lt;G859),1,0)))</f>
        <v>1</v>
      </c>
      <c r="I859" s="38" t="n">
        <f aca="true">IF((H859=1),0,$D$3+$D$5*(RAND()-0.5))</f>
        <v>0</v>
      </c>
      <c r="J859" s="38" t="n">
        <f aca="false">I859+MAX(D859,J858)</f>
        <v>899.072199359681</v>
      </c>
      <c r="K859" s="38" t="n">
        <f aca="false">IF((H859=0),J859-D859,0)</f>
        <v>0</v>
      </c>
      <c r="L859" s="38" t="n">
        <f aca="true">IF(($H859=0),0,$D$4+$D$5*(RAND()-0.5))</f>
        <v>2.24230169511334</v>
      </c>
      <c r="M859" s="38" t="n">
        <f aca="false">L859+MAX(D859,M858)</f>
        <v>920.5676664764</v>
      </c>
      <c r="N859" s="38" t="n">
        <f aca="false">IF((H859=1),M859-D859,0)</f>
        <v>33.328847500595</v>
      </c>
      <c r="O859" s="16" t="n">
        <v>842</v>
      </c>
      <c r="P859" s="41" t="n">
        <f aca="false">IF((Arterial=0),P858+1,P858)</f>
        <v>396</v>
      </c>
      <c r="Q859" s="41" t="n">
        <f aca="false">IF((Arterial=1),Q858+1,Q858)</f>
        <v>446</v>
      </c>
      <c r="R859" s="42" t="n">
        <f aca="false">IF((RESET=1),0,R859+K859)</f>
        <v>985.06934074274</v>
      </c>
      <c r="S859" s="14" t="e">
        <f aca="false">IF(RESET=1,0,S859+N859)</f>
        <v>#N/A</v>
      </c>
      <c r="T859" s="2" t="n">
        <f aca="false">IF(RESET=1,0,T859+IF(H859=0,1,0))</f>
        <v>40</v>
      </c>
      <c r="U859" s="2" t="e">
        <f aca="false">IF(RESET=1,0,U859+H859)</f>
        <v>#N/A</v>
      </c>
      <c r="V859" s="14" t="n">
        <f aca="false">R859/(T859+0.00001)</f>
        <v>24.6267273618867</v>
      </c>
      <c r="W859" s="14" t="e">
        <f aca="false">S859/(U859+0.0001)</f>
        <v>#N/A</v>
      </c>
      <c r="X859" s="39" t="n">
        <f aca="false">IF(Informed=1,K859,0)</f>
        <v>0</v>
      </c>
      <c r="Y859" s="39" t="n">
        <f aca="false">IF(Informed=0,K859,0)</f>
        <v>0</v>
      </c>
      <c r="Z859" s="39" t="n">
        <f aca="false">IF(Informed=1,N859,0)</f>
        <v>33.328847500595</v>
      </c>
      <c r="AA859" s="39" t="n">
        <f aca="false">IF(Informed=0,N859,0)</f>
        <v>0</v>
      </c>
      <c r="AB859" s="43" t="n">
        <f aca="false">IF(Arterial=0,IF(Informed=1,1,0),0)</f>
        <v>0</v>
      </c>
      <c r="AC859" s="43" t="n">
        <f aca="false">IF(Arterial=0,IF(Informed=0,1,0),0)</f>
        <v>0</v>
      </c>
      <c r="AD859" s="43" t="n">
        <f aca="false">IF(Arterial=1,IF(Informed=1,1,0),0)</f>
        <v>1</v>
      </c>
      <c r="AE859" s="43" t="n">
        <f aca="false">IF(Arterial=1,IF(Informed=0,1,0),0)</f>
        <v>0</v>
      </c>
      <c r="AF859" s="35" t="n">
        <f aca="false">IF(AB859=1,(X859-G$1030)^2,0)</f>
        <v>0</v>
      </c>
      <c r="AG859" s="35" t="n">
        <f aca="false">IF(AC859=1,(Y859-H$1030)^2,0)</f>
        <v>0</v>
      </c>
      <c r="AH859" s="35" t="n">
        <f aca="false">IF(AD859=1,(Z859-I$1030)^2,0)</f>
        <v>24.5422419046738</v>
      </c>
      <c r="AI859" s="35" t="n">
        <f aca="false">IF(AE859=1,(AA859-J$1030)^2,0)</f>
        <v>0</v>
      </c>
      <c r="AJ859" s="37" t="n">
        <f aca="true">IF(RAND()&lt;$D$6,1,0)</f>
        <v>0</v>
      </c>
      <c r="AK859" s="14" t="n">
        <f aca="false">AK858+IF((AJ859=1),IF((H859=0),1,0),0)</f>
        <v>0</v>
      </c>
      <c r="AL859" s="14" t="n">
        <f aca="false">AL858+IF((AJ859=1),IF((H859=1),1,0),0)</f>
        <v>0</v>
      </c>
      <c r="AM859" s="37" t="n">
        <f aca="false">IF(AK859=0,9999,IF($H859=0,IF($AJ859&lt;1,AM858+1,0),AM858))</f>
        <v>9999</v>
      </c>
      <c r="AN859" s="37" t="n">
        <f aca="false">IF(AL859=0,9999,IF($H859=1,IF($AJ859&lt;1,AN858+1,0),AN858))</f>
        <v>9999</v>
      </c>
      <c r="AO859" s="37" t="n">
        <f aca="false">IF($A859-AM859&gt;0,1/(1+AM859),0)</f>
        <v>0</v>
      </c>
      <c r="AP859" s="37" t="n">
        <f aca="false">IF($A859-AN859&gt;0,1/(1+AN859),0)</f>
        <v>0</v>
      </c>
      <c r="AQ859" s="7" t="n">
        <f aca="false">IF(AK859=0,0,MAX(MIN(1,AO859^Power),0))</f>
        <v>0</v>
      </c>
      <c r="AR859" s="7" t="n">
        <f aca="false">IF(AL859=0,0,MAX(MIN(1,AP859^Power),0))</f>
        <v>0</v>
      </c>
      <c r="AS859" s="7" t="n">
        <f aca="false">IF($AJ859=1,IF($H859=0,K859,AS858),AS858)</f>
        <v>0</v>
      </c>
      <c r="AT859" s="7" t="n">
        <f aca="false">IF($AJ859=1,IF($H859=1,N859,AT858),AT858)</f>
        <v>0</v>
      </c>
    </row>
    <row r="860" customFormat="false" ht="13" hidden="false" customHeight="false" outlineLevel="0" collapsed="false">
      <c r="A860" s="16" t="n">
        <v>843</v>
      </c>
      <c r="B860" s="37" t="n">
        <f aca="true">IF(RAND()&lt;$D$8,1,0)</f>
        <v>0</v>
      </c>
      <c r="C860" s="20" t="n">
        <f aca="true">-LN(RAND())/$D$2</f>
        <v>1.37519693362864</v>
      </c>
      <c r="D860" s="38" t="n">
        <f aca="false">D859+C860</f>
        <v>888.614015909434</v>
      </c>
      <c r="E860" s="39" t="n">
        <f aca="false">MAX($E$3,AS859)</f>
        <v>0</v>
      </c>
      <c r="F860" s="39" t="n">
        <f aca="false">MAX($E$3,AT859)</f>
        <v>0</v>
      </c>
      <c r="G860" s="40" t="n">
        <v>0.5</v>
      </c>
      <c r="H860" s="38" t="n">
        <f aca="true">IF((B860=1),(IF((F860&lt;E860),1,(IF((F860=E860),(IF(RAND()&lt;G860,1,0)),0)))),(IF((RAND()&lt;G860),1,0)))</f>
        <v>1</v>
      </c>
      <c r="I860" s="38" t="n">
        <f aca="true">IF((H860=1),0,$D$3+$D$5*(RAND()-0.5))</f>
        <v>0</v>
      </c>
      <c r="J860" s="38" t="n">
        <f aca="false">I860+MAX(D860,J859)</f>
        <v>899.072199359681</v>
      </c>
      <c r="K860" s="38" t="n">
        <f aca="false">IF((H860=0),J860-D860,0)</f>
        <v>0</v>
      </c>
      <c r="L860" s="38" t="n">
        <f aca="true">IF(($H860=0),0,$D$4+$D$5*(RAND()-0.5))</f>
        <v>2.13401473814906</v>
      </c>
      <c r="M860" s="38" t="n">
        <f aca="false">L860+MAX(D860,M859)</f>
        <v>922.701681214549</v>
      </c>
      <c r="N860" s="38" t="n">
        <f aca="false">IF((H860=1),M860-D860,0)</f>
        <v>34.0876653051154</v>
      </c>
      <c r="O860" s="16" t="n">
        <v>843</v>
      </c>
      <c r="P860" s="41" t="n">
        <f aca="false">IF((Arterial=0),P859+1,P859)</f>
        <v>396</v>
      </c>
      <c r="Q860" s="41" t="n">
        <f aca="false">IF((Arterial=1),Q859+1,Q859)</f>
        <v>447</v>
      </c>
      <c r="R860" s="42" t="n">
        <f aca="false">IF((RESET=1),0,R860+K860)</f>
        <v>824.397842747808</v>
      </c>
      <c r="S860" s="14" t="e">
        <f aca="false">IF(RESET=1,0,S860+N860)</f>
        <v>#N/A</v>
      </c>
      <c r="T860" s="2" t="n">
        <f aca="false">IF(RESET=1,0,T860+IF(H860=0,1,0))</f>
        <v>38</v>
      </c>
      <c r="U860" s="2" t="e">
        <f aca="false">IF(RESET=1,0,U860+H860)</f>
        <v>#N/A</v>
      </c>
      <c r="V860" s="14" t="n">
        <f aca="false">R860/(T860+0.00001)</f>
        <v>21.6946743631859</v>
      </c>
      <c r="W860" s="14" t="e">
        <f aca="false">S860/(U860+0.0001)</f>
        <v>#N/A</v>
      </c>
      <c r="X860" s="39" t="n">
        <f aca="false">IF(Informed=1,K860,0)</f>
        <v>0</v>
      </c>
      <c r="Y860" s="39" t="n">
        <f aca="false">IF(Informed=0,K860,0)</f>
        <v>0</v>
      </c>
      <c r="Z860" s="39" t="n">
        <f aca="false">IF(Informed=1,N860,0)</f>
        <v>0</v>
      </c>
      <c r="AA860" s="39" t="n">
        <f aca="false">IF(Informed=0,N860,0)</f>
        <v>34.0876653051154</v>
      </c>
      <c r="AB860" s="43" t="n">
        <f aca="false">IF(Arterial=0,IF(Informed=1,1,0),0)</f>
        <v>0</v>
      </c>
      <c r="AC860" s="43" t="n">
        <f aca="false">IF(Arterial=0,IF(Informed=0,1,0),0)</f>
        <v>0</v>
      </c>
      <c r="AD860" s="43" t="n">
        <f aca="false">IF(Arterial=1,IF(Informed=1,1,0),0)</f>
        <v>0</v>
      </c>
      <c r="AE860" s="43" t="n">
        <f aca="false">IF(Arterial=1,IF(Informed=0,1,0),0)</f>
        <v>1</v>
      </c>
      <c r="AF860" s="35" t="n">
        <f aca="false">IF(AB860=1,(X860-G$1030)^2,0)</f>
        <v>0</v>
      </c>
      <c r="AG860" s="35" t="n">
        <f aca="false">IF(AC860=1,(Y860-H$1030)^2,0)</f>
        <v>0</v>
      </c>
      <c r="AH860" s="35" t="n">
        <f aca="false">IF(AD860=1,(Z860-I$1030)^2,0)</f>
        <v>0</v>
      </c>
      <c r="AI860" s="35" t="n">
        <f aca="false">IF(AE860=1,(AA860-J$1030)^2,0)</f>
        <v>20.4610599409292</v>
      </c>
      <c r="AJ860" s="37" t="n">
        <f aca="true">IF(RAND()&lt;$D$6,1,0)</f>
        <v>0</v>
      </c>
      <c r="AK860" s="14" t="n">
        <f aca="false">AK859+IF((AJ860=1),IF((H860=0),1,0),0)</f>
        <v>0</v>
      </c>
      <c r="AL860" s="14" t="n">
        <f aca="false">AL859+IF((AJ860=1),IF((H860=1),1,0),0)</f>
        <v>0</v>
      </c>
      <c r="AM860" s="37" t="n">
        <f aca="false">IF(AK860=0,9999,IF($H860=0,IF($AJ860&lt;1,AM859+1,0),AM859))</f>
        <v>9999</v>
      </c>
      <c r="AN860" s="37" t="n">
        <f aca="false">IF(AL860=0,9999,IF($H860=1,IF($AJ860&lt;1,AN859+1,0),AN859))</f>
        <v>9999</v>
      </c>
      <c r="AO860" s="37" t="n">
        <f aca="false">IF($A860-AM860&gt;0,1/(1+AM860),0)</f>
        <v>0</v>
      </c>
      <c r="AP860" s="37" t="n">
        <f aca="false">IF($A860-AN860&gt;0,1/(1+AN860),0)</f>
        <v>0</v>
      </c>
      <c r="AQ860" s="7" t="n">
        <f aca="false">IF(AK860=0,0,MAX(MIN(1,AO860^Power),0))</f>
        <v>0</v>
      </c>
      <c r="AR860" s="7" t="n">
        <f aca="false">IF(AL860=0,0,MAX(MIN(1,AP860^Power),0))</f>
        <v>0</v>
      </c>
      <c r="AS860" s="7" t="n">
        <f aca="false">IF($AJ860=1,IF($H860=0,K860,AS859),AS859)</f>
        <v>0</v>
      </c>
      <c r="AT860" s="7" t="n">
        <f aca="false">IF($AJ860=1,IF($H860=1,N860,AT859),AT859)</f>
        <v>0</v>
      </c>
    </row>
    <row r="861" customFormat="false" ht="13" hidden="false" customHeight="false" outlineLevel="0" collapsed="false">
      <c r="A861" s="16" t="n">
        <v>844</v>
      </c>
      <c r="B861" s="37" t="n">
        <f aca="true">IF(RAND()&lt;$D$8,1,0)</f>
        <v>1</v>
      </c>
      <c r="C861" s="20" t="n">
        <f aca="true">-LN(RAND())/$D$2</f>
        <v>0.705671550522966</v>
      </c>
      <c r="D861" s="38" t="n">
        <f aca="false">D860+C861</f>
        <v>889.319687459957</v>
      </c>
      <c r="E861" s="39" t="n">
        <f aca="false">MAX($E$3,AS860)</f>
        <v>0</v>
      </c>
      <c r="F861" s="39" t="n">
        <f aca="false">MAX($E$3,AT860)</f>
        <v>0</v>
      </c>
      <c r="G861" s="40" t="n">
        <v>0.5</v>
      </c>
      <c r="H861" s="38" t="n">
        <f aca="true">IF((B861=1),(IF((F861&lt;E861),1,(IF((F861=E861),(IF(RAND()&lt;G861,1,0)),0)))),(IF((RAND()&lt;G861),1,0)))</f>
        <v>0</v>
      </c>
      <c r="I861" s="38" t="n">
        <f aca="true">IF((H861=1),0,$D$3+$D$5*(RAND()-0.5))</f>
        <v>2.2223651538227</v>
      </c>
      <c r="J861" s="38" t="n">
        <f aca="false">I861+MAX(D861,J860)</f>
        <v>901.294564513504</v>
      </c>
      <c r="K861" s="38" t="n">
        <f aca="false">IF((H861=0),J861-D861,0)</f>
        <v>11.9748770535472</v>
      </c>
      <c r="L861" s="38" t="n">
        <f aca="true">IF(($H861=0),0,$D$4+$D$5*(RAND()-0.5))</f>
        <v>0</v>
      </c>
      <c r="M861" s="38" t="n">
        <f aca="false">L861+MAX(D861,M860)</f>
        <v>922.701681214549</v>
      </c>
      <c r="N861" s="38" t="n">
        <f aca="false">IF((H861=1),M861-D861,0)</f>
        <v>0</v>
      </c>
      <c r="O861" s="16" t="n">
        <v>844</v>
      </c>
      <c r="P861" s="41" t="n">
        <f aca="false">IF((Arterial=0),P860+1,P860)</f>
        <v>397</v>
      </c>
      <c r="Q861" s="41" t="n">
        <f aca="false">IF((Arterial=1),Q860+1,Q860)</f>
        <v>447</v>
      </c>
      <c r="R861" s="42" t="e">
        <f aca="false">IF((RESET=1),0,R861+K861)</f>
        <v>#N/A</v>
      </c>
      <c r="S861" s="14" t="n">
        <f aca="false">IF(RESET=1,0,S861+N861)</f>
        <v>565.848860466158</v>
      </c>
      <c r="T861" s="2" t="e">
        <f aca="false">IF(RESET=1,0,T861+IF(H861=0,1,0))</f>
        <v>#N/A</v>
      </c>
      <c r="U861" s="2" t="n">
        <f aca="false">IF(RESET=1,0,U861+H861)</f>
        <v>39</v>
      </c>
      <c r="V861" s="14" t="e">
        <f aca="false">R861/(T861+0.00001)</f>
        <v>#N/A</v>
      </c>
      <c r="W861" s="14" t="n">
        <f aca="false">S861/(U861+0.0001)</f>
        <v>14.5089079378298</v>
      </c>
      <c r="X861" s="39" t="n">
        <f aca="false">IF(Informed=1,K861,0)</f>
        <v>11.9748770535472</v>
      </c>
      <c r="Y861" s="39" t="n">
        <f aca="false">IF(Informed=0,K861,0)</f>
        <v>0</v>
      </c>
      <c r="Z861" s="39" t="n">
        <f aca="false">IF(Informed=1,N861,0)</f>
        <v>0</v>
      </c>
      <c r="AA861" s="39" t="n">
        <f aca="false">IF(Informed=0,N861,0)</f>
        <v>0</v>
      </c>
      <c r="AB861" s="43" t="n">
        <f aca="false">IF(Arterial=0,IF(Informed=1,1,0),0)</f>
        <v>1</v>
      </c>
      <c r="AC861" s="43" t="n">
        <f aca="false">IF(Arterial=0,IF(Informed=0,1,0),0)</f>
        <v>0</v>
      </c>
      <c r="AD861" s="43" t="n">
        <f aca="false">IF(Arterial=1,IF(Informed=1,1,0),0)</f>
        <v>0</v>
      </c>
      <c r="AE861" s="43" t="n">
        <f aca="false">IF(Arterial=1,IF(Informed=0,1,0),0)</f>
        <v>0</v>
      </c>
      <c r="AF861" s="35" t="n">
        <f aca="false">IF(AB861=1,(X861-G$1030)^2,0)</f>
        <v>1.60072803330154</v>
      </c>
      <c r="AG861" s="35" t="n">
        <f aca="false">IF(AC861=1,(Y861-H$1030)^2,0)</f>
        <v>0</v>
      </c>
      <c r="AH861" s="35" t="n">
        <f aca="false">IF(AD861=1,(Z861-I$1030)^2,0)</f>
        <v>0</v>
      </c>
      <c r="AI861" s="35" t="n">
        <f aca="false">IF(AE861=1,(AA861-J$1030)^2,0)</f>
        <v>0</v>
      </c>
      <c r="AJ861" s="37" t="n">
        <f aca="true">IF(RAND()&lt;$D$6,1,0)</f>
        <v>0</v>
      </c>
      <c r="AK861" s="14" t="n">
        <f aca="false">AK860+IF((AJ861=1),IF((H861=0),1,0),0)</f>
        <v>0</v>
      </c>
      <c r="AL861" s="14" t="n">
        <f aca="false">AL860+IF((AJ861=1),IF((H861=1),1,0),0)</f>
        <v>0</v>
      </c>
      <c r="AM861" s="37" t="n">
        <f aca="false">IF(AK861=0,9999,IF($H861=0,IF($AJ861&lt;1,AM860+1,0),AM860))</f>
        <v>9999</v>
      </c>
      <c r="AN861" s="37" t="n">
        <f aca="false">IF(AL861=0,9999,IF($H861=1,IF($AJ861&lt;1,AN860+1,0),AN860))</f>
        <v>9999</v>
      </c>
      <c r="AO861" s="37" t="n">
        <f aca="false">IF($A861-AM861&gt;0,1/(1+AM861),0)</f>
        <v>0</v>
      </c>
      <c r="AP861" s="37" t="n">
        <f aca="false">IF($A861-AN861&gt;0,1/(1+AN861),0)</f>
        <v>0</v>
      </c>
      <c r="AQ861" s="7" t="n">
        <f aca="false">IF(AK861=0,0,MAX(MIN(1,AO861^Power),0))</f>
        <v>0</v>
      </c>
      <c r="AR861" s="7" t="n">
        <f aca="false">IF(AL861=0,0,MAX(MIN(1,AP861^Power),0))</f>
        <v>0</v>
      </c>
      <c r="AS861" s="7" t="n">
        <f aca="false">IF($AJ861=1,IF($H861=0,K861,AS860),AS860)</f>
        <v>0</v>
      </c>
      <c r="AT861" s="7" t="n">
        <f aca="false">IF($AJ861=1,IF($H861=1,N861,AT860),AT860)</f>
        <v>0</v>
      </c>
    </row>
    <row r="862" customFormat="false" ht="13" hidden="false" customHeight="false" outlineLevel="0" collapsed="false">
      <c r="A862" s="16" t="n">
        <v>845</v>
      </c>
      <c r="B862" s="37" t="n">
        <f aca="true">IF(RAND()&lt;$D$8,1,0)</f>
        <v>1</v>
      </c>
      <c r="C862" s="20" t="n">
        <f aca="true">-LN(RAND())/$D$2</f>
        <v>0.794841697628231</v>
      </c>
      <c r="D862" s="38" t="n">
        <f aca="false">D861+C862</f>
        <v>890.114529157585</v>
      </c>
      <c r="E862" s="39" t="n">
        <f aca="false">MAX($E$3,AS861)</f>
        <v>0</v>
      </c>
      <c r="F862" s="39" t="n">
        <f aca="false">MAX($E$3,AT861)</f>
        <v>0</v>
      </c>
      <c r="G862" s="40" t="n">
        <v>0.5</v>
      </c>
      <c r="H862" s="38" t="n">
        <f aca="true">IF((B862=1),(IF((F862&lt;E862),1,(IF((F862=E862),(IF(RAND()&lt;G862,1,0)),0)))),(IF((RAND()&lt;G862),1,0)))</f>
        <v>0</v>
      </c>
      <c r="I862" s="38" t="n">
        <f aca="true">IF((H862=1),0,$D$3+$D$5*(RAND()-0.5))</f>
        <v>2.04475333668885</v>
      </c>
      <c r="J862" s="38" t="n">
        <f aca="false">I862+MAX(D862,J861)</f>
        <v>903.339317850193</v>
      </c>
      <c r="K862" s="38" t="n">
        <f aca="false">IF((H862=0),J862-D862,0)</f>
        <v>13.2247886926077</v>
      </c>
      <c r="L862" s="38" t="n">
        <f aca="true">IF(($H862=0),0,$D$4+$D$5*(RAND()-0.5))</f>
        <v>0</v>
      </c>
      <c r="M862" s="38" t="n">
        <f aca="false">L862+MAX(D862,M861)</f>
        <v>922.701681214549</v>
      </c>
      <c r="N862" s="38" t="n">
        <f aca="false">IF((H862=1),M862-D862,0)</f>
        <v>0</v>
      </c>
      <c r="O862" s="16" t="n">
        <v>845</v>
      </c>
      <c r="P862" s="41" t="n">
        <f aca="false">IF((Arterial=0),P861+1,P861)</f>
        <v>398</v>
      </c>
      <c r="Q862" s="41" t="n">
        <f aca="false">IF((Arterial=1),Q861+1,Q861)</f>
        <v>447</v>
      </c>
      <c r="R862" s="42" t="e">
        <f aca="false">IF((RESET=1),0,R862+K862)</f>
        <v>#N/A</v>
      </c>
      <c r="S862" s="14" t="n">
        <f aca="false">IF(RESET=1,0,S862+N862)</f>
        <v>711.830027397573</v>
      </c>
      <c r="T862" s="2" t="e">
        <f aca="false">IF(RESET=1,0,T862+IF(H862=0,1,0))</f>
        <v>#N/A</v>
      </c>
      <c r="U862" s="2" t="n">
        <f aca="false">IF(RESET=1,0,U862+H862)</f>
        <v>41</v>
      </c>
      <c r="V862" s="14" t="e">
        <f aca="false">R862/(T862+0.00001)</f>
        <v>#N/A</v>
      </c>
      <c r="W862" s="14" t="n">
        <f aca="false">S862/(U862+0.0001)</f>
        <v>17.3616656397807</v>
      </c>
      <c r="X862" s="39" t="n">
        <f aca="false">IF(Informed=1,K862,0)</f>
        <v>13.2247886926077</v>
      </c>
      <c r="Y862" s="39" t="n">
        <f aca="false">IF(Informed=0,K862,0)</f>
        <v>0</v>
      </c>
      <c r="Z862" s="39" t="n">
        <f aca="false">IF(Informed=1,N862,0)</f>
        <v>0</v>
      </c>
      <c r="AA862" s="39" t="n">
        <f aca="false">IF(Informed=0,N862,0)</f>
        <v>0</v>
      </c>
      <c r="AB862" s="43" t="n">
        <f aca="false">IF(Arterial=0,IF(Informed=1,1,0),0)</f>
        <v>1</v>
      </c>
      <c r="AC862" s="43" t="n">
        <f aca="false">IF(Arterial=0,IF(Informed=0,1,0),0)</f>
        <v>0</v>
      </c>
      <c r="AD862" s="43" t="n">
        <f aca="false">IF(Arterial=1,IF(Informed=1,1,0),0)</f>
        <v>0</v>
      </c>
      <c r="AE862" s="43" t="n">
        <f aca="false">IF(Arterial=1,IF(Informed=0,1,0),0)</f>
        <v>0</v>
      </c>
      <c r="AF862" s="35" t="n">
        <f aca="false">IF(AB862=1,(X862-G$1030)^2,0)</f>
        <v>6.32578057987169</v>
      </c>
      <c r="AG862" s="35" t="n">
        <f aca="false">IF(AC862=1,(Y862-H$1030)^2,0)</f>
        <v>0</v>
      </c>
      <c r="AH862" s="35" t="n">
        <f aca="false">IF(AD862=1,(Z862-I$1030)^2,0)</f>
        <v>0</v>
      </c>
      <c r="AI862" s="35" t="n">
        <f aca="false">IF(AE862=1,(AA862-J$1030)^2,0)</f>
        <v>0</v>
      </c>
      <c r="AJ862" s="37" t="n">
        <f aca="true">IF(RAND()&lt;$D$6,1,0)</f>
        <v>0</v>
      </c>
      <c r="AK862" s="14" t="n">
        <f aca="false">AK861+IF((AJ862=1),IF((H862=0),1,0),0)</f>
        <v>0</v>
      </c>
      <c r="AL862" s="14" t="n">
        <f aca="false">AL861+IF((AJ862=1),IF((H862=1),1,0),0)</f>
        <v>0</v>
      </c>
      <c r="AM862" s="37" t="n">
        <f aca="false">IF(AK862=0,9999,IF($H862=0,IF($AJ862&lt;1,AM861+1,0),AM861))</f>
        <v>9999</v>
      </c>
      <c r="AN862" s="37" t="n">
        <f aca="false">IF(AL862=0,9999,IF($H862=1,IF($AJ862&lt;1,AN861+1,0),AN861))</f>
        <v>9999</v>
      </c>
      <c r="AO862" s="37" t="n">
        <f aca="false">IF($A862-AM862&gt;0,1/(1+AM862),0)</f>
        <v>0</v>
      </c>
      <c r="AP862" s="37" t="n">
        <f aca="false">IF($A862-AN862&gt;0,1/(1+AN862),0)</f>
        <v>0</v>
      </c>
      <c r="AQ862" s="7" t="n">
        <f aca="false">IF(AK862=0,0,MAX(MIN(1,AO862^Power),0))</f>
        <v>0</v>
      </c>
      <c r="AR862" s="7" t="n">
        <f aca="false">IF(AL862=0,0,MAX(MIN(1,AP862^Power),0))</f>
        <v>0</v>
      </c>
      <c r="AS862" s="7" t="n">
        <f aca="false">IF($AJ862=1,IF($H862=0,K862,AS861),AS861)</f>
        <v>0</v>
      </c>
      <c r="AT862" s="7" t="n">
        <f aca="false">IF($AJ862=1,IF($H862=1,N862,AT861),AT861)</f>
        <v>0</v>
      </c>
    </row>
    <row r="863" customFormat="false" ht="13" hidden="false" customHeight="false" outlineLevel="0" collapsed="false">
      <c r="A863" s="16" t="n">
        <v>846</v>
      </c>
      <c r="B863" s="37" t="n">
        <f aca="true">IF(RAND()&lt;$D$8,1,0)</f>
        <v>1</v>
      </c>
      <c r="C863" s="20" t="n">
        <f aca="true">-LN(RAND())/$D$2</f>
        <v>1.28634271911421</v>
      </c>
      <c r="D863" s="38" t="n">
        <f aca="false">D862+C863</f>
        <v>891.400871876699</v>
      </c>
      <c r="E863" s="39" t="n">
        <f aca="false">MAX($E$3,AS862)</f>
        <v>0</v>
      </c>
      <c r="F863" s="39" t="n">
        <f aca="false">MAX($E$3,AT862)</f>
        <v>0</v>
      </c>
      <c r="G863" s="40" t="n">
        <v>0.5</v>
      </c>
      <c r="H863" s="38" t="n">
        <f aca="true">IF((B863=1),(IF((F863&lt;E863),1,(IF((F863=E863),(IF(RAND()&lt;G863,1,0)),0)))),(IF((RAND()&lt;G863),1,0)))</f>
        <v>0</v>
      </c>
      <c r="I863" s="38" t="n">
        <f aca="true">IF((H863=1),0,$D$3+$D$5*(RAND()-0.5))</f>
        <v>1.86061352555426</v>
      </c>
      <c r="J863" s="38" t="n">
        <f aca="false">I863+MAX(D863,J862)</f>
        <v>905.199931375747</v>
      </c>
      <c r="K863" s="38" t="n">
        <f aca="false">IF((H863=0),J863-D863,0)</f>
        <v>13.7990594990478</v>
      </c>
      <c r="L863" s="38" t="n">
        <f aca="true">IF(($H863=0),0,$D$4+$D$5*(RAND()-0.5))</f>
        <v>0</v>
      </c>
      <c r="M863" s="38" t="n">
        <f aca="false">L863+MAX(D863,M862)</f>
        <v>922.701681214549</v>
      </c>
      <c r="N863" s="38" t="n">
        <f aca="false">IF((H863=1),M863-D863,0)</f>
        <v>0</v>
      </c>
      <c r="O863" s="16" t="n">
        <v>846</v>
      </c>
      <c r="P863" s="41" t="n">
        <f aca="false">IF((Arterial=0),P862+1,P862)</f>
        <v>399</v>
      </c>
      <c r="Q863" s="41" t="n">
        <f aca="false">IF((Arterial=1),Q862+1,Q862)</f>
        <v>447</v>
      </c>
      <c r="R863" s="42" t="e">
        <f aca="false">IF((RESET=1),0,R863+K863)</f>
        <v>#N/A</v>
      </c>
      <c r="S863" s="14" t="n">
        <f aca="false">IF(RESET=1,0,S863+N863)</f>
        <v>858.293425083266</v>
      </c>
      <c r="T863" s="2" t="e">
        <f aca="false">IF(RESET=1,0,T863+IF(H863=0,1,0))</f>
        <v>#N/A</v>
      </c>
      <c r="U863" s="2" t="n">
        <f aca="false">IF(RESET=1,0,U863+H863)</f>
        <v>45</v>
      </c>
      <c r="V863" s="14" t="e">
        <f aca="false">R863/(T863+0.00001)</f>
        <v>#N/A</v>
      </c>
      <c r="W863" s="14" t="n">
        <f aca="false">S863/(U863+0.0001)</f>
        <v>19.0731448393063</v>
      </c>
      <c r="X863" s="39" t="n">
        <f aca="false">IF(Informed=1,K863,0)</f>
        <v>13.7990594990478</v>
      </c>
      <c r="Y863" s="39" t="n">
        <f aca="false">IF(Informed=0,K863,0)</f>
        <v>0</v>
      </c>
      <c r="Z863" s="39" t="n">
        <f aca="false">IF(Informed=1,N863,0)</f>
        <v>0</v>
      </c>
      <c r="AA863" s="39" t="n">
        <f aca="false">IF(Informed=0,N863,0)</f>
        <v>0</v>
      </c>
      <c r="AB863" s="43" t="n">
        <f aca="false">IF(Arterial=0,IF(Informed=1,1,0),0)</f>
        <v>1</v>
      </c>
      <c r="AC863" s="43" t="n">
        <f aca="false">IF(Arterial=0,IF(Informed=0,1,0),0)</f>
        <v>0</v>
      </c>
      <c r="AD863" s="43" t="n">
        <f aca="false">IF(Arterial=1,IF(Informed=1,1,0),0)</f>
        <v>0</v>
      </c>
      <c r="AE863" s="43" t="n">
        <f aca="false">IF(Arterial=1,IF(Informed=0,1,0),0)</f>
        <v>0</v>
      </c>
      <c r="AF863" s="35" t="n">
        <f aca="false">IF(AB863=1,(X863-G$1030)^2,0)</f>
        <v>9.54427655276823</v>
      </c>
      <c r="AG863" s="35" t="n">
        <f aca="false">IF(AC863=1,(Y863-H$1030)^2,0)</f>
        <v>0</v>
      </c>
      <c r="AH863" s="35" t="n">
        <f aca="false">IF(AD863=1,(Z863-I$1030)^2,0)</f>
        <v>0</v>
      </c>
      <c r="AI863" s="35" t="n">
        <f aca="false">IF(AE863=1,(AA863-J$1030)^2,0)</f>
        <v>0</v>
      </c>
      <c r="AJ863" s="37" t="n">
        <f aca="true">IF(RAND()&lt;$D$6,1,0)</f>
        <v>0</v>
      </c>
      <c r="AK863" s="14" t="n">
        <f aca="false">AK862+IF((AJ863=1),IF((H863=0),1,0),0)</f>
        <v>0</v>
      </c>
      <c r="AL863" s="14" t="n">
        <f aca="false">AL862+IF((AJ863=1),IF((H863=1),1,0),0)</f>
        <v>0</v>
      </c>
      <c r="AM863" s="37" t="n">
        <f aca="false">IF(AK863=0,9999,IF($H863=0,IF($AJ863&lt;1,AM862+1,0),AM862))</f>
        <v>9999</v>
      </c>
      <c r="AN863" s="37" t="n">
        <f aca="false">IF(AL863=0,9999,IF($H863=1,IF($AJ863&lt;1,AN862+1,0),AN862))</f>
        <v>9999</v>
      </c>
      <c r="AO863" s="37" t="n">
        <f aca="false">IF($A863-AM863&gt;0,1/(1+AM863),0)</f>
        <v>0</v>
      </c>
      <c r="AP863" s="37" t="n">
        <f aca="false">IF($A863-AN863&gt;0,1/(1+AN863),0)</f>
        <v>0</v>
      </c>
      <c r="AQ863" s="7" t="n">
        <f aca="false">IF(AK863=0,0,MAX(MIN(1,AO863^Power),0))</f>
        <v>0</v>
      </c>
      <c r="AR863" s="7" t="n">
        <f aca="false">IF(AL863=0,0,MAX(MIN(1,AP863^Power),0))</f>
        <v>0</v>
      </c>
      <c r="AS863" s="7" t="n">
        <f aca="false">IF($AJ863=1,IF($H863=0,K863,AS862),AS862)</f>
        <v>0</v>
      </c>
      <c r="AT863" s="7" t="n">
        <f aca="false">IF($AJ863=1,IF($H863=1,N863,AT862),AT862)</f>
        <v>0</v>
      </c>
    </row>
    <row r="864" customFormat="false" ht="13" hidden="false" customHeight="false" outlineLevel="0" collapsed="false">
      <c r="A864" s="16" t="n">
        <v>847</v>
      </c>
      <c r="B864" s="37" t="n">
        <f aca="true">IF(RAND()&lt;$D$8,1,0)</f>
        <v>1</v>
      </c>
      <c r="C864" s="20" t="n">
        <f aca="true">-LN(RAND())/$D$2</f>
        <v>0.513386686224236</v>
      </c>
      <c r="D864" s="38" t="n">
        <f aca="false">D863+C864</f>
        <v>891.914258562923</v>
      </c>
      <c r="E864" s="39" t="n">
        <f aca="false">MAX($E$3,AS863)</f>
        <v>0</v>
      </c>
      <c r="F864" s="39" t="n">
        <f aca="false">MAX($E$3,AT863)</f>
        <v>0</v>
      </c>
      <c r="G864" s="40" t="n">
        <v>0.5</v>
      </c>
      <c r="H864" s="38" t="n">
        <f aca="true">IF((B864=1),(IF((F864&lt;E864),1,(IF((F864=E864),(IF(RAND()&lt;G864,1,0)),0)))),(IF((RAND()&lt;G864),1,0)))</f>
        <v>0</v>
      </c>
      <c r="I864" s="38" t="n">
        <f aca="true">IF((H864=1),0,$D$3+$D$5*(RAND()-0.5))</f>
        <v>1.92043784735677</v>
      </c>
      <c r="J864" s="38" t="n">
        <f aca="false">I864+MAX(D864,J863)</f>
        <v>907.120369223104</v>
      </c>
      <c r="K864" s="38" t="n">
        <f aca="false">IF((H864=0),J864-D864,0)</f>
        <v>15.2061106601803</v>
      </c>
      <c r="L864" s="38" t="n">
        <f aca="true">IF(($H864=0),0,$D$4+$D$5*(RAND()-0.5))</f>
        <v>0</v>
      </c>
      <c r="M864" s="38" t="n">
        <f aca="false">L864+MAX(D864,M863)</f>
        <v>922.701681214549</v>
      </c>
      <c r="N864" s="38" t="n">
        <f aca="false">IF((H864=1),M864-D864,0)</f>
        <v>0</v>
      </c>
      <c r="O864" s="16" t="n">
        <v>847</v>
      </c>
      <c r="P864" s="41" t="n">
        <f aca="false">IF((Arterial=0),P863+1,P863)</f>
        <v>400</v>
      </c>
      <c r="Q864" s="41" t="n">
        <f aca="false">IF((Arterial=1),Q863+1,Q863)</f>
        <v>447</v>
      </c>
      <c r="R864" s="42" t="e">
        <f aca="false">IF((RESET=1),0,R864+K864)</f>
        <v>#N/A</v>
      </c>
      <c r="S864" s="14" t="n">
        <f aca="false">IF(RESET=1,0,S864+N864)</f>
        <v>910.665393413245</v>
      </c>
      <c r="T864" s="2" t="e">
        <f aca="false">IF(RESET=1,0,T864+IF(H864=0,1,0))</f>
        <v>#N/A</v>
      </c>
      <c r="U864" s="2" t="n">
        <f aca="false">IF(RESET=1,0,U864+H864)</f>
        <v>44</v>
      </c>
      <c r="V864" s="14" t="e">
        <f aca="false">R864/(T864+0.00001)</f>
        <v>#N/A</v>
      </c>
      <c r="W864" s="14" t="n">
        <f aca="false">S864/(U864+0.0001)</f>
        <v>20.6968937209971</v>
      </c>
      <c r="X864" s="39" t="n">
        <f aca="false">IF(Informed=1,K864,0)</f>
        <v>15.2061106601803</v>
      </c>
      <c r="Y864" s="39" t="n">
        <f aca="false">IF(Informed=0,K864,0)</f>
        <v>0</v>
      </c>
      <c r="Z864" s="39" t="n">
        <f aca="false">IF(Informed=1,N864,0)</f>
        <v>0</v>
      </c>
      <c r="AA864" s="39" t="n">
        <f aca="false">IF(Informed=0,N864,0)</f>
        <v>0</v>
      </c>
      <c r="AB864" s="43" t="n">
        <f aca="false">IF(Arterial=0,IF(Informed=1,1,0),0)</f>
        <v>1</v>
      </c>
      <c r="AC864" s="43" t="n">
        <f aca="false">IF(Arterial=0,IF(Informed=0,1,0),0)</f>
        <v>0</v>
      </c>
      <c r="AD864" s="43" t="n">
        <f aca="false">IF(Arterial=1,IF(Informed=1,1,0),0)</f>
        <v>0</v>
      </c>
      <c r="AE864" s="43" t="n">
        <f aca="false">IF(Arterial=1,IF(Informed=0,1,0),0)</f>
        <v>0</v>
      </c>
      <c r="AF864" s="35" t="n">
        <f aca="false">IF(AB864=1,(X864-G$1030)^2,0)</f>
        <v>20.2179044932574</v>
      </c>
      <c r="AG864" s="35" t="n">
        <f aca="false">IF(AC864=1,(Y864-H$1030)^2,0)</f>
        <v>0</v>
      </c>
      <c r="AH864" s="35" t="n">
        <f aca="false">IF(AD864=1,(Z864-I$1030)^2,0)</f>
        <v>0</v>
      </c>
      <c r="AI864" s="35" t="n">
        <f aca="false">IF(AE864=1,(AA864-J$1030)^2,0)</f>
        <v>0</v>
      </c>
      <c r="AJ864" s="37" t="n">
        <f aca="true">IF(RAND()&lt;$D$6,1,0)</f>
        <v>0</v>
      </c>
      <c r="AK864" s="14" t="n">
        <f aca="false">AK863+IF((AJ864=1),IF((H864=0),1,0),0)</f>
        <v>0</v>
      </c>
      <c r="AL864" s="14" t="n">
        <f aca="false">AL863+IF((AJ864=1),IF((H864=1),1,0),0)</f>
        <v>0</v>
      </c>
      <c r="AM864" s="37" t="n">
        <f aca="false">IF(AK864=0,9999,IF($H864=0,IF($AJ864&lt;1,AM863+1,0),AM863))</f>
        <v>9999</v>
      </c>
      <c r="AN864" s="37" t="n">
        <f aca="false">IF(AL864=0,9999,IF($H864=1,IF($AJ864&lt;1,AN863+1,0),AN863))</f>
        <v>9999</v>
      </c>
      <c r="AO864" s="37" t="n">
        <f aca="false">IF($A864-AM864&gt;0,1/(1+AM864),0)</f>
        <v>0</v>
      </c>
      <c r="AP864" s="37" t="n">
        <f aca="false">IF($A864-AN864&gt;0,1/(1+AN864),0)</f>
        <v>0</v>
      </c>
      <c r="AQ864" s="7" t="n">
        <f aca="false">IF(AK864=0,0,MAX(MIN(1,AO864^Power),0))</f>
        <v>0</v>
      </c>
      <c r="AR864" s="7" t="n">
        <f aca="false">IF(AL864=0,0,MAX(MIN(1,AP864^Power),0))</f>
        <v>0</v>
      </c>
      <c r="AS864" s="7" t="n">
        <f aca="false">IF($AJ864=1,IF($H864=0,K864,AS863),AS863)</f>
        <v>0</v>
      </c>
      <c r="AT864" s="7" t="n">
        <f aca="false">IF($AJ864=1,IF($H864=1,N864,AT863),AT863)</f>
        <v>0</v>
      </c>
    </row>
    <row r="865" customFormat="false" ht="13" hidden="false" customHeight="false" outlineLevel="0" collapsed="false">
      <c r="A865" s="16" t="n">
        <v>848</v>
      </c>
      <c r="B865" s="37" t="n">
        <f aca="true">IF(RAND()&lt;$D$8,1,0)</f>
        <v>0</v>
      </c>
      <c r="C865" s="20" t="n">
        <f aca="true">-LN(RAND())/$D$2</f>
        <v>0.258289857374007</v>
      </c>
      <c r="D865" s="38" t="n">
        <f aca="false">D864+C865</f>
        <v>892.172548420297</v>
      </c>
      <c r="E865" s="39" t="n">
        <f aca="false">MAX($E$3,AS864)</f>
        <v>0</v>
      </c>
      <c r="F865" s="39" t="n">
        <f aca="false">MAX($E$3,AT864)</f>
        <v>0</v>
      </c>
      <c r="G865" s="40" t="n">
        <v>0.5</v>
      </c>
      <c r="H865" s="38" t="n">
        <f aca="true">IF((B865=1),(IF((F865&lt;E865),1,(IF((F865=E865),(IF(RAND()&lt;G865,1,0)),0)))),(IF((RAND()&lt;G865),1,0)))</f>
        <v>1</v>
      </c>
      <c r="I865" s="38" t="n">
        <f aca="true">IF((H865=1),0,$D$3+$D$5*(RAND()-0.5))</f>
        <v>0</v>
      </c>
      <c r="J865" s="38" t="n">
        <f aca="false">I865+MAX(D865,J864)</f>
        <v>907.120369223104</v>
      </c>
      <c r="K865" s="38" t="n">
        <f aca="false">IF((H865=0),J865-D865,0)</f>
        <v>0</v>
      </c>
      <c r="L865" s="38" t="n">
        <f aca="true">IF(($H865=0),0,$D$4+$D$5*(RAND()-0.5))</f>
        <v>1.80946221705616</v>
      </c>
      <c r="M865" s="38" t="n">
        <f aca="false">L865+MAX(D865,M864)</f>
        <v>924.511143431605</v>
      </c>
      <c r="N865" s="38" t="n">
        <f aca="false">IF((H865=1),M865-D865,0)</f>
        <v>32.3385950113078</v>
      </c>
      <c r="O865" s="16" t="n">
        <v>848</v>
      </c>
      <c r="P865" s="41" t="n">
        <f aca="false">IF((Arterial=0),P864+1,P864)</f>
        <v>400</v>
      </c>
      <c r="Q865" s="41" t="n">
        <f aca="false">IF((Arterial=1),Q864+1,Q864)</f>
        <v>448</v>
      </c>
      <c r="R865" s="42" t="n">
        <f aca="false">IF((RESET=1),0,R865+K865)</f>
        <v>939.356937184</v>
      </c>
      <c r="S865" s="14" t="e">
        <f aca="false">IF(RESET=1,0,S865+N865)</f>
        <v>#N/A</v>
      </c>
      <c r="T865" s="2" t="n">
        <f aca="false">IF(RESET=1,0,T865+IF(H865=0,1,0))</f>
        <v>44</v>
      </c>
      <c r="U865" s="2" t="e">
        <f aca="false">IF(RESET=1,0,U865+H865)</f>
        <v>#N/A</v>
      </c>
      <c r="V865" s="14" t="n">
        <f aca="false">R865/(T865+0.00001)</f>
        <v>21.3490164475872</v>
      </c>
      <c r="W865" s="14" t="e">
        <f aca="false">S865/(U865+0.0001)</f>
        <v>#N/A</v>
      </c>
      <c r="X865" s="39" t="n">
        <f aca="false">IF(Informed=1,K865,0)</f>
        <v>0</v>
      </c>
      <c r="Y865" s="39" t="n">
        <f aca="false">IF(Informed=0,K865,0)</f>
        <v>0</v>
      </c>
      <c r="Z865" s="39" t="n">
        <f aca="false">IF(Informed=1,N865,0)</f>
        <v>0</v>
      </c>
      <c r="AA865" s="39" t="n">
        <f aca="false">IF(Informed=0,N865,0)</f>
        <v>32.3385950113078</v>
      </c>
      <c r="AB865" s="43" t="n">
        <f aca="false">IF(Arterial=0,IF(Informed=1,1,0),0)</f>
        <v>0</v>
      </c>
      <c r="AC865" s="43" t="n">
        <f aca="false">IF(Arterial=0,IF(Informed=0,1,0),0)</f>
        <v>0</v>
      </c>
      <c r="AD865" s="43" t="n">
        <f aca="false">IF(Arterial=1,IF(Informed=1,1,0),0)</f>
        <v>0</v>
      </c>
      <c r="AE865" s="43" t="n">
        <f aca="false">IF(Arterial=1,IF(Informed=0,1,0),0)</f>
        <v>1</v>
      </c>
      <c r="AF865" s="35" t="n">
        <f aca="false">IF(AB865=1,(X865-G$1030)^2,0)</f>
        <v>0</v>
      </c>
      <c r="AG865" s="35" t="n">
        <f aca="false">IF(AC865=1,(Y865-H$1030)^2,0)</f>
        <v>0</v>
      </c>
      <c r="AH865" s="35" t="n">
        <f aca="false">IF(AD865=1,(Z865-I$1030)^2,0)</f>
        <v>0</v>
      </c>
      <c r="AI865" s="35" t="n">
        <f aca="false">IF(AE865=1,(AA865-J$1030)^2,0)</f>
        <v>7.69685157943315</v>
      </c>
      <c r="AJ865" s="37" t="n">
        <f aca="true">IF(RAND()&lt;$D$6,1,0)</f>
        <v>0</v>
      </c>
      <c r="AK865" s="14" t="n">
        <f aca="false">AK864+IF((AJ865=1),IF((H865=0),1,0),0)</f>
        <v>0</v>
      </c>
      <c r="AL865" s="14" t="n">
        <f aca="false">AL864+IF((AJ865=1),IF((H865=1),1,0),0)</f>
        <v>0</v>
      </c>
      <c r="AM865" s="37" t="n">
        <f aca="false">IF(AK865=0,9999,IF($H865=0,IF($AJ865&lt;1,AM864+1,0),AM864))</f>
        <v>9999</v>
      </c>
      <c r="AN865" s="37" t="n">
        <f aca="false">IF(AL865=0,9999,IF($H865=1,IF($AJ865&lt;1,AN864+1,0),AN864))</f>
        <v>9999</v>
      </c>
      <c r="AO865" s="37" t="n">
        <f aca="false">IF($A865-AM865&gt;0,1/(1+AM865),0)</f>
        <v>0</v>
      </c>
      <c r="AP865" s="37" t="n">
        <f aca="false">IF($A865-AN865&gt;0,1/(1+AN865),0)</f>
        <v>0</v>
      </c>
      <c r="AQ865" s="7" t="n">
        <f aca="false">IF(AK865=0,0,MAX(MIN(1,AO865^Power),0))</f>
        <v>0</v>
      </c>
      <c r="AR865" s="7" t="n">
        <f aca="false">IF(AL865=0,0,MAX(MIN(1,AP865^Power),0))</f>
        <v>0</v>
      </c>
      <c r="AS865" s="7" t="n">
        <f aca="false">IF($AJ865=1,IF($H865=0,K865,AS864),AS864)</f>
        <v>0</v>
      </c>
      <c r="AT865" s="7" t="n">
        <f aca="false">IF($AJ865=1,IF($H865=1,N865,AT864),AT864)</f>
        <v>0</v>
      </c>
    </row>
    <row r="866" customFormat="false" ht="13" hidden="false" customHeight="false" outlineLevel="0" collapsed="false">
      <c r="A866" s="16" t="n">
        <v>849</v>
      </c>
      <c r="B866" s="37" t="n">
        <f aca="true">IF(RAND()&lt;$D$8,1,0)</f>
        <v>1</v>
      </c>
      <c r="C866" s="20" t="n">
        <f aca="true">-LN(RAND())/$D$2</f>
        <v>0.684193790613941</v>
      </c>
      <c r="D866" s="38" t="n">
        <f aca="false">D865+C866</f>
        <v>892.856742210911</v>
      </c>
      <c r="E866" s="39" t="n">
        <f aca="false">MAX($E$3,AS865)</f>
        <v>0</v>
      </c>
      <c r="F866" s="39" t="n">
        <f aca="false">MAX($E$3,AT865)</f>
        <v>0</v>
      </c>
      <c r="G866" s="40" t="n">
        <v>0.5</v>
      </c>
      <c r="H866" s="38" t="n">
        <f aca="true">IF((B866=1),(IF((F866&lt;E866),1,(IF((F866=E866),(IF(RAND()&lt;G866,1,0)),0)))),(IF((RAND()&lt;G866),1,0)))</f>
        <v>0</v>
      </c>
      <c r="I866" s="38" t="n">
        <f aca="true">IF((H866=1),0,$D$3+$D$5*(RAND()-0.5))</f>
        <v>1.77653374607578</v>
      </c>
      <c r="J866" s="38" t="n">
        <f aca="false">I866+MAX(D866,J865)</f>
        <v>908.896902969179</v>
      </c>
      <c r="K866" s="38" t="n">
        <f aca="false">IF((H866=0),J866-D866,0)</f>
        <v>16.0401607582681</v>
      </c>
      <c r="L866" s="38" t="n">
        <f aca="true">IF(($H866=0),0,$D$4+$D$5*(RAND()-0.5))</f>
        <v>0</v>
      </c>
      <c r="M866" s="38" t="n">
        <f aca="false">L866+MAX(D866,M865)</f>
        <v>924.511143431605</v>
      </c>
      <c r="N866" s="38" t="n">
        <f aca="false">IF((H866=1),M866-D866,0)</f>
        <v>0</v>
      </c>
      <c r="O866" s="16" t="n">
        <v>849</v>
      </c>
      <c r="P866" s="41" t="n">
        <f aca="false">IF((Arterial=0),P865+1,P865)</f>
        <v>401</v>
      </c>
      <c r="Q866" s="41" t="n">
        <f aca="false">IF((Arterial=1),Q865+1,Q865)</f>
        <v>448</v>
      </c>
      <c r="R866" s="42" t="e">
        <f aca="false">IF((RESET=1),0,R866+K866)</f>
        <v>#N/A</v>
      </c>
      <c r="S866" s="14" t="n">
        <f aca="false">IF(RESET=1,0,S866+N866)</f>
        <v>726.337438060677</v>
      </c>
      <c r="T866" s="2" t="e">
        <f aca="false">IF(RESET=1,0,T866+IF(H866=0,1,0))</f>
        <v>#N/A</v>
      </c>
      <c r="U866" s="2" t="n">
        <f aca="false">IF(RESET=1,0,U866+H866)</f>
        <v>35</v>
      </c>
      <c r="V866" s="14" t="e">
        <f aca="false">R866/(T866+0.00001)</f>
        <v>#N/A</v>
      </c>
      <c r="W866" s="14" t="n">
        <f aca="false">S866/(U866+0.0001)</f>
        <v>20.7524389376224</v>
      </c>
      <c r="X866" s="39" t="n">
        <f aca="false">IF(Informed=1,K866,0)</f>
        <v>16.0401607582681</v>
      </c>
      <c r="Y866" s="39" t="n">
        <f aca="false">IF(Informed=0,K866,0)</f>
        <v>0</v>
      </c>
      <c r="Z866" s="39" t="n">
        <f aca="false">IF(Informed=1,N866,0)</f>
        <v>0</v>
      </c>
      <c r="AA866" s="39" t="n">
        <f aca="false">IF(Informed=0,N866,0)</f>
        <v>0</v>
      </c>
      <c r="AB866" s="43" t="n">
        <f aca="false">IF(Arterial=0,IF(Informed=1,1,0),0)</f>
        <v>1</v>
      </c>
      <c r="AC866" s="43" t="n">
        <f aca="false">IF(Arterial=0,IF(Informed=0,1,0),0)</f>
        <v>0</v>
      </c>
      <c r="AD866" s="43" t="n">
        <f aca="false">IF(Arterial=1,IF(Informed=1,1,0),0)</f>
        <v>0</v>
      </c>
      <c r="AE866" s="43" t="n">
        <f aca="false">IF(Arterial=1,IF(Informed=0,1,0),0)</f>
        <v>0</v>
      </c>
      <c r="AF866" s="35" t="n">
        <f aca="false">IF(AB866=1,(X866-G$1030)^2,0)</f>
        <v>28.4140438586046</v>
      </c>
      <c r="AG866" s="35" t="n">
        <f aca="false">IF(AC866=1,(Y866-H$1030)^2,0)</f>
        <v>0</v>
      </c>
      <c r="AH866" s="35" t="n">
        <f aca="false">IF(AD866=1,(Z866-I$1030)^2,0)</f>
        <v>0</v>
      </c>
      <c r="AI866" s="35" t="n">
        <f aca="false">IF(AE866=1,(AA866-J$1030)^2,0)</f>
        <v>0</v>
      </c>
      <c r="AJ866" s="37" t="n">
        <f aca="true">IF(RAND()&lt;$D$6,1,0)</f>
        <v>0</v>
      </c>
      <c r="AK866" s="14" t="n">
        <f aca="false">AK865+IF((AJ866=1),IF((H866=0),1,0),0)</f>
        <v>0</v>
      </c>
      <c r="AL866" s="14" t="n">
        <f aca="false">AL865+IF((AJ866=1),IF((H866=1),1,0),0)</f>
        <v>0</v>
      </c>
      <c r="AM866" s="37" t="n">
        <f aca="false">IF(AK866=0,9999,IF($H866=0,IF($AJ866&lt;1,AM865+1,0),AM865))</f>
        <v>9999</v>
      </c>
      <c r="AN866" s="37" t="n">
        <f aca="false">IF(AL866=0,9999,IF($H866=1,IF($AJ866&lt;1,AN865+1,0),AN865))</f>
        <v>9999</v>
      </c>
      <c r="AO866" s="37" t="n">
        <f aca="false">IF($A866-AM866&gt;0,1/(1+AM866),0)</f>
        <v>0</v>
      </c>
      <c r="AP866" s="37" t="n">
        <f aca="false">IF($A866-AN866&gt;0,1/(1+AN866),0)</f>
        <v>0</v>
      </c>
      <c r="AQ866" s="7" t="n">
        <f aca="false">IF(AK866=0,0,MAX(MIN(1,AO866^Power),0))</f>
        <v>0</v>
      </c>
      <c r="AR866" s="7" t="n">
        <f aca="false">IF(AL866=0,0,MAX(MIN(1,AP866^Power),0))</f>
        <v>0</v>
      </c>
      <c r="AS866" s="7" t="n">
        <f aca="false">IF($AJ866=1,IF($H866=0,K866,AS865),AS865)</f>
        <v>0</v>
      </c>
      <c r="AT866" s="7" t="n">
        <f aca="false">IF($AJ866=1,IF($H866=1,N866,AT865),AT865)</f>
        <v>0</v>
      </c>
    </row>
    <row r="867" customFormat="false" ht="13" hidden="false" customHeight="false" outlineLevel="0" collapsed="false">
      <c r="A867" s="16" t="n">
        <v>850</v>
      </c>
      <c r="B867" s="37" t="n">
        <f aca="true">IF(RAND()&lt;$D$8,1,0)</f>
        <v>0</v>
      </c>
      <c r="C867" s="20" t="n">
        <f aca="true">-LN(RAND())/$D$2</f>
        <v>0.111191750970642</v>
      </c>
      <c r="D867" s="38" t="n">
        <f aca="false">D866+C867</f>
        <v>892.967933961882</v>
      </c>
      <c r="E867" s="39" t="n">
        <f aca="false">MAX($E$3,AS866)</f>
        <v>0</v>
      </c>
      <c r="F867" s="39" t="n">
        <f aca="false">MAX($E$3,AT866)</f>
        <v>0</v>
      </c>
      <c r="G867" s="40" t="n">
        <v>0.5</v>
      </c>
      <c r="H867" s="38" t="n">
        <f aca="true">IF((B867=1),(IF((F867&lt;E867),1,(IF((F867=E867),(IF(RAND()&lt;G867,1,0)),0)))),(IF((RAND()&lt;G867),1,0)))</f>
        <v>0</v>
      </c>
      <c r="I867" s="38" t="n">
        <f aca="true">IF((H867=1),0,$D$3+$D$5*(RAND()-0.5))</f>
        <v>1.82175543590284</v>
      </c>
      <c r="J867" s="38" t="n">
        <f aca="false">I867+MAX(D867,J866)</f>
        <v>910.718658405082</v>
      </c>
      <c r="K867" s="38" t="n">
        <f aca="false">IF((H867=0),J867-D867,0)</f>
        <v>17.7507244432003</v>
      </c>
      <c r="L867" s="38" t="n">
        <f aca="true">IF(($H867=0),0,$D$4+$D$5*(RAND()-0.5))</f>
        <v>0</v>
      </c>
      <c r="M867" s="38" t="n">
        <f aca="false">L867+MAX(D867,M866)</f>
        <v>924.511143431605</v>
      </c>
      <c r="N867" s="38" t="n">
        <f aca="false">IF((H867=1),M867-D867,0)</f>
        <v>0</v>
      </c>
      <c r="O867" s="16" t="n">
        <v>850</v>
      </c>
      <c r="P867" s="41" t="n">
        <f aca="false">IF((Arterial=0),P866+1,P866)</f>
        <v>402</v>
      </c>
      <c r="Q867" s="41" t="n">
        <f aca="false">IF((Arterial=1),Q866+1,Q866)</f>
        <v>448</v>
      </c>
      <c r="R867" s="42" t="e">
        <f aca="false">IF((RESET=1),0,R867+K867)</f>
        <v>#N/A</v>
      </c>
      <c r="S867" s="14" t="n">
        <f aca="false">IF(RESET=1,0,S867+N867)</f>
        <v>744.773536195557</v>
      </c>
      <c r="T867" s="2" t="e">
        <f aca="false">IF(RESET=1,0,T867+IF(H867=0,1,0))</f>
        <v>#N/A</v>
      </c>
      <c r="U867" s="2" t="n">
        <f aca="false">IF(RESET=1,0,U867+H867)</f>
        <v>41</v>
      </c>
      <c r="V867" s="14" t="e">
        <f aca="false">R867/(T867+0.00001)</f>
        <v>#N/A</v>
      </c>
      <c r="W867" s="14" t="n">
        <f aca="false">S867/(U867+0.0001)</f>
        <v>18.1651638946138</v>
      </c>
      <c r="X867" s="39" t="n">
        <f aca="false">IF(Informed=1,K867,0)</f>
        <v>0</v>
      </c>
      <c r="Y867" s="39" t="n">
        <f aca="false">IF(Informed=0,K867,0)</f>
        <v>17.7507244432003</v>
      </c>
      <c r="Z867" s="39" t="n">
        <f aca="false">IF(Informed=1,N867,0)</f>
        <v>0</v>
      </c>
      <c r="AA867" s="39" t="n">
        <f aca="false">IF(Informed=0,N867,0)</f>
        <v>0</v>
      </c>
      <c r="AB867" s="43" t="n">
        <f aca="false">IF(Arterial=0,IF(Informed=1,1,0),0)</f>
        <v>0</v>
      </c>
      <c r="AC867" s="43" t="n">
        <f aca="false">IF(Arterial=0,IF(Informed=0,1,0),0)</f>
        <v>1</v>
      </c>
      <c r="AD867" s="43" t="n">
        <f aca="false">IF(Arterial=1,IF(Informed=1,1,0),0)</f>
        <v>0</v>
      </c>
      <c r="AE867" s="43" t="n">
        <f aca="false">IF(Arterial=1,IF(Informed=0,1,0),0)</f>
        <v>0</v>
      </c>
      <c r="AF867" s="35" t="n">
        <f aca="false">IF(AB867=1,(X867-G$1030)^2,0)</f>
        <v>0</v>
      </c>
      <c r="AG867" s="35" t="n">
        <f aca="false">IF(AC867=1,(Y867-H$1030)^2,0)</f>
        <v>46.607098737825</v>
      </c>
      <c r="AH867" s="35" t="n">
        <f aca="false">IF(AD867=1,(Z867-I$1030)^2,0)</f>
        <v>0</v>
      </c>
      <c r="AI867" s="35" t="n">
        <f aca="false">IF(AE867=1,(AA867-J$1030)^2,0)</f>
        <v>0</v>
      </c>
      <c r="AJ867" s="37" t="n">
        <f aca="true">IF(RAND()&lt;$D$6,1,0)</f>
        <v>0</v>
      </c>
      <c r="AK867" s="14" t="n">
        <f aca="false">AK866+IF((AJ867=1),IF((H867=0),1,0),0)</f>
        <v>0</v>
      </c>
      <c r="AL867" s="14" t="n">
        <f aca="false">AL866+IF((AJ867=1),IF((H867=1),1,0),0)</f>
        <v>0</v>
      </c>
      <c r="AM867" s="37" t="n">
        <f aca="false">IF(AK867=0,9999,IF($H867=0,IF($AJ867&lt;1,AM866+1,0),AM866))</f>
        <v>9999</v>
      </c>
      <c r="AN867" s="37" t="n">
        <f aca="false">IF(AL867=0,9999,IF($H867=1,IF($AJ867&lt;1,AN866+1,0),AN866))</f>
        <v>9999</v>
      </c>
      <c r="AO867" s="37" t="n">
        <f aca="false">IF($A867-AM867&gt;0,1/(1+AM867),0)</f>
        <v>0</v>
      </c>
      <c r="AP867" s="37" t="n">
        <f aca="false">IF($A867-AN867&gt;0,1/(1+AN867),0)</f>
        <v>0</v>
      </c>
      <c r="AQ867" s="7" t="n">
        <f aca="false">IF(AK867=0,0,MAX(MIN(1,AO867^Power),0))</f>
        <v>0</v>
      </c>
      <c r="AR867" s="7" t="n">
        <f aca="false">IF(AL867=0,0,MAX(MIN(1,AP867^Power),0))</f>
        <v>0</v>
      </c>
      <c r="AS867" s="7" t="n">
        <f aca="false">IF($AJ867=1,IF($H867=0,K867,AS866),AS866)</f>
        <v>0</v>
      </c>
      <c r="AT867" s="7" t="n">
        <f aca="false">IF($AJ867=1,IF($H867=1,N867,AT866),AT866)</f>
        <v>0</v>
      </c>
    </row>
    <row r="868" customFormat="false" ht="13" hidden="false" customHeight="false" outlineLevel="0" collapsed="false">
      <c r="A868" s="16" t="n">
        <v>851</v>
      </c>
      <c r="B868" s="37" t="n">
        <f aca="true">IF(RAND()&lt;$D$8,1,0)</f>
        <v>0</v>
      </c>
      <c r="C868" s="20" t="n">
        <f aca="true">-LN(RAND())/$D$2</f>
        <v>1.0983111640007</v>
      </c>
      <c r="D868" s="38" t="n">
        <f aca="false">D867+C868</f>
        <v>894.066245125883</v>
      </c>
      <c r="E868" s="39" t="n">
        <f aca="false">MAX($E$3,AS867)</f>
        <v>0</v>
      </c>
      <c r="F868" s="39" t="n">
        <f aca="false">MAX($E$3,AT867)</f>
        <v>0</v>
      </c>
      <c r="G868" s="40" t="n">
        <v>0.5</v>
      </c>
      <c r="H868" s="38" t="n">
        <f aca="true">IF((B868=1),(IF((F868&lt;E868),1,(IF((F868=E868),(IF(RAND()&lt;G868,1,0)),0)))),(IF((RAND()&lt;G868),1,0)))</f>
        <v>1</v>
      </c>
      <c r="I868" s="38" t="n">
        <f aca="true">IF((H868=1),0,$D$3+$D$5*(RAND()-0.5))</f>
        <v>0</v>
      </c>
      <c r="J868" s="38" t="n">
        <f aca="false">I868+MAX(D868,J867)</f>
        <v>910.718658405082</v>
      </c>
      <c r="K868" s="38" t="n">
        <f aca="false">IF((H868=0),J868-D868,0)</f>
        <v>0</v>
      </c>
      <c r="L868" s="38" t="n">
        <f aca="true">IF(($H868=0),0,$D$4+$D$5*(RAND()-0.5))</f>
        <v>2.17975836620782</v>
      </c>
      <c r="M868" s="38" t="n">
        <f aca="false">L868+MAX(D868,M867)</f>
        <v>926.690901797813</v>
      </c>
      <c r="N868" s="38" t="n">
        <f aca="false">IF((H868=1),M868-D868,0)</f>
        <v>32.6246566719303</v>
      </c>
      <c r="O868" s="16" t="n">
        <v>851</v>
      </c>
      <c r="P868" s="41" t="n">
        <f aca="false">IF((Arterial=0),P867+1,P867)</f>
        <v>402</v>
      </c>
      <c r="Q868" s="41" t="n">
        <f aca="false">IF((Arterial=1),Q867+1,Q867)</f>
        <v>449</v>
      </c>
      <c r="R868" s="42" t="n">
        <f aca="false">IF((RESET=1),0,R868+K868)</f>
        <v>1151.36125852941</v>
      </c>
      <c r="S868" s="14" t="e">
        <f aca="false">IF(RESET=1,0,S868+N868)</f>
        <v>#N/A</v>
      </c>
      <c r="T868" s="2" t="n">
        <f aca="false">IF(RESET=1,0,T868+IF(H868=0,1,0))</f>
        <v>44</v>
      </c>
      <c r="U868" s="2" t="e">
        <f aca="false">IF(RESET=1,0,U868+H868)</f>
        <v>#N/A</v>
      </c>
      <c r="V868" s="14" t="n">
        <f aca="false">R868/(T868+0.00001)</f>
        <v>26.1672953831013</v>
      </c>
      <c r="W868" s="14" t="e">
        <f aca="false">S868/(U868+0.0001)</f>
        <v>#N/A</v>
      </c>
      <c r="X868" s="39" t="n">
        <f aca="false">IF(Informed=1,K868,0)</f>
        <v>0</v>
      </c>
      <c r="Y868" s="39" t="n">
        <f aca="false">IF(Informed=0,K868,0)</f>
        <v>0</v>
      </c>
      <c r="Z868" s="39" t="n">
        <f aca="false">IF(Informed=1,N868,0)</f>
        <v>0</v>
      </c>
      <c r="AA868" s="39" t="n">
        <f aca="false">IF(Informed=0,N868,0)</f>
        <v>32.6246566719303</v>
      </c>
      <c r="AB868" s="43" t="n">
        <f aca="false">IF(Arterial=0,IF(Informed=1,1,0),0)</f>
        <v>0</v>
      </c>
      <c r="AC868" s="43" t="n">
        <f aca="false">IF(Arterial=0,IF(Informed=0,1,0),0)</f>
        <v>0</v>
      </c>
      <c r="AD868" s="43" t="n">
        <f aca="false">IF(Arterial=1,IF(Informed=1,1,0),0)</f>
        <v>0</v>
      </c>
      <c r="AE868" s="43" t="n">
        <f aca="false">IF(Arterial=1,IF(Informed=0,1,0),0)</f>
        <v>1</v>
      </c>
      <c r="AF868" s="35" t="n">
        <f aca="false">IF(AB868=1,(X868-G$1030)^2,0)</f>
        <v>0</v>
      </c>
      <c r="AG868" s="35" t="n">
        <f aca="false">IF(AC868=1,(Y868-H$1030)^2,0)</f>
        <v>0</v>
      </c>
      <c r="AH868" s="35" t="n">
        <f aca="false">IF(AD868=1,(Z868-I$1030)^2,0)</f>
        <v>0</v>
      </c>
      <c r="AI868" s="35" t="n">
        <f aca="false">IF(AE868=1,(AA868-J$1030)^2,0)</f>
        <v>9.36593603777517</v>
      </c>
      <c r="AJ868" s="37" t="n">
        <f aca="true">IF(RAND()&lt;$D$6,1,0)</f>
        <v>0</v>
      </c>
      <c r="AK868" s="14" t="n">
        <f aca="false">AK867+IF((AJ868=1),IF((H868=0),1,0),0)</f>
        <v>0</v>
      </c>
      <c r="AL868" s="14" t="n">
        <f aca="false">AL867+IF((AJ868=1),IF((H868=1),1,0),0)</f>
        <v>0</v>
      </c>
      <c r="AM868" s="37" t="n">
        <f aca="false">IF(AK868=0,9999,IF($H868=0,IF($AJ868&lt;1,AM867+1,0),AM867))</f>
        <v>9999</v>
      </c>
      <c r="AN868" s="37" t="n">
        <f aca="false">IF(AL868=0,9999,IF($H868=1,IF($AJ868&lt;1,AN867+1,0),AN867))</f>
        <v>9999</v>
      </c>
      <c r="AO868" s="37" t="n">
        <f aca="false">IF($A868-AM868&gt;0,1/(1+AM868),0)</f>
        <v>0</v>
      </c>
      <c r="AP868" s="37" t="n">
        <f aca="false">IF($A868-AN868&gt;0,1/(1+AN868),0)</f>
        <v>0</v>
      </c>
      <c r="AQ868" s="7" t="n">
        <f aca="false">IF(AK868=0,0,MAX(MIN(1,AO868^Power),0))</f>
        <v>0</v>
      </c>
      <c r="AR868" s="7" t="n">
        <f aca="false">IF(AL868=0,0,MAX(MIN(1,AP868^Power),0))</f>
        <v>0</v>
      </c>
      <c r="AS868" s="7" t="n">
        <f aca="false">IF($AJ868=1,IF($H868=0,K868,AS867),AS867)</f>
        <v>0</v>
      </c>
      <c r="AT868" s="7" t="n">
        <f aca="false">IF($AJ868=1,IF($H868=1,N868,AT867),AT867)</f>
        <v>0</v>
      </c>
    </row>
    <row r="869" customFormat="false" ht="13" hidden="false" customHeight="false" outlineLevel="0" collapsed="false">
      <c r="A869" s="16" t="n">
        <v>852</v>
      </c>
      <c r="B869" s="37" t="n">
        <f aca="true">IF(RAND()&lt;$D$8,1,0)</f>
        <v>0</v>
      </c>
      <c r="C869" s="20" t="n">
        <f aca="true">-LN(RAND())/$D$2</f>
        <v>0.404723211866331</v>
      </c>
      <c r="D869" s="38" t="n">
        <f aca="false">D868+C869</f>
        <v>894.470968337749</v>
      </c>
      <c r="E869" s="39" t="n">
        <f aca="false">MAX($E$3,AS868)</f>
        <v>0</v>
      </c>
      <c r="F869" s="39" t="n">
        <f aca="false">MAX($E$3,AT868)</f>
        <v>0</v>
      </c>
      <c r="G869" s="40" t="n">
        <v>0.5</v>
      </c>
      <c r="H869" s="38" t="n">
        <f aca="true">IF((B869=1),(IF((F869&lt;E869),1,(IF((F869=E869),(IF(RAND()&lt;G869,1,0)),0)))),(IF((RAND()&lt;G869),1,0)))</f>
        <v>0</v>
      </c>
      <c r="I869" s="38" t="n">
        <f aca="true">IF((H869=1),0,$D$3+$D$5*(RAND()-0.5))</f>
        <v>2.14453596587697</v>
      </c>
      <c r="J869" s="38" t="n">
        <f aca="false">I869+MAX(D869,J868)</f>
        <v>912.863194370959</v>
      </c>
      <c r="K869" s="38" t="n">
        <f aca="false">IF((H869=0),J869-D869,0)</f>
        <v>18.3922260332101</v>
      </c>
      <c r="L869" s="38" t="n">
        <f aca="true">IF(($H869=0),0,$D$4+$D$5*(RAND()-0.5))</f>
        <v>0</v>
      </c>
      <c r="M869" s="38" t="n">
        <f aca="false">L869+MAX(D869,M868)</f>
        <v>926.690901797813</v>
      </c>
      <c r="N869" s="38" t="n">
        <f aca="false">IF((H869=1),M869-D869,0)</f>
        <v>0</v>
      </c>
      <c r="O869" s="16" t="n">
        <v>852</v>
      </c>
      <c r="P869" s="41" t="n">
        <f aca="false">IF((Arterial=0),P868+1,P868)</f>
        <v>403</v>
      </c>
      <c r="Q869" s="41" t="n">
        <f aca="false">IF((Arterial=1),Q868+1,Q868)</f>
        <v>449</v>
      </c>
      <c r="R869" s="42" t="e">
        <f aca="false">IF((RESET=1),0,R869+K869)</f>
        <v>#N/A</v>
      </c>
      <c r="S869" s="14" t="n">
        <f aca="false">IF(RESET=1,0,S869+N869)</f>
        <v>989.133420175965</v>
      </c>
      <c r="T869" s="2" t="e">
        <f aca="false">IF(RESET=1,0,T869+IF(H869=0,1,0))</f>
        <v>#N/A</v>
      </c>
      <c r="U869" s="2" t="n">
        <f aca="false">IF(RESET=1,0,U869+H869)</f>
        <v>47</v>
      </c>
      <c r="V869" s="14" t="e">
        <f aca="false">R869/(T869+0.00001)</f>
        <v>#N/A</v>
      </c>
      <c r="W869" s="14" t="n">
        <f aca="false">S869/(U869+0.0001)</f>
        <v>21.0453471413032</v>
      </c>
      <c r="X869" s="39" t="n">
        <f aca="false">IF(Informed=1,K869,0)</f>
        <v>0</v>
      </c>
      <c r="Y869" s="39" t="n">
        <f aca="false">IF(Informed=0,K869,0)</f>
        <v>18.3922260332101</v>
      </c>
      <c r="Z869" s="39" t="n">
        <f aca="false">IF(Informed=1,N869,0)</f>
        <v>0</v>
      </c>
      <c r="AA869" s="39" t="n">
        <f aca="false">IF(Informed=0,N869,0)</f>
        <v>0</v>
      </c>
      <c r="AB869" s="43" t="n">
        <f aca="false">IF(Arterial=0,IF(Informed=1,1,0),0)</f>
        <v>0</v>
      </c>
      <c r="AC869" s="43" t="n">
        <f aca="false">IF(Arterial=0,IF(Informed=0,1,0),0)</f>
        <v>1</v>
      </c>
      <c r="AD869" s="43" t="n">
        <f aca="false">IF(Arterial=1,IF(Informed=1,1,0),0)</f>
        <v>0</v>
      </c>
      <c r="AE869" s="43" t="n">
        <f aca="false">IF(Arterial=1,IF(Informed=0,1,0),0)</f>
        <v>0</v>
      </c>
      <c r="AF869" s="35" t="n">
        <f aca="false">IF(AB869=1,(X869-G$1030)^2,0)</f>
        <v>0</v>
      </c>
      <c r="AG869" s="35" t="n">
        <f aca="false">IF(AC869=1,(Y869-H$1030)^2,0)</f>
        <v>55.7776077215637</v>
      </c>
      <c r="AH869" s="35" t="n">
        <f aca="false">IF(AD869=1,(Z869-I$1030)^2,0)</f>
        <v>0</v>
      </c>
      <c r="AI869" s="35" t="n">
        <f aca="false">IF(AE869=1,(AA869-J$1030)^2,0)</f>
        <v>0</v>
      </c>
      <c r="AJ869" s="37" t="n">
        <f aca="true">IF(RAND()&lt;$D$6,1,0)</f>
        <v>0</v>
      </c>
      <c r="AK869" s="14" t="n">
        <f aca="false">AK868+IF((AJ869=1),IF((H869=0),1,0),0)</f>
        <v>0</v>
      </c>
      <c r="AL869" s="14" t="n">
        <f aca="false">AL868+IF((AJ869=1),IF((H869=1),1,0),0)</f>
        <v>0</v>
      </c>
      <c r="AM869" s="37" t="n">
        <f aca="false">IF(AK869=0,9999,IF($H869=0,IF($AJ869&lt;1,AM868+1,0),AM868))</f>
        <v>9999</v>
      </c>
      <c r="AN869" s="37" t="n">
        <f aca="false">IF(AL869=0,9999,IF($H869=1,IF($AJ869&lt;1,AN868+1,0),AN868))</f>
        <v>9999</v>
      </c>
      <c r="AO869" s="37" t="n">
        <f aca="false">IF($A869-AM869&gt;0,1/(1+AM869),0)</f>
        <v>0</v>
      </c>
      <c r="AP869" s="37" t="n">
        <f aca="false">IF($A869-AN869&gt;0,1/(1+AN869),0)</f>
        <v>0</v>
      </c>
      <c r="AQ869" s="7" t="n">
        <f aca="false">IF(AK869=0,0,MAX(MIN(1,AO869^Power),0))</f>
        <v>0</v>
      </c>
      <c r="AR869" s="7" t="n">
        <f aca="false">IF(AL869=0,0,MAX(MIN(1,AP869^Power),0))</f>
        <v>0</v>
      </c>
      <c r="AS869" s="7" t="n">
        <f aca="false">IF($AJ869=1,IF($H869=0,K869,AS868),AS868)</f>
        <v>0</v>
      </c>
      <c r="AT869" s="7" t="n">
        <f aca="false">IF($AJ869=1,IF($H869=1,N869,AT868),AT868)</f>
        <v>0</v>
      </c>
    </row>
    <row r="870" customFormat="false" ht="13" hidden="false" customHeight="false" outlineLevel="0" collapsed="false">
      <c r="A870" s="16" t="n">
        <v>853</v>
      </c>
      <c r="B870" s="37" t="n">
        <f aca="true">IF(RAND()&lt;$D$8,1,0)</f>
        <v>0</v>
      </c>
      <c r="C870" s="20" t="n">
        <f aca="true">-LN(RAND())/$D$2</f>
        <v>0.284729887131403</v>
      </c>
      <c r="D870" s="38" t="n">
        <f aca="false">D869+C870</f>
        <v>894.75569822488</v>
      </c>
      <c r="E870" s="39" t="n">
        <f aca="false">MAX($E$3,AS869)</f>
        <v>0</v>
      </c>
      <c r="F870" s="39" t="n">
        <f aca="false">MAX($E$3,AT869)</f>
        <v>0</v>
      </c>
      <c r="G870" s="40" t="n">
        <v>0.5</v>
      </c>
      <c r="H870" s="38" t="n">
        <f aca="true">IF((B870=1),(IF((F870&lt;E870),1,(IF((F870=E870),(IF(RAND()&lt;G870,1,0)),0)))),(IF((RAND()&lt;G870),1,0)))</f>
        <v>1</v>
      </c>
      <c r="I870" s="38" t="n">
        <f aca="true">IF((H870=1),0,$D$3+$D$5*(RAND()-0.5))</f>
        <v>0</v>
      </c>
      <c r="J870" s="38" t="n">
        <f aca="false">I870+MAX(D870,J869)</f>
        <v>912.863194370959</v>
      </c>
      <c r="K870" s="38" t="n">
        <f aca="false">IF((H870=0),J870-D870,0)</f>
        <v>0</v>
      </c>
      <c r="L870" s="38" t="n">
        <f aca="true">IF(($H870=0),0,$D$4+$D$5*(RAND()-0.5))</f>
        <v>2.15504186074353</v>
      </c>
      <c r="M870" s="38" t="n">
        <f aca="false">L870+MAX(D870,M869)</f>
        <v>928.845943658556</v>
      </c>
      <c r="N870" s="38" t="n">
        <f aca="false">IF((H870=1),M870-D870,0)</f>
        <v>34.090245433676</v>
      </c>
      <c r="O870" s="16" t="n">
        <v>853</v>
      </c>
      <c r="P870" s="41" t="n">
        <f aca="false">IF((Arterial=0),P869+1,P869)</f>
        <v>403</v>
      </c>
      <c r="Q870" s="41" t="n">
        <f aca="false">IF((Arterial=1),Q869+1,Q869)</f>
        <v>450</v>
      </c>
      <c r="R870" s="42" t="n">
        <f aca="false">IF((RESET=1),0,R870+K870)</f>
        <v>785.390260842873</v>
      </c>
      <c r="S870" s="14" t="e">
        <f aca="false">IF(RESET=1,0,S870+N870)</f>
        <v>#N/A</v>
      </c>
      <c r="T870" s="2" t="n">
        <f aca="false">IF(RESET=1,0,T870+IF(H870=0,1,0))</f>
        <v>38</v>
      </c>
      <c r="U870" s="2" t="e">
        <f aca="false">IF(RESET=1,0,U870+H870)</f>
        <v>#N/A</v>
      </c>
      <c r="V870" s="14" t="n">
        <f aca="false">R870/(T870+0.00001)</f>
        <v>20.6681593200337</v>
      </c>
      <c r="W870" s="14" t="e">
        <f aca="false">S870/(U870+0.0001)</f>
        <v>#N/A</v>
      </c>
      <c r="X870" s="39" t="n">
        <f aca="false">IF(Informed=1,K870,0)</f>
        <v>0</v>
      </c>
      <c r="Y870" s="39" t="n">
        <f aca="false">IF(Informed=0,K870,0)</f>
        <v>0</v>
      </c>
      <c r="Z870" s="39" t="n">
        <f aca="false">IF(Informed=1,N870,0)</f>
        <v>0</v>
      </c>
      <c r="AA870" s="39" t="n">
        <f aca="false">IF(Informed=0,N870,0)</f>
        <v>34.090245433676</v>
      </c>
      <c r="AB870" s="43" t="n">
        <f aca="false">IF(Arterial=0,IF(Informed=1,1,0),0)</f>
        <v>0</v>
      </c>
      <c r="AC870" s="43" t="n">
        <f aca="false">IF(Arterial=0,IF(Informed=0,1,0),0)</f>
        <v>0</v>
      </c>
      <c r="AD870" s="43" t="n">
        <f aca="false">IF(Arterial=1,IF(Informed=1,1,0),0)</f>
        <v>0</v>
      </c>
      <c r="AE870" s="43" t="n">
        <f aca="false">IF(Arterial=1,IF(Informed=0,1,0),0)</f>
        <v>1</v>
      </c>
      <c r="AF870" s="35" t="n">
        <f aca="false">IF(AB870=1,(X870-G$1030)^2,0)</f>
        <v>0</v>
      </c>
      <c r="AG870" s="35" t="n">
        <f aca="false">IF(AC870=1,(Y870-H$1030)^2,0)</f>
        <v>0</v>
      </c>
      <c r="AH870" s="35" t="n">
        <f aca="false">IF(AD870=1,(Z870-I$1030)^2,0)</f>
        <v>0</v>
      </c>
      <c r="AI870" s="35" t="n">
        <f aca="false">IF(AE870=1,(AA870-J$1030)^2,0)</f>
        <v>20.4844084550777</v>
      </c>
      <c r="AJ870" s="37" t="n">
        <f aca="true">IF(RAND()&lt;$D$6,1,0)</f>
        <v>0</v>
      </c>
      <c r="AK870" s="14" t="n">
        <f aca="false">AK869+IF((AJ870=1),IF((H870=0),1,0),0)</f>
        <v>0</v>
      </c>
      <c r="AL870" s="14" t="n">
        <f aca="false">AL869+IF((AJ870=1),IF((H870=1),1,0),0)</f>
        <v>0</v>
      </c>
      <c r="AM870" s="37" t="n">
        <f aca="false">IF(AK870=0,9999,IF($H870=0,IF($AJ870&lt;1,AM869+1,0),AM869))</f>
        <v>9999</v>
      </c>
      <c r="AN870" s="37" t="n">
        <f aca="false">IF(AL870=0,9999,IF($H870=1,IF($AJ870&lt;1,AN869+1,0),AN869))</f>
        <v>9999</v>
      </c>
      <c r="AO870" s="37" t="n">
        <f aca="false">IF($A870-AM870&gt;0,1/(1+AM870),0)</f>
        <v>0</v>
      </c>
      <c r="AP870" s="37" t="n">
        <f aca="false">IF($A870-AN870&gt;0,1/(1+AN870),0)</f>
        <v>0</v>
      </c>
      <c r="AQ870" s="7" t="n">
        <f aca="false">IF(AK870=0,0,MAX(MIN(1,AO870^Power),0))</f>
        <v>0</v>
      </c>
      <c r="AR870" s="7" t="n">
        <f aca="false">IF(AL870=0,0,MAX(MIN(1,AP870^Power),0))</f>
        <v>0</v>
      </c>
      <c r="AS870" s="7" t="n">
        <f aca="false">IF($AJ870=1,IF($H870=0,K870,AS869),AS869)</f>
        <v>0</v>
      </c>
      <c r="AT870" s="7" t="n">
        <f aca="false">IF($AJ870=1,IF($H870=1,N870,AT869),AT869)</f>
        <v>0</v>
      </c>
    </row>
    <row r="871" customFormat="false" ht="13" hidden="false" customHeight="false" outlineLevel="0" collapsed="false">
      <c r="A871" s="16" t="n">
        <v>854</v>
      </c>
      <c r="B871" s="37" t="n">
        <f aca="true">IF(RAND()&lt;$D$8,1,0)</f>
        <v>1</v>
      </c>
      <c r="C871" s="20" t="n">
        <f aca="true">-LN(RAND())/$D$2</f>
        <v>0.631131456060412</v>
      </c>
      <c r="D871" s="38" t="n">
        <f aca="false">D870+C871</f>
        <v>895.386829680941</v>
      </c>
      <c r="E871" s="39" t="n">
        <f aca="false">MAX($E$3,AS870)</f>
        <v>0</v>
      </c>
      <c r="F871" s="39" t="n">
        <f aca="false">MAX($E$3,AT870)</f>
        <v>0</v>
      </c>
      <c r="G871" s="40" t="n">
        <v>0.5</v>
      </c>
      <c r="H871" s="38" t="n">
        <f aca="true">IF((B871=1),(IF((F871&lt;E871),1,(IF((F871=E871),(IF(RAND()&lt;G871,1,0)),0)))),(IF((RAND()&lt;G871),1,0)))</f>
        <v>1</v>
      </c>
      <c r="I871" s="38" t="n">
        <f aca="true">IF((H871=1),0,$D$3+$D$5*(RAND()-0.5))</f>
        <v>0</v>
      </c>
      <c r="J871" s="38" t="n">
        <f aca="false">I871+MAX(D871,J870)</f>
        <v>912.863194370959</v>
      </c>
      <c r="K871" s="38" t="n">
        <f aca="false">IF((H871=0),J871-D871,0)</f>
        <v>0</v>
      </c>
      <c r="L871" s="38" t="n">
        <f aca="true">IF(($H871=0),0,$D$4+$D$5*(RAND()-0.5))</f>
        <v>1.8532932861678</v>
      </c>
      <c r="M871" s="38" t="n">
        <f aca="false">L871+MAX(D871,M870)</f>
        <v>930.699236944724</v>
      </c>
      <c r="N871" s="38" t="n">
        <f aca="false">IF((H871=1),M871-D871,0)</f>
        <v>35.3124072637835</v>
      </c>
      <c r="O871" s="16" t="n">
        <v>854</v>
      </c>
      <c r="P871" s="41" t="n">
        <f aca="false">IF((Arterial=0),P870+1,P870)</f>
        <v>403</v>
      </c>
      <c r="Q871" s="41" t="n">
        <f aca="false">IF((Arterial=1),Q870+1,Q870)</f>
        <v>451</v>
      </c>
      <c r="R871" s="42" t="n">
        <f aca="false">IF((RESET=1),0,R871+K871)</f>
        <v>850.240032484373</v>
      </c>
      <c r="S871" s="14" t="e">
        <f aca="false">IF(RESET=1,0,S871+N871)</f>
        <v>#N/A</v>
      </c>
      <c r="T871" s="2" t="n">
        <f aca="false">IF(RESET=1,0,T871+IF(H871=0,1,0))</f>
        <v>40</v>
      </c>
      <c r="U871" s="2" t="e">
        <f aca="false">IF(RESET=1,0,U871+H871)</f>
        <v>#N/A</v>
      </c>
      <c r="V871" s="14" t="n">
        <f aca="false">R871/(T871+0.00001)</f>
        <v>21.2559954981105</v>
      </c>
      <c r="W871" s="14" t="e">
        <f aca="false">S871/(U871+0.0001)</f>
        <v>#N/A</v>
      </c>
      <c r="X871" s="39" t="n">
        <f aca="false">IF(Informed=1,K871,0)</f>
        <v>0</v>
      </c>
      <c r="Y871" s="39" t="n">
        <f aca="false">IF(Informed=0,K871,0)</f>
        <v>0</v>
      </c>
      <c r="Z871" s="39" t="n">
        <f aca="false">IF(Informed=1,N871,0)</f>
        <v>35.3124072637835</v>
      </c>
      <c r="AA871" s="39" t="n">
        <f aca="false">IF(Informed=0,N871,0)</f>
        <v>0</v>
      </c>
      <c r="AB871" s="43" t="n">
        <f aca="false">IF(Arterial=0,IF(Informed=1,1,0),0)</f>
        <v>0</v>
      </c>
      <c r="AC871" s="43" t="n">
        <f aca="false">IF(Arterial=0,IF(Informed=0,1,0),0)</f>
        <v>0</v>
      </c>
      <c r="AD871" s="43" t="n">
        <f aca="false">IF(Arterial=1,IF(Informed=1,1,0),0)</f>
        <v>1</v>
      </c>
      <c r="AE871" s="43" t="n">
        <f aca="false">IF(Arterial=1,IF(Informed=0,1,0),0)</f>
        <v>0</v>
      </c>
      <c r="AF871" s="35" t="n">
        <f aca="false">IF(AB871=1,(X871-G$1030)^2,0)</f>
        <v>0</v>
      </c>
      <c r="AG871" s="35" t="n">
        <f aca="false">IF(AC871=1,(Y871-H$1030)^2,0)</f>
        <v>0</v>
      </c>
      <c r="AH871" s="35" t="n">
        <f aca="false">IF(AD871=1,(Z871-I$1030)^2,0)</f>
        <v>48.1299117840978</v>
      </c>
      <c r="AI871" s="35" t="n">
        <f aca="false">IF(AE871=1,(AA871-J$1030)^2,0)</f>
        <v>0</v>
      </c>
      <c r="AJ871" s="37" t="n">
        <f aca="true">IF(RAND()&lt;$D$6,1,0)</f>
        <v>0</v>
      </c>
      <c r="AK871" s="14" t="n">
        <f aca="false">AK870+IF((AJ871=1),IF((H871=0),1,0),0)</f>
        <v>0</v>
      </c>
      <c r="AL871" s="14" t="n">
        <f aca="false">AL870+IF((AJ871=1),IF((H871=1),1,0),0)</f>
        <v>0</v>
      </c>
      <c r="AM871" s="37" t="n">
        <f aca="false">IF(AK871=0,9999,IF($H871=0,IF($AJ871&lt;1,AM870+1,0),AM870))</f>
        <v>9999</v>
      </c>
      <c r="AN871" s="37" t="n">
        <f aca="false">IF(AL871=0,9999,IF($H871=1,IF($AJ871&lt;1,AN870+1,0),AN870))</f>
        <v>9999</v>
      </c>
      <c r="AO871" s="37" t="n">
        <f aca="false">IF($A871-AM871&gt;0,1/(1+AM871),0)</f>
        <v>0</v>
      </c>
      <c r="AP871" s="37" t="n">
        <f aca="false">IF($A871-AN871&gt;0,1/(1+AN871),0)</f>
        <v>0</v>
      </c>
      <c r="AQ871" s="7" t="n">
        <f aca="false">IF(AK871=0,0,MAX(MIN(1,AO871^Power),0))</f>
        <v>0</v>
      </c>
      <c r="AR871" s="7" t="n">
        <f aca="false">IF(AL871=0,0,MAX(MIN(1,AP871^Power),0))</f>
        <v>0</v>
      </c>
      <c r="AS871" s="7" t="n">
        <f aca="false">IF($AJ871=1,IF($H871=0,K871,AS870),AS870)</f>
        <v>0</v>
      </c>
      <c r="AT871" s="7" t="n">
        <f aca="false">IF($AJ871=1,IF($H871=1,N871,AT870),AT870)</f>
        <v>0</v>
      </c>
    </row>
    <row r="872" customFormat="false" ht="13" hidden="false" customHeight="false" outlineLevel="0" collapsed="false">
      <c r="A872" s="16" t="n">
        <v>855</v>
      </c>
      <c r="B872" s="37" t="n">
        <f aca="true">IF(RAND()&lt;$D$8,1,0)</f>
        <v>1</v>
      </c>
      <c r="C872" s="20" t="n">
        <f aca="true">-LN(RAND())/$D$2</f>
        <v>0.617823137328787</v>
      </c>
      <c r="D872" s="38" t="n">
        <f aca="false">D871+C872</f>
        <v>896.00465281827</v>
      </c>
      <c r="E872" s="39" t="n">
        <f aca="false">MAX($E$3,AS871)</f>
        <v>0</v>
      </c>
      <c r="F872" s="39" t="n">
        <f aca="false">MAX($E$3,AT871)</f>
        <v>0</v>
      </c>
      <c r="G872" s="40" t="n">
        <v>0.5</v>
      </c>
      <c r="H872" s="38" t="n">
        <f aca="true">IF((B872=1),(IF((F872&lt;E872),1,(IF((F872=E872),(IF(RAND()&lt;G872,1,0)),0)))),(IF((RAND()&lt;G872),1,0)))</f>
        <v>0</v>
      </c>
      <c r="I872" s="38" t="n">
        <f aca="true">IF((H872=1),0,$D$3+$D$5*(RAND()-0.5))</f>
        <v>1.94383419882952</v>
      </c>
      <c r="J872" s="38" t="n">
        <f aca="false">I872+MAX(D872,J871)</f>
        <v>914.807028569789</v>
      </c>
      <c r="K872" s="38" t="n">
        <f aca="false">IF((H872=0),J872-D872,0)</f>
        <v>18.8023757515191</v>
      </c>
      <c r="L872" s="38" t="n">
        <f aca="true">IF(($H872=0),0,$D$4+$D$5*(RAND()-0.5))</f>
        <v>0</v>
      </c>
      <c r="M872" s="38" t="n">
        <f aca="false">L872+MAX(D872,M871)</f>
        <v>930.699236944724</v>
      </c>
      <c r="N872" s="38" t="n">
        <f aca="false">IF((H872=1),M872-D872,0)</f>
        <v>0</v>
      </c>
      <c r="O872" s="16" t="n">
        <v>855</v>
      </c>
      <c r="P872" s="41" t="n">
        <f aca="false">IF((Arterial=0),P871+1,P871)</f>
        <v>404</v>
      </c>
      <c r="Q872" s="41" t="n">
        <f aca="false">IF((Arterial=1),Q871+1,Q871)</f>
        <v>451</v>
      </c>
      <c r="R872" s="42" t="e">
        <f aca="false">IF((RESET=1),0,R872+K872)</f>
        <v>#N/A</v>
      </c>
      <c r="S872" s="14" t="n">
        <f aca="false">IF(RESET=1,0,S872+N872)</f>
        <v>831.883913672132</v>
      </c>
      <c r="T872" s="2" t="e">
        <f aca="false">IF(RESET=1,0,T872+IF(H872=0,1,0))</f>
        <v>#N/A</v>
      </c>
      <c r="U872" s="2" t="n">
        <f aca="false">IF(RESET=1,0,U872+H872)</f>
        <v>42</v>
      </c>
      <c r="V872" s="14" t="e">
        <f aca="false">R872/(T872+0.00001)</f>
        <v>#N/A</v>
      </c>
      <c r="W872" s="14" t="n">
        <f aca="false">S872/(U872+0.0001)</f>
        <v>19.8067126904967</v>
      </c>
      <c r="X872" s="39" t="n">
        <f aca="false">IF(Informed=1,K872,0)</f>
        <v>18.8023757515191</v>
      </c>
      <c r="Y872" s="39" t="n">
        <f aca="false">IF(Informed=0,K872,0)</f>
        <v>0</v>
      </c>
      <c r="Z872" s="39" t="n">
        <f aca="false">IF(Informed=1,N872,0)</f>
        <v>0</v>
      </c>
      <c r="AA872" s="39" t="n">
        <f aca="false">IF(Informed=0,N872,0)</f>
        <v>0</v>
      </c>
      <c r="AB872" s="43" t="n">
        <f aca="false">IF(Arterial=0,IF(Informed=1,1,0),0)</f>
        <v>1</v>
      </c>
      <c r="AC872" s="43" t="n">
        <f aca="false">IF(Arterial=0,IF(Informed=0,1,0),0)</f>
        <v>0</v>
      </c>
      <c r="AD872" s="43" t="n">
        <f aca="false">IF(Arterial=1,IF(Informed=1,1,0),0)</f>
        <v>0</v>
      </c>
      <c r="AE872" s="43" t="n">
        <f aca="false">IF(Arterial=1,IF(Informed=0,1,0),0)</f>
        <v>0</v>
      </c>
      <c r="AF872" s="35" t="n">
        <f aca="false">IF(AB872=1,(X872-G$1030)^2,0)</f>
        <v>65.4917529841659</v>
      </c>
      <c r="AG872" s="35" t="n">
        <f aca="false">IF(AC872=1,(Y872-H$1030)^2,0)</f>
        <v>0</v>
      </c>
      <c r="AH872" s="35" t="n">
        <f aca="false">IF(AD872=1,(Z872-I$1030)^2,0)</f>
        <v>0</v>
      </c>
      <c r="AI872" s="35" t="n">
        <f aca="false">IF(AE872=1,(AA872-J$1030)^2,0)</f>
        <v>0</v>
      </c>
      <c r="AJ872" s="37" t="n">
        <f aca="true">IF(RAND()&lt;$D$6,1,0)</f>
        <v>0</v>
      </c>
      <c r="AK872" s="14" t="n">
        <f aca="false">AK871+IF((AJ872=1),IF((H872=0),1,0),0)</f>
        <v>0</v>
      </c>
      <c r="AL872" s="14" t="n">
        <f aca="false">AL871+IF((AJ872=1),IF((H872=1),1,0),0)</f>
        <v>0</v>
      </c>
      <c r="AM872" s="37" t="n">
        <f aca="false">IF(AK872=0,9999,IF($H872=0,IF($AJ872&lt;1,AM871+1,0),AM871))</f>
        <v>9999</v>
      </c>
      <c r="AN872" s="37" t="n">
        <f aca="false">IF(AL872=0,9999,IF($H872=1,IF($AJ872&lt;1,AN871+1,0),AN871))</f>
        <v>9999</v>
      </c>
      <c r="AO872" s="37" t="n">
        <f aca="false">IF($A872-AM872&gt;0,1/(1+AM872),0)</f>
        <v>0</v>
      </c>
      <c r="AP872" s="37" t="n">
        <f aca="false">IF($A872-AN872&gt;0,1/(1+AN872),0)</f>
        <v>0</v>
      </c>
      <c r="AQ872" s="7" t="n">
        <f aca="false">IF(AK872=0,0,MAX(MIN(1,AO872^Power),0))</f>
        <v>0</v>
      </c>
      <c r="AR872" s="7" t="n">
        <f aca="false">IF(AL872=0,0,MAX(MIN(1,AP872^Power),0))</f>
        <v>0</v>
      </c>
      <c r="AS872" s="7" t="n">
        <f aca="false">IF($AJ872=1,IF($H872=0,K872,AS871),AS871)</f>
        <v>0</v>
      </c>
      <c r="AT872" s="7" t="n">
        <f aca="false">IF($AJ872=1,IF($H872=1,N872,AT871),AT871)</f>
        <v>0</v>
      </c>
    </row>
    <row r="873" customFormat="false" ht="13" hidden="false" customHeight="false" outlineLevel="0" collapsed="false">
      <c r="A873" s="16" t="n">
        <v>856</v>
      </c>
      <c r="B873" s="37" t="n">
        <f aca="true">IF(RAND()&lt;$D$8,1,0)</f>
        <v>1</v>
      </c>
      <c r="C873" s="20" t="n">
        <f aca="true">-LN(RAND())/$D$2</f>
        <v>1.92578922894591</v>
      </c>
      <c r="D873" s="38" t="n">
        <f aca="false">D872+C873</f>
        <v>897.930442047215</v>
      </c>
      <c r="E873" s="39" t="n">
        <f aca="false">MAX($E$3,AS872)</f>
        <v>0</v>
      </c>
      <c r="F873" s="39" t="n">
        <f aca="false">MAX($E$3,AT872)</f>
        <v>0</v>
      </c>
      <c r="G873" s="40" t="n">
        <v>0.5</v>
      </c>
      <c r="H873" s="38" t="n">
        <f aca="true">IF((B873=1),(IF((F873&lt;E873),1,(IF((F873=E873),(IF(RAND()&lt;G873,1,0)),0)))),(IF((RAND()&lt;G873),1,0)))</f>
        <v>0</v>
      </c>
      <c r="I873" s="38" t="n">
        <f aca="true">IF((H873=1),0,$D$3+$D$5*(RAND()-0.5))</f>
        <v>2.21226546885666</v>
      </c>
      <c r="J873" s="38" t="n">
        <f aca="false">I873+MAX(D873,J872)</f>
        <v>917.019294038645</v>
      </c>
      <c r="K873" s="38" t="n">
        <f aca="false">IF((H873=0),J873-D873,0)</f>
        <v>19.0888519914299</v>
      </c>
      <c r="L873" s="38" t="n">
        <f aca="true">IF(($H873=0),0,$D$4+$D$5*(RAND()-0.5))</f>
        <v>0</v>
      </c>
      <c r="M873" s="38" t="n">
        <f aca="false">L873+MAX(D873,M872)</f>
        <v>930.699236944724</v>
      </c>
      <c r="N873" s="38" t="n">
        <f aca="false">IF((H873=1),M873-D873,0)</f>
        <v>0</v>
      </c>
      <c r="O873" s="16" t="n">
        <v>856</v>
      </c>
      <c r="P873" s="41" t="n">
        <f aca="false">IF((Arterial=0),P872+1,P872)</f>
        <v>405</v>
      </c>
      <c r="Q873" s="41" t="n">
        <f aca="false">IF((Arterial=1),Q872+1,Q872)</f>
        <v>451</v>
      </c>
      <c r="R873" s="42" t="e">
        <f aca="false">IF((RESET=1),0,R873+K873)</f>
        <v>#N/A</v>
      </c>
      <c r="S873" s="14" t="n">
        <f aca="false">IF(RESET=1,0,S873+N873)</f>
        <v>716.250873816388</v>
      </c>
      <c r="T873" s="2" t="e">
        <f aca="false">IF(RESET=1,0,T873+IF(H873=0,1,0))</f>
        <v>#N/A</v>
      </c>
      <c r="U873" s="2" t="n">
        <f aca="false">IF(RESET=1,0,U873+H873)</f>
        <v>41</v>
      </c>
      <c r="V873" s="14" t="e">
        <f aca="false">R873/(T873+0.00001)</f>
        <v>#N/A</v>
      </c>
      <c r="W873" s="14" t="n">
        <f aca="false">S873/(U873+0.0001)</f>
        <v>17.4694908992024</v>
      </c>
      <c r="X873" s="39" t="n">
        <f aca="false">IF(Informed=1,K873,0)</f>
        <v>19.0888519914299</v>
      </c>
      <c r="Y873" s="39" t="n">
        <f aca="false">IF(Informed=0,K873,0)</f>
        <v>0</v>
      </c>
      <c r="Z873" s="39" t="n">
        <f aca="false">IF(Informed=1,N873,0)</f>
        <v>0</v>
      </c>
      <c r="AA873" s="39" t="n">
        <f aca="false">IF(Informed=0,N873,0)</f>
        <v>0</v>
      </c>
      <c r="AB873" s="43" t="n">
        <f aca="false">IF(Arterial=0,IF(Informed=1,1,0),0)</f>
        <v>1</v>
      </c>
      <c r="AC873" s="43" t="n">
        <f aca="false">IF(Arterial=0,IF(Informed=0,1,0),0)</f>
        <v>0</v>
      </c>
      <c r="AD873" s="43" t="n">
        <f aca="false">IF(Arterial=1,IF(Informed=1,1,0),0)</f>
        <v>0</v>
      </c>
      <c r="AE873" s="43" t="n">
        <f aca="false">IF(Arterial=1,IF(Informed=0,1,0),0)</f>
        <v>0</v>
      </c>
      <c r="AF873" s="35" t="n">
        <f aca="false">IF(AB873=1,(X873-G$1030)^2,0)</f>
        <v>70.2105527268519</v>
      </c>
      <c r="AG873" s="35" t="n">
        <f aca="false">IF(AC873=1,(Y873-H$1030)^2,0)</f>
        <v>0</v>
      </c>
      <c r="AH873" s="35" t="n">
        <f aca="false">IF(AD873=1,(Z873-I$1030)^2,0)</f>
        <v>0</v>
      </c>
      <c r="AI873" s="35" t="n">
        <f aca="false">IF(AE873=1,(AA873-J$1030)^2,0)</f>
        <v>0</v>
      </c>
      <c r="AJ873" s="37" t="n">
        <f aca="true">IF(RAND()&lt;$D$6,1,0)</f>
        <v>0</v>
      </c>
      <c r="AK873" s="14" t="n">
        <f aca="false">AK872+IF((AJ873=1),IF((H873=0),1,0),0)</f>
        <v>0</v>
      </c>
      <c r="AL873" s="14" t="n">
        <f aca="false">AL872+IF((AJ873=1),IF((H873=1),1,0),0)</f>
        <v>0</v>
      </c>
      <c r="AM873" s="37" t="n">
        <f aca="false">IF(AK873=0,9999,IF($H873=0,IF($AJ873&lt;1,AM872+1,0),AM872))</f>
        <v>9999</v>
      </c>
      <c r="AN873" s="37" t="n">
        <f aca="false">IF(AL873=0,9999,IF($H873=1,IF($AJ873&lt;1,AN872+1,0),AN872))</f>
        <v>9999</v>
      </c>
      <c r="AO873" s="37" t="n">
        <f aca="false">IF($A873-AM873&gt;0,1/(1+AM873),0)</f>
        <v>0</v>
      </c>
      <c r="AP873" s="37" t="n">
        <f aca="false">IF($A873-AN873&gt;0,1/(1+AN873),0)</f>
        <v>0</v>
      </c>
      <c r="AQ873" s="7" t="n">
        <f aca="false">IF(AK873=0,0,MAX(MIN(1,AO873^Power),0))</f>
        <v>0</v>
      </c>
      <c r="AR873" s="7" t="n">
        <f aca="false">IF(AL873=0,0,MAX(MIN(1,AP873^Power),0))</f>
        <v>0</v>
      </c>
      <c r="AS873" s="7" t="n">
        <f aca="false">IF($AJ873=1,IF($H873=0,K873,AS872),AS872)</f>
        <v>0</v>
      </c>
      <c r="AT873" s="7" t="n">
        <f aca="false">IF($AJ873=1,IF($H873=1,N873,AT872),AT872)</f>
        <v>0</v>
      </c>
    </row>
    <row r="874" customFormat="false" ht="13" hidden="false" customHeight="false" outlineLevel="0" collapsed="false">
      <c r="A874" s="16" t="n">
        <v>857</v>
      </c>
      <c r="B874" s="37" t="n">
        <f aca="true">IF(RAND()&lt;$D$8,1,0)</f>
        <v>0</v>
      </c>
      <c r="C874" s="20" t="n">
        <f aca="true">-LN(RAND())/$D$2</f>
        <v>0.37004109991396</v>
      </c>
      <c r="D874" s="38" t="n">
        <f aca="false">D873+C874</f>
        <v>898.300483147129</v>
      </c>
      <c r="E874" s="39" t="n">
        <f aca="false">MAX($E$3,AS873)</f>
        <v>0</v>
      </c>
      <c r="F874" s="39" t="n">
        <f aca="false">MAX($E$3,AT873)</f>
        <v>0</v>
      </c>
      <c r="G874" s="40" t="n">
        <v>0.5</v>
      </c>
      <c r="H874" s="38" t="n">
        <f aca="true">IF((B874=1),(IF((F874&lt;E874),1,(IF((F874=E874),(IF(RAND()&lt;G874,1,0)),0)))),(IF((RAND()&lt;G874),1,0)))</f>
        <v>0</v>
      </c>
      <c r="I874" s="38" t="n">
        <f aca="true">IF((H874=1),0,$D$3+$D$5*(RAND()-0.5))</f>
        <v>1.99552050367627</v>
      </c>
      <c r="J874" s="38" t="n">
        <f aca="false">I874+MAX(D874,J873)</f>
        <v>919.014814542322</v>
      </c>
      <c r="K874" s="38" t="n">
        <f aca="false">IF((H874=0),J874-D874,0)</f>
        <v>20.7143313951923</v>
      </c>
      <c r="L874" s="38" t="n">
        <f aca="true">IF(($H874=0),0,$D$4+$D$5*(RAND()-0.5))</f>
        <v>0</v>
      </c>
      <c r="M874" s="38" t="n">
        <f aca="false">L874+MAX(D874,M873)</f>
        <v>930.699236944724</v>
      </c>
      <c r="N874" s="38" t="n">
        <f aca="false">IF((H874=1),M874-D874,0)</f>
        <v>0</v>
      </c>
      <c r="O874" s="16" t="n">
        <v>857</v>
      </c>
      <c r="P874" s="41" t="n">
        <f aca="false">IF((Arterial=0),P873+1,P873)</f>
        <v>406</v>
      </c>
      <c r="Q874" s="41" t="n">
        <f aca="false">IF((Arterial=1),Q873+1,Q873)</f>
        <v>451</v>
      </c>
      <c r="R874" s="42" t="e">
        <f aca="false">IF((RESET=1),0,R874+K874)</f>
        <v>#N/A</v>
      </c>
      <c r="S874" s="14" t="n">
        <f aca="false">IF(RESET=1,0,S874+N874)</f>
        <v>915.477205965995</v>
      </c>
      <c r="T874" s="2" t="e">
        <f aca="false">IF(RESET=1,0,T874+IF(H874=0,1,0))</f>
        <v>#N/A</v>
      </c>
      <c r="U874" s="2" t="n">
        <f aca="false">IF(RESET=1,0,U874+H874)</f>
        <v>42</v>
      </c>
      <c r="V874" s="14" t="e">
        <f aca="false">R874/(T874+0.00001)</f>
        <v>#N/A</v>
      </c>
      <c r="W874" s="14" t="n">
        <f aca="false">S874/(U874+0.0001)</f>
        <v>21.7970244348465</v>
      </c>
      <c r="X874" s="39" t="n">
        <f aca="false">IF(Informed=1,K874,0)</f>
        <v>0</v>
      </c>
      <c r="Y874" s="39" t="n">
        <f aca="false">IF(Informed=0,K874,0)</f>
        <v>20.7143313951923</v>
      </c>
      <c r="Z874" s="39" t="n">
        <f aca="false">IF(Informed=1,N874,0)</f>
        <v>0</v>
      </c>
      <c r="AA874" s="39" t="n">
        <f aca="false">IF(Informed=0,N874,0)</f>
        <v>0</v>
      </c>
      <c r="AB874" s="43" t="n">
        <f aca="false">IF(Arterial=0,IF(Informed=1,1,0),0)</f>
        <v>0</v>
      </c>
      <c r="AC874" s="43" t="n">
        <f aca="false">IF(Arterial=0,IF(Informed=0,1,0),0)</f>
        <v>1</v>
      </c>
      <c r="AD874" s="43" t="n">
        <f aca="false">IF(Arterial=1,IF(Informed=1,1,0),0)</f>
        <v>0</v>
      </c>
      <c r="AE874" s="43" t="n">
        <f aca="false">IF(Arterial=1,IF(Informed=0,1,0),0)</f>
        <v>0</v>
      </c>
      <c r="AF874" s="35" t="n">
        <f aca="false">IF(AB874=1,(X874-G$1030)^2,0)</f>
        <v>0</v>
      </c>
      <c r="AG874" s="35" t="n">
        <f aca="false">IF(AC874=1,(Y874-H$1030)^2,0)</f>
        <v>95.8547938070435</v>
      </c>
      <c r="AH874" s="35" t="n">
        <f aca="false">IF(AD874=1,(Z874-I$1030)^2,0)</f>
        <v>0</v>
      </c>
      <c r="AI874" s="35" t="n">
        <f aca="false">IF(AE874=1,(AA874-J$1030)^2,0)</f>
        <v>0</v>
      </c>
      <c r="AJ874" s="37" t="n">
        <f aca="true">IF(RAND()&lt;$D$6,1,0)</f>
        <v>0</v>
      </c>
      <c r="AK874" s="14" t="n">
        <f aca="false">AK873+IF((AJ874=1),IF((H874=0),1,0),0)</f>
        <v>0</v>
      </c>
      <c r="AL874" s="14" t="n">
        <f aca="false">AL873+IF((AJ874=1),IF((H874=1),1,0),0)</f>
        <v>0</v>
      </c>
      <c r="AM874" s="37" t="n">
        <f aca="false">IF(AK874=0,9999,IF($H874=0,IF($AJ874&lt;1,AM873+1,0),AM873))</f>
        <v>9999</v>
      </c>
      <c r="AN874" s="37" t="n">
        <f aca="false">IF(AL874=0,9999,IF($H874=1,IF($AJ874&lt;1,AN873+1,0),AN873))</f>
        <v>9999</v>
      </c>
      <c r="AO874" s="37" t="n">
        <f aca="false">IF($A874-AM874&gt;0,1/(1+AM874),0)</f>
        <v>0</v>
      </c>
      <c r="AP874" s="37" t="n">
        <f aca="false">IF($A874-AN874&gt;0,1/(1+AN874),0)</f>
        <v>0</v>
      </c>
      <c r="AQ874" s="7" t="n">
        <f aca="false">IF(AK874=0,0,MAX(MIN(1,AO874^Power),0))</f>
        <v>0</v>
      </c>
      <c r="AR874" s="7" t="n">
        <f aca="false">IF(AL874=0,0,MAX(MIN(1,AP874^Power),0))</f>
        <v>0</v>
      </c>
      <c r="AS874" s="7" t="n">
        <f aca="false">IF($AJ874=1,IF($H874=0,K874,AS873),AS873)</f>
        <v>0</v>
      </c>
      <c r="AT874" s="7" t="n">
        <f aca="false">IF($AJ874=1,IF($H874=1,N874,AT873),AT873)</f>
        <v>0</v>
      </c>
    </row>
    <row r="875" customFormat="false" ht="13" hidden="false" customHeight="false" outlineLevel="0" collapsed="false">
      <c r="A875" s="16" t="n">
        <v>858</v>
      </c>
      <c r="B875" s="37" t="n">
        <f aca="true">IF(RAND()&lt;$D$8,1,0)</f>
        <v>1</v>
      </c>
      <c r="C875" s="20" t="n">
        <f aca="true">-LN(RAND())/$D$2</f>
        <v>1.08493319119243</v>
      </c>
      <c r="D875" s="38" t="n">
        <f aca="false">D874+C875</f>
        <v>899.385416338322</v>
      </c>
      <c r="E875" s="39" t="n">
        <f aca="false">MAX($E$3,AS874)</f>
        <v>0</v>
      </c>
      <c r="F875" s="39" t="n">
        <f aca="false">MAX($E$3,AT874)</f>
        <v>0</v>
      </c>
      <c r="G875" s="40" t="n">
        <v>0.5</v>
      </c>
      <c r="H875" s="38" t="n">
        <f aca="true">IF((B875=1),(IF((F875&lt;E875),1,(IF((F875=E875),(IF(RAND()&lt;G875,1,0)),0)))),(IF((RAND()&lt;G875),1,0)))</f>
        <v>0</v>
      </c>
      <c r="I875" s="38" t="n">
        <f aca="true">IF((H875=1),0,$D$3+$D$5*(RAND()-0.5))</f>
        <v>2.16801267895148</v>
      </c>
      <c r="J875" s="38" t="n">
        <f aca="false">I875+MAX(D875,J874)</f>
        <v>921.182827221273</v>
      </c>
      <c r="K875" s="38" t="n">
        <f aca="false">IF((H875=0),J875-D875,0)</f>
        <v>21.7974108829513</v>
      </c>
      <c r="L875" s="38" t="n">
        <f aca="true">IF(($H875=0),0,$D$4+$D$5*(RAND()-0.5))</f>
        <v>0</v>
      </c>
      <c r="M875" s="38" t="n">
        <f aca="false">L875+MAX(D875,M874)</f>
        <v>930.699236944724</v>
      </c>
      <c r="N875" s="38" t="n">
        <f aca="false">IF((H875=1),M875-D875,0)</f>
        <v>0</v>
      </c>
      <c r="O875" s="16" t="n">
        <v>858</v>
      </c>
      <c r="P875" s="41" t="n">
        <f aca="false">IF((Arterial=0),P874+1,P874)</f>
        <v>407</v>
      </c>
      <c r="Q875" s="41" t="n">
        <f aca="false">IF((Arterial=1),Q874+1,Q874)</f>
        <v>451</v>
      </c>
      <c r="R875" s="42" t="e">
        <f aca="false">IF((RESET=1),0,R875+K875)</f>
        <v>#N/A</v>
      </c>
      <c r="S875" s="14" t="n">
        <f aca="false">IF(RESET=1,0,S875+N875)</f>
        <v>620.610735884101</v>
      </c>
      <c r="T875" s="2" t="e">
        <f aca="false">IF(RESET=1,0,T875+IF(H875=0,1,0))</f>
        <v>#N/A</v>
      </c>
      <c r="U875" s="2" t="n">
        <f aca="false">IF(RESET=1,0,U875+H875)</f>
        <v>38</v>
      </c>
      <c r="V875" s="14" t="e">
        <f aca="false">R875/(T875+0.00001)</f>
        <v>#N/A</v>
      </c>
      <c r="W875" s="14" t="n">
        <f aca="false">S875/(U875+0.0001)</f>
        <v>16.3318184921645</v>
      </c>
      <c r="X875" s="39" t="n">
        <f aca="false">IF(Informed=1,K875,0)</f>
        <v>21.7974108829513</v>
      </c>
      <c r="Y875" s="39" t="n">
        <f aca="false">IF(Informed=0,K875,0)</f>
        <v>0</v>
      </c>
      <c r="Z875" s="39" t="n">
        <f aca="false">IF(Informed=1,N875,0)</f>
        <v>0</v>
      </c>
      <c r="AA875" s="39" t="n">
        <f aca="false">IF(Informed=0,N875,0)</f>
        <v>0</v>
      </c>
      <c r="AB875" s="43" t="n">
        <f aca="false">IF(Arterial=0,IF(Informed=1,1,0),0)</f>
        <v>1</v>
      </c>
      <c r="AC875" s="43" t="n">
        <f aca="false">IF(Arterial=0,IF(Informed=0,1,0),0)</f>
        <v>0</v>
      </c>
      <c r="AD875" s="43" t="n">
        <f aca="false">IF(Arterial=1,IF(Informed=1,1,0),0)</f>
        <v>0</v>
      </c>
      <c r="AE875" s="43" t="n">
        <f aca="false">IF(Arterial=1,IF(Informed=0,1,0),0)</f>
        <v>0</v>
      </c>
      <c r="AF875" s="35" t="n">
        <f aca="false">IF(AB875=1,(X875-G$1030)^2,0)</f>
        <v>122.937815122136</v>
      </c>
      <c r="AG875" s="35" t="n">
        <f aca="false">IF(AC875=1,(Y875-H$1030)^2,0)</f>
        <v>0</v>
      </c>
      <c r="AH875" s="35" t="n">
        <f aca="false">IF(AD875=1,(Z875-I$1030)^2,0)</f>
        <v>0</v>
      </c>
      <c r="AI875" s="35" t="n">
        <f aca="false">IF(AE875=1,(AA875-J$1030)^2,0)</f>
        <v>0</v>
      </c>
      <c r="AJ875" s="37" t="n">
        <f aca="true">IF(RAND()&lt;$D$6,1,0)</f>
        <v>0</v>
      </c>
      <c r="AK875" s="14" t="n">
        <f aca="false">AK874+IF((AJ875=1),IF((H875=0),1,0),0)</f>
        <v>0</v>
      </c>
      <c r="AL875" s="14" t="n">
        <f aca="false">AL874+IF((AJ875=1),IF((H875=1),1,0),0)</f>
        <v>0</v>
      </c>
      <c r="AM875" s="37" t="n">
        <f aca="false">IF(AK875=0,9999,IF($H875=0,IF($AJ875&lt;1,AM874+1,0),AM874))</f>
        <v>9999</v>
      </c>
      <c r="AN875" s="37" t="n">
        <f aca="false">IF(AL875=0,9999,IF($H875=1,IF($AJ875&lt;1,AN874+1,0),AN874))</f>
        <v>9999</v>
      </c>
      <c r="AO875" s="37" t="n">
        <f aca="false">IF($A875-AM875&gt;0,1/(1+AM875),0)</f>
        <v>0</v>
      </c>
      <c r="AP875" s="37" t="n">
        <f aca="false">IF($A875-AN875&gt;0,1/(1+AN875),0)</f>
        <v>0</v>
      </c>
      <c r="AQ875" s="7" t="n">
        <f aca="false">IF(AK875=0,0,MAX(MIN(1,AO875^Power),0))</f>
        <v>0</v>
      </c>
      <c r="AR875" s="7" t="n">
        <f aca="false">IF(AL875=0,0,MAX(MIN(1,AP875^Power),0))</f>
        <v>0</v>
      </c>
      <c r="AS875" s="7" t="n">
        <f aca="false">IF($AJ875=1,IF($H875=0,K875,AS874),AS874)</f>
        <v>0</v>
      </c>
      <c r="AT875" s="7" t="n">
        <f aca="false">IF($AJ875=1,IF($H875=1,N875,AT874),AT874)</f>
        <v>0</v>
      </c>
    </row>
    <row r="876" customFormat="false" ht="13" hidden="false" customHeight="false" outlineLevel="0" collapsed="false">
      <c r="A876" s="16" t="n">
        <v>859</v>
      </c>
      <c r="B876" s="37" t="n">
        <f aca="true">IF(RAND()&lt;$D$8,1,0)</f>
        <v>0</v>
      </c>
      <c r="C876" s="20" t="n">
        <f aca="true">-LN(RAND())/$D$2</f>
        <v>1.04293898237762</v>
      </c>
      <c r="D876" s="38" t="n">
        <f aca="false">D875+C876</f>
        <v>900.428355320699</v>
      </c>
      <c r="E876" s="39" t="n">
        <f aca="false">MAX($E$3,AS875)</f>
        <v>0</v>
      </c>
      <c r="F876" s="39" t="n">
        <f aca="false">MAX($E$3,AT875)</f>
        <v>0</v>
      </c>
      <c r="G876" s="40" t="n">
        <v>0.5</v>
      </c>
      <c r="H876" s="38" t="n">
        <f aca="true">IF((B876=1),(IF((F876&lt;E876),1,(IF((F876=E876),(IF(RAND()&lt;G876,1,0)),0)))),(IF((RAND()&lt;G876),1,0)))</f>
        <v>1</v>
      </c>
      <c r="I876" s="38" t="n">
        <f aca="true">IF((H876=1),0,$D$3+$D$5*(RAND()-0.5))</f>
        <v>0</v>
      </c>
      <c r="J876" s="38" t="n">
        <f aca="false">I876+MAX(D876,J875)</f>
        <v>921.182827221273</v>
      </c>
      <c r="K876" s="38" t="n">
        <f aca="false">IF((H876=0),J876-D876,0)</f>
        <v>0</v>
      </c>
      <c r="L876" s="38" t="n">
        <f aca="true">IF(($H876=0),0,$D$4+$D$5*(RAND()-0.5))</f>
        <v>1.92275130803177</v>
      </c>
      <c r="M876" s="38" t="n">
        <f aca="false">L876+MAX(D876,M875)</f>
        <v>932.621988252756</v>
      </c>
      <c r="N876" s="38" t="n">
        <f aca="false">IF((H876=1),M876-D876,0)</f>
        <v>32.1936329320567</v>
      </c>
      <c r="O876" s="16" t="n">
        <v>859</v>
      </c>
      <c r="P876" s="41" t="n">
        <f aca="false">IF((Arterial=0),P875+1,P875)</f>
        <v>407</v>
      </c>
      <c r="Q876" s="41" t="n">
        <f aca="false">IF((Arterial=1),Q875+1,Q875)</f>
        <v>452</v>
      </c>
      <c r="R876" s="42" t="n">
        <f aca="false">IF((RESET=1),0,R876+K876)</f>
        <v>753.700418753577</v>
      </c>
      <c r="S876" s="14" t="e">
        <f aca="false">IF(RESET=1,0,S876+N876)</f>
        <v>#N/A</v>
      </c>
      <c r="T876" s="2" t="n">
        <f aca="false">IF(RESET=1,0,T876+IF(H876=0,1,0))</f>
        <v>39</v>
      </c>
      <c r="U876" s="2" t="e">
        <f aca="false">IF(RESET=1,0,U876+H876)</f>
        <v>#N/A</v>
      </c>
      <c r="V876" s="14" t="n">
        <f aca="false">R876/(T876+0.00001)</f>
        <v>19.3256468076182</v>
      </c>
      <c r="W876" s="14" t="e">
        <f aca="false">S876/(U876+0.0001)</f>
        <v>#N/A</v>
      </c>
      <c r="X876" s="39" t="n">
        <f aca="false">IF(Informed=1,K876,0)</f>
        <v>0</v>
      </c>
      <c r="Y876" s="39" t="n">
        <f aca="false">IF(Informed=0,K876,0)</f>
        <v>0</v>
      </c>
      <c r="Z876" s="39" t="n">
        <f aca="false">IF(Informed=1,N876,0)</f>
        <v>0</v>
      </c>
      <c r="AA876" s="39" t="n">
        <f aca="false">IF(Informed=0,N876,0)</f>
        <v>32.1936329320567</v>
      </c>
      <c r="AB876" s="43" t="n">
        <f aca="false">IF(Arterial=0,IF(Informed=1,1,0),0)</f>
        <v>0</v>
      </c>
      <c r="AC876" s="43" t="n">
        <f aca="false">IF(Arterial=0,IF(Informed=0,1,0),0)</f>
        <v>0</v>
      </c>
      <c r="AD876" s="43" t="n">
        <f aca="false">IF(Arterial=1,IF(Informed=1,1,0),0)</f>
        <v>0</v>
      </c>
      <c r="AE876" s="43" t="n">
        <f aca="false">IF(Arterial=1,IF(Informed=0,1,0),0)</f>
        <v>1</v>
      </c>
      <c r="AF876" s="35" t="n">
        <f aca="false">IF(AB876=1,(X876-G$1030)^2,0)</f>
        <v>0</v>
      </c>
      <c r="AG876" s="35" t="n">
        <f aca="false">IF(AC876=1,(Y876-H$1030)^2,0)</f>
        <v>0</v>
      </c>
      <c r="AH876" s="35" t="n">
        <f aca="false">IF(AD876=1,(Z876-I$1030)^2,0)</f>
        <v>0</v>
      </c>
      <c r="AI876" s="35" t="n">
        <f aca="false">IF(AE876=1,(AA876-J$1030)^2,0)</f>
        <v>6.9135231863232</v>
      </c>
      <c r="AJ876" s="37" t="n">
        <f aca="true">IF(RAND()&lt;$D$6,1,0)</f>
        <v>0</v>
      </c>
      <c r="AK876" s="14" t="n">
        <f aca="false">AK875+IF((AJ876=1),IF((H876=0),1,0),0)</f>
        <v>0</v>
      </c>
      <c r="AL876" s="14" t="n">
        <f aca="false">AL875+IF((AJ876=1),IF((H876=1),1,0),0)</f>
        <v>0</v>
      </c>
      <c r="AM876" s="37" t="n">
        <f aca="false">IF(AK876=0,9999,IF($H876=0,IF($AJ876&lt;1,AM875+1,0),AM875))</f>
        <v>9999</v>
      </c>
      <c r="AN876" s="37" t="n">
        <f aca="false">IF(AL876=0,9999,IF($H876=1,IF($AJ876&lt;1,AN875+1,0),AN875))</f>
        <v>9999</v>
      </c>
      <c r="AO876" s="37" t="n">
        <f aca="false">IF($A876-AM876&gt;0,1/(1+AM876),0)</f>
        <v>0</v>
      </c>
      <c r="AP876" s="37" t="n">
        <f aca="false">IF($A876-AN876&gt;0,1/(1+AN876),0)</f>
        <v>0</v>
      </c>
      <c r="AQ876" s="7" t="n">
        <f aca="false">IF(AK876=0,0,MAX(MIN(1,AO876^Power),0))</f>
        <v>0</v>
      </c>
      <c r="AR876" s="7" t="n">
        <f aca="false">IF(AL876=0,0,MAX(MIN(1,AP876^Power),0))</f>
        <v>0</v>
      </c>
      <c r="AS876" s="7" t="n">
        <f aca="false">IF($AJ876=1,IF($H876=0,K876,AS875),AS875)</f>
        <v>0</v>
      </c>
      <c r="AT876" s="7" t="n">
        <f aca="false">IF($AJ876=1,IF($H876=1,N876,AT875),AT875)</f>
        <v>0</v>
      </c>
    </row>
    <row r="877" customFormat="false" ht="13" hidden="false" customHeight="false" outlineLevel="0" collapsed="false">
      <c r="A877" s="16" t="n">
        <v>860</v>
      </c>
      <c r="B877" s="37" t="n">
        <f aca="true">IF(RAND()&lt;$D$8,1,0)</f>
        <v>0</v>
      </c>
      <c r="C877" s="20" t="n">
        <f aca="true">-LN(RAND())/$D$2</f>
        <v>0.137185607219657</v>
      </c>
      <c r="D877" s="38" t="n">
        <f aca="false">D876+C877</f>
        <v>900.565540927919</v>
      </c>
      <c r="E877" s="39" t="n">
        <f aca="false">MAX($E$3,AS876)</f>
        <v>0</v>
      </c>
      <c r="F877" s="39" t="n">
        <f aca="false">MAX($E$3,AT876)</f>
        <v>0</v>
      </c>
      <c r="G877" s="40" t="n">
        <v>0.5</v>
      </c>
      <c r="H877" s="38" t="n">
        <f aca="true">IF((B877=1),(IF((F877&lt;E877),1,(IF((F877=E877),(IF(RAND()&lt;G877,1,0)),0)))),(IF((RAND()&lt;G877),1,0)))</f>
        <v>1</v>
      </c>
      <c r="I877" s="38" t="n">
        <f aca="true">IF((H877=1),0,$D$3+$D$5*(RAND()-0.5))</f>
        <v>0</v>
      </c>
      <c r="J877" s="38" t="n">
        <f aca="false">I877+MAX(D877,J876)</f>
        <v>921.182827221273</v>
      </c>
      <c r="K877" s="38" t="n">
        <f aca="false">IF((H877=0),J877-D877,0)</f>
        <v>0</v>
      </c>
      <c r="L877" s="38" t="n">
        <f aca="true">IF(($H877=0),0,$D$4+$D$5*(RAND()-0.5))</f>
        <v>1.81445443293149</v>
      </c>
      <c r="M877" s="38" t="n">
        <f aca="false">L877+MAX(D877,M876)</f>
        <v>934.436442685688</v>
      </c>
      <c r="N877" s="38" t="n">
        <f aca="false">IF((H877=1),M877-D877,0)</f>
        <v>33.8709017577686</v>
      </c>
      <c r="O877" s="16" t="n">
        <v>860</v>
      </c>
      <c r="P877" s="41" t="n">
        <f aca="false">IF((Arterial=0),P876+1,P876)</f>
        <v>407</v>
      </c>
      <c r="Q877" s="41" t="n">
        <f aca="false">IF((Arterial=1),Q876+1,Q876)</f>
        <v>453</v>
      </c>
      <c r="R877" s="42" t="n">
        <f aca="false">IF((RESET=1),0,R877+K877)</f>
        <v>1108.90456288247</v>
      </c>
      <c r="S877" s="14" t="e">
        <f aca="false">IF(RESET=1,0,S877+N877)</f>
        <v>#N/A</v>
      </c>
      <c r="T877" s="2" t="n">
        <f aca="false">IF(RESET=1,0,T877+IF(H877=0,1,0))</f>
        <v>48</v>
      </c>
      <c r="U877" s="2" t="e">
        <f aca="false">IF(RESET=1,0,U877+H877)</f>
        <v>#N/A</v>
      </c>
      <c r="V877" s="14" t="n">
        <f aca="false">R877/(T877+0.00001)</f>
        <v>23.1021735804319</v>
      </c>
      <c r="W877" s="14" t="e">
        <f aca="false">S877/(U877+0.0001)</f>
        <v>#N/A</v>
      </c>
      <c r="X877" s="39" t="n">
        <f aca="false">IF(Informed=1,K877,0)</f>
        <v>0</v>
      </c>
      <c r="Y877" s="39" t="n">
        <f aca="false">IF(Informed=0,K877,0)</f>
        <v>0</v>
      </c>
      <c r="Z877" s="39" t="n">
        <f aca="false">IF(Informed=1,N877,0)</f>
        <v>0</v>
      </c>
      <c r="AA877" s="39" t="n">
        <f aca="false">IF(Informed=0,N877,0)</f>
        <v>33.8709017577686</v>
      </c>
      <c r="AB877" s="43" t="n">
        <f aca="false">IF(Arterial=0,IF(Informed=1,1,0),0)</f>
        <v>0</v>
      </c>
      <c r="AC877" s="43" t="n">
        <f aca="false">IF(Arterial=0,IF(Informed=0,1,0),0)</f>
        <v>0</v>
      </c>
      <c r="AD877" s="43" t="n">
        <f aca="false">IF(Arterial=1,IF(Informed=1,1,0),0)</f>
        <v>0</v>
      </c>
      <c r="AE877" s="43" t="n">
        <f aca="false">IF(Arterial=1,IF(Informed=0,1,0),0)</f>
        <v>1</v>
      </c>
      <c r="AF877" s="35" t="n">
        <f aca="false">IF(AB877=1,(X877-G$1030)^2,0)</f>
        <v>0</v>
      </c>
      <c r="AG877" s="35" t="n">
        <f aca="false">IF(AC877=1,(Y877-H$1030)^2,0)</f>
        <v>0</v>
      </c>
      <c r="AH877" s="35" t="n">
        <f aca="false">IF(AD877=1,(Z877-I$1030)^2,0)</f>
        <v>0</v>
      </c>
      <c r="AI877" s="35" t="n">
        <f aca="false">IF(AE877=1,(AA877-J$1030)^2,0)</f>
        <v>18.5470341150041</v>
      </c>
      <c r="AJ877" s="37" t="n">
        <f aca="true">IF(RAND()&lt;$D$6,1,0)</f>
        <v>0</v>
      </c>
      <c r="AK877" s="14" t="n">
        <f aca="false">AK876+IF((AJ877=1),IF((H877=0),1,0),0)</f>
        <v>0</v>
      </c>
      <c r="AL877" s="14" t="n">
        <f aca="false">AL876+IF((AJ877=1),IF((H877=1),1,0),0)</f>
        <v>0</v>
      </c>
      <c r="AM877" s="37" t="n">
        <f aca="false">IF(AK877=0,9999,IF($H877=0,IF($AJ877&lt;1,AM876+1,0),AM876))</f>
        <v>9999</v>
      </c>
      <c r="AN877" s="37" t="n">
        <f aca="false">IF(AL877=0,9999,IF($H877=1,IF($AJ877&lt;1,AN876+1,0),AN876))</f>
        <v>9999</v>
      </c>
      <c r="AO877" s="37" t="n">
        <f aca="false">IF($A877-AM877&gt;0,1/(1+AM877),0)</f>
        <v>0</v>
      </c>
      <c r="AP877" s="37" t="n">
        <f aca="false">IF($A877-AN877&gt;0,1/(1+AN877),0)</f>
        <v>0</v>
      </c>
      <c r="AQ877" s="7" t="n">
        <f aca="false">IF(AK877=0,0,MAX(MIN(1,AO877^Power),0))</f>
        <v>0</v>
      </c>
      <c r="AR877" s="7" t="n">
        <f aca="false">IF(AL877=0,0,MAX(MIN(1,AP877^Power),0))</f>
        <v>0</v>
      </c>
      <c r="AS877" s="7" t="n">
        <f aca="false">IF($AJ877=1,IF($H877=0,K877,AS876),AS876)</f>
        <v>0</v>
      </c>
      <c r="AT877" s="7" t="n">
        <f aca="false">IF($AJ877=1,IF($H877=1,N877,AT876),AT876)</f>
        <v>0</v>
      </c>
    </row>
    <row r="878" customFormat="false" ht="13" hidden="false" customHeight="false" outlineLevel="0" collapsed="false">
      <c r="A878" s="16" t="n">
        <v>861</v>
      </c>
      <c r="B878" s="37" t="n">
        <f aca="true">IF(RAND()&lt;$D$8,1,0)</f>
        <v>1</v>
      </c>
      <c r="C878" s="20" t="n">
        <f aca="true">-LN(RAND())/$D$2</f>
        <v>0.102642036155679</v>
      </c>
      <c r="D878" s="38" t="n">
        <f aca="false">D877+C878</f>
        <v>900.668182964075</v>
      </c>
      <c r="E878" s="39" t="n">
        <f aca="false">MAX($E$3,AS877)</f>
        <v>0</v>
      </c>
      <c r="F878" s="39" t="n">
        <f aca="false">MAX($E$3,AT877)</f>
        <v>0</v>
      </c>
      <c r="G878" s="40" t="n">
        <v>0.5</v>
      </c>
      <c r="H878" s="38" t="n">
        <f aca="true">IF((B878=1),(IF((F878&lt;E878),1,(IF((F878=E878),(IF(RAND()&lt;G878,1,0)),0)))),(IF((RAND()&lt;G878),1,0)))</f>
        <v>0</v>
      </c>
      <c r="I878" s="38" t="n">
        <f aca="true">IF((H878=1),0,$D$3+$D$5*(RAND()-0.5))</f>
        <v>2.18851375762404</v>
      </c>
      <c r="J878" s="38" t="n">
        <f aca="false">I878+MAX(D878,J877)</f>
        <v>923.371340978897</v>
      </c>
      <c r="K878" s="38" t="n">
        <f aca="false">IF((H878=0),J878-D878,0)</f>
        <v>22.7031580148225</v>
      </c>
      <c r="L878" s="38" t="n">
        <f aca="true">IF(($H878=0),0,$D$4+$D$5*(RAND()-0.5))</f>
        <v>0</v>
      </c>
      <c r="M878" s="38" t="n">
        <f aca="false">L878+MAX(D878,M877)</f>
        <v>934.436442685688</v>
      </c>
      <c r="N878" s="38" t="n">
        <f aca="false">IF((H878=1),M878-D878,0)</f>
        <v>0</v>
      </c>
      <c r="O878" s="16" t="n">
        <v>861</v>
      </c>
      <c r="P878" s="41" t="n">
        <f aca="false">IF((Arterial=0),P877+1,P877)</f>
        <v>408</v>
      </c>
      <c r="Q878" s="41" t="n">
        <f aca="false">IF((Arterial=1),Q877+1,Q877)</f>
        <v>453</v>
      </c>
      <c r="R878" s="42" t="e">
        <f aca="false">IF((RESET=1),0,R878+K878)</f>
        <v>#N/A</v>
      </c>
      <c r="S878" s="14" t="n">
        <f aca="false">IF(RESET=1,0,S878+N878)</f>
        <v>823.725746043972</v>
      </c>
      <c r="T878" s="2" t="e">
        <f aca="false">IF(RESET=1,0,T878+IF(H878=0,1,0))</f>
        <v>#N/A</v>
      </c>
      <c r="U878" s="2" t="n">
        <f aca="false">IF(RESET=1,0,U878+H878)</f>
        <v>36</v>
      </c>
      <c r="V878" s="14" t="e">
        <f aca="false">R878/(T878+0.00001)</f>
        <v>#N/A</v>
      </c>
      <c r="W878" s="14" t="n">
        <f aca="false">S878/(U878+0.0001)</f>
        <v>22.8812071645349</v>
      </c>
      <c r="X878" s="39" t="n">
        <f aca="false">IF(Informed=1,K878,0)</f>
        <v>22.7031580148225</v>
      </c>
      <c r="Y878" s="39" t="n">
        <f aca="false">IF(Informed=0,K878,0)</f>
        <v>0</v>
      </c>
      <c r="Z878" s="39" t="n">
        <f aca="false">IF(Informed=1,N878,0)</f>
        <v>0</v>
      </c>
      <c r="AA878" s="39" t="n">
        <f aca="false">IF(Informed=0,N878,0)</f>
        <v>0</v>
      </c>
      <c r="AB878" s="43" t="n">
        <f aca="false">IF(Arterial=0,IF(Informed=1,1,0),0)</f>
        <v>1</v>
      </c>
      <c r="AC878" s="43" t="n">
        <f aca="false">IF(Arterial=0,IF(Informed=0,1,0),0)</f>
        <v>0</v>
      </c>
      <c r="AD878" s="43" t="n">
        <f aca="false">IF(Arterial=1,IF(Informed=1,1,0),0)</f>
        <v>0</v>
      </c>
      <c r="AE878" s="43" t="n">
        <f aca="false">IF(Arterial=1,IF(Informed=0,1,0),0)</f>
        <v>0</v>
      </c>
      <c r="AF878" s="35" t="n">
        <f aca="false">IF(AB878=1,(X878-G$1030)^2,0)</f>
        <v>143.843557066422</v>
      </c>
      <c r="AG878" s="35" t="n">
        <f aca="false">IF(AC878=1,(Y878-H$1030)^2,0)</f>
        <v>0</v>
      </c>
      <c r="AH878" s="35" t="n">
        <f aca="false">IF(AD878=1,(Z878-I$1030)^2,0)</f>
        <v>0</v>
      </c>
      <c r="AI878" s="35" t="n">
        <f aca="false">IF(AE878=1,(AA878-J$1030)^2,0)</f>
        <v>0</v>
      </c>
      <c r="AJ878" s="37" t="n">
        <f aca="true">IF(RAND()&lt;$D$6,1,0)</f>
        <v>0</v>
      </c>
      <c r="AK878" s="14" t="n">
        <f aca="false">AK877+IF((AJ878=1),IF((H878=0),1,0),0)</f>
        <v>0</v>
      </c>
      <c r="AL878" s="14" t="n">
        <f aca="false">AL877+IF((AJ878=1),IF((H878=1),1,0),0)</f>
        <v>0</v>
      </c>
      <c r="AM878" s="37" t="n">
        <f aca="false">IF(AK878=0,9999,IF($H878=0,IF($AJ878&lt;1,AM877+1,0),AM877))</f>
        <v>9999</v>
      </c>
      <c r="AN878" s="37" t="n">
        <f aca="false">IF(AL878=0,9999,IF($H878=1,IF($AJ878&lt;1,AN877+1,0),AN877))</f>
        <v>9999</v>
      </c>
      <c r="AO878" s="37" t="n">
        <f aca="false">IF($A878-AM878&gt;0,1/(1+AM878),0)</f>
        <v>0</v>
      </c>
      <c r="AP878" s="37" t="n">
        <f aca="false">IF($A878-AN878&gt;0,1/(1+AN878),0)</f>
        <v>0</v>
      </c>
      <c r="AQ878" s="7" t="n">
        <f aca="false">IF(AK878=0,0,MAX(MIN(1,AO878^Power),0))</f>
        <v>0</v>
      </c>
      <c r="AR878" s="7" t="n">
        <f aca="false">IF(AL878=0,0,MAX(MIN(1,AP878^Power),0))</f>
        <v>0</v>
      </c>
      <c r="AS878" s="7" t="n">
        <f aca="false">IF($AJ878=1,IF($H878=0,K878,AS877),AS877)</f>
        <v>0</v>
      </c>
      <c r="AT878" s="7" t="n">
        <f aca="false">IF($AJ878=1,IF($H878=1,N878,AT877),AT877)</f>
        <v>0</v>
      </c>
    </row>
    <row r="879" customFormat="false" ht="13" hidden="false" customHeight="false" outlineLevel="0" collapsed="false">
      <c r="A879" s="16" t="n">
        <v>862</v>
      </c>
      <c r="B879" s="37" t="n">
        <f aca="true">IF(RAND()&lt;$D$8,1,0)</f>
        <v>1</v>
      </c>
      <c r="C879" s="20" t="n">
        <f aca="true">-LN(RAND())/$D$2</f>
        <v>0.990235643800275</v>
      </c>
      <c r="D879" s="38" t="n">
        <f aca="false">D878+C879</f>
        <v>901.658418607875</v>
      </c>
      <c r="E879" s="39" t="n">
        <f aca="false">MAX($E$3,AS878)</f>
        <v>0</v>
      </c>
      <c r="F879" s="39" t="n">
        <f aca="false">MAX($E$3,AT878)</f>
        <v>0</v>
      </c>
      <c r="G879" s="40" t="n">
        <v>0.5</v>
      </c>
      <c r="H879" s="38" t="n">
        <f aca="true">IF((B879=1),(IF((F879&lt;E879),1,(IF((F879=E879),(IF(RAND()&lt;G879,1,0)),0)))),(IF((RAND()&lt;G879),1,0)))</f>
        <v>1</v>
      </c>
      <c r="I879" s="38" t="n">
        <f aca="true">IF((H879=1),0,$D$3+$D$5*(RAND()-0.5))</f>
        <v>0</v>
      </c>
      <c r="J879" s="38" t="n">
        <f aca="false">I879+MAX(D879,J878)</f>
        <v>923.371340978897</v>
      </c>
      <c r="K879" s="38" t="n">
        <f aca="false">IF((H879=0),J879-D879,0)</f>
        <v>0</v>
      </c>
      <c r="L879" s="38" t="n">
        <f aca="true">IF(($H879=0),0,$D$4+$D$5*(RAND()-0.5))</f>
        <v>2.20230977422956</v>
      </c>
      <c r="M879" s="38" t="n">
        <f aca="false">L879+MAX(D879,M878)</f>
        <v>936.638752459917</v>
      </c>
      <c r="N879" s="38" t="n">
        <f aca="false">IF((H879=1),M879-D879,0)</f>
        <v>34.9803338520422</v>
      </c>
      <c r="O879" s="16" t="n">
        <v>862</v>
      </c>
      <c r="P879" s="41" t="n">
        <f aca="false">IF((Arterial=0),P878+1,P878)</f>
        <v>408</v>
      </c>
      <c r="Q879" s="41" t="n">
        <f aca="false">IF((Arterial=1),Q878+1,Q878)</f>
        <v>454</v>
      </c>
      <c r="R879" s="42" t="n">
        <f aca="false">IF((RESET=1),0,R879+K879)</f>
        <v>947.644501883383</v>
      </c>
      <c r="S879" s="14" t="e">
        <f aca="false">IF(RESET=1,0,S879+N879)</f>
        <v>#N/A</v>
      </c>
      <c r="T879" s="2" t="n">
        <f aca="false">IF(RESET=1,0,T879+IF(H879=0,1,0))</f>
        <v>39</v>
      </c>
      <c r="U879" s="2" t="e">
        <f aca="false">IF(RESET=1,0,U879+H879)</f>
        <v>#N/A</v>
      </c>
      <c r="V879" s="14" t="n">
        <f aca="false">R879/(T879+0.00001)</f>
        <v>24.298570740966</v>
      </c>
      <c r="W879" s="14" t="e">
        <f aca="false">S879/(U879+0.0001)</f>
        <v>#N/A</v>
      </c>
      <c r="X879" s="39" t="n">
        <f aca="false">IF(Informed=1,K879,0)</f>
        <v>0</v>
      </c>
      <c r="Y879" s="39" t="n">
        <f aca="false">IF(Informed=0,K879,0)</f>
        <v>0</v>
      </c>
      <c r="Z879" s="39" t="n">
        <f aca="false">IF(Informed=1,N879,0)</f>
        <v>34.9803338520422</v>
      </c>
      <c r="AA879" s="39" t="n">
        <f aca="false">IF(Informed=0,N879,0)</f>
        <v>0</v>
      </c>
      <c r="AB879" s="43" t="n">
        <f aca="false">IF(Arterial=0,IF(Informed=1,1,0),0)</f>
        <v>0</v>
      </c>
      <c r="AC879" s="43" t="n">
        <f aca="false">IF(Arterial=0,IF(Informed=0,1,0),0)</f>
        <v>0</v>
      </c>
      <c r="AD879" s="43" t="n">
        <f aca="false">IF(Arterial=1,IF(Informed=1,1,0),0)</f>
        <v>1</v>
      </c>
      <c r="AE879" s="43" t="n">
        <f aca="false">IF(Arterial=1,IF(Informed=0,1,0),0)</f>
        <v>0</v>
      </c>
      <c r="AF879" s="35" t="n">
        <f aca="false">IF(AB879=1,(X879-G$1030)^2,0)</f>
        <v>0</v>
      </c>
      <c r="AG879" s="35" t="n">
        <f aca="false">IF(AC879=1,(Y879-H$1030)^2,0)</f>
        <v>0</v>
      </c>
      <c r="AH879" s="35" t="n">
        <f aca="false">IF(AD879=1,(Z879-I$1030)^2,0)</f>
        <v>43.6326178158896</v>
      </c>
      <c r="AI879" s="35" t="n">
        <f aca="false">IF(AE879=1,(AA879-J$1030)^2,0)</f>
        <v>0</v>
      </c>
      <c r="AJ879" s="37" t="n">
        <f aca="true">IF(RAND()&lt;$D$6,1,0)</f>
        <v>0</v>
      </c>
      <c r="AK879" s="14" t="n">
        <f aca="false">AK878+IF((AJ879=1),IF((H879=0),1,0),0)</f>
        <v>0</v>
      </c>
      <c r="AL879" s="14" t="n">
        <f aca="false">AL878+IF((AJ879=1),IF((H879=1),1,0),0)</f>
        <v>0</v>
      </c>
      <c r="AM879" s="37" t="n">
        <f aca="false">IF(AK879=0,9999,IF($H879=0,IF($AJ879&lt;1,AM878+1,0),AM878))</f>
        <v>9999</v>
      </c>
      <c r="AN879" s="37" t="n">
        <f aca="false">IF(AL879=0,9999,IF($H879=1,IF($AJ879&lt;1,AN878+1,0),AN878))</f>
        <v>9999</v>
      </c>
      <c r="AO879" s="37" t="n">
        <f aca="false">IF($A879-AM879&gt;0,1/(1+AM879),0)</f>
        <v>0</v>
      </c>
      <c r="AP879" s="37" t="n">
        <f aca="false">IF($A879-AN879&gt;0,1/(1+AN879),0)</f>
        <v>0</v>
      </c>
      <c r="AQ879" s="7" t="n">
        <f aca="false">IF(AK879=0,0,MAX(MIN(1,AO879^Power),0))</f>
        <v>0</v>
      </c>
      <c r="AR879" s="7" t="n">
        <f aca="false">IF(AL879=0,0,MAX(MIN(1,AP879^Power),0))</f>
        <v>0</v>
      </c>
      <c r="AS879" s="7" t="n">
        <f aca="false">IF($AJ879=1,IF($H879=0,K879,AS878),AS878)</f>
        <v>0</v>
      </c>
      <c r="AT879" s="7" t="n">
        <f aca="false">IF($AJ879=1,IF($H879=1,N879,AT878),AT878)</f>
        <v>0</v>
      </c>
    </row>
    <row r="880" customFormat="false" ht="13" hidden="false" customHeight="false" outlineLevel="0" collapsed="false">
      <c r="A880" s="16" t="n">
        <v>863</v>
      </c>
      <c r="B880" s="37" t="n">
        <f aca="true">IF(RAND()&lt;$D$8,1,0)</f>
        <v>1</v>
      </c>
      <c r="C880" s="20" t="n">
        <f aca="true">-LN(RAND())/$D$2</f>
        <v>0.11924814652059</v>
      </c>
      <c r="D880" s="38" t="n">
        <f aca="false">D879+C880</f>
        <v>901.777666754396</v>
      </c>
      <c r="E880" s="39" t="n">
        <f aca="false">MAX($E$3,AS879)</f>
        <v>0</v>
      </c>
      <c r="F880" s="39" t="n">
        <f aca="false">MAX($E$3,AT879)</f>
        <v>0</v>
      </c>
      <c r="G880" s="40" t="n">
        <v>0.5</v>
      </c>
      <c r="H880" s="38" t="n">
        <f aca="true">IF((B880=1),(IF((F880&lt;E880),1,(IF((F880=E880),(IF(RAND()&lt;G880,1,0)),0)))),(IF((RAND()&lt;G880),1,0)))</f>
        <v>0</v>
      </c>
      <c r="I880" s="38" t="n">
        <f aca="true">IF((H880=1),0,$D$3+$D$5*(RAND()-0.5))</f>
        <v>1.81530180397784</v>
      </c>
      <c r="J880" s="38" t="n">
        <f aca="false">I880+MAX(D880,J879)</f>
        <v>925.186642782875</v>
      </c>
      <c r="K880" s="38" t="n">
        <f aca="false">IF((H880=0),J880-D880,0)</f>
        <v>23.4089760284795</v>
      </c>
      <c r="L880" s="38" t="n">
        <f aca="true">IF(($H880=0),0,$D$4+$D$5*(RAND()-0.5))</f>
        <v>0</v>
      </c>
      <c r="M880" s="38" t="n">
        <f aca="false">L880+MAX(D880,M879)</f>
        <v>936.638752459917</v>
      </c>
      <c r="N880" s="38" t="n">
        <f aca="false">IF((H880=1),M880-D880,0)</f>
        <v>0</v>
      </c>
      <c r="O880" s="16" t="n">
        <v>863</v>
      </c>
      <c r="P880" s="41" t="n">
        <f aca="false">IF((Arterial=0),P879+1,P879)</f>
        <v>409</v>
      </c>
      <c r="Q880" s="41" t="n">
        <f aca="false">IF((Arterial=1),Q879+1,Q879)</f>
        <v>454</v>
      </c>
      <c r="R880" s="42" t="e">
        <f aca="false">IF((RESET=1),0,R880+K880)</f>
        <v>#N/A</v>
      </c>
      <c r="S880" s="14" t="n">
        <f aca="false">IF(RESET=1,0,S880+N880)</f>
        <v>740.214592287314</v>
      </c>
      <c r="T880" s="2" t="e">
        <f aca="false">IF(RESET=1,0,T880+IF(H880=0,1,0))</f>
        <v>#N/A</v>
      </c>
      <c r="U880" s="2" t="n">
        <f aca="false">IF(RESET=1,0,U880+H880)</f>
        <v>50</v>
      </c>
      <c r="V880" s="14" t="e">
        <f aca="false">R880/(T880+0.00001)</f>
        <v>#N/A</v>
      </c>
      <c r="W880" s="14" t="n">
        <f aca="false">S880/(U880+0.0001)</f>
        <v>14.8042622372218</v>
      </c>
      <c r="X880" s="39" t="n">
        <f aca="false">IF(Informed=1,K880,0)</f>
        <v>23.4089760284795</v>
      </c>
      <c r="Y880" s="39" t="n">
        <f aca="false">IF(Informed=0,K880,0)</f>
        <v>0</v>
      </c>
      <c r="Z880" s="39" t="n">
        <f aca="false">IF(Informed=1,N880,0)</f>
        <v>0</v>
      </c>
      <c r="AA880" s="39" t="n">
        <f aca="false">IF(Informed=0,N880,0)</f>
        <v>0</v>
      </c>
      <c r="AB880" s="43" t="n">
        <f aca="false">IF(Arterial=0,IF(Informed=1,1,0),0)</f>
        <v>1</v>
      </c>
      <c r="AC880" s="43" t="n">
        <f aca="false">IF(Arterial=0,IF(Informed=0,1,0),0)</f>
        <v>0</v>
      </c>
      <c r="AD880" s="43" t="n">
        <f aca="false">IF(Arterial=1,IF(Informed=1,1,0),0)</f>
        <v>0</v>
      </c>
      <c r="AE880" s="43" t="n">
        <f aca="false">IF(Arterial=1,IF(Informed=0,1,0),0)</f>
        <v>0</v>
      </c>
      <c r="AF880" s="35" t="n">
        <f aca="false">IF(AB880=1,(X880-G$1030)^2,0)</f>
        <v>161.272164275316</v>
      </c>
      <c r="AG880" s="35" t="n">
        <f aca="false">IF(AC880=1,(Y880-H$1030)^2,0)</f>
        <v>0</v>
      </c>
      <c r="AH880" s="35" t="n">
        <f aca="false">IF(AD880=1,(Z880-I$1030)^2,0)</f>
        <v>0</v>
      </c>
      <c r="AI880" s="35" t="n">
        <f aca="false">IF(AE880=1,(AA880-J$1030)^2,0)</f>
        <v>0</v>
      </c>
      <c r="AJ880" s="37" t="n">
        <f aca="true">IF(RAND()&lt;$D$6,1,0)</f>
        <v>0</v>
      </c>
      <c r="AK880" s="14" t="n">
        <f aca="false">AK879+IF((AJ880=1),IF((H880=0),1,0),0)</f>
        <v>0</v>
      </c>
      <c r="AL880" s="14" t="n">
        <f aca="false">AL879+IF((AJ880=1),IF((H880=1),1,0),0)</f>
        <v>0</v>
      </c>
      <c r="AM880" s="37" t="n">
        <f aca="false">IF(AK880=0,9999,IF($H880=0,IF($AJ880&lt;1,AM879+1,0),AM879))</f>
        <v>9999</v>
      </c>
      <c r="AN880" s="37" t="n">
        <f aca="false">IF(AL880=0,9999,IF($H880=1,IF($AJ880&lt;1,AN879+1,0),AN879))</f>
        <v>9999</v>
      </c>
      <c r="AO880" s="37" t="n">
        <f aca="false">IF($A880-AM880&gt;0,1/(1+AM880),0)</f>
        <v>0</v>
      </c>
      <c r="AP880" s="37" t="n">
        <f aca="false">IF($A880-AN880&gt;0,1/(1+AN880),0)</f>
        <v>0</v>
      </c>
      <c r="AQ880" s="7" t="n">
        <f aca="false">IF(AK880=0,0,MAX(MIN(1,AO880^Power),0))</f>
        <v>0</v>
      </c>
      <c r="AR880" s="7" t="n">
        <f aca="false">IF(AL880=0,0,MAX(MIN(1,AP880^Power),0))</f>
        <v>0</v>
      </c>
      <c r="AS880" s="7" t="n">
        <f aca="false">IF($AJ880=1,IF($H880=0,K880,AS879),AS879)</f>
        <v>0</v>
      </c>
      <c r="AT880" s="7" t="n">
        <f aca="false">IF($AJ880=1,IF($H880=1,N880,AT879),AT879)</f>
        <v>0</v>
      </c>
    </row>
    <row r="881" customFormat="false" ht="13" hidden="false" customHeight="false" outlineLevel="0" collapsed="false">
      <c r="A881" s="16" t="n">
        <v>864</v>
      </c>
      <c r="B881" s="37" t="n">
        <f aca="true">IF(RAND()&lt;$D$8,1,0)</f>
        <v>0</v>
      </c>
      <c r="C881" s="20" t="n">
        <f aca="true">-LN(RAND())/$D$2</f>
        <v>5.73462319651722</v>
      </c>
      <c r="D881" s="38" t="n">
        <f aca="false">D880+C881</f>
        <v>907.512289950913</v>
      </c>
      <c r="E881" s="39" t="n">
        <f aca="false">MAX($E$3,AS880)</f>
        <v>0</v>
      </c>
      <c r="F881" s="39" t="n">
        <f aca="false">MAX($E$3,AT880)</f>
        <v>0</v>
      </c>
      <c r="G881" s="40" t="n">
        <v>0.5</v>
      </c>
      <c r="H881" s="38" t="n">
        <f aca="true">IF((B881=1),(IF((F881&lt;E881),1,(IF((F881=E881),(IF(RAND()&lt;G881,1,0)),0)))),(IF((RAND()&lt;G881),1,0)))</f>
        <v>1</v>
      </c>
      <c r="I881" s="38" t="n">
        <f aca="true">IF((H881=1),0,$D$3+$D$5*(RAND()-0.5))</f>
        <v>0</v>
      </c>
      <c r="J881" s="38" t="n">
        <f aca="false">I881+MAX(D881,J880)</f>
        <v>925.186642782875</v>
      </c>
      <c r="K881" s="38" t="n">
        <f aca="false">IF((H881=0),J881-D881,0)</f>
        <v>0</v>
      </c>
      <c r="L881" s="38" t="n">
        <f aca="true">IF(($H881=0),0,$D$4+$D$5*(RAND()-0.5))</f>
        <v>2.21860164393613</v>
      </c>
      <c r="M881" s="38" t="n">
        <f aca="false">L881+MAX(D881,M880)</f>
        <v>938.857354103853</v>
      </c>
      <c r="N881" s="38" t="n">
        <f aca="false">IF((H881=1),M881-D881,0)</f>
        <v>31.3450641529406</v>
      </c>
      <c r="O881" s="16" t="n">
        <v>864</v>
      </c>
      <c r="P881" s="41" t="n">
        <f aca="false">IF((Arterial=0),P880+1,P880)</f>
        <v>409</v>
      </c>
      <c r="Q881" s="41" t="n">
        <f aca="false">IF((Arterial=1),Q880+1,Q880)</f>
        <v>455</v>
      </c>
      <c r="R881" s="42" t="n">
        <f aca="false">IF((RESET=1),0,R881+K881)</f>
        <v>784.470383202956</v>
      </c>
      <c r="S881" s="14" t="e">
        <f aca="false">IF(RESET=1,0,S881+N881)</f>
        <v>#N/A</v>
      </c>
      <c r="T881" s="2" t="n">
        <f aca="false">IF(RESET=1,0,T881+IF(H881=0,1,0))</f>
        <v>39</v>
      </c>
      <c r="U881" s="2" t="e">
        <f aca="false">IF(RESET=1,0,U881+H881)</f>
        <v>#N/A</v>
      </c>
      <c r="V881" s="14" t="n">
        <f aca="false">R881/(T881+0.00001)</f>
        <v>20.1146200527373</v>
      </c>
      <c r="W881" s="14" t="e">
        <f aca="false">S881/(U881+0.0001)</f>
        <v>#N/A</v>
      </c>
      <c r="X881" s="39" t="n">
        <f aca="false">IF(Informed=1,K881,0)</f>
        <v>0</v>
      </c>
      <c r="Y881" s="39" t="n">
        <f aca="false">IF(Informed=0,K881,0)</f>
        <v>0</v>
      </c>
      <c r="Z881" s="39" t="n">
        <f aca="false">IF(Informed=1,N881,0)</f>
        <v>0</v>
      </c>
      <c r="AA881" s="39" t="n">
        <f aca="false">IF(Informed=0,N881,0)</f>
        <v>31.3450641529406</v>
      </c>
      <c r="AB881" s="43" t="n">
        <f aca="false">IF(Arterial=0,IF(Informed=1,1,0),0)</f>
        <v>0</v>
      </c>
      <c r="AC881" s="43" t="n">
        <f aca="false">IF(Arterial=0,IF(Informed=0,1,0),0)</f>
        <v>0</v>
      </c>
      <c r="AD881" s="43" t="n">
        <f aca="false">IF(Arterial=1,IF(Informed=1,1,0),0)</f>
        <v>0</v>
      </c>
      <c r="AE881" s="43" t="n">
        <f aca="false">IF(Arterial=1,IF(Informed=0,1,0),0)</f>
        <v>1</v>
      </c>
      <c r="AF881" s="35" t="n">
        <f aca="false">IF(AB881=1,(X881-G$1030)^2,0)</f>
        <v>0</v>
      </c>
      <c r="AG881" s="35" t="n">
        <f aca="false">IF(AC881=1,(Y881-H$1030)^2,0)</f>
        <v>0</v>
      </c>
      <c r="AH881" s="35" t="n">
        <f aca="false">IF(AD881=1,(Z881-I$1030)^2,0)</f>
        <v>0</v>
      </c>
      <c r="AI881" s="35" t="n">
        <f aca="false">IF(AE881=1,(AA881-J$1030)^2,0)</f>
        <v>3.17121004207891</v>
      </c>
      <c r="AJ881" s="37" t="n">
        <f aca="true">IF(RAND()&lt;$D$6,1,0)</f>
        <v>0</v>
      </c>
      <c r="AK881" s="14" t="n">
        <f aca="false">AK880+IF((AJ881=1),IF((H881=0),1,0),0)</f>
        <v>0</v>
      </c>
      <c r="AL881" s="14" t="n">
        <f aca="false">AL880+IF((AJ881=1),IF((H881=1),1,0),0)</f>
        <v>0</v>
      </c>
      <c r="AM881" s="37" t="n">
        <f aca="false">IF(AK881=0,9999,IF($H881=0,IF($AJ881&lt;1,AM880+1,0),AM880))</f>
        <v>9999</v>
      </c>
      <c r="AN881" s="37" t="n">
        <f aca="false">IF(AL881=0,9999,IF($H881=1,IF($AJ881&lt;1,AN880+1,0),AN880))</f>
        <v>9999</v>
      </c>
      <c r="AO881" s="37" t="n">
        <f aca="false">IF($A881-AM881&gt;0,1/(1+AM881),0)</f>
        <v>0</v>
      </c>
      <c r="AP881" s="37" t="n">
        <f aca="false">IF($A881-AN881&gt;0,1/(1+AN881),0)</f>
        <v>0</v>
      </c>
      <c r="AQ881" s="7" t="n">
        <f aca="false">IF(AK881=0,0,MAX(MIN(1,AO881^Power),0))</f>
        <v>0</v>
      </c>
      <c r="AR881" s="7" t="n">
        <f aca="false">IF(AL881=0,0,MAX(MIN(1,AP881^Power),0))</f>
        <v>0</v>
      </c>
      <c r="AS881" s="7" t="n">
        <f aca="false">IF($AJ881=1,IF($H881=0,K881,AS880),AS880)</f>
        <v>0</v>
      </c>
      <c r="AT881" s="7" t="n">
        <f aca="false">IF($AJ881=1,IF($H881=1,N881,AT880),AT880)</f>
        <v>0</v>
      </c>
    </row>
    <row r="882" customFormat="false" ht="13" hidden="false" customHeight="false" outlineLevel="0" collapsed="false">
      <c r="A882" s="16" t="n">
        <v>865</v>
      </c>
      <c r="B882" s="37" t="n">
        <f aca="true">IF(RAND()&lt;$D$8,1,0)</f>
        <v>1</v>
      </c>
      <c r="C882" s="20" t="n">
        <f aca="true">-LN(RAND())/$D$2</f>
        <v>0.358955985224909</v>
      </c>
      <c r="D882" s="38" t="n">
        <f aca="false">D881+C882</f>
        <v>907.871245936138</v>
      </c>
      <c r="E882" s="39" t="n">
        <f aca="false">MAX($E$3,AS881)</f>
        <v>0</v>
      </c>
      <c r="F882" s="39" t="n">
        <f aca="false">MAX($E$3,AT881)</f>
        <v>0</v>
      </c>
      <c r="G882" s="40" t="n">
        <v>0.5</v>
      </c>
      <c r="H882" s="38" t="n">
        <f aca="true">IF((B882=1),(IF((F882&lt;E882),1,(IF((F882=E882),(IF(RAND()&lt;G882,1,0)),0)))),(IF((RAND()&lt;G882),1,0)))</f>
        <v>1</v>
      </c>
      <c r="I882" s="38" t="n">
        <f aca="true">IF((H882=1),0,$D$3+$D$5*(RAND()-0.5))</f>
        <v>0</v>
      </c>
      <c r="J882" s="38" t="n">
        <f aca="false">I882+MAX(D882,J881)</f>
        <v>925.186642782875</v>
      </c>
      <c r="K882" s="38" t="n">
        <f aca="false">IF((H882=0),J882-D882,0)</f>
        <v>0</v>
      </c>
      <c r="L882" s="38" t="n">
        <f aca="true">IF(($H882=0),0,$D$4+$D$5*(RAND()-0.5))</f>
        <v>2.08426788767393</v>
      </c>
      <c r="M882" s="38" t="n">
        <f aca="false">L882+MAX(D882,M881)</f>
        <v>940.941621991527</v>
      </c>
      <c r="N882" s="38" t="n">
        <f aca="false">IF((H882=1),M882-D882,0)</f>
        <v>33.0703760553896</v>
      </c>
      <c r="O882" s="16" t="n">
        <v>865</v>
      </c>
      <c r="P882" s="41" t="n">
        <f aca="false">IF((Arterial=0),P881+1,P881)</f>
        <v>409</v>
      </c>
      <c r="Q882" s="41" t="n">
        <f aca="false">IF((Arterial=1),Q881+1,Q881)</f>
        <v>456</v>
      </c>
      <c r="R882" s="42" t="n">
        <f aca="false">IF((RESET=1),0,R882+K882)</f>
        <v>741.188991300976</v>
      </c>
      <c r="S882" s="14" t="e">
        <f aca="false">IF(RESET=1,0,S882+N882)</f>
        <v>#N/A</v>
      </c>
      <c r="T882" s="2" t="n">
        <f aca="false">IF(RESET=1,0,T882+IF(H882=0,1,0))</f>
        <v>38</v>
      </c>
      <c r="U882" s="2" t="e">
        <f aca="false">IF(RESET=1,0,U882+H882)</f>
        <v>#N/A</v>
      </c>
      <c r="V882" s="14" t="n">
        <f aca="false">R882/(T882+0.00001)</f>
        <v>19.5049683224024</v>
      </c>
      <c r="W882" s="14" t="e">
        <f aca="false">S882/(U882+0.0001)</f>
        <v>#N/A</v>
      </c>
      <c r="X882" s="39" t="n">
        <f aca="false">IF(Informed=1,K882,0)</f>
        <v>0</v>
      </c>
      <c r="Y882" s="39" t="n">
        <f aca="false">IF(Informed=0,K882,0)</f>
        <v>0</v>
      </c>
      <c r="Z882" s="39" t="n">
        <f aca="false">IF(Informed=1,N882,0)</f>
        <v>33.0703760553896</v>
      </c>
      <c r="AA882" s="39" t="n">
        <f aca="false">IF(Informed=0,N882,0)</f>
        <v>0</v>
      </c>
      <c r="AB882" s="43" t="n">
        <f aca="false">IF(Arterial=0,IF(Informed=1,1,0),0)</f>
        <v>0</v>
      </c>
      <c r="AC882" s="43" t="n">
        <f aca="false">IF(Arterial=0,IF(Informed=0,1,0),0)</f>
        <v>0</v>
      </c>
      <c r="AD882" s="43" t="n">
        <f aca="false">IF(Arterial=1,IF(Informed=1,1,0),0)</f>
        <v>1</v>
      </c>
      <c r="AE882" s="43" t="n">
        <f aca="false">IF(Arterial=1,IF(Informed=0,1,0),0)</f>
        <v>0</v>
      </c>
      <c r="AF882" s="35" t="n">
        <f aca="false">IF(AB882=1,(X882-G$1030)^2,0)</f>
        <v>0</v>
      </c>
      <c r="AG882" s="35" t="n">
        <f aca="false">IF(AC882=1,(Y882-H$1030)^2,0)</f>
        <v>0</v>
      </c>
      <c r="AH882" s="35" t="n">
        <f aca="false">IF(AD882=1,(Z882-I$1030)^2,0)</f>
        <v>22.0481077445867</v>
      </c>
      <c r="AI882" s="35" t="n">
        <f aca="false">IF(AE882=1,(AA882-J$1030)^2,0)</f>
        <v>0</v>
      </c>
      <c r="AJ882" s="37" t="n">
        <f aca="true">IF(RAND()&lt;$D$6,1,0)</f>
        <v>0</v>
      </c>
      <c r="AK882" s="14" t="n">
        <f aca="false">AK881+IF((AJ882=1),IF((H882=0),1,0),0)</f>
        <v>0</v>
      </c>
      <c r="AL882" s="14" t="n">
        <f aca="false">AL881+IF((AJ882=1),IF((H882=1),1,0),0)</f>
        <v>0</v>
      </c>
      <c r="AM882" s="37" t="n">
        <f aca="false">IF(AK882=0,9999,IF($H882=0,IF($AJ882&lt;1,AM881+1,0),AM881))</f>
        <v>9999</v>
      </c>
      <c r="AN882" s="37" t="n">
        <f aca="false">IF(AL882=0,9999,IF($H882=1,IF($AJ882&lt;1,AN881+1,0),AN881))</f>
        <v>9999</v>
      </c>
      <c r="AO882" s="37" t="n">
        <f aca="false">IF($A882-AM882&gt;0,1/(1+AM882),0)</f>
        <v>0</v>
      </c>
      <c r="AP882" s="37" t="n">
        <f aca="false">IF($A882-AN882&gt;0,1/(1+AN882),0)</f>
        <v>0</v>
      </c>
      <c r="AQ882" s="7" t="n">
        <f aca="false">IF(AK882=0,0,MAX(MIN(1,AO882^Power),0))</f>
        <v>0</v>
      </c>
      <c r="AR882" s="7" t="n">
        <f aca="false">IF(AL882=0,0,MAX(MIN(1,AP882^Power),0))</f>
        <v>0</v>
      </c>
      <c r="AS882" s="7" t="n">
        <f aca="false">IF($AJ882=1,IF($H882=0,K882,AS881),AS881)</f>
        <v>0</v>
      </c>
      <c r="AT882" s="7" t="n">
        <f aca="false">IF($AJ882=1,IF($H882=1,N882,AT881),AT881)</f>
        <v>0</v>
      </c>
    </row>
    <row r="883" customFormat="false" ht="13" hidden="false" customHeight="false" outlineLevel="0" collapsed="false">
      <c r="A883" s="16" t="n">
        <v>866</v>
      </c>
      <c r="B883" s="37" t="n">
        <f aca="true">IF(RAND()&lt;$D$8,1,0)</f>
        <v>1</v>
      </c>
      <c r="C883" s="20" t="n">
        <f aca="true">-LN(RAND())/$D$2</f>
        <v>0.70127809355929</v>
      </c>
      <c r="D883" s="38" t="n">
        <f aca="false">D882+C883</f>
        <v>908.572524029697</v>
      </c>
      <c r="E883" s="39" t="n">
        <f aca="false">MAX($E$3,AS882)</f>
        <v>0</v>
      </c>
      <c r="F883" s="39" t="n">
        <f aca="false">MAX($E$3,AT882)</f>
        <v>0</v>
      </c>
      <c r="G883" s="40" t="n">
        <v>0.5</v>
      </c>
      <c r="H883" s="38" t="n">
        <f aca="true">IF((B883=1),(IF((F883&lt;E883),1,(IF((F883=E883),(IF(RAND()&lt;G883,1,0)),0)))),(IF((RAND()&lt;G883),1,0)))</f>
        <v>0</v>
      </c>
      <c r="I883" s="38" t="n">
        <f aca="true">IF((H883=1),0,$D$3+$D$5*(RAND()-0.5))</f>
        <v>1.93899088096961</v>
      </c>
      <c r="J883" s="38" t="n">
        <f aca="false">I883+MAX(D883,J882)</f>
        <v>927.125633663845</v>
      </c>
      <c r="K883" s="38" t="n">
        <f aca="false">IF((H883=0),J883-D883,0)</f>
        <v>18.5531096341477</v>
      </c>
      <c r="L883" s="38" t="n">
        <f aca="true">IF(($H883=0),0,$D$4+$D$5*(RAND()-0.5))</f>
        <v>0</v>
      </c>
      <c r="M883" s="38" t="n">
        <f aca="false">L883+MAX(D883,M882)</f>
        <v>940.941621991527</v>
      </c>
      <c r="N883" s="38" t="n">
        <f aca="false">IF((H883=1),M883-D883,0)</f>
        <v>0</v>
      </c>
      <c r="O883" s="16" t="n">
        <v>866</v>
      </c>
      <c r="P883" s="41" t="n">
        <f aca="false">IF((Arterial=0),P882+1,P882)</f>
        <v>410</v>
      </c>
      <c r="Q883" s="41" t="n">
        <f aca="false">IF((Arterial=1),Q882+1,Q882)</f>
        <v>456</v>
      </c>
      <c r="R883" s="42" t="e">
        <f aca="false">IF((RESET=1),0,R883+K883)</f>
        <v>#N/A</v>
      </c>
      <c r="S883" s="14" t="n">
        <f aca="false">IF(RESET=1,0,S883+N883)</f>
        <v>703.747291529852</v>
      </c>
      <c r="T883" s="2" t="e">
        <f aca="false">IF(RESET=1,0,T883+IF(H883=0,1,0))</f>
        <v>#N/A</v>
      </c>
      <c r="U883" s="2" t="n">
        <f aca="false">IF(RESET=1,0,U883+H883)</f>
        <v>42</v>
      </c>
      <c r="V883" s="14" t="e">
        <f aca="false">R883/(T883+0.00001)</f>
        <v>#N/A</v>
      </c>
      <c r="W883" s="14" t="n">
        <f aca="false">S883/(U883+0.0001)</f>
        <v>16.7558479986917</v>
      </c>
      <c r="X883" s="39" t="n">
        <f aca="false">IF(Informed=1,K883,0)</f>
        <v>18.5531096341477</v>
      </c>
      <c r="Y883" s="39" t="n">
        <f aca="false">IF(Informed=0,K883,0)</f>
        <v>0</v>
      </c>
      <c r="Z883" s="39" t="n">
        <f aca="false">IF(Informed=1,N883,0)</f>
        <v>0</v>
      </c>
      <c r="AA883" s="39" t="n">
        <f aca="false">IF(Informed=0,N883,0)</f>
        <v>0</v>
      </c>
      <c r="AB883" s="43" t="n">
        <f aca="false">IF(Arterial=0,IF(Informed=1,1,0),0)</f>
        <v>1</v>
      </c>
      <c r="AC883" s="43" t="n">
        <f aca="false">IF(Arterial=0,IF(Informed=0,1,0),0)</f>
        <v>0</v>
      </c>
      <c r="AD883" s="43" t="n">
        <f aca="false">IF(Arterial=1,IF(Informed=1,1,0),0)</f>
        <v>0</v>
      </c>
      <c r="AE883" s="43" t="n">
        <f aca="false">IF(Arterial=1,IF(Informed=0,1,0),0)</f>
        <v>0</v>
      </c>
      <c r="AF883" s="35" t="n">
        <f aca="false">IF(AB883=1,(X883-G$1030)^2,0)</f>
        <v>61.5194160068075</v>
      </c>
      <c r="AG883" s="35" t="n">
        <f aca="false">IF(AC883=1,(Y883-H$1030)^2,0)</f>
        <v>0</v>
      </c>
      <c r="AH883" s="35" t="n">
        <f aca="false">IF(AD883=1,(Z883-I$1030)^2,0)</f>
        <v>0</v>
      </c>
      <c r="AI883" s="35" t="n">
        <f aca="false">IF(AE883=1,(AA883-J$1030)^2,0)</f>
        <v>0</v>
      </c>
      <c r="AJ883" s="37" t="n">
        <f aca="true">IF(RAND()&lt;$D$6,1,0)</f>
        <v>0</v>
      </c>
      <c r="AK883" s="14" t="n">
        <f aca="false">AK882+IF((AJ883=1),IF((H883=0),1,0),0)</f>
        <v>0</v>
      </c>
      <c r="AL883" s="14" t="n">
        <f aca="false">AL882+IF((AJ883=1),IF((H883=1),1,0),0)</f>
        <v>0</v>
      </c>
      <c r="AM883" s="37" t="n">
        <f aca="false">IF(AK883=0,9999,IF($H883=0,IF($AJ883&lt;1,AM882+1,0),AM882))</f>
        <v>9999</v>
      </c>
      <c r="AN883" s="37" t="n">
        <f aca="false">IF(AL883=0,9999,IF($H883=1,IF($AJ883&lt;1,AN882+1,0),AN882))</f>
        <v>9999</v>
      </c>
      <c r="AO883" s="37" t="n">
        <f aca="false">IF($A883-AM883&gt;0,1/(1+AM883),0)</f>
        <v>0</v>
      </c>
      <c r="AP883" s="37" t="n">
        <f aca="false">IF($A883-AN883&gt;0,1/(1+AN883),0)</f>
        <v>0</v>
      </c>
      <c r="AQ883" s="7" t="n">
        <f aca="false">IF(AK883=0,0,MAX(MIN(1,AO883^Power),0))</f>
        <v>0</v>
      </c>
      <c r="AR883" s="7" t="n">
        <f aca="false">IF(AL883=0,0,MAX(MIN(1,AP883^Power),0))</f>
        <v>0</v>
      </c>
      <c r="AS883" s="7" t="n">
        <f aca="false">IF($AJ883=1,IF($H883=0,K883,AS882),AS882)</f>
        <v>0</v>
      </c>
      <c r="AT883" s="7" t="n">
        <f aca="false">IF($AJ883=1,IF($H883=1,N883,AT882),AT882)</f>
        <v>0</v>
      </c>
    </row>
    <row r="884" customFormat="false" ht="13" hidden="false" customHeight="false" outlineLevel="0" collapsed="false">
      <c r="A884" s="16" t="n">
        <v>867</v>
      </c>
      <c r="B884" s="37" t="n">
        <f aca="true">IF(RAND()&lt;$D$8,1,0)</f>
        <v>0</v>
      </c>
      <c r="C884" s="20" t="n">
        <f aca="true">-LN(RAND())/$D$2</f>
        <v>0.163349719042919</v>
      </c>
      <c r="D884" s="38" t="n">
        <f aca="false">D883+C884</f>
        <v>908.73587374874</v>
      </c>
      <c r="E884" s="39" t="n">
        <f aca="false">MAX($E$3,AS883)</f>
        <v>0</v>
      </c>
      <c r="F884" s="39" t="n">
        <f aca="false">MAX($E$3,AT883)</f>
        <v>0</v>
      </c>
      <c r="G884" s="40" t="n">
        <v>0.5</v>
      </c>
      <c r="H884" s="38" t="n">
        <f aca="true">IF((B884=1),(IF((F884&lt;E884),1,(IF((F884=E884),(IF(RAND()&lt;G884,1,0)),0)))),(IF((RAND()&lt;G884),1,0)))</f>
        <v>1</v>
      </c>
      <c r="I884" s="38" t="n">
        <f aca="true">IF((H884=1),0,$D$3+$D$5*(RAND()-0.5))</f>
        <v>0</v>
      </c>
      <c r="J884" s="38" t="n">
        <f aca="false">I884+MAX(D884,J883)</f>
        <v>927.125633663845</v>
      </c>
      <c r="K884" s="38" t="n">
        <f aca="false">IF((H884=0),J884-D884,0)</f>
        <v>0</v>
      </c>
      <c r="L884" s="38" t="n">
        <f aca="true">IF(($H884=0),0,$D$4+$D$5*(RAND()-0.5))</f>
        <v>2.02982100333815</v>
      </c>
      <c r="M884" s="38" t="n">
        <f aca="false">L884+MAX(D884,M883)</f>
        <v>942.971442994865</v>
      </c>
      <c r="N884" s="38" t="n">
        <f aca="false">IF((H884=1),M884-D884,0)</f>
        <v>34.2355692461256</v>
      </c>
      <c r="O884" s="16" t="n">
        <v>867</v>
      </c>
      <c r="P884" s="41" t="n">
        <f aca="false">IF((Arterial=0),P883+1,P883)</f>
        <v>410</v>
      </c>
      <c r="Q884" s="41" t="n">
        <f aca="false">IF((Arterial=1),Q883+1,Q883)</f>
        <v>457</v>
      </c>
      <c r="R884" s="42" t="n">
        <f aca="false">IF((RESET=1),0,R884+K884)</f>
        <v>937.723904998678</v>
      </c>
      <c r="S884" s="14" t="e">
        <f aca="false">IF(RESET=1,0,S884+N884)</f>
        <v>#N/A</v>
      </c>
      <c r="T884" s="2" t="n">
        <f aca="false">IF(RESET=1,0,T884+IF(H884=0,1,0))</f>
        <v>50</v>
      </c>
      <c r="U884" s="2" t="e">
        <f aca="false">IF(RESET=1,0,U884+H884)</f>
        <v>#N/A</v>
      </c>
      <c r="V884" s="14" t="n">
        <f aca="false">R884/(T884+0.00001)</f>
        <v>18.7544743490787</v>
      </c>
      <c r="W884" s="14" t="e">
        <f aca="false">S884/(U884+0.0001)</f>
        <v>#N/A</v>
      </c>
      <c r="X884" s="39" t="n">
        <f aca="false">IF(Informed=1,K884,0)</f>
        <v>0</v>
      </c>
      <c r="Y884" s="39" t="n">
        <f aca="false">IF(Informed=0,K884,0)</f>
        <v>0</v>
      </c>
      <c r="Z884" s="39" t="n">
        <f aca="false">IF(Informed=1,N884,0)</f>
        <v>0</v>
      </c>
      <c r="AA884" s="39" t="n">
        <f aca="false">IF(Informed=0,N884,0)</f>
        <v>34.2355692461256</v>
      </c>
      <c r="AB884" s="43" t="n">
        <f aca="false">IF(Arterial=0,IF(Informed=1,1,0),0)</f>
        <v>0</v>
      </c>
      <c r="AC884" s="43" t="n">
        <f aca="false">IF(Arterial=0,IF(Informed=0,1,0),0)</f>
        <v>0</v>
      </c>
      <c r="AD884" s="43" t="n">
        <f aca="false">IF(Arterial=1,IF(Informed=1,1,0),0)</f>
        <v>0</v>
      </c>
      <c r="AE884" s="43" t="n">
        <f aca="false">IF(Arterial=1,IF(Informed=0,1,0),0)</f>
        <v>1</v>
      </c>
      <c r="AF884" s="35" t="n">
        <f aca="false">IF(AB884=1,(X884-G$1030)^2,0)</f>
        <v>0</v>
      </c>
      <c r="AG884" s="35" t="n">
        <f aca="false">IF(AC884=1,(Y884-H$1030)^2,0)</f>
        <v>0</v>
      </c>
      <c r="AH884" s="35" t="n">
        <f aca="false">IF(AD884=1,(Z884-I$1030)^2,0)</f>
        <v>0</v>
      </c>
      <c r="AI884" s="35" t="n">
        <f aca="false">IF(AE884=1,(AA884-J$1030)^2,0)</f>
        <v>21.8209900252977</v>
      </c>
      <c r="AJ884" s="37" t="n">
        <f aca="true">IF(RAND()&lt;$D$6,1,0)</f>
        <v>0</v>
      </c>
      <c r="AK884" s="14" t="n">
        <f aca="false">AK883+IF((AJ884=1),IF((H884=0),1,0),0)</f>
        <v>0</v>
      </c>
      <c r="AL884" s="14" t="n">
        <f aca="false">AL883+IF((AJ884=1),IF((H884=1),1,0),0)</f>
        <v>0</v>
      </c>
      <c r="AM884" s="37" t="n">
        <f aca="false">IF(AK884=0,9999,IF($H884=0,IF($AJ884&lt;1,AM883+1,0),AM883))</f>
        <v>9999</v>
      </c>
      <c r="AN884" s="37" t="n">
        <f aca="false">IF(AL884=0,9999,IF($H884=1,IF($AJ884&lt;1,AN883+1,0),AN883))</f>
        <v>9999</v>
      </c>
      <c r="AO884" s="37" t="n">
        <f aca="false">IF($A884-AM884&gt;0,1/(1+AM884),0)</f>
        <v>0</v>
      </c>
      <c r="AP884" s="37" t="n">
        <f aca="false">IF($A884-AN884&gt;0,1/(1+AN884),0)</f>
        <v>0</v>
      </c>
      <c r="AQ884" s="7" t="n">
        <f aca="false">IF(AK884=0,0,MAX(MIN(1,AO884^Power),0))</f>
        <v>0</v>
      </c>
      <c r="AR884" s="7" t="n">
        <f aca="false">IF(AL884=0,0,MAX(MIN(1,AP884^Power),0))</f>
        <v>0</v>
      </c>
      <c r="AS884" s="7" t="n">
        <f aca="false">IF($AJ884=1,IF($H884=0,K884,AS883),AS883)</f>
        <v>0</v>
      </c>
      <c r="AT884" s="7" t="n">
        <f aca="false">IF($AJ884=1,IF($H884=1,N884,AT883),AT883)</f>
        <v>0</v>
      </c>
    </row>
    <row r="885" customFormat="false" ht="13" hidden="false" customHeight="false" outlineLevel="0" collapsed="false">
      <c r="A885" s="16" t="n">
        <v>868</v>
      </c>
      <c r="B885" s="37" t="n">
        <f aca="true">IF(RAND()&lt;$D$8,1,0)</f>
        <v>0</v>
      </c>
      <c r="C885" s="20" t="n">
        <f aca="true">-LN(RAND())/$D$2</f>
        <v>2.31677294994615</v>
      </c>
      <c r="D885" s="38" t="n">
        <f aca="false">D884+C885</f>
        <v>911.052646698686</v>
      </c>
      <c r="E885" s="39" t="n">
        <f aca="false">MAX($E$3,AS884)</f>
        <v>0</v>
      </c>
      <c r="F885" s="39" t="n">
        <f aca="false">MAX($E$3,AT884)</f>
        <v>0</v>
      </c>
      <c r="G885" s="40" t="n">
        <v>0.5</v>
      </c>
      <c r="H885" s="38" t="n">
        <f aca="true">IF((B885=1),(IF((F885&lt;E885),1,(IF((F885=E885),(IF(RAND()&lt;G885,1,0)),0)))),(IF((RAND()&lt;G885),1,0)))</f>
        <v>0</v>
      </c>
      <c r="I885" s="38" t="n">
        <f aca="true">IF((H885=1),0,$D$3+$D$5*(RAND()-0.5))</f>
        <v>1.90331143364179</v>
      </c>
      <c r="J885" s="38" t="n">
        <f aca="false">I885+MAX(D885,J884)</f>
        <v>929.028945097486</v>
      </c>
      <c r="K885" s="38" t="n">
        <f aca="false">IF((H885=0),J885-D885,0)</f>
        <v>17.9762983988004</v>
      </c>
      <c r="L885" s="38" t="n">
        <f aca="true">IF(($H885=0),0,$D$4+$D$5*(RAND()-0.5))</f>
        <v>0</v>
      </c>
      <c r="M885" s="38" t="n">
        <f aca="false">L885+MAX(D885,M884)</f>
        <v>942.971442994865</v>
      </c>
      <c r="N885" s="38" t="n">
        <f aca="false">IF((H885=1),M885-D885,0)</f>
        <v>0</v>
      </c>
      <c r="O885" s="16" t="n">
        <v>868</v>
      </c>
      <c r="P885" s="41" t="n">
        <f aca="false">IF((Arterial=0),P884+1,P884)</f>
        <v>411</v>
      </c>
      <c r="Q885" s="41" t="n">
        <f aca="false">IF((Arterial=1),Q884+1,Q884)</f>
        <v>457</v>
      </c>
      <c r="R885" s="42" t="e">
        <f aca="false">IF((RESET=1),0,R885+K885)</f>
        <v>#N/A</v>
      </c>
      <c r="S885" s="14" t="n">
        <f aca="false">IF(RESET=1,0,S885+N885)</f>
        <v>839.146814734772</v>
      </c>
      <c r="T885" s="2" t="e">
        <f aca="false">IF(RESET=1,0,T885+IF(H885=0,1,0))</f>
        <v>#N/A</v>
      </c>
      <c r="U885" s="2" t="n">
        <f aca="false">IF(RESET=1,0,U885+H885)</f>
        <v>39</v>
      </c>
      <c r="V885" s="14" t="e">
        <f aca="false">R885/(T885+0.00001)</f>
        <v>#N/A</v>
      </c>
      <c r="W885" s="14" t="n">
        <f aca="false">S885/(U885+0.0001)</f>
        <v>21.51652982261</v>
      </c>
      <c r="X885" s="39" t="n">
        <f aca="false">IF(Informed=1,K885,0)</f>
        <v>0</v>
      </c>
      <c r="Y885" s="39" t="n">
        <f aca="false">IF(Informed=0,K885,0)</f>
        <v>17.9762983988004</v>
      </c>
      <c r="Z885" s="39" t="n">
        <f aca="false">IF(Informed=1,N885,0)</f>
        <v>0</v>
      </c>
      <c r="AA885" s="39" t="n">
        <f aca="false">IF(Informed=0,N885,0)</f>
        <v>0</v>
      </c>
      <c r="AB885" s="43" t="n">
        <f aca="false">IF(Arterial=0,IF(Informed=1,1,0),0)</f>
        <v>0</v>
      </c>
      <c r="AC885" s="43" t="n">
        <f aca="false">IF(Arterial=0,IF(Informed=0,1,0),0)</f>
        <v>1</v>
      </c>
      <c r="AD885" s="43" t="n">
        <f aca="false">IF(Arterial=1,IF(Informed=1,1,0),0)</f>
        <v>0</v>
      </c>
      <c r="AE885" s="43" t="n">
        <f aca="false">IF(Arterial=1,IF(Informed=0,1,0),0)</f>
        <v>0</v>
      </c>
      <c r="AF885" s="35" t="n">
        <f aca="false">IF(AB885=1,(X885-G$1030)^2,0)</f>
        <v>0</v>
      </c>
      <c r="AG885" s="35" t="n">
        <f aca="false">IF(AC885=1,(Y885-H$1030)^2,0)</f>
        <v>49.7379417038485</v>
      </c>
      <c r="AH885" s="35" t="n">
        <f aca="false">IF(AD885=1,(Z885-I$1030)^2,0)</f>
        <v>0</v>
      </c>
      <c r="AI885" s="35" t="n">
        <f aca="false">IF(AE885=1,(AA885-J$1030)^2,0)</f>
        <v>0</v>
      </c>
      <c r="AJ885" s="37" t="n">
        <f aca="true">IF(RAND()&lt;$D$6,1,0)</f>
        <v>0</v>
      </c>
      <c r="AK885" s="14" t="n">
        <f aca="false">AK884+IF((AJ885=1),IF((H885=0),1,0),0)</f>
        <v>0</v>
      </c>
      <c r="AL885" s="14" t="n">
        <f aca="false">AL884+IF((AJ885=1),IF((H885=1),1,0),0)</f>
        <v>0</v>
      </c>
      <c r="AM885" s="37" t="n">
        <f aca="false">IF(AK885=0,9999,IF($H885=0,IF($AJ885&lt;1,AM884+1,0),AM884))</f>
        <v>9999</v>
      </c>
      <c r="AN885" s="37" t="n">
        <f aca="false">IF(AL885=0,9999,IF($H885=1,IF($AJ885&lt;1,AN884+1,0),AN884))</f>
        <v>9999</v>
      </c>
      <c r="AO885" s="37" t="n">
        <f aca="false">IF($A885-AM885&gt;0,1/(1+AM885),0)</f>
        <v>0</v>
      </c>
      <c r="AP885" s="37" t="n">
        <f aca="false">IF($A885-AN885&gt;0,1/(1+AN885),0)</f>
        <v>0</v>
      </c>
      <c r="AQ885" s="7" t="n">
        <f aca="false">IF(AK885=0,0,MAX(MIN(1,AO885^Power),0))</f>
        <v>0</v>
      </c>
      <c r="AR885" s="7" t="n">
        <f aca="false">IF(AL885=0,0,MAX(MIN(1,AP885^Power),0))</f>
        <v>0</v>
      </c>
      <c r="AS885" s="7" t="n">
        <f aca="false">IF($AJ885=1,IF($H885=0,K885,AS884),AS884)</f>
        <v>0</v>
      </c>
      <c r="AT885" s="7" t="n">
        <f aca="false">IF($AJ885=1,IF($H885=1,N885,AT884),AT884)</f>
        <v>0</v>
      </c>
    </row>
    <row r="886" customFormat="false" ht="13" hidden="false" customHeight="false" outlineLevel="0" collapsed="false">
      <c r="A886" s="16" t="n">
        <v>869</v>
      </c>
      <c r="B886" s="37" t="n">
        <f aca="true">IF(RAND()&lt;$D$8,1,0)</f>
        <v>0</v>
      </c>
      <c r="C886" s="20" t="n">
        <f aca="true">-LN(RAND())/$D$2</f>
        <v>1.26966669999453</v>
      </c>
      <c r="D886" s="38" t="n">
        <f aca="false">D885+C886</f>
        <v>912.322313398681</v>
      </c>
      <c r="E886" s="39" t="n">
        <f aca="false">MAX($E$3,AS885)</f>
        <v>0</v>
      </c>
      <c r="F886" s="39" t="n">
        <f aca="false">MAX($E$3,AT885)</f>
        <v>0</v>
      </c>
      <c r="G886" s="40" t="n">
        <v>0.5</v>
      </c>
      <c r="H886" s="38" t="n">
        <f aca="true">IF((B886=1),(IF((F886&lt;E886),1,(IF((F886=E886),(IF(RAND()&lt;G886,1,0)),0)))),(IF((RAND()&lt;G886),1,0)))</f>
        <v>1</v>
      </c>
      <c r="I886" s="38" t="n">
        <f aca="true">IF((H886=1),0,$D$3+$D$5*(RAND()-0.5))</f>
        <v>0</v>
      </c>
      <c r="J886" s="38" t="n">
        <f aca="false">I886+MAX(D886,J885)</f>
        <v>929.028945097486</v>
      </c>
      <c r="K886" s="38" t="n">
        <f aca="false">IF((H886=0),J886-D886,0)</f>
        <v>0</v>
      </c>
      <c r="L886" s="38" t="n">
        <f aca="true">IF(($H886=0),0,$D$4+$D$5*(RAND()-0.5))</f>
        <v>1.93354511131143</v>
      </c>
      <c r="M886" s="38" t="n">
        <f aca="false">L886+MAX(D886,M885)</f>
        <v>944.904988106177</v>
      </c>
      <c r="N886" s="38" t="n">
        <f aca="false">IF((H886=1),M886-D886,0)</f>
        <v>32.5826747074963</v>
      </c>
      <c r="O886" s="16" t="n">
        <v>869</v>
      </c>
      <c r="P886" s="41" t="n">
        <f aca="false">IF((Arterial=0),P885+1,P885)</f>
        <v>411</v>
      </c>
      <c r="Q886" s="41" t="n">
        <f aca="false">IF((Arterial=1),Q885+1,Q885)</f>
        <v>458</v>
      </c>
      <c r="R886" s="42" t="n">
        <f aca="false">IF((RESET=1),0,R886+K886)</f>
        <v>971.029575627001</v>
      </c>
      <c r="S886" s="14" t="e">
        <f aca="false">IF(RESET=1,0,S886+N886)</f>
        <v>#N/A</v>
      </c>
      <c r="T886" s="2" t="n">
        <f aca="false">IF(RESET=1,0,T886+IF(H886=0,1,0))</f>
        <v>39</v>
      </c>
      <c r="U886" s="2" t="e">
        <f aca="false">IF(RESET=1,0,U886+H886)</f>
        <v>#N/A</v>
      </c>
      <c r="V886" s="14" t="n">
        <f aca="false">R886/(T886+0.00001)</f>
        <v>24.8981878626955</v>
      </c>
      <c r="W886" s="14" t="e">
        <f aca="false">S886/(U886+0.0001)</f>
        <v>#N/A</v>
      </c>
      <c r="X886" s="39" t="n">
        <f aca="false">IF(Informed=1,K886,0)</f>
        <v>0</v>
      </c>
      <c r="Y886" s="39" t="n">
        <f aca="false">IF(Informed=0,K886,0)</f>
        <v>0</v>
      </c>
      <c r="Z886" s="39" t="n">
        <f aca="false">IF(Informed=1,N886,0)</f>
        <v>0</v>
      </c>
      <c r="AA886" s="39" t="n">
        <f aca="false">IF(Informed=0,N886,0)</f>
        <v>32.5826747074963</v>
      </c>
      <c r="AB886" s="43" t="n">
        <f aca="false">IF(Arterial=0,IF(Informed=1,1,0),0)</f>
        <v>0</v>
      </c>
      <c r="AC886" s="43" t="n">
        <f aca="false">IF(Arterial=0,IF(Informed=0,1,0),0)</f>
        <v>0</v>
      </c>
      <c r="AD886" s="43" t="n">
        <f aca="false">IF(Arterial=1,IF(Informed=1,1,0),0)</f>
        <v>0</v>
      </c>
      <c r="AE886" s="43" t="n">
        <f aca="false">IF(Arterial=1,IF(Informed=0,1,0),0)</f>
        <v>1</v>
      </c>
      <c r="AF886" s="35" t="n">
        <f aca="false">IF(AB886=1,(X886-G$1030)^2,0)</f>
        <v>0</v>
      </c>
      <c r="AG886" s="35" t="n">
        <f aca="false">IF(AC886=1,(Y886-H$1030)^2,0)</f>
        <v>0</v>
      </c>
      <c r="AH886" s="35" t="n">
        <f aca="false">IF(AD886=1,(Z886-I$1030)^2,0)</f>
        <v>0</v>
      </c>
      <c r="AI886" s="35" t="n">
        <f aca="false">IF(AE886=1,(AA886-J$1030)^2,0)</f>
        <v>9.11073685328013</v>
      </c>
      <c r="AJ886" s="37" t="n">
        <f aca="true">IF(RAND()&lt;$D$6,1,0)</f>
        <v>0</v>
      </c>
      <c r="AK886" s="14" t="n">
        <f aca="false">AK885+IF((AJ886=1),IF((H886=0),1,0),0)</f>
        <v>0</v>
      </c>
      <c r="AL886" s="14" t="n">
        <f aca="false">AL885+IF((AJ886=1),IF((H886=1),1,0),0)</f>
        <v>0</v>
      </c>
      <c r="AM886" s="37" t="n">
        <f aca="false">IF(AK886=0,9999,IF($H886=0,IF($AJ886&lt;1,AM885+1,0),AM885))</f>
        <v>9999</v>
      </c>
      <c r="AN886" s="37" t="n">
        <f aca="false">IF(AL886=0,9999,IF($H886=1,IF($AJ886&lt;1,AN885+1,0),AN885))</f>
        <v>9999</v>
      </c>
      <c r="AO886" s="37" t="n">
        <f aca="false">IF($A886-AM886&gt;0,1/(1+AM886),0)</f>
        <v>0</v>
      </c>
      <c r="AP886" s="37" t="n">
        <f aca="false">IF($A886-AN886&gt;0,1/(1+AN886),0)</f>
        <v>0</v>
      </c>
      <c r="AQ886" s="7" t="n">
        <f aca="false">IF(AK886=0,0,MAX(MIN(1,AO886^Power),0))</f>
        <v>0</v>
      </c>
      <c r="AR886" s="7" t="n">
        <f aca="false">IF(AL886=0,0,MAX(MIN(1,AP886^Power),0))</f>
        <v>0</v>
      </c>
      <c r="AS886" s="7" t="n">
        <f aca="false">IF($AJ886=1,IF($H886=0,K886,AS885),AS885)</f>
        <v>0</v>
      </c>
      <c r="AT886" s="7" t="n">
        <f aca="false">IF($AJ886=1,IF($H886=1,N886,AT885),AT885)</f>
        <v>0</v>
      </c>
    </row>
    <row r="887" customFormat="false" ht="13" hidden="false" customHeight="false" outlineLevel="0" collapsed="false">
      <c r="A887" s="16" t="n">
        <v>870</v>
      </c>
      <c r="B887" s="37" t="n">
        <f aca="true">IF(RAND()&lt;$D$8,1,0)</f>
        <v>1</v>
      </c>
      <c r="C887" s="20" t="n">
        <f aca="true">-LN(RAND())/$D$2</f>
        <v>2.37365646583356</v>
      </c>
      <c r="D887" s="38" t="n">
        <f aca="false">D886+C887</f>
        <v>914.695969864514</v>
      </c>
      <c r="E887" s="39" t="n">
        <f aca="false">MAX($E$3,AS886)</f>
        <v>0</v>
      </c>
      <c r="F887" s="39" t="n">
        <f aca="false">MAX($E$3,AT886)</f>
        <v>0</v>
      </c>
      <c r="G887" s="40" t="n">
        <v>0.5</v>
      </c>
      <c r="H887" s="38" t="n">
        <f aca="true">IF((B887=1),(IF((F887&lt;E887),1,(IF((F887=E887),(IF(RAND()&lt;G887,1,0)),0)))),(IF((RAND()&lt;G887),1,0)))</f>
        <v>1</v>
      </c>
      <c r="I887" s="38" t="n">
        <f aca="true">IF((H887=1),0,$D$3+$D$5*(RAND()-0.5))</f>
        <v>0</v>
      </c>
      <c r="J887" s="38" t="n">
        <f aca="false">I887+MAX(D887,J886)</f>
        <v>929.028945097486</v>
      </c>
      <c r="K887" s="38" t="n">
        <f aca="false">IF((H887=0),J887-D887,0)</f>
        <v>0</v>
      </c>
      <c r="L887" s="38" t="n">
        <f aca="true">IF(($H887=0),0,$D$4+$D$5*(RAND()-0.5))</f>
        <v>1.96723460483097</v>
      </c>
      <c r="M887" s="38" t="n">
        <f aca="false">L887+MAX(D887,M886)</f>
        <v>946.872222711008</v>
      </c>
      <c r="N887" s="38" t="n">
        <f aca="false">IF((H887=1),M887-D887,0)</f>
        <v>32.1762528464938</v>
      </c>
      <c r="O887" s="16" t="n">
        <v>870</v>
      </c>
      <c r="P887" s="41" t="n">
        <f aca="false">IF((Arterial=0),P886+1,P886)</f>
        <v>411</v>
      </c>
      <c r="Q887" s="41" t="n">
        <f aca="false">IF((Arterial=1),Q886+1,Q886)</f>
        <v>459</v>
      </c>
      <c r="R887" s="42" t="n">
        <f aca="false">IF((RESET=1),0,R887+K887)</f>
        <v>944.914404874891</v>
      </c>
      <c r="S887" s="14" t="e">
        <f aca="false">IF(RESET=1,0,S887+N887)</f>
        <v>#N/A</v>
      </c>
      <c r="T887" s="2" t="n">
        <f aca="false">IF(RESET=1,0,T887+IF(H887=0,1,0))</f>
        <v>42</v>
      </c>
      <c r="U887" s="2" t="e">
        <f aca="false">IF(RESET=1,0,U887+H887)</f>
        <v>#N/A</v>
      </c>
      <c r="V887" s="14" t="n">
        <f aca="false">R887/(T887+0.00001)</f>
        <v>22.4979566641744</v>
      </c>
      <c r="W887" s="14" t="e">
        <f aca="false">S887/(U887+0.0001)</f>
        <v>#N/A</v>
      </c>
      <c r="X887" s="39" t="n">
        <f aca="false">IF(Informed=1,K887,0)</f>
        <v>0</v>
      </c>
      <c r="Y887" s="39" t="n">
        <f aca="false">IF(Informed=0,K887,0)</f>
        <v>0</v>
      </c>
      <c r="Z887" s="39" t="n">
        <f aca="false">IF(Informed=1,N887,0)</f>
        <v>32.1762528464938</v>
      </c>
      <c r="AA887" s="39" t="n">
        <f aca="false">IF(Informed=0,N887,0)</f>
        <v>0</v>
      </c>
      <c r="AB887" s="43" t="n">
        <f aca="false">IF(Arterial=0,IF(Informed=1,1,0),0)</f>
        <v>0</v>
      </c>
      <c r="AC887" s="43" t="n">
        <f aca="false">IF(Arterial=0,IF(Informed=0,1,0),0)</f>
        <v>0</v>
      </c>
      <c r="AD887" s="43" t="n">
        <f aca="false">IF(Arterial=1,IF(Informed=1,1,0),0)</f>
        <v>1</v>
      </c>
      <c r="AE887" s="43" t="n">
        <f aca="false">IF(Arterial=1,IF(Informed=0,1,0),0)</f>
        <v>0</v>
      </c>
      <c r="AF887" s="35" t="n">
        <f aca="false">IF(AB887=1,(X887-G$1030)^2,0)</f>
        <v>0</v>
      </c>
      <c r="AG887" s="35" t="n">
        <f aca="false">IF(AC887=1,(Y887-H$1030)^2,0)</f>
        <v>0</v>
      </c>
      <c r="AH887" s="35" t="n">
        <f aca="false">IF(AD887=1,(Z887-I$1030)^2,0)</f>
        <v>14.4507792156337</v>
      </c>
      <c r="AI887" s="35" t="n">
        <f aca="false">IF(AE887=1,(AA887-J$1030)^2,0)</f>
        <v>0</v>
      </c>
      <c r="AJ887" s="37" t="n">
        <f aca="true">IF(RAND()&lt;$D$6,1,0)</f>
        <v>0</v>
      </c>
      <c r="AK887" s="14" t="n">
        <f aca="false">AK886+IF((AJ887=1),IF((H887=0),1,0),0)</f>
        <v>0</v>
      </c>
      <c r="AL887" s="14" t="n">
        <f aca="false">AL886+IF((AJ887=1),IF((H887=1),1,0),0)</f>
        <v>0</v>
      </c>
      <c r="AM887" s="37" t="n">
        <f aca="false">IF(AK887=0,9999,IF($H887=0,IF($AJ887&lt;1,AM886+1,0),AM886))</f>
        <v>9999</v>
      </c>
      <c r="AN887" s="37" t="n">
        <f aca="false">IF(AL887=0,9999,IF($H887=1,IF($AJ887&lt;1,AN886+1,0),AN886))</f>
        <v>9999</v>
      </c>
      <c r="AO887" s="37" t="n">
        <f aca="false">IF($A887-AM887&gt;0,1/(1+AM887),0)</f>
        <v>0</v>
      </c>
      <c r="AP887" s="37" t="n">
        <f aca="false">IF($A887-AN887&gt;0,1/(1+AN887),0)</f>
        <v>0</v>
      </c>
      <c r="AQ887" s="7" t="n">
        <f aca="false">IF(AK887=0,0,MAX(MIN(1,AO887^Power),0))</f>
        <v>0</v>
      </c>
      <c r="AR887" s="7" t="n">
        <f aca="false">IF(AL887=0,0,MAX(MIN(1,AP887^Power),0))</f>
        <v>0</v>
      </c>
      <c r="AS887" s="7" t="n">
        <f aca="false">IF($AJ887=1,IF($H887=0,K887,AS886),AS886)</f>
        <v>0</v>
      </c>
      <c r="AT887" s="7" t="n">
        <f aca="false">IF($AJ887=1,IF($H887=1,N887,AT886),AT886)</f>
        <v>0</v>
      </c>
    </row>
    <row r="888" customFormat="false" ht="13" hidden="false" customHeight="false" outlineLevel="0" collapsed="false">
      <c r="A888" s="16" t="n">
        <v>871</v>
      </c>
      <c r="B888" s="37" t="n">
        <f aca="true">IF(RAND()&lt;$D$8,1,0)</f>
        <v>1</v>
      </c>
      <c r="C888" s="20" t="n">
        <f aca="true">-LN(RAND())/$D$2</f>
        <v>0.00222521699383863</v>
      </c>
      <c r="D888" s="38" t="n">
        <f aca="false">D887+C888</f>
        <v>914.698195081508</v>
      </c>
      <c r="E888" s="39" t="n">
        <f aca="false">MAX($E$3,AS887)</f>
        <v>0</v>
      </c>
      <c r="F888" s="39" t="n">
        <f aca="false">MAX($E$3,AT887)</f>
        <v>0</v>
      </c>
      <c r="G888" s="40" t="n">
        <v>0.5</v>
      </c>
      <c r="H888" s="38" t="n">
        <f aca="true">IF((B888=1),(IF((F888&lt;E888),1,(IF((F888=E888),(IF(RAND()&lt;G888,1,0)),0)))),(IF((RAND()&lt;G888),1,0)))</f>
        <v>0</v>
      </c>
      <c r="I888" s="38" t="n">
        <f aca="true">IF((H888=1),0,$D$3+$D$5*(RAND()-0.5))</f>
        <v>1.86725085222798</v>
      </c>
      <c r="J888" s="38" t="n">
        <f aca="false">I888+MAX(D888,J887)</f>
        <v>930.896195949714</v>
      </c>
      <c r="K888" s="38" t="n">
        <f aca="false">IF((H888=0),J888-D888,0)</f>
        <v>16.1980008682065</v>
      </c>
      <c r="L888" s="38" t="n">
        <f aca="true">IF(($H888=0),0,$D$4+$D$5*(RAND()-0.5))</f>
        <v>0</v>
      </c>
      <c r="M888" s="38" t="n">
        <f aca="false">L888+MAX(D888,M887)</f>
        <v>946.872222711008</v>
      </c>
      <c r="N888" s="38" t="n">
        <f aca="false">IF((H888=1),M888-D888,0)</f>
        <v>0</v>
      </c>
      <c r="O888" s="16" t="n">
        <v>871</v>
      </c>
      <c r="P888" s="41" t="n">
        <f aca="false">IF((Arterial=0),P887+1,P887)</f>
        <v>412</v>
      </c>
      <c r="Q888" s="41" t="n">
        <f aca="false">IF((Arterial=1),Q887+1,Q887)</f>
        <v>459</v>
      </c>
      <c r="R888" s="42" t="e">
        <f aca="false">IF((RESET=1),0,R888+K888)</f>
        <v>#N/A</v>
      </c>
      <c r="S888" s="14" t="n">
        <f aca="false">IF(RESET=1,0,S888+N888)</f>
        <v>753.022921273891</v>
      </c>
      <c r="T888" s="2" t="e">
        <f aca="false">IF(RESET=1,0,T888+IF(H888=0,1,0))</f>
        <v>#N/A</v>
      </c>
      <c r="U888" s="2" t="n">
        <f aca="false">IF(RESET=1,0,U888+H888)</f>
        <v>44</v>
      </c>
      <c r="V888" s="14" t="e">
        <f aca="false">R888/(T888+0.00001)</f>
        <v>#N/A</v>
      </c>
      <c r="W888" s="14" t="n">
        <f aca="false">S888/(U888+0.0001)</f>
        <v>17.1141184059557</v>
      </c>
      <c r="X888" s="39" t="n">
        <f aca="false">IF(Informed=1,K888,0)</f>
        <v>16.1980008682065</v>
      </c>
      <c r="Y888" s="39" t="n">
        <f aca="false">IF(Informed=0,K888,0)</f>
        <v>0</v>
      </c>
      <c r="Z888" s="39" t="n">
        <f aca="false">IF(Informed=1,N888,0)</f>
        <v>0</v>
      </c>
      <c r="AA888" s="39" t="n">
        <f aca="false">IF(Informed=0,N888,0)</f>
        <v>0</v>
      </c>
      <c r="AB888" s="43" t="n">
        <f aca="false">IF(Arterial=0,IF(Informed=1,1,0),0)</f>
        <v>1</v>
      </c>
      <c r="AC888" s="43" t="n">
        <f aca="false">IF(Arterial=0,IF(Informed=0,1,0),0)</f>
        <v>0</v>
      </c>
      <c r="AD888" s="43" t="n">
        <f aca="false">IF(Arterial=1,IF(Informed=1,1,0),0)</f>
        <v>0</v>
      </c>
      <c r="AE888" s="43" t="n">
        <f aca="false">IF(Arterial=1,IF(Informed=0,1,0),0)</f>
        <v>0</v>
      </c>
      <c r="AF888" s="35" t="n">
        <f aca="false">IF(AB888=1,(X888-G$1030)^2,0)</f>
        <v>30.1216852517641</v>
      </c>
      <c r="AG888" s="35" t="n">
        <f aca="false">IF(AC888=1,(Y888-H$1030)^2,0)</f>
        <v>0</v>
      </c>
      <c r="AH888" s="35" t="n">
        <f aca="false">IF(AD888=1,(Z888-I$1030)^2,0)</f>
        <v>0</v>
      </c>
      <c r="AI888" s="35" t="n">
        <f aca="false">IF(AE888=1,(AA888-J$1030)^2,0)</f>
        <v>0</v>
      </c>
      <c r="AJ888" s="37" t="n">
        <f aca="true">IF(RAND()&lt;$D$6,1,0)</f>
        <v>0</v>
      </c>
      <c r="AK888" s="14" t="n">
        <f aca="false">AK887+IF((AJ888=1),IF((H888=0),1,0),0)</f>
        <v>0</v>
      </c>
      <c r="AL888" s="14" t="n">
        <f aca="false">AL887+IF((AJ888=1),IF((H888=1),1,0),0)</f>
        <v>0</v>
      </c>
      <c r="AM888" s="37" t="n">
        <f aca="false">IF(AK888=0,9999,IF($H888=0,IF($AJ888&lt;1,AM887+1,0),AM887))</f>
        <v>9999</v>
      </c>
      <c r="AN888" s="37" t="n">
        <f aca="false">IF(AL888=0,9999,IF($H888=1,IF($AJ888&lt;1,AN887+1,0),AN887))</f>
        <v>9999</v>
      </c>
      <c r="AO888" s="37" t="n">
        <f aca="false">IF($A888-AM888&gt;0,1/(1+AM888),0)</f>
        <v>0</v>
      </c>
      <c r="AP888" s="37" t="n">
        <f aca="false">IF($A888-AN888&gt;0,1/(1+AN888),0)</f>
        <v>0</v>
      </c>
      <c r="AQ888" s="7" t="n">
        <f aca="false">IF(AK888=0,0,MAX(MIN(1,AO888^Power),0))</f>
        <v>0</v>
      </c>
      <c r="AR888" s="7" t="n">
        <f aca="false">IF(AL888=0,0,MAX(MIN(1,AP888^Power),0))</f>
        <v>0</v>
      </c>
      <c r="AS888" s="7" t="n">
        <f aca="false">IF($AJ888=1,IF($H888=0,K888,AS887),AS887)</f>
        <v>0</v>
      </c>
      <c r="AT888" s="7" t="n">
        <f aca="false">IF($AJ888=1,IF($H888=1,N888,AT887),AT887)</f>
        <v>0</v>
      </c>
    </row>
    <row r="889" customFormat="false" ht="13" hidden="false" customHeight="false" outlineLevel="0" collapsed="false">
      <c r="A889" s="16" t="n">
        <v>872</v>
      </c>
      <c r="B889" s="37" t="n">
        <f aca="true">IF(RAND()&lt;$D$8,1,0)</f>
        <v>0</v>
      </c>
      <c r="C889" s="20" t="n">
        <f aca="true">-LN(RAND())/$D$2</f>
        <v>1.41691476637646</v>
      </c>
      <c r="D889" s="38" t="n">
        <f aca="false">D888+C889</f>
        <v>916.115109847884</v>
      </c>
      <c r="E889" s="39" t="n">
        <f aca="false">MAX($E$3,AS888)</f>
        <v>0</v>
      </c>
      <c r="F889" s="39" t="n">
        <f aca="false">MAX($E$3,AT888)</f>
        <v>0</v>
      </c>
      <c r="G889" s="40" t="n">
        <v>0.5</v>
      </c>
      <c r="H889" s="38" t="n">
        <f aca="true">IF((B889=1),(IF((F889&lt;E889),1,(IF((F889=E889),(IF(RAND()&lt;G889,1,0)),0)))),(IF((RAND()&lt;G889),1,0)))</f>
        <v>0</v>
      </c>
      <c r="I889" s="38" t="n">
        <f aca="true">IF((H889=1),0,$D$3+$D$5*(RAND()-0.5))</f>
        <v>1.86658368146442</v>
      </c>
      <c r="J889" s="38" t="n">
        <f aca="false">I889+MAX(D889,J888)</f>
        <v>932.762779631179</v>
      </c>
      <c r="K889" s="38" t="n">
        <f aca="false">IF((H889=0),J889-D889,0)</f>
        <v>16.6476697832944</v>
      </c>
      <c r="L889" s="38" t="n">
        <f aca="true">IF(($H889=0),0,$D$4+$D$5*(RAND()-0.5))</f>
        <v>0</v>
      </c>
      <c r="M889" s="38" t="n">
        <f aca="false">L889+MAX(D889,M888)</f>
        <v>946.872222711008</v>
      </c>
      <c r="N889" s="38" t="n">
        <f aca="false">IF((H889=1),M889-D889,0)</f>
        <v>0</v>
      </c>
      <c r="O889" s="16" t="n">
        <v>872</v>
      </c>
      <c r="P889" s="41" t="n">
        <f aca="false">IF((Arterial=0),P888+1,P888)</f>
        <v>413</v>
      </c>
      <c r="Q889" s="41" t="n">
        <f aca="false">IF((Arterial=1),Q888+1,Q888)</f>
        <v>459</v>
      </c>
      <c r="R889" s="42" t="e">
        <f aca="false">IF((RESET=1),0,R889+K889)</f>
        <v>#N/A</v>
      </c>
      <c r="S889" s="14" t="n">
        <f aca="false">IF(RESET=1,0,S889+N889)</f>
        <v>655.337260207757</v>
      </c>
      <c r="T889" s="2" t="e">
        <f aca="false">IF(RESET=1,0,T889+IF(H889=0,1,0))</f>
        <v>#N/A</v>
      </c>
      <c r="U889" s="2" t="n">
        <f aca="false">IF(RESET=1,0,U889+H889)</f>
        <v>43</v>
      </c>
      <c r="V889" s="14" t="e">
        <f aca="false">R889/(T889+0.00001)</f>
        <v>#N/A</v>
      </c>
      <c r="W889" s="14" t="n">
        <f aca="false">S889/(U889+0.0001)</f>
        <v>15.2403659574689</v>
      </c>
      <c r="X889" s="39" t="n">
        <f aca="false">IF(Informed=1,K889,0)</f>
        <v>0</v>
      </c>
      <c r="Y889" s="39" t="n">
        <f aca="false">IF(Informed=0,K889,0)</f>
        <v>16.6476697832944</v>
      </c>
      <c r="Z889" s="39" t="n">
        <f aca="false">IF(Informed=1,N889,0)</f>
        <v>0</v>
      </c>
      <c r="AA889" s="39" t="n">
        <f aca="false">IF(Informed=0,N889,0)</f>
        <v>0</v>
      </c>
      <c r="AB889" s="43" t="n">
        <f aca="false">IF(Arterial=0,IF(Informed=1,1,0),0)</f>
        <v>0</v>
      </c>
      <c r="AC889" s="43" t="n">
        <f aca="false">IF(Arterial=0,IF(Informed=0,1,0),0)</f>
        <v>1</v>
      </c>
      <c r="AD889" s="43" t="n">
        <f aca="false">IF(Arterial=1,IF(Informed=1,1,0),0)</f>
        <v>0</v>
      </c>
      <c r="AE889" s="43" t="n">
        <f aca="false">IF(Arterial=1,IF(Informed=0,1,0),0)</f>
        <v>0</v>
      </c>
      <c r="AF889" s="35" t="n">
        <f aca="false">IF(AB889=1,(X889-G$1030)^2,0)</f>
        <v>0</v>
      </c>
      <c r="AG889" s="35" t="n">
        <f aca="false">IF(AC889=1,(Y889-H$1030)^2,0)</f>
        <v>32.762854142246</v>
      </c>
      <c r="AH889" s="35" t="n">
        <f aca="false">IF(AD889=1,(Z889-I$1030)^2,0)</f>
        <v>0</v>
      </c>
      <c r="AI889" s="35" t="n">
        <f aca="false">IF(AE889=1,(AA889-J$1030)^2,0)</f>
        <v>0</v>
      </c>
      <c r="AJ889" s="37" t="n">
        <f aca="true">IF(RAND()&lt;$D$6,1,0)</f>
        <v>0</v>
      </c>
      <c r="AK889" s="14" t="n">
        <f aca="false">AK888+IF((AJ889=1),IF((H889=0),1,0),0)</f>
        <v>0</v>
      </c>
      <c r="AL889" s="14" t="n">
        <f aca="false">AL888+IF((AJ889=1),IF((H889=1),1,0),0)</f>
        <v>0</v>
      </c>
      <c r="AM889" s="37" t="n">
        <f aca="false">IF(AK889=0,9999,IF($H889=0,IF($AJ889&lt;1,AM888+1,0),AM888))</f>
        <v>9999</v>
      </c>
      <c r="AN889" s="37" t="n">
        <f aca="false">IF(AL889=0,9999,IF($H889=1,IF($AJ889&lt;1,AN888+1,0),AN888))</f>
        <v>9999</v>
      </c>
      <c r="AO889" s="37" t="n">
        <f aca="false">IF($A889-AM889&gt;0,1/(1+AM889),0)</f>
        <v>0</v>
      </c>
      <c r="AP889" s="37" t="n">
        <f aca="false">IF($A889-AN889&gt;0,1/(1+AN889),0)</f>
        <v>0</v>
      </c>
      <c r="AQ889" s="7" t="n">
        <f aca="false">IF(AK889=0,0,MAX(MIN(1,AO889^Power),0))</f>
        <v>0</v>
      </c>
      <c r="AR889" s="7" t="n">
        <f aca="false">IF(AL889=0,0,MAX(MIN(1,AP889^Power),0))</f>
        <v>0</v>
      </c>
      <c r="AS889" s="7" t="n">
        <f aca="false">IF($AJ889=1,IF($H889=0,K889,AS888),AS888)</f>
        <v>0</v>
      </c>
      <c r="AT889" s="7" t="n">
        <f aca="false">IF($AJ889=1,IF($H889=1,N889,AT888),AT888)</f>
        <v>0</v>
      </c>
    </row>
    <row r="890" customFormat="false" ht="13" hidden="false" customHeight="false" outlineLevel="0" collapsed="false">
      <c r="A890" s="16" t="n">
        <v>873</v>
      </c>
      <c r="B890" s="37" t="n">
        <f aca="true">IF(RAND()&lt;$D$8,1,0)</f>
        <v>1</v>
      </c>
      <c r="C890" s="20" t="n">
        <f aca="true">-LN(RAND())/$D$2</f>
        <v>0.936345859577572</v>
      </c>
      <c r="D890" s="38" t="n">
        <f aca="false">D889+C890</f>
        <v>917.051455707462</v>
      </c>
      <c r="E890" s="39" t="n">
        <f aca="false">MAX($E$3,AS889)</f>
        <v>0</v>
      </c>
      <c r="F890" s="39" t="n">
        <f aca="false">MAX($E$3,AT889)</f>
        <v>0</v>
      </c>
      <c r="G890" s="40" t="n">
        <v>0.5</v>
      </c>
      <c r="H890" s="38" t="n">
        <f aca="true">IF((B890=1),(IF((F890&lt;E890),1,(IF((F890=E890),(IF(RAND()&lt;G890,1,0)),0)))),(IF((RAND()&lt;G890),1,0)))</f>
        <v>1</v>
      </c>
      <c r="I890" s="38" t="n">
        <f aca="true">IF((H890=1),0,$D$3+$D$5*(RAND()-0.5))</f>
        <v>0</v>
      </c>
      <c r="J890" s="38" t="n">
        <f aca="false">I890+MAX(D890,J889)</f>
        <v>932.762779631179</v>
      </c>
      <c r="K890" s="38" t="n">
        <f aca="false">IF((H890=0),J890-D890,0)</f>
        <v>0</v>
      </c>
      <c r="L890" s="38" t="n">
        <f aca="true">IF(($H890=0),0,$D$4+$D$5*(RAND()-0.5))</f>
        <v>1.80732025221662</v>
      </c>
      <c r="M890" s="38" t="n">
        <f aca="false">L890+MAX(D890,M889)</f>
        <v>948.679542963224</v>
      </c>
      <c r="N890" s="38" t="n">
        <f aca="false">IF((H890=1),M890-D890,0)</f>
        <v>31.6280872557626</v>
      </c>
      <c r="O890" s="16" t="n">
        <v>873</v>
      </c>
      <c r="P890" s="41" t="n">
        <f aca="false">IF((Arterial=0),P889+1,P889)</f>
        <v>413</v>
      </c>
      <c r="Q890" s="41" t="n">
        <f aca="false">IF((Arterial=1),Q889+1,Q889)</f>
        <v>460</v>
      </c>
      <c r="R890" s="42" t="n">
        <f aca="false">IF((RESET=1),0,R890+K890)</f>
        <v>924.376187523559</v>
      </c>
      <c r="S890" s="14" t="e">
        <f aca="false">IF(RESET=1,0,S890+N890)</f>
        <v>#N/A</v>
      </c>
      <c r="T890" s="2" t="n">
        <f aca="false">IF(RESET=1,0,T890+IF(H890=0,1,0))</f>
        <v>44</v>
      </c>
      <c r="U890" s="2" t="e">
        <f aca="false">IF(RESET=1,0,U890+H890)</f>
        <v>#N/A</v>
      </c>
      <c r="V890" s="14" t="n">
        <f aca="false">R890/(T890+0.00001)</f>
        <v>21.0085449417752</v>
      </c>
      <c r="W890" s="14" t="e">
        <f aca="false">S890/(U890+0.0001)</f>
        <v>#N/A</v>
      </c>
      <c r="X890" s="39" t="n">
        <f aca="false">IF(Informed=1,K890,0)</f>
        <v>0</v>
      </c>
      <c r="Y890" s="39" t="n">
        <f aca="false">IF(Informed=0,K890,0)</f>
        <v>0</v>
      </c>
      <c r="Z890" s="39" t="n">
        <f aca="false">IF(Informed=1,N890,0)</f>
        <v>31.6280872557626</v>
      </c>
      <c r="AA890" s="39" t="n">
        <f aca="false">IF(Informed=0,N890,0)</f>
        <v>0</v>
      </c>
      <c r="AB890" s="43" t="n">
        <f aca="false">IF(Arterial=0,IF(Informed=1,1,0),0)</f>
        <v>0</v>
      </c>
      <c r="AC890" s="43" t="n">
        <f aca="false">IF(Arterial=0,IF(Informed=0,1,0),0)</f>
        <v>0</v>
      </c>
      <c r="AD890" s="43" t="n">
        <f aca="false">IF(Arterial=1,IF(Informed=1,1,0),0)</f>
        <v>1</v>
      </c>
      <c r="AE890" s="43" t="n">
        <f aca="false">IF(Arterial=1,IF(Informed=0,1,0),0)</f>
        <v>0</v>
      </c>
      <c r="AF890" s="35" t="n">
        <f aca="false">IF(AB890=1,(X890-G$1030)^2,0)</f>
        <v>0</v>
      </c>
      <c r="AG890" s="35" t="n">
        <f aca="false">IF(AC890=1,(Y890-H$1030)^2,0)</f>
        <v>0</v>
      </c>
      <c r="AH890" s="35" t="n">
        <f aca="false">IF(AD890=1,(Z890-I$1030)^2,0)</f>
        <v>10.583651584935</v>
      </c>
      <c r="AI890" s="35" t="n">
        <f aca="false">IF(AE890=1,(AA890-J$1030)^2,0)</f>
        <v>0</v>
      </c>
      <c r="AJ890" s="37" t="n">
        <f aca="true">IF(RAND()&lt;$D$6,1,0)</f>
        <v>0</v>
      </c>
      <c r="AK890" s="14" t="n">
        <f aca="false">AK889+IF((AJ890=1),IF((H890=0),1,0),0)</f>
        <v>0</v>
      </c>
      <c r="AL890" s="14" t="n">
        <f aca="false">AL889+IF((AJ890=1),IF((H890=1),1,0),0)</f>
        <v>0</v>
      </c>
      <c r="AM890" s="37" t="n">
        <f aca="false">IF(AK890=0,9999,IF($H890=0,IF($AJ890&lt;1,AM889+1,0),AM889))</f>
        <v>9999</v>
      </c>
      <c r="AN890" s="37" t="n">
        <f aca="false">IF(AL890=0,9999,IF($H890=1,IF($AJ890&lt;1,AN889+1,0),AN889))</f>
        <v>9999</v>
      </c>
      <c r="AO890" s="37" t="n">
        <f aca="false">IF($A890-AM890&gt;0,1/(1+AM890),0)</f>
        <v>0</v>
      </c>
      <c r="AP890" s="37" t="n">
        <f aca="false">IF($A890-AN890&gt;0,1/(1+AN890),0)</f>
        <v>0</v>
      </c>
      <c r="AQ890" s="7" t="n">
        <f aca="false">IF(AK890=0,0,MAX(MIN(1,AO890^Power),0))</f>
        <v>0</v>
      </c>
      <c r="AR890" s="7" t="n">
        <f aca="false">IF(AL890=0,0,MAX(MIN(1,AP890^Power),0))</f>
        <v>0</v>
      </c>
      <c r="AS890" s="7" t="n">
        <f aca="false">IF($AJ890=1,IF($H890=0,K890,AS889),AS889)</f>
        <v>0</v>
      </c>
      <c r="AT890" s="7" t="n">
        <f aca="false">IF($AJ890=1,IF($H890=1,N890,AT889),AT889)</f>
        <v>0</v>
      </c>
    </row>
    <row r="891" customFormat="false" ht="13" hidden="false" customHeight="false" outlineLevel="0" collapsed="false">
      <c r="A891" s="16" t="n">
        <v>874</v>
      </c>
      <c r="B891" s="37" t="n">
        <f aca="true">IF(RAND()&lt;$D$8,1,0)</f>
        <v>0</v>
      </c>
      <c r="C891" s="20" t="n">
        <f aca="true">-LN(RAND())/$D$2</f>
        <v>0.0316375088174822</v>
      </c>
      <c r="D891" s="38" t="n">
        <f aca="false">D890+C891</f>
        <v>917.083093216279</v>
      </c>
      <c r="E891" s="39" t="n">
        <f aca="false">MAX($E$3,AS890)</f>
        <v>0</v>
      </c>
      <c r="F891" s="39" t="n">
        <f aca="false">MAX($E$3,AT890)</f>
        <v>0</v>
      </c>
      <c r="G891" s="40" t="n">
        <v>0.5</v>
      </c>
      <c r="H891" s="38" t="n">
        <f aca="true">IF((B891=1),(IF((F891&lt;E891),1,(IF((F891=E891),(IF(RAND()&lt;G891,1,0)),0)))),(IF((RAND()&lt;G891),1,0)))</f>
        <v>0</v>
      </c>
      <c r="I891" s="38" t="n">
        <f aca="true">IF((H891=1),0,$D$3+$D$5*(RAND()-0.5))</f>
        <v>2.1925080528033</v>
      </c>
      <c r="J891" s="38" t="n">
        <f aca="false">I891+MAX(D891,J890)</f>
        <v>934.955287683982</v>
      </c>
      <c r="K891" s="38" t="n">
        <f aca="false">IF((H891=0),J891-D891,0)</f>
        <v>17.8721944677027</v>
      </c>
      <c r="L891" s="38" t="n">
        <f aca="true">IF(($H891=0),0,$D$4+$D$5*(RAND()-0.5))</f>
        <v>0</v>
      </c>
      <c r="M891" s="38" t="n">
        <f aca="false">L891+MAX(D891,M890)</f>
        <v>948.679542963224</v>
      </c>
      <c r="N891" s="38" t="n">
        <f aca="false">IF((H891=1),M891-D891,0)</f>
        <v>0</v>
      </c>
      <c r="O891" s="16" t="n">
        <v>874</v>
      </c>
      <c r="P891" s="41" t="n">
        <f aca="false">IF((Arterial=0),P890+1,P890)</f>
        <v>414</v>
      </c>
      <c r="Q891" s="41" t="n">
        <f aca="false">IF((Arterial=1),Q890+1,Q890)</f>
        <v>460</v>
      </c>
      <c r="R891" s="42" t="e">
        <f aca="false">IF((RESET=1),0,R891+K891)</f>
        <v>#N/A</v>
      </c>
      <c r="S891" s="14" t="n">
        <f aca="false">IF(RESET=1,0,S891+N891)</f>
        <v>719.103150464066</v>
      </c>
      <c r="T891" s="2" t="e">
        <f aca="false">IF(RESET=1,0,T891+IF(H891=0,1,0))</f>
        <v>#N/A</v>
      </c>
      <c r="U891" s="2" t="n">
        <f aca="false">IF(RESET=1,0,U891+H891)</f>
        <v>35</v>
      </c>
      <c r="V891" s="14" t="e">
        <f aca="false">R891/(T891+0.00001)</f>
        <v>#N/A</v>
      </c>
      <c r="W891" s="14" t="n">
        <f aca="false">S891/(U891+0.0001)</f>
        <v>20.545745596843</v>
      </c>
      <c r="X891" s="39" t="n">
        <f aca="false">IF(Informed=1,K891,0)</f>
        <v>0</v>
      </c>
      <c r="Y891" s="39" t="n">
        <f aca="false">IF(Informed=0,K891,0)</f>
        <v>17.8721944677027</v>
      </c>
      <c r="Z891" s="39" t="n">
        <f aca="false">IF(Informed=1,N891,0)</f>
        <v>0</v>
      </c>
      <c r="AA891" s="39" t="n">
        <f aca="false">IF(Informed=0,N891,0)</f>
        <v>0</v>
      </c>
      <c r="AB891" s="43" t="n">
        <f aca="false">IF(Arterial=0,IF(Informed=1,1,0),0)</f>
        <v>0</v>
      </c>
      <c r="AC891" s="43" t="n">
        <f aca="false">IF(Arterial=0,IF(Informed=0,1,0),0)</f>
        <v>1</v>
      </c>
      <c r="AD891" s="43" t="n">
        <f aca="false">IF(Arterial=1,IF(Informed=1,1,0),0)</f>
        <v>0</v>
      </c>
      <c r="AE891" s="43" t="n">
        <f aca="false">IF(Arterial=1,IF(Informed=0,1,0),0)</f>
        <v>0</v>
      </c>
      <c r="AF891" s="35" t="n">
        <f aca="false">IF(AB891=1,(X891-G$1030)^2,0)</f>
        <v>0</v>
      </c>
      <c r="AG891" s="35" t="n">
        <f aca="false">IF(AC891=1,(Y891-H$1030)^2,0)</f>
        <v>48.2803906466516</v>
      </c>
      <c r="AH891" s="35" t="n">
        <f aca="false">IF(AD891=1,(Z891-I$1030)^2,0)</f>
        <v>0</v>
      </c>
      <c r="AI891" s="35" t="n">
        <f aca="false">IF(AE891=1,(AA891-J$1030)^2,0)</f>
        <v>0</v>
      </c>
      <c r="AJ891" s="37" t="n">
        <f aca="true">IF(RAND()&lt;$D$6,1,0)</f>
        <v>0</v>
      </c>
      <c r="AK891" s="14" t="n">
        <f aca="false">AK890+IF((AJ891=1),IF((H891=0),1,0),0)</f>
        <v>0</v>
      </c>
      <c r="AL891" s="14" t="n">
        <f aca="false">AL890+IF((AJ891=1),IF((H891=1),1,0),0)</f>
        <v>0</v>
      </c>
      <c r="AM891" s="37" t="n">
        <f aca="false">IF(AK891=0,9999,IF($H891=0,IF($AJ891&lt;1,AM890+1,0),AM890))</f>
        <v>9999</v>
      </c>
      <c r="AN891" s="37" t="n">
        <f aca="false">IF(AL891=0,9999,IF($H891=1,IF($AJ891&lt;1,AN890+1,0),AN890))</f>
        <v>9999</v>
      </c>
      <c r="AO891" s="37" t="n">
        <f aca="false">IF($A891-AM891&gt;0,1/(1+AM891),0)</f>
        <v>0</v>
      </c>
      <c r="AP891" s="37" t="n">
        <f aca="false">IF($A891-AN891&gt;0,1/(1+AN891),0)</f>
        <v>0</v>
      </c>
      <c r="AQ891" s="7" t="n">
        <f aca="false">IF(AK891=0,0,MAX(MIN(1,AO891^Power),0))</f>
        <v>0</v>
      </c>
      <c r="AR891" s="7" t="n">
        <f aca="false">IF(AL891=0,0,MAX(MIN(1,AP891^Power),0))</f>
        <v>0</v>
      </c>
      <c r="AS891" s="7" t="n">
        <f aca="false">IF($AJ891=1,IF($H891=0,K891,AS890),AS890)</f>
        <v>0</v>
      </c>
      <c r="AT891" s="7" t="n">
        <f aca="false">IF($AJ891=1,IF($H891=1,N891,AT890),AT890)</f>
        <v>0</v>
      </c>
    </row>
    <row r="892" customFormat="false" ht="13" hidden="false" customHeight="false" outlineLevel="0" collapsed="false">
      <c r="A892" s="16" t="n">
        <v>875</v>
      </c>
      <c r="B892" s="37" t="n">
        <f aca="true">IF(RAND()&lt;$D$8,1,0)</f>
        <v>0</v>
      </c>
      <c r="C892" s="20" t="n">
        <f aca="true">-LN(RAND())/$D$2</f>
        <v>0.938907088456133</v>
      </c>
      <c r="D892" s="38" t="n">
        <f aca="false">D891+C892</f>
        <v>918.022000304736</v>
      </c>
      <c r="E892" s="39" t="n">
        <f aca="false">MAX($E$3,AS891)</f>
        <v>0</v>
      </c>
      <c r="F892" s="39" t="n">
        <f aca="false">MAX($E$3,AT891)</f>
        <v>0</v>
      </c>
      <c r="G892" s="40" t="n">
        <v>0.5</v>
      </c>
      <c r="H892" s="38" t="n">
        <f aca="true">IF((B892=1),(IF((F892&lt;E892),1,(IF((F892=E892),(IF(RAND()&lt;G892,1,0)),0)))),(IF((RAND()&lt;G892),1,0)))</f>
        <v>0</v>
      </c>
      <c r="I892" s="38" t="n">
        <f aca="true">IF((H892=1),0,$D$3+$D$5*(RAND()-0.5))</f>
        <v>2.21365398490052</v>
      </c>
      <c r="J892" s="38" t="n">
        <f aca="false">I892+MAX(D892,J891)</f>
        <v>937.168941668882</v>
      </c>
      <c r="K892" s="38" t="n">
        <f aca="false">IF((H892=0),J892-D892,0)</f>
        <v>19.146941364147</v>
      </c>
      <c r="L892" s="38" t="n">
        <f aca="true">IF(($H892=0),0,$D$4+$D$5*(RAND()-0.5))</f>
        <v>0</v>
      </c>
      <c r="M892" s="38" t="n">
        <f aca="false">L892+MAX(D892,M891)</f>
        <v>948.679542963224</v>
      </c>
      <c r="N892" s="38" t="n">
        <f aca="false">IF((H892=1),M892-D892,0)</f>
        <v>0</v>
      </c>
      <c r="O892" s="16" t="n">
        <v>875</v>
      </c>
      <c r="P892" s="41" t="n">
        <f aca="false">IF((Arterial=0),P891+1,P891)</f>
        <v>415</v>
      </c>
      <c r="Q892" s="41" t="n">
        <f aca="false">IF((Arterial=1),Q891+1,Q891)</f>
        <v>460</v>
      </c>
      <c r="R892" s="42" t="e">
        <f aca="false">IF((RESET=1),0,R892+K892)</f>
        <v>#N/A</v>
      </c>
      <c r="S892" s="14" t="n">
        <f aca="false">IF(RESET=1,0,S892+N892)</f>
        <v>809.960580352246</v>
      </c>
      <c r="T892" s="2" t="e">
        <f aca="false">IF(RESET=1,0,T892+IF(H892=0,1,0))</f>
        <v>#N/A</v>
      </c>
      <c r="U892" s="2" t="n">
        <f aca="false">IF(RESET=1,0,U892+H892)</f>
        <v>38</v>
      </c>
      <c r="V892" s="14" t="e">
        <f aca="false">R892/(T892+0.00001)</f>
        <v>#N/A</v>
      </c>
      <c r="W892" s="14" t="n">
        <f aca="false">S892/(U892+0.0001)</f>
        <v>21.3146960232275</v>
      </c>
      <c r="X892" s="39" t="n">
        <f aca="false">IF(Informed=1,K892,0)</f>
        <v>0</v>
      </c>
      <c r="Y892" s="39" t="n">
        <f aca="false">IF(Informed=0,K892,0)</f>
        <v>19.146941364147</v>
      </c>
      <c r="Z892" s="39" t="n">
        <f aca="false">IF(Informed=1,N892,0)</f>
        <v>0</v>
      </c>
      <c r="AA892" s="39" t="n">
        <f aca="false">IF(Informed=0,N892,0)</f>
        <v>0</v>
      </c>
      <c r="AB892" s="43" t="n">
        <f aca="false">IF(Arterial=0,IF(Informed=1,1,0),0)</f>
        <v>0</v>
      </c>
      <c r="AC892" s="43" t="n">
        <f aca="false">IF(Arterial=0,IF(Informed=0,1,0),0)</f>
        <v>1</v>
      </c>
      <c r="AD892" s="43" t="n">
        <f aca="false">IF(Arterial=1,IF(Informed=1,1,0),0)</f>
        <v>0</v>
      </c>
      <c r="AE892" s="43" t="n">
        <f aca="false">IF(Arterial=1,IF(Informed=0,1,0),0)</f>
        <v>0</v>
      </c>
      <c r="AF892" s="35" t="n">
        <f aca="false">IF(AB892=1,(X892-G$1030)^2,0)</f>
        <v>0</v>
      </c>
      <c r="AG892" s="35" t="n">
        <f aca="false">IF(AC892=1,(Y892-H$1030)^2,0)</f>
        <v>67.6202964657935</v>
      </c>
      <c r="AH892" s="35" t="n">
        <f aca="false">IF(AD892=1,(Z892-I$1030)^2,0)</f>
        <v>0</v>
      </c>
      <c r="AI892" s="35" t="n">
        <f aca="false">IF(AE892=1,(AA892-J$1030)^2,0)</f>
        <v>0</v>
      </c>
      <c r="AJ892" s="37" t="n">
        <f aca="true">IF(RAND()&lt;$D$6,1,0)</f>
        <v>0</v>
      </c>
      <c r="AK892" s="14" t="n">
        <f aca="false">AK891+IF((AJ892=1),IF((H892=0),1,0),0)</f>
        <v>0</v>
      </c>
      <c r="AL892" s="14" t="n">
        <f aca="false">AL891+IF((AJ892=1),IF((H892=1),1,0),0)</f>
        <v>0</v>
      </c>
      <c r="AM892" s="37" t="n">
        <f aca="false">IF(AK892=0,9999,IF($H892=0,IF($AJ892&lt;1,AM891+1,0),AM891))</f>
        <v>9999</v>
      </c>
      <c r="AN892" s="37" t="n">
        <f aca="false">IF(AL892=0,9999,IF($H892=1,IF($AJ892&lt;1,AN891+1,0),AN891))</f>
        <v>9999</v>
      </c>
      <c r="AO892" s="37" t="n">
        <f aca="false">IF($A892-AM892&gt;0,1/(1+AM892),0)</f>
        <v>0</v>
      </c>
      <c r="AP892" s="37" t="n">
        <f aca="false">IF($A892-AN892&gt;0,1/(1+AN892),0)</f>
        <v>0</v>
      </c>
      <c r="AQ892" s="7" t="n">
        <f aca="false">IF(AK892=0,0,MAX(MIN(1,AO892^Power),0))</f>
        <v>0</v>
      </c>
      <c r="AR892" s="7" t="n">
        <f aca="false">IF(AL892=0,0,MAX(MIN(1,AP892^Power),0))</f>
        <v>0</v>
      </c>
      <c r="AS892" s="7" t="n">
        <f aca="false">IF($AJ892=1,IF($H892=0,K892,AS891),AS891)</f>
        <v>0</v>
      </c>
      <c r="AT892" s="7" t="n">
        <f aca="false">IF($AJ892=1,IF($H892=1,N892,AT891),AT891)</f>
        <v>0</v>
      </c>
    </row>
    <row r="893" customFormat="false" ht="13" hidden="false" customHeight="false" outlineLevel="0" collapsed="false">
      <c r="A893" s="16" t="n">
        <v>876</v>
      </c>
      <c r="B893" s="37" t="n">
        <f aca="true">IF(RAND()&lt;$D$8,1,0)</f>
        <v>0</v>
      </c>
      <c r="C893" s="20" t="n">
        <f aca="true">-LN(RAND())/$D$2</f>
        <v>0.0470007780704569</v>
      </c>
      <c r="D893" s="38" t="n">
        <f aca="false">D892+C893</f>
        <v>918.069001082806</v>
      </c>
      <c r="E893" s="39" t="n">
        <f aca="false">MAX($E$3,AS892)</f>
        <v>0</v>
      </c>
      <c r="F893" s="39" t="n">
        <f aca="false">MAX($E$3,AT892)</f>
        <v>0</v>
      </c>
      <c r="G893" s="40" t="n">
        <v>0.5</v>
      </c>
      <c r="H893" s="38" t="n">
        <f aca="true">IF((B893=1),(IF((F893&lt;E893),1,(IF((F893=E893),(IF(RAND()&lt;G893,1,0)),0)))),(IF((RAND()&lt;G893),1,0)))</f>
        <v>0</v>
      </c>
      <c r="I893" s="38" t="n">
        <f aca="true">IF((H893=1),0,$D$3+$D$5*(RAND()-0.5))</f>
        <v>1.96322775179419</v>
      </c>
      <c r="J893" s="38" t="n">
        <f aca="false">I893+MAX(D893,J892)</f>
        <v>939.132169420677</v>
      </c>
      <c r="K893" s="38" t="n">
        <f aca="false">IF((H893=0),J893-D893,0)</f>
        <v>21.0631683378707</v>
      </c>
      <c r="L893" s="38" t="n">
        <f aca="true">IF(($H893=0),0,$D$4+$D$5*(RAND()-0.5))</f>
        <v>0</v>
      </c>
      <c r="M893" s="38" t="n">
        <f aca="false">L893+MAX(D893,M892)</f>
        <v>948.679542963224</v>
      </c>
      <c r="N893" s="38" t="n">
        <f aca="false">IF((H893=1),M893-D893,0)</f>
        <v>0</v>
      </c>
      <c r="O893" s="16" t="n">
        <v>876</v>
      </c>
      <c r="P893" s="41" t="n">
        <f aca="false">IF((Arterial=0),P892+1,P892)</f>
        <v>416</v>
      </c>
      <c r="Q893" s="41" t="n">
        <f aca="false">IF((Arterial=1),Q892+1,Q892)</f>
        <v>460</v>
      </c>
      <c r="R893" s="42" t="e">
        <f aca="false">IF((RESET=1),0,R893+K893)</f>
        <v>#N/A</v>
      </c>
      <c r="S893" s="14" t="n">
        <f aca="false">IF(RESET=1,0,S893+N893)</f>
        <v>644.144019852081</v>
      </c>
      <c r="T893" s="2" t="e">
        <f aca="false">IF(RESET=1,0,T893+IF(H893=0,1,0))</f>
        <v>#N/A</v>
      </c>
      <c r="U893" s="2" t="n">
        <f aca="false">IF(RESET=1,0,U893+H893)</f>
        <v>38</v>
      </c>
      <c r="V893" s="14" t="e">
        <f aca="false">R893/(T893+0.00001)</f>
        <v>#N/A</v>
      </c>
      <c r="W893" s="14" t="n">
        <f aca="false">S893/(U893+0.0001)</f>
        <v>16.9511138089658</v>
      </c>
      <c r="X893" s="39" t="n">
        <f aca="false">IF(Informed=1,K893,0)</f>
        <v>0</v>
      </c>
      <c r="Y893" s="39" t="n">
        <f aca="false">IF(Informed=0,K893,0)</f>
        <v>21.0631683378707</v>
      </c>
      <c r="Z893" s="39" t="n">
        <f aca="false">IF(Informed=1,N893,0)</f>
        <v>0</v>
      </c>
      <c r="AA893" s="39" t="n">
        <f aca="false">IF(Informed=0,N893,0)</f>
        <v>0</v>
      </c>
      <c r="AB893" s="43" t="n">
        <f aca="false">IF(Arterial=0,IF(Informed=1,1,0),0)</f>
        <v>0</v>
      </c>
      <c r="AC893" s="43" t="n">
        <f aca="false">IF(Arterial=0,IF(Informed=0,1,0),0)</f>
        <v>1</v>
      </c>
      <c r="AD893" s="43" t="n">
        <f aca="false">IF(Arterial=1,IF(Informed=1,1,0),0)</f>
        <v>0</v>
      </c>
      <c r="AE893" s="43" t="n">
        <f aca="false">IF(Arterial=1,IF(Informed=0,1,0),0)</f>
        <v>0</v>
      </c>
      <c r="AF893" s="35" t="n">
        <f aca="false">IF(AB893=1,(X893-G$1030)^2,0)</f>
        <v>0</v>
      </c>
      <c r="AG893" s="35" t="n">
        <f aca="false">IF(AC893=1,(Y893-H$1030)^2,0)</f>
        <v>102.807089388</v>
      </c>
      <c r="AH893" s="35" t="n">
        <f aca="false">IF(AD893=1,(Z893-I$1030)^2,0)</f>
        <v>0</v>
      </c>
      <c r="AI893" s="35" t="n">
        <f aca="false">IF(AE893=1,(AA893-J$1030)^2,0)</f>
        <v>0</v>
      </c>
      <c r="AJ893" s="37" t="n">
        <f aca="true">IF(RAND()&lt;$D$6,1,0)</f>
        <v>0</v>
      </c>
      <c r="AK893" s="14" t="n">
        <f aca="false">AK892+IF((AJ893=1),IF((H893=0),1,0),0)</f>
        <v>0</v>
      </c>
      <c r="AL893" s="14" t="n">
        <f aca="false">AL892+IF((AJ893=1),IF((H893=1),1,0),0)</f>
        <v>0</v>
      </c>
      <c r="AM893" s="37" t="n">
        <f aca="false">IF(AK893=0,9999,IF($H893=0,IF($AJ893&lt;1,AM892+1,0),AM892))</f>
        <v>9999</v>
      </c>
      <c r="AN893" s="37" t="n">
        <f aca="false">IF(AL893=0,9999,IF($H893=1,IF($AJ893&lt;1,AN892+1,0),AN892))</f>
        <v>9999</v>
      </c>
      <c r="AO893" s="37" t="n">
        <f aca="false">IF($A893-AM893&gt;0,1/(1+AM893),0)</f>
        <v>0</v>
      </c>
      <c r="AP893" s="37" t="n">
        <f aca="false">IF($A893-AN893&gt;0,1/(1+AN893),0)</f>
        <v>0</v>
      </c>
      <c r="AQ893" s="7" t="n">
        <f aca="false">IF(AK893=0,0,MAX(MIN(1,AO893^Power),0))</f>
        <v>0</v>
      </c>
      <c r="AR893" s="7" t="n">
        <f aca="false">IF(AL893=0,0,MAX(MIN(1,AP893^Power),0))</f>
        <v>0</v>
      </c>
      <c r="AS893" s="7" t="n">
        <f aca="false">IF($AJ893=1,IF($H893=0,K893,AS892),AS892)</f>
        <v>0</v>
      </c>
      <c r="AT893" s="7" t="n">
        <f aca="false">IF($AJ893=1,IF($H893=1,N893,AT892),AT892)</f>
        <v>0</v>
      </c>
    </row>
    <row r="894" customFormat="false" ht="13" hidden="false" customHeight="false" outlineLevel="0" collapsed="false">
      <c r="A894" s="16" t="n">
        <v>877</v>
      </c>
      <c r="B894" s="37" t="n">
        <f aca="true">IF(RAND()&lt;$D$8,1,0)</f>
        <v>1</v>
      </c>
      <c r="C894" s="20" t="n">
        <f aca="true">-LN(RAND())/$D$2</f>
        <v>5.59254895228862</v>
      </c>
      <c r="D894" s="38" t="n">
        <f aca="false">D893+C894</f>
        <v>923.661550035095</v>
      </c>
      <c r="E894" s="39" t="n">
        <f aca="false">MAX($E$3,AS893)</f>
        <v>0</v>
      </c>
      <c r="F894" s="39" t="n">
        <f aca="false">MAX($E$3,AT893)</f>
        <v>0</v>
      </c>
      <c r="G894" s="40" t="n">
        <v>0.5</v>
      </c>
      <c r="H894" s="38" t="n">
        <f aca="true">IF((B894=1),(IF((F894&lt;E894),1,(IF((F894=E894),(IF(RAND()&lt;G894,1,0)),0)))),(IF((RAND()&lt;G894),1,0)))</f>
        <v>0</v>
      </c>
      <c r="I894" s="38" t="n">
        <f aca="true">IF((H894=1),0,$D$3+$D$5*(RAND()-0.5))</f>
        <v>1.76802573223257</v>
      </c>
      <c r="J894" s="38" t="n">
        <f aca="false">I894+MAX(D894,J893)</f>
        <v>940.900195152909</v>
      </c>
      <c r="K894" s="38" t="n">
        <f aca="false">IF((H894=0),J894-D894,0)</f>
        <v>17.2386451178146</v>
      </c>
      <c r="L894" s="38" t="n">
        <f aca="true">IF(($H894=0),0,$D$4+$D$5*(RAND()-0.5))</f>
        <v>0</v>
      </c>
      <c r="M894" s="38" t="n">
        <f aca="false">L894+MAX(D894,M893)</f>
        <v>948.679542963224</v>
      </c>
      <c r="N894" s="38" t="n">
        <f aca="false">IF((H894=1),M894-D894,0)</f>
        <v>0</v>
      </c>
      <c r="O894" s="16" t="n">
        <v>877</v>
      </c>
      <c r="P894" s="41" t="n">
        <f aca="false">IF((Arterial=0),P893+1,P893)</f>
        <v>417</v>
      </c>
      <c r="Q894" s="41" t="n">
        <f aca="false">IF((Arterial=1),Q893+1,Q893)</f>
        <v>460</v>
      </c>
      <c r="R894" s="42" t="e">
        <f aca="false">IF((RESET=1),0,R894+K894)</f>
        <v>#N/A</v>
      </c>
      <c r="S894" s="14" t="n">
        <f aca="false">IF(RESET=1,0,S894+N894)</f>
        <v>912.280740085263</v>
      </c>
      <c r="T894" s="2" t="e">
        <f aca="false">IF(RESET=1,0,T894+IF(H894=0,1,0))</f>
        <v>#N/A</v>
      </c>
      <c r="U894" s="2" t="n">
        <f aca="false">IF(RESET=1,0,U894+H894)</f>
        <v>46</v>
      </c>
      <c r="V894" s="14" t="e">
        <f aca="false">R894/(T894+0.00001)</f>
        <v>#N/A</v>
      </c>
      <c r="W894" s="14" t="n">
        <f aca="false">S894/(U894+0.0001)</f>
        <v>19.8321468884907</v>
      </c>
      <c r="X894" s="39" t="n">
        <f aca="false">IF(Informed=1,K894,0)</f>
        <v>17.2386451178146</v>
      </c>
      <c r="Y894" s="39" t="n">
        <f aca="false">IF(Informed=0,K894,0)</f>
        <v>0</v>
      </c>
      <c r="Z894" s="39" t="n">
        <f aca="false">IF(Informed=1,N894,0)</f>
        <v>0</v>
      </c>
      <c r="AA894" s="39" t="n">
        <f aca="false">IF(Informed=0,N894,0)</f>
        <v>0</v>
      </c>
      <c r="AB894" s="43" t="n">
        <f aca="false">IF(Arterial=0,IF(Informed=1,1,0),0)</f>
        <v>1</v>
      </c>
      <c r="AC894" s="43" t="n">
        <f aca="false">IF(Arterial=0,IF(Informed=0,1,0),0)</f>
        <v>0</v>
      </c>
      <c r="AD894" s="43" t="n">
        <f aca="false">IF(Arterial=1,IF(Informed=1,1,0),0)</f>
        <v>0</v>
      </c>
      <c r="AE894" s="43" t="n">
        <f aca="false">IF(Arterial=1,IF(Informed=0,1,0),0)</f>
        <v>0</v>
      </c>
      <c r="AF894" s="35" t="n">
        <f aca="false">IF(AB894=1,(X894-G$1030)^2,0)</f>
        <v>42.6274084683801</v>
      </c>
      <c r="AG894" s="35" t="n">
        <f aca="false">IF(AC894=1,(Y894-H$1030)^2,0)</f>
        <v>0</v>
      </c>
      <c r="AH894" s="35" t="n">
        <f aca="false">IF(AD894=1,(Z894-I$1030)^2,0)</f>
        <v>0</v>
      </c>
      <c r="AI894" s="35" t="n">
        <f aca="false">IF(AE894=1,(AA894-J$1030)^2,0)</f>
        <v>0</v>
      </c>
      <c r="AJ894" s="37" t="n">
        <f aca="true">IF(RAND()&lt;$D$6,1,0)</f>
        <v>0</v>
      </c>
      <c r="AK894" s="14" t="n">
        <f aca="false">AK893+IF((AJ894=1),IF((H894=0),1,0),0)</f>
        <v>0</v>
      </c>
      <c r="AL894" s="14" t="n">
        <f aca="false">AL893+IF((AJ894=1),IF((H894=1),1,0),0)</f>
        <v>0</v>
      </c>
      <c r="AM894" s="37" t="n">
        <f aca="false">IF(AK894=0,9999,IF($H894=0,IF($AJ894&lt;1,AM893+1,0),AM893))</f>
        <v>9999</v>
      </c>
      <c r="AN894" s="37" t="n">
        <f aca="false">IF(AL894=0,9999,IF($H894=1,IF($AJ894&lt;1,AN893+1,0),AN893))</f>
        <v>9999</v>
      </c>
      <c r="AO894" s="37" t="n">
        <f aca="false">IF($A894-AM894&gt;0,1/(1+AM894),0)</f>
        <v>0</v>
      </c>
      <c r="AP894" s="37" t="n">
        <f aca="false">IF($A894-AN894&gt;0,1/(1+AN894),0)</f>
        <v>0</v>
      </c>
      <c r="AQ894" s="7" t="n">
        <f aca="false">IF(AK894=0,0,MAX(MIN(1,AO894^Power),0))</f>
        <v>0</v>
      </c>
      <c r="AR894" s="7" t="n">
        <f aca="false">IF(AL894=0,0,MAX(MIN(1,AP894^Power),0))</f>
        <v>0</v>
      </c>
      <c r="AS894" s="7" t="n">
        <f aca="false">IF($AJ894=1,IF($H894=0,K894,AS893),AS893)</f>
        <v>0</v>
      </c>
      <c r="AT894" s="7" t="n">
        <f aca="false">IF($AJ894=1,IF($H894=1,N894,AT893),AT893)</f>
        <v>0</v>
      </c>
    </row>
    <row r="895" customFormat="false" ht="13" hidden="false" customHeight="false" outlineLevel="0" collapsed="false">
      <c r="A895" s="16" t="n">
        <v>878</v>
      </c>
      <c r="B895" s="37" t="n">
        <f aca="true">IF(RAND()&lt;$D$8,1,0)</f>
        <v>0</v>
      </c>
      <c r="C895" s="20" t="n">
        <f aca="true">-LN(RAND())/$D$2</f>
        <v>0.34245960727936</v>
      </c>
      <c r="D895" s="38" t="n">
        <f aca="false">D894+C895</f>
        <v>924.004009642374</v>
      </c>
      <c r="E895" s="39" t="n">
        <f aca="false">MAX($E$3,AS894)</f>
        <v>0</v>
      </c>
      <c r="F895" s="39" t="n">
        <f aca="false">MAX($E$3,AT894)</f>
        <v>0</v>
      </c>
      <c r="G895" s="40" t="n">
        <v>0.5</v>
      </c>
      <c r="H895" s="38" t="n">
        <f aca="true">IF((B895=1),(IF((F895&lt;E895),1,(IF((F895=E895),(IF(RAND()&lt;G895,1,0)),0)))),(IF((RAND()&lt;G895),1,0)))</f>
        <v>1</v>
      </c>
      <c r="I895" s="38" t="n">
        <f aca="true">IF((H895=1),0,$D$3+$D$5*(RAND()-0.5))</f>
        <v>0</v>
      </c>
      <c r="J895" s="38" t="n">
        <f aca="false">I895+MAX(D895,J894)</f>
        <v>940.900195152909</v>
      </c>
      <c r="K895" s="38" t="n">
        <f aca="false">IF((H895=0),J895-D895,0)</f>
        <v>0</v>
      </c>
      <c r="L895" s="38" t="n">
        <f aca="true">IF(($H895=0),0,$D$4+$D$5*(RAND()-0.5))</f>
        <v>1.96022081033293</v>
      </c>
      <c r="M895" s="38" t="n">
        <f aca="false">L895+MAX(D895,M894)</f>
        <v>950.639763773557</v>
      </c>
      <c r="N895" s="38" t="n">
        <f aca="false">IF((H895=1),M895-D895,0)</f>
        <v>26.6357541311834</v>
      </c>
      <c r="O895" s="16" t="n">
        <v>878</v>
      </c>
      <c r="P895" s="41" t="n">
        <f aca="false">IF((Arterial=0),P894+1,P894)</f>
        <v>417</v>
      </c>
      <c r="Q895" s="41" t="n">
        <f aca="false">IF((Arterial=1),Q894+1,Q894)</f>
        <v>461</v>
      </c>
      <c r="R895" s="42" t="n">
        <f aca="false">IF((RESET=1),0,R895+K895)</f>
        <v>853.596973223802</v>
      </c>
      <c r="S895" s="14" t="e">
        <f aca="false">IF(RESET=1,0,S895+N895)</f>
        <v>#N/A</v>
      </c>
      <c r="T895" s="2" t="n">
        <f aca="false">IF(RESET=1,0,T895+IF(H895=0,1,0))</f>
        <v>37</v>
      </c>
      <c r="U895" s="2" t="e">
        <f aca="false">IF(RESET=1,0,U895+H895)</f>
        <v>#N/A</v>
      </c>
      <c r="V895" s="14" t="n">
        <f aca="false">R895/(T895+0.00001)</f>
        <v>23.0701822303238</v>
      </c>
      <c r="W895" s="14" t="e">
        <f aca="false">S895/(U895+0.0001)</f>
        <v>#N/A</v>
      </c>
      <c r="X895" s="39" t="n">
        <f aca="false">IF(Informed=1,K895,0)</f>
        <v>0</v>
      </c>
      <c r="Y895" s="39" t="n">
        <f aca="false">IF(Informed=0,K895,0)</f>
        <v>0</v>
      </c>
      <c r="Z895" s="39" t="n">
        <f aca="false">IF(Informed=1,N895,0)</f>
        <v>0</v>
      </c>
      <c r="AA895" s="39" t="n">
        <f aca="false">IF(Informed=0,N895,0)</f>
        <v>26.6357541311834</v>
      </c>
      <c r="AB895" s="43" t="n">
        <f aca="false">IF(Arterial=0,IF(Informed=1,1,0),0)</f>
        <v>0</v>
      </c>
      <c r="AC895" s="43" t="n">
        <f aca="false">IF(Arterial=0,IF(Informed=0,1,0),0)</f>
        <v>0</v>
      </c>
      <c r="AD895" s="43" t="n">
        <f aca="false">IF(Arterial=1,IF(Informed=1,1,0),0)</f>
        <v>0</v>
      </c>
      <c r="AE895" s="43" t="n">
        <f aca="false">IF(Arterial=1,IF(Informed=0,1,0),0)</f>
        <v>1</v>
      </c>
      <c r="AF895" s="35" t="n">
        <f aca="false">IF(AB895=1,(X895-G$1030)^2,0)</f>
        <v>0</v>
      </c>
      <c r="AG895" s="35" t="n">
        <f aca="false">IF(AC895=1,(Y895-H$1030)^2,0)</f>
        <v>0</v>
      </c>
      <c r="AH895" s="35" t="n">
        <f aca="false">IF(AD895=1,(Z895-I$1030)^2,0)</f>
        <v>0</v>
      </c>
      <c r="AI895" s="35" t="n">
        <f aca="false">IF(AE895=1,(AA895-J$1030)^2,0)</f>
        <v>8.57623442178672</v>
      </c>
      <c r="AJ895" s="37" t="n">
        <f aca="true">IF(RAND()&lt;$D$6,1,0)</f>
        <v>0</v>
      </c>
      <c r="AK895" s="14" t="n">
        <f aca="false">AK894+IF((AJ895=1),IF((H895=0),1,0),0)</f>
        <v>0</v>
      </c>
      <c r="AL895" s="14" t="n">
        <f aca="false">AL894+IF((AJ895=1),IF((H895=1),1,0),0)</f>
        <v>0</v>
      </c>
      <c r="AM895" s="37" t="n">
        <f aca="false">IF(AK895=0,9999,IF($H895=0,IF($AJ895&lt;1,AM894+1,0),AM894))</f>
        <v>9999</v>
      </c>
      <c r="AN895" s="37" t="n">
        <f aca="false">IF(AL895=0,9999,IF($H895=1,IF($AJ895&lt;1,AN894+1,0),AN894))</f>
        <v>9999</v>
      </c>
      <c r="AO895" s="37" t="n">
        <f aca="false">IF($A895-AM895&gt;0,1/(1+AM895),0)</f>
        <v>0</v>
      </c>
      <c r="AP895" s="37" t="n">
        <f aca="false">IF($A895-AN895&gt;0,1/(1+AN895),0)</f>
        <v>0</v>
      </c>
      <c r="AQ895" s="7" t="n">
        <f aca="false">IF(AK895=0,0,MAX(MIN(1,AO895^Power),0))</f>
        <v>0</v>
      </c>
      <c r="AR895" s="7" t="n">
        <f aca="false">IF(AL895=0,0,MAX(MIN(1,AP895^Power),0))</f>
        <v>0</v>
      </c>
      <c r="AS895" s="7" t="n">
        <f aca="false">IF($AJ895=1,IF($H895=0,K895,AS894),AS894)</f>
        <v>0</v>
      </c>
      <c r="AT895" s="7" t="n">
        <f aca="false">IF($AJ895=1,IF($H895=1,N895,AT894),AT894)</f>
        <v>0</v>
      </c>
    </row>
    <row r="896" customFormat="false" ht="13" hidden="false" customHeight="false" outlineLevel="0" collapsed="false">
      <c r="A896" s="16" t="n">
        <v>879</v>
      </c>
      <c r="B896" s="37" t="n">
        <f aca="true">IF(RAND()&lt;$D$8,1,0)</f>
        <v>1</v>
      </c>
      <c r="C896" s="20" t="n">
        <f aca="true">-LN(RAND())/$D$2</f>
        <v>1.89759489770162</v>
      </c>
      <c r="D896" s="38" t="n">
        <f aca="false">D895+C896</f>
        <v>925.901604540076</v>
      </c>
      <c r="E896" s="39" t="n">
        <f aca="false">MAX($E$3,AS895)</f>
        <v>0</v>
      </c>
      <c r="F896" s="39" t="n">
        <f aca="false">MAX($E$3,AT895)</f>
        <v>0</v>
      </c>
      <c r="G896" s="40" t="n">
        <v>0.5</v>
      </c>
      <c r="H896" s="38" t="n">
        <f aca="true">IF((B896=1),(IF((F896&lt;E896),1,(IF((F896=E896),(IF(RAND()&lt;G896,1,0)),0)))),(IF((RAND()&lt;G896),1,0)))</f>
        <v>0</v>
      </c>
      <c r="I896" s="38" t="n">
        <f aca="true">IF((H896=1),0,$D$3+$D$5*(RAND()-0.5))</f>
        <v>2.24120138514331</v>
      </c>
      <c r="J896" s="38" t="n">
        <f aca="false">I896+MAX(D896,J895)</f>
        <v>943.141396538053</v>
      </c>
      <c r="K896" s="38" t="n">
        <f aca="false">IF((H896=0),J896-D896,0)</f>
        <v>17.2397919979769</v>
      </c>
      <c r="L896" s="38" t="n">
        <f aca="true">IF(($H896=0),0,$D$4+$D$5*(RAND()-0.5))</f>
        <v>0</v>
      </c>
      <c r="M896" s="38" t="n">
        <f aca="false">L896+MAX(D896,M895)</f>
        <v>950.639763773557</v>
      </c>
      <c r="N896" s="38" t="n">
        <f aca="false">IF((H896=1),M896-D896,0)</f>
        <v>0</v>
      </c>
      <c r="O896" s="16" t="n">
        <v>879</v>
      </c>
      <c r="P896" s="41" t="n">
        <f aca="false">IF((Arterial=0),P895+1,P895)</f>
        <v>418</v>
      </c>
      <c r="Q896" s="41" t="n">
        <f aca="false">IF((Arterial=1),Q895+1,Q895)</f>
        <v>461</v>
      </c>
      <c r="R896" s="42" t="e">
        <f aca="false">IF((RESET=1),0,R896+K896)</f>
        <v>#N/A</v>
      </c>
      <c r="S896" s="14" t="n">
        <f aca="false">IF(RESET=1,0,S896+N896)</f>
        <v>769.083988421996</v>
      </c>
      <c r="T896" s="2" t="e">
        <f aca="false">IF(RESET=1,0,T896+IF(H896=0,1,0))</f>
        <v>#N/A</v>
      </c>
      <c r="U896" s="2" t="n">
        <f aca="false">IF(RESET=1,0,U896+H896)</f>
        <v>36</v>
      </c>
      <c r="V896" s="14" t="e">
        <f aca="false">R896/(T896+0.00001)</f>
        <v>#N/A</v>
      </c>
      <c r="W896" s="14" t="n">
        <f aca="false">S896/(U896+0.0001)</f>
        <v>21.3633847800977</v>
      </c>
      <c r="X896" s="39" t="n">
        <f aca="false">IF(Informed=1,K896,0)</f>
        <v>17.2397919979769</v>
      </c>
      <c r="Y896" s="39" t="n">
        <f aca="false">IF(Informed=0,K896,0)</f>
        <v>0</v>
      </c>
      <c r="Z896" s="39" t="n">
        <f aca="false">IF(Informed=1,N896,0)</f>
        <v>0</v>
      </c>
      <c r="AA896" s="39" t="n">
        <f aca="false">IF(Informed=0,N896,0)</f>
        <v>0</v>
      </c>
      <c r="AB896" s="43" t="n">
        <f aca="false">IF(Arterial=0,IF(Informed=1,1,0),0)</f>
        <v>1</v>
      </c>
      <c r="AC896" s="43" t="n">
        <f aca="false">IF(Arterial=0,IF(Informed=0,1,0),0)</f>
        <v>0</v>
      </c>
      <c r="AD896" s="43" t="n">
        <f aca="false">IF(Arterial=1,IF(Informed=1,1,0),0)</f>
        <v>0</v>
      </c>
      <c r="AE896" s="43" t="n">
        <f aca="false">IF(Arterial=1,IF(Informed=0,1,0),0)</f>
        <v>0</v>
      </c>
      <c r="AF896" s="35" t="n">
        <f aca="false">IF(AB896=1,(X896-G$1030)^2,0)</f>
        <v>42.6423856688952</v>
      </c>
      <c r="AG896" s="35" t="n">
        <f aca="false">IF(AC896=1,(Y896-H$1030)^2,0)</f>
        <v>0</v>
      </c>
      <c r="AH896" s="35" t="n">
        <f aca="false">IF(AD896=1,(Z896-I$1030)^2,0)</f>
        <v>0</v>
      </c>
      <c r="AI896" s="35" t="n">
        <f aca="false">IF(AE896=1,(AA896-J$1030)^2,0)</f>
        <v>0</v>
      </c>
      <c r="AJ896" s="37" t="n">
        <f aca="true">IF(RAND()&lt;$D$6,1,0)</f>
        <v>0</v>
      </c>
      <c r="AK896" s="14" t="n">
        <f aca="false">AK895+IF((AJ896=1),IF((H896=0),1,0),0)</f>
        <v>0</v>
      </c>
      <c r="AL896" s="14" t="n">
        <f aca="false">AL895+IF((AJ896=1),IF((H896=1),1,0),0)</f>
        <v>0</v>
      </c>
      <c r="AM896" s="37" t="n">
        <f aca="false">IF(AK896=0,9999,IF($H896=0,IF($AJ896&lt;1,AM895+1,0),AM895))</f>
        <v>9999</v>
      </c>
      <c r="AN896" s="37" t="n">
        <f aca="false">IF(AL896=0,9999,IF($H896=1,IF($AJ896&lt;1,AN895+1,0),AN895))</f>
        <v>9999</v>
      </c>
      <c r="AO896" s="37" t="n">
        <f aca="false">IF($A896-AM896&gt;0,1/(1+AM896),0)</f>
        <v>0</v>
      </c>
      <c r="AP896" s="37" t="n">
        <f aca="false">IF($A896-AN896&gt;0,1/(1+AN896),0)</f>
        <v>0</v>
      </c>
      <c r="AQ896" s="7" t="n">
        <f aca="false">IF(AK896=0,0,MAX(MIN(1,AO896^Power),0))</f>
        <v>0</v>
      </c>
      <c r="AR896" s="7" t="n">
        <f aca="false">IF(AL896=0,0,MAX(MIN(1,AP896^Power),0))</f>
        <v>0</v>
      </c>
      <c r="AS896" s="7" t="n">
        <f aca="false">IF($AJ896=1,IF($H896=0,K896,AS895),AS895)</f>
        <v>0</v>
      </c>
      <c r="AT896" s="7" t="n">
        <f aca="false">IF($AJ896=1,IF($H896=1,N896,AT895),AT895)</f>
        <v>0</v>
      </c>
    </row>
    <row r="897" customFormat="false" ht="13" hidden="false" customHeight="false" outlineLevel="0" collapsed="false">
      <c r="A897" s="16" t="n">
        <v>880</v>
      </c>
      <c r="B897" s="37" t="n">
        <f aca="true">IF(RAND()&lt;$D$8,1,0)</f>
        <v>0</v>
      </c>
      <c r="C897" s="20" t="n">
        <f aca="true">-LN(RAND())/$D$2</f>
        <v>0.741810850036062</v>
      </c>
      <c r="D897" s="38" t="n">
        <f aca="false">D896+C897</f>
        <v>926.643415390112</v>
      </c>
      <c r="E897" s="39" t="n">
        <f aca="false">MAX($E$3,AS896)</f>
        <v>0</v>
      </c>
      <c r="F897" s="39" t="n">
        <f aca="false">MAX($E$3,AT896)</f>
        <v>0</v>
      </c>
      <c r="G897" s="40" t="n">
        <v>0.5</v>
      </c>
      <c r="H897" s="38" t="n">
        <f aca="true">IF((B897=1),(IF((F897&lt;E897),1,(IF((F897=E897),(IF(RAND()&lt;G897,1,0)),0)))),(IF((RAND()&lt;G897),1,0)))</f>
        <v>0</v>
      </c>
      <c r="I897" s="38" t="n">
        <f aca="true">IF((H897=1),0,$D$3+$D$5*(RAND()-0.5))</f>
        <v>1.90059732949833</v>
      </c>
      <c r="J897" s="38" t="n">
        <f aca="false">I897+MAX(D897,J896)</f>
        <v>945.041993867551</v>
      </c>
      <c r="K897" s="38" t="n">
        <f aca="false">IF((H897=0),J897-D897,0)</f>
        <v>18.3985784774392</v>
      </c>
      <c r="L897" s="38" t="n">
        <f aca="true">IF(($H897=0),0,$D$4+$D$5*(RAND()-0.5))</f>
        <v>0</v>
      </c>
      <c r="M897" s="38" t="n">
        <f aca="false">L897+MAX(D897,M896)</f>
        <v>950.639763773557</v>
      </c>
      <c r="N897" s="38" t="n">
        <f aca="false">IF((H897=1),M897-D897,0)</f>
        <v>0</v>
      </c>
      <c r="O897" s="16" t="n">
        <v>880</v>
      </c>
      <c r="P897" s="41" t="n">
        <f aca="false">IF((Arterial=0),P896+1,P896)</f>
        <v>419</v>
      </c>
      <c r="Q897" s="41" t="n">
        <f aca="false">IF((Arterial=1),Q896+1,Q896)</f>
        <v>461</v>
      </c>
      <c r="R897" s="42" t="e">
        <f aca="false">IF((RESET=1),0,R897+K897)</f>
        <v>#N/A</v>
      </c>
      <c r="S897" s="14" t="n">
        <f aca="false">IF(RESET=1,0,S897+N897)</f>
        <v>815.874543474391</v>
      </c>
      <c r="T897" s="2" t="e">
        <f aca="false">IF(RESET=1,0,T897+IF(H897=0,1,0))</f>
        <v>#N/A</v>
      </c>
      <c r="U897" s="2" t="n">
        <f aca="false">IF(RESET=1,0,U897+H897)</f>
        <v>39</v>
      </c>
      <c r="V897" s="14" t="e">
        <f aca="false">R897/(T897+0.00001)</f>
        <v>#N/A</v>
      </c>
      <c r="W897" s="14" t="n">
        <f aca="false">S897/(U897+0.0001)</f>
        <v>20.9198064485576</v>
      </c>
      <c r="X897" s="39" t="n">
        <f aca="false">IF(Informed=1,K897,0)</f>
        <v>0</v>
      </c>
      <c r="Y897" s="39" t="n">
        <f aca="false">IF(Informed=0,K897,0)</f>
        <v>18.3985784774392</v>
      </c>
      <c r="Z897" s="39" t="n">
        <f aca="false">IF(Informed=1,N897,0)</f>
        <v>0</v>
      </c>
      <c r="AA897" s="39" t="n">
        <f aca="false">IF(Informed=0,N897,0)</f>
        <v>0</v>
      </c>
      <c r="AB897" s="43" t="n">
        <f aca="false">IF(Arterial=0,IF(Informed=1,1,0),0)</f>
        <v>0</v>
      </c>
      <c r="AC897" s="43" t="n">
        <f aca="false">IF(Arterial=0,IF(Informed=0,1,0),0)</f>
        <v>1</v>
      </c>
      <c r="AD897" s="43" t="n">
        <f aca="false">IF(Arterial=1,IF(Informed=1,1,0),0)</f>
        <v>0</v>
      </c>
      <c r="AE897" s="43" t="n">
        <f aca="false">IF(Arterial=1,IF(Informed=0,1,0),0)</f>
        <v>0</v>
      </c>
      <c r="AF897" s="35" t="n">
        <f aca="false">IF(AB897=1,(X897-G$1030)^2,0)</f>
        <v>0</v>
      </c>
      <c r="AG897" s="35" t="n">
        <f aca="false">IF(AC897=1,(Y897-H$1030)^2,0)</f>
        <v>55.8725337822086</v>
      </c>
      <c r="AH897" s="35" t="n">
        <f aca="false">IF(AD897=1,(Z897-I$1030)^2,0)</f>
        <v>0</v>
      </c>
      <c r="AI897" s="35" t="n">
        <f aca="false">IF(AE897=1,(AA897-J$1030)^2,0)</f>
        <v>0</v>
      </c>
      <c r="AJ897" s="37" t="n">
        <f aca="true">IF(RAND()&lt;$D$6,1,0)</f>
        <v>0</v>
      </c>
      <c r="AK897" s="14" t="n">
        <f aca="false">AK896+IF((AJ897=1),IF((H897=0),1,0),0)</f>
        <v>0</v>
      </c>
      <c r="AL897" s="14" t="n">
        <f aca="false">AL896+IF((AJ897=1),IF((H897=1),1,0),0)</f>
        <v>0</v>
      </c>
      <c r="AM897" s="37" t="n">
        <f aca="false">IF(AK897=0,9999,IF($H897=0,IF($AJ897&lt;1,AM896+1,0),AM896))</f>
        <v>9999</v>
      </c>
      <c r="AN897" s="37" t="n">
        <f aca="false">IF(AL897=0,9999,IF($H897=1,IF($AJ897&lt;1,AN896+1,0),AN896))</f>
        <v>9999</v>
      </c>
      <c r="AO897" s="37" t="n">
        <f aca="false">IF($A897-AM897&gt;0,1/(1+AM897),0)</f>
        <v>0</v>
      </c>
      <c r="AP897" s="37" t="n">
        <f aca="false">IF($A897-AN897&gt;0,1/(1+AN897),0)</f>
        <v>0</v>
      </c>
      <c r="AQ897" s="7" t="n">
        <f aca="false">IF(AK897=0,0,MAX(MIN(1,AO897^Power),0))</f>
        <v>0</v>
      </c>
      <c r="AR897" s="7" t="n">
        <f aca="false">IF(AL897=0,0,MAX(MIN(1,AP897^Power),0))</f>
        <v>0</v>
      </c>
      <c r="AS897" s="7" t="n">
        <f aca="false">IF($AJ897=1,IF($H897=0,K897,AS896),AS896)</f>
        <v>0</v>
      </c>
      <c r="AT897" s="7" t="n">
        <f aca="false">IF($AJ897=1,IF($H897=1,N897,AT896),AT896)</f>
        <v>0</v>
      </c>
    </row>
    <row r="898" customFormat="false" ht="13" hidden="false" customHeight="false" outlineLevel="0" collapsed="false">
      <c r="A898" s="16" t="n">
        <v>881</v>
      </c>
      <c r="B898" s="37" t="n">
        <f aca="true">IF(RAND()&lt;$D$8,1,0)</f>
        <v>1</v>
      </c>
      <c r="C898" s="20" t="n">
        <f aca="true">-LN(RAND())/$D$2</f>
        <v>0.410596544043088</v>
      </c>
      <c r="D898" s="38" t="n">
        <f aca="false">D897+C898</f>
        <v>927.054011934155</v>
      </c>
      <c r="E898" s="39" t="n">
        <f aca="false">MAX($E$3,AS897)</f>
        <v>0</v>
      </c>
      <c r="F898" s="39" t="n">
        <f aca="false">MAX($E$3,AT897)</f>
        <v>0</v>
      </c>
      <c r="G898" s="40" t="n">
        <v>0.5</v>
      </c>
      <c r="H898" s="38" t="n">
        <f aca="true">IF((B898=1),(IF((F898&lt;E898),1,(IF((F898=E898),(IF(RAND()&lt;G898,1,0)),0)))),(IF((RAND()&lt;G898),1,0)))</f>
        <v>1</v>
      </c>
      <c r="I898" s="38" t="n">
        <f aca="true">IF((H898=1),0,$D$3+$D$5*(RAND()-0.5))</f>
        <v>0</v>
      </c>
      <c r="J898" s="38" t="n">
        <f aca="false">I898+MAX(D898,J897)</f>
        <v>945.041993867551</v>
      </c>
      <c r="K898" s="38" t="n">
        <f aca="false">IF((H898=0),J898-D898,0)</f>
        <v>0</v>
      </c>
      <c r="L898" s="38" t="n">
        <f aca="true">IF(($H898=0),0,$D$4+$D$5*(RAND()-0.5))</f>
        <v>1.78074631855102</v>
      </c>
      <c r="M898" s="38" t="n">
        <f aca="false">L898+MAX(D898,M897)</f>
        <v>952.420510092108</v>
      </c>
      <c r="N898" s="38" t="n">
        <f aca="false">IF((H898=1),M898-D898,0)</f>
        <v>25.3664981579536</v>
      </c>
      <c r="O898" s="16" t="n">
        <v>881</v>
      </c>
      <c r="P898" s="41" t="n">
        <f aca="false">IF((Arterial=0),P897+1,P897)</f>
        <v>419</v>
      </c>
      <c r="Q898" s="41" t="n">
        <f aca="false">IF((Arterial=1),Q897+1,Q897)</f>
        <v>462</v>
      </c>
      <c r="R898" s="42" t="n">
        <f aca="false">IF((RESET=1),0,R898+K898)</f>
        <v>760.947473203515</v>
      </c>
      <c r="S898" s="14" t="e">
        <f aca="false">IF(RESET=1,0,S898+N898)</f>
        <v>#N/A</v>
      </c>
      <c r="T898" s="2" t="n">
        <f aca="false">IF(RESET=1,0,T898+IF(H898=0,1,0))</f>
        <v>38</v>
      </c>
      <c r="U898" s="2" t="e">
        <f aca="false">IF(RESET=1,0,U898+H898)</f>
        <v>#N/A</v>
      </c>
      <c r="V898" s="14" t="n">
        <f aca="false">R898/(T898+0.00001)</f>
        <v>20.0249282356377</v>
      </c>
      <c r="W898" s="14" t="e">
        <f aca="false">S898/(U898+0.0001)</f>
        <v>#N/A</v>
      </c>
      <c r="X898" s="39" t="n">
        <f aca="false">IF(Informed=1,K898,0)</f>
        <v>0</v>
      </c>
      <c r="Y898" s="39" t="n">
        <f aca="false">IF(Informed=0,K898,0)</f>
        <v>0</v>
      </c>
      <c r="Z898" s="39" t="n">
        <f aca="false">IF(Informed=1,N898,0)</f>
        <v>25.3664981579536</v>
      </c>
      <c r="AA898" s="39" t="n">
        <f aca="false">IF(Informed=0,N898,0)</f>
        <v>0</v>
      </c>
      <c r="AB898" s="43" t="n">
        <f aca="false">IF(Arterial=0,IF(Informed=1,1,0),0)</f>
        <v>0</v>
      </c>
      <c r="AC898" s="43" t="n">
        <f aca="false">IF(Arterial=0,IF(Informed=0,1,0),0)</f>
        <v>0</v>
      </c>
      <c r="AD898" s="43" t="n">
        <f aca="false">IF(Arterial=1,IF(Informed=1,1,0),0)</f>
        <v>1</v>
      </c>
      <c r="AE898" s="43" t="n">
        <f aca="false">IF(Arterial=1,IF(Informed=0,1,0),0)</f>
        <v>0</v>
      </c>
      <c r="AF898" s="35" t="n">
        <f aca="false">IF(AB898=1,(X898-G$1030)^2,0)</f>
        <v>0</v>
      </c>
      <c r="AG898" s="35" t="n">
        <f aca="false">IF(AC898=1,(Y898-H$1030)^2,0)</f>
        <v>0</v>
      </c>
      <c r="AH898" s="35" t="n">
        <f aca="false">IF(AD898=1,(Z898-I$1030)^2,0)</f>
        <v>9.05008931118228</v>
      </c>
      <c r="AI898" s="35" t="n">
        <f aca="false">IF(AE898=1,(AA898-J$1030)^2,0)</f>
        <v>0</v>
      </c>
      <c r="AJ898" s="37" t="n">
        <f aca="true">IF(RAND()&lt;$D$6,1,0)</f>
        <v>0</v>
      </c>
      <c r="AK898" s="14" t="n">
        <f aca="false">AK897+IF((AJ898=1),IF((H898=0),1,0),0)</f>
        <v>0</v>
      </c>
      <c r="AL898" s="14" t="n">
        <f aca="false">AL897+IF((AJ898=1),IF((H898=1),1,0),0)</f>
        <v>0</v>
      </c>
      <c r="AM898" s="37" t="n">
        <f aca="false">IF(AK898=0,9999,IF($H898=0,IF($AJ898&lt;1,AM897+1,0),AM897))</f>
        <v>9999</v>
      </c>
      <c r="AN898" s="37" t="n">
        <f aca="false">IF(AL898=0,9999,IF($H898=1,IF($AJ898&lt;1,AN897+1,0),AN897))</f>
        <v>9999</v>
      </c>
      <c r="AO898" s="37" t="n">
        <f aca="false">IF($A898-AM898&gt;0,1/(1+AM898),0)</f>
        <v>0</v>
      </c>
      <c r="AP898" s="37" t="n">
        <f aca="false">IF($A898-AN898&gt;0,1/(1+AN898),0)</f>
        <v>0</v>
      </c>
      <c r="AQ898" s="7" t="n">
        <f aca="false">IF(AK898=0,0,MAX(MIN(1,AO898^Power),0))</f>
        <v>0</v>
      </c>
      <c r="AR898" s="7" t="n">
        <f aca="false">IF(AL898=0,0,MAX(MIN(1,AP898^Power),0))</f>
        <v>0</v>
      </c>
      <c r="AS898" s="7" t="n">
        <f aca="false">IF($AJ898=1,IF($H898=0,K898,AS897),AS897)</f>
        <v>0</v>
      </c>
      <c r="AT898" s="7" t="n">
        <f aca="false">IF($AJ898=1,IF($H898=1,N898,AT897),AT897)</f>
        <v>0</v>
      </c>
    </row>
    <row r="899" customFormat="false" ht="13" hidden="false" customHeight="false" outlineLevel="0" collapsed="false">
      <c r="A899" s="16" t="n">
        <v>882</v>
      </c>
      <c r="B899" s="37" t="n">
        <f aca="true">IF(RAND()&lt;$D$8,1,0)</f>
        <v>1</v>
      </c>
      <c r="C899" s="20" t="n">
        <f aca="true">-LN(RAND())/$D$2</f>
        <v>1.32625424495591</v>
      </c>
      <c r="D899" s="38" t="n">
        <f aca="false">D898+C899</f>
        <v>928.380266179111</v>
      </c>
      <c r="E899" s="39" t="n">
        <f aca="false">MAX($E$3,AS898)</f>
        <v>0</v>
      </c>
      <c r="F899" s="39" t="n">
        <f aca="false">MAX($E$3,AT898)</f>
        <v>0</v>
      </c>
      <c r="G899" s="40" t="n">
        <v>0.5</v>
      </c>
      <c r="H899" s="38" t="n">
        <f aca="true">IF((B899=1),(IF((F899&lt;E899),1,(IF((F899=E899),(IF(RAND()&lt;G899,1,0)),0)))),(IF((RAND()&lt;G899),1,0)))</f>
        <v>0</v>
      </c>
      <c r="I899" s="38" t="n">
        <f aca="true">IF((H899=1),0,$D$3+$D$5*(RAND()-0.5))</f>
        <v>1.95929246358583</v>
      </c>
      <c r="J899" s="38" t="n">
        <f aca="false">I899+MAX(D899,J898)</f>
        <v>947.001286331137</v>
      </c>
      <c r="K899" s="38" t="n">
        <f aca="false">IF((H899=0),J899-D899,0)</f>
        <v>18.6210201520261</v>
      </c>
      <c r="L899" s="38" t="n">
        <f aca="true">IF(($H899=0),0,$D$4+$D$5*(RAND()-0.5))</f>
        <v>0</v>
      </c>
      <c r="M899" s="38" t="n">
        <f aca="false">L899+MAX(D899,M898)</f>
        <v>952.420510092108</v>
      </c>
      <c r="N899" s="38" t="n">
        <f aca="false">IF((H899=1),M899-D899,0)</f>
        <v>0</v>
      </c>
      <c r="O899" s="16" t="n">
        <v>882</v>
      </c>
      <c r="P899" s="41" t="n">
        <f aca="false">IF((Arterial=0),P898+1,P898)</f>
        <v>420</v>
      </c>
      <c r="Q899" s="41" t="n">
        <f aca="false">IF((Arterial=1),Q898+1,Q898)</f>
        <v>462</v>
      </c>
      <c r="R899" s="42" t="e">
        <f aca="false">IF((RESET=1),0,R899+K899)</f>
        <v>#N/A</v>
      </c>
      <c r="S899" s="14" t="n">
        <f aca="false">IF(RESET=1,0,S899+N899)</f>
        <v>753.318857955708</v>
      </c>
      <c r="T899" s="2" t="e">
        <f aca="false">IF(RESET=1,0,T899+IF(H899=0,1,0))</f>
        <v>#N/A</v>
      </c>
      <c r="U899" s="2" t="n">
        <f aca="false">IF(RESET=1,0,U899+H899)</f>
        <v>42</v>
      </c>
      <c r="V899" s="14" t="e">
        <f aca="false">R899/(T899+0.00001)</f>
        <v>#N/A</v>
      </c>
      <c r="W899" s="14" t="n">
        <f aca="false">S899/(U899+0.0001)</f>
        <v>17.9361205796107</v>
      </c>
      <c r="X899" s="39" t="n">
        <f aca="false">IF(Informed=1,K899,0)</f>
        <v>18.6210201520261</v>
      </c>
      <c r="Y899" s="39" t="n">
        <f aca="false">IF(Informed=0,K899,0)</f>
        <v>0</v>
      </c>
      <c r="Z899" s="39" t="n">
        <f aca="false">IF(Informed=1,N899,0)</f>
        <v>0</v>
      </c>
      <c r="AA899" s="39" t="n">
        <f aca="false">IF(Informed=0,N899,0)</f>
        <v>0</v>
      </c>
      <c r="AB899" s="43" t="n">
        <f aca="false">IF(Arterial=0,IF(Informed=1,1,0),0)</f>
        <v>1</v>
      </c>
      <c r="AC899" s="43" t="n">
        <f aca="false">IF(Arterial=0,IF(Informed=0,1,0),0)</f>
        <v>0</v>
      </c>
      <c r="AD899" s="43" t="n">
        <f aca="false">IF(Arterial=1,IF(Informed=1,1,0),0)</f>
        <v>0</v>
      </c>
      <c r="AE899" s="43" t="n">
        <f aca="false">IF(Arterial=1,IF(Informed=0,1,0),0)</f>
        <v>0</v>
      </c>
      <c r="AF899" s="35" t="n">
        <f aca="false">IF(AB899=1,(X899-G$1030)^2,0)</f>
        <v>62.5893308208438</v>
      </c>
      <c r="AG899" s="35" t="n">
        <f aca="false">IF(AC899=1,(Y899-H$1030)^2,0)</f>
        <v>0</v>
      </c>
      <c r="AH899" s="35" t="n">
        <f aca="false">IF(AD899=1,(Z899-I$1030)^2,0)</f>
        <v>0</v>
      </c>
      <c r="AI899" s="35" t="n">
        <f aca="false">IF(AE899=1,(AA899-J$1030)^2,0)</f>
        <v>0</v>
      </c>
      <c r="AJ899" s="37" t="n">
        <f aca="true">IF(RAND()&lt;$D$6,1,0)</f>
        <v>0</v>
      </c>
      <c r="AK899" s="14" t="n">
        <f aca="false">AK898+IF((AJ899=1),IF((H899=0),1,0),0)</f>
        <v>0</v>
      </c>
      <c r="AL899" s="14" t="n">
        <f aca="false">AL898+IF((AJ899=1),IF((H899=1),1,0),0)</f>
        <v>0</v>
      </c>
      <c r="AM899" s="37" t="n">
        <f aca="false">IF(AK899=0,9999,IF($H899=0,IF($AJ899&lt;1,AM898+1,0),AM898))</f>
        <v>9999</v>
      </c>
      <c r="AN899" s="37" t="n">
        <f aca="false">IF(AL899=0,9999,IF($H899=1,IF($AJ899&lt;1,AN898+1,0),AN898))</f>
        <v>9999</v>
      </c>
      <c r="AO899" s="37" t="n">
        <f aca="false">IF($A899-AM899&gt;0,1/(1+AM899),0)</f>
        <v>0</v>
      </c>
      <c r="AP899" s="37" t="n">
        <f aca="false">IF($A899-AN899&gt;0,1/(1+AN899),0)</f>
        <v>0</v>
      </c>
      <c r="AQ899" s="7" t="n">
        <f aca="false">IF(AK899=0,0,MAX(MIN(1,AO899^Power),0))</f>
        <v>0</v>
      </c>
      <c r="AR899" s="7" t="n">
        <f aca="false">IF(AL899=0,0,MAX(MIN(1,AP899^Power),0))</f>
        <v>0</v>
      </c>
      <c r="AS899" s="7" t="n">
        <f aca="false">IF($AJ899=1,IF($H899=0,K899,AS898),AS898)</f>
        <v>0</v>
      </c>
      <c r="AT899" s="7" t="n">
        <f aca="false">IF($AJ899=1,IF($H899=1,N899,AT898),AT898)</f>
        <v>0</v>
      </c>
    </row>
    <row r="900" customFormat="false" ht="13" hidden="false" customHeight="false" outlineLevel="0" collapsed="false">
      <c r="A900" s="16" t="n">
        <v>883</v>
      </c>
      <c r="B900" s="37" t="n">
        <f aca="true">IF(RAND()&lt;$D$8,1,0)</f>
        <v>1</v>
      </c>
      <c r="C900" s="20" t="n">
        <f aca="true">-LN(RAND())/$D$2</f>
        <v>0.350377379499901</v>
      </c>
      <c r="D900" s="38" t="n">
        <f aca="false">D899+C900</f>
        <v>928.730643558611</v>
      </c>
      <c r="E900" s="39" t="n">
        <f aca="false">MAX($E$3,AS899)</f>
        <v>0</v>
      </c>
      <c r="F900" s="39" t="n">
        <f aca="false">MAX($E$3,AT899)</f>
        <v>0</v>
      </c>
      <c r="G900" s="40" t="n">
        <v>0.5</v>
      </c>
      <c r="H900" s="38" t="n">
        <f aca="true">IF((B900=1),(IF((F900&lt;E900),1,(IF((F900=E900),(IF(RAND()&lt;G900,1,0)),0)))),(IF((RAND()&lt;G900),1,0)))</f>
        <v>1</v>
      </c>
      <c r="I900" s="38" t="n">
        <f aca="true">IF((H900=1),0,$D$3+$D$5*(RAND()-0.5))</f>
        <v>0</v>
      </c>
      <c r="J900" s="38" t="n">
        <f aca="false">I900+MAX(D900,J899)</f>
        <v>947.001286331137</v>
      </c>
      <c r="K900" s="38" t="n">
        <f aca="false">IF((H900=0),J900-D900,0)</f>
        <v>0</v>
      </c>
      <c r="L900" s="38" t="n">
        <f aca="true">IF(($H900=0),0,$D$4+$D$5*(RAND()-0.5))</f>
        <v>1.96796875890906</v>
      </c>
      <c r="M900" s="38" t="n">
        <f aca="false">L900+MAX(D900,M899)</f>
        <v>954.388478851017</v>
      </c>
      <c r="N900" s="38" t="n">
        <f aca="false">IF((H900=1),M900-D900,0)</f>
        <v>25.6578352924068</v>
      </c>
      <c r="O900" s="16" t="n">
        <v>883</v>
      </c>
      <c r="P900" s="41" t="n">
        <f aca="false">IF((Arterial=0),P899+1,P899)</f>
        <v>420</v>
      </c>
      <c r="Q900" s="41" t="n">
        <f aca="false">IF((Arterial=1),Q899+1,Q899)</f>
        <v>463</v>
      </c>
      <c r="R900" s="42" t="n">
        <f aca="false">IF((RESET=1),0,R900+K900)</f>
        <v>873.891359331107</v>
      </c>
      <c r="S900" s="14" t="e">
        <f aca="false">IF(RESET=1,0,S900+N900)</f>
        <v>#N/A</v>
      </c>
      <c r="T900" s="2" t="n">
        <f aca="false">IF(RESET=1,0,T900+IF(H900=0,1,0))</f>
        <v>38</v>
      </c>
      <c r="U900" s="2" t="e">
        <f aca="false">IF(RESET=1,0,U900+H900)</f>
        <v>#N/A</v>
      </c>
      <c r="V900" s="14" t="n">
        <f aca="false">R900/(T900+0.00001)</f>
        <v>22.9971349831515</v>
      </c>
      <c r="W900" s="14" t="e">
        <f aca="false">S900/(U900+0.0001)</f>
        <v>#N/A</v>
      </c>
      <c r="X900" s="39" t="n">
        <f aca="false">IF(Informed=1,K900,0)</f>
        <v>0</v>
      </c>
      <c r="Y900" s="39" t="n">
        <f aca="false">IF(Informed=0,K900,0)</f>
        <v>0</v>
      </c>
      <c r="Z900" s="39" t="n">
        <f aca="false">IF(Informed=1,N900,0)</f>
        <v>25.6578352924068</v>
      </c>
      <c r="AA900" s="39" t="n">
        <f aca="false">IF(Informed=0,N900,0)</f>
        <v>0</v>
      </c>
      <c r="AB900" s="43" t="n">
        <f aca="false">IF(Arterial=0,IF(Informed=1,1,0),0)</f>
        <v>0</v>
      </c>
      <c r="AC900" s="43" t="n">
        <f aca="false">IF(Arterial=0,IF(Informed=0,1,0),0)</f>
        <v>0</v>
      </c>
      <c r="AD900" s="43" t="n">
        <f aca="false">IF(Arterial=1,IF(Informed=1,1,0),0)</f>
        <v>1</v>
      </c>
      <c r="AE900" s="43" t="n">
        <f aca="false">IF(Arterial=1,IF(Informed=0,1,0),0)</f>
        <v>0</v>
      </c>
      <c r="AF900" s="35" t="n">
        <f aca="false">IF(AB900=1,(X900-G$1030)^2,0)</f>
        <v>0</v>
      </c>
      <c r="AG900" s="35" t="n">
        <f aca="false">IF(AC900=1,(Y900-H$1030)^2,0)</f>
        <v>0</v>
      </c>
      <c r="AH900" s="35" t="n">
        <f aca="false">IF(AD900=1,(Z900-I$1030)^2,0)</f>
        <v>7.38208628750608</v>
      </c>
      <c r="AI900" s="35" t="n">
        <f aca="false">IF(AE900=1,(AA900-J$1030)^2,0)</f>
        <v>0</v>
      </c>
      <c r="AJ900" s="37" t="n">
        <f aca="true">IF(RAND()&lt;$D$6,1,0)</f>
        <v>0</v>
      </c>
      <c r="AK900" s="14" t="n">
        <f aca="false">AK899+IF((AJ900=1),IF((H900=0),1,0),0)</f>
        <v>0</v>
      </c>
      <c r="AL900" s="14" t="n">
        <f aca="false">AL899+IF((AJ900=1),IF((H900=1),1,0),0)</f>
        <v>0</v>
      </c>
      <c r="AM900" s="37" t="n">
        <f aca="false">IF(AK900=0,9999,IF($H900=0,IF($AJ900&lt;1,AM899+1,0),AM899))</f>
        <v>9999</v>
      </c>
      <c r="AN900" s="37" t="n">
        <f aca="false">IF(AL900=0,9999,IF($H900=1,IF($AJ900&lt;1,AN899+1,0),AN899))</f>
        <v>9999</v>
      </c>
      <c r="AO900" s="37" t="n">
        <f aca="false">IF($A900-AM900&gt;0,1/(1+AM900),0)</f>
        <v>0</v>
      </c>
      <c r="AP900" s="37" t="n">
        <f aca="false">IF($A900-AN900&gt;0,1/(1+AN900),0)</f>
        <v>0</v>
      </c>
      <c r="AQ900" s="7" t="n">
        <f aca="false">IF(AK900=0,0,MAX(MIN(1,AO900^Power),0))</f>
        <v>0</v>
      </c>
      <c r="AR900" s="7" t="n">
        <f aca="false">IF(AL900=0,0,MAX(MIN(1,AP900^Power),0))</f>
        <v>0</v>
      </c>
      <c r="AS900" s="7" t="n">
        <f aca="false">IF($AJ900=1,IF($H900=0,K900,AS899),AS899)</f>
        <v>0</v>
      </c>
      <c r="AT900" s="7" t="n">
        <f aca="false">IF($AJ900=1,IF($H900=1,N900,AT899),AT899)</f>
        <v>0</v>
      </c>
    </row>
    <row r="901" customFormat="false" ht="13" hidden="false" customHeight="false" outlineLevel="0" collapsed="false">
      <c r="A901" s="16" t="n">
        <v>884</v>
      </c>
      <c r="B901" s="37" t="n">
        <f aca="true">IF(RAND()&lt;$D$8,1,0)</f>
        <v>1</v>
      </c>
      <c r="C901" s="20" t="n">
        <f aca="true">-LN(RAND())/$D$2</f>
        <v>1.22441624638645</v>
      </c>
      <c r="D901" s="38" t="n">
        <f aca="false">D900+C901</f>
        <v>929.955059804997</v>
      </c>
      <c r="E901" s="39" t="n">
        <f aca="false">MAX($E$3,AS900)</f>
        <v>0</v>
      </c>
      <c r="F901" s="39" t="n">
        <f aca="false">MAX($E$3,AT900)</f>
        <v>0</v>
      </c>
      <c r="G901" s="40" t="n">
        <v>0.5</v>
      </c>
      <c r="H901" s="38" t="n">
        <f aca="true">IF((B901=1),(IF((F901&lt;E901),1,(IF((F901=E901),(IF(RAND()&lt;G901,1,0)),0)))),(IF((RAND()&lt;G901),1,0)))</f>
        <v>0</v>
      </c>
      <c r="I901" s="38" t="n">
        <f aca="true">IF((H901=1),0,$D$3+$D$5*(RAND()-0.5))</f>
        <v>1.85714059881582</v>
      </c>
      <c r="J901" s="38" t="n">
        <f aca="false">I901+MAX(D901,J900)</f>
        <v>948.858426929952</v>
      </c>
      <c r="K901" s="38" t="n">
        <f aca="false">IF((H901=0),J901-D901,0)</f>
        <v>18.9033671249555</v>
      </c>
      <c r="L901" s="38" t="n">
        <f aca="true">IF(($H901=0),0,$D$4+$D$5*(RAND()-0.5))</f>
        <v>0</v>
      </c>
      <c r="M901" s="38" t="n">
        <f aca="false">L901+MAX(D901,M900)</f>
        <v>954.388478851017</v>
      </c>
      <c r="N901" s="38" t="n">
        <f aca="false">IF((H901=1),M901-D901,0)</f>
        <v>0</v>
      </c>
      <c r="O901" s="16" t="n">
        <v>884</v>
      </c>
      <c r="P901" s="41" t="n">
        <f aca="false">IF((Arterial=0),P900+1,P900)</f>
        <v>421</v>
      </c>
      <c r="Q901" s="41" t="n">
        <f aca="false">IF((Arterial=1),Q900+1,Q900)</f>
        <v>463</v>
      </c>
      <c r="R901" s="42" t="e">
        <f aca="false">IF((RESET=1),0,R901+K901)</f>
        <v>#N/A</v>
      </c>
      <c r="S901" s="14" t="n">
        <f aca="false">IF(RESET=1,0,S901+N901)</f>
        <v>819.257442567219</v>
      </c>
      <c r="T901" s="2" t="e">
        <f aca="false">IF(RESET=1,0,T901+IF(H901=0,1,0))</f>
        <v>#N/A</v>
      </c>
      <c r="U901" s="2" t="n">
        <f aca="false">IF(RESET=1,0,U901+H901)</f>
        <v>40</v>
      </c>
      <c r="V901" s="14" t="e">
        <f aca="false">R901/(T901+0.00001)</f>
        <v>#N/A</v>
      </c>
      <c r="W901" s="14" t="n">
        <f aca="false">S901/(U901+0.0001)</f>
        <v>20.4813848607183</v>
      </c>
      <c r="X901" s="39" t="n">
        <f aca="false">IF(Informed=1,K901,0)</f>
        <v>18.9033671249555</v>
      </c>
      <c r="Y901" s="39" t="n">
        <f aca="false">IF(Informed=0,K901,0)</f>
        <v>0</v>
      </c>
      <c r="Z901" s="39" t="n">
        <f aca="false">IF(Informed=1,N901,0)</f>
        <v>0</v>
      </c>
      <c r="AA901" s="39" t="n">
        <f aca="false">IF(Informed=0,N901,0)</f>
        <v>0</v>
      </c>
      <c r="AB901" s="43" t="n">
        <f aca="false">IF(Arterial=0,IF(Informed=1,1,0),0)</f>
        <v>1</v>
      </c>
      <c r="AC901" s="43" t="n">
        <f aca="false">IF(Arterial=0,IF(Informed=0,1,0),0)</f>
        <v>0</v>
      </c>
      <c r="AD901" s="43" t="n">
        <f aca="false">IF(Arterial=1,IF(Informed=1,1,0),0)</f>
        <v>0</v>
      </c>
      <c r="AE901" s="43" t="n">
        <f aca="false">IF(Arterial=1,IF(Informed=0,1,0),0)</f>
        <v>0</v>
      </c>
      <c r="AF901" s="35" t="n">
        <f aca="false">IF(AB901=1,(X901-G$1030)^2,0)</f>
        <v>67.1365375143024</v>
      </c>
      <c r="AG901" s="35" t="n">
        <f aca="false">IF(AC901=1,(Y901-H$1030)^2,0)</f>
        <v>0</v>
      </c>
      <c r="AH901" s="35" t="n">
        <f aca="false">IF(AD901=1,(Z901-I$1030)^2,0)</f>
        <v>0</v>
      </c>
      <c r="AI901" s="35" t="n">
        <f aca="false">IF(AE901=1,(AA901-J$1030)^2,0)</f>
        <v>0</v>
      </c>
      <c r="AJ901" s="37" t="n">
        <f aca="true">IF(RAND()&lt;$D$6,1,0)</f>
        <v>0</v>
      </c>
      <c r="AK901" s="14" t="n">
        <f aca="false">AK900+IF((AJ901=1),IF((H901=0),1,0),0)</f>
        <v>0</v>
      </c>
      <c r="AL901" s="14" t="n">
        <f aca="false">AL900+IF((AJ901=1),IF((H901=1),1,0),0)</f>
        <v>0</v>
      </c>
      <c r="AM901" s="37" t="n">
        <f aca="false">IF(AK901=0,9999,IF($H901=0,IF($AJ901&lt;1,AM900+1,0),AM900))</f>
        <v>9999</v>
      </c>
      <c r="AN901" s="37" t="n">
        <f aca="false">IF(AL901=0,9999,IF($H901=1,IF($AJ901&lt;1,AN900+1,0),AN900))</f>
        <v>9999</v>
      </c>
      <c r="AO901" s="37" t="n">
        <f aca="false">IF($A901-AM901&gt;0,1/(1+AM901),0)</f>
        <v>0</v>
      </c>
      <c r="AP901" s="37" t="n">
        <f aca="false">IF($A901-AN901&gt;0,1/(1+AN901),0)</f>
        <v>0</v>
      </c>
      <c r="AQ901" s="7" t="n">
        <f aca="false">IF(AK901=0,0,MAX(MIN(1,AO901^Power),0))</f>
        <v>0</v>
      </c>
      <c r="AR901" s="7" t="n">
        <f aca="false">IF(AL901=0,0,MAX(MIN(1,AP901^Power),0))</f>
        <v>0</v>
      </c>
      <c r="AS901" s="7" t="n">
        <f aca="false">IF($AJ901=1,IF($H901=0,K901,AS900),AS900)</f>
        <v>0</v>
      </c>
      <c r="AT901" s="7" t="n">
        <f aca="false">IF($AJ901=1,IF($H901=1,N901,AT900),AT900)</f>
        <v>0</v>
      </c>
    </row>
    <row r="902" customFormat="false" ht="13" hidden="false" customHeight="false" outlineLevel="0" collapsed="false">
      <c r="A902" s="16" t="n">
        <v>885</v>
      </c>
      <c r="B902" s="37" t="n">
        <f aca="true">IF(RAND()&lt;$D$8,1,0)</f>
        <v>0</v>
      </c>
      <c r="C902" s="20" t="n">
        <f aca="true">-LN(RAND())/$D$2</f>
        <v>1.46772152317342</v>
      </c>
      <c r="D902" s="38" t="n">
        <f aca="false">D901+C902</f>
        <v>931.42278132817</v>
      </c>
      <c r="E902" s="39" t="n">
        <f aca="false">MAX($E$3,AS901)</f>
        <v>0</v>
      </c>
      <c r="F902" s="39" t="n">
        <f aca="false">MAX($E$3,AT901)</f>
        <v>0</v>
      </c>
      <c r="G902" s="40" t="n">
        <v>0.5</v>
      </c>
      <c r="H902" s="38" t="n">
        <f aca="true">IF((B902=1),(IF((F902&lt;E902),1,(IF((F902=E902),(IF(RAND()&lt;G902,1,0)),0)))),(IF((RAND()&lt;G902),1,0)))</f>
        <v>0</v>
      </c>
      <c r="I902" s="38" t="n">
        <f aca="true">IF((H902=1),0,$D$3+$D$5*(RAND()-0.5))</f>
        <v>1.7956043333779</v>
      </c>
      <c r="J902" s="38" t="n">
        <f aca="false">I902+MAX(D902,J901)</f>
        <v>950.65403126333</v>
      </c>
      <c r="K902" s="38" t="n">
        <f aca="false">IF((H902=0),J902-D902,0)</f>
        <v>19.23124993516</v>
      </c>
      <c r="L902" s="38" t="n">
        <f aca="true">IF(($H902=0),0,$D$4+$D$5*(RAND()-0.5))</f>
        <v>0</v>
      </c>
      <c r="M902" s="38" t="n">
        <f aca="false">L902+MAX(D902,M901)</f>
        <v>954.388478851017</v>
      </c>
      <c r="N902" s="38" t="n">
        <f aca="false">IF((H902=1),M902-D902,0)</f>
        <v>0</v>
      </c>
      <c r="O902" s="16" t="n">
        <v>885</v>
      </c>
      <c r="P902" s="41" t="n">
        <f aca="false">IF((Arterial=0),P901+1,P901)</f>
        <v>422</v>
      </c>
      <c r="Q902" s="41" t="n">
        <f aca="false">IF((Arterial=1),Q901+1,Q901)</f>
        <v>463</v>
      </c>
      <c r="R902" s="42" t="e">
        <f aca="false">IF((RESET=1),0,R902+K902)</f>
        <v>#N/A</v>
      </c>
      <c r="S902" s="14" t="n">
        <f aca="false">IF(RESET=1,0,S902+N902)</f>
        <v>597.65391457372</v>
      </c>
      <c r="T902" s="2" t="e">
        <f aca="false">IF(RESET=1,0,T902+IF(H902=0,1,0))</f>
        <v>#N/A</v>
      </c>
      <c r="U902" s="2" t="n">
        <f aca="false">IF(RESET=1,0,U902+H902)</f>
        <v>38</v>
      </c>
      <c r="V902" s="14" t="e">
        <f aca="false">R902/(T902+0.00001)</f>
        <v>#N/A</v>
      </c>
      <c r="W902" s="14" t="n">
        <f aca="false">S902/(U902+0.0001)</f>
        <v>15.7276932053789</v>
      </c>
      <c r="X902" s="39" t="n">
        <f aca="false">IF(Informed=1,K902,0)</f>
        <v>0</v>
      </c>
      <c r="Y902" s="39" t="n">
        <f aca="false">IF(Informed=0,K902,0)</f>
        <v>19.23124993516</v>
      </c>
      <c r="Z902" s="39" t="n">
        <f aca="false">IF(Informed=1,N902,0)</f>
        <v>0</v>
      </c>
      <c r="AA902" s="39" t="n">
        <f aca="false">IF(Informed=0,N902,0)</f>
        <v>0</v>
      </c>
      <c r="AB902" s="43" t="n">
        <f aca="false">IF(Arterial=0,IF(Informed=1,1,0),0)</f>
        <v>0</v>
      </c>
      <c r="AC902" s="43" t="n">
        <f aca="false">IF(Arterial=0,IF(Informed=0,1,0),0)</f>
        <v>1</v>
      </c>
      <c r="AD902" s="43" t="n">
        <f aca="false">IF(Arterial=1,IF(Informed=1,1,0),0)</f>
        <v>0</v>
      </c>
      <c r="AE902" s="43" t="n">
        <f aca="false">IF(Arterial=1,IF(Informed=0,1,0),0)</f>
        <v>0</v>
      </c>
      <c r="AF902" s="35" t="n">
        <f aca="false">IF(AB902=1,(X902-G$1030)^2,0)</f>
        <v>0</v>
      </c>
      <c r="AG902" s="35" t="n">
        <f aca="false">IF(AC902=1,(Y902-H$1030)^2,0)</f>
        <v>69.0139694832199</v>
      </c>
      <c r="AH902" s="35" t="n">
        <f aca="false">IF(AD902=1,(Z902-I$1030)^2,0)</f>
        <v>0</v>
      </c>
      <c r="AI902" s="35" t="n">
        <f aca="false">IF(AE902=1,(AA902-J$1030)^2,0)</f>
        <v>0</v>
      </c>
      <c r="AJ902" s="37" t="n">
        <f aca="true">IF(RAND()&lt;$D$6,1,0)</f>
        <v>0</v>
      </c>
      <c r="AK902" s="14" t="n">
        <f aca="false">AK901+IF((AJ902=1),IF((H902=0),1,0),0)</f>
        <v>0</v>
      </c>
      <c r="AL902" s="14" t="n">
        <f aca="false">AL901+IF((AJ902=1),IF((H902=1),1,0),0)</f>
        <v>0</v>
      </c>
      <c r="AM902" s="37" t="n">
        <f aca="false">IF(AK902=0,9999,IF($H902=0,IF($AJ902&lt;1,AM901+1,0),AM901))</f>
        <v>9999</v>
      </c>
      <c r="AN902" s="37" t="n">
        <f aca="false">IF(AL902=0,9999,IF($H902=1,IF($AJ902&lt;1,AN901+1,0),AN901))</f>
        <v>9999</v>
      </c>
      <c r="AO902" s="37" t="n">
        <f aca="false">IF($A902-AM902&gt;0,1/(1+AM902),0)</f>
        <v>0</v>
      </c>
      <c r="AP902" s="37" t="n">
        <f aca="false">IF($A902-AN902&gt;0,1/(1+AN902),0)</f>
        <v>0</v>
      </c>
      <c r="AQ902" s="7" t="n">
        <f aca="false">IF(AK902=0,0,MAX(MIN(1,AO902^Power),0))</f>
        <v>0</v>
      </c>
      <c r="AR902" s="7" t="n">
        <f aca="false">IF(AL902=0,0,MAX(MIN(1,AP902^Power),0))</f>
        <v>0</v>
      </c>
      <c r="AS902" s="7" t="n">
        <f aca="false">IF($AJ902=1,IF($H902=0,K902,AS901),AS901)</f>
        <v>0</v>
      </c>
      <c r="AT902" s="7" t="n">
        <f aca="false">IF($AJ902=1,IF($H902=1,N902,AT901),AT901)</f>
        <v>0</v>
      </c>
    </row>
    <row r="903" customFormat="false" ht="13" hidden="false" customHeight="false" outlineLevel="0" collapsed="false">
      <c r="A903" s="16" t="n">
        <v>886</v>
      </c>
      <c r="B903" s="37" t="n">
        <f aca="true">IF(RAND()&lt;$D$8,1,0)</f>
        <v>0</v>
      </c>
      <c r="C903" s="20" t="n">
        <f aca="true">-LN(RAND())/$D$2</f>
        <v>0.727673505123164</v>
      </c>
      <c r="D903" s="38" t="n">
        <f aca="false">D902+C903</f>
        <v>932.150454833294</v>
      </c>
      <c r="E903" s="39" t="n">
        <f aca="false">MAX($E$3,AS902)</f>
        <v>0</v>
      </c>
      <c r="F903" s="39" t="n">
        <f aca="false">MAX($E$3,AT902)</f>
        <v>0</v>
      </c>
      <c r="G903" s="40" t="n">
        <v>0.5</v>
      </c>
      <c r="H903" s="38" t="n">
        <f aca="true">IF((B903=1),(IF((F903&lt;E903),1,(IF((F903=E903),(IF(RAND()&lt;G903,1,0)),0)))),(IF((RAND()&lt;G903),1,0)))</f>
        <v>1</v>
      </c>
      <c r="I903" s="38" t="n">
        <f aca="true">IF((H903=1),0,$D$3+$D$5*(RAND()-0.5))</f>
        <v>0</v>
      </c>
      <c r="J903" s="38" t="n">
        <f aca="false">I903+MAX(D903,J902)</f>
        <v>950.65403126333</v>
      </c>
      <c r="K903" s="38" t="n">
        <f aca="false">IF((H903=0),J903-D903,0)</f>
        <v>0</v>
      </c>
      <c r="L903" s="38" t="n">
        <f aca="true">IF(($H903=0),0,$D$4+$D$5*(RAND()-0.5))</f>
        <v>1.86060270745875</v>
      </c>
      <c r="M903" s="38" t="n">
        <f aca="false">L903+MAX(D903,M902)</f>
        <v>956.249081558476</v>
      </c>
      <c r="N903" s="38" t="n">
        <f aca="false">IF((H903=1),M903-D903,0)</f>
        <v>24.0986267251825</v>
      </c>
      <c r="O903" s="16" t="n">
        <v>886</v>
      </c>
      <c r="P903" s="41" t="n">
        <f aca="false">IF((Arterial=0),P902+1,P902)</f>
        <v>422</v>
      </c>
      <c r="Q903" s="41" t="n">
        <f aca="false">IF((Arterial=1),Q902+1,Q902)</f>
        <v>464</v>
      </c>
      <c r="R903" s="42" t="n">
        <f aca="false">IF((RESET=1),0,R903+K903)</f>
        <v>1152.96390374293</v>
      </c>
      <c r="S903" s="14" t="e">
        <f aca="false">IF(RESET=1,0,S903+N903)</f>
        <v>#N/A</v>
      </c>
      <c r="T903" s="2" t="n">
        <f aca="false">IF(RESET=1,0,T903+IF(H903=0,1,0))</f>
        <v>48</v>
      </c>
      <c r="U903" s="2" t="e">
        <f aca="false">IF(RESET=1,0,U903+H903)</f>
        <v>#N/A</v>
      </c>
      <c r="V903" s="14" t="n">
        <f aca="false">R903/(T903+0.00001)</f>
        <v>24.0200763237952</v>
      </c>
      <c r="W903" s="14" t="e">
        <f aca="false">S903/(U903+0.0001)</f>
        <v>#N/A</v>
      </c>
      <c r="X903" s="39" t="n">
        <f aca="false">IF(Informed=1,K903,0)</f>
        <v>0</v>
      </c>
      <c r="Y903" s="39" t="n">
        <f aca="false">IF(Informed=0,K903,0)</f>
        <v>0</v>
      </c>
      <c r="Z903" s="39" t="n">
        <f aca="false">IF(Informed=1,N903,0)</f>
        <v>0</v>
      </c>
      <c r="AA903" s="39" t="n">
        <f aca="false">IF(Informed=0,N903,0)</f>
        <v>24.0986267251825</v>
      </c>
      <c r="AB903" s="43" t="n">
        <f aca="false">IF(Arterial=0,IF(Informed=1,1,0),0)</f>
        <v>0</v>
      </c>
      <c r="AC903" s="43" t="n">
        <f aca="false">IF(Arterial=0,IF(Informed=0,1,0),0)</f>
        <v>0</v>
      </c>
      <c r="AD903" s="43" t="n">
        <f aca="false">IF(Arterial=1,IF(Informed=1,1,0),0)</f>
        <v>0</v>
      </c>
      <c r="AE903" s="43" t="n">
        <f aca="false">IF(Arterial=1,IF(Informed=0,1,0),0)</f>
        <v>1</v>
      </c>
      <c r="AF903" s="35" t="n">
        <f aca="false">IF(AB903=1,(X903-G$1030)^2,0)</f>
        <v>0</v>
      </c>
      <c r="AG903" s="35" t="n">
        <f aca="false">IF(AC903=1,(Y903-H$1030)^2,0)</f>
        <v>0</v>
      </c>
      <c r="AH903" s="35" t="n">
        <f aca="false">IF(AD903=1,(Z903-I$1030)^2,0)</f>
        <v>0</v>
      </c>
      <c r="AI903" s="35" t="n">
        <f aca="false">IF(AE903=1,(AA903-J$1030)^2,0)</f>
        <v>29.8733109570591</v>
      </c>
      <c r="AJ903" s="37" t="n">
        <f aca="true">IF(RAND()&lt;$D$6,1,0)</f>
        <v>0</v>
      </c>
      <c r="AK903" s="14" t="n">
        <f aca="false">AK902+IF((AJ903=1),IF((H903=0),1,0),0)</f>
        <v>0</v>
      </c>
      <c r="AL903" s="14" t="n">
        <f aca="false">AL902+IF((AJ903=1),IF((H903=1),1,0),0)</f>
        <v>0</v>
      </c>
      <c r="AM903" s="37" t="n">
        <f aca="false">IF(AK903=0,9999,IF($H903=0,IF($AJ903&lt;1,AM902+1,0),AM902))</f>
        <v>9999</v>
      </c>
      <c r="AN903" s="37" t="n">
        <f aca="false">IF(AL903=0,9999,IF($H903=1,IF($AJ903&lt;1,AN902+1,0),AN902))</f>
        <v>9999</v>
      </c>
      <c r="AO903" s="37" t="n">
        <f aca="false">IF($A903-AM903&gt;0,1/(1+AM903),0)</f>
        <v>0</v>
      </c>
      <c r="AP903" s="37" t="n">
        <f aca="false">IF($A903-AN903&gt;0,1/(1+AN903),0)</f>
        <v>0</v>
      </c>
      <c r="AQ903" s="7" t="n">
        <f aca="false">IF(AK903=0,0,MAX(MIN(1,AO903^Power),0))</f>
        <v>0</v>
      </c>
      <c r="AR903" s="7" t="n">
        <f aca="false">IF(AL903=0,0,MAX(MIN(1,AP903^Power),0))</f>
        <v>0</v>
      </c>
      <c r="AS903" s="7" t="n">
        <f aca="false">IF($AJ903=1,IF($H903=0,K903,AS902),AS902)</f>
        <v>0</v>
      </c>
      <c r="AT903" s="7" t="n">
        <f aca="false">IF($AJ903=1,IF($H903=1,N903,AT902),AT902)</f>
        <v>0</v>
      </c>
    </row>
    <row r="904" customFormat="false" ht="13" hidden="false" customHeight="false" outlineLevel="0" collapsed="false">
      <c r="A904" s="16" t="n">
        <v>887</v>
      </c>
      <c r="B904" s="37" t="n">
        <f aca="true">IF(RAND()&lt;$D$8,1,0)</f>
        <v>1</v>
      </c>
      <c r="C904" s="20" t="n">
        <f aca="true">-LN(RAND())/$D$2</f>
        <v>1.4169253688819</v>
      </c>
      <c r="D904" s="38" t="n">
        <f aca="false">D903+C904</f>
        <v>933.567380202176</v>
      </c>
      <c r="E904" s="39" t="n">
        <f aca="false">MAX($E$3,AS903)</f>
        <v>0</v>
      </c>
      <c r="F904" s="39" t="n">
        <f aca="false">MAX($E$3,AT903)</f>
        <v>0</v>
      </c>
      <c r="G904" s="40" t="n">
        <v>0.5</v>
      </c>
      <c r="H904" s="38" t="n">
        <f aca="true">IF((B904=1),(IF((F904&lt;E904),1,(IF((F904=E904),(IF(RAND()&lt;G904,1,0)),0)))),(IF((RAND()&lt;G904),1,0)))</f>
        <v>0</v>
      </c>
      <c r="I904" s="38" t="n">
        <f aca="true">IF((H904=1),0,$D$3+$D$5*(RAND()-0.5))</f>
        <v>1.87956210194163</v>
      </c>
      <c r="J904" s="38" t="n">
        <f aca="false">I904+MAX(D904,J903)</f>
        <v>952.533593365272</v>
      </c>
      <c r="K904" s="38" t="n">
        <f aca="false">IF((H904=0),J904-D904,0)</f>
        <v>18.9662131630964</v>
      </c>
      <c r="L904" s="38" t="n">
        <f aca="true">IF(($H904=0),0,$D$4+$D$5*(RAND()-0.5))</f>
        <v>0</v>
      </c>
      <c r="M904" s="38" t="n">
        <f aca="false">L904+MAX(D904,M903)</f>
        <v>956.249081558476</v>
      </c>
      <c r="N904" s="38" t="n">
        <f aca="false">IF((H904=1),M904-D904,0)</f>
        <v>0</v>
      </c>
      <c r="O904" s="16" t="n">
        <v>887</v>
      </c>
      <c r="P904" s="41" t="n">
        <f aca="false">IF((Arterial=0),P903+1,P903)</f>
        <v>423</v>
      </c>
      <c r="Q904" s="41" t="n">
        <f aca="false">IF((Arterial=1),Q903+1,Q903)</f>
        <v>464</v>
      </c>
      <c r="R904" s="42" t="e">
        <f aca="false">IF((RESET=1),0,R904+K904)</f>
        <v>#N/A</v>
      </c>
      <c r="S904" s="14" t="n">
        <f aca="false">IF(RESET=1,0,S904+N904)</f>
        <v>634.122371440412</v>
      </c>
      <c r="T904" s="2" t="e">
        <f aca="false">IF(RESET=1,0,T904+IF(H904=0,1,0))</f>
        <v>#N/A</v>
      </c>
      <c r="U904" s="2" t="n">
        <f aca="false">IF(RESET=1,0,U904+H904)</f>
        <v>41</v>
      </c>
      <c r="V904" s="14" t="e">
        <f aca="false">R904/(T904+0.00001)</f>
        <v>#N/A</v>
      </c>
      <c r="W904" s="14" t="n">
        <f aca="false">S904/(U904+0.0001)</f>
        <v>15.4663615805916</v>
      </c>
      <c r="X904" s="39" t="n">
        <f aca="false">IF(Informed=1,K904,0)</f>
        <v>18.9662131630964</v>
      </c>
      <c r="Y904" s="39" t="n">
        <f aca="false">IF(Informed=0,K904,0)</f>
        <v>0</v>
      </c>
      <c r="Z904" s="39" t="n">
        <f aca="false">IF(Informed=1,N904,0)</f>
        <v>0</v>
      </c>
      <c r="AA904" s="39" t="n">
        <f aca="false">IF(Informed=0,N904,0)</f>
        <v>0</v>
      </c>
      <c r="AB904" s="43" t="n">
        <f aca="false">IF(Arterial=0,IF(Informed=1,1,0),0)</f>
        <v>1</v>
      </c>
      <c r="AC904" s="43" t="n">
        <f aca="false">IF(Arterial=0,IF(Informed=0,1,0),0)</f>
        <v>0</v>
      </c>
      <c r="AD904" s="43" t="n">
        <f aca="false">IF(Arterial=1,IF(Informed=1,1,0),0)</f>
        <v>0</v>
      </c>
      <c r="AE904" s="43" t="n">
        <f aca="false">IF(Arterial=1,IF(Informed=0,1,0),0)</f>
        <v>0</v>
      </c>
      <c r="AF904" s="35" t="n">
        <f aca="false">IF(AB904=1,(X904-G$1030)^2,0)</f>
        <v>68.1703689069468</v>
      </c>
      <c r="AG904" s="35" t="n">
        <f aca="false">IF(AC904=1,(Y904-H$1030)^2,0)</f>
        <v>0</v>
      </c>
      <c r="AH904" s="35" t="n">
        <f aca="false">IF(AD904=1,(Z904-I$1030)^2,0)</f>
        <v>0</v>
      </c>
      <c r="AI904" s="35" t="n">
        <f aca="false">IF(AE904=1,(AA904-J$1030)^2,0)</f>
        <v>0</v>
      </c>
      <c r="AJ904" s="37" t="n">
        <f aca="true">IF(RAND()&lt;$D$6,1,0)</f>
        <v>0</v>
      </c>
      <c r="AK904" s="14" t="n">
        <f aca="false">AK903+IF((AJ904=1),IF((H904=0),1,0),0)</f>
        <v>0</v>
      </c>
      <c r="AL904" s="14" t="n">
        <f aca="false">AL903+IF((AJ904=1),IF((H904=1),1,0),0)</f>
        <v>0</v>
      </c>
      <c r="AM904" s="37" t="n">
        <f aca="false">IF(AK904=0,9999,IF($H904=0,IF($AJ904&lt;1,AM903+1,0),AM903))</f>
        <v>9999</v>
      </c>
      <c r="AN904" s="37" t="n">
        <f aca="false">IF(AL904=0,9999,IF($H904=1,IF($AJ904&lt;1,AN903+1,0),AN903))</f>
        <v>9999</v>
      </c>
      <c r="AO904" s="37" t="n">
        <f aca="false">IF($A904-AM904&gt;0,1/(1+AM904),0)</f>
        <v>0</v>
      </c>
      <c r="AP904" s="37" t="n">
        <f aca="false">IF($A904-AN904&gt;0,1/(1+AN904),0)</f>
        <v>0</v>
      </c>
      <c r="AQ904" s="7" t="n">
        <f aca="false">IF(AK904=0,0,MAX(MIN(1,AO904^Power),0))</f>
        <v>0</v>
      </c>
      <c r="AR904" s="7" t="n">
        <f aca="false">IF(AL904=0,0,MAX(MIN(1,AP904^Power),0))</f>
        <v>0</v>
      </c>
      <c r="AS904" s="7" t="n">
        <f aca="false">IF($AJ904=1,IF($H904=0,K904,AS903),AS903)</f>
        <v>0</v>
      </c>
      <c r="AT904" s="7" t="n">
        <f aca="false">IF($AJ904=1,IF($H904=1,N904,AT903),AT903)</f>
        <v>0</v>
      </c>
    </row>
    <row r="905" customFormat="false" ht="13" hidden="false" customHeight="false" outlineLevel="0" collapsed="false">
      <c r="A905" s="16" t="n">
        <v>888</v>
      </c>
      <c r="B905" s="37" t="n">
        <f aca="true">IF(RAND()&lt;$D$8,1,0)</f>
        <v>0</v>
      </c>
      <c r="C905" s="20" t="n">
        <f aca="true">-LN(RAND())/$D$2</f>
        <v>5.32672249342599</v>
      </c>
      <c r="D905" s="38" t="n">
        <f aca="false">D904+C905</f>
        <v>938.894102695602</v>
      </c>
      <c r="E905" s="39" t="n">
        <f aca="false">MAX($E$3,AS904)</f>
        <v>0</v>
      </c>
      <c r="F905" s="39" t="n">
        <f aca="false">MAX($E$3,AT904)</f>
        <v>0</v>
      </c>
      <c r="G905" s="40" t="n">
        <v>0.5</v>
      </c>
      <c r="H905" s="38" t="n">
        <f aca="true">IF((B905=1),(IF((F905&lt;E905),1,(IF((F905=E905),(IF(RAND()&lt;G905,1,0)),0)))),(IF((RAND()&lt;G905),1,0)))</f>
        <v>0</v>
      </c>
      <c r="I905" s="38" t="n">
        <f aca="true">IF((H905=1),0,$D$3+$D$5*(RAND()-0.5))</f>
        <v>2.22908843123737</v>
      </c>
      <c r="J905" s="38" t="n">
        <f aca="false">I905+MAX(D905,J904)</f>
        <v>954.762681796509</v>
      </c>
      <c r="K905" s="38" t="n">
        <f aca="false">IF((H905=0),J905-D905,0)</f>
        <v>15.8685791009078</v>
      </c>
      <c r="L905" s="38" t="n">
        <f aca="true">IF(($H905=0),0,$D$4+$D$5*(RAND()-0.5))</f>
        <v>0</v>
      </c>
      <c r="M905" s="38" t="n">
        <f aca="false">L905+MAX(D905,M904)</f>
        <v>956.249081558476</v>
      </c>
      <c r="N905" s="38" t="n">
        <f aca="false">IF((H905=1),M905-D905,0)</f>
        <v>0</v>
      </c>
      <c r="O905" s="16" t="n">
        <v>888</v>
      </c>
      <c r="P905" s="41" t="n">
        <f aca="false">IF((Arterial=0),P904+1,P904)</f>
        <v>424</v>
      </c>
      <c r="Q905" s="41" t="n">
        <f aca="false">IF((Arterial=1),Q904+1,Q904)</f>
        <v>464</v>
      </c>
      <c r="R905" s="42" t="e">
        <f aca="false">IF((RESET=1),0,R905+K905)</f>
        <v>#N/A</v>
      </c>
      <c r="S905" s="14" t="n">
        <f aca="false">IF(RESET=1,0,S905+N905)</f>
        <v>827.406448373439</v>
      </c>
      <c r="T905" s="2" t="e">
        <f aca="false">IF(RESET=1,0,T905+IF(H905=0,1,0))</f>
        <v>#N/A</v>
      </c>
      <c r="U905" s="2" t="n">
        <f aca="false">IF(RESET=1,0,U905+H905)</f>
        <v>45</v>
      </c>
      <c r="V905" s="14" t="e">
        <f aca="false">R905/(T905+0.00001)</f>
        <v>#N/A</v>
      </c>
      <c r="W905" s="14" t="n">
        <f aca="false">S905/(U905+0.0001)</f>
        <v>18.3867691043673</v>
      </c>
      <c r="X905" s="39" t="n">
        <f aca="false">IF(Informed=1,K905,0)</f>
        <v>0</v>
      </c>
      <c r="Y905" s="39" t="n">
        <f aca="false">IF(Informed=0,K905,0)</f>
        <v>15.8685791009078</v>
      </c>
      <c r="Z905" s="39" t="n">
        <f aca="false">IF(Informed=1,N905,0)</f>
        <v>0</v>
      </c>
      <c r="AA905" s="39" t="n">
        <f aca="false">IF(Informed=0,N905,0)</f>
        <v>0</v>
      </c>
      <c r="AB905" s="43" t="n">
        <f aca="false">IF(Arterial=0,IF(Informed=1,1,0),0)</f>
        <v>0</v>
      </c>
      <c r="AC905" s="43" t="n">
        <f aca="false">IF(Arterial=0,IF(Informed=0,1,0),0)</f>
        <v>1</v>
      </c>
      <c r="AD905" s="43" t="n">
        <f aca="false">IF(Arterial=1,IF(Informed=1,1,0),0)</f>
        <v>0</v>
      </c>
      <c r="AE905" s="43" t="n">
        <f aca="false">IF(Arterial=1,IF(Informed=0,1,0),0)</f>
        <v>0</v>
      </c>
      <c r="AF905" s="35" t="n">
        <f aca="false">IF(AB905=1,(X905-G$1030)^2,0)</f>
        <v>0</v>
      </c>
      <c r="AG905" s="35" t="n">
        <f aca="false">IF(AC905=1,(Y905-H$1030)^2,0)</f>
        <v>24.4509862208565</v>
      </c>
      <c r="AH905" s="35" t="n">
        <f aca="false">IF(AD905=1,(Z905-I$1030)^2,0)</f>
        <v>0</v>
      </c>
      <c r="AI905" s="35" t="n">
        <f aca="false">IF(AE905=1,(AA905-J$1030)^2,0)</f>
        <v>0</v>
      </c>
      <c r="AJ905" s="37" t="n">
        <f aca="true">IF(RAND()&lt;$D$6,1,0)</f>
        <v>0</v>
      </c>
      <c r="AK905" s="14" t="n">
        <f aca="false">AK904+IF((AJ905=1),IF((H905=0),1,0),0)</f>
        <v>0</v>
      </c>
      <c r="AL905" s="14" t="n">
        <f aca="false">AL904+IF((AJ905=1),IF((H905=1),1,0),0)</f>
        <v>0</v>
      </c>
      <c r="AM905" s="37" t="n">
        <f aca="false">IF(AK905=0,9999,IF($H905=0,IF($AJ905&lt;1,AM904+1,0),AM904))</f>
        <v>9999</v>
      </c>
      <c r="AN905" s="37" t="n">
        <f aca="false">IF(AL905=0,9999,IF($H905=1,IF($AJ905&lt;1,AN904+1,0),AN904))</f>
        <v>9999</v>
      </c>
      <c r="AO905" s="37" t="n">
        <f aca="false">IF($A905-AM905&gt;0,1/(1+AM905),0)</f>
        <v>0</v>
      </c>
      <c r="AP905" s="37" t="n">
        <f aca="false">IF($A905-AN905&gt;0,1/(1+AN905),0)</f>
        <v>0</v>
      </c>
      <c r="AQ905" s="7" t="n">
        <f aca="false">IF(AK905=0,0,MAX(MIN(1,AO905^Power),0))</f>
        <v>0</v>
      </c>
      <c r="AR905" s="7" t="n">
        <f aca="false">IF(AL905=0,0,MAX(MIN(1,AP905^Power),0))</f>
        <v>0</v>
      </c>
      <c r="AS905" s="7" t="n">
        <f aca="false">IF($AJ905=1,IF($H905=0,K905,AS904),AS904)</f>
        <v>0</v>
      </c>
      <c r="AT905" s="7" t="n">
        <f aca="false">IF($AJ905=1,IF($H905=1,N905,AT904),AT904)</f>
        <v>0</v>
      </c>
    </row>
    <row r="906" customFormat="false" ht="13" hidden="false" customHeight="false" outlineLevel="0" collapsed="false">
      <c r="A906" s="16" t="n">
        <v>889</v>
      </c>
      <c r="B906" s="37" t="n">
        <f aca="true">IF(RAND()&lt;$D$8,1,0)</f>
        <v>1</v>
      </c>
      <c r="C906" s="20" t="n">
        <f aca="true">-LN(RAND())/$D$2</f>
        <v>0.773697463672575</v>
      </c>
      <c r="D906" s="38" t="n">
        <f aca="false">D905+C906</f>
        <v>939.667800159274</v>
      </c>
      <c r="E906" s="39" t="n">
        <f aca="false">MAX($E$3,AS905)</f>
        <v>0</v>
      </c>
      <c r="F906" s="39" t="n">
        <f aca="false">MAX($E$3,AT905)</f>
        <v>0</v>
      </c>
      <c r="G906" s="40" t="n">
        <v>0.5</v>
      </c>
      <c r="H906" s="38" t="n">
        <f aca="true">IF((B906=1),(IF((F906&lt;E906),1,(IF((F906=E906),(IF(RAND()&lt;G906,1,0)),0)))),(IF((RAND()&lt;G906),1,0)))</f>
        <v>0</v>
      </c>
      <c r="I906" s="38" t="n">
        <f aca="true">IF((H906=1),0,$D$3+$D$5*(RAND()-0.5))</f>
        <v>1.87036354877707</v>
      </c>
      <c r="J906" s="38" t="n">
        <f aca="false">I906+MAX(D906,J905)</f>
        <v>956.633045345286</v>
      </c>
      <c r="K906" s="38" t="n">
        <f aca="false">IF((H906=0),J906-D906,0)</f>
        <v>16.9652451860123</v>
      </c>
      <c r="L906" s="38" t="n">
        <f aca="true">IF(($H906=0),0,$D$4+$D$5*(RAND()-0.5))</f>
        <v>0</v>
      </c>
      <c r="M906" s="38" t="n">
        <f aca="false">L906+MAX(D906,M905)</f>
        <v>956.249081558476</v>
      </c>
      <c r="N906" s="38" t="n">
        <f aca="false">IF((H906=1),M906-D906,0)</f>
        <v>0</v>
      </c>
      <c r="O906" s="16" t="n">
        <v>889</v>
      </c>
      <c r="P906" s="41" t="n">
        <f aca="false">IF((Arterial=0),P905+1,P905)</f>
        <v>425</v>
      </c>
      <c r="Q906" s="41" t="n">
        <f aca="false">IF((Arterial=1),Q905+1,Q905)</f>
        <v>464</v>
      </c>
      <c r="R906" s="42" t="e">
        <f aca="false">IF((RESET=1),0,R906+K906)</f>
        <v>#N/A</v>
      </c>
      <c r="S906" s="14" t="n">
        <f aca="false">IF(RESET=1,0,S906+N906)</f>
        <v>966.702464735385</v>
      </c>
      <c r="T906" s="2" t="e">
        <f aca="false">IF(RESET=1,0,T906+IF(H906=0,1,0))</f>
        <v>#N/A</v>
      </c>
      <c r="U906" s="2" t="n">
        <f aca="false">IF(RESET=1,0,U906+H906)</f>
        <v>44</v>
      </c>
      <c r="V906" s="14" t="e">
        <f aca="false">R906/(T906+0.00001)</f>
        <v>#N/A</v>
      </c>
      <c r="W906" s="14" t="n">
        <f aca="false">S906/(U906+0.0001)</f>
        <v>21.9704606293028</v>
      </c>
      <c r="X906" s="39" t="n">
        <f aca="false">IF(Informed=1,K906,0)</f>
        <v>16.9652451860123</v>
      </c>
      <c r="Y906" s="39" t="n">
        <f aca="false">IF(Informed=0,K906,0)</f>
        <v>0</v>
      </c>
      <c r="Z906" s="39" t="n">
        <f aca="false">IF(Informed=1,N906,0)</f>
        <v>0</v>
      </c>
      <c r="AA906" s="39" t="n">
        <f aca="false">IF(Informed=0,N906,0)</f>
        <v>0</v>
      </c>
      <c r="AB906" s="43" t="n">
        <f aca="false">IF(Arterial=0,IF(Informed=1,1,0),0)</f>
        <v>1</v>
      </c>
      <c r="AC906" s="43" t="n">
        <f aca="false">IF(Arterial=0,IF(Informed=0,1,0),0)</f>
        <v>0</v>
      </c>
      <c r="AD906" s="43" t="n">
        <f aca="false">IF(Arterial=1,IF(Informed=1,1,0),0)</f>
        <v>0</v>
      </c>
      <c r="AE906" s="43" t="n">
        <f aca="false">IF(Arterial=1,IF(Informed=0,1,0),0)</f>
        <v>0</v>
      </c>
      <c r="AF906" s="35" t="n">
        <f aca="false">IF(AB906=1,(X906-G$1030)^2,0)</f>
        <v>39.1321177937944</v>
      </c>
      <c r="AG906" s="35" t="n">
        <f aca="false">IF(AC906=1,(Y906-H$1030)^2,0)</f>
        <v>0</v>
      </c>
      <c r="AH906" s="35" t="n">
        <f aca="false">IF(AD906=1,(Z906-I$1030)^2,0)</f>
        <v>0</v>
      </c>
      <c r="AI906" s="35" t="n">
        <f aca="false">IF(AE906=1,(AA906-J$1030)^2,0)</f>
        <v>0</v>
      </c>
      <c r="AJ906" s="37" t="n">
        <f aca="true">IF(RAND()&lt;$D$6,1,0)</f>
        <v>0</v>
      </c>
      <c r="AK906" s="14" t="n">
        <f aca="false">AK905+IF((AJ906=1),IF((H906=0),1,0),0)</f>
        <v>0</v>
      </c>
      <c r="AL906" s="14" t="n">
        <f aca="false">AL905+IF((AJ906=1),IF((H906=1),1,0),0)</f>
        <v>0</v>
      </c>
      <c r="AM906" s="37" t="n">
        <f aca="false">IF(AK906=0,9999,IF($H906=0,IF($AJ906&lt;1,AM905+1,0),AM905))</f>
        <v>9999</v>
      </c>
      <c r="AN906" s="37" t="n">
        <f aca="false">IF(AL906=0,9999,IF($H906=1,IF($AJ906&lt;1,AN905+1,0),AN905))</f>
        <v>9999</v>
      </c>
      <c r="AO906" s="37" t="n">
        <f aca="false">IF($A906-AM906&gt;0,1/(1+AM906),0)</f>
        <v>0</v>
      </c>
      <c r="AP906" s="37" t="n">
        <f aca="false">IF($A906-AN906&gt;0,1/(1+AN906),0)</f>
        <v>0</v>
      </c>
      <c r="AQ906" s="7" t="n">
        <f aca="false">IF(AK906=0,0,MAX(MIN(1,AO906^Power),0))</f>
        <v>0</v>
      </c>
      <c r="AR906" s="7" t="n">
        <f aca="false">IF(AL906=0,0,MAX(MIN(1,AP906^Power),0))</f>
        <v>0</v>
      </c>
      <c r="AS906" s="7" t="n">
        <f aca="false">IF($AJ906=1,IF($H906=0,K906,AS905),AS905)</f>
        <v>0</v>
      </c>
      <c r="AT906" s="7" t="n">
        <f aca="false">IF($AJ906=1,IF($H906=1,N906,AT905),AT905)</f>
        <v>0</v>
      </c>
    </row>
    <row r="907" customFormat="false" ht="13" hidden="false" customHeight="false" outlineLevel="0" collapsed="false">
      <c r="A907" s="16" t="n">
        <v>890</v>
      </c>
      <c r="B907" s="37" t="n">
        <f aca="true">IF(RAND()&lt;$D$8,1,0)</f>
        <v>0</v>
      </c>
      <c r="C907" s="20" t="n">
        <f aca="true">-LN(RAND())/$D$2</f>
        <v>1.70558442864478</v>
      </c>
      <c r="D907" s="38" t="n">
        <f aca="false">D906+C907</f>
        <v>941.373384587919</v>
      </c>
      <c r="E907" s="39" t="n">
        <f aca="false">MAX($E$3,AS906)</f>
        <v>0</v>
      </c>
      <c r="F907" s="39" t="n">
        <f aca="false">MAX($E$3,AT906)</f>
        <v>0</v>
      </c>
      <c r="G907" s="40" t="n">
        <v>0.5</v>
      </c>
      <c r="H907" s="38" t="n">
        <f aca="true">IF((B907=1),(IF((F907&lt;E907),1,(IF((F907=E907),(IF(RAND()&lt;G907,1,0)),0)))),(IF((RAND()&lt;G907),1,0)))</f>
        <v>1</v>
      </c>
      <c r="I907" s="38" t="n">
        <f aca="true">IF((H907=1),0,$D$3+$D$5*(RAND()-0.5))</f>
        <v>0</v>
      </c>
      <c r="J907" s="38" t="n">
        <f aca="false">I907+MAX(D907,J906)</f>
        <v>956.633045345286</v>
      </c>
      <c r="K907" s="38" t="n">
        <f aca="false">IF((H907=0),J907-D907,0)</f>
        <v>0</v>
      </c>
      <c r="L907" s="38" t="n">
        <f aca="true">IF(($H907=0),0,$D$4+$D$5*(RAND()-0.5))</f>
        <v>1.87323887708874</v>
      </c>
      <c r="M907" s="38" t="n">
        <f aca="false">L907+MAX(D907,M906)</f>
        <v>958.122320435565</v>
      </c>
      <c r="N907" s="38" t="n">
        <f aca="false">IF((H907=1),M907-D907,0)</f>
        <v>16.748935847646</v>
      </c>
      <c r="O907" s="16" t="n">
        <v>890</v>
      </c>
      <c r="P907" s="41" t="n">
        <f aca="false">IF((Arterial=0),P906+1,P906)</f>
        <v>425</v>
      </c>
      <c r="Q907" s="41" t="n">
        <f aca="false">IF((Arterial=1),Q906+1,Q906)</f>
        <v>465</v>
      </c>
      <c r="R907" s="42" t="n">
        <f aca="false">IF((RESET=1),0,R907+K907)</f>
        <v>802.409235415498</v>
      </c>
      <c r="S907" s="14" t="e">
        <f aca="false">IF(RESET=1,0,S907+N907)</f>
        <v>#N/A</v>
      </c>
      <c r="T907" s="2" t="n">
        <f aca="false">IF(RESET=1,0,T907+IF(H907=0,1,0))</f>
        <v>38</v>
      </c>
      <c r="U907" s="2" t="e">
        <f aca="false">IF(RESET=1,0,U907+H907)</f>
        <v>#N/A</v>
      </c>
      <c r="V907" s="14" t="n">
        <f aca="false">R907/(T907+0.00001)</f>
        <v>21.116026954085</v>
      </c>
      <c r="W907" s="14" t="e">
        <f aca="false">S907/(U907+0.0001)</f>
        <v>#N/A</v>
      </c>
      <c r="X907" s="39" t="n">
        <f aca="false">IF(Informed=1,K907,0)</f>
        <v>0</v>
      </c>
      <c r="Y907" s="39" t="n">
        <f aca="false">IF(Informed=0,K907,0)</f>
        <v>0</v>
      </c>
      <c r="Z907" s="39" t="n">
        <f aca="false">IF(Informed=1,N907,0)</f>
        <v>0</v>
      </c>
      <c r="AA907" s="39" t="n">
        <f aca="false">IF(Informed=0,N907,0)</f>
        <v>16.748935847646</v>
      </c>
      <c r="AB907" s="43" t="n">
        <f aca="false">IF(Arterial=0,IF(Informed=1,1,0),0)</f>
        <v>0</v>
      </c>
      <c r="AC907" s="43" t="n">
        <f aca="false">IF(Arterial=0,IF(Informed=0,1,0),0)</f>
        <v>0</v>
      </c>
      <c r="AD907" s="43" t="n">
        <f aca="false">IF(Arterial=1,IF(Informed=1,1,0),0)</f>
        <v>0</v>
      </c>
      <c r="AE907" s="43" t="n">
        <f aca="false">IF(Arterial=1,IF(Informed=0,1,0),0)</f>
        <v>1</v>
      </c>
      <c r="AF907" s="35" t="n">
        <f aca="false">IF(AB907=1,(X907-G$1030)^2,0)</f>
        <v>0</v>
      </c>
      <c r="AG907" s="35" t="n">
        <f aca="false">IF(AC907=1,(Y907-H$1030)^2,0)</f>
        <v>0</v>
      </c>
      <c r="AH907" s="35" t="n">
        <f aca="false">IF(AD907=1,(Z907-I$1030)^2,0)</f>
        <v>0</v>
      </c>
      <c r="AI907" s="35" t="n">
        <f aca="false">IF(AE907=1,(AA907-J$1030)^2,0)</f>
        <v>164.232917339077</v>
      </c>
      <c r="AJ907" s="37" t="n">
        <f aca="true">IF(RAND()&lt;$D$6,1,0)</f>
        <v>0</v>
      </c>
      <c r="AK907" s="14" t="n">
        <f aca="false">AK906+IF((AJ907=1),IF((H907=0),1,0),0)</f>
        <v>0</v>
      </c>
      <c r="AL907" s="14" t="n">
        <f aca="false">AL906+IF((AJ907=1),IF((H907=1),1,0),0)</f>
        <v>0</v>
      </c>
      <c r="AM907" s="37" t="n">
        <f aca="false">IF(AK907=0,9999,IF($H907=0,IF($AJ907&lt;1,AM906+1,0),AM906))</f>
        <v>9999</v>
      </c>
      <c r="AN907" s="37" t="n">
        <f aca="false">IF(AL907=0,9999,IF($H907=1,IF($AJ907&lt;1,AN906+1,0),AN906))</f>
        <v>9999</v>
      </c>
      <c r="AO907" s="37" t="n">
        <f aca="false">IF($A907-AM907&gt;0,1/(1+AM907),0)</f>
        <v>0</v>
      </c>
      <c r="AP907" s="37" t="n">
        <f aca="false">IF($A907-AN907&gt;0,1/(1+AN907),0)</f>
        <v>0</v>
      </c>
      <c r="AQ907" s="7" t="n">
        <f aca="false">IF(AK907=0,0,MAX(MIN(1,AO907^Power),0))</f>
        <v>0</v>
      </c>
      <c r="AR907" s="7" t="n">
        <f aca="false">IF(AL907=0,0,MAX(MIN(1,AP907^Power),0))</f>
        <v>0</v>
      </c>
      <c r="AS907" s="7" t="n">
        <f aca="false">IF($AJ907=1,IF($H907=0,K907,AS906),AS906)</f>
        <v>0</v>
      </c>
      <c r="AT907" s="7" t="n">
        <f aca="false">IF($AJ907=1,IF($H907=1,N907,AT906),AT906)</f>
        <v>0</v>
      </c>
    </row>
    <row r="908" customFormat="false" ht="13" hidden="false" customHeight="false" outlineLevel="0" collapsed="false">
      <c r="A908" s="16" t="n">
        <v>891</v>
      </c>
      <c r="B908" s="37" t="n">
        <f aca="true">IF(RAND()&lt;$D$8,1,0)</f>
        <v>0</v>
      </c>
      <c r="C908" s="20" t="n">
        <f aca="true">-LN(RAND())/$D$2</f>
        <v>0.308540272487666</v>
      </c>
      <c r="D908" s="38" t="n">
        <f aca="false">D907+C908</f>
        <v>941.681924860407</v>
      </c>
      <c r="E908" s="39" t="n">
        <f aca="false">MAX($E$3,AS907)</f>
        <v>0</v>
      </c>
      <c r="F908" s="39" t="n">
        <f aca="false">MAX($E$3,AT907)</f>
        <v>0</v>
      </c>
      <c r="G908" s="40" t="n">
        <v>0.5</v>
      </c>
      <c r="H908" s="38" t="n">
        <f aca="true">IF((B908=1),(IF((F908&lt;E908),1,(IF((F908=E908),(IF(RAND()&lt;G908,1,0)),0)))),(IF((RAND()&lt;G908),1,0)))</f>
        <v>1</v>
      </c>
      <c r="I908" s="38" t="n">
        <f aca="true">IF((H908=1),0,$D$3+$D$5*(RAND()-0.5))</f>
        <v>0</v>
      </c>
      <c r="J908" s="38" t="n">
        <f aca="false">I908+MAX(D908,J907)</f>
        <v>956.633045345286</v>
      </c>
      <c r="K908" s="38" t="n">
        <f aca="false">IF((H908=0),J908-D908,0)</f>
        <v>0</v>
      </c>
      <c r="L908" s="38" t="n">
        <f aca="true">IF(($H908=0),0,$D$4+$D$5*(RAND()-0.5))</f>
        <v>2.05548930174114</v>
      </c>
      <c r="M908" s="38" t="n">
        <f aca="false">L908+MAX(D908,M907)</f>
        <v>960.177809737306</v>
      </c>
      <c r="N908" s="38" t="n">
        <f aca="false">IF((H908=1),M908-D908,0)</f>
        <v>18.4958848768994</v>
      </c>
      <c r="O908" s="16" t="n">
        <v>891</v>
      </c>
      <c r="P908" s="41" t="n">
        <f aca="false">IF((Arterial=0),P907+1,P907)</f>
        <v>425</v>
      </c>
      <c r="Q908" s="41" t="n">
        <f aca="false">IF((Arterial=1),Q907+1,Q907)</f>
        <v>466</v>
      </c>
      <c r="R908" s="42" t="n">
        <f aca="false">IF((RESET=1),0,R908+K908)</f>
        <v>906.661736388898</v>
      </c>
      <c r="S908" s="14" t="e">
        <f aca="false">IF(RESET=1,0,S908+N908)</f>
        <v>#N/A</v>
      </c>
      <c r="T908" s="2" t="n">
        <f aca="false">IF(RESET=1,0,T908+IF(H908=0,1,0))</f>
        <v>49</v>
      </c>
      <c r="U908" s="2" t="e">
        <f aca="false">IF(RESET=1,0,U908+H908)</f>
        <v>#N/A</v>
      </c>
      <c r="V908" s="14" t="n">
        <f aca="false">R908/(T908+0.00001)</f>
        <v>18.5032969664475</v>
      </c>
      <c r="W908" s="14" t="e">
        <f aca="false">S908/(U908+0.0001)</f>
        <v>#N/A</v>
      </c>
      <c r="X908" s="39" t="n">
        <f aca="false">IF(Informed=1,K908,0)</f>
        <v>0</v>
      </c>
      <c r="Y908" s="39" t="n">
        <f aca="false">IF(Informed=0,K908,0)</f>
        <v>0</v>
      </c>
      <c r="Z908" s="39" t="n">
        <f aca="false">IF(Informed=1,N908,0)</f>
        <v>0</v>
      </c>
      <c r="AA908" s="39" t="n">
        <f aca="false">IF(Informed=0,N908,0)</f>
        <v>18.4958848768994</v>
      </c>
      <c r="AB908" s="43" t="n">
        <f aca="false">IF(Arterial=0,IF(Informed=1,1,0),0)</f>
        <v>0</v>
      </c>
      <c r="AC908" s="43" t="n">
        <f aca="false">IF(Arterial=0,IF(Informed=0,1,0),0)</f>
        <v>0</v>
      </c>
      <c r="AD908" s="43" t="n">
        <f aca="false">IF(Arterial=1,IF(Informed=1,1,0),0)</f>
        <v>0</v>
      </c>
      <c r="AE908" s="43" t="n">
        <f aca="false">IF(Arterial=1,IF(Informed=0,1,0),0)</f>
        <v>1</v>
      </c>
      <c r="AF908" s="35" t="n">
        <f aca="false">IF(AB908=1,(X908-G$1030)^2,0)</f>
        <v>0</v>
      </c>
      <c r="AG908" s="35" t="n">
        <f aca="false">IF(AC908=1,(Y908-H$1030)^2,0)</f>
        <v>0</v>
      </c>
      <c r="AH908" s="35" t="n">
        <f aca="false">IF(AD908=1,(Z908-I$1030)^2,0)</f>
        <v>0</v>
      </c>
      <c r="AI908" s="35" t="n">
        <f aca="false">IF(AE908=1,(AA908-J$1030)^2,0)</f>
        <v>122.509259700556</v>
      </c>
      <c r="AJ908" s="37" t="n">
        <f aca="true">IF(RAND()&lt;$D$6,1,0)</f>
        <v>0</v>
      </c>
      <c r="AK908" s="14" t="n">
        <f aca="false">AK907+IF((AJ908=1),IF((H908=0),1,0),0)</f>
        <v>0</v>
      </c>
      <c r="AL908" s="14" t="n">
        <f aca="false">AL907+IF((AJ908=1),IF((H908=1),1,0),0)</f>
        <v>0</v>
      </c>
      <c r="AM908" s="37" t="n">
        <f aca="false">IF(AK908=0,9999,IF($H908=0,IF($AJ908&lt;1,AM907+1,0),AM907))</f>
        <v>9999</v>
      </c>
      <c r="AN908" s="37" t="n">
        <f aca="false">IF(AL908=0,9999,IF($H908=1,IF($AJ908&lt;1,AN907+1,0),AN907))</f>
        <v>9999</v>
      </c>
      <c r="AO908" s="37" t="n">
        <f aca="false">IF($A908-AM908&gt;0,1/(1+AM908),0)</f>
        <v>0</v>
      </c>
      <c r="AP908" s="37" t="n">
        <f aca="false">IF($A908-AN908&gt;0,1/(1+AN908),0)</f>
        <v>0</v>
      </c>
      <c r="AQ908" s="7" t="n">
        <f aca="false">IF(AK908=0,0,MAX(MIN(1,AO908^Power),0))</f>
        <v>0</v>
      </c>
      <c r="AR908" s="7" t="n">
        <f aca="false">IF(AL908=0,0,MAX(MIN(1,AP908^Power),0))</f>
        <v>0</v>
      </c>
      <c r="AS908" s="7" t="n">
        <f aca="false">IF($AJ908=1,IF($H908=0,K908,AS907),AS907)</f>
        <v>0</v>
      </c>
      <c r="AT908" s="7" t="n">
        <f aca="false">IF($AJ908=1,IF($H908=1,N908,AT907),AT907)</f>
        <v>0</v>
      </c>
    </row>
    <row r="909" customFormat="false" ht="13" hidden="false" customHeight="false" outlineLevel="0" collapsed="false">
      <c r="A909" s="16" t="n">
        <v>892</v>
      </c>
      <c r="B909" s="37" t="n">
        <f aca="true">IF(RAND()&lt;$D$8,1,0)</f>
        <v>1</v>
      </c>
      <c r="C909" s="20" t="n">
        <f aca="true">-LN(RAND())/$D$2</f>
        <v>1.9722986890177</v>
      </c>
      <c r="D909" s="38" t="n">
        <f aca="false">D908+C909</f>
        <v>943.654223549424</v>
      </c>
      <c r="E909" s="39" t="n">
        <f aca="false">MAX($E$3,AS908)</f>
        <v>0</v>
      </c>
      <c r="F909" s="39" t="n">
        <f aca="false">MAX($E$3,AT908)</f>
        <v>0</v>
      </c>
      <c r="G909" s="40" t="n">
        <v>0.5</v>
      </c>
      <c r="H909" s="38" t="n">
        <f aca="true">IF((B909=1),(IF((F909&lt;E909),1,(IF((F909=E909),(IF(RAND()&lt;G909,1,0)),0)))),(IF((RAND()&lt;G909),1,0)))</f>
        <v>1</v>
      </c>
      <c r="I909" s="38" t="n">
        <f aca="true">IF((H909=1),0,$D$3+$D$5*(RAND()-0.5))</f>
        <v>0</v>
      </c>
      <c r="J909" s="38" t="n">
        <f aca="false">I909+MAX(D909,J908)</f>
        <v>956.633045345286</v>
      </c>
      <c r="K909" s="38" t="n">
        <f aca="false">IF((H909=0),J909-D909,0)</f>
        <v>0</v>
      </c>
      <c r="L909" s="38" t="n">
        <f aca="true">IF(($H909=0),0,$D$4+$D$5*(RAND()-0.5))</f>
        <v>1.83455308492463</v>
      </c>
      <c r="M909" s="38" t="n">
        <f aca="false">L909+MAX(D909,M908)</f>
        <v>962.012362822231</v>
      </c>
      <c r="N909" s="38" t="n">
        <f aca="false">IF((H909=1),M909-D909,0)</f>
        <v>18.3581392728063</v>
      </c>
      <c r="O909" s="16" t="n">
        <v>892</v>
      </c>
      <c r="P909" s="41" t="n">
        <f aca="false">IF((Arterial=0),P908+1,P908)</f>
        <v>425</v>
      </c>
      <c r="Q909" s="41" t="n">
        <f aca="false">IF((Arterial=1),Q908+1,Q908)</f>
        <v>467</v>
      </c>
      <c r="R909" s="42" t="n">
        <f aca="false">IF((RESET=1),0,R909+K909)</f>
        <v>916.252503967195</v>
      </c>
      <c r="S909" s="14" t="e">
        <f aca="false">IF(RESET=1,0,S909+N909)</f>
        <v>#N/A</v>
      </c>
      <c r="T909" s="2" t="n">
        <f aca="false">IF(RESET=1,0,T909+IF(H909=0,1,0))</f>
        <v>38</v>
      </c>
      <c r="U909" s="2" t="e">
        <f aca="false">IF(RESET=1,0,U909+H909)</f>
        <v>#N/A</v>
      </c>
      <c r="V909" s="14" t="n">
        <f aca="false">R909/(T909+0.00001)</f>
        <v>24.1119016538994</v>
      </c>
      <c r="W909" s="14" t="e">
        <f aca="false">S909/(U909+0.0001)</f>
        <v>#N/A</v>
      </c>
      <c r="X909" s="39" t="n">
        <f aca="false">IF(Informed=1,K909,0)</f>
        <v>0</v>
      </c>
      <c r="Y909" s="39" t="n">
        <f aca="false">IF(Informed=0,K909,0)</f>
        <v>0</v>
      </c>
      <c r="Z909" s="39" t="n">
        <f aca="false">IF(Informed=1,N909,0)</f>
        <v>18.3581392728063</v>
      </c>
      <c r="AA909" s="39" t="n">
        <f aca="false">IF(Informed=0,N909,0)</f>
        <v>0</v>
      </c>
      <c r="AB909" s="43" t="n">
        <f aca="false">IF(Arterial=0,IF(Informed=1,1,0),0)</f>
        <v>0</v>
      </c>
      <c r="AC909" s="43" t="n">
        <f aca="false">IF(Arterial=0,IF(Informed=0,1,0),0)</f>
        <v>0</v>
      </c>
      <c r="AD909" s="43" t="n">
        <f aca="false">IF(Arterial=1,IF(Informed=1,1,0),0)</f>
        <v>1</v>
      </c>
      <c r="AE909" s="43" t="n">
        <f aca="false">IF(Arterial=1,IF(Informed=0,1,0),0)</f>
        <v>0</v>
      </c>
      <c r="AF909" s="35" t="n">
        <f aca="false">IF(AB909=1,(X909-G$1030)^2,0)</f>
        <v>0</v>
      </c>
      <c r="AG909" s="35" t="n">
        <f aca="false">IF(AC909=1,(Y909-H$1030)^2,0)</f>
        <v>0</v>
      </c>
      <c r="AH909" s="35" t="n">
        <f aca="false">IF(AD909=1,(Z909-I$1030)^2,0)</f>
        <v>100.334189148997</v>
      </c>
      <c r="AI909" s="35" t="n">
        <f aca="false">IF(AE909=1,(AA909-J$1030)^2,0)</f>
        <v>0</v>
      </c>
      <c r="AJ909" s="37" t="n">
        <f aca="true">IF(RAND()&lt;$D$6,1,0)</f>
        <v>0</v>
      </c>
      <c r="AK909" s="14" t="n">
        <f aca="false">AK908+IF((AJ909=1),IF((H909=0),1,0),0)</f>
        <v>0</v>
      </c>
      <c r="AL909" s="14" t="n">
        <f aca="false">AL908+IF((AJ909=1),IF((H909=1),1,0),0)</f>
        <v>0</v>
      </c>
      <c r="AM909" s="37" t="n">
        <f aca="false">IF(AK909=0,9999,IF($H909=0,IF($AJ909&lt;1,AM908+1,0),AM908))</f>
        <v>9999</v>
      </c>
      <c r="AN909" s="37" t="n">
        <f aca="false">IF(AL909=0,9999,IF($H909=1,IF($AJ909&lt;1,AN908+1,0),AN908))</f>
        <v>9999</v>
      </c>
      <c r="AO909" s="37" t="n">
        <f aca="false">IF($A909-AM909&gt;0,1/(1+AM909),0)</f>
        <v>0</v>
      </c>
      <c r="AP909" s="37" t="n">
        <f aca="false">IF($A909-AN909&gt;0,1/(1+AN909),0)</f>
        <v>0</v>
      </c>
      <c r="AQ909" s="7" t="n">
        <f aca="false">IF(AK909=0,0,MAX(MIN(1,AO909^Power),0))</f>
        <v>0</v>
      </c>
      <c r="AR909" s="7" t="n">
        <f aca="false">IF(AL909=0,0,MAX(MIN(1,AP909^Power),0))</f>
        <v>0</v>
      </c>
      <c r="AS909" s="7" t="n">
        <f aca="false">IF($AJ909=1,IF($H909=0,K909,AS908),AS908)</f>
        <v>0</v>
      </c>
      <c r="AT909" s="7" t="n">
        <f aca="false">IF($AJ909=1,IF($H909=1,N909,AT908),AT908)</f>
        <v>0</v>
      </c>
    </row>
    <row r="910" customFormat="false" ht="13" hidden="false" customHeight="false" outlineLevel="0" collapsed="false">
      <c r="A910" s="16" t="n">
        <v>893</v>
      </c>
      <c r="B910" s="37" t="n">
        <f aca="true">IF(RAND()&lt;$D$8,1,0)</f>
        <v>1</v>
      </c>
      <c r="C910" s="20" t="n">
        <f aca="true">-LN(RAND())/$D$2</f>
        <v>1.93926714593593</v>
      </c>
      <c r="D910" s="38" t="n">
        <f aca="false">D909+C910</f>
        <v>945.59349069536</v>
      </c>
      <c r="E910" s="39" t="n">
        <f aca="false">MAX($E$3,AS909)</f>
        <v>0</v>
      </c>
      <c r="F910" s="39" t="n">
        <f aca="false">MAX($E$3,AT909)</f>
        <v>0</v>
      </c>
      <c r="G910" s="40" t="n">
        <v>0.5</v>
      </c>
      <c r="H910" s="38" t="n">
        <f aca="true">IF((B910=1),(IF((F910&lt;E910),1,(IF((F910=E910),(IF(RAND()&lt;G910,1,0)),0)))),(IF((RAND()&lt;G910),1,0)))</f>
        <v>0</v>
      </c>
      <c r="I910" s="38" t="n">
        <f aca="true">IF((H910=1),0,$D$3+$D$5*(RAND()-0.5))</f>
        <v>1.89949557879431</v>
      </c>
      <c r="J910" s="38" t="n">
        <f aca="false">I910+MAX(D910,J909)</f>
        <v>958.532540924081</v>
      </c>
      <c r="K910" s="38" t="n">
        <f aca="false">IF((H910=0),J910-D910,0)</f>
        <v>12.9390502287206</v>
      </c>
      <c r="L910" s="38" t="n">
        <f aca="true">IF(($H910=0),0,$D$4+$D$5*(RAND()-0.5))</f>
        <v>0</v>
      </c>
      <c r="M910" s="38" t="n">
        <f aca="false">L910+MAX(D910,M909)</f>
        <v>962.012362822231</v>
      </c>
      <c r="N910" s="38" t="n">
        <f aca="false">IF((H910=1),M910-D910,0)</f>
        <v>0</v>
      </c>
      <c r="O910" s="16" t="n">
        <v>893</v>
      </c>
      <c r="P910" s="41" t="n">
        <f aca="false">IF((Arterial=0),P909+1,P909)</f>
        <v>426</v>
      </c>
      <c r="Q910" s="41" t="n">
        <f aca="false">IF((Arterial=1),Q909+1,Q909)</f>
        <v>467</v>
      </c>
      <c r="R910" s="42" t="e">
        <f aca="false">IF((RESET=1),0,R910+K910)</f>
        <v>#N/A</v>
      </c>
      <c r="S910" s="14" t="n">
        <f aca="false">IF(RESET=1,0,S910+N910)</f>
        <v>921.407278568318</v>
      </c>
      <c r="T910" s="2" t="e">
        <f aca="false">IF(RESET=1,0,T910+IF(H910=0,1,0))</f>
        <v>#N/A</v>
      </c>
      <c r="U910" s="2" t="n">
        <f aca="false">IF(RESET=1,0,U910+H910)</f>
        <v>44</v>
      </c>
      <c r="V910" s="14" t="e">
        <f aca="false">R910/(T910+0.00001)</f>
        <v>#N/A</v>
      </c>
      <c r="W910" s="14" t="n">
        <f aca="false">S910/(U910+0.0001)</f>
        <v>20.9410269196733</v>
      </c>
      <c r="X910" s="39" t="n">
        <f aca="false">IF(Informed=1,K910,0)</f>
        <v>12.9390502287206</v>
      </c>
      <c r="Y910" s="39" t="n">
        <f aca="false">IF(Informed=0,K910,0)</f>
        <v>0</v>
      </c>
      <c r="Z910" s="39" t="n">
        <f aca="false">IF(Informed=1,N910,0)</f>
        <v>0</v>
      </c>
      <c r="AA910" s="39" t="n">
        <f aca="false">IF(Informed=0,N910,0)</f>
        <v>0</v>
      </c>
      <c r="AB910" s="43" t="n">
        <f aca="false">IF(Arterial=0,IF(Informed=1,1,0),0)</f>
        <v>1</v>
      </c>
      <c r="AC910" s="43" t="n">
        <f aca="false">IF(Arterial=0,IF(Informed=0,1,0),0)</f>
        <v>0</v>
      </c>
      <c r="AD910" s="43" t="n">
        <f aca="false">IF(Arterial=1,IF(Informed=1,1,0),0)</f>
        <v>0</v>
      </c>
      <c r="AE910" s="43" t="n">
        <f aca="false">IF(Arterial=1,IF(Informed=0,1,0),0)</f>
        <v>0</v>
      </c>
      <c r="AF910" s="35" t="n">
        <f aca="false">IF(AB910=1,(X910-G$1030)^2,0)</f>
        <v>4.97009945616331</v>
      </c>
      <c r="AG910" s="35" t="n">
        <f aca="false">IF(AC910=1,(Y910-H$1030)^2,0)</f>
        <v>0</v>
      </c>
      <c r="AH910" s="35" t="n">
        <f aca="false">IF(AD910=1,(Z910-I$1030)^2,0)</f>
        <v>0</v>
      </c>
      <c r="AI910" s="35" t="n">
        <f aca="false">IF(AE910=1,(AA910-J$1030)^2,0)</f>
        <v>0</v>
      </c>
      <c r="AJ910" s="37" t="n">
        <f aca="true">IF(RAND()&lt;$D$6,1,0)</f>
        <v>0</v>
      </c>
      <c r="AK910" s="14" t="n">
        <f aca="false">AK909+IF((AJ910=1),IF((H910=0),1,0),0)</f>
        <v>0</v>
      </c>
      <c r="AL910" s="14" t="n">
        <f aca="false">AL909+IF((AJ910=1),IF((H910=1),1,0),0)</f>
        <v>0</v>
      </c>
      <c r="AM910" s="37" t="n">
        <f aca="false">IF(AK910=0,9999,IF($H910=0,IF($AJ910&lt;1,AM909+1,0),AM909))</f>
        <v>9999</v>
      </c>
      <c r="AN910" s="37" t="n">
        <f aca="false">IF(AL910=0,9999,IF($H910=1,IF($AJ910&lt;1,AN909+1,0),AN909))</f>
        <v>9999</v>
      </c>
      <c r="AO910" s="37" t="n">
        <f aca="false">IF($A910-AM910&gt;0,1/(1+AM910),0)</f>
        <v>0</v>
      </c>
      <c r="AP910" s="37" t="n">
        <f aca="false">IF($A910-AN910&gt;0,1/(1+AN910),0)</f>
        <v>0</v>
      </c>
      <c r="AQ910" s="7" t="n">
        <f aca="false">IF(AK910=0,0,MAX(MIN(1,AO910^Power),0))</f>
        <v>0</v>
      </c>
      <c r="AR910" s="7" t="n">
        <f aca="false">IF(AL910=0,0,MAX(MIN(1,AP910^Power),0))</f>
        <v>0</v>
      </c>
      <c r="AS910" s="7" t="n">
        <f aca="false">IF($AJ910=1,IF($H910=0,K910,AS909),AS909)</f>
        <v>0</v>
      </c>
      <c r="AT910" s="7" t="n">
        <f aca="false">IF($AJ910=1,IF($H910=1,N910,AT909),AT909)</f>
        <v>0</v>
      </c>
    </row>
    <row r="911" customFormat="false" ht="13" hidden="false" customHeight="false" outlineLevel="0" collapsed="false">
      <c r="A911" s="16" t="n">
        <v>894</v>
      </c>
      <c r="B911" s="37" t="n">
        <f aca="true">IF(RAND()&lt;$D$8,1,0)</f>
        <v>0</v>
      </c>
      <c r="C911" s="20" t="n">
        <f aca="true">-LN(RAND())/$D$2</f>
        <v>0.66287893760415</v>
      </c>
      <c r="D911" s="38" t="n">
        <f aca="false">D910+C911</f>
        <v>946.256369632964</v>
      </c>
      <c r="E911" s="39" t="n">
        <f aca="false">MAX($E$3,AS910)</f>
        <v>0</v>
      </c>
      <c r="F911" s="39" t="n">
        <f aca="false">MAX($E$3,AT910)</f>
        <v>0</v>
      </c>
      <c r="G911" s="40" t="n">
        <v>0.5</v>
      </c>
      <c r="H911" s="38" t="n">
        <f aca="true">IF((B911=1),(IF((F911&lt;E911),1,(IF((F911=E911),(IF(RAND()&lt;G911,1,0)),0)))),(IF((RAND()&lt;G911),1,0)))</f>
        <v>0</v>
      </c>
      <c r="I911" s="38" t="n">
        <f aca="true">IF((H911=1),0,$D$3+$D$5*(RAND()-0.5))</f>
        <v>2.05887904298254</v>
      </c>
      <c r="J911" s="38" t="n">
        <f aca="false">I911+MAX(D911,J910)</f>
        <v>960.591419967063</v>
      </c>
      <c r="K911" s="38" t="n">
        <f aca="false">IF((H911=0),J911-D911,0)</f>
        <v>14.3350503340989</v>
      </c>
      <c r="L911" s="38" t="n">
        <f aca="true">IF(($H911=0),0,$D$4+$D$5*(RAND()-0.5))</f>
        <v>0</v>
      </c>
      <c r="M911" s="38" t="n">
        <f aca="false">L911+MAX(D911,M910)</f>
        <v>962.012362822231</v>
      </c>
      <c r="N911" s="38" t="n">
        <f aca="false">IF((H911=1),M911-D911,0)</f>
        <v>0</v>
      </c>
      <c r="O911" s="16" t="n">
        <v>894</v>
      </c>
      <c r="P911" s="41" t="n">
        <f aca="false">IF((Arterial=0),P910+1,P910)</f>
        <v>427</v>
      </c>
      <c r="Q911" s="41" t="n">
        <f aca="false">IF((Arterial=1),Q910+1,Q910)</f>
        <v>467</v>
      </c>
      <c r="R911" s="42" t="e">
        <f aca="false">IF((RESET=1),0,R911+K911)</f>
        <v>#N/A</v>
      </c>
      <c r="S911" s="14" t="n">
        <f aca="false">IF(RESET=1,0,S911+N911)</f>
        <v>674.208791006421</v>
      </c>
      <c r="T911" s="2" t="e">
        <f aca="false">IF(RESET=1,0,T911+IF(H911=0,1,0))</f>
        <v>#N/A</v>
      </c>
      <c r="U911" s="2" t="n">
        <f aca="false">IF(RESET=1,0,U911+H911)</f>
        <v>43</v>
      </c>
      <c r="V911" s="14" t="e">
        <f aca="false">R911/(T911+0.00001)</f>
        <v>#N/A</v>
      </c>
      <c r="W911" s="14" t="n">
        <f aca="false">S911/(U911+0.0001)</f>
        <v>15.6792377461081</v>
      </c>
      <c r="X911" s="39" t="n">
        <f aca="false">IF(Informed=1,K911,0)</f>
        <v>0</v>
      </c>
      <c r="Y911" s="39" t="n">
        <f aca="false">IF(Informed=0,K911,0)</f>
        <v>14.3350503340989</v>
      </c>
      <c r="Z911" s="39" t="n">
        <f aca="false">IF(Informed=1,N911,0)</f>
        <v>0</v>
      </c>
      <c r="AA911" s="39" t="n">
        <f aca="false">IF(Informed=0,N911,0)</f>
        <v>0</v>
      </c>
      <c r="AB911" s="43" t="n">
        <f aca="false">IF(Arterial=0,IF(Informed=1,1,0),0)</f>
        <v>0</v>
      </c>
      <c r="AC911" s="43" t="n">
        <f aca="false">IF(Arterial=0,IF(Informed=0,1,0),0)</f>
        <v>1</v>
      </c>
      <c r="AD911" s="43" t="n">
        <f aca="false">IF(Arterial=1,IF(Informed=1,1,0),0)</f>
        <v>0</v>
      </c>
      <c r="AE911" s="43" t="n">
        <f aca="false">IF(Arterial=1,IF(Informed=0,1,0),0)</f>
        <v>0</v>
      </c>
      <c r="AF911" s="35" t="n">
        <f aca="false">IF(AB911=1,(X911-G$1030)^2,0)</f>
        <v>0</v>
      </c>
      <c r="AG911" s="35" t="n">
        <f aca="false">IF(AC911=1,(Y911-H$1030)^2,0)</f>
        <v>11.636729469081</v>
      </c>
      <c r="AH911" s="35" t="n">
        <f aca="false">IF(AD911=1,(Z911-I$1030)^2,0)</f>
        <v>0</v>
      </c>
      <c r="AI911" s="35" t="n">
        <f aca="false">IF(AE911=1,(AA911-J$1030)^2,0)</f>
        <v>0</v>
      </c>
      <c r="AJ911" s="37" t="n">
        <f aca="true">IF(RAND()&lt;$D$6,1,0)</f>
        <v>0</v>
      </c>
      <c r="AK911" s="14" t="n">
        <f aca="false">AK910+IF((AJ911=1),IF((H911=0),1,0),0)</f>
        <v>0</v>
      </c>
      <c r="AL911" s="14" t="n">
        <f aca="false">AL910+IF((AJ911=1),IF((H911=1),1,0),0)</f>
        <v>0</v>
      </c>
      <c r="AM911" s="37" t="n">
        <f aca="false">IF(AK911=0,9999,IF($H911=0,IF($AJ911&lt;1,AM910+1,0),AM910))</f>
        <v>9999</v>
      </c>
      <c r="AN911" s="37" t="n">
        <f aca="false">IF(AL911=0,9999,IF($H911=1,IF($AJ911&lt;1,AN910+1,0),AN910))</f>
        <v>9999</v>
      </c>
      <c r="AO911" s="37" t="n">
        <f aca="false">IF($A911-AM911&gt;0,1/(1+AM911),0)</f>
        <v>0</v>
      </c>
      <c r="AP911" s="37" t="n">
        <f aca="false">IF($A911-AN911&gt;0,1/(1+AN911),0)</f>
        <v>0</v>
      </c>
      <c r="AQ911" s="7" t="n">
        <f aca="false">IF(AK911=0,0,MAX(MIN(1,AO911^Power),0))</f>
        <v>0</v>
      </c>
      <c r="AR911" s="7" t="n">
        <f aca="false">IF(AL911=0,0,MAX(MIN(1,AP911^Power),0))</f>
        <v>0</v>
      </c>
      <c r="AS911" s="7" t="n">
        <f aca="false">IF($AJ911=1,IF($H911=0,K911,AS910),AS910)</f>
        <v>0</v>
      </c>
      <c r="AT911" s="7" t="n">
        <f aca="false">IF($AJ911=1,IF($H911=1,N911,AT910),AT910)</f>
        <v>0</v>
      </c>
    </row>
    <row r="912" customFormat="false" ht="13" hidden="false" customHeight="false" outlineLevel="0" collapsed="false">
      <c r="A912" s="16" t="n">
        <v>895</v>
      </c>
      <c r="B912" s="37" t="n">
        <f aca="true">IF(RAND()&lt;$D$8,1,0)</f>
        <v>0</v>
      </c>
      <c r="C912" s="20" t="n">
        <f aca="true">-LN(RAND())/$D$2</f>
        <v>0.383966552056867</v>
      </c>
      <c r="D912" s="38" t="n">
        <f aca="false">D911+C912</f>
        <v>946.640336185021</v>
      </c>
      <c r="E912" s="39" t="n">
        <f aca="false">MAX($E$3,AS911)</f>
        <v>0</v>
      </c>
      <c r="F912" s="39" t="n">
        <f aca="false">MAX($E$3,AT911)</f>
        <v>0</v>
      </c>
      <c r="G912" s="40" t="n">
        <v>0.5</v>
      </c>
      <c r="H912" s="38" t="n">
        <f aca="true">IF((B912=1),(IF((F912&lt;E912),1,(IF((F912=E912),(IF(RAND()&lt;G912,1,0)),0)))),(IF((RAND()&lt;G912),1,0)))</f>
        <v>0</v>
      </c>
      <c r="I912" s="38" t="n">
        <f aca="true">IF((H912=1),0,$D$3+$D$5*(RAND()-0.5))</f>
        <v>2.0124283909493</v>
      </c>
      <c r="J912" s="38" t="n">
        <f aca="false">I912+MAX(D912,J911)</f>
        <v>962.603848358013</v>
      </c>
      <c r="K912" s="38" t="n">
        <f aca="false">IF((H912=0),J912-D912,0)</f>
        <v>15.9635121729913</v>
      </c>
      <c r="L912" s="38" t="n">
        <f aca="true">IF(($H912=0),0,$D$4+$D$5*(RAND()-0.5))</f>
        <v>0</v>
      </c>
      <c r="M912" s="38" t="n">
        <f aca="false">L912+MAX(D912,M911)</f>
        <v>962.012362822231</v>
      </c>
      <c r="N912" s="38" t="n">
        <f aca="false">IF((H912=1),M912-D912,0)</f>
        <v>0</v>
      </c>
      <c r="O912" s="16" t="n">
        <v>895</v>
      </c>
      <c r="P912" s="41" t="n">
        <f aca="false">IF((Arterial=0),P911+1,P911)</f>
        <v>428</v>
      </c>
      <c r="Q912" s="41" t="n">
        <f aca="false">IF((Arterial=1),Q911+1,Q911)</f>
        <v>467</v>
      </c>
      <c r="R912" s="42" t="e">
        <f aca="false">IF((RESET=1),0,R912+K912)</f>
        <v>#N/A</v>
      </c>
      <c r="S912" s="14" t="n">
        <f aca="false">IF(RESET=1,0,S912+N912)</f>
        <v>970.000923109094</v>
      </c>
      <c r="T912" s="2" t="e">
        <f aca="false">IF(RESET=1,0,T912+IF(H912=0,1,0))</f>
        <v>#N/A</v>
      </c>
      <c r="U912" s="2" t="n">
        <f aca="false">IF(RESET=1,0,U912+H912)</f>
        <v>46</v>
      </c>
      <c r="V912" s="14" t="e">
        <f aca="false">R912/(T912+0.00001)</f>
        <v>#N/A</v>
      </c>
      <c r="W912" s="14" t="n">
        <f aca="false">S912/(U912+0.0001)</f>
        <v>21.0869307481743</v>
      </c>
      <c r="X912" s="39" t="n">
        <f aca="false">IF(Informed=1,K912,0)</f>
        <v>0</v>
      </c>
      <c r="Y912" s="39" t="n">
        <f aca="false">IF(Informed=0,K912,0)</f>
        <v>15.9635121729913</v>
      </c>
      <c r="Z912" s="39" t="n">
        <f aca="false">IF(Informed=1,N912,0)</f>
        <v>0</v>
      </c>
      <c r="AA912" s="39" t="n">
        <f aca="false">IF(Informed=0,N912,0)</f>
        <v>0</v>
      </c>
      <c r="AB912" s="43" t="n">
        <f aca="false">IF(Arterial=0,IF(Informed=1,1,0),0)</f>
        <v>0</v>
      </c>
      <c r="AC912" s="43" t="n">
        <f aca="false">IF(Arterial=0,IF(Informed=0,1,0),0)</f>
        <v>1</v>
      </c>
      <c r="AD912" s="43" t="n">
        <f aca="false">IF(Arterial=1,IF(Informed=1,1,0),0)</f>
        <v>0</v>
      </c>
      <c r="AE912" s="43" t="n">
        <f aca="false">IF(Arterial=1,IF(Informed=0,1,0),0)</f>
        <v>0</v>
      </c>
      <c r="AF912" s="35" t="n">
        <f aca="false">IF(AB912=1,(X912-G$1030)^2,0)</f>
        <v>0</v>
      </c>
      <c r="AG912" s="35" t="n">
        <f aca="false">IF(AC912=1,(Y912-H$1030)^2,0)</f>
        <v>25.3988474510671</v>
      </c>
      <c r="AH912" s="35" t="n">
        <f aca="false">IF(AD912=1,(Z912-I$1030)^2,0)</f>
        <v>0</v>
      </c>
      <c r="AI912" s="35" t="n">
        <f aca="false">IF(AE912=1,(AA912-J$1030)^2,0)</f>
        <v>0</v>
      </c>
      <c r="AJ912" s="37" t="n">
        <f aca="true">IF(RAND()&lt;$D$6,1,0)</f>
        <v>0</v>
      </c>
      <c r="AK912" s="14" t="n">
        <f aca="false">AK911+IF((AJ912=1),IF((H912=0),1,0),0)</f>
        <v>0</v>
      </c>
      <c r="AL912" s="14" t="n">
        <f aca="false">AL911+IF((AJ912=1),IF((H912=1),1,0),0)</f>
        <v>0</v>
      </c>
      <c r="AM912" s="37" t="n">
        <f aca="false">IF(AK912=0,9999,IF($H912=0,IF($AJ912&lt;1,AM911+1,0),AM911))</f>
        <v>9999</v>
      </c>
      <c r="AN912" s="37" t="n">
        <f aca="false">IF(AL912=0,9999,IF($H912=1,IF($AJ912&lt;1,AN911+1,0),AN911))</f>
        <v>9999</v>
      </c>
      <c r="AO912" s="37" t="n">
        <f aca="false">IF($A912-AM912&gt;0,1/(1+AM912),0)</f>
        <v>0</v>
      </c>
      <c r="AP912" s="37" t="n">
        <f aca="false">IF($A912-AN912&gt;0,1/(1+AN912),0)</f>
        <v>0</v>
      </c>
      <c r="AQ912" s="7" t="n">
        <f aca="false">IF(AK912=0,0,MAX(MIN(1,AO912^Power),0))</f>
        <v>0</v>
      </c>
      <c r="AR912" s="7" t="n">
        <f aca="false">IF(AL912=0,0,MAX(MIN(1,AP912^Power),0))</f>
        <v>0</v>
      </c>
      <c r="AS912" s="7" t="n">
        <f aca="false">IF($AJ912=1,IF($H912=0,K912,AS911),AS911)</f>
        <v>0</v>
      </c>
      <c r="AT912" s="7" t="n">
        <f aca="false">IF($AJ912=1,IF($H912=1,N912,AT911),AT911)</f>
        <v>0</v>
      </c>
    </row>
    <row r="913" customFormat="false" ht="13" hidden="false" customHeight="false" outlineLevel="0" collapsed="false">
      <c r="A913" s="16" t="n">
        <v>896</v>
      </c>
      <c r="B913" s="37" t="n">
        <f aca="true">IF(RAND()&lt;$D$8,1,0)</f>
        <v>0</v>
      </c>
      <c r="C913" s="20" t="n">
        <f aca="true">-LN(RAND())/$D$2</f>
        <v>0.718529031641689</v>
      </c>
      <c r="D913" s="38" t="n">
        <f aca="false">D912+C913</f>
        <v>947.358865216663</v>
      </c>
      <c r="E913" s="39" t="n">
        <f aca="false">MAX($E$3,AS912)</f>
        <v>0</v>
      </c>
      <c r="F913" s="39" t="n">
        <f aca="false">MAX($E$3,AT912)</f>
        <v>0</v>
      </c>
      <c r="G913" s="40" t="n">
        <v>0.5</v>
      </c>
      <c r="H913" s="38" t="n">
        <f aca="true">IF((B913=1),(IF((F913&lt;E913),1,(IF((F913=E913),(IF(RAND()&lt;G913,1,0)),0)))),(IF((RAND()&lt;G913),1,0)))</f>
        <v>1</v>
      </c>
      <c r="I913" s="38" t="n">
        <f aca="true">IF((H913=1),0,$D$3+$D$5*(RAND()-0.5))</f>
        <v>0</v>
      </c>
      <c r="J913" s="38" t="n">
        <f aca="false">I913+MAX(D913,J912)</f>
        <v>962.603848358013</v>
      </c>
      <c r="K913" s="38" t="n">
        <f aca="false">IF((H913=0),J913-D913,0)</f>
        <v>0</v>
      </c>
      <c r="L913" s="38" t="n">
        <f aca="true">IF(($H913=0),0,$D$4+$D$5*(RAND()-0.5))</f>
        <v>1.8293501901121</v>
      </c>
      <c r="M913" s="38" t="n">
        <f aca="false">L913+MAX(D913,M912)</f>
        <v>963.841713012343</v>
      </c>
      <c r="N913" s="38" t="n">
        <f aca="false">IF((H913=1),M913-D913,0)</f>
        <v>16.4828477956797</v>
      </c>
      <c r="O913" s="16" t="n">
        <v>896</v>
      </c>
      <c r="P913" s="41" t="n">
        <f aca="false">IF((Arterial=0),P912+1,P912)</f>
        <v>428</v>
      </c>
      <c r="Q913" s="41" t="n">
        <f aca="false">IF((Arterial=1),Q912+1,Q912)</f>
        <v>468</v>
      </c>
      <c r="R913" s="42" t="n">
        <f aca="false">IF((RESET=1),0,R913+K913)</f>
        <v>837.484172460863</v>
      </c>
      <c r="S913" s="14" t="e">
        <f aca="false">IF(RESET=1,0,S913+N913)</f>
        <v>#N/A</v>
      </c>
      <c r="T913" s="2" t="n">
        <f aca="false">IF(RESET=1,0,T913+IF(H913=0,1,0))</f>
        <v>38</v>
      </c>
      <c r="U913" s="2" t="e">
        <f aca="false">IF(RESET=1,0,U913+H913)</f>
        <v>#N/A</v>
      </c>
      <c r="V913" s="14" t="n">
        <f aca="false">R913/(T913+0.00001)</f>
        <v>22.0390513702724</v>
      </c>
      <c r="W913" s="14" t="e">
        <f aca="false">S913/(U913+0.0001)</f>
        <v>#N/A</v>
      </c>
      <c r="X913" s="39" t="n">
        <f aca="false">IF(Informed=1,K913,0)</f>
        <v>0</v>
      </c>
      <c r="Y913" s="39" t="n">
        <f aca="false">IF(Informed=0,K913,0)</f>
        <v>0</v>
      </c>
      <c r="Z913" s="39" t="n">
        <f aca="false">IF(Informed=1,N913,0)</f>
        <v>0</v>
      </c>
      <c r="AA913" s="39" t="n">
        <f aca="false">IF(Informed=0,N913,0)</f>
        <v>16.4828477956797</v>
      </c>
      <c r="AB913" s="43" t="n">
        <f aca="false">IF(Arterial=0,IF(Informed=1,1,0),0)</f>
        <v>0</v>
      </c>
      <c r="AC913" s="43" t="n">
        <f aca="false">IF(Arterial=0,IF(Informed=0,1,0),0)</f>
        <v>0</v>
      </c>
      <c r="AD913" s="43" t="n">
        <f aca="false">IF(Arterial=1,IF(Informed=1,1,0),0)</f>
        <v>0</v>
      </c>
      <c r="AE913" s="43" t="n">
        <f aca="false">IF(Arterial=1,IF(Informed=0,1,0),0)</f>
        <v>1</v>
      </c>
      <c r="AF913" s="35" t="n">
        <f aca="false">IF(AB913=1,(X913-G$1030)^2,0)</f>
        <v>0</v>
      </c>
      <c r="AG913" s="35" t="n">
        <f aca="false">IF(AC913=1,(Y913-H$1030)^2,0)</f>
        <v>0</v>
      </c>
      <c r="AH913" s="35" t="n">
        <f aca="false">IF(AD913=1,(Z913-I$1030)^2,0)</f>
        <v>0</v>
      </c>
      <c r="AI913" s="35" t="n">
        <f aca="false">IF(AE913=1,(AA913-J$1030)^2,0)</f>
        <v>171.123737445942</v>
      </c>
      <c r="AJ913" s="37" t="n">
        <f aca="true">IF(RAND()&lt;$D$6,1,0)</f>
        <v>0</v>
      </c>
      <c r="AK913" s="14" t="n">
        <f aca="false">AK912+IF((AJ913=1),IF((H913=0),1,0),0)</f>
        <v>0</v>
      </c>
      <c r="AL913" s="14" t="n">
        <f aca="false">AL912+IF((AJ913=1),IF((H913=1),1,0),0)</f>
        <v>0</v>
      </c>
      <c r="AM913" s="37" t="n">
        <f aca="false">IF(AK913=0,9999,IF($H913=0,IF($AJ913&lt;1,AM912+1,0),AM912))</f>
        <v>9999</v>
      </c>
      <c r="AN913" s="37" t="n">
        <f aca="false">IF(AL913=0,9999,IF($H913=1,IF($AJ913&lt;1,AN912+1,0),AN912))</f>
        <v>9999</v>
      </c>
      <c r="AO913" s="37" t="n">
        <f aca="false">IF($A913-AM913&gt;0,1/(1+AM913),0)</f>
        <v>0</v>
      </c>
      <c r="AP913" s="37" t="n">
        <f aca="false">IF($A913-AN913&gt;0,1/(1+AN913),0)</f>
        <v>0</v>
      </c>
      <c r="AQ913" s="7" t="n">
        <f aca="false">IF(AK913=0,0,MAX(MIN(1,AO913^Power),0))</f>
        <v>0</v>
      </c>
      <c r="AR913" s="7" t="n">
        <f aca="false">IF(AL913=0,0,MAX(MIN(1,AP913^Power),0))</f>
        <v>0</v>
      </c>
      <c r="AS913" s="7" t="n">
        <f aca="false">IF($AJ913=1,IF($H913=0,K913,AS912),AS912)</f>
        <v>0</v>
      </c>
      <c r="AT913" s="7" t="n">
        <f aca="false">IF($AJ913=1,IF($H913=1,N913,AT912),AT912)</f>
        <v>0</v>
      </c>
    </row>
    <row r="914" customFormat="false" ht="13" hidden="false" customHeight="false" outlineLevel="0" collapsed="false">
      <c r="A914" s="16" t="n">
        <v>897</v>
      </c>
      <c r="B914" s="37" t="n">
        <f aca="true">IF(RAND()&lt;$D$8,1,0)</f>
        <v>0</v>
      </c>
      <c r="C914" s="20" t="n">
        <f aca="true">-LN(RAND())/$D$2</f>
        <v>1.38506854492475</v>
      </c>
      <c r="D914" s="38" t="n">
        <f aca="false">D913+C914</f>
        <v>948.743933761588</v>
      </c>
      <c r="E914" s="39" t="n">
        <f aca="false">MAX($E$3,AS913)</f>
        <v>0</v>
      </c>
      <c r="F914" s="39" t="n">
        <f aca="false">MAX($E$3,AT913)</f>
        <v>0</v>
      </c>
      <c r="G914" s="40" t="n">
        <v>0.5</v>
      </c>
      <c r="H914" s="38" t="n">
        <f aca="true">IF((B914=1),(IF((F914&lt;E914),1,(IF((F914=E914),(IF(RAND()&lt;G914,1,0)),0)))),(IF((RAND()&lt;G914),1,0)))</f>
        <v>0</v>
      </c>
      <c r="I914" s="38" t="n">
        <f aca="true">IF((H914=1),0,$D$3+$D$5*(RAND()-0.5))</f>
        <v>1.8617102322975</v>
      </c>
      <c r="J914" s="38" t="n">
        <f aca="false">I914+MAX(D914,J913)</f>
        <v>964.46555859031</v>
      </c>
      <c r="K914" s="38" t="n">
        <f aca="false">IF((H914=0),J914-D914,0)</f>
        <v>15.7216248287224</v>
      </c>
      <c r="L914" s="38" t="n">
        <f aca="true">IF(($H914=0),0,$D$4+$D$5*(RAND()-0.5))</f>
        <v>0</v>
      </c>
      <c r="M914" s="38" t="n">
        <f aca="false">L914+MAX(D914,M913)</f>
        <v>963.841713012343</v>
      </c>
      <c r="N914" s="38" t="n">
        <f aca="false">IF((H914=1),M914-D914,0)</f>
        <v>0</v>
      </c>
      <c r="O914" s="16" t="n">
        <v>897</v>
      </c>
      <c r="P914" s="41" t="n">
        <f aca="false">IF((Arterial=0),P913+1,P913)</f>
        <v>429</v>
      </c>
      <c r="Q914" s="41" t="n">
        <f aca="false">IF((Arterial=1),Q913+1,Q913)</f>
        <v>468</v>
      </c>
      <c r="R914" s="42" t="e">
        <f aca="false">IF((RESET=1),0,R914+K914)</f>
        <v>#N/A</v>
      </c>
      <c r="S914" s="14" t="n">
        <f aca="false">IF(RESET=1,0,S914+N914)</f>
        <v>683.821143194844</v>
      </c>
      <c r="T914" s="2" t="e">
        <f aca="false">IF(RESET=1,0,T914+IF(H914=0,1,0))</f>
        <v>#N/A</v>
      </c>
      <c r="U914" s="2" t="n">
        <f aca="false">IF(RESET=1,0,U914+H914)</f>
        <v>36</v>
      </c>
      <c r="V914" s="14" t="e">
        <f aca="false">R914/(T914+0.00001)</f>
        <v>#N/A</v>
      </c>
      <c r="W914" s="14" t="n">
        <f aca="false">S914/(U914+0.0001)</f>
        <v>18.9949789915818</v>
      </c>
      <c r="X914" s="39" t="n">
        <f aca="false">IF(Informed=1,K914,0)</f>
        <v>0</v>
      </c>
      <c r="Y914" s="39" t="n">
        <f aca="false">IF(Informed=0,K914,0)</f>
        <v>15.7216248287224</v>
      </c>
      <c r="Z914" s="39" t="n">
        <f aca="false">IF(Informed=1,N914,0)</f>
        <v>0</v>
      </c>
      <c r="AA914" s="39" t="n">
        <f aca="false">IF(Informed=0,N914,0)</f>
        <v>0</v>
      </c>
      <c r="AB914" s="43" t="n">
        <f aca="false">IF(Arterial=0,IF(Informed=1,1,0),0)</f>
        <v>0</v>
      </c>
      <c r="AC914" s="43" t="n">
        <f aca="false">IF(Arterial=0,IF(Informed=0,1,0),0)</f>
        <v>1</v>
      </c>
      <c r="AD914" s="43" t="n">
        <f aca="false">IF(Arterial=1,IF(Informed=1,1,0),0)</f>
        <v>0</v>
      </c>
      <c r="AE914" s="43" t="n">
        <f aca="false">IF(Arterial=1,IF(Informed=0,1,0),0)</f>
        <v>0</v>
      </c>
      <c r="AF914" s="35" t="n">
        <f aca="false">IF(AB914=1,(X914-G$1030)^2,0)</f>
        <v>0</v>
      </c>
      <c r="AG914" s="35" t="n">
        <f aca="false">IF(AC914=1,(Y914-H$1030)^2,0)</f>
        <v>23.0192646162472</v>
      </c>
      <c r="AH914" s="35" t="n">
        <f aca="false">IF(AD914=1,(Z914-I$1030)^2,0)</f>
        <v>0</v>
      </c>
      <c r="AI914" s="35" t="n">
        <f aca="false">IF(AE914=1,(AA914-J$1030)^2,0)</f>
        <v>0</v>
      </c>
      <c r="AJ914" s="37" t="n">
        <f aca="true">IF(RAND()&lt;$D$6,1,0)</f>
        <v>0</v>
      </c>
      <c r="AK914" s="14" t="n">
        <f aca="false">AK913+IF((AJ914=1),IF((H914=0),1,0),0)</f>
        <v>0</v>
      </c>
      <c r="AL914" s="14" t="n">
        <f aca="false">AL913+IF((AJ914=1),IF((H914=1),1,0),0)</f>
        <v>0</v>
      </c>
      <c r="AM914" s="37" t="n">
        <f aca="false">IF(AK914=0,9999,IF($H914=0,IF($AJ914&lt;1,AM913+1,0),AM913))</f>
        <v>9999</v>
      </c>
      <c r="AN914" s="37" t="n">
        <f aca="false">IF(AL914=0,9999,IF($H914=1,IF($AJ914&lt;1,AN913+1,0),AN913))</f>
        <v>9999</v>
      </c>
      <c r="AO914" s="37" t="n">
        <f aca="false">IF($A914-AM914&gt;0,1/(1+AM914),0)</f>
        <v>0</v>
      </c>
      <c r="AP914" s="37" t="n">
        <f aca="false">IF($A914-AN914&gt;0,1/(1+AN914),0)</f>
        <v>0</v>
      </c>
      <c r="AQ914" s="7" t="n">
        <f aca="false">IF(AK914=0,0,MAX(MIN(1,AO914^Power),0))</f>
        <v>0</v>
      </c>
      <c r="AR914" s="7" t="n">
        <f aca="false">IF(AL914=0,0,MAX(MIN(1,AP914^Power),0))</f>
        <v>0</v>
      </c>
      <c r="AS914" s="7" t="n">
        <f aca="false">IF($AJ914=1,IF($H914=0,K914,AS913),AS913)</f>
        <v>0</v>
      </c>
      <c r="AT914" s="7" t="n">
        <f aca="false">IF($AJ914=1,IF($H914=1,N914,AT913),AT913)</f>
        <v>0</v>
      </c>
    </row>
    <row r="915" customFormat="false" ht="13" hidden="false" customHeight="false" outlineLevel="0" collapsed="false">
      <c r="A915" s="16" t="n">
        <v>898</v>
      </c>
      <c r="B915" s="37" t="n">
        <f aca="true">IF(RAND()&lt;$D$8,1,0)</f>
        <v>0</v>
      </c>
      <c r="C915" s="20" t="n">
        <f aca="true">-LN(RAND())/$D$2</f>
        <v>1.6403891378979</v>
      </c>
      <c r="D915" s="38" t="n">
        <f aca="false">D914+C915</f>
        <v>950.384322899486</v>
      </c>
      <c r="E915" s="39" t="n">
        <f aca="false">MAX($E$3,AS914)</f>
        <v>0</v>
      </c>
      <c r="F915" s="39" t="n">
        <f aca="false">MAX($E$3,AT914)</f>
        <v>0</v>
      </c>
      <c r="G915" s="40" t="n">
        <v>0.5</v>
      </c>
      <c r="H915" s="38" t="n">
        <f aca="true">IF((B915=1),(IF((F915&lt;E915),1,(IF((F915=E915),(IF(RAND()&lt;G915,1,0)),0)))),(IF((RAND()&lt;G915),1,0)))</f>
        <v>1</v>
      </c>
      <c r="I915" s="38" t="n">
        <f aca="true">IF((H915=1),0,$D$3+$D$5*(RAND()-0.5))</f>
        <v>0</v>
      </c>
      <c r="J915" s="38" t="n">
        <f aca="false">I915+MAX(D915,J914)</f>
        <v>964.46555859031</v>
      </c>
      <c r="K915" s="38" t="n">
        <f aca="false">IF((H915=0),J915-D915,0)</f>
        <v>0</v>
      </c>
      <c r="L915" s="38" t="n">
        <f aca="true">IF(($H915=0),0,$D$4+$D$5*(RAND()-0.5))</f>
        <v>1.95107383047244</v>
      </c>
      <c r="M915" s="38" t="n">
        <f aca="false">L915+MAX(D915,M914)</f>
        <v>965.792786842815</v>
      </c>
      <c r="N915" s="38" t="n">
        <f aca="false">IF((H915=1),M915-D915,0)</f>
        <v>15.4084639433295</v>
      </c>
      <c r="O915" s="16" t="n">
        <v>898</v>
      </c>
      <c r="P915" s="41" t="n">
        <f aca="false">IF((Arterial=0),P914+1,P914)</f>
        <v>429</v>
      </c>
      <c r="Q915" s="41" t="n">
        <f aca="false">IF((Arterial=1),Q914+1,Q914)</f>
        <v>469</v>
      </c>
      <c r="R915" s="42" t="n">
        <f aca="false">IF((RESET=1),0,R915+K915)</f>
        <v>861.93638710179</v>
      </c>
      <c r="S915" s="14" t="e">
        <f aca="false">IF(RESET=1,0,S915+N915)</f>
        <v>#N/A</v>
      </c>
      <c r="T915" s="2" t="n">
        <f aca="false">IF(RESET=1,0,T915+IF(H915=0,1,0))</f>
        <v>33</v>
      </c>
      <c r="U915" s="2" t="e">
        <f aca="false">IF(RESET=1,0,U915+H915)</f>
        <v>#N/A</v>
      </c>
      <c r="V915" s="14" t="n">
        <f aca="false">R915/(T915+0.00001)</f>
        <v>26.1192765426977</v>
      </c>
      <c r="W915" s="14" t="e">
        <f aca="false">S915/(U915+0.0001)</f>
        <v>#N/A</v>
      </c>
      <c r="X915" s="39" t="n">
        <f aca="false">IF(Informed=1,K915,0)</f>
        <v>0</v>
      </c>
      <c r="Y915" s="39" t="n">
        <f aca="false">IF(Informed=0,K915,0)</f>
        <v>0</v>
      </c>
      <c r="Z915" s="39" t="n">
        <f aca="false">IF(Informed=1,N915,0)</f>
        <v>0</v>
      </c>
      <c r="AA915" s="39" t="n">
        <f aca="false">IF(Informed=0,N915,0)</f>
        <v>15.4084639433295</v>
      </c>
      <c r="AB915" s="43" t="n">
        <f aca="false">IF(Arterial=0,IF(Informed=1,1,0),0)</f>
        <v>0</v>
      </c>
      <c r="AC915" s="43" t="n">
        <f aca="false">IF(Arterial=0,IF(Informed=0,1,0),0)</f>
        <v>0</v>
      </c>
      <c r="AD915" s="43" t="n">
        <f aca="false">IF(Arterial=1,IF(Informed=1,1,0),0)</f>
        <v>0</v>
      </c>
      <c r="AE915" s="43" t="n">
        <f aca="false">IF(Arterial=1,IF(Informed=0,1,0),0)</f>
        <v>1</v>
      </c>
      <c r="AF915" s="35" t="n">
        <f aca="false">IF(AB915=1,(X915-G$1030)^2,0)</f>
        <v>0</v>
      </c>
      <c r="AG915" s="35" t="n">
        <f aca="false">IF(AC915=1,(Y915-H$1030)^2,0)</f>
        <v>0</v>
      </c>
      <c r="AH915" s="35" t="n">
        <f aca="false">IF(AD915=1,(Z915-I$1030)^2,0)</f>
        <v>0</v>
      </c>
      <c r="AI915" s="35" t="n">
        <f aca="false">IF(AE915=1,(AA915-J$1030)^2,0)</f>
        <v>200.386986395143</v>
      </c>
      <c r="AJ915" s="37" t="n">
        <f aca="true">IF(RAND()&lt;$D$6,1,0)</f>
        <v>0</v>
      </c>
      <c r="AK915" s="14" t="n">
        <f aca="false">AK914+IF((AJ915=1),IF((H915=0),1,0),0)</f>
        <v>0</v>
      </c>
      <c r="AL915" s="14" t="n">
        <f aca="false">AL914+IF((AJ915=1),IF((H915=1),1,0),0)</f>
        <v>0</v>
      </c>
      <c r="AM915" s="37" t="n">
        <f aca="false">IF(AK915=0,9999,IF($H915=0,IF($AJ915&lt;1,AM914+1,0),AM914))</f>
        <v>9999</v>
      </c>
      <c r="AN915" s="37" t="n">
        <f aca="false">IF(AL915=0,9999,IF($H915=1,IF($AJ915&lt;1,AN914+1,0),AN914))</f>
        <v>9999</v>
      </c>
      <c r="AO915" s="37" t="n">
        <f aca="false">IF($A915-AM915&gt;0,1/(1+AM915),0)</f>
        <v>0</v>
      </c>
      <c r="AP915" s="37" t="n">
        <f aca="false">IF($A915-AN915&gt;0,1/(1+AN915),0)</f>
        <v>0</v>
      </c>
      <c r="AQ915" s="7" t="n">
        <f aca="false">IF(AK915=0,0,MAX(MIN(1,AO915^Power),0))</f>
        <v>0</v>
      </c>
      <c r="AR915" s="7" t="n">
        <f aca="false">IF(AL915=0,0,MAX(MIN(1,AP915^Power),0))</f>
        <v>0</v>
      </c>
      <c r="AS915" s="7" t="n">
        <f aca="false">IF($AJ915=1,IF($H915=0,K915,AS914),AS914)</f>
        <v>0</v>
      </c>
      <c r="AT915" s="7" t="n">
        <f aca="false">IF($AJ915=1,IF($H915=1,N915,AT914),AT914)</f>
        <v>0</v>
      </c>
    </row>
    <row r="916" customFormat="false" ht="13" hidden="false" customHeight="false" outlineLevel="0" collapsed="false">
      <c r="A916" s="16" t="n">
        <v>899</v>
      </c>
      <c r="B916" s="37" t="n">
        <f aca="true">IF(RAND()&lt;$D$8,1,0)</f>
        <v>1</v>
      </c>
      <c r="C916" s="20" t="n">
        <f aca="true">-LN(RAND())/$D$2</f>
        <v>0.751125795545938</v>
      </c>
      <c r="D916" s="38" t="n">
        <f aca="false">D915+C916</f>
        <v>951.135448695032</v>
      </c>
      <c r="E916" s="39" t="n">
        <f aca="false">MAX($E$3,AS915)</f>
        <v>0</v>
      </c>
      <c r="F916" s="39" t="n">
        <f aca="false">MAX($E$3,AT915)</f>
        <v>0</v>
      </c>
      <c r="G916" s="40" t="n">
        <v>0.5</v>
      </c>
      <c r="H916" s="38" t="n">
        <f aca="true">IF((B916=1),(IF((F916&lt;E916),1,(IF((F916=E916),(IF(RAND()&lt;G916,1,0)),0)))),(IF((RAND()&lt;G916),1,0)))</f>
        <v>1</v>
      </c>
      <c r="I916" s="38" t="n">
        <f aca="true">IF((H916=1),0,$D$3+$D$5*(RAND()-0.5))</f>
        <v>0</v>
      </c>
      <c r="J916" s="38" t="n">
        <f aca="false">I916+MAX(D916,J915)</f>
        <v>964.46555859031</v>
      </c>
      <c r="K916" s="38" t="n">
        <f aca="false">IF((H916=0),J916-D916,0)</f>
        <v>0</v>
      </c>
      <c r="L916" s="38" t="n">
        <f aca="true">IF(($H916=0),0,$D$4+$D$5*(RAND()-0.5))</f>
        <v>2.05845566473719</v>
      </c>
      <c r="M916" s="38" t="n">
        <f aca="false">L916+MAX(D916,M915)</f>
        <v>967.851242507552</v>
      </c>
      <c r="N916" s="38" t="n">
        <f aca="false">IF((H916=1),M916-D916,0)</f>
        <v>16.7157938125207</v>
      </c>
      <c r="O916" s="16" t="n">
        <v>899</v>
      </c>
      <c r="P916" s="41" t="n">
        <f aca="false">IF((Arterial=0),P915+1,P915)</f>
        <v>429</v>
      </c>
      <c r="Q916" s="41" t="n">
        <f aca="false">IF((Arterial=1),Q915+1,Q915)</f>
        <v>470</v>
      </c>
      <c r="R916" s="42" t="n">
        <f aca="false">IF((RESET=1),0,R916+K916)</f>
        <v>912.947971434419</v>
      </c>
      <c r="S916" s="14" t="e">
        <f aca="false">IF(RESET=1,0,S916+N916)</f>
        <v>#N/A</v>
      </c>
      <c r="T916" s="2" t="n">
        <f aca="false">IF(RESET=1,0,T916+IF(H916=0,1,0))</f>
        <v>41</v>
      </c>
      <c r="U916" s="2" t="e">
        <f aca="false">IF(RESET=1,0,U916+H916)</f>
        <v>#N/A</v>
      </c>
      <c r="V916" s="14" t="n">
        <f aca="false">R916/(T916+0.00001)</f>
        <v>22.2670182625424</v>
      </c>
      <c r="W916" s="14" t="e">
        <f aca="false">S916/(U916+0.0001)</f>
        <v>#N/A</v>
      </c>
      <c r="X916" s="39" t="n">
        <f aca="false">IF(Informed=1,K916,0)</f>
        <v>0</v>
      </c>
      <c r="Y916" s="39" t="n">
        <f aca="false">IF(Informed=0,K916,0)</f>
        <v>0</v>
      </c>
      <c r="Z916" s="39" t="n">
        <f aca="false">IF(Informed=1,N916,0)</f>
        <v>16.7157938125207</v>
      </c>
      <c r="AA916" s="39" t="n">
        <f aca="false">IF(Informed=0,N916,0)</f>
        <v>0</v>
      </c>
      <c r="AB916" s="43" t="n">
        <f aca="false">IF(Arterial=0,IF(Informed=1,1,0),0)</f>
        <v>0</v>
      </c>
      <c r="AC916" s="43" t="n">
        <f aca="false">IF(Arterial=0,IF(Informed=0,1,0),0)</f>
        <v>0</v>
      </c>
      <c r="AD916" s="43" t="n">
        <f aca="false">IF(Arterial=1,IF(Informed=1,1,0),0)</f>
        <v>1</v>
      </c>
      <c r="AE916" s="43" t="n">
        <f aca="false">IF(Arterial=1,IF(Informed=0,1,0),0)</f>
        <v>0</v>
      </c>
      <c r="AF916" s="35" t="n">
        <f aca="false">IF(AB916=1,(X916-G$1030)^2,0)</f>
        <v>0</v>
      </c>
      <c r="AG916" s="35" t="n">
        <f aca="false">IF(AC916=1,(Y916-H$1030)^2,0)</f>
        <v>0</v>
      </c>
      <c r="AH916" s="35" t="n">
        <f aca="false">IF(AD916=1,(Z916-I$1030)^2,0)</f>
        <v>135.93323659</v>
      </c>
      <c r="AI916" s="35" t="n">
        <f aca="false">IF(AE916=1,(AA916-J$1030)^2,0)</f>
        <v>0</v>
      </c>
      <c r="AJ916" s="37" t="n">
        <f aca="true">IF(RAND()&lt;$D$6,1,0)</f>
        <v>0</v>
      </c>
      <c r="AK916" s="14" t="n">
        <f aca="false">AK915+IF((AJ916=1),IF((H916=0),1,0),0)</f>
        <v>0</v>
      </c>
      <c r="AL916" s="14" t="n">
        <f aca="false">AL915+IF((AJ916=1),IF((H916=1),1,0),0)</f>
        <v>0</v>
      </c>
      <c r="AM916" s="37" t="n">
        <f aca="false">IF(AK916=0,9999,IF($H916=0,IF($AJ916&lt;1,AM915+1,0),AM915))</f>
        <v>9999</v>
      </c>
      <c r="AN916" s="37" t="n">
        <f aca="false">IF(AL916=0,9999,IF($H916=1,IF($AJ916&lt;1,AN915+1,0),AN915))</f>
        <v>9999</v>
      </c>
      <c r="AO916" s="37" t="n">
        <f aca="false">IF($A916-AM916&gt;0,1/(1+AM916),0)</f>
        <v>0</v>
      </c>
      <c r="AP916" s="37" t="n">
        <f aca="false">IF($A916-AN916&gt;0,1/(1+AN916),0)</f>
        <v>0</v>
      </c>
      <c r="AQ916" s="7" t="n">
        <f aca="false">IF(AK916=0,0,MAX(MIN(1,AO916^Power),0))</f>
        <v>0</v>
      </c>
      <c r="AR916" s="7" t="n">
        <f aca="false">IF(AL916=0,0,MAX(MIN(1,AP916^Power),0))</f>
        <v>0</v>
      </c>
      <c r="AS916" s="7" t="n">
        <f aca="false">IF($AJ916=1,IF($H916=0,K916,AS915),AS915)</f>
        <v>0</v>
      </c>
      <c r="AT916" s="7" t="n">
        <f aca="false">IF($AJ916=1,IF($H916=1,N916,AT915),AT915)</f>
        <v>0</v>
      </c>
    </row>
    <row r="917" customFormat="false" ht="13" hidden="false" customHeight="false" outlineLevel="0" collapsed="false">
      <c r="A917" s="16" t="n">
        <v>900</v>
      </c>
      <c r="B917" s="37" t="n">
        <f aca="true">IF(RAND()&lt;$D$8,1,0)</f>
        <v>0</v>
      </c>
      <c r="C917" s="20" t="n">
        <f aca="true">-LN(RAND())/$D$2</f>
        <v>0.653188097301155</v>
      </c>
      <c r="D917" s="38" t="n">
        <f aca="false">D916+C917</f>
        <v>951.788636792333</v>
      </c>
      <c r="E917" s="39" t="n">
        <f aca="false">MAX($E$3,AS916)</f>
        <v>0</v>
      </c>
      <c r="F917" s="39" t="n">
        <f aca="false">MAX($E$3,AT916)</f>
        <v>0</v>
      </c>
      <c r="G917" s="40" t="n">
        <v>0.5</v>
      </c>
      <c r="H917" s="38" t="n">
        <f aca="true">IF((B917=1),(IF((F917&lt;E917),1,(IF((F917=E917),(IF(RAND()&lt;G917,1,0)),0)))),(IF((RAND()&lt;G917),1,0)))</f>
        <v>0</v>
      </c>
      <c r="I917" s="38" t="n">
        <f aca="true">IF((H917=1),0,$D$3+$D$5*(RAND()-0.5))</f>
        <v>2.17924306743915</v>
      </c>
      <c r="J917" s="38" t="n">
        <f aca="false">I917+MAX(D917,J916)</f>
        <v>966.644801657749</v>
      </c>
      <c r="K917" s="38" t="n">
        <f aca="false">IF((H917=0),J917-D917,0)</f>
        <v>14.8561648654165</v>
      </c>
      <c r="L917" s="38" t="n">
        <f aca="true">IF(($H917=0),0,$D$4+$D$5*(RAND()-0.5))</f>
        <v>0</v>
      </c>
      <c r="M917" s="38" t="n">
        <f aca="false">L917+MAX(D917,M916)</f>
        <v>967.851242507552</v>
      </c>
      <c r="N917" s="38" t="n">
        <f aca="false">IF((H917=1),M917-D917,0)</f>
        <v>0</v>
      </c>
      <c r="O917" s="16" t="n">
        <v>900</v>
      </c>
      <c r="P917" s="41" t="n">
        <f aca="false">IF((Arterial=0),P916+1,P916)</f>
        <v>430</v>
      </c>
      <c r="Q917" s="41" t="n">
        <f aca="false">IF((Arterial=1),Q916+1,Q916)</f>
        <v>470</v>
      </c>
      <c r="R917" s="42" t="e">
        <f aca="false">IF((RESET=1),0,R917+K917)</f>
        <v>#N/A</v>
      </c>
      <c r="S917" s="14" t="n">
        <f aca="false">IF(RESET=1,0,S917+N917)</f>
        <v>701.096099955279</v>
      </c>
      <c r="T917" s="2" t="e">
        <f aca="false">IF(RESET=1,0,T917+IF(H917=0,1,0))</f>
        <v>#N/A</v>
      </c>
      <c r="U917" s="2" t="n">
        <f aca="false">IF(RESET=1,0,U917+H917)</f>
        <v>38</v>
      </c>
      <c r="V917" s="14" t="e">
        <f aca="false">R917/(T917+0.00001)</f>
        <v>#N/A</v>
      </c>
      <c r="W917" s="14" t="n">
        <f aca="false">S917/(U917+0.0001)</f>
        <v>18.4498488150105</v>
      </c>
      <c r="X917" s="39" t="n">
        <f aca="false">IF(Informed=1,K917,0)</f>
        <v>0</v>
      </c>
      <c r="Y917" s="39" t="n">
        <f aca="false">IF(Informed=0,K917,0)</f>
        <v>14.8561648654165</v>
      </c>
      <c r="Z917" s="39" t="n">
        <f aca="false">IF(Informed=1,N917,0)</f>
        <v>0</v>
      </c>
      <c r="AA917" s="39" t="n">
        <f aca="false">IF(Informed=0,N917,0)</f>
        <v>0</v>
      </c>
      <c r="AB917" s="43" t="n">
        <f aca="false">IF(Arterial=0,IF(Informed=1,1,0),0)</f>
        <v>0</v>
      </c>
      <c r="AC917" s="43" t="n">
        <f aca="false">IF(Arterial=0,IF(Informed=0,1,0),0)</f>
        <v>1</v>
      </c>
      <c r="AD917" s="43" t="n">
        <f aca="false">IF(Arterial=1,IF(Informed=1,1,0),0)</f>
        <v>0</v>
      </c>
      <c r="AE917" s="43" t="n">
        <f aca="false">IF(Arterial=1,IF(Informed=0,1,0),0)</f>
        <v>0</v>
      </c>
      <c r="AF917" s="35" t="n">
        <f aca="false">IF(AB917=1,(X917-G$1030)^2,0)</f>
        <v>0</v>
      </c>
      <c r="AG917" s="35" t="n">
        <f aca="false">IF(AC917=1,(Y917-H$1030)^2,0)</f>
        <v>15.4636094340818</v>
      </c>
      <c r="AH917" s="35" t="n">
        <f aca="false">IF(AD917=1,(Z917-I$1030)^2,0)</f>
        <v>0</v>
      </c>
      <c r="AI917" s="35" t="n">
        <f aca="false">IF(AE917=1,(AA917-J$1030)^2,0)</f>
        <v>0</v>
      </c>
      <c r="AJ917" s="37" t="n">
        <f aca="true">IF(RAND()&lt;$D$6,1,0)</f>
        <v>0</v>
      </c>
      <c r="AK917" s="14" t="n">
        <f aca="false">AK916+IF((AJ917=1),IF((H917=0),1,0),0)</f>
        <v>0</v>
      </c>
      <c r="AL917" s="14" t="n">
        <f aca="false">AL916+IF((AJ917=1),IF((H917=1),1,0),0)</f>
        <v>0</v>
      </c>
      <c r="AM917" s="37" t="n">
        <f aca="false">IF(AK917=0,9999,IF($H917=0,IF($AJ917&lt;1,AM916+1,0),AM916))</f>
        <v>9999</v>
      </c>
      <c r="AN917" s="37" t="n">
        <f aca="false">IF(AL917=0,9999,IF($H917=1,IF($AJ917&lt;1,AN916+1,0),AN916))</f>
        <v>9999</v>
      </c>
      <c r="AO917" s="37" t="n">
        <f aca="false">IF($A917-AM917&gt;0,1/(1+AM917),0)</f>
        <v>0</v>
      </c>
      <c r="AP917" s="37" t="n">
        <f aca="false">IF($A917-AN917&gt;0,1/(1+AN917),0)</f>
        <v>0</v>
      </c>
      <c r="AQ917" s="7" t="n">
        <f aca="false">IF(AK917=0,0,MAX(MIN(1,AO917^Power),0))</f>
        <v>0</v>
      </c>
      <c r="AR917" s="7" t="n">
        <f aca="false">IF(AL917=0,0,MAX(MIN(1,AP917^Power),0))</f>
        <v>0</v>
      </c>
      <c r="AS917" s="7" t="n">
        <f aca="false">IF($AJ917=1,IF($H917=0,K917,AS916),AS916)</f>
        <v>0</v>
      </c>
      <c r="AT917" s="7" t="n">
        <f aca="false">IF($AJ917=1,IF($H917=1,N917,AT916),AT916)</f>
        <v>0</v>
      </c>
    </row>
    <row r="918" customFormat="false" ht="13" hidden="false" customHeight="false" outlineLevel="0" collapsed="false">
      <c r="A918" s="16" t="n">
        <v>901</v>
      </c>
      <c r="B918" s="37" t="n">
        <f aca="true">IF(RAND()&lt;$D$8,1,0)</f>
        <v>0</v>
      </c>
      <c r="C918" s="20" t="n">
        <f aca="true">-LN(RAND())/$D$2</f>
        <v>0.147350859786884</v>
      </c>
      <c r="D918" s="38" t="n">
        <f aca="false">D917+C918</f>
        <v>951.93598765212</v>
      </c>
      <c r="E918" s="39" t="n">
        <f aca="false">MAX($E$3,AS917)</f>
        <v>0</v>
      </c>
      <c r="F918" s="39" t="n">
        <f aca="false">MAX($E$3,AT917)</f>
        <v>0</v>
      </c>
      <c r="G918" s="40" t="n">
        <v>0.5</v>
      </c>
      <c r="H918" s="38" t="n">
        <f aca="true">IF((B918=1),(IF((F918&lt;E918),1,(IF((F918=E918),(IF(RAND()&lt;G918,1,0)),0)))),(IF((RAND()&lt;G918),1,0)))</f>
        <v>0</v>
      </c>
      <c r="I918" s="38" t="n">
        <f aca="true">IF((H918=1),0,$D$3+$D$5*(RAND()-0.5))</f>
        <v>1.8329091345188</v>
      </c>
      <c r="J918" s="38" t="n">
        <f aca="false">I918+MAX(D918,J917)</f>
        <v>968.477710792268</v>
      </c>
      <c r="K918" s="38" t="n">
        <f aca="false">IF((H918=0),J918-D918,0)</f>
        <v>16.5417231401484</v>
      </c>
      <c r="L918" s="38" t="n">
        <f aca="true">IF(($H918=0),0,$D$4+$D$5*(RAND()-0.5))</f>
        <v>0</v>
      </c>
      <c r="M918" s="38" t="n">
        <f aca="false">L918+MAX(D918,M917)</f>
        <v>967.851242507552</v>
      </c>
      <c r="N918" s="38" t="n">
        <f aca="false">IF((H918=1),M918-D918,0)</f>
        <v>0</v>
      </c>
      <c r="O918" s="16" t="n">
        <v>901</v>
      </c>
      <c r="P918" s="41" t="n">
        <f aca="false">IF((Arterial=0),P917+1,P917)</f>
        <v>431</v>
      </c>
      <c r="Q918" s="41" t="n">
        <f aca="false">IF((Arterial=1),Q917+1,Q917)</f>
        <v>470</v>
      </c>
      <c r="R918" s="42" t="e">
        <f aca="false">IF((RESET=1),0,R918+K918)</f>
        <v>#N/A</v>
      </c>
      <c r="S918" s="14" t="n">
        <f aca="false">IF(RESET=1,0,S918+N918)</f>
        <v>868.984318071338</v>
      </c>
      <c r="T918" s="2" t="e">
        <f aca="false">IF(RESET=1,0,T918+IF(H918=0,1,0))</f>
        <v>#N/A</v>
      </c>
      <c r="U918" s="2" t="n">
        <f aca="false">IF(RESET=1,0,U918+H918)</f>
        <v>39</v>
      </c>
      <c r="V918" s="14" t="e">
        <f aca="false">R918/(T918+0.00001)</f>
        <v>#N/A</v>
      </c>
      <c r="W918" s="14" t="n">
        <f aca="false">S918/(U918+0.0001)</f>
        <v>22.281592049029</v>
      </c>
      <c r="X918" s="39" t="n">
        <f aca="false">IF(Informed=1,K918,0)</f>
        <v>0</v>
      </c>
      <c r="Y918" s="39" t="n">
        <f aca="false">IF(Informed=0,K918,0)</f>
        <v>16.5417231401484</v>
      </c>
      <c r="Z918" s="39" t="n">
        <f aca="false">IF(Informed=1,N918,0)</f>
        <v>0</v>
      </c>
      <c r="AA918" s="39" t="n">
        <f aca="false">IF(Informed=0,N918,0)</f>
        <v>0</v>
      </c>
      <c r="AB918" s="43" t="n">
        <f aca="false">IF(Arterial=0,IF(Informed=1,1,0),0)</f>
        <v>0</v>
      </c>
      <c r="AC918" s="43" t="n">
        <f aca="false">IF(Arterial=0,IF(Informed=0,1,0),0)</f>
        <v>1</v>
      </c>
      <c r="AD918" s="43" t="n">
        <f aca="false">IF(Arterial=1,IF(Informed=1,1,0),0)</f>
        <v>0</v>
      </c>
      <c r="AE918" s="43" t="n">
        <f aca="false">IF(Arterial=1,IF(Informed=0,1,0),0)</f>
        <v>0</v>
      </c>
      <c r="AF918" s="35" t="n">
        <f aca="false">IF(AB918=1,(X918-G$1030)^2,0)</f>
        <v>0</v>
      </c>
      <c r="AG918" s="35" t="n">
        <f aca="false">IF(AC918=1,(Y918-H$1030)^2,0)</f>
        <v>31.5612261294766</v>
      </c>
      <c r="AH918" s="35" t="n">
        <f aca="false">IF(AD918=1,(Z918-I$1030)^2,0)</f>
        <v>0</v>
      </c>
      <c r="AI918" s="35" t="n">
        <f aca="false">IF(AE918=1,(AA918-J$1030)^2,0)</f>
        <v>0</v>
      </c>
      <c r="AJ918" s="37" t="n">
        <f aca="true">IF(RAND()&lt;$D$6,1,0)</f>
        <v>0</v>
      </c>
      <c r="AK918" s="14" t="n">
        <f aca="false">AK917+IF((AJ918=1),IF((H918=0),1,0),0)</f>
        <v>0</v>
      </c>
      <c r="AL918" s="14" t="n">
        <f aca="false">AL917+IF((AJ918=1),IF((H918=1),1,0),0)</f>
        <v>0</v>
      </c>
      <c r="AM918" s="37" t="n">
        <f aca="false">IF(AK918=0,9999,IF($H918=0,IF($AJ918&lt;1,AM917+1,0),AM917))</f>
        <v>9999</v>
      </c>
      <c r="AN918" s="37" t="n">
        <f aca="false">IF(AL918=0,9999,IF($H918=1,IF($AJ918&lt;1,AN917+1,0),AN917))</f>
        <v>9999</v>
      </c>
      <c r="AO918" s="37" t="n">
        <f aca="false">IF($A918-AM918&gt;0,1/(1+AM918),0)</f>
        <v>0</v>
      </c>
      <c r="AP918" s="37" t="n">
        <f aca="false">IF($A918-AN918&gt;0,1/(1+AN918),0)</f>
        <v>0</v>
      </c>
      <c r="AQ918" s="7" t="n">
        <f aca="false">IF(AK918=0,0,MAX(MIN(1,AO918^Power),0))</f>
        <v>0</v>
      </c>
      <c r="AR918" s="7" t="n">
        <f aca="false">IF(AL918=0,0,MAX(MIN(1,AP918^Power),0))</f>
        <v>0</v>
      </c>
      <c r="AS918" s="7" t="n">
        <f aca="false">IF($AJ918=1,IF($H918=0,K918,AS917),AS917)</f>
        <v>0</v>
      </c>
      <c r="AT918" s="7" t="n">
        <f aca="false">IF($AJ918=1,IF($H918=1,N918,AT917),AT917)</f>
        <v>0</v>
      </c>
    </row>
    <row r="919" customFormat="false" ht="13" hidden="false" customHeight="false" outlineLevel="0" collapsed="false">
      <c r="A919" s="16" t="n">
        <v>902</v>
      </c>
      <c r="B919" s="37" t="n">
        <f aca="true">IF(RAND()&lt;$D$8,1,0)</f>
        <v>1</v>
      </c>
      <c r="C919" s="20" t="n">
        <f aca="true">-LN(RAND())/$D$2</f>
        <v>0.729093259367318</v>
      </c>
      <c r="D919" s="38" t="n">
        <f aca="false">D918+C919</f>
        <v>952.665080911487</v>
      </c>
      <c r="E919" s="39" t="n">
        <f aca="false">MAX($E$3,AS918)</f>
        <v>0</v>
      </c>
      <c r="F919" s="39" t="n">
        <f aca="false">MAX($E$3,AT918)</f>
        <v>0</v>
      </c>
      <c r="G919" s="40" t="n">
        <v>0.5</v>
      </c>
      <c r="H919" s="38" t="n">
        <f aca="true">IF((B919=1),(IF((F919&lt;E919),1,(IF((F919=E919),(IF(RAND()&lt;G919,1,0)),0)))),(IF((RAND()&lt;G919),1,0)))</f>
        <v>1</v>
      </c>
      <c r="I919" s="38" t="n">
        <f aca="true">IF((H919=1),0,$D$3+$D$5*(RAND()-0.5))</f>
        <v>0</v>
      </c>
      <c r="J919" s="38" t="n">
        <f aca="false">I919+MAX(D919,J918)</f>
        <v>968.477710792268</v>
      </c>
      <c r="K919" s="38" t="n">
        <f aca="false">IF((H919=0),J919-D919,0)</f>
        <v>0</v>
      </c>
      <c r="L919" s="38" t="n">
        <f aca="true">IF(($H919=0),0,$D$4+$D$5*(RAND()-0.5))</f>
        <v>2.00131761789128</v>
      </c>
      <c r="M919" s="38" t="n">
        <f aca="false">L919+MAX(D919,M918)</f>
        <v>969.852560125444</v>
      </c>
      <c r="N919" s="38" t="n">
        <f aca="false">IF((H919=1),M919-D919,0)</f>
        <v>17.1874792139565</v>
      </c>
      <c r="O919" s="16" t="n">
        <v>902</v>
      </c>
      <c r="P919" s="41" t="n">
        <f aca="false">IF((Arterial=0),P918+1,P918)</f>
        <v>431</v>
      </c>
      <c r="Q919" s="41" t="n">
        <f aca="false">IF((Arterial=1),Q918+1,Q918)</f>
        <v>471</v>
      </c>
      <c r="R919" s="42" t="n">
        <f aca="false">IF((RESET=1),0,R919+K919)</f>
        <v>931.859851086355</v>
      </c>
      <c r="S919" s="14" t="e">
        <f aca="false">IF(RESET=1,0,S919+N919)</f>
        <v>#N/A</v>
      </c>
      <c r="T919" s="2" t="n">
        <f aca="false">IF(RESET=1,0,T919+IF(H919=0,1,0))</f>
        <v>41</v>
      </c>
      <c r="U919" s="2" t="e">
        <f aca="false">IF(RESET=1,0,U919+H919)</f>
        <v>#N/A</v>
      </c>
      <c r="V919" s="14" t="n">
        <f aca="false">R919/(T919+0.00001)</f>
        <v>22.7282835074029</v>
      </c>
      <c r="W919" s="14" t="e">
        <f aca="false">S919/(U919+0.0001)</f>
        <v>#N/A</v>
      </c>
      <c r="X919" s="39" t="n">
        <f aca="false">IF(Informed=1,K919,0)</f>
        <v>0</v>
      </c>
      <c r="Y919" s="39" t="n">
        <f aca="false">IF(Informed=0,K919,0)</f>
        <v>0</v>
      </c>
      <c r="Z919" s="39" t="n">
        <f aca="false">IF(Informed=1,N919,0)</f>
        <v>17.1874792139565</v>
      </c>
      <c r="AA919" s="39" t="n">
        <f aca="false">IF(Informed=0,N919,0)</f>
        <v>0</v>
      </c>
      <c r="AB919" s="43" t="n">
        <f aca="false">IF(Arterial=0,IF(Informed=1,1,0),0)</f>
        <v>0</v>
      </c>
      <c r="AC919" s="43" t="n">
        <f aca="false">IF(Arterial=0,IF(Informed=0,1,0),0)</f>
        <v>0</v>
      </c>
      <c r="AD919" s="43" t="n">
        <f aca="false">IF(Arterial=1,IF(Informed=1,1,0),0)</f>
        <v>1</v>
      </c>
      <c r="AE919" s="43" t="n">
        <f aca="false">IF(Arterial=1,IF(Informed=0,1,0),0)</f>
        <v>0</v>
      </c>
      <c r="AF919" s="35" t="n">
        <f aca="false">IF(AB919=1,(X919-G$1030)^2,0)</f>
        <v>0</v>
      </c>
      <c r="AG919" s="35" t="n">
        <f aca="false">IF(AC919=1,(Y919-H$1030)^2,0)</f>
        <v>0</v>
      </c>
      <c r="AH919" s="35" t="n">
        <f aca="false">IF(AD919=1,(Z919-I$1030)^2,0)</f>
        <v>125.156924857236</v>
      </c>
      <c r="AI919" s="35" t="n">
        <f aca="false">IF(AE919=1,(AA919-J$1030)^2,0)</f>
        <v>0</v>
      </c>
      <c r="AJ919" s="37" t="n">
        <f aca="true">IF(RAND()&lt;$D$6,1,0)</f>
        <v>0</v>
      </c>
      <c r="AK919" s="14" t="n">
        <f aca="false">AK918+IF((AJ919=1),IF((H919=0),1,0),0)</f>
        <v>0</v>
      </c>
      <c r="AL919" s="14" t="n">
        <f aca="false">AL918+IF((AJ919=1),IF((H919=1),1,0),0)</f>
        <v>0</v>
      </c>
      <c r="AM919" s="37" t="n">
        <f aca="false">IF(AK919=0,9999,IF($H919=0,IF($AJ919&lt;1,AM918+1,0),AM918))</f>
        <v>9999</v>
      </c>
      <c r="AN919" s="37" t="n">
        <f aca="false">IF(AL919=0,9999,IF($H919=1,IF($AJ919&lt;1,AN918+1,0),AN918))</f>
        <v>9999</v>
      </c>
      <c r="AO919" s="37" t="n">
        <f aca="false">IF($A919-AM919&gt;0,1/(1+AM919),0)</f>
        <v>0</v>
      </c>
      <c r="AP919" s="37" t="n">
        <f aca="false">IF($A919-AN919&gt;0,1/(1+AN919),0)</f>
        <v>0</v>
      </c>
      <c r="AQ919" s="7" t="n">
        <f aca="false">IF(AK919=0,0,MAX(MIN(1,AO919^Power),0))</f>
        <v>0</v>
      </c>
      <c r="AR919" s="7" t="n">
        <f aca="false">IF(AL919=0,0,MAX(MIN(1,AP919^Power),0))</f>
        <v>0</v>
      </c>
      <c r="AS919" s="7" t="n">
        <f aca="false">IF($AJ919=1,IF($H919=0,K919,AS918),AS918)</f>
        <v>0</v>
      </c>
      <c r="AT919" s="7" t="n">
        <f aca="false">IF($AJ919=1,IF($H919=1,N919,AT918),AT918)</f>
        <v>0</v>
      </c>
    </row>
    <row r="920" customFormat="false" ht="13" hidden="false" customHeight="false" outlineLevel="0" collapsed="false">
      <c r="A920" s="16" t="n">
        <v>903</v>
      </c>
      <c r="B920" s="37" t="n">
        <f aca="true">IF(RAND()&lt;$D$8,1,0)</f>
        <v>0</v>
      </c>
      <c r="C920" s="20" t="n">
        <f aca="true">-LN(RAND())/$D$2</f>
        <v>1.01442788437006</v>
      </c>
      <c r="D920" s="38" t="n">
        <f aca="false">D919+C920</f>
        <v>953.679508795857</v>
      </c>
      <c r="E920" s="39" t="n">
        <f aca="false">MAX($E$3,AS919)</f>
        <v>0</v>
      </c>
      <c r="F920" s="39" t="n">
        <f aca="false">MAX($E$3,AT919)</f>
        <v>0</v>
      </c>
      <c r="G920" s="40" t="n">
        <v>0.5</v>
      </c>
      <c r="H920" s="38" t="n">
        <f aca="true">IF((B920=1),(IF((F920&lt;E920),1,(IF((F920=E920),(IF(RAND()&lt;G920,1,0)),0)))),(IF((RAND()&lt;G920),1,0)))</f>
        <v>1</v>
      </c>
      <c r="I920" s="38" t="n">
        <f aca="true">IF((H920=1),0,$D$3+$D$5*(RAND()-0.5))</f>
        <v>0</v>
      </c>
      <c r="J920" s="38" t="n">
        <f aca="false">I920+MAX(D920,J919)</f>
        <v>968.477710792268</v>
      </c>
      <c r="K920" s="38" t="n">
        <f aca="false">IF((H920=0),J920-D920,0)</f>
        <v>0</v>
      </c>
      <c r="L920" s="38" t="n">
        <f aca="true">IF(($H920=0),0,$D$4+$D$5*(RAND()-0.5))</f>
        <v>1.87881609067268</v>
      </c>
      <c r="M920" s="38" t="n">
        <f aca="false">L920+MAX(D920,M919)</f>
        <v>971.731376216116</v>
      </c>
      <c r="N920" s="38" t="n">
        <f aca="false">IF((H920=1),M920-D920,0)</f>
        <v>18.0518674202591</v>
      </c>
      <c r="O920" s="16" t="n">
        <v>903</v>
      </c>
      <c r="P920" s="41" t="n">
        <f aca="false">IF((Arterial=0),P919+1,P919)</f>
        <v>431</v>
      </c>
      <c r="Q920" s="41" t="n">
        <f aca="false">IF((Arterial=1),Q919+1,Q919)</f>
        <v>472</v>
      </c>
      <c r="R920" s="42" t="n">
        <f aca="false">IF((RESET=1),0,R920+K920)</f>
        <v>598.512803891451</v>
      </c>
      <c r="S920" s="14" t="e">
        <f aca="false">IF(RESET=1,0,S920+N920)</f>
        <v>#N/A</v>
      </c>
      <c r="T920" s="2" t="n">
        <f aca="false">IF(RESET=1,0,T920+IF(H920=0,1,0))</f>
        <v>32</v>
      </c>
      <c r="U920" s="2" t="e">
        <f aca="false">IF(RESET=1,0,U920+H920)</f>
        <v>#N/A</v>
      </c>
      <c r="V920" s="14" t="n">
        <f aca="false">R920/(T920+0.00001)</f>
        <v>18.7035192767581</v>
      </c>
      <c r="W920" s="14" t="e">
        <f aca="false">S920/(U920+0.0001)</f>
        <v>#N/A</v>
      </c>
      <c r="X920" s="39" t="n">
        <f aca="false">IF(Informed=1,K920,0)</f>
        <v>0</v>
      </c>
      <c r="Y920" s="39" t="n">
        <f aca="false">IF(Informed=0,K920,0)</f>
        <v>0</v>
      </c>
      <c r="Z920" s="39" t="n">
        <f aca="false">IF(Informed=1,N920,0)</f>
        <v>0</v>
      </c>
      <c r="AA920" s="39" t="n">
        <f aca="false">IF(Informed=0,N920,0)</f>
        <v>18.0518674202591</v>
      </c>
      <c r="AB920" s="43" t="n">
        <f aca="false">IF(Arterial=0,IF(Informed=1,1,0),0)</f>
        <v>0</v>
      </c>
      <c r="AC920" s="43" t="n">
        <f aca="false">IF(Arterial=0,IF(Informed=0,1,0),0)</f>
        <v>0</v>
      </c>
      <c r="AD920" s="43" t="n">
        <f aca="false">IF(Arterial=1,IF(Informed=1,1,0),0)</f>
        <v>0</v>
      </c>
      <c r="AE920" s="43" t="n">
        <f aca="false">IF(Arterial=1,IF(Informed=0,1,0),0)</f>
        <v>1</v>
      </c>
      <c r="AF920" s="35" t="n">
        <f aca="false">IF(AB920=1,(X920-G$1030)^2,0)</f>
        <v>0</v>
      </c>
      <c r="AG920" s="35" t="n">
        <f aca="false">IF(AC920=1,(Y920-H$1030)^2,0)</f>
        <v>0</v>
      </c>
      <c r="AH920" s="35" t="n">
        <f aca="false">IF(AD920=1,(Z920-I$1030)^2,0)</f>
        <v>0</v>
      </c>
      <c r="AI920" s="35" t="n">
        <f aca="false">IF(AE920=1,(AA920-J$1030)^2,0)</f>
        <v>132.535528056791</v>
      </c>
      <c r="AJ920" s="37" t="n">
        <f aca="true">IF(RAND()&lt;$D$6,1,0)</f>
        <v>0</v>
      </c>
      <c r="AK920" s="14" t="n">
        <f aca="false">AK919+IF((AJ920=1),IF((H920=0),1,0),0)</f>
        <v>0</v>
      </c>
      <c r="AL920" s="14" t="n">
        <f aca="false">AL919+IF((AJ920=1),IF((H920=1),1,0),0)</f>
        <v>0</v>
      </c>
      <c r="AM920" s="37" t="n">
        <f aca="false">IF(AK920=0,9999,IF($H920=0,IF($AJ920&lt;1,AM919+1,0),AM919))</f>
        <v>9999</v>
      </c>
      <c r="AN920" s="37" t="n">
        <f aca="false">IF(AL920=0,9999,IF($H920=1,IF($AJ920&lt;1,AN919+1,0),AN919))</f>
        <v>9999</v>
      </c>
      <c r="AO920" s="37" t="n">
        <f aca="false">IF($A920-AM920&gt;0,1/(1+AM920),0)</f>
        <v>0</v>
      </c>
      <c r="AP920" s="37" t="n">
        <f aca="false">IF($A920-AN920&gt;0,1/(1+AN920),0)</f>
        <v>0</v>
      </c>
      <c r="AQ920" s="7" t="n">
        <f aca="false">IF(AK920=0,0,MAX(MIN(1,AO920^Power),0))</f>
        <v>0</v>
      </c>
      <c r="AR920" s="7" t="n">
        <f aca="false">IF(AL920=0,0,MAX(MIN(1,AP920^Power),0))</f>
        <v>0</v>
      </c>
      <c r="AS920" s="7" t="n">
        <f aca="false">IF($AJ920=1,IF($H920=0,K920,AS919),AS919)</f>
        <v>0</v>
      </c>
      <c r="AT920" s="7" t="n">
        <f aca="false">IF($AJ920=1,IF($H920=1,N920,AT919),AT919)</f>
        <v>0</v>
      </c>
    </row>
    <row r="921" customFormat="false" ht="13" hidden="false" customHeight="false" outlineLevel="0" collapsed="false">
      <c r="A921" s="16" t="n">
        <v>904</v>
      </c>
      <c r="B921" s="37" t="n">
        <f aca="true">IF(RAND()&lt;$D$8,1,0)</f>
        <v>0</v>
      </c>
      <c r="C921" s="20" t="n">
        <f aca="true">-LN(RAND())/$D$2</f>
        <v>0.196116705558907</v>
      </c>
      <c r="D921" s="38" t="n">
        <f aca="false">D920+C921</f>
        <v>953.875625501416</v>
      </c>
      <c r="E921" s="39" t="n">
        <f aca="false">MAX($E$3,AS920)</f>
        <v>0</v>
      </c>
      <c r="F921" s="39" t="n">
        <f aca="false">MAX($E$3,AT920)</f>
        <v>0</v>
      </c>
      <c r="G921" s="40" t="n">
        <v>0.5</v>
      </c>
      <c r="H921" s="38" t="n">
        <f aca="true">IF((B921=1),(IF((F921&lt;E921),1,(IF((F921=E921),(IF(RAND()&lt;G921,1,0)),0)))),(IF((RAND()&lt;G921),1,0)))</f>
        <v>1</v>
      </c>
      <c r="I921" s="38" t="n">
        <f aca="true">IF((H921=1),0,$D$3+$D$5*(RAND()-0.5))</f>
        <v>0</v>
      </c>
      <c r="J921" s="38" t="n">
        <f aca="false">I921+MAX(D921,J920)</f>
        <v>968.477710792268</v>
      </c>
      <c r="K921" s="38" t="n">
        <f aca="false">IF((H921=0),J921-D921,0)</f>
        <v>0</v>
      </c>
      <c r="L921" s="38" t="n">
        <f aca="true">IF(($H921=0),0,$D$4+$D$5*(RAND()-0.5))</f>
        <v>2.02842003757404</v>
      </c>
      <c r="M921" s="38" t="n">
        <f aca="false">L921+MAX(D921,M920)</f>
        <v>973.75979625369</v>
      </c>
      <c r="N921" s="38" t="n">
        <f aca="false">IF((H921=1),M921-D921,0)</f>
        <v>19.8841707522743</v>
      </c>
      <c r="O921" s="16" t="n">
        <v>904</v>
      </c>
      <c r="P921" s="41" t="n">
        <f aca="false">IF((Arterial=0),P920+1,P920)</f>
        <v>431</v>
      </c>
      <c r="Q921" s="41" t="n">
        <f aca="false">IF((Arterial=1),Q920+1,Q920)</f>
        <v>473</v>
      </c>
      <c r="R921" s="42" t="n">
        <f aca="false">IF((RESET=1),0,R921+K921)</f>
        <v>648.717163991949</v>
      </c>
      <c r="S921" s="14" t="e">
        <f aca="false">IF(RESET=1,0,S921+N921)</f>
        <v>#N/A</v>
      </c>
      <c r="T921" s="2" t="n">
        <f aca="false">IF(RESET=1,0,T921+IF(H921=0,1,0))</f>
        <v>39</v>
      </c>
      <c r="U921" s="2" t="e">
        <f aca="false">IF(RESET=1,0,U921+H921)</f>
        <v>#N/A</v>
      </c>
      <c r="V921" s="14" t="n">
        <f aca="false">R921/(T921+0.00001)</f>
        <v>16.633769170622</v>
      </c>
      <c r="W921" s="14" t="e">
        <f aca="false">S921/(U921+0.0001)</f>
        <v>#N/A</v>
      </c>
      <c r="X921" s="39" t="n">
        <f aca="false">IF(Informed=1,K921,0)</f>
        <v>0</v>
      </c>
      <c r="Y921" s="39" t="n">
        <f aca="false">IF(Informed=0,K921,0)</f>
        <v>0</v>
      </c>
      <c r="Z921" s="39" t="n">
        <f aca="false">IF(Informed=1,N921,0)</f>
        <v>0</v>
      </c>
      <c r="AA921" s="39" t="n">
        <f aca="false">IF(Informed=0,N921,0)</f>
        <v>19.8841707522743</v>
      </c>
      <c r="AB921" s="43" t="n">
        <f aca="false">IF(Arterial=0,IF(Informed=1,1,0),0)</f>
        <v>0</v>
      </c>
      <c r="AC921" s="43" t="n">
        <f aca="false">IF(Arterial=0,IF(Informed=0,1,0),0)</f>
        <v>0</v>
      </c>
      <c r="AD921" s="43" t="n">
        <f aca="false">IF(Arterial=1,IF(Informed=1,1,0),0)</f>
        <v>0</v>
      </c>
      <c r="AE921" s="43" t="n">
        <f aca="false">IF(Arterial=1,IF(Informed=0,1,0),0)</f>
        <v>1</v>
      </c>
      <c r="AF921" s="35" t="n">
        <f aca="false">IF(AB921=1,(X921-G$1030)^2,0)</f>
        <v>0</v>
      </c>
      <c r="AG921" s="35" t="n">
        <f aca="false">IF(AC921=1,(Y921-H$1030)^2,0)</f>
        <v>0</v>
      </c>
      <c r="AH921" s="35" t="n">
        <f aca="false">IF(AD921=1,(Z921-I$1030)^2,0)</f>
        <v>0</v>
      </c>
      <c r="AI921" s="35" t="n">
        <f aca="false">IF(AE921=1,(AA921-J$1030)^2,0)</f>
        <v>93.7044180574095</v>
      </c>
      <c r="AJ921" s="37" t="n">
        <f aca="true">IF(RAND()&lt;$D$6,1,0)</f>
        <v>0</v>
      </c>
      <c r="AK921" s="14" t="n">
        <f aca="false">AK920+IF((AJ921=1),IF((H921=0),1,0),0)</f>
        <v>0</v>
      </c>
      <c r="AL921" s="14" t="n">
        <f aca="false">AL920+IF((AJ921=1),IF((H921=1),1,0),0)</f>
        <v>0</v>
      </c>
      <c r="AM921" s="37" t="n">
        <f aca="false">IF(AK921=0,9999,IF($H921=0,IF($AJ921&lt;1,AM920+1,0),AM920))</f>
        <v>9999</v>
      </c>
      <c r="AN921" s="37" t="n">
        <f aca="false">IF(AL921=0,9999,IF($H921=1,IF($AJ921&lt;1,AN920+1,0),AN920))</f>
        <v>9999</v>
      </c>
      <c r="AO921" s="37" t="n">
        <f aca="false">IF($A921-AM921&gt;0,1/(1+AM921),0)</f>
        <v>0</v>
      </c>
      <c r="AP921" s="37" t="n">
        <f aca="false">IF($A921-AN921&gt;0,1/(1+AN921),0)</f>
        <v>0</v>
      </c>
      <c r="AQ921" s="7" t="n">
        <f aca="false">IF(AK921=0,0,MAX(MIN(1,AO921^Power),0))</f>
        <v>0</v>
      </c>
      <c r="AR921" s="7" t="n">
        <f aca="false">IF(AL921=0,0,MAX(MIN(1,AP921^Power),0))</f>
        <v>0</v>
      </c>
      <c r="AS921" s="7" t="n">
        <f aca="false">IF($AJ921=1,IF($H921=0,K921,AS920),AS920)</f>
        <v>0</v>
      </c>
      <c r="AT921" s="7" t="n">
        <f aca="false">IF($AJ921=1,IF($H921=1,N921,AT920),AT920)</f>
        <v>0</v>
      </c>
    </row>
    <row r="922" customFormat="false" ht="13" hidden="false" customHeight="false" outlineLevel="0" collapsed="false">
      <c r="A922" s="16" t="n">
        <v>905</v>
      </c>
      <c r="B922" s="37" t="n">
        <f aca="true">IF(RAND()&lt;$D$8,1,0)</f>
        <v>0</v>
      </c>
      <c r="C922" s="20" t="n">
        <f aca="true">-LN(RAND())/$D$2</f>
        <v>0.0677797624626673</v>
      </c>
      <c r="D922" s="38" t="n">
        <f aca="false">D921+C922</f>
        <v>953.943405263879</v>
      </c>
      <c r="E922" s="39" t="n">
        <f aca="false">MAX($E$3,AS921)</f>
        <v>0</v>
      </c>
      <c r="F922" s="39" t="n">
        <f aca="false">MAX($E$3,AT921)</f>
        <v>0</v>
      </c>
      <c r="G922" s="40" t="n">
        <v>0.5</v>
      </c>
      <c r="H922" s="38" t="n">
        <f aca="true">IF((B922=1),(IF((F922&lt;E922),1,(IF((F922=E922),(IF(RAND()&lt;G922,1,0)),0)))),(IF((RAND()&lt;G922),1,0)))</f>
        <v>1</v>
      </c>
      <c r="I922" s="38" t="n">
        <f aca="true">IF((H922=1),0,$D$3+$D$5*(RAND()-0.5))</f>
        <v>0</v>
      </c>
      <c r="J922" s="38" t="n">
        <f aca="false">I922+MAX(D922,J921)</f>
        <v>968.477710792268</v>
      </c>
      <c r="K922" s="38" t="n">
        <f aca="false">IF((H922=0),J922-D922,0)</f>
        <v>0</v>
      </c>
      <c r="L922" s="38" t="n">
        <f aca="true">IF(($H922=0),0,$D$4+$D$5*(RAND()-0.5))</f>
        <v>1.838236209652</v>
      </c>
      <c r="M922" s="38" t="n">
        <f aca="false">L922+MAX(D922,M921)</f>
        <v>975.598032463342</v>
      </c>
      <c r="N922" s="38" t="n">
        <f aca="false">IF((H922=1),M922-D922,0)</f>
        <v>21.6546271994636</v>
      </c>
      <c r="O922" s="16" t="n">
        <v>905</v>
      </c>
      <c r="P922" s="41" t="n">
        <f aca="false">IF((Arterial=0),P921+1,P921)</f>
        <v>431</v>
      </c>
      <c r="Q922" s="41" t="n">
        <f aca="false">IF((Arterial=1),Q921+1,Q921)</f>
        <v>474</v>
      </c>
      <c r="R922" s="42" t="n">
        <f aca="false">IF((RESET=1),0,R922+K922)</f>
        <v>780.901564061627</v>
      </c>
      <c r="S922" s="14" t="e">
        <f aca="false">IF(RESET=1,0,S922+N922)</f>
        <v>#N/A</v>
      </c>
      <c r="T922" s="2" t="n">
        <f aca="false">IF(RESET=1,0,T922+IF(H922=0,1,0))</f>
        <v>34</v>
      </c>
      <c r="U922" s="2" t="e">
        <f aca="false">IF(RESET=1,0,U922+H922)</f>
        <v>#N/A</v>
      </c>
      <c r="V922" s="14" t="n">
        <f aca="false">R922/(T922+0.00001)</f>
        <v>22.9676863054342</v>
      </c>
      <c r="W922" s="14" t="e">
        <f aca="false">S922/(U922+0.0001)</f>
        <v>#N/A</v>
      </c>
      <c r="X922" s="39" t="n">
        <f aca="false">IF(Informed=1,K922,0)</f>
        <v>0</v>
      </c>
      <c r="Y922" s="39" t="n">
        <f aca="false">IF(Informed=0,K922,0)</f>
        <v>0</v>
      </c>
      <c r="Z922" s="39" t="n">
        <f aca="false">IF(Informed=1,N922,0)</f>
        <v>0</v>
      </c>
      <c r="AA922" s="39" t="n">
        <f aca="false">IF(Informed=0,N922,0)</f>
        <v>21.6546271994636</v>
      </c>
      <c r="AB922" s="43" t="n">
        <f aca="false">IF(Arterial=0,IF(Informed=1,1,0),0)</f>
        <v>0</v>
      </c>
      <c r="AC922" s="43" t="n">
        <f aca="false">IF(Arterial=0,IF(Informed=0,1,0),0)</f>
        <v>0</v>
      </c>
      <c r="AD922" s="43" t="n">
        <f aca="false">IF(Arterial=1,IF(Informed=1,1,0),0)</f>
        <v>0</v>
      </c>
      <c r="AE922" s="43" t="n">
        <f aca="false">IF(Arterial=1,IF(Informed=0,1,0),0)</f>
        <v>1</v>
      </c>
      <c r="AF922" s="35" t="n">
        <f aca="false">IF(AB922=1,(X922-G$1030)^2,0)</f>
        <v>0</v>
      </c>
      <c r="AG922" s="35" t="n">
        <f aca="false">IF(AC922=1,(Y922-H$1030)^2,0)</f>
        <v>0</v>
      </c>
      <c r="AH922" s="35" t="n">
        <f aca="false">IF(AD922=1,(Z922-I$1030)^2,0)</f>
        <v>0</v>
      </c>
      <c r="AI922" s="35" t="n">
        <f aca="false">IF(AE922=1,(AA922-J$1030)^2,0)</f>
        <v>62.5625281737483</v>
      </c>
      <c r="AJ922" s="37" t="n">
        <f aca="true">IF(RAND()&lt;$D$6,1,0)</f>
        <v>0</v>
      </c>
      <c r="AK922" s="14" t="n">
        <f aca="false">AK921+IF((AJ922=1),IF((H922=0),1,0),0)</f>
        <v>0</v>
      </c>
      <c r="AL922" s="14" t="n">
        <f aca="false">AL921+IF((AJ922=1),IF((H922=1),1,0),0)</f>
        <v>0</v>
      </c>
      <c r="AM922" s="37" t="n">
        <f aca="false">IF(AK922=0,9999,IF($H922=0,IF($AJ922&lt;1,AM921+1,0),AM921))</f>
        <v>9999</v>
      </c>
      <c r="AN922" s="37" t="n">
        <f aca="false">IF(AL922=0,9999,IF($H922=1,IF($AJ922&lt;1,AN921+1,0),AN921))</f>
        <v>9999</v>
      </c>
      <c r="AO922" s="37" t="n">
        <f aca="false">IF($A922-AM922&gt;0,1/(1+AM922),0)</f>
        <v>0</v>
      </c>
      <c r="AP922" s="37" t="n">
        <f aca="false">IF($A922-AN922&gt;0,1/(1+AN922),0)</f>
        <v>0</v>
      </c>
      <c r="AQ922" s="7" t="n">
        <f aca="false">IF(AK922=0,0,MAX(MIN(1,AO922^Power),0))</f>
        <v>0</v>
      </c>
      <c r="AR922" s="7" t="n">
        <f aca="false">IF(AL922=0,0,MAX(MIN(1,AP922^Power),0))</f>
        <v>0</v>
      </c>
      <c r="AS922" s="7" t="n">
        <f aca="false">IF($AJ922=1,IF($H922=0,K922,AS921),AS921)</f>
        <v>0</v>
      </c>
      <c r="AT922" s="7" t="n">
        <f aca="false">IF($AJ922=1,IF($H922=1,N922,AT921),AT921)</f>
        <v>0</v>
      </c>
    </row>
    <row r="923" customFormat="false" ht="13" hidden="false" customHeight="false" outlineLevel="0" collapsed="false">
      <c r="A923" s="16" t="n">
        <v>906</v>
      </c>
      <c r="B923" s="37" t="n">
        <f aca="true">IF(RAND()&lt;$D$8,1,0)</f>
        <v>1</v>
      </c>
      <c r="C923" s="20" t="n">
        <f aca="true">-LN(RAND())/$D$2</f>
        <v>1.16151478631422</v>
      </c>
      <c r="D923" s="38" t="n">
        <f aca="false">D922+C923</f>
        <v>955.104920050193</v>
      </c>
      <c r="E923" s="39" t="n">
        <f aca="false">MAX($E$3,AS922)</f>
        <v>0</v>
      </c>
      <c r="F923" s="39" t="n">
        <f aca="false">MAX($E$3,AT922)</f>
        <v>0</v>
      </c>
      <c r="G923" s="40" t="n">
        <v>0.5</v>
      </c>
      <c r="H923" s="38" t="n">
        <f aca="true">IF((B923=1),(IF((F923&lt;E923),1,(IF((F923=E923),(IF(RAND()&lt;G923,1,0)),0)))),(IF((RAND()&lt;G923),1,0)))</f>
        <v>1</v>
      </c>
      <c r="I923" s="38" t="n">
        <f aca="true">IF((H923=1),0,$D$3+$D$5*(RAND()-0.5))</f>
        <v>0</v>
      </c>
      <c r="J923" s="38" t="n">
        <f aca="false">I923+MAX(D923,J922)</f>
        <v>968.477710792268</v>
      </c>
      <c r="K923" s="38" t="n">
        <f aca="false">IF((H923=0),J923-D923,0)</f>
        <v>0</v>
      </c>
      <c r="L923" s="38" t="n">
        <f aca="true">IF(($H923=0),0,$D$4+$D$5*(RAND()-0.5))</f>
        <v>2.15160476563615</v>
      </c>
      <c r="M923" s="38" t="n">
        <f aca="false">L923+MAX(D923,M922)</f>
        <v>977.749637228978</v>
      </c>
      <c r="N923" s="38" t="n">
        <f aca="false">IF((H923=1),M923-D923,0)</f>
        <v>22.6447171787855</v>
      </c>
      <c r="O923" s="16" t="n">
        <v>906</v>
      </c>
      <c r="P923" s="41" t="n">
        <f aca="false">IF((Arterial=0),P922+1,P922)</f>
        <v>431</v>
      </c>
      <c r="Q923" s="41" t="n">
        <f aca="false">IF((Arterial=1),Q922+1,Q922)</f>
        <v>475</v>
      </c>
      <c r="R923" s="42" t="n">
        <f aca="false">IF((RESET=1),0,R923+K923)</f>
        <v>775.536915644902</v>
      </c>
      <c r="S923" s="14" t="e">
        <f aca="false">IF(RESET=1,0,S923+N923)</f>
        <v>#N/A</v>
      </c>
      <c r="T923" s="2" t="n">
        <f aca="false">IF(RESET=1,0,T923+IF(H923=0,1,0))</f>
        <v>44</v>
      </c>
      <c r="U923" s="2" t="e">
        <f aca="false">IF(RESET=1,0,U923+H923)</f>
        <v>#N/A</v>
      </c>
      <c r="V923" s="14" t="n">
        <f aca="false">R923/(T923+0.00001)</f>
        <v>17.625834986058</v>
      </c>
      <c r="W923" s="14" t="e">
        <f aca="false">S923/(U923+0.0001)</f>
        <v>#N/A</v>
      </c>
      <c r="X923" s="39" t="n">
        <f aca="false">IF(Informed=1,K923,0)</f>
        <v>0</v>
      </c>
      <c r="Y923" s="39" t="n">
        <f aca="false">IF(Informed=0,K923,0)</f>
        <v>0</v>
      </c>
      <c r="Z923" s="39" t="n">
        <f aca="false">IF(Informed=1,N923,0)</f>
        <v>22.6447171787855</v>
      </c>
      <c r="AA923" s="39" t="n">
        <f aca="false">IF(Informed=0,N923,0)</f>
        <v>0</v>
      </c>
      <c r="AB923" s="43" t="n">
        <f aca="false">IF(Arterial=0,IF(Informed=1,1,0),0)</f>
        <v>0</v>
      </c>
      <c r="AC923" s="43" t="n">
        <f aca="false">IF(Arterial=0,IF(Informed=0,1,0),0)</f>
        <v>0</v>
      </c>
      <c r="AD923" s="43" t="n">
        <f aca="false">IF(Arterial=1,IF(Informed=1,1,0),0)</f>
        <v>1</v>
      </c>
      <c r="AE923" s="43" t="n">
        <f aca="false">IF(Arterial=1,IF(Informed=0,1,0),0)</f>
        <v>0</v>
      </c>
      <c r="AF923" s="35" t="n">
        <f aca="false">IF(AB923=1,(X923-G$1030)^2,0)</f>
        <v>0</v>
      </c>
      <c r="AG923" s="35" t="n">
        <f aca="false">IF(AC923=1,(Y923-H$1030)^2,0)</f>
        <v>0</v>
      </c>
      <c r="AH923" s="35" t="n">
        <f aca="false">IF(AD923=1,(Z923-I$1030)^2,0)</f>
        <v>32.834247875436</v>
      </c>
      <c r="AI923" s="35" t="n">
        <f aca="false">IF(AE923=1,(AA923-J$1030)^2,0)</f>
        <v>0</v>
      </c>
      <c r="AJ923" s="37" t="n">
        <f aca="true">IF(RAND()&lt;$D$6,1,0)</f>
        <v>0</v>
      </c>
      <c r="AK923" s="14" t="n">
        <f aca="false">AK922+IF((AJ923=1),IF((H923=0),1,0),0)</f>
        <v>0</v>
      </c>
      <c r="AL923" s="14" t="n">
        <f aca="false">AL922+IF((AJ923=1),IF((H923=1),1,0),0)</f>
        <v>0</v>
      </c>
      <c r="AM923" s="37" t="n">
        <f aca="false">IF(AK923=0,9999,IF($H923=0,IF($AJ923&lt;1,AM922+1,0),AM922))</f>
        <v>9999</v>
      </c>
      <c r="AN923" s="37" t="n">
        <f aca="false">IF(AL923=0,9999,IF($H923=1,IF($AJ923&lt;1,AN922+1,0),AN922))</f>
        <v>9999</v>
      </c>
      <c r="AO923" s="37" t="n">
        <f aca="false">IF($A923-AM923&gt;0,1/(1+AM923),0)</f>
        <v>0</v>
      </c>
      <c r="AP923" s="37" t="n">
        <f aca="false">IF($A923-AN923&gt;0,1/(1+AN923),0)</f>
        <v>0</v>
      </c>
      <c r="AQ923" s="7" t="n">
        <f aca="false">IF(AK923=0,0,MAX(MIN(1,AO923^Power),0))</f>
        <v>0</v>
      </c>
      <c r="AR923" s="7" t="n">
        <f aca="false">IF(AL923=0,0,MAX(MIN(1,AP923^Power),0))</f>
        <v>0</v>
      </c>
      <c r="AS923" s="7" t="n">
        <f aca="false">IF($AJ923=1,IF($H923=0,K923,AS922),AS922)</f>
        <v>0</v>
      </c>
      <c r="AT923" s="7" t="n">
        <f aca="false">IF($AJ923=1,IF($H923=1,N923,AT922),AT922)</f>
        <v>0</v>
      </c>
    </row>
    <row r="924" customFormat="false" ht="13" hidden="false" customHeight="false" outlineLevel="0" collapsed="false">
      <c r="A924" s="16" t="n">
        <v>907</v>
      </c>
      <c r="B924" s="37" t="n">
        <f aca="true">IF(RAND()&lt;$D$8,1,0)</f>
        <v>0</v>
      </c>
      <c r="C924" s="20" t="n">
        <f aca="true">-LN(RAND())/$D$2</f>
        <v>0.233519492530884</v>
      </c>
      <c r="D924" s="38" t="n">
        <f aca="false">D923+C924</f>
        <v>955.338439542724</v>
      </c>
      <c r="E924" s="39" t="n">
        <f aca="false">MAX($E$3,AS923)</f>
        <v>0</v>
      </c>
      <c r="F924" s="39" t="n">
        <f aca="false">MAX($E$3,AT923)</f>
        <v>0</v>
      </c>
      <c r="G924" s="40" t="n">
        <v>0.5</v>
      </c>
      <c r="H924" s="38" t="n">
        <f aca="true">IF((B924=1),(IF((F924&lt;E924),1,(IF((F924=E924),(IF(RAND()&lt;G924,1,0)),0)))),(IF((RAND()&lt;G924),1,0)))</f>
        <v>0</v>
      </c>
      <c r="I924" s="38" t="n">
        <f aca="true">IF((H924=1),0,$D$3+$D$5*(RAND()-0.5))</f>
        <v>2.23071875459583</v>
      </c>
      <c r="J924" s="38" t="n">
        <f aca="false">I924+MAX(D924,J923)</f>
        <v>970.708429546864</v>
      </c>
      <c r="K924" s="38" t="n">
        <f aca="false">IF((H924=0),J924-D924,0)</f>
        <v>15.3699900041402</v>
      </c>
      <c r="L924" s="38" t="n">
        <f aca="true">IF(($H924=0),0,$D$4+$D$5*(RAND()-0.5))</f>
        <v>0</v>
      </c>
      <c r="M924" s="38" t="n">
        <f aca="false">L924+MAX(D924,M923)</f>
        <v>977.749637228978</v>
      </c>
      <c r="N924" s="38" t="n">
        <f aca="false">IF((H924=1),M924-D924,0)</f>
        <v>0</v>
      </c>
      <c r="O924" s="16" t="n">
        <v>907</v>
      </c>
      <c r="P924" s="41" t="n">
        <f aca="false">IF((Arterial=0),P923+1,P923)</f>
        <v>432</v>
      </c>
      <c r="Q924" s="41" t="n">
        <f aca="false">IF((Arterial=1),Q923+1,Q923)</f>
        <v>475</v>
      </c>
      <c r="R924" s="42" t="e">
        <f aca="false">IF((RESET=1),0,R924+K924)</f>
        <v>#N/A</v>
      </c>
      <c r="S924" s="14" t="n">
        <f aca="false">IF(RESET=1,0,S924+N924)</f>
        <v>564.798794739741</v>
      </c>
      <c r="T924" s="2" t="e">
        <f aca="false">IF(RESET=1,0,T924+IF(H924=0,1,0))</f>
        <v>#N/A</v>
      </c>
      <c r="U924" s="2" t="n">
        <f aca="false">IF(RESET=1,0,U924+H924)</f>
        <v>33</v>
      </c>
      <c r="V924" s="14" t="e">
        <f aca="false">R924/(T924+0.00001)</f>
        <v>#N/A</v>
      </c>
      <c r="W924" s="14" t="n">
        <f aca="false">S924/(U924+0.0001)</f>
        <v>17.1150631282857</v>
      </c>
      <c r="X924" s="39" t="n">
        <f aca="false">IF(Informed=1,K924,0)</f>
        <v>0</v>
      </c>
      <c r="Y924" s="39" t="n">
        <f aca="false">IF(Informed=0,K924,0)</f>
        <v>15.3699900041402</v>
      </c>
      <c r="Z924" s="39" t="n">
        <f aca="false">IF(Informed=1,N924,0)</f>
        <v>0</v>
      </c>
      <c r="AA924" s="39" t="n">
        <f aca="false">IF(Informed=0,N924,0)</f>
        <v>0</v>
      </c>
      <c r="AB924" s="43" t="n">
        <f aca="false">IF(Arterial=0,IF(Informed=1,1,0),0)</f>
        <v>0</v>
      </c>
      <c r="AC924" s="43" t="n">
        <f aca="false">IF(Arterial=0,IF(Informed=0,1,0),0)</f>
        <v>1</v>
      </c>
      <c r="AD924" s="43" t="n">
        <f aca="false">IF(Arterial=1,IF(Informed=1,1,0),0)</f>
        <v>0</v>
      </c>
      <c r="AE924" s="43" t="n">
        <f aca="false">IF(Arterial=1,IF(Informed=0,1,0),0)</f>
        <v>0</v>
      </c>
      <c r="AF924" s="35" t="n">
        <f aca="false">IF(AB924=1,(X924-G$1030)^2,0)</f>
        <v>0</v>
      </c>
      <c r="AG924" s="35" t="n">
        <f aca="false">IF(AC924=1,(Y924-H$1030)^2,0)</f>
        <v>19.7687367093371</v>
      </c>
      <c r="AH924" s="35" t="n">
        <f aca="false">IF(AD924=1,(Z924-I$1030)^2,0)</f>
        <v>0</v>
      </c>
      <c r="AI924" s="35" t="n">
        <f aca="false">IF(AE924=1,(AA924-J$1030)^2,0)</f>
        <v>0</v>
      </c>
      <c r="AJ924" s="37" t="n">
        <f aca="true">IF(RAND()&lt;$D$6,1,0)</f>
        <v>0</v>
      </c>
      <c r="AK924" s="14" t="n">
        <f aca="false">AK923+IF((AJ924=1),IF((H924=0),1,0),0)</f>
        <v>0</v>
      </c>
      <c r="AL924" s="14" t="n">
        <f aca="false">AL923+IF((AJ924=1),IF((H924=1),1,0),0)</f>
        <v>0</v>
      </c>
      <c r="AM924" s="37" t="n">
        <f aca="false">IF(AK924=0,9999,IF($H924=0,IF($AJ924&lt;1,AM923+1,0),AM923))</f>
        <v>9999</v>
      </c>
      <c r="AN924" s="37" t="n">
        <f aca="false">IF(AL924=0,9999,IF($H924=1,IF($AJ924&lt;1,AN923+1,0),AN923))</f>
        <v>9999</v>
      </c>
      <c r="AO924" s="37" t="n">
        <f aca="false">IF($A924-AM924&gt;0,1/(1+AM924),0)</f>
        <v>0</v>
      </c>
      <c r="AP924" s="37" t="n">
        <f aca="false">IF($A924-AN924&gt;0,1/(1+AN924),0)</f>
        <v>0</v>
      </c>
      <c r="AQ924" s="7" t="n">
        <f aca="false">IF(AK924=0,0,MAX(MIN(1,AO924^Power),0))</f>
        <v>0</v>
      </c>
      <c r="AR924" s="7" t="n">
        <f aca="false">IF(AL924=0,0,MAX(MIN(1,AP924^Power),0))</f>
        <v>0</v>
      </c>
      <c r="AS924" s="7" t="n">
        <f aca="false">IF($AJ924=1,IF($H924=0,K924,AS923),AS923)</f>
        <v>0</v>
      </c>
      <c r="AT924" s="7" t="n">
        <f aca="false">IF($AJ924=1,IF($H924=1,N924,AT923),AT923)</f>
        <v>0</v>
      </c>
    </row>
    <row r="925" customFormat="false" ht="13" hidden="false" customHeight="false" outlineLevel="0" collapsed="false">
      <c r="A925" s="16" t="n">
        <v>908</v>
      </c>
      <c r="B925" s="37" t="n">
        <f aca="true">IF(RAND()&lt;$D$8,1,0)</f>
        <v>0</v>
      </c>
      <c r="C925" s="20" t="n">
        <f aca="true">-LN(RAND())/$D$2</f>
        <v>1.12664693034867</v>
      </c>
      <c r="D925" s="38" t="n">
        <f aca="false">D924+C925</f>
        <v>956.465086473072</v>
      </c>
      <c r="E925" s="39" t="n">
        <f aca="false">MAX($E$3,AS924)</f>
        <v>0</v>
      </c>
      <c r="F925" s="39" t="n">
        <f aca="false">MAX($E$3,AT924)</f>
        <v>0</v>
      </c>
      <c r="G925" s="40" t="n">
        <v>0.5</v>
      </c>
      <c r="H925" s="38" t="n">
        <f aca="true">IF((B925=1),(IF((F925&lt;E925),1,(IF((F925=E925),(IF(RAND()&lt;G925,1,0)),0)))),(IF((RAND()&lt;G925),1,0)))</f>
        <v>0</v>
      </c>
      <c r="I925" s="38" t="n">
        <f aca="true">IF((H925=1),0,$D$3+$D$5*(RAND()-0.5))</f>
        <v>1.88505954614819</v>
      </c>
      <c r="J925" s="38" t="n">
        <f aca="false">I925+MAX(D925,J924)</f>
        <v>972.593489093012</v>
      </c>
      <c r="K925" s="38" t="n">
        <f aca="false">IF((H925=0),J925-D925,0)</f>
        <v>16.1284026199397</v>
      </c>
      <c r="L925" s="38" t="n">
        <f aca="true">IF(($H925=0),0,$D$4+$D$5*(RAND()-0.5))</f>
        <v>0</v>
      </c>
      <c r="M925" s="38" t="n">
        <f aca="false">L925+MAX(D925,M924)</f>
        <v>977.749637228978</v>
      </c>
      <c r="N925" s="38" t="n">
        <f aca="false">IF((H925=1),M925-D925,0)</f>
        <v>0</v>
      </c>
      <c r="O925" s="16" t="n">
        <v>908</v>
      </c>
      <c r="P925" s="41" t="n">
        <f aca="false">IF((Arterial=0),P924+1,P924)</f>
        <v>433</v>
      </c>
      <c r="Q925" s="41" t="n">
        <f aca="false">IF((Arterial=1),Q924+1,Q924)</f>
        <v>475</v>
      </c>
      <c r="R925" s="42" t="e">
        <f aca="false">IF((RESET=1),0,R925+K925)</f>
        <v>#N/A</v>
      </c>
      <c r="S925" s="14" t="n">
        <f aca="false">IF(RESET=1,0,S925+N925)</f>
        <v>606.82251209625</v>
      </c>
      <c r="T925" s="2" t="e">
        <f aca="false">IF(RESET=1,0,T925+IF(H925=0,1,0))</f>
        <v>#N/A</v>
      </c>
      <c r="U925" s="2" t="n">
        <f aca="false">IF(RESET=1,0,U925+H925)</f>
        <v>33</v>
      </c>
      <c r="V925" s="14" t="e">
        <f aca="false">R925/(T925+0.00001)</f>
        <v>#N/A</v>
      </c>
      <c r="W925" s="14" t="n">
        <f aca="false">S925/(U925+0.0001)</f>
        <v>18.3885052498705</v>
      </c>
      <c r="X925" s="39" t="n">
        <f aca="false">IF(Informed=1,K925,0)</f>
        <v>0</v>
      </c>
      <c r="Y925" s="39" t="n">
        <f aca="false">IF(Informed=0,K925,0)</f>
        <v>16.1284026199397</v>
      </c>
      <c r="Z925" s="39" t="n">
        <f aca="false">IF(Informed=1,N925,0)</f>
        <v>0</v>
      </c>
      <c r="AA925" s="39" t="n">
        <f aca="false">IF(Informed=0,N925,0)</f>
        <v>0</v>
      </c>
      <c r="AB925" s="43" t="n">
        <f aca="false">IF(Arterial=0,IF(Informed=1,1,0),0)</f>
        <v>0</v>
      </c>
      <c r="AC925" s="43" t="n">
        <f aca="false">IF(Arterial=0,IF(Informed=0,1,0),0)</f>
        <v>1</v>
      </c>
      <c r="AD925" s="43" t="n">
        <f aca="false">IF(Arterial=1,IF(Informed=1,1,0),0)</f>
        <v>0</v>
      </c>
      <c r="AE925" s="43" t="n">
        <f aca="false">IF(Arterial=1,IF(Informed=0,1,0),0)</f>
        <v>0</v>
      </c>
      <c r="AF925" s="35" t="n">
        <f aca="false">IF(AB925=1,(X925-G$1030)^2,0)</f>
        <v>0</v>
      </c>
      <c r="AG925" s="35" t="n">
        <f aca="false">IF(AC925=1,(Y925-H$1030)^2,0)</f>
        <v>27.0880419599848</v>
      </c>
      <c r="AH925" s="35" t="n">
        <f aca="false">IF(AD925=1,(Z925-I$1030)^2,0)</f>
        <v>0</v>
      </c>
      <c r="AI925" s="35" t="n">
        <f aca="false">IF(AE925=1,(AA925-J$1030)^2,0)</f>
        <v>0</v>
      </c>
      <c r="AJ925" s="37" t="n">
        <f aca="true">IF(RAND()&lt;$D$6,1,0)</f>
        <v>0</v>
      </c>
      <c r="AK925" s="14" t="n">
        <f aca="false">AK924+IF((AJ925=1),IF((H925=0),1,0),0)</f>
        <v>0</v>
      </c>
      <c r="AL925" s="14" t="n">
        <f aca="false">AL924+IF((AJ925=1),IF((H925=1),1,0),0)</f>
        <v>0</v>
      </c>
      <c r="AM925" s="37" t="n">
        <f aca="false">IF(AK925=0,9999,IF($H925=0,IF($AJ925&lt;1,AM924+1,0),AM924))</f>
        <v>9999</v>
      </c>
      <c r="AN925" s="37" t="n">
        <f aca="false">IF(AL925=0,9999,IF($H925=1,IF($AJ925&lt;1,AN924+1,0),AN924))</f>
        <v>9999</v>
      </c>
      <c r="AO925" s="37" t="n">
        <f aca="false">IF($A925-AM925&gt;0,1/(1+AM925),0)</f>
        <v>0</v>
      </c>
      <c r="AP925" s="37" t="n">
        <f aca="false">IF($A925-AN925&gt;0,1/(1+AN925),0)</f>
        <v>0</v>
      </c>
      <c r="AQ925" s="7" t="n">
        <f aca="false">IF(AK925=0,0,MAX(MIN(1,AO925^Power),0))</f>
        <v>0</v>
      </c>
      <c r="AR925" s="7" t="n">
        <f aca="false">IF(AL925=0,0,MAX(MIN(1,AP925^Power),0))</f>
        <v>0</v>
      </c>
      <c r="AS925" s="7" t="n">
        <f aca="false">IF($AJ925=1,IF($H925=0,K925,AS924),AS924)</f>
        <v>0</v>
      </c>
      <c r="AT925" s="7" t="n">
        <f aca="false">IF($AJ925=1,IF($H925=1,N925,AT924),AT924)</f>
        <v>0</v>
      </c>
    </row>
    <row r="926" customFormat="false" ht="13" hidden="false" customHeight="false" outlineLevel="0" collapsed="false">
      <c r="A926" s="16" t="n">
        <v>909</v>
      </c>
      <c r="B926" s="37" t="n">
        <f aca="true">IF(RAND()&lt;$D$8,1,0)</f>
        <v>0</v>
      </c>
      <c r="C926" s="20" t="n">
        <f aca="true">-LN(RAND())/$D$2</f>
        <v>0.324089886941308</v>
      </c>
      <c r="D926" s="38" t="n">
        <f aca="false">D925+C926</f>
        <v>956.789176360014</v>
      </c>
      <c r="E926" s="39" t="n">
        <f aca="false">MAX($E$3,AS925)</f>
        <v>0</v>
      </c>
      <c r="F926" s="39" t="n">
        <f aca="false">MAX($E$3,AT925)</f>
        <v>0</v>
      </c>
      <c r="G926" s="40" t="n">
        <v>0.5</v>
      </c>
      <c r="H926" s="38" t="n">
        <f aca="true">IF((B926=1),(IF((F926&lt;E926),1,(IF((F926=E926),(IF(RAND()&lt;G926,1,0)),0)))),(IF((RAND()&lt;G926),1,0)))</f>
        <v>0</v>
      </c>
      <c r="I926" s="38" t="n">
        <f aca="true">IF((H926=1),0,$D$3+$D$5*(RAND()-0.5))</f>
        <v>1.92775816954736</v>
      </c>
      <c r="J926" s="38" t="n">
        <f aca="false">I926+MAX(D926,J925)</f>
        <v>974.521247262559</v>
      </c>
      <c r="K926" s="38" t="n">
        <f aca="false">IF((H926=0),J926-D926,0)</f>
        <v>17.7320709025457</v>
      </c>
      <c r="L926" s="38" t="n">
        <f aca="true">IF(($H926=0),0,$D$4+$D$5*(RAND()-0.5))</f>
        <v>0</v>
      </c>
      <c r="M926" s="38" t="n">
        <f aca="false">L926+MAX(D926,M925)</f>
        <v>977.749637228978</v>
      </c>
      <c r="N926" s="38" t="n">
        <f aca="false">IF((H926=1),M926-D926,0)</f>
        <v>0</v>
      </c>
      <c r="O926" s="16" t="n">
        <v>909</v>
      </c>
      <c r="P926" s="41" t="n">
        <f aca="false">IF((Arterial=0),P925+1,P925)</f>
        <v>434</v>
      </c>
      <c r="Q926" s="41" t="n">
        <f aca="false">IF((Arterial=1),Q925+1,Q925)</f>
        <v>475</v>
      </c>
      <c r="R926" s="42" t="e">
        <f aca="false">IF((RESET=1),0,R926+K926)</f>
        <v>#N/A</v>
      </c>
      <c r="S926" s="14" t="n">
        <f aca="false">IF(RESET=1,0,S926+N926)</f>
        <v>879.026186001321</v>
      </c>
      <c r="T926" s="2" t="e">
        <f aca="false">IF(RESET=1,0,T926+IF(H926=0,1,0))</f>
        <v>#N/A</v>
      </c>
      <c r="U926" s="2" t="n">
        <f aca="false">IF(RESET=1,0,U926+H926)</f>
        <v>47</v>
      </c>
      <c r="V926" s="14" t="e">
        <f aca="false">R926/(T926+0.00001)</f>
        <v>#N/A</v>
      </c>
      <c r="W926" s="14" t="n">
        <f aca="false">S926/(U926+0.0001)</f>
        <v>18.702645015677</v>
      </c>
      <c r="X926" s="39" t="n">
        <f aca="false">IF(Informed=1,K926,0)</f>
        <v>0</v>
      </c>
      <c r="Y926" s="39" t="n">
        <f aca="false">IF(Informed=0,K926,0)</f>
        <v>17.7320709025457</v>
      </c>
      <c r="Z926" s="39" t="n">
        <f aca="false">IF(Informed=1,N926,0)</f>
        <v>0</v>
      </c>
      <c r="AA926" s="39" t="n">
        <f aca="false">IF(Informed=0,N926,0)</f>
        <v>0</v>
      </c>
      <c r="AB926" s="43" t="n">
        <f aca="false">IF(Arterial=0,IF(Informed=1,1,0),0)</f>
        <v>0</v>
      </c>
      <c r="AC926" s="43" t="n">
        <f aca="false">IF(Arterial=0,IF(Informed=0,1,0),0)</f>
        <v>1</v>
      </c>
      <c r="AD926" s="43" t="n">
        <f aca="false">IF(Arterial=1,IF(Informed=1,1,0),0)</f>
        <v>0</v>
      </c>
      <c r="AE926" s="43" t="n">
        <f aca="false">IF(Arterial=1,IF(Informed=0,1,0),0)</f>
        <v>0</v>
      </c>
      <c r="AF926" s="35" t="n">
        <f aca="false">IF(AB926=1,(X926-G$1030)^2,0)</f>
        <v>0</v>
      </c>
      <c r="AG926" s="35" t="n">
        <f aca="false">IF(AC926=1,(Y926-H$1030)^2,0)</f>
        <v>46.3527535168577</v>
      </c>
      <c r="AH926" s="35" t="n">
        <f aca="false">IF(AD926=1,(Z926-I$1030)^2,0)</f>
        <v>0</v>
      </c>
      <c r="AI926" s="35" t="n">
        <f aca="false">IF(AE926=1,(AA926-J$1030)^2,0)</f>
        <v>0</v>
      </c>
      <c r="AJ926" s="37" t="n">
        <f aca="true">IF(RAND()&lt;$D$6,1,0)</f>
        <v>0</v>
      </c>
      <c r="AK926" s="14" t="n">
        <f aca="false">AK925+IF((AJ926=1),IF((H926=0),1,0),0)</f>
        <v>0</v>
      </c>
      <c r="AL926" s="14" t="n">
        <f aca="false">AL925+IF((AJ926=1),IF((H926=1),1,0),0)</f>
        <v>0</v>
      </c>
      <c r="AM926" s="37" t="n">
        <f aca="false">IF(AK926=0,9999,IF($H926=0,IF($AJ926&lt;1,AM925+1,0),AM925))</f>
        <v>9999</v>
      </c>
      <c r="AN926" s="37" t="n">
        <f aca="false">IF(AL926=0,9999,IF($H926=1,IF($AJ926&lt;1,AN925+1,0),AN925))</f>
        <v>9999</v>
      </c>
      <c r="AO926" s="37" t="n">
        <f aca="false">IF($A926-AM926&gt;0,1/(1+AM926),0)</f>
        <v>0</v>
      </c>
      <c r="AP926" s="37" t="n">
        <f aca="false">IF($A926-AN926&gt;0,1/(1+AN926),0)</f>
        <v>0</v>
      </c>
      <c r="AQ926" s="7" t="n">
        <f aca="false">IF(AK926=0,0,MAX(MIN(1,AO926^Power),0))</f>
        <v>0</v>
      </c>
      <c r="AR926" s="7" t="n">
        <f aca="false">IF(AL926=0,0,MAX(MIN(1,AP926^Power),0))</f>
        <v>0</v>
      </c>
      <c r="AS926" s="7" t="n">
        <f aca="false">IF($AJ926=1,IF($H926=0,K926,AS925),AS925)</f>
        <v>0</v>
      </c>
      <c r="AT926" s="7" t="n">
        <f aca="false">IF($AJ926=1,IF($H926=1,N926,AT925),AT925)</f>
        <v>0</v>
      </c>
    </row>
    <row r="927" customFormat="false" ht="13" hidden="false" customHeight="false" outlineLevel="0" collapsed="false">
      <c r="A927" s="16" t="n">
        <v>910</v>
      </c>
      <c r="B927" s="37" t="n">
        <f aca="true">IF(RAND()&lt;$D$8,1,0)</f>
        <v>1</v>
      </c>
      <c r="C927" s="20" t="n">
        <f aca="true">-LN(RAND())/$D$2</f>
        <v>0.441882863731723</v>
      </c>
      <c r="D927" s="38" t="n">
        <f aca="false">D926+C927</f>
        <v>957.231059223745</v>
      </c>
      <c r="E927" s="39" t="n">
        <f aca="false">MAX($E$3,AS926)</f>
        <v>0</v>
      </c>
      <c r="F927" s="39" t="n">
        <f aca="false">MAX($E$3,AT926)</f>
        <v>0</v>
      </c>
      <c r="G927" s="40" t="n">
        <v>0.5</v>
      </c>
      <c r="H927" s="38" t="n">
        <f aca="true">IF((B927=1),(IF((F927&lt;E927),1,(IF((F927=E927),(IF(RAND()&lt;G927,1,0)),0)))),(IF((RAND()&lt;G927),1,0)))</f>
        <v>0</v>
      </c>
      <c r="I927" s="38" t="n">
        <f aca="true">IF((H927=1),0,$D$3+$D$5*(RAND()-0.5))</f>
        <v>1.93084697987321</v>
      </c>
      <c r="J927" s="38" t="n">
        <f aca="false">I927+MAX(D927,J926)</f>
        <v>976.452094242433</v>
      </c>
      <c r="K927" s="38" t="n">
        <f aca="false">IF((H927=0),J927-D927,0)</f>
        <v>19.2210350186872</v>
      </c>
      <c r="L927" s="38" t="n">
        <f aca="true">IF(($H927=0),0,$D$4+$D$5*(RAND()-0.5))</f>
        <v>0</v>
      </c>
      <c r="M927" s="38" t="n">
        <f aca="false">L927+MAX(D927,M926)</f>
        <v>977.749637228978</v>
      </c>
      <c r="N927" s="38" t="n">
        <f aca="false">IF((H927=1),M927-D927,0)</f>
        <v>0</v>
      </c>
      <c r="O927" s="16" t="n">
        <v>910</v>
      </c>
      <c r="P927" s="41" t="n">
        <f aca="false">IF((Arterial=0),P926+1,P926)</f>
        <v>435</v>
      </c>
      <c r="Q927" s="41" t="n">
        <f aca="false">IF((Arterial=1),Q926+1,Q926)</f>
        <v>475</v>
      </c>
      <c r="R927" s="42" t="e">
        <f aca="false">IF((RESET=1),0,R927+K927)</f>
        <v>#N/A</v>
      </c>
      <c r="S927" s="14" t="n">
        <f aca="false">IF(RESET=1,0,S927+N927)</f>
        <v>666.07420571341</v>
      </c>
      <c r="T927" s="2" t="e">
        <f aca="false">IF(RESET=1,0,T927+IF(H927=0,1,0))</f>
        <v>#N/A</v>
      </c>
      <c r="U927" s="2" t="n">
        <f aca="false">IF(RESET=1,0,U927+H927)</f>
        <v>40</v>
      </c>
      <c r="V927" s="14" t="e">
        <f aca="false">R927/(T927+0.00001)</f>
        <v>#N/A</v>
      </c>
      <c r="W927" s="14" t="n">
        <f aca="false">S927/(U927+0.0001)</f>
        <v>16.6518135133015</v>
      </c>
      <c r="X927" s="39" t="n">
        <f aca="false">IF(Informed=1,K927,0)</f>
        <v>19.2210350186872</v>
      </c>
      <c r="Y927" s="39" t="n">
        <f aca="false">IF(Informed=0,K927,0)</f>
        <v>0</v>
      </c>
      <c r="Z927" s="39" t="n">
        <f aca="false">IF(Informed=1,N927,0)</f>
        <v>0</v>
      </c>
      <c r="AA927" s="39" t="n">
        <f aca="false">IF(Informed=0,N927,0)</f>
        <v>0</v>
      </c>
      <c r="AB927" s="43" t="n">
        <f aca="false">IF(Arterial=0,IF(Informed=1,1,0),0)</f>
        <v>1</v>
      </c>
      <c r="AC927" s="43" t="n">
        <f aca="false">IF(Arterial=0,IF(Informed=0,1,0),0)</f>
        <v>0</v>
      </c>
      <c r="AD927" s="43" t="n">
        <f aca="false">IF(Arterial=1,IF(Informed=1,1,0),0)</f>
        <v>0</v>
      </c>
      <c r="AE927" s="43" t="n">
        <f aca="false">IF(Arterial=1,IF(Informed=0,1,0),0)</f>
        <v>0</v>
      </c>
      <c r="AF927" s="35" t="n">
        <f aca="false">IF(AB927=1,(X927-G$1030)^2,0)</f>
        <v>72.443194183834</v>
      </c>
      <c r="AG927" s="35" t="n">
        <f aca="false">IF(AC927=1,(Y927-H$1030)^2,0)</f>
        <v>0</v>
      </c>
      <c r="AH927" s="35" t="n">
        <f aca="false">IF(AD927=1,(Z927-I$1030)^2,0)</f>
        <v>0</v>
      </c>
      <c r="AI927" s="35" t="n">
        <f aca="false">IF(AE927=1,(AA927-J$1030)^2,0)</f>
        <v>0</v>
      </c>
      <c r="AJ927" s="37" t="n">
        <f aca="true">IF(RAND()&lt;$D$6,1,0)</f>
        <v>0</v>
      </c>
      <c r="AK927" s="14" t="n">
        <f aca="false">AK926+IF((AJ927=1),IF((H927=0),1,0),0)</f>
        <v>0</v>
      </c>
      <c r="AL927" s="14" t="n">
        <f aca="false">AL926+IF((AJ927=1),IF((H927=1),1,0),0)</f>
        <v>0</v>
      </c>
      <c r="AM927" s="37" t="n">
        <f aca="false">IF(AK927=0,9999,IF($H927=0,IF($AJ927&lt;1,AM926+1,0),AM926))</f>
        <v>9999</v>
      </c>
      <c r="AN927" s="37" t="n">
        <f aca="false">IF(AL927=0,9999,IF($H927=1,IF($AJ927&lt;1,AN926+1,0),AN926))</f>
        <v>9999</v>
      </c>
      <c r="AO927" s="37" t="n">
        <f aca="false">IF($A927-AM927&gt;0,1/(1+AM927),0)</f>
        <v>0</v>
      </c>
      <c r="AP927" s="37" t="n">
        <f aca="false">IF($A927-AN927&gt;0,1/(1+AN927),0)</f>
        <v>0</v>
      </c>
      <c r="AQ927" s="7" t="n">
        <f aca="false">IF(AK927=0,0,MAX(MIN(1,AO927^Power),0))</f>
        <v>0</v>
      </c>
      <c r="AR927" s="7" t="n">
        <f aca="false">IF(AL927=0,0,MAX(MIN(1,AP927^Power),0))</f>
        <v>0</v>
      </c>
      <c r="AS927" s="7" t="n">
        <f aca="false">IF($AJ927=1,IF($H927=0,K927,AS926),AS926)</f>
        <v>0</v>
      </c>
      <c r="AT927" s="7" t="n">
        <f aca="false">IF($AJ927=1,IF($H927=1,N927,AT926),AT926)</f>
        <v>0</v>
      </c>
    </row>
    <row r="928" customFormat="false" ht="13" hidden="false" customHeight="false" outlineLevel="0" collapsed="false">
      <c r="A928" s="16" t="n">
        <v>911</v>
      </c>
      <c r="B928" s="37" t="n">
        <f aca="true">IF(RAND()&lt;$D$8,1,0)</f>
        <v>1</v>
      </c>
      <c r="C928" s="20" t="n">
        <f aca="true">-LN(RAND())/$D$2</f>
        <v>0.624230905245113</v>
      </c>
      <c r="D928" s="38" t="n">
        <f aca="false">D927+C928</f>
        <v>957.855290128991</v>
      </c>
      <c r="E928" s="39" t="n">
        <f aca="false">MAX($E$3,AS927)</f>
        <v>0</v>
      </c>
      <c r="F928" s="39" t="n">
        <f aca="false">MAX($E$3,AT927)</f>
        <v>0</v>
      </c>
      <c r="G928" s="40" t="n">
        <v>0.5</v>
      </c>
      <c r="H928" s="38" t="n">
        <f aca="true">IF((B928=1),(IF((F928&lt;E928),1,(IF((F928=E928),(IF(RAND()&lt;G928,1,0)),0)))),(IF((RAND()&lt;G928),1,0)))</f>
        <v>0</v>
      </c>
      <c r="I928" s="38" t="n">
        <f aca="true">IF((H928=1),0,$D$3+$D$5*(RAND()-0.5))</f>
        <v>1.98272245297836</v>
      </c>
      <c r="J928" s="38" t="n">
        <f aca="false">I928+MAX(D928,J927)</f>
        <v>978.434816695411</v>
      </c>
      <c r="K928" s="38" t="n">
        <f aca="false">IF((H928=0),J928-D928,0)</f>
        <v>20.5795265664204</v>
      </c>
      <c r="L928" s="38" t="n">
        <f aca="true">IF(($H928=0),0,$D$4+$D$5*(RAND()-0.5))</f>
        <v>0</v>
      </c>
      <c r="M928" s="38" t="n">
        <f aca="false">L928+MAX(D928,M927)</f>
        <v>977.749637228978</v>
      </c>
      <c r="N928" s="38" t="n">
        <f aca="false">IF((H928=1),M928-D928,0)</f>
        <v>0</v>
      </c>
      <c r="O928" s="16" t="n">
        <v>911</v>
      </c>
      <c r="P928" s="41" t="n">
        <f aca="false">IF((Arterial=0),P927+1,P927)</f>
        <v>436</v>
      </c>
      <c r="Q928" s="41" t="n">
        <f aca="false">IF((Arterial=1),Q927+1,Q927)</f>
        <v>475</v>
      </c>
      <c r="R928" s="42" t="e">
        <f aca="false">IF((RESET=1),0,R928+K928)</f>
        <v>#N/A</v>
      </c>
      <c r="S928" s="14" t="n">
        <f aca="false">IF(RESET=1,0,S928+N928)</f>
        <v>675.133676117018</v>
      </c>
      <c r="T928" s="2" t="e">
        <f aca="false">IF(RESET=1,0,T928+IF(H928=0,1,0))</f>
        <v>#N/A</v>
      </c>
      <c r="U928" s="2" t="n">
        <f aca="false">IF(RESET=1,0,U928+H928)</f>
        <v>43</v>
      </c>
      <c r="V928" s="14" t="e">
        <f aca="false">R928/(T928+0.00001)</f>
        <v>#N/A</v>
      </c>
      <c r="W928" s="14" t="n">
        <f aca="false">S928/(U928+0.0001)</f>
        <v>15.7007466521477</v>
      </c>
      <c r="X928" s="39" t="n">
        <f aca="false">IF(Informed=1,K928,0)</f>
        <v>20.5795265664204</v>
      </c>
      <c r="Y928" s="39" t="n">
        <f aca="false">IF(Informed=0,K928,0)</f>
        <v>0</v>
      </c>
      <c r="Z928" s="39" t="n">
        <f aca="false">IF(Informed=1,N928,0)</f>
        <v>0</v>
      </c>
      <c r="AA928" s="39" t="n">
        <f aca="false">IF(Informed=0,N928,0)</f>
        <v>0</v>
      </c>
      <c r="AB928" s="43" t="n">
        <f aca="false">IF(Arterial=0,IF(Informed=1,1,0),0)</f>
        <v>1</v>
      </c>
      <c r="AC928" s="43" t="n">
        <f aca="false">IF(Arterial=0,IF(Informed=0,1,0),0)</f>
        <v>0</v>
      </c>
      <c r="AD928" s="43" t="n">
        <f aca="false">IF(Arterial=1,IF(Informed=1,1,0),0)</f>
        <v>0</v>
      </c>
      <c r="AE928" s="43" t="n">
        <f aca="false">IF(Arterial=1,IF(Informed=0,1,0),0)</f>
        <v>0</v>
      </c>
      <c r="AF928" s="35" t="n">
        <f aca="false">IF(AB928=1,(X928-G$1030)^2,0)</f>
        <v>97.4139059514426</v>
      </c>
      <c r="AG928" s="35" t="n">
        <f aca="false">IF(AC928=1,(Y928-H$1030)^2,0)</f>
        <v>0</v>
      </c>
      <c r="AH928" s="35" t="n">
        <f aca="false">IF(AD928=1,(Z928-I$1030)^2,0)</f>
        <v>0</v>
      </c>
      <c r="AI928" s="35" t="n">
        <f aca="false">IF(AE928=1,(AA928-J$1030)^2,0)</f>
        <v>0</v>
      </c>
      <c r="AJ928" s="37" t="n">
        <f aca="true">IF(RAND()&lt;$D$6,1,0)</f>
        <v>0</v>
      </c>
      <c r="AK928" s="14" t="n">
        <f aca="false">AK927+IF((AJ928=1),IF((H928=0),1,0),0)</f>
        <v>0</v>
      </c>
      <c r="AL928" s="14" t="n">
        <f aca="false">AL927+IF((AJ928=1),IF((H928=1),1,0),0)</f>
        <v>0</v>
      </c>
      <c r="AM928" s="37" t="n">
        <f aca="false">IF(AK928=0,9999,IF($H928=0,IF($AJ928&lt;1,AM927+1,0),AM927))</f>
        <v>9999</v>
      </c>
      <c r="AN928" s="37" t="n">
        <f aca="false">IF(AL928=0,9999,IF($H928=1,IF($AJ928&lt;1,AN927+1,0),AN927))</f>
        <v>9999</v>
      </c>
      <c r="AO928" s="37" t="n">
        <f aca="false">IF($A928-AM928&gt;0,1/(1+AM928),0)</f>
        <v>0</v>
      </c>
      <c r="AP928" s="37" t="n">
        <f aca="false">IF($A928-AN928&gt;0,1/(1+AN928),0)</f>
        <v>0</v>
      </c>
      <c r="AQ928" s="7" t="n">
        <f aca="false">IF(AK928=0,0,MAX(MIN(1,AO928^Power),0))</f>
        <v>0</v>
      </c>
      <c r="AR928" s="7" t="n">
        <f aca="false">IF(AL928=0,0,MAX(MIN(1,AP928^Power),0))</f>
        <v>0</v>
      </c>
      <c r="AS928" s="7" t="n">
        <f aca="false">IF($AJ928=1,IF($H928=0,K928,AS927),AS927)</f>
        <v>0</v>
      </c>
      <c r="AT928" s="7" t="n">
        <f aca="false">IF($AJ928=1,IF($H928=1,N928,AT927),AT927)</f>
        <v>0</v>
      </c>
    </row>
    <row r="929" customFormat="false" ht="13" hidden="false" customHeight="false" outlineLevel="0" collapsed="false">
      <c r="A929" s="16" t="n">
        <v>912</v>
      </c>
      <c r="B929" s="37" t="n">
        <f aca="true">IF(RAND()&lt;$D$8,1,0)</f>
        <v>0</v>
      </c>
      <c r="C929" s="20" t="n">
        <f aca="true">-LN(RAND())/$D$2</f>
        <v>0.162701269512686</v>
      </c>
      <c r="D929" s="38" t="n">
        <f aca="false">D928+C929</f>
        <v>958.017991398503</v>
      </c>
      <c r="E929" s="39" t="n">
        <f aca="false">MAX($E$3,AS928)</f>
        <v>0</v>
      </c>
      <c r="F929" s="39" t="n">
        <f aca="false">MAX($E$3,AT928)</f>
        <v>0</v>
      </c>
      <c r="G929" s="40" t="n">
        <v>0.5</v>
      </c>
      <c r="H929" s="38" t="n">
        <f aca="true">IF((B929=1),(IF((F929&lt;E929),1,(IF((F929=E929),(IF(RAND()&lt;G929,1,0)),0)))),(IF((RAND()&lt;G929),1,0)))</f>
        <v>0</v>
      </c>
      <c r="I929" s="38" t="n">
        <f aca="true">IF((H929=1),0,$D$3+$D$5*(RAND()-0.5))</f>
        <v>2.08516985540945</v>
      </c>
      <c r="J929" s="38" t="n">
        <f aca="false">I929+MAX(D929,J928)</f>
        <v>980.519986550821</v>
      </c>
      <c r="K929" s="38" t="n">
        <f aca="false">IF((H929=0),J929-D929,0)</f>
        <v>22.5019951523173</v>
      </c>
      <c r="L929" s="38" t="n">
        <f aca="true">IF(($H929=0),0,$D$4+$D$5*(RAND()-0.5))</f>
        <v>0</v>
      </c>
      <c r="M929" s="38" t="n">
        <f aca="false">L929+MAX(D929,M928)</f>
        <v>977.749637228978</v>
      </c>
      <c r="N929" s="38" t="n">
        <f aca="false">IF((H929=1),M929-D929,0)</f>
        <v>0</v>
      </c>
      <c r="O929" s="16" t="n">
        <v>912</v>
      </c>
      <c r="P929" s="41" t="n">
        <f aca="false">IF((Arterial=0),P928+1,P928)</f>
        <v>437</v>
      </c>
      <c r="Q929" s="41" t="n">
        <f aca="false">IF((Arterial=1),Q928+1,Q928)</f>
        <v>475</v>
      </c>
      <c r="R929" s="42" t="e">
        <f aca="false">IF((RESET=1),0,R929+K929)</f>
        <v>#N/A</v>
      </c>
      <c r="S929" s="14" t="n">
        <f aca="false">IF(RESET=1,0,S929+N929)</f>
        <v>749.60564331508</v>
      </c>
      <c r="T929" s="2" t="e">
        <f aca="false">IF(RESET=1,0,T929+IF(H929=0,1,0))</f>
        <v>#N/A</v>
      </c>
      <c r="U929" s="2" t="n">
        <f aca="false">IF(RESET=1,0,U929+H929)</f>
        <v>42</v>
      </c>
      <c r="V929" s="14" t="e">
        <f aca="false">R929/(T929+0.00001)</f>
        <v>#N/A</v>
      </c>
      <c r="W929" s="14" t="n">
        <f aca="false">S929/(U929+0.0001)</f>
        <v>17.847710917714</v>
      </c>
      <c r="X929" s="39" t="n">
        <f aca="false">IF(Informed=1,K929,0)</f>
        <v>0</v>
      </c>
      <c r="Y929" s="39" t="n">
        <f aca="false">IF(Informed=0,K929,0)</f>
        <v>22.5019951523173</v>
      </c>
      <c r="Z929" s="39" t="n">
        <f aca="false">IF(Informed=1,N929,0)</f>
        <v>0</v>
      </c>
      <c r="AA929" s="39" t="n">
        <f aca="false">IF(Informed=0,N929,0)</f>
        <v>0</v>
      </c>
      <c r="AB929" s="43" t="n">
        <f aca="false">IF(Arterial=0,IF(Informed=1,1,0),0)</f>
        <v>0</v>
      </c>
      <c r="AC929" s="43" t="n">
        <f aca="false">IF(Arterial=0,IF(Informed=0,1,0),0)</f>
        <v>1</v>
      </c>
      <c r="AD929" s="43" t="n">
        <f aca="false">IF(Arterial=1,IF(Informed=1,1,0),0)</f>
        <v>0</v>
      </c>
      <c r="AE929" s="43" t="n">
        <f aca="false">IF(Arterial=1,IF(Informed=0,1,0),0)</f>
        <v>0</v>
      </c>
      <c r="AF929" s="35" t="n">
        <f aca="false">IF(AB929=1,(X929-G$1030)^2,0)</f>
        <v>0</v>
      </c>
      <c r="AG929" s="35" t="n">
        <f aca="false">IF(AC929=1,(Y929-H$1030)^2,0)</f>
        <v>134.054944525447</v>
      </c>
      <c r="AH929" s="35" t="n">
        <f aca="false">IF(AD929=1,(Z929-I$1030)^2,0)</f>
        <v>0</v>
      </c>
      <c r="AI929" s="35" t="n">
        <f aca="false">IF(AE929=1,(AA929-J$1030)^2,0)</f>
        <v>0</v>
      </c>
      <c r="AJ929" s="37" t="n">
        <f aca="true">IF(RAND()&lt;$D$6,1,0)</f>
        <v>0</v>
      </c>
      <c r="AK929" s="14" t="n">
        <f aca="false">AK928+IF((AJ929=1),IF((H929=0),1,0),0)</f>
        <v>0</v>
      </c>
      <c r="AL929" s="14" t="n">
        <f aca="false">AL928+IF((AJ929=1),IF((H929=1),1,0),0)</f>
        <v>0</v>
      </c>
      <c r="AM929" s="37" t="n">
        <f aca="false">IF(AK929=0,9999,IF($H929=0,IF($AJ929&lt;1,AM928+1,0),AM928))</f>
        <v>9999</v>
      </c>
      <c r="AN929" s="37" t="n">
        <f aca="false">IF(AL929=0,9999,IF($H929=1,IF($AJ929&lt;1,AN928+1,0),AN928))</f>
        <v>9999</v>
      </c>
      <c r="AO929" s="37" t="n">
        <f aca="false">IF($A929-AM929&gt;0,1/(1+AM929),0)</f>
        <v>0</v>
      </c>
      <c r="AP929" s="37" t="n">
        <f aca="false">IF($A929-AN929&gt;0,1/(1+AN929),0)</f>
        <v>0</v>
      </c>
      <c r="AQ929" s="7" t="n">
        <f aca="false">IF(AK929=0,0,MAX(MIN(1,AO929^Power),0))</f>
        <v>0</v>
      </c>
      <c r="AR929" s="7" t="n">
        <f aca="false">IF(AL929=0,0,MAX(MIN(1,AP929^Power),0))</f>
        <v>0</v>
      </c>
      <c r="AS929" s="7" t="n">
        <f aca="false">IF($AJ929=1,IF($H929=0,K929,AS928),AS928)</f>
        <v>0</v>
      </c>
      <c r="AT929" s="7" t="n">
        <f aca="false">IF($AJ929=1,IF($H929=1,N929,AT928),AT928)</f>
        <v>0</v>
      </c>
    </row>
    <row r="930" customFormat="false" ht="13" hidden="false" customHeight="false" outlineLevel="0" collapsed="false">
      <c r="A930" s="16" t="n">
        <v>913</v>
      </c>
      <c r="B930" s="37" t="n">
        <f aca="true">IF(RAND()&lt;$D$8,1,0)</f>
        <v>1</v>
      </c>
      <c r="C930" s="20" t="n">
        <f aca="true">-LN(RAND())/$D$2</f>
        <v>2.50862385023989</v>
      </c>
      <c r="D930" s="38" t="n">
        <f aca="false">D929+C930</f>
        <v>960.526615248743</v>
      </c>
      <c r="E930" s="39" t="n">
        <f aca="false">MAX($E$3,AS929)</f>
        <v>0</v>
      </c>
      <c r="F930" s="39" t="n">
        <f aca="false">MAX($E$3,AT929)</f>
        <v>0</v>
      </c>
      <c r="G930" s="40" t="n">
        <v>0.5</v>
      </c>
      <c r="H930" s="38" t="n">
        <f aca="true">IF((B930=1),(IF((F930&lt;E930),1,(IF((F930=E930),(IF(RAND()&lt;G930,1,0)),0)))),(IF((RAND()&lt;G930),1,0)))</f>
        <v>1</v>
      </c>
      <c r="I930" s="38" t="n">
        <f aca="true">IF((H930=1),0,$D$3+$D$5*(RAND()-0.5))</f>
        <v>0</v>
      </c>
      <c r="J930" s="38" t="n">
        <f aca="false">I930+MAX(D930,J929)</f>
        <v>980.519986550821</v>
      </c>
      <c r="K930" s="38" t="n">
        <f aca="false">IF((H930=0),J930-D930,0)</f>
        <v>0</v>
      </c>
      <c r="L930" s="38" t="n">
        <f aca="true">IF(($H930=0),0,$D$4+$D$5*(RAND()-0.5))</f>
        <v>2.06685642486534</v>
      </c>
      <c r="M930" s="38" t="n">
        <f aca="false">L930+MAX(D930,M929)</f>
        <v>979.816493653844</v>
      </c>
      <c r="N930" s="38" t="n">
        <f aca="false">IF((H930=1),M930-D930,0)</f>
        <v>19.2898784051006</v>
      </c>
      <c r="O930" s="16" t="n">
        <v>913</v>
      </c>
      <c r="P930" s="41" t="n">
        <f aca="false">IF((Arterial=0),P929+1,P929)</f>
        <v>437</v>
      </c>
      <c r="Q930" s="41" t="n">
        <f aca="false">IF((Arterial=1),Q929+1,Q929)</f>
        <v>476</v>
      </c>
      <c r="R930" s="42" t="n">
        <f aca="false">IF((RESET=1),0,R930+K930)</f>
        <v>877.350801527057</v>
      </c>
      <c r="S930" s="14" t="e">
        <f aca="false">IF(RESET=1,0,S930+N930)</f>
        <v>#N/A</v>
      </c>
      <c r="T930" s="2" t="n">
        <f aca="false">IF(RESET=1,0,T930+IF(H930=0,1,0))</f>
        <v>39</v>
      </c>
      <c r="U930" s="2" t="e">
        <f aca="false">IF(RESET=1,0,U930+H930)</f>
        <v>#N/A</v>
      </c>
      <c r="V930" s="14" t="n">
        <f aca="false">R930/(T930+0.00001)</f>
        <v>22.4961686298813</v>
      </c>
      <c r="W930" s="14" t="e">
        <f aca="false">S930/(U930+0.0001)</f>
        <v>#N/A</v>
      </c>
      <c r="X930" s="39" t="n">
        <f aca="false">IF(Informed=1,K930,0)</f>
        <v>0</v>
      </c>
      <c r="Y930" s="39" t="n">
        <f aca="false">IF(Informed=0,K930,0)</f>
        <v>0</v>
      </c>
      <c r="Z930" s="39" t="n">
        <f aca="false">IF(Informed=1,N930,0)</f>
        <v>19.2898784051006</v>
      </c>
      <c r="AA930" s="39" t="n">
        <f aca="false">IF(Informed=0,N930,0)</f>
        <v>0</v>
      </c>
      <c r="AB930" s="43" t="n">
        <f aca="false">IF(Arterial=0,IF(Informed=1,1,0),0)</f>
        <v>0</v>
      </c>
      <c r="AC930" s="43" t="n">
        <f aca="false">IF(Arterial=0,IF(Informed=0,1,0),0)</f>
        <v>0</v>
      </c>
      <c r="AD930" s="43" t="n">
        <f aca="false">IF(Arterial=1,IF(Informed=1,1,0),0)</f>
        <v>1</v>
      </c>
      <c r="AE930" s="43" t="n">
        <f aca="false">IF(Arterial=1,IF(Informed=0,1,0),0)</f>
        <v>0</v>
      </c>
      <c r="AF930" s="35" t="n">
        <f aca="false">IF(AB930=1,(X930-G$1030)^2,0)</f>
        <v>0</v>
      </c>
      <c r="AG930" s="35" t="n">
        <f aca="false">IF(AC930=1,(Y930-H$1030)^2,0)</f>
        <v>0</v>
      </c>
      <c r="AH930" s="35" t="n">
        <f aca="false">IF(AD930=1,(Z930-I$1030)^2,0)</f>
        <v>82.5364325743232</v>
      </c>
      <c r="AI930" s="35" t="n">
        <f aca="false">IF(AE930=1,(AA930-J$1030)^2,0)</f>
        <v>0</v>
      </c>
      <c r="AJ930" s="37" t="n">
        <f aca="true">IF(RAND()&lt;$D$6,1,0)</f>
        <v>0</v>
      </c>
      <c r="AK930" s="14" t="n">
        <f aca="false">AK929+IF((AJ930=1),IF((H930=0),1,0),0)</f>
        <v>0</v>
      </c>
      <c r="AL930" s="14" t="n">
        <f aca="false">AL929+IF((AJ930=1),IF((H930=1),1,0),0)</f>
        <v>0</v>
      </c>
      <c r="AM930" s="37" t="n">
        <f aca="false">IF(AK930=0,9999,IF($H930=0,IF($AJ930&lt;1,AM929+1,0),AM929))</f>
        <v>9999</v>
      </c>
      <c r="AN930" s="37" t="n">
        <f aca="false">IF(AL930=0,9999,IF($H930=1,IF($AJ930&lt;1,AN929+1,0),AN929))</f>
        <v>9999</v>
      </c>
      <c r="AO930" s="37" t="n">
        <f aca="false">IF($A930-AM930&gt;0,1/(1+AM930),0)</f>
        <v>0</v>
      </c>
      <c r="AP930" s="37" t="n">
        <f aca="false">IF($A930-AN930&gt;0,1/(1+AN930),0)</f>
        <v>0</v>
      </c>
      <c r="AQ930" s="7" t="n">
        <f aca="false">IF(AK930=0,0,MAX(MIN(1,AO930^Power),0))</f>
        <v>0</v>
      </c>
      <c r="AR930" s="7" t="n">
        <f aca="false">IF(AL930=0,0,MAX(MIN(1,AP930^Power),0))</f>
        <v>0</v>
      </c>
      <c r="AS930" s="7" t="n">
        <f aca="false">IF($AJ930=1,IF($H930=0,K930,AS929),AS929)</f>
        <v>0</v>
      </c>
      <c r="AT930" s="7" t="n">
        <f aca="false">IF($AJ930=1,IF($H930=1,N930,AT929),AT929)</f>
        <v>0</v>
      </c>
    </row>
    <row r="931" customFormat="false" ht="13" hidden="false" customHeight="false" outlineLevel="0" collapsed="false">
      <c r="A931" s="16" t="n">
        <v>914</v>
      </c>
      <c r="B931" s="37" t="n">
        <f aca="true">IF(RAND()&lt;$D$8,1,0)</f>
        <v>1</v>
      </c>
      <c r="C931" s="20" t="n">
        <f aca="true">-LN(RAND())/$D$2</f>
        <v>1.19411264485504</v>
      </c>
      <c r="D931" s="38" t="n">
        <f aca="false">D930+C931</f>
        <v>961.720727893598</v>
      </c>
      <c r="E931" s="39" t="n">
        <f aca="false">MAX($E$3,AS930)</f>
        <v>0</v>
      </c>
      <c r="F931" s="39" t="n">
        <f aca="false">MAX($E$3,AT930)</f>
        <v>0</v>
      </c>
      <c r="G931" s="40" t="n">
        <v>0.5</v>
      </c>
      <c r="H931" s="38" t="n">
        <f aca="true">IF((B931=1),(IF((F931&lt;E931),1,(IF((F931=E931),(IF(RAND()&lt;G931,1,0)),0)))),(IF((RAND()&lt;G931),1,0)))</f>
        <v>0</v>
      </c>
      <c r="I931" s="38" t="n">
        <f aca="true">IF((H931=1),0,$D$3+$D$5*(RAND()-0.5))</f>
        <v>2.15058605683018</v>
      </c>
      <c r="J931" s="38" t="n">
        <f aca="false">I931+MAX(D931,J930)</f>
        <v>982.670572607651</v>
      </c>
      <c r="K931" s="38" t="n">
        <f aca="false">IF((H931=0),J931-D931,0)</f>
        <v>20.9498447140525</v>
      </c>
      <c r="L931" s="38" t="n">
        <f aca="true">IF(($H931=0),0,$D$4+$D$5*(RAND()-0.5))</f>
        <v>0</v>
      </c>
      <c r="M931" s="38" t="n">
        <f aca="false">L931+MAX(D931,M930)</f>
        <v>979.816493653844</v>
      </c>
      <c r="N931" s="38" t="n">
        <f aca="false">IF((H931=1),M931-D931,0)</f>
        <v>0</v>
      </c>
      <c r="O931" s="16" t="n">
        <v>914</v>
      </c>
      <c r="P931" s="41" t="n">
        <f aca="false">IF((Arterial=0),P930+1,P930)</f>
        <v>438</v>
      </c>
      <c r="Q931" s="41" t="n">
        <f aca="false">IF((Arterial=1),Q930+1,Q930)</f>
        <v>476</v>
      </c>
      <c r="R931" s="42" t="e">
        <f aca="false">IF((RESET=1),0,R931+K931)</f>
        <v>#N/A</v>
      </c>
      <c r="S931" s="14" t="n">
        <f aca="false">IF(RESET=1,0,S931+N931)</f>
        <v>1087.38137748037</v>
      </c>
      <c r="T931" s="2" t="e">
        <f aca="false">IF(RESET=1,0,T931+IF(H931=0,1,0))</f>
        <v>#N/A</v>
      </c>
      <c r="U931" s="2" t="n">
        <f aca="false">IF(RESET=1,0,U931+H931)</f>
        <v>46</v>
      </c>
      <c r="V931" s="14" t="e">
        <f aca="false">R931/(T931+0.00001)</f>
        <v>#N/A</v>
      </c>
      <c r="W931" s="14" t="n">
        <f aca="false">S931/(U931+0.0001)</f>
        <v>23.6386742089771</v>
      </c>
      <c r="X931" s="39" t="n">
        <f aca="false">IF(Informed=1,K931,0)</f>
        <v>20.9498447140525</v>
      </c>
      <c r="Y931" s="39" t="n">
        <f aca="false">IF(Informed=0,K931,0)</f>
        <v>0</v>
      </c>
      <c r="Z931" s="39" t="n">
        <f aca="false">IF(Informed=1,N931,0)</f>
        <v>0</v>
      </c>
      <c r="AA931" s="39" t="n">
        <f aca="false">IF(Informed=0,N931,0)</f>
        <v>0</v>
      </c>
      <c r="AB931" s="43" t="n">
        <f aca="false">IF(Arterial=0,IF(Informed=1,1,0),0)</f>
        <v>1</v>
      </c>
      <c r="AC931" s="43" t="n">
        <f aca="false">IF(Arterial=0,IF(Informed=0,1,0),0)</f>
        <v>0</v>
      </c>
      <c r="AD931" s="43" t="n">
        <f aca="false">IF(Arterial=1,IF(Informed=1,1,0),0)</f>
        <v>0</v>
      </c>
      <c r="AE931" s="43" t="n">
        <f aca="false">IF(Arterial=1,IF(Informed=0,1,0),0)</f>
        <v>0</v>
      </c>
      <c r="AF931" s="35" t="n">
        <f aca="false">IF(AB931=1,(X931-G$1030)^2,0)</f>
        <v>104.861009379889</v>
      </c>
      <c r="AG931" s="35" t="n">
        <f aca="false">IF(AC931=1,(Y931-H$1030)^2,0)</f>
        <v>0</v>
      </c>
      <c r="AH931" s="35" t="n">
        <f aca="false">IF(AD931=1,(Z931-I$1030)^2,0)</f>
        <v>0</v>
      </c>
      <c r="AI931" s="35" t="n">
        <f aca="false">IF(AE931=1,(AA931-J$1030)^2,0)</f>
        <v>0</v>
      </c>
      <c r="AJ931" s="37" t="n">
        <f aca="true">IF(RAND()&lt;$D$6,1,0)</f>
        <v>0</v>
      </c>
      <c r="AK931" s="14" t="n">
        <f aca="false">AK930+IF((AJ931=1),IF((H931=0),1,0),0)</f>
        <v>0</v>
      </c>
      <c r="AL931" s="14" t="n">
        <f aca="false">AL930+IF((AJ931=1),IF((H931=1),1,0),0)</f>
        <v>0</v>
      </c>
      <c r="AM931" s="37" t="n">
        <f aca="false">IF(AK931=0,9999,IF($H931=0,IF($AJ931&lt;1,AM930+1,0),AM930))</f>
        <v>9999</v>
      </c>
      <c r="AN931" s="37" t="n">
        <f aca="false">IF(AL931=0,9999,IF($H931=1,IF($AJ931&lt;1,AN930+1,0),AN930))</f>
        <v>9999</v>
      </c>
      <c r="AO931" s="37" t="n">
        <f aca="false">IF($A931-AM931&gt;0,1/(1+AM931),0)</f>
        <v>0</v>
      </c>
      <c r="AP931" s="37" t="n">
        <f aca="false">IF($A931-AN931&gt;0,1/(1+AN931),0)</f>
        <v>0</v>
      </c>
      <c r="AQ931" s="7" t="n">
        <f aca="false">IF(AK931=0,0,MAX(MIN(1,AO931^Power),0))</f>
        <v>0</v>
      </c>
      <c r="AR931" s="7" t="n">
        <f aca="false">IF(AL931=0,0,MAX(MIN(1,AP931^Power),0))</f>
        <v>0</v>
      </c>
      <c r="AS931" s="7" t="n">
        <f aca="false">IF($AJ931=1,IF($H931=0,K931,AS930),AS930)</f>
        <v>0</v>
      </c>
      <c r="AT931" s="7" t="n">
        <f aca="false">IF($AJ931=1,IF($H931=1,N931,AT930),AT930)</f>
        <v>0</v>
      </c>
    </row>
    <row r="932" customFormat="false" ht="13" hidden="false" customHeight="false" outlineLevel="0" collapsed="false">
      <c r="A932" s="16" t="n">
        <v>915</v>
      </c>
      <c r="B932" s="37" t="n">
        <f aca="true">IF(RAND()&lt;$D$8,1,0)</f>
        <v>1</v>
      </c>
      <c r="C932" s="20" t="n">
        <f aca="true">-LN(RAND())/$D$2</f>
        <v>0.0841889368270221</v>
      </c>
      <c r="D932" s="38" t="n">
        <f aca="false">D931+C932</f>
        <v>961.804916830425</v>
      </c>
      <c r="E932" s="39" t="n">
        <f aca="false">MAX($E$3,AS931)</f>
        <v>0</v>
      </c>
      <c r="F932" s="39" t="n">
        <f aca="false">MAX($E$3,AT931)</f>
        <v>0</v>
      </c>
      <c r="G932" s="40" t="n">
        <v>0.5</v>
      </c>
      <c r="H932" s="38" t="n">
        <f aca="true">IF((B932=1),(IF((F932&lt;E932),1,(IF((F932=E932),(IF(RAND()&lt;G932,1,0)),0)))),(IF((RAND()&lt;G932),1,0)))</f>
        <v>0</v>
      </c>
      <c r="I932" s="38" t="n">
        <f aca="true">IF((H932=1),0,$D$3+$D$5*(RAND()-0.5))</f>
        <v>2.22393554549109</v>
      </c>
      <c r="J932" s="38" t="n">
        <f aca="false">I932+MAX(D932,J931)</f>
        <v>984.894508153142</v>
      </c>
      <c r="K932" s="38" t="n">
        <f aca="false">IF((H932=0),J932-D932,0)</f>
        <v>23.0895913227165</v>
      </c>
      <c r="L932" s="38" t="n">
        <f aca="true">IF(($H932=0),0,$D$4+$D$5*(RAND()-0.5))</f>
        <v>0</v>
      </c>
      <c r="M932" s="38" t="n">
        <f aca="false">L932+MAX(D932,M931)</f>
        <v>979.816493653844</v>
      </c>
      <c r="N932" s="38" t="n">
        <f aca="false">IF((H932=1),M932-D932,0)</f>
        <v>0</v>
      </c>
      <c r="O932" s="16" t="n">
        <v>915</v>
      </c>
      <c r="P932" s="41" t="n">
        <f aca="false">IF((Arterial=0),P931+1,P931)</f>
        <v>439</v>
      </c>
      <c r="Q932" s="41" t="n">
        <f aca="false">IF((Arterial=1),Q931+1,Q931)</f>
        <v>476</v>
      </c>
      <c r="R932" s="42" t="e">
        <f aca="false">IF((RESET=1),0,R932+K932)</f>
        <v>#N/A</v>
      </c>
      <c r="S932" s="14" t="n">
        <f aca="false">IF(RESET=1,0,S932+N932)</f>
        <v>812.515383054564</v>
      </c>
      <c r="T932" s="2" t="e">
        <f aca="false">IF(RESET=1,0,T932+IF(H932=0,1,0))</f>
        <v>#N/A</v>
      </c>
      <c r="U932" s="2" t="n">
        <f aca="false">IF(RESET=1,0,U932+H932)</f>
        <v>42</v>
      </c>
      <c r="V932" s="14" t="e">
        <f aca="false">R932/(T932+0.00001)</f>
        <v>#N/A</v>
      </c>
      <c r="W932" s="14" t="n">
        <f aca="false">S932/(U932+0.0001)</f>
        <v>19.3455582975889</v>
      </c>
      <c r="X932" s="39" t="n">
        <f aca="false">IF(Informed=1,K932,0)</f>
        <v>23.0895913227165</v>
      </c>
      <c r="Y932" s="39" t="n">
        <f aca="false">IF(Informed=0,K932,0)</f>
        <v>0</v>
      </c>
      <c r="Z932" s="39" t="n">
        <f aca="false">IF(Informed=1,N932,0)</f>
        <v>0</v>
      </c>
      <c r="AA932" s="39" t="n">
        <f aca="false">IF(Informed=0,N932,0)</f>
        <v>0</v>
      </c>
      <c r="AB932" s="43" t="n">
        <f aca="false">IF(Arterial=0,IF(Informed=1,1,0),0)</f>
        <v>1</v>
      </c>
      <c r="AC932" s="43" t="n">
        <f aca="false">IF(Arterial=0,IF(Informed=0,1,0),0)</f>
        <v>0</v>
      </c>
      <c r="AD932" s="43" t="n">
        <f aca="false">IF(Arterial=1,IF(Informed=1,1,0),0)</f>
        <v>0</v>
      </c>
      <c r="AE932" s="43" t="n">
        <f aca="false">IF(Arterial=1,IF(Informed=0,1,0),0)</f>
        <v>0</v>
      </c>
      <c r="AF932" s="35" t="n">
        <f aca="false">IF(AB932=1,(X932-G$1030)^2,0)</f>
        <v>153.262247891586</v>
      </c>
      <c r="AG932" s="35" t="n">
        <f aca="false">IF(AC932=1,(Y932-H$1030)^2,0)</f>
        <v>0</v>
      </c>
      <c r="AH932" s="35" t="n">
        <f aca="false">IF(AD932=1,(Z932-I$1030)^2,0)</f>
        <v>0</v>
      </c>
      <c r="AI932" s="35" t="n">
        <f aca="false">IF(AE932=1,(AA932-J$1030)^2,0)</f>
        <v>0</v>
      </c>
      <c r="AJ932" s="37" t="n">
        <f aca="true">IF(RAND()&lt;$D$6,1,0)</f>
        <v>0</v>
      </c>
      <c r="AK932" s="14" t="n">
        <f aca="false">AK931+IF((AJ932=1),IF((H932=0),1,0),0)</f>
        <v>0</v>
      </c>
      <c r="AL932" s="14" t="n">
        <f aca="false">AL931+IF((AJ932=1),IF((H932=1),1,0),0)</f>
        <v>0</v>
      </c>
      <c r="AM932" s="37" t="n">
        <f aca="false">IF(AK932=0,9999,IF($H932=0,IF($AJ932&lt;1,AM931+1,0),AM931))</f>
        <v>9999</v>
      </c>
      <c r="AN932" s="37" t="n">
        <f aca="false">IF(AL932=0,9999,IF($H932=1,IF($AJ932&lt;1,AN931+1,0),AN931))</f>
        <v>9999</v>
      </c>
      <c r="AO932" s="37" t="n">
        <f aca="false">IF($A932-AM932&gt;0,1/(1+AM932),0)</f>
        <v>0</v>
      </c>
      <c r="AP932" s="37" t="n">
        <f aca="false">IF($A932-AN932&gt;0,1/(1+AN932),0)</f>
        <v>0</v>
      </c>
      <c r="AQ932" s="7" t="n">
        <f aca="false">IF(AK932=0,0,MAX(MIN(1,AO932^Power),0))</f>
        <v>0</v>
      </c>
      <c r="AR932" s="7" t="n">
        <f aca="false">IF(AL932=0,0,MAX(MIN(1,AP932^Power),0))</f>
        <v>0</v>
      </c>
      <c r="AS932" s="7" t="n">
        <f aca="false">IF($AJ932=1,IF($H932=0,K932,AS931),AS931)</f>
        <v>0</v>
      </c>
      <c r="AT932" s="7" t="n">
        <f aca="false">IF($AJ932=1,IF($H932=1,N932,AT931),AT931)</f>
        <v>0</v>
      </c>
    </row>
    <row r="933" customFormat="false" ht="13" hidden="false" customHeight="false" outlineLevel="0" collapsed="false">
      <c r="A933" s="16" t="n">
        <v>916</v>
      </c>
      <c r="B933" s="37" t="n">
        <f aca="true">IF(RAND()&lt;$D$8,1,0)</f>
        <v>1</v>
      </c>
      <c r="C933" s="20" t="n">
        <f aca="true">-LN(RAND())/$D$2</f>
        <v>0.737620555353471</v>
      </c>
      <c r="D933" s="38" t="n">
        <f aca="false">D932+C933</f>
        <v>962.542537385779</v>
      </c>
      <c r="E933" s="39" t="n">
        <f aca="false">MAX($E$3,AS932)</f>
        <v>0</v>
      </c>
      <c r="F933" s="39" t="n">
        <f aca="false">MAX($E$3,AT932)</f>
        <v>0</v>
      </c>
      <c r="G933" s="40" t="n">
        <v>0.5</v>
      </c>
      <c r="H933" s="38" t="n">
        <f aca="true">IF((B933=1),(IF((F933&lt;E933),1,(IF((F933=E933),(IF(RAND()&lt;G933,1,0)),0)))),(IF((RAND()&lt;G933),1,0)))</f>
        <v>0</v>
      </c>
      <c r="I933" s="38" t="n">
        <f aca="true">IF((H933=1),0,$D$3+$D$5*(RAND()-0.5))</f>
        <v>2.11046710212461</v>
      </c>
      <c r="J933" s="38" t="n">
        <f aca="false">I933+MAX(D933,J932)</f>
        <v>987.004975255266</v>
      </c>
      <c r="K933" s="38" t="n">
        <f aca="false">IF((H933=0),J933-D933,0)</f>
        <v>24.4624378694876</v>
      </c>
      <c r="L933" s="38" t="n">
        <f aca="true">IF(($H933=0),0,$D$4+$D$5*(RAND()-0.5))</f>
        <v>0</v>
      </c>
      <c r="M933" s="38" t="n">
        <f aca="false">L933+MAX(D933,M932)</f>
        <v>979.816493653844</v>
      </c>
      <c r="N933" s="38" t="n">
        <f aca="false">IF((H933=1),M933-D933,0)</f>
        <v>0</v>
      </c>
      <c r="O933" s="16" t="n">
        <v>916</v>
      </c>
      <c r="P933" s="41" t="n">
        <f aca="false">IF((Arterial=0),P932+1,P932)</f>
        <v>440</v>
      </c>
      <c r="Q933" s="41" t="n">
        <f aca="false">IF((Arterial=1),Q932+1,Q932)</f>
        <v>476</v>
      </c>
      <c r="R933" s="42" t="e">
        <f aca="false">IF((RESET=1),0,R933+K933)</f>
        <v>#N/A</v>
      </c>
      <c r="S933" s="14" t="n">
        <f aca="false">IF(RESET=1,0,S933+N933)</f>
        <v>541.271023256858</v>
      </c>
      <c r="T933" s="2" t="e">
        <f aca="false">IF(RESET=1,0,T933+IF(H933=0,1,0))</f>
        <v>#N/A</v>
      </c>
      <c r="U933" s="2" t="n">
        <f aca="false">IF(RESET=1,0,U933+H933)</f>
        <v>31</v>
      </c>
      <c r="V933" s="14" t="e">
        <f aca="false">R933/(T933+0.00001)</f>
        <v>#N/A</v>
      </c>
      <c r="W933" s="14" t="n">
        <f aca="false">S933/(U933+0.0001)</f>
        <v>17.4602992653849</v>
      </c>
      <c r="X933" s="39" t="n">
        <f aca="false">IF(Informed=1,K933,0)</f>
        <v>24.4624378694876</v>
      </c>
      <c r="Y933" s="39" t="n">
        <f aca="false">IF(Informed=0,K933,0)</f>
        <v>0</v>
      </c>
      <c r="Z933" s="39" t="n">
        <f aca="false">IF(Informed=1,N933,0)</f>
        <v>0</v>
      </c>
      <c r="AA933" s="39" t="n">
        <f aca="false">IF(Informed=0,N933,0)</f>
        <v>0</v>
      </c>
      <c r="AB933" s="43" t="n">
        <f aca="false">IF(Arterial=0,IF(Informed=1,1,0),0)</f>
        <v>1</v>
      </c>
      <c r="AC933" s="43" t="n">
        <f aca="false">IF(Arterial=0,IF(Informed=0,1,0),0)</f>
        <v>0</v>
      </c>
      <c r="AD933" s="43" t="n">
        <f aca="false">IF(Arterial=1,IF(Informed=1,1,0),0)</f>
        <v>0</v>
      </c>
      <c r="AE933" s="43" t="n">
        <f aca="false">IF(Arterial=1,IF(Informed=0,1,0),0)</f>
        <v>0</v>
      </c>
      <c r="AF933" s="35" t="n">
        <f aca="false">IF(AB933=1,(X933-G$1030)^2,0)</f>
        <v>189.138397377554</v>
      </c>
      <c r="AG933" s="35" t="n">
        <f aca="false">IF(AC933=1,(Y933-H$1030)^2,0)</f>
        <v>0</v>
      </c>
      <c r="AH933" s="35" t="n">
        <f aca="false">IF(AD933=1,(Z933-I$1030)^2,0)</f>
        <v>0</v>
      </c>
      <c r="AI933" s="35" t="n">
        <f aca="false">IF(AE933=1,(AA933-J$1030)^2,0)</f>
        <v>0</v>
      </c>
      <c r="AJ933" s="37" t="n">
        <f aca="true">IF(RAND()&lt;$D$6,1,0)</f>
        <v>0</v>
      </c>
      <c r="AK933" s="14" t="n">
        <f aca="false">AK932+IF((AJ933=1),IF((H933=0),1,0),0)</f>
        <v>0</v>
      </c>
      <c r="AL933" s="14" t="n">
        <f aca="false">AL932+IF((AJ933=1),IF((H933=1),1,0),0)</f>
        <v>0</v>
      </c>
      <c r="AM933" s="37" t="n">
        <f aca="false">IF(AK933=0,9999,IF($H933=0,IF($AJ933&lt;1,AM932+1,0),AM932))</f>
        <v>9999</v>
      </c>
      <c r="AN933" s="37" t="n">
        <f aca="false">IF(AL933=0,9999,IF($H933=1,IF($AJ933&lt;1,AN932+1,0),AN932))</f>
        <v>9999</v>
      </c>
      <c r="AO933" s="37" t="n">
        <f aca="false">IF($A933-AM933&gt;0,1/(1+AM933),0)</f>
        <v>0</v>
      </c>
      <c r="AP933" s="37" t="n">
        <f aca="false">IF($A933-AN933&gt;0,1/(1+AN933),0)</f>
        <v>0</v>
      </c>
      <c r="AQ933" s="7" t="n">
        <f aca="false">IF(AK933=0,0,MAX(MIN(1,AO933^Power),0))</f>
        <v>0</v>
      </c>
      <c r="AR933" s="7" t="n">
        <f aca="false">IF(AL933=0,0,MAX(MIN(1,AP933^Power),0))</f>
        <v>0</v>
      </c>
      <c r="AS933" s="7" t="n">
        <f aca="false">IF($AJ933=1,IF($H933=0,K933,AS932),AS932)</f>
        <v>0</v>
      </c>
      <c r="AT933" s="7" t="n">
        <f aca="false">IF($AJ933=1,IF($H933=1,N933,AT932),AT932)</f>
        <v>0</v>
      </c>
    </row>
    <row r="934" customFormat="false" ht="13" hidden="false" customHeight="false" outlineLevel="0" collapsed="false">
      <c r="A934" s="16" t="n">
        <v>917</v>
      </c>
      <c r="B934" s="37" t="n">
        <f aca="true">IF(RAND()&lt;$D$8,1,0)</f>
        <v>0</v>
      </c>
      <c r="C934" s="20" t="n">
        <f aca="true">-LN(RAND())/$D$2</f>
        <v>3.01227280499433</v>
      </c>
      <c r="D934" s="38" t="n">
        <f aca="false">D933+C934</f>
        <v>965.554810190773</v>
      </c>
      <c r="E934" s="39" t="n">
        <f aca="false">MAX($E$3,AS933)</f>
        <v>0</v>
      </c>
      <c r="F934" s="39" t="n">
        <f aca="false">MAX($E$3,AT933)</f>
        <v>0</v>
      </c>
      <c r="G934" s="40" t="n">
        <v>0.5</v>
      </c>
      <c r="H934" s="38" t="n">
        <f aca="true">IF((B934=1),(IF((F934&lt;E934),1,(IF((F934=E934),(IF(RAND()&lt;G934,1,0)),0)))),(IF((RAND()&lt;G934),1,0)))</f>
        <v>1</v>
      </c>
      <c r="I934" s="38" t="n">
        <f aca="true">IF((H934=1),0,$D$3+$D$5*(RAND()-0.5))</f>
        <v>0</v>
      </c>
      <c r="J934" s="38" t="n">
        <f aca="false">I934+MAX(D934,J933)</f>
        <v>987.004975255266</v>
      </c>
      <c r="K934" s="38" t="n">
        <f aca="false">IF((H934=0),J934-D934,0)</f>
        <v>0</v>
      </c>
      <c r="L934" s="38" t="n">
        <f aca="true">IF(($H934=0),0,$D$4+$D$5*(RAND()-0.5))</f>
        <v>2.00736581141905</v>
      </c>
      <c r="M934" s="38" t="n">
        <f aca="false">L934+MAX(D934,M933)</f>
        <v>981.823859465263</v>
      </c>
      <c r="N934" s="38" t="n">
        <f aca="false">IF((H934=1),M934-D934,0)</f>
        <v>16.2690492744897</v>
      </c>
      <c r="O934" s="16" t="n">
        <v>917</v>
      </c>
      <c r="P934" s="41" t="n">
        <f aca="false">IF((Arterial=0),P933+1,P933)</f>
        <v>440</v>
      </c>
      <c r="Q934" s="41" t="n">
        <f aca="false">IF((Arterial=1),Q933+1,Q933)</f>
        <v>477</v>
      </c>
      <c r="R934" s="42" t="n">
        <f aca="false">IF((RESET=1),0,R934+K934)</f>
        <v>779.613148334022</v>
      </c>
      <c r="S934" s="14" t="e">
        <f aca="false">IF(RESET=1,0,S934+N934)</f>
        <v>#N/A</v>
      </c>
      <c r="T934" s="2" t="n">
        <f aca="false">IF(RESET=1,0,T934+IF(H934=0,1,0))</f>
        <v>43</v>
      </c>
      <c r="U934" s="2" t="e">
        <f aca="false">IF(RESET=1,0,U934+H934)</f>
        <v>#N/A</v>
      </c>
      <c r="V934" s="14" t="n">
        <f aca="false">R934/(T934+0.00001)</f>
        <v>18.1305341169461</v>
      </c>
      <c r="W934" s="14" t="e">
        <f aca="false">S934/(U934+0.0001)</f>
        <v>#N/A</v>
      </c>
      <c r="X934" s="39" t="n">
        <f aca="false">IF(Informed=1,K934,0)</f>
        <v>0</v>
      </c>
      <c r="Y934" s="39" t="n">
        <f aca="false">IF(Informed=0,K934,0)</f>
        <v>0</v>
      </c>
      <c r="Z934" s="39" t="n">
        <f aca="false">IF(Informed=1,N934,0)</f>
        <v>0</v>
      </c>
      <c r="AA934" s="39" t="n">
        <f aca="false">IF(Informed=0,N934,0)</f>
        <v>16.2690492744897</v>
      </c>
      <c r="AB934" s="43" t="n">
        <f aca="false">IF(Arterial=0,IF(Informed=1,1,0),0)</f>
        <v>0</v>
      </c>
      <c r="AC934" s="43" t="n">
        <f aca="false">IF(Arterial=0,IF(Informed=0,1,0),0)</f>
        <v>0</v>
      </c>
      <c r="AD934" s="43" t="n">
        <f aca="false">IF(Arterial=1,IF(Informed=1,1,0),0)</f>
        <v>0</v>
      </c>
      <c r="AE934" s="43" t="n">
        <f aca="false">IF(Arterial=1,IF(Informed=0,1,0),0)</f>
        <v>1</v>
      </c>
      <c r="AF934" s="35" t="n">
        <f aca="false">IF(AB934=1,(X934-G$1030)^2,0)</f>
        <v>0</v>
      </c>
      <c r="AG934" s="35" t="n">
        <f aca="false">IF(AC934=1,(Y934-H$1030)^2,0)</f>
        <v>0</v>
      </c>
      <c r="AH934" s="35" t="n">
        <f aca="false">IF(AD934=1,(Z934-I$1030)^2,0)</f>
        <v>0</v>
      </c>
      <c r="AI934" s="35" t="n">
        <f aca="false">IF(AE934=1,(AA934-J$1030)^2,0)</f>
        <v>176.763026832099</v>
      </c>
      <c r="AJ934" s="37" t="n">
        <f aca="true">IF(RAND()&lt;$D$6,1,0)</f>
        <v>0</v>
      </c>
      <c r="AK934" s="14" t="n">
        <f aca="false">AK933+IF((AJ934=1),IF((H934=0),1,0),0)</f>
        <v>0</v>
      </c>
      <c r="AL934" s="14" t="n">
        <f aca="false">AL933+IF((AJ934=1),IF((H934=1),1,0),0)</f>
        <v>0</v>
      </c>
      <c r="AM934" s="37" t="n">
        <f aca="false">IF(AK934=0,9999,IF($H934=0,IF($AJ934&lt;1,AM933+1,0),AM933))</f>
        <v>9999</v>
      </c>
      <c r="AN934" s="37" t="n">
        <f aca="false">IF(AL934=0,9999,IF($H934=1,IF($AJ934&lt;1,AN933+1,0),AN933))</f>
        <v>9999</v>
      </c>
      <c r="AO934" s="37" t="n">
        <f aca="false">IF($A934-AM934&gt;0,1/(1+AM934),0)</f>
        <v>0</v>
      </c>
      <c r="AP934" s="37" t="n">
        <f aca="false">IF($A934-AN934&gt;0,1/(1+AN934),0)</f>
        <v>0</v>
      </c>
      <c r="AQ934" s="7" t="n">
        <f aca="false">IF(AK934=0,0,MAX(MIN(1,AO934^Power),0))</f>
        <v>0</v>
      </c>
      <c r="AR934" s="7" t="n">
        <f aca="false">IF(AL934=0,0,MAX(MIN(1,AP934^Power),0))</f>
        <v>0</v>
      </c>
      <c r="AS934" s="7" t="n">
        <f aca="false">IF($AJ934=1,IF($H934=0,K934,AS933),AS933)</f>
        <v>0</v>
      </c>
      <c r="AT934" s="7" t="n">
        <f aca="false">IF($AJ934=1,IF($H934=1,N934,AT933),AT933)</f>
        <v>0</v>
      </c>
    </row>
    <row r="935" customFormat="false" ht="13" hidden="false" customHeight="false" outlineLevel="0" collapsed="false">
      <c r="A935" s="16" t="n">
        <v>918</v>
      </c>
      <c r="B935" s="37" t="n">
        <f aca="true">IF(RAND()&lt;$D$8,1,0)</f>
        <v>1</v>
      </c>
      <c r="C935" s="20" t="n">
        <f aca="true">-LN(RAND())/$D$2</f>
        <v>1.71611387154226</v>
      </c>
      <c r="D935" s="38" t="n">
        <f aca="false">D934+C935</f>
        <v>967.270924062315</v>
      </c>
      <c r="E935" s="39" t="n">
        <f aca="false">MAX($E$3,AS934)</f>
        <v>0</v>
      </c>
      <c r="F935" s="39" t="n">
        <f aca="false">MAX($E$3,AT934)</f>
        <v>0</v>
      </c>
      <c r="G935" s="40" t="n">
        <v>0.5</v>
      </c>
      <c r="H935" s="38" t="n">
        <f aca="true">IF((B935=1),(IF((F935&lt;E935),1,(IF((F935=E935),(IF(RAND()&lt;G935,1,0)),0)))),(IF((RAND()&lt;G935),1,0)))</f>
        <v>1</v>
      </c>
      <c r="I935" s="38" t="n">
        <f aca="true">IF((H935=1),0,$D$3+$D$5*(RAND()-0.5))</f>
        <v>0</v>
      </c>
      <c r="J935" s="38" t="n">
        <f aca="false">I935+MAX(D935,J934)</f>
        <v>987.004975255266</v>
      </c>
      <c r="K935" s="38" t="n">
        <f aca="false">IF((H935=0),J935-D935,0)</f>
        <v>0</v>
      </c>
      <c r="L935" s="38" t="n">
        <f aca="true">IF(($H935=0),0,$D$4+$D$5*(RAND()-0.5))</f>
        <v>2.04845748561464</v>
      </c>
      <c r="M935" s="38" t="n">
        <f aca="false">L935+MAX(D935,M934)</f>
        <v>983.872316950878</v>
      </c>
      <c r="N935" s="38" t="n">
        <f aca="false">IF((H935=1),M935-D935,0)</f>
        <v>16.6013928885621</v>
      </c>
      <c r="O935" s="16" t="n">
        <v>918</v>
      </c>
      <c r="P935" s="41" t="n">
        <f aca="false">IF((Arterial=0),P934+1,P934)</f>
        <v>440</v>
      </c>
      <c r="Q935" s="41" t="n">
        <f aca="false">IF((Arterial=1),Q934+1,Q934)</f>
        <v>478</v>
      </c>
      <c r="R935" s="42" t="n">
        <f aca="false">IF((RESET=1),0,R935+K935)</f>
        <v>789.228372689125</v>
      </c>
      <c r="S935" s="14" t="e">
        <f aca="false">IF(RESET=1,0,S935+N935)</f>
        <v>#N/A</v>
      </c>
      <c r="T935" s="2" t="n">
        <f aca="false">IF(RESET=1,0,T935+IF(H935=0,1,0))</f>
        <v>37</v>
      </c>
      <c r="U935" s="2" t="e">
        <f aca="false">IF(RESET=1,0,U935+H935)</f>
        <v>#N/A</v>
      </c>
      <c r="V935" s="14" t="n">
        <f aca="false">R935/(T935+0.00001)</f>
        <v>21.330490794168</v>
      </c>
      <c r="W935" s="14" t="e">
        <f aca="false">S935/(U935+0.0001)</f>
        <v>#N/A</v>
      </c>
      <c r="X935" s="39" t="n">
        <f aca="false">IF(Informed=1,K935,0)</f>
        <v>0</v>
      </c>
      <c r="Y935" s="39" t="n">
        <f aca="false">IF(Informed=0,K935,0)</f>
        <v>0</v>
      </c>
      <c r="Z935" s="39" t="n">
        <f aca="false">IF(Informed=1,N935,0)</f>
        <v>16.6013928885621</v>
      </c>
      <c r="AA935" s="39" t="n">
        <f aca="false">IF(Informed=0,N935,0)</f>
        <v>0</v>
      </c>
      <c r="AB935" s="43" t="n">
        <f aca="false">IF(Arterial=0,IF(Informed=1,1,0),0)</f>
        <v>0</v>
      </c>
      <c r="AC935" s="43" t="n">
        <f aca="false">IF(Arterial=0,IF(Informed=0,1,0),0)</f>
        <v>0</v>
      </c>
      <c r="AD935" s="43" t="n">
        <f aca="false">IF(Arterial=1,IF(Informed=1,1,0),0)</f>
        <v>1</v>
      </c>
      <c r="AE935" s="43" t="n">
        <f aca="false">IF(Arterial=1,IF(Informed=0,1,0),0)</f>
        <v>0</v>
      </c>
      <c r="AF935" s="35" t="n">
        <f aca="false">IF(AB935=1,(X935-G$1030)^2,0)</f>
        <v>0</v>
      </c>
      <c r="AG935" s="35" t="n">
        <f aca="false">IF(AC935=1,(Y935-H$1030)^2,0)</f>
        <v>0</v>
      </c>
      <c r="AH935" s="35" t="n">
        <f aca="false">IF(AD935=1,(Z935-I$1030)^2,0)</f>
        <v>138.613934282731</v>
      </c>
      <c r="AI935" s="35" t="n">
        <f aca="false">IF(AE935=1,(AA935-J$1030)^2,0)</f>
        <v>0</v>
      </c>
      <c r="AJ935" s="37" t="n">
        <f aca="true">IF(RAND()&lt;$D$6,1,0)</f>
        <v>0</v>
      </c>
      <c r="AK935" s="14" t="n">
        <f aca="false">AK934+IF((AJ935=1),IF((H935=0),1,0),0)</f>
        <v>0</v>
      </c>
      <c r="AL935" s="14" t="n">
        <f aca="false">AL934+IF((AJ935=1),IF((H935=1),1,0),0)</f>
        <v>0</v>
      </c>
      <c r="AM935" s="37" t="n">
        <f aca="false">IF(AK935=0,9999,IF($H935=0,IF($AJ935&lt;1,AM934+1,0),AM934))</f>
        <v>9999</v>
      </c>
      <c r="AN935" s="37" t="n">
        <f aca="false">IF(AL935=0,9999,IF($H935=1,IF($AJ935&lt;1,AN934+1,0),AN934))</f>
        <v>9999</v>
      </c>
      <c r="AO935" s="37" t="n">
        <f aca="false">IF($A935-AM935&gt;0,1/(1+AM935),0)</f>
        <v>0</v>
      </c>
      <c r="AP935" s="37" t="n">
        <f aca="false">IF($A935-AN935&gt;0,1/(1+AN935),0)</f>
        <v>0</v>
      </c>
      <c r="AQ935" s="7" t="n">
        <f aca="false">IF(AK935=0,0,MAX(MIN(1,AO935^Power),0))</f>
        <v>0</v>
      </c>
      <c r="AR935" s="7" t="n">
        <f aca="false">IF(AL935=0,0,MAX(MIN(1,AP935^Power),0))</f>
        <v>0</v>
      </c>
      <c r="AS935" s="7" t="n">
        <f aca="false">IF($AJ935=1,IF($H935=0,K935,AS934),AS934)</f>
        <v>0</v>
      </c>
      <c r="AT935" s="7" t="n">
        <f aca="false">IF($AJ935=1,IF($H935=1,N935,AT934),AT934)</f>
        <v>0</v>
      </c>
    </row>
    <row r="936" customFormat="false" ht="13" hidden="false" customHeight="false" outlineLevel="0" collapsed="false">
      <c r="A936" s="16" t="n">
        <v>919</v>
      </c>
      <c r="B936" s="37" t="n">
        <f aca="true">IF(RAND()&lt;$D$8,1,0)</f>
        <v>1</v>
      </c>
      <c r="C936" s="20" t="n">
        <f aca="true">-LN(RAND())/$D$2</f>
        <v>2.99575788627157</v>
      </c>
      <c r="D936" s="38" t="n">
        <f aca="false">D935+C936</f>
        <v>970.266681948587</v>
      </c>
      <c r="E936" s="39" t="n">
        <f aca="false">MAX($E$3,AS935)</f>
        <v>0</v>
      </c>
      <c r="F936" s="39" t="n">
        <f aca="false">MAX($E$3,AT935)</f>
        <v>0</v>
      </c>
      <c r="G936" s="40" t="n">
        <v>0.5</v>
      </c>
      <c r="H936" s="38" t="n">
        <f aca="true">IF((B936=1),(IF((F936&lt;E936),1,(IF((F936=E936),(IF(RAND()&lt;G936,1,0)),0)))),(IF((RAND()&lt;G936),1,0)))</f>
        <v>1</v>
      </c>
      <c r="I936" s="38" t="n">
        <f aca="true">IF((H936=1),0,$D$3+$D$5*(RAND()-0.5))</f>
        <v>0</v>
      </c>
      <c r="J936" s="38" t="n">
        <f aca="false">I936+MAX(D936,J935)</f>
        <v>987.004975255266</v>
      </c>
      <c r="K936" s="38" t="n">
        <f aca="false">IF((H936=0),J936-D936,0)</f>
        <v>0</v>
      </c>
      <c r="L936" s="38" t="n">
        <f aca="true">IF(($H936=0),0,$D$4+$D$5*(RAND()-0.5))</f>
        <v>1.84776617393629</v>
      </c>
      <c r="M936" s="38" t="n">
        <f aca="false">L936+MAX(D936,M935)</f>
        <v>985.720083124814</v>
      </c>
      <c r="N936" s="38" t="n">
        <f aca="false">IF((H936=1),M936-D936,0)</f>
        <v>15.4534011762269</v>
      </c>
      <c r="O936" s="16" t="n">
        <v>919</v>
      </c>
      <c r="P936" s="41" t="n">
        <f aca="false">IF((Arterial=0),P935+1,P935)</f>
        <v>440</v>
      </c>
      <c r="Q936" s="41" t="n">
        <f aca="false">IF((Arterial=1),Q935+1,Q935)</f>
        <v>479</v>
      </c>
      <c r="R936" s="42" t="n">
        <f aca="false">IF((RESET=1),0,R936+K936)</f>
        <v>896.850810467372</v>
      </c>
      <c r="S936" s="14" t="e">
        <f aca="false">IF(RESET=1,0,S936+N936)</f>
        <v>#N/A</v>
      </c>
      <c r="T936" s="2" t="n">
        <f aca="false">IF(RESET=1,0,T936+IF(H936=0,1,0))</f>
        <v>47</v>
      </c>
      <c r="U936" s="2" t="e">
        <f aca="false">IF(RESET=1,0,U936+H936)</f>
        <v>#N/A</v>
      </c>
      <c r="V936" s="14" t="n">
        <f aca="false">R936/(T936+0.00001)</f>
        <v>19.081928077619</v>
      </c>
      <c r="W936" s="14" t="e">
        <f aca="false">S936/(U936+0.0001)</f>
        <v>#N/A</v>
      </c>
      <c r="X936" s="39" t="n">
        <f aca="false">IF(Informed=1,K936,0)</f>
        <v>0</v>
      </c>
      <c r="Y936" s="39" t="n">
        <f aca="false">IF(Informed=0,K936,0)</f>
        <v>0</v>
      </c>
      <c r="Z936" s="39" t="n">
        <f aca="false">IF(Informed=1,N936,0)</f>
        <v>15.4534011762269</v>
      </c>
      <c r="AA936" s="39" t="n">
        <f aca="false">IF(Informed=0,N936,0)</f>
        <v>0</v>
      </c>
      <c r="AB936" s="43" t="n">
        <f aca="false">IF(Arterial=0,IF(Informed=1,1,0),0)</f>
        <v>0</v>
      </c>
      <c r="AC936" s="43" t="n">
        <f aca="false">IF(Arterial=0,IF(Informed=0,1,0),0)</f>
        <v>0</v>
      </c>
      <c r="AD936" s="43" t="n">
        <f aca="false">IF(Arterial=1,IF(Informed=1,1,0),0)</f>
        <v>1</v>
      </c>
      <c r="AE936" s="43" t="n">
        <f aca="false">IF(Arterial=1,IF(Informed=0,1,0),0)</f>
        <v>0</v>
      </c>
      <c r="AF936" s="35" t="n">
        <f aca="false">IF(AB936=1,(X936-G$1030)^2,0)</f>
        <v>0</v>
      </c>
      <c r="AG936" s="35" t="n">
        <f aca="false">IF(AC936=1,(Y936-H$1030)^2,0)</f>
        <v>0</v>
      </c>
      <c r="AH936" s="35" t="n">
        <f aca="false">IF(AD936=1,(Z936-I$1030)^2,0)</f>
        <v>166.963446718775</v>
      </c>
      <c r="AI936" s="35" t="n">
        <f aca="false">IF(AE936=1,(AA936-J$1030)^2,0)</f>
        <v>0</v>
      </c>
      <c r="AJ936" s="37" t="n">
        <f aca="true">IF(RAND()&lt;$D$6,1,0)</f>
        <v>0</v>
      </c>
      <c r="AK936" s="14" t="n">
        <f aca="false">AK935+IF((AJ936=1),IF((H936=0),1,0),0)</f>
        <v>0</v>
      </c>
      <c r="AL936" s="14" t="n">
        <f aca="false">AL935+IF((AJ936=1),IF((H936=1),1,0),0)</f>
        <v>0</v>
      </c>
      <c r="AM936" s="37" t="n">
        <f aca="false">IF(AK936=0,9999,IF($H936=0,IF($AJ936&lt;1,AM935+1,0),AM935))</f>
        <v>9999</v>
      </c>
      <c r="AN936" s="37" t="n">
        <f aca="false">IF(AL936=0,9999,IF($H936=1,IF($AJ936&lt;1,AN935+1,0),AN935))</f>
        <v>9999</v>
      </c>
      <c r="AO936" s="37" t="n">
        <f aca="false">IF($A936-AM936&gt;0,1/(1+AM936),0)</f>
        <v>0</v>
      </c>
      <c r="AP936" s="37" t="n">
        <f aca="false">IF($A936-AN936&gt;0,1/(1+AN936),0)</f>
        <v>0</v>
      </c>
      <c r="AQ936" s="7" t="n">
        <f aca="false">IF(AK936=0,0,MAX(MIN(1,AO936^Power),0))</f>
        <v>0</v>
      </c>
      <c r="AR936" s="7" t="n">
        <f aca="false">IF(AL936=0,0,MAX(MIN(1,AP936^Power),0))</f>
        <v>0</v>
      </c>
      <c r="AS936" s="7" t="n">
        <f aca="false">IF($AJ936=1,IF($H936=0,K936,AS935),AS935)</f>
        <v>0</v>
      </c>
      <c r="AT936" s="7" t="n">
        <f aca="false">IF($AJ936=1,IF($H936=1,N936,AT935),AT935)</f>
        <v>0</v>
      </c>
    </row>
    <row r="937" customFormat="false" ht="13" hidden="false" customHeight="false" outlineLevel="0" collapsed="false">
      <c r="A937" s="16" t="n">
        <v>920</v>
      </c>
      <c r="B937" s="37" t="n">
        <f aca="true">IF(RAND()&lt;$D$8,1,0)</f>
        <v>0</v>
      </c>
      <c r="C937" s="20" t="n">
        <f aca="true">-LN(RAND())/$D$2</f>
        <v>0.27203003009874</v>
      </c>
      <c r="D937" s="38" t="n">
        <f aca="false">D936+C937</f>
        <v>970.538711978686</v>
      </c>
      <c r="E937" s="39" t="n">
        <f aca="false">MAX($E$3,AS936)</f>
        <v>0</v>
      </c>
      <c r="F937" s="39" t="n">
        <f aca="false">MAX($E$3,AT936)</f>
        <v>0</v>
      </c>
      <c r="G937" s="40" t="n">
        <v>0.5</v>
      </c>
      <c r="H937" s="38" t="n">
        <f aca="true">IF((B937=1),(IF((F937&lt;E937),1,(IF((F937=E937),(IF(RAND()&lt;G937,1,0)),0)))),(IF((RAND()&lt;G937),1,0)))</f>
        <v>0</v>
      </c>
      <c r="I937" s="38" t="n">
        <f aca="true">IF((H937=1),0,$D$3+$D$5*(RAND()-0.5))</f>
        <v>1.82136488150804</v>
      </c>
      <c r="J937" s="38" t="n">
        <f aca="false">I937+MAX(D937,J936)</f>
        <v>988.826340136774</v>
      </c>
      <c r="K937" s="38" t="n">
        <f aca="false">IF((H937=0),J937-D937,0)</f>
        <v>18.2876281580888</v>
      </c>
      <c r="L937" s="38" t="n">
        <f aca="true">IF(($H937=0),0,$D$4+$D$5*(RAND()-0.5))</f>
        <v>0</v>
      </c>
      <c r="M937" s="38" t="n">
        <f aca="false">L937+MAX(D937,M936)</f>
        <v>985.720083124814</v>
      </c>
      <c r="N937" s="38" t="n">
        <f aca="false">IF((H937=1),M937-D937,0)</f>
        <v>0</v>
      </c>
      <c r="O937" s="16" t="n">
        <v>920</v>
      </c>
      <c r="P937" s="41" t="n">
        <f aca="false">IF((Arterial=0),P936+1,P936)</f>
        <v>441</v>
      </c>
      <c r="Q937" s="41" t="n">
        <f aca="false">IF((Arterial=1),Q936+1,Q936)</f>
        <v>479</v>
      </c>
      <c r="R937" s="42" t="e">
        <f aca="false">IF((RESET=1),0,R937+K937)</f>
        <v>#N/A</v>
      </c>
      <c r="S937" s="14" t="n">
        <f aca="false">IF(RESET=1,0,S937+N937)</f>
        <v>851.935102028833</v>
      </c>
      <c r="T937" s="2" t="e">
        <f aca="false">IF(RESET=1,0,T937+IF(H937=0,1,0))</f>
        <v>#N/A</v>
      </c>
      <c r="U937" s="2" t="n">
        <f aca="false">IF(RESET=1,0,U937+H937)</f>
        <v>45</v>
      </c>
      <c r="V937" s="14" t="e">
        <f aca="false">R937/(T937+0.00001)</f>
        <v>#N/A</v>
      </c>
      <c r="W937" s="14" t="n">
        <f aca="false">S937/(U937+0.0001)</f>
        <v>18.9318490854205</v>
      </c>
      <c r="X937" s="39" t="n">
        <f aca="false">IF(Informed=1,K937,0)</f>
        <v>0</v>
      </c>
      <c r="Y937" s="39" t="n">
        <f aca="false">IF(Informed=0,K937,0)</f>
        <v>18.2876281580888</v>
      </c>
      <c r="Z937" s="39" t="n">
        <f aca="false">IF(Informed=1,N937,0)</f>
        <v>0</v>
      </c>
      <c r="AA937" s="39" t="n">
        <f aca="false">IF(Informed=0,N937,0)</f>
        <v>0</v>
      </c>
      <c r="AB937" s="43" t="n">
        <f aca="false">IF(Arterial=0,IF(Informed=1,1,0),0)</f>
        <v>0</v>
      </c>
      <c r="AC937" s="43" t="n">
        <f aca="false">IF(Arterial=0,IF(Informed=0,1,0),0)</f>
        <v>1</v>
      </c>
      <c r="AD937" s="43" t="n">
        <f aca="false">IF(Arterial=1,IF(Informed=1,1,0),0)</f>
        <v>0</v>
      </c>
      <c r="AE937" s="43" t="n">
        <f aca="false">IF(Arterial=1,IF(Informed=0,1,0),0)</f>
        <v>0</v>
      </c>
      <c r="AF937" s="35" t="n">
        <f aca="false">IF(AB937=1,(X937-G$1030)^2,0)</f>
        <v>0</v>
      </c>
      <c r="AG937" s="35" t="n">
        <f aca="false">IF(AC937=1,(Y937-H$1030)^2,0)</f>
        <v>54.2261823644068</v>
      </c>
      <c r="AH937" s="35" t="n">
        <f aca="false">IF(AD937=1,(Z937-I$1030)^2,0)</f>
        <v>0</v>
      </c>
      <c r="AI937" s="35" t="n">
        <f aca="false">IF(AE937=1,(AA937-J$1030)^2,0)</f>
        <v>0</v>
      </c>
      <c r="AJ937" s="37" t="n">
        <f aca="true">IF(RAND()&lt;$D$6,1,0)</f>
        <v>0</v>
      </c>
      <c r="AK937" s="14" t="n">
        <f aca="false">AK936+IF((AJ937=1),IF((H937=0),1,0),0)</f>
        <v>0</v>
      </c>
      <c r="AL937" s="14" t="n">
        <f aca="false">AL936+IF((AJ937=1),IF((H937=1),1,0),0)</f>
        <v>0</v>
      </c>
      <c r="AM937" s="37" t="n">
        <f aca="false">IF(AK937=0,9999,IF($H937=0,IF($AJ937&lt;1,AM936+1,0),AM936))</f>
        <v>9999</v>
      </c>
      <c r="AN937" s="37" t="n">
        <f aca="false">IF(AL937=0,9999,IF($H937=1,IF($AJ937&lt;1,AN936+1,0),AN936))</f>
        <v>9999</v>
      </c>
      <c r="AO937" s="37" t="n">
        <f aca="false">IF($A937-AM937&gt;0,1/(1+AM937),0)</f>
        <v>0</v>
      </c>
      <c r="AP937" s="37" t="n">
        <f aca="false">IF($A937-AN937&gt;0,1/(1+AN937),0)</f>
        <v>0</v>
      </c>
      <c r="AQ937" s="7" t="n">
        <f aca="false">IF(AK937=0,0,MAX(MIN(1,AO937^Power),0))</f>
        <v>0</v>
      </c>
      <c r="AR937" s="7" t="n">
        <f aca="false">IF(AL937=0,0,MAX(MIN(1,AP937^Power),0))</f>
        <v>0</v>
      </c>
      <c r="AS937" s="7" t="n">
        <f aca="false">IF($AJ937=1,IF($H937=0,K937,AS936),AS936)</f>
        <v>0</v>
      </c>
      <c r="AT937" s="7" t="n">
        <f aca="false">IF($AJ937=1,IF($H937=1,N937,AT936),AT936)</f>
        <v>0</v>
      </c>
    </row>
    <row r="938" customFormat="false" ht="13" hidden="false" customHeight="false" outlineLevel="0" collapsed="false">
      <c r="A938" s="16" t="n">
        <v>921</v>
      </c>
      <c r="B938" s="37" t="n">
        <f aca="true">IF(RAND()&lt;$D$8,1,0)</f>
        <v>0</v>
      </c>
      <c r="C938" s="20" t="n">
        <f aca="true">-LN(RAND())/$D$2</f>
        <v>0.364584584417831</v>
      </c>
      <c r="D938" s="38" t="n">
        <f aca="false">D937+C938</f>
        <v>970.903296563104</v>
      </c>
      <c r="E938" s="39" t="n">
        <f aca="false">MAX($E$3,AS937)</f>
        <v>0</v>
      </c>
      <c r="F938" s="39" t="n">
        <f aca="false">MAX($E$3,AT937)</f>
        <v>0</v>
      </c>
      <c r="G938" s="40" t="n">
        <v>0.5</v>
      </c>
      <c r="H938" s="38" t="n">
        <f aca="true">IF((B938=1),(IF((F938&lt;E938),1,(IF((F938=E938),(IF(RAND()&lt;G938,1,0)),0)))),(IF((RAND()&lt;G938),1,0)))</f>
        <v>1</v>
      </c>
      <c r="I938" s="38" t="n">
        <f aca="true">IF((H938=1),0,$D$3+$D$5*(RAND()-0.5))</f>
        <v>0</v>
      </c>
      <c r="J938" s="38" t="n">
        <f aca="false">I938+MAX(D938,J937)</f>
        <v>988.826340136774</v>
      </c>
      <c r="K938" s="38" t="n">
        <f aca="false">IF((H938=0),J938-D938,0)</f>
        <v>0</v>
      </c>
      <c r="L938" s="38" t="n">
        <f aca="true">IF(($H938=0),0,$D$4+$D$5*(RAND()-0.5))</f>
        <v>1.93901735914593</v>
      </c>
      <c r="M938" s="38" t="n">
        <f aca="false">L938+MAX(D938,M937)</f>
        <v>987.65910048396</v>
      </c>
      <c r="N938" s="38" t="n">
        <f aca="false">IF((H938=1),M938-D938,0)</f>
        <v>16.7558039208562</v>
      </c>
      <c r="O938" s="16" t="n">
        <v>921</v>
      </c>
      <c r="P938" s="41" t="n">
        <f aca="false">IF((Arterial=0),P937+1,P937)</f>
        <v>441</v>
      </c>
      <c r="Q938" s="41" t="n">
        <f aca="false">IF((Arterial=1),Q937+1,Q937)</f>
        <v>480</v>
      </c>
      <c r="R938" s="42" t="n">
        <f aca="false">IF((RESET=1),0,R938+K938)</f>
        <v>634.365025180889</v>
      </c>
      <c r="S938" s="14" t="e">
        <f aca="false">IF(RESET=1,0,S938+N938)</f>
        <v>#N/A</v>
      </c>
      <c r="T938" s="2" t="n">
        <f aca="false">IF(RESET=1,0,T938+IF(H938=0,1,0))</f>
        <v>36</v>
      </c>
      <c r="U938" s="2" t="e">
        <f aca="false">IF(RESET=1,0,U938+H938)</f>
        <v>#N/A</v>
      </c>
      <c r="V938" s="14" t="n">
        <f aca="false">R938/(T938+0.00001)</f>
        <v>17.6212458046786</v>
      </c>
      <c r="W938" s="14" t="e">
        <f aca="false">S938/(U938+0.0001)</f>
        <v>#N/A</v>
      </c>
      <c r="X938" s="39" t="n">
        <f aca="false">IF(Informed=1,K938,0)</f>
        <v>0</v>
      </c>
      <c r="Y938" s="39" t="n">
        <f aca="false">IF(Informed=0,K938,0)</f>
        <v>0</v>
      </c>
      <c r="Z938" s="39" t="n">
        <f aca="false">IF(Informed=1,N938,0)</f>
        <v>0</v>
      </c>
      <c r="AA938" s="39" t="n">
        <f aca="false">IF(Informed=0,N938,0)</f>
        <v>16.7558039208562</v>
      </c>
      <c r="AB938" s="43" t="n">
        <f aca="false">IF(Arterial=0,IF(Informed=1,1,0),0)</f>
        <v>0</v>
      </c>
      <c r="AC938" s="43" t="n">
        <f aca="false">IF(Arterial=0,IF(Informed=0,1,0),0)</f>
        <v>0</v>
      </c>
      <c r="AD938" s="43" t="n">
        <f aca="false">IF(Arterial=1,IF(Informed=1,1,0),0)</f>
        <v>0</v>
      </c>
      <c r="AE938" s="43" t="n">
        <f aca="false">IF(Arterial=1,IF(Informed=0,1,0),0)</f>
        <v>1</v>
      </c>
      <c r="AF938" s="35" t="n">
        <f aca="false">IF(AB938=1,(X938-G$1030)^2,0)</f>
        <v>0</v>
      </c>
      <c r="AG938" s="35" t="n">
        <f aca="false">IF(AC938=1,(Y938-H$1030)^2,0)</f>
        <v>0</v>
      </c>
      <c r="AH938" s="35" t="n">
        <f aca="false">IF(AD938=1,(Z938-I$1030)^2,0)</f>
        <v>0</v>
      </c>
      <c r="AI938" s="35" t="n">
        <f aca="false">IF(AE938=1,(AA938-J$1030)^2,0)</f>
        <v>164.056931134615</v>
      </c>
      <c r="AJ938" s="37" t="n">
        <f aca="true">IF(RAND()&lt;$D$6,1,0)</f>
        <v>0</v>
      </c>
      <c r="AK938" s="14" t="n">
        <f aca="false">AK937+IF((AJ938=1),IF((H938=0),1,0),0)</f>
        <v>0</v>
      </c>
      <c r="AL938" s="14" t="n">
        <f aca="false">AL937+IF((AJ938=1),IF((H938=1),1,0),0)</f>
        <v>0</v>
      </c>
      <c r="AM938" s="37" t="n">
        <f aca="false">IF(AK938=0,9999,IF($H938=0,IF($AJ938&lt;1,AM937+1,0),AM937))</f>
        <v>9999</v>
      </c>
      <c r="AN938" s="37" t="n">
        <f aca="false">IF(AL938=0,9999,IF($H938=1,IF($AJ938&lt;1,AN937+1,0),AN937))</f>
        <v>9999</v>
      </c>
      <c r="AO938" s="37" t="n">
        <f aca="false">IF($A938-AM938&gt;0,1/(1+AM938),0)</f>
        <v>0</v>
      </c>
      <c r="AP938" s="37" t="n">
        <f aca="false">IF($A938-AN938&gt;0,1/(1+AN938),0)</f>
        <v>0</v>
      </c>
      <c r="AQ938" s="7" t="n">
        <f aca="false">IF(AK938=0,0,MAX(MIN(1,AO938^Power),0))</f>
        <v>0</v>
      </c>
      <c r="AR938" s="7" t="n">
        <f aca="false">IF(AL938=0,0,MAX(MIN(1,AP938^Power),0))</f>
        <v>0</v>
      </c>
      <c r="AS938" s="7" t="n">
        <f aca="false">IF($AJ938=1,IF($H938=0,K938,AS937),AS937)</f>
        <v>0</v>
      </c>
      <c r="AT938" s="7" t="n">
        <f aca="false">IF($AJ938=1,IF($H938=1,N938,AT937),AT937)</f>
        <v>0</v>
      </c>
    </row>
    <row r="939" customFormat="false" ht="13" hidden="false" customHeight="false" outlineLevel="0" collapsed="false">
      <c r="A939" s="16" t="n">
        <v>922</v>
      </c>
      <c r="B939" s="37" t="n">
        <f aca="true">IF(RAND()&lt;$D$8,1,0)</f>
        <v>1</v>
      </c>
      <c r="C939" s="20" t="n">
        <f aca="true">-LN(RAND())/$D$2</f>
        <v>0.00387769085442166</v>
      </c>
      <c r="D939" s="38" t="n">
        <f aca="false">D938+C939</f>
        <v>970.907174253958</v>
      </c>
      <c r="E939" s="39" t="n">
        <f aca="false">MAX($E$3,AS938)</f>
        <v>0</v>
      </c>
      <c r="F939" s="39" t="n">
        <f aca="false">MAX($E$3,AT938)</f>
        <v>0</v>
      </c>
      <c r="G939" s="40" t="n">
        <v>0.5</v>
      </c>
      <c r="H939" s="38" t="n">
        <f aca="true">IF((B939=1),(IF((F939&lt;E939),1,(IF((F939=E939),(IF(RAND()&lt;G939,1,0)),0)))),(IF((RAND()&lt;G939),1,0)))</f>
        <v>0</v>
      </c>
      <c r="I939" s="38" t="n">
        <f aca="true">IF((H939=1),0,$D$3+$D$5*(RAND()-0.5))</f>
        <v>1.88133123899796</v>
      </c>
      <c r="J939" s="38" t="n">
        <f aca="false">I939+MAX(D939,J938)</f>
        <v>990.707671375772</v>
      </c>
      <c r="K939" s="38" t="n">
        <f aca="false">IF((H939=0),J939-D939,0)</f>
        <v>19.8004971218145</v>
      </c>
      <c r="L939" s="38" t="n">
        <f aca="true">IF(($H939=0),0,$D$4+$D$5*(RAND()-0.5))</f>
        <v>0</v>
      </c>
      <c r="M939" s="38" t="n">
        <f aca="false">L939+MAX(D939,M938)</f>
        <v>987.65910048396</v>
      </c>
      <c r="N939" s="38" t="n">
        <f aca="false">IF((H939=1),M939-D939,0)</f>
        <v>0</v>
      </c>
      <c r="O939" s="16" t="n">
        <v>922</v>
      </c>
      <c r="P939" s="41" t="n">
        <f aca="false">IF((Arterial=0),P938+1,P938)</f>
        <v>442</v>
      </c>
      <c r="Q939" s="41" t="n">
        <f aca="false">IF((Arterial=1),Q938+1,Q938)</f>
        <v>480</v>
      </c>
      <c r="R939" s="42" t="e">
        <f aca="false">IF((RESET=1),0,R939+K939)</f>
        <v>#N/A</v>
      </c>
      <c r="S939" s="14" t="n">
        <f aca="false">IF(RESET=1,0,S939+N939)</f>
        <v>850.952083714899</v>
      </c>
      <c r="T939" s="2" t="e">
        <f aca="false">IF(RESET=1,0,T939+IF(H939=0,1,0))</f>
        <v>#N/A</v>
      </c>
      <c r="U939" s="2" t="n">
        <f aca="false">IF(RESET=1,0,U939+H939)</f>
        <v>42</v>
      </c>
      <c r="V939" s="14" t="e">
        <f aca="false">R939/(T939+0.00001)</f>
        <v>#N/A</v>
      </c>
      <c r="W939" s="14" t="n">
        <f aca="false">S939/(U939+0.0001)</f>
        <v>20.2607156581746</v>
      </c>
      <c r="X939" s="39" t="n">
        <f aca="false">IF(Informed=1,K939,0)</f>
        <v>19.8004971218145</v>
      </c>
      <c r="Y939" s="39" t="n">
        <f aca="false">IF(Informed=0,K939,0)</f>
        <v>0</v>
      </c>
      <c r="Z939" s="39" t="n">
        <f aca="false">IF(Informed=1,N939,0)</f>
        <v>0</v>
      </c>
      <c r="AA939" s="39" t="n">
        <f aca="false">IF(Informed=0,N939,0)</f>
        <v>0</v>
      </c>
      <c r="AB939" s="43" t="n">
        <f aca="false">IF(Arterial=0,IF(Informed=1,1,0),0)</f>
        <v>1</v>
      </c>
      <c r="AC939" s="43" t="n">
        <f aca="false">IF(Arterial=0,IF(Informed=0,1,0),0)</f>
        <v>0</v>
      </c>
      <c r="AD939" s="43" t="n">
        <f aca="false">IF(Arterial=1,IF(Informed=1,1,0),0)</f>
        <v>0</v>
      </c>
      <c r="AE939" s="43" t="n">
        <f aca="false">IF(Arterial=1,IF(Informed=0,1,0),0)</f>
        <v>0</v>
      </c>
      <c r="AF939" s="35" t="n">
        <f aca="false">IF(AB939=1,(X939-G$1030)^2,0)</f>
        <v>82.6429879096236</v>
      </c>
      <c r="AG939" s="35" t="n">
        <f aca="false">IF(AC939=1,(Y939-H$1030)^2,0)</f>
        <v>0</v>
      </c>
      <c r="AH939" s="35" t="n">
        <f aca="false">IF(AD939=1,(Z939-I$1030)^2,0)</f>
        <v>0</v>
      </c>
      <c r="AI939" s="35" t="n">
        <f aca="false">IF(AE939=1,(AA939-J$1030)^2,0)</f>
        <v>0</v>
      </c>
      <c r="AJ939" s="37" t="n">
        <f aca="true">IF(RAND()&lt;$D$6,1,0)</f>
        <v>0</v>
      </c>
      <c r="AK939" s="14" t="n">
        <f aca="false">AK938+IF((AJ939=1),IF((H939=0),1,0),0)</f>
        <v>0</v>
      </c>
      <c r="AL939" s="14" t="n">
        <f aca="false">AL938+IF((AJ939=1),IF((H939=1),1,0),0)</f>
        <v>0</v>
      </c>
      <c r="AM939" s="37" t="n">
        <f aca="false">IF(AK939=0,9999,IF($H939=0,IF($AJ939&lt;1,AM938+1,0),AM938))</f>
        <v>9999</v>
      </c>
      <c r="AN939" s="37" t="n">
        <f aca="false">IF(AL939=0,9999,IF($H939=1,IF($AJ939&lt;1,AN938+1,0),AN938))</f>
        <v>9999</v>
      </c>
      <c r="AO939" s="37" t="n">
        <f aca="false">IF($A939-AM939&gt;0,1/(1+AM939),0)</f>
        <v>0</v>
      </c>
      <c r="AP939" s="37" t="n">
        <f aca="false">IF($A939-AN939&gt;0,1/(1+AN939),0)</f>
        <v>0</v>
      </c>
      <c r="AQ939" s="7" t="n">
        <f aca="false">IF(AK939=0,0,MAX(MIN(1,AO939^Power),0))</f>
        <v>0</v>
      </c>
      <c r="AR939" s="7" t="n">
        <f aca="false">IF(AL939=0,0,MAX(MIN(1,AP939^Power),0))</f>
        <v>0</v>
      </c>
      <c r="AS939" s="7" t="n">
        <f aca="false">IF($AJ939=1,IF($H939=0,K939,AS938),AS938)</f>
        <v>0</v>
      </c>
      <c r="AT939" s="7" t="n">
        <f aca="false">IF($AJ939=1,IF($H939=1,N939,AT938),AT938)</f>
        <v>0</v>
      </c>
    </row>
    <row r="940" customFormat="false" ht="13" hidden="false" customHeight="false" outlineLevel="0" collapsed="false">
      <c r="A940" s="16" t="n">
        <v>923</v>
      </c>
      <c r="B940" s="37" t="n">
        <f aca="true">IF(RAND()&lt;$D$8,1,0)</f>
        <v>0</v>
      </c>
      <c r="C940" s="20" t="n">
        <f aca="true">-LN(RAND())/$D$2</f>
        <v>0.0859481774122008</v>
      </c>
      <c r="D940" s="38" t="n">
        <f aca="false">D939+C940</f>
        <v>970.99312243137</v>
      </c>
      <c r="E940" s="39" t="n">
        <f aca="false">MAX($E$3,AS939)</f>
        <v>0</v>
      </c>
      <c r="F940" s="39" t="n">
        <f aca="false">MAX($E$3,AT939)</f>
        <v>0</v>
      </c>
      <c r="G940" s="40" t="n">
        <v>0.5</v>
      </c>
      <c r="H940" s="38" t="n">
        <f aca="true">IF((B940=1),(IF((F940&lt;E940),1,(IF((F940=E940),(IF(RAND()&lt;G940,1,0)),0)))),(IF((RAND()&lt;G940),1,0)))</f>
        <v>1</v>
      </c>
      <c r="I940" s="38" t="n">
        <f aca="true">IF((H940=1),0,$D$3+$D$5*(RAND()-0.5))</f>
        <v>0</v>
      </c>
      <c r="J940" s="38" t="n">
        <f aca="false">I940+MAX(D940,J939)</f>
        <v>990.707671375772</v>
      </c>
      <c r="K940" s="38" t="n">
        <f aca="false">IF((H940=0),J940-D940,0)</f>
        <v>0</v>
      </c>
      <c r="L940" s="38" t="n">
        <f aca="true">IF(($H940=0),0,$D$4+$D$5*(RAND()-0.5))</f>
        <v>1.7639021437221</v>
      </c>
      <c r="M940" s="38" t="n">
        <f aca="false">L940+MAX(D940,M939)</f>
        <v>989.423002627682</v>
      </c>
      <c r="N940" s="38" t="n">
        <f aca="false">IF((H940=1),M940-D940,0)</f>
        <v>18.4298801963117</v>
      </c>
      <c r="O940" s="16" t="n">
        <v>923</v>
      </c>
      <c r="P940" s="41" t="n">
        <f aca="false">IF((Arterial=0),P939+1,P939)</f>
        <v>442</v>
      </c>
      <c r="Q940" s="41" t="n">
        <f aca="false">IF((Arterial=1),Q939+1,Q939)</f>
        <v>481</v>
      </c>
      <c r="R940" s="42" t="n">
        <f aca="false">IF((RESET=1),0,R940+K940)</f>
        <v>919.849286423354</v>
      </c>
      <c r="S940" s="14" t="e">
        <f aca="false">IF(RESET=1,0,S940+N940)</f>
        <v>#N/A</v>
      </c>
      <c r="T940" s="2" t="n">
        <f aca="false">IF(RESET=1,0,T940+IF(H940=0,1,0))</f>
        <v>41</v>
      </c>
      <c r="U940" s="2" t="e">
        <f aca="false">IF(RESET=1,0,U940+H940)</f>
        <v>#N/A</v>
      </c>
      <c r="V940" s="14" t="n">
        <f aca="false">R940/(T940+0.00001)</f>
        <v>22.4353429773152</v>
      </c>
      <c r="W940" s="14" t="e">
        <f aca="false">S940/(U940+0.0001)</f>
        <v>#N/A</v>
      </c>
      <c r="X940" s="39" t="n">
        <f aca="false">IF(Informed=1,K940,0)</f>
        <v>0</v>
      </c>
      <c r="Y940" s="39" t="n">
        <f aca="false">IF(Informed=0,K940,0)</f>
        <v>0</v>
      </c>
      <c r="Z940" s="39" t="n">
        <f aca="false">IF(Informed=1,N940,0)</f>
        <v>0</v>
      </c>
      <c r="AA940" s="39" t="n">
        <f aca="false">IF(Informed=0,N940,0)</f>
        <v>18.4298801963117</v>
      </c>
      <c r="AB940" s="43" t="n">
        <f aca="false">IF(Arterial=0,IF(Informed=1,1,0),0)</f>
        <v>0</v>
      </c>
      <c r="AC940" s="43" t="n">
        <f aca="false">IF(Arterial=0,IF(Informed=0,1,0),0)</f>
        <v>0</v>
      </c>
      <c r="AD940" s="43" t="n">
        <f aca="false">IF(Arterial=1,IF(Informed=1,1,0),0)</f>
        <v>0</v>
      </c>
      <c r="AE940" s="43" t="n">
        <f aca="false">IF(Arterial=1,IF(Informed=0,1,0),0)</f>
        <v>1</v>
      </c>
      <c r="AF940" s="35" t="n">
        <f aca="false">IF(AB940=1,(X940-G$1030)^2,0)</f>
        <v>0</v>
      </c>
      <c r="AG940" s="35" t="n">
        <f aca="false">IF(AC940=1,(Y940-H$1030)^2,0)</f>
        <v>0</v>
      </c>
      <c r="AH940" s="35" t="n">
        <f aca="false">IF(AD940=1,(Z940-I$1030)^2,0)</f>
        <v>0</v>
      </c>
      <c r="AI940" s="35" t="n">
        <f aca="false">IF(AE940=1,(AA940-J$1030)^2,0)</f>
        <v>123.974747426513</v>
      </c>
      <c r="AJ940" s="37" t="n">
        <f aca="true">IF(RAND()&lt;$D$6,1,0)</f>
        <v>0</v>
      </c>
      <c r="AK940" s="14" t="n">
        <f aca="false">AK939+IF((AJ940=1),IF((H940=0),1,0),0)</f>
        <v>0</v>
      </c>
      <c r="AL940" s="14" t="n">
        <f aca="false">AL939+IF((AJ940=1),IF((H940=1),1,0),0)</f>
        <v>0</v>
      </c>
      <c r="AM940" s="37" t="n">
        <f aca="false">IF(AK940=0,9999,IF($H940=0,IF($AJ940&lt;1,AM939+1,0),AM939))</f>
        <v>9999</v>
      </c>
      <c r="AN940" s="37" t="n">
        <f aca="false">IF(AL940=0,9999,IF($H940=1,IF($AJ940&lt;1,AN939+1,0),AN939))</f>
        <v>9999</v>
      </c>
      <c r="AO940" s="37" t="n">
        <f aca="false">IF($A940-AM940&gt;0,1/(1+AM940),0)</f>
        <v>0</v>
      </c>
      <c r="AP940" s="37" t="n">
        <f aca="false">IF($A940-AN940&gt;0,1/(1+AN940),0)</f>
        <v>0</v>
      </c>
      <c r="AQ940" s="7" t="n">
        <f aca="false">IF(AK940=0,0,MAX(MIN(1,AO940^Power),0))</f>
        <v>0</v>
      </c>
      <c r="AR940" s="7" t="n">
        <f aca="false">IF(AL940=0,0,MAX(MIN(1,AP940^Power),0))</f>
        <v>0</v>
      </c>
      <c r="AS940" s="7" t="n">
        <f aca="false">IF($AJ940=1,IF($H940=0,K940,AS939),AS939)</f>
        <v>0</v>
      </c>
      <c r="AT940" s="7" t="n">
        <f aca="false">IF($AJ940=1,IF($H940=1,N940,AT939),AT939)</f>
        <v>0</v>
      </c>
    </row>
    <row r="941" customFormat="false" ht="13" hidden="false" customHeight="false" outlineLevel="0" collapsed="false">
      <c r="A941" s="16" t="n">
        <v>924</v>
      </c>
      <c r="B941" s="37" t="n">
        <f aca="true">IF(RAND()&lt;$D$8,1,0)</f>
        <v>1</v>
      </c>
      <c r="C941" s="20" t="n">
        <f aca="true">-LN(RAND())/$D$2</f>
        <v>3.59842924081377</v>
      </c>
      <c r="D941" s="38" t="n">
        <f aca="false">D940+C941</f>
        <v>974.591551672184</v>
      </c>
      <c r="E941" s="39" t="n">
        <f aca="false">MAX($E$3,AS940)</f>
        <v>0</v>
      </c>
      <c r="F941" s="39" t="n">
        <f aca="false">MAX($E$3,AT940)</f>
        <v>0</v>
      </c>
      <c r="G941" s="40" t="n">
        <v>0.5</v>
      </c>
      <c r="H941" s="38" t="n">
        <f aca="true">IF((B941=1),(IF((F941&lt;E941),1,(IF((F941=E941),(IF(RAND()&lt;G941,1,0)),0)))),(IF((RAND()&lt;G941),1,0)))</f>
        <v>0</v>
      </c>
      <c r="I941" s="38" t="n">
        <f aca="true">IF((H941=1),0,$D$3+$D$5*(RAND()-0.5))</f>
        <v>1.88400957819893</v>
      </c>
      <c r="J941" s="38" t="n">
        <f aca="false">I941+MAX(D941,J940)</f>
        <v>992.591680953971</v>
      </c>
      <c r="K941" s="38" t="n">
        <f aca="false">IF((H941=0),J941-D941,0)</f>
        <v>18.0001292817875</v>
      </c>
      <c r="L941" s="38" t="n">
        <f aca="true">IF(($H941=0),0,$D$4+$D$5*(RAND()-0.5))</f>
        <v>0</v>
      </c>
      <c r="M941" s="38" t="n">
        <f aca="false">L941+MAX(D941,M940)</f>
        <v>989.423002627682</v>
      </c>
      <c r="N941" s="38" t="n">
        <f aca="false">IF((H941=1),M941-D941,0)</f>
        <v>0</v>
      </c>
      <c r="O941" s="16" t="n">
        <v>924</v>
      </c>
      <c r="P941" s="41" t="n">
        <f aca="false">IF((Arterial=0),P940+1,P940)</f>
        <v>443</v>
      </c>
      <c r="Q941" s="41" t="n">
        <f aca="false">IF((Arterial=1),Q940+1,Q940)</f>
        <v>481</v>
      </c>
      <c r="R941" s="42" t="e">
        <f aca="false">IF((RESET=1),0,R941+K941)</f>
        <v>#N/A</v>
      </c>
      <c r="S941" s="14" t="n">
        <f aca="false">IF(RESET=1,0,S941+N941)</f>
        <v>796.351409938353</v>
      </c>
      <c r="T941" s="2" t="e">
        <f aca="false">IF(RESET=1,0,T941+IF(H941=0,1,0))</f>
        <v>#N/A</v>
      </c>
      <c r="U941" s="2" t="n">
        <f aca="false">IF(RESET=1,0,U941+H941)</f>
        <v>40</v>
      </c>
      <c r="V941" s="14" t="e">
        <f aca="false">R941/(T941+0.00001)</f>
        <v>#N/A</v>
      </c>
      <c r="W941" s="14" t="n">
        <f aca="false">S941/(U941+0.0001)</f>
        <v>19.9087354766201</v>
      </c>
      <c r="X941" s="39" t="n">
        <f aca="false">IF(Informed=1,K941,0)</f>
        <v>18.0001292817875</v>
      </c>
      <c r="Y941" s="39" t="n">
        <f aca="false">IF(Informed=0,K941,0)</f>
        <v>0</v>
      </c>
      <c r="Z941" s="39" t="n">
        <f aca="false">IF(Informed=1,N941,0)</f>
        <v>0</v>
      </c>
      <c r="AA941" s="39" t="n">
        <f aca="false">IF(Informed=0,N941,0)</f>
        <v>0</v>
      </c>
      <c r="AB941" s="43" t="n">
        <f aca="false">IF(Arterial=0,IF(Informed=1,1,0),0)</f>
        <v>1</v>
      </c>
      <c r="AC941" s="43" t="n">
        <f aca="false">IF(Arterial=0,IF(Informed=0,1,0),0)</f>
        <v>0</v>
      </c>
      <c r="AD941" s="43" t="n">
        <f aca="false">IF(Arterial=1,IF(Informed=1,1,0),0)</f>
        <v>0</v>
      </c>
      <c r="AE941" s="43" t="n">
        <f aca="false">IF(Arterial=1,IF(Informed=0,1,0),0)</f>
        <v>0</v>
      </c>
      <c r="AF941" s="35" t="n">
        <f aca="false">IF(AB941=1,(X941-G$1030)^2,0)</f>
        <v>53.1506763667723</v>
      </c>
      <c r="AG941" s="35" t="n">
        <f aca="false">IF(AC941=1,(Y941-H$1030)^2,0)</f>
        <v>0</v>
      </c>
      <c r="AH941" s="35" t="n">
        <f aca="false">IF(AD941=1,(Z941-I$1030)^2,0)</f>
        <v>0</v>
      </c>
      <c r="AI941" s="35" t="n">
        <f aca="false">IF(AE941=1,(AA941-J$1030)^2,0)</f>
        <v>0</v>
      </c>
      <c r="AJ941" s="37" t="n">
        <f aca="true">IF(RAND()&lt;$D$6,1,0)</f>
        <v>0</v>
      </c>
      <c r="AK941" s="14" t="n">
        <f aca="false">AK940+IF((AJ941=1),IF((H941=0),1,0),0)</f>
        <v>0</v>
      </c>
      <c r="AL941" s="14" t="n">
        <f aca="false">AL940+IF((AJ941=1),IF((H941=1),1,0),0)</f>
        <v>0</v>
      </c>
      <c r="AM941" s="37" t="n">
        <f aca="false">IF(AK941=0,9999,IF($H941=0,IF($AJ941&lt;1,AM940+1,0),AM940))</f>
        <v>9999</v>
      </c>
      <c r="AN941" s="37" t="n">
        <f aca="false">IF(AL941=0,9999,IF($H941=1,IF($AJ941&lt;1,AN940+1,0),AN940))</f>
        <v>9999</v>
      </c>
      <c r="AO941" s="37" t="n">
        <f aca="false">IF($A941-AM941&gt;0,1/(1+AM941),0)</f>
        <v>0</v>
      </c>
      <c r="AP941" s="37" t="n">
        <f aca="false">IF($A941-AN941&gt;0,1/(1+AN941),0)</f>
        <v>0</v>
      </c>
      <c r="AQ941" s="7" t="n">
        <f aca="false">IF(AK941=0,0,MAX(MIN(1,AO941^Power),0))</f>
        <v>0</v>
      </c>
      <c r="AR941" s="7" t="n">
        <f aca="false">IF(AL941=0,0,MAX(MIN(1,AP941^Power),0))</f>
        <v>0</v>
      </c>
      <c r="AS941" s="7" t="n">
        <f aca="false">IF($AJ941=1,IF($H941=0,K941,AS940),AS940)</f>
        <v>0</v>
      </c>
      <c r="AT941" s="7" t="n">
        <f aca="false">IF($AJ941=1,IF($H941=1,N941,AT940),AT940)</f>
        <v>0</v>
      </c>
    </row>
    <row r="942" customFormat="false" ht="13" hidden="false" customHeight="false" outlineLevel="0" collapsed="false">
      <c r="A942" s="16" t="n">
        <v>925</v>
      </c>
      <c r="B942" s="37" t="n">
        <f aca="true">IF(RAND()&lt;$D$8,1,0)</f>
        <v>1</v>
      </c>
      <c r="C942" s="20" t="n">
        <f aca="true">-LN(RAND())/$D$2</f>
        <v>0.41386630977718</v>
      </c>
      <c r="D942" s="38" t="n">
        <f aca="false">D941+C942</f>
        <v>975.005417981961</v>
      </c>
      <c r="E942" s="39" t="n">
        <f aca="false">MAX($E$3,AS941)</f>
        <v>0</v>
      </c>
      <c r="F942" s="39" t="n">
        <f aca="false">MAX($E$3,AT941)</f>
        <v>0</v>
      </c>
      <c r="G942" s="40" t="n">
        <v>0.5</v>
      </c>
      <c r="H942" s="38" t="n">
        <f aca="true">IF((B942=1),(IF((F942&lt;E942),1,(IF((F942=E942),(IF(RAND()&lt;G942,1,0)),0)))),(IF((RAND()&lt;G942),1,0)))</f>
        <v>0</v>
      </c>
      <c r="I942" s="38" t="n">
        <f aca="true">IF((H942=1),0,$D$3+$D$5*(RAND()-0.5))</f>
        <v>2.08024232784718</v>
      </c>
      <c r="J942" s="38" t="n">
        <f aca="false">I942+MAX(D942,J941)</f>
        <v>994.671923281819</v>
      </c>
      <c r="K942" s="38" t="n">
        <f aca="false">IF((H942=0),J942-D942,0)</f>
        <v>19.6665052998575</v>
      </c>
      <c r="L942" s="38" t="n">
        <f aca="true">IF(($H942=0),0,$D$4+$D$5*(RAND()-0.5))</f>
        <v>0</v>
      </c>
      <c r="M942" s="38" t="n">
        <f aca="false">L942+MAX(D942,M941)</f>
        <v>989.423002627682</v>
      </c>
      <c r="N942" s="38" t="n">
        <f aca="false">IF((H942=1),M942-D942,0)</f>
        <v>0</v>
      </c>
      <c r="O942" s="16" t="n">
        <v>925</v>
      </c>
      <c r="P942" s="41" t="n">
        <f aca="false">IF((Arterial=0),P941+1,P941)</f>
        <v>444</v>
      </c>
      <c r="Q942" s="41" t="n">
        <f aca="false">IF((Arterial=1),Q941+1,Q941)</f>
        <v>481</v>
      </c>
      <c r="R942" s="42" t="e">
        <f aca="false">IF((RESET=1),0,R942+K942)</f>
        <v>#N/A</v>
      </c>
      <c r="S942" s="14" t="n">
        <f aca="false">IF(RESET=1,0,S942+N942)</f>
        <v>760.764253711375</v>
      </c>
      <c r="T942" s="2" t="e">
        <f aca="false">IF(RESET=1,0,T942+IF(H942=0,1,0))</f>
        <v>#N/A</v>
      </c>
      <c r="U942" s="2" t="n">
        <f aca="false">IF(RESET=1,0,U942+H942)</f>
        <v>38</v>
      </c>
      <c r="V942" s="14" t="e">
        <f aca="false">R942/(T942+0.00001)</f>
        <v>#N/A</v>
      </c>
      <c r="W942" s="14" t="n">
        <f aca="false">S942/(U942+0.0001)</f>
        <v>20.0200592554066</v>
      </c>
      <c r="X942" s="39" t="n">
        <f aca="false">IF(Informed=1,K942,0)</f>
        <v>19.6665052998575</v>
      </c>
      <c r="Y942" s="39" t="n">
        <f aca="false">IF(Informed=0,K942,0)</f>
        <v>0</v>
      </c>
      <c r="Z942" s="39" t="n">
        <f aca="false">IF(Informed=1,N942,0)</f>
        <v>0</v>
      </c>
      <c r="AA942" s="39" t="n">
        <f aca="false">IF(Informed=0,N942,0)</f>
        <v>0</v>
      </c>
      <c r="AB942" s="43" t="n">
        <f aca="false">IF(Arterial=0,IF(Informed=1,1,0),0)</f>
        <v>1</v>
      </c>
      <c r="AC942" s="43" t="n">
        <f aca="false">IF(Arterial=0,IF(Informed=0,1,0),0)</f>
        <v>0</v>
      </c>
      <c r="AD942" s="43" t="n">
        <f aca="false">IF(Arterial=1,IF(Informed=1,1,0),0)</f>
        <v>0</v>
      </c>
      <c r="AE942" s="43" t="n">
        <f aca="false">IF(Arterial=1,IF(Informed=0,1,0),0)</f>
        <v>0</v>
      </c>
      <c r="AF942" s="35" t="n">
        <f aca="false">IF(AB942=1,(X942-G$1030)^2,0)</f>
        <v>80.2247509483405</v>
      </c>
      <c r="AG942" s="35" t="n">
        <f aca="false">IF(AC942=1,(Y942-H$1030)^2,0)</f>
        <v>0</v>
      </c>
      <c r="AH942" s="35" t="n">
        <f aca="false">IF(AD942=1,(Z942-I$1030)^2,0)</f>
        <v>0</v>
      </c>
      <c r="AI942" s="35" t="n">
        <f aca="false">IF(AE942=1,(AA942-J$1030)^2,0)</f>
        <v>0</v>
      </c>
      <c r="AJ942" s="37" t="n">
        <f aca="true">IF(RAND()&lt;$D$6,1,0)</f>
        <v>0</v>
      </c>
      <c r="AK942" s="14" t="n">
        <f aca="false">AK941+IF((AJ942=1),IF((H942=0),1,0),0)</f>
        <v>0</v>
      </c>
      <c r="AL942" s="14" t="n">
        <f aca="false">AL941+IF((AJ942=1),IF((H942=1),1,0),0)</f>
        <v>0</v>
      </c>
      <c r="AM942" s="37" t="n">
        <f aca="false">IF(AK942=0,9999,IF($H942=0,IF($AJ942&lt;1,AM941+1,0),AM941))</f>
        <v>9999</v>
      </c>
      <c r="AN942" s="37" t="n">
        <f aca="false">IF(AL942=0,9999,IF($H942=1,IF($AJ942&lt;1,AN941+1,0),AN941))</f>
        <v>9999</v>
      </c>
      <c r="AO942" s="37" t="n">
        <f aca="false">IF($A942-AM942&gt;0,1/(1+AM942),0)</f>
        <v>0</v>
      </c>
      <c r="AP942" s="37" t="n">
        <f aca="false">IF($A942-AN942&gt;0,1/(1+AN942),0)</f>
        <v>0</v>
      </c>
      <c r="AQ942" s="7" t="n">
        <f aca="false">IF(AK942=0,0,MAX(MIN(1,AO942^Power),0))</f>
        <v>0</v>
      </c>
      <c r="AR942" s="7" t="n">
        <f aca="false">IF(AL942=0,0,MAX(MIN(1,AP942^Power),0))</f>
        <v>0</v>
      </c>
      <c r="AS942" s="7" t="n">
        <f aca="false">IF($AJ942=1,IF($H942=0,K942,AS941),AS941)</f>
        <v>0</v>
      </c>
      <c r="AT942" s="7" t="n">
        <f aca="false">IF($AJ942=1,IF($H942=1,N942,AT941),AT941)</f>
        <v>0</v>
      </c>
    </row>
    <row r="943" customFormat="false" ht="13" hidden="false" customHeight="false" outlineLevel="0" collapsed="false">
      <c r="A943" s="16" t="n">
        <v>926</v>
      </c>
      <c r="B943" s="37" t="n">
        <f aca="true">IF(RAND()&lt;$D$8,1,0)</f>
        <v>0</v>
      </c>
      <c r="C943" s="20" t="n">
        <f aca="true">-LN(RAND())/$D$2</f>
        <v>0.629885415472229</v>
      </c>
      <c r="D943" s="38" t="n">
        <f aca="false">D942+C943</f>
        <v>975.635303397433</v>
      </c>
      <c r="E943" s="39" t="n">
        <f aca="false">MAX($E$3,AS942)</f>
        <v>0</v>
      </c>
      <c r="F943" s="39" t="n">
        <f aca="false">MAX($E$3,AT942)</f>
        <v>0</v>
      </c>
      <c r="G943" s="40" t="n">
        <v>0.5</v>
      </c>
      <c r="H943" s="38" t="n">
        <f aca="true">IF((B943=1),(IF((F943&lt;E943),1,(IF((F943=E943),(IF(RAND()&lt;G943,1,0)),0)))),(IF((RAND()&lt;G943),1,0)))</f>
        <v>0</v>
      </c>
      <c r="I943" s="38" t="n">
        <f aca="true">IF((H943=1),0,$D$3+$D$5*(RAND()-0.5))</f>
        <v>2.07624049224443</v>
      </c>
      <c r="J943" s="38" t="n">
        <f aca="false">I943+MAX(D943,J942)</f>
        <v>996.748163774063</v>
      </c>
      <c r="K943" s="38" t="n">
        <f aca="false">IF((H943=0),J943-D943,0)</f>
        <v>21.1128603766297</v>
      </c>
      <c r="L943" s="38" t="n">
        <f aca="true">IF(($H943=0),0,$D$4+$D$5*(RAND()-0.5))</f>
        <v>0</v>
      </c>
      <c r="M943" s="38" t="n">
        <f aca="false">L943+MAX(D943,M942)</f>
        <v>989.423002627682</v>
      </c>
      <c r="N943" s="38" t="n">
        <f aca="false">IF((H943=1),M943-D943,0)</f>
        <v>0</v>
      </c>
      <c r="O943" s="16" t="n">
        <v>926</v>
      </c>
      <c r="P943" s="41" t="n">
        <f aca="false">IF((Arterial=0),P942+1,P942)</f>
        <v>445</v>
      </c>
      <c r="Q943" s="41" t="n">
        <f aca="false">IF((Arterial=1),Q942+1,Q942)</f>
        <v>481</v>
      </c>
      <c r="R943" s="42" t="e">
        <f aca="false">IF((RESET=1),0,R943+K943)</f>
        <v>#N/A</v>
      </c>
      <c r="S943" s="14" t="n">
        <f aca="false">IF(RESET=1,0,S943+N943)</f>
        <v>911.369377357319</v>
      </c>
      <c r="T943" s="2" t="e">
        <f aca="false">IF(RESET=1,0,T943+IF(H943=0,1,0))</f>
        <v>#N/A</v>
      </c>
      <c r="U943" s="2" t="n">
        <f aca="false">IF(RESET=1,0,U943+H943)</f>
        <v>42</v>
      </c>
      <c r="V943" s="14" t="e">
        <f aca="false">R943/(T943+0.00001)</f>
        <v>#N/A</v>
      </c>
      <c r="W943" s="14" t="n">
        <f aca="false">S943/(U943+0.0001)</f>
        <v>21.6992192246523</v>
      </c>
      <c r="X943" s="39" t="n">
        <f aca="false">IF(Informed=1,K943,0)</f>
        <v>0</v>
      </c>
      <c r="Y943" s="39" t="n">
        <f aca="false">IF(Informed=0,K943,0)</f>
        <v>21.1128603766297</v>
      </c>
      <c r="Z943" s="39" t="n">
        <f aca="false">IF(Informed=1,N943,0)</f>
        <v>0</v>
      </c>
      <c r="AA943" s="39" t="n">
        <f aca="false">IF(Informed=0,N943,0)</f>
        <v>0</v>
      </c>
      <c r="AB943" s="43" t="n">
        <f aca="false">IF(Arterial=0,IF(Informed=1,1,0),0)</f>
        <v>0</v>
      </c>
      <c r="AC943" s="43" t="n">
        <f aca="false">IF(Arterial=0,IF(Informed=0,1,0),0)</f>
        <v>1</v>
      </c>
      <c r="AD943" s="43" t="n">
        <f aca="false">IF(Arterial=1,IF(Informed=1,1,0),0)</f>
        <v>0</v>
      </c>
      <c r="AE943" s="43" t="n">
        <f aca="false">IF(Arterial=1,IF(Informed=0,1,0),0)</f>
        <v>0</v>
      </c>
      <c r="AF943" s="35" t="n">
        <f aca="false">IF(AB943=1,(X943-G$1030)^2,0)</f>
        <v>0</v>
      </c>
      <c r="AG943" s="35" t="n">
        <f aca="false">IF(AC943=1,(Y943-H$1030)^2,0)</f>
        <v>103.817251921434</v>
      </c>
      <c r="AH943" s="35" t="n">
        <f aca="false">IF(AD943=1,(Z943-I$1030)^2,0)</f>
        <v>0</v>
      </c>
      <c r="AI943" s="35" t="n">
        <f aca="false">IF(AE943=1,(AA943-J$1030)^2,0)</f>
        <v>0</v>
      </c>
      <c r="AJ943" s="37" t="n">
        <f aca="true">IF(RAND()&lt;$D$6,1,0)</f>
        <v>0</v>
      </c>
      <c r="AK943" s="14" t="n">
        <f aca="false">AK942+IF((AJ943=1),IF((H943=0),1,0),0)</f>
        <v>0</v>
      </c>
      <c r="AL943" s="14" t="n">
        <f aca="false">AL942+IF((AJ943=1),IF((H943=1),1,0),0)</f>
        <v>0</v>
      </c>
      <c r="AM943" s="37" t="n">
        <f aca="false">IF(AK943=0,9999,IF($H943=0,IF($AJ943&lt;1,AM942+1,0),AM942))</f>
        <v>9999</v>
      </c>
      <c r="AN943" s="37" t="n">
        <f aca="false">IF(AL943=0,9999,IF($H943=1,IF($AJ943&lt;1,AN942+1,0),AN942))</f>
        <v>9999</v>
      </c>
      <c r="AO943" s="37" t="n">
        <f aca="false">IF($A943-AM943&gt;0,1/(1+AM943),0)</f>
        <v>0</v>
      </c>
      <c r="AP943" s="37" t="n">
        <f aca="false">IF($A943-AN943&gt;0,1/(1+AN943),0)</f>
        <v>0</v>
      </c>
      <c r="AQ943" s="7" t="n">
        <f aca="false">IF(AK943=0,0,MAX(MIN(1,AO943^Power),0))</f>
        <v>0</v>
      </c>
      <c r="AR943" s="7" t="n">
        <f aca="false">IF(AL943=0,0,MAX(MIN(1,AP943^Power),0))</f>
        <v>0</v>
      </c>
      <c r="AS943" s="7" t="n">
        <f aca="false">IF($AJ943=1,IF($H943=0,K943,AS942),AS942)</f>
        <v>0</v>
      </c>
      <c r="AT943" s="7" t="n">
        <f aca="false">IF($AJ943=1,IF($H943=1,N943,AT942),AT942)</f>
        <v>0</v>
      </c>
    </row>
    <row r="944" customFormat="false" ht="13" hidden="false" customHeight="false" outlineLevel="0" collapsed="false">
      <c r="A944" s="16" t="n">
        <v>927</v>
      </c>
      <c r="B944" s="37" t="n">
        <f aca="true">IF(RAND()&lt;$D$8,1,0)</f>
        <v>1</v>
      </c>
      <c r="C944" s="20" t="n">
        <f aca="true">-LN(RAND())/$D$2</f>
        <v>0.388369975872208</v>
      </c>
      <c r="D944" s="38" t="n">
        <f aca="false">D943+C944</f>
        <v>976.023673373306</v>
      </c>
      <c r="E944" s="39" t="n">
        <f aca="false">MAX($E$3,AS943)</f>
        <v>0</v>
      </c>
      <c r="F944" s="39" t="n">
        <f aca="false">MAX($E$3,AT943)</f>
        <v>0</v>
      </c>
      <c r="G944" s="40" t="n">
        <v>0.5</v>
      </c>
      <c r="H944" s="38" t="n">
        <f aca="true">IF((B944=1),(IF((F944&lt;E944),1,(IF((F944=E944),(IF(RAND()&lt;G944,1,0)),0)))),(IF((RAND()&lt;G944),1,0)))</f>
        <v>0</v>
      </c>
      <c r="I944" s="38" t="n">
        <f aca="true">IF((H944=1),0,$D$3+$D$5*(RAND()-0.5))</f>
        <v>2.23696383533534</v>
      </c>
      <c r="J944" s="38" t="n">
        <f aca="false">I944+MAX(D944,J943)</f>
        <v>998.985127609398</v>
      </c>
      <c r="K944" s="38" t="n">
        <f aca="false">IF((H944=0),J944-D944,0)</f>
        <v>22.9614542360928</v>
      </c>
      <c r="L944" s="38" t="n">
        <f aca="true">IF(($H944=0),0,$D$4+$D$5*(RAND()-0.5))</f>
        <v>0</v>
      </c>
      <c r="M944" s="38" t="n">
        <f aca="false">L944+MAX(D944,M943)</f>
        <v>989.423002627682</v>
      </c>
      <c r="N944" s="38" t="n">
        <f aca="false">IF((H944=1),M944-D944,0)</f>
        <v>0</v>
      </c>
      <c r="O944" s="16" t="n">
        <v>927</v>
      </c>
      <c r="P944" s="41" t="n">
        <f aca="false">IF((Arterial=0),P943+1,P943)</f>
        <v>446</v>
      </c>
      <c r="Q944" s="41" t="n">
        <f aca="false">IF((Arterial=1),Q943+1,Q943)</f>
        <v>481</v>
      </c>
      <c r="R944" s="42" t="e">
        <f aca="false">IF((RESET=1),0,R944+K944)</f>
        <v>#N/A</v>
      </c>
      <c r="S944" s="14" t="n">
        <f aca="false">IF(RESET=1,0,S944+N944)</f>
        <v>915.654770888286</v>
      </c>
      <c r="T944" s="2" t="e">
        <f aca="false">IF(RESET=1,0,T944+IF(H944=0,1,0))</f>
        <v>#N/A</v>
      </c>
      <c r="U944" s="2" t="n">
        <f aca="false">IF(RESET=1,0,U944+H944)</f>
        <v>38</v>
      </c>
      <c r="V944" s="14" t="e">
        <f aca="false">R944/(T944+0.00001)</f>
        <v>#N/A</v>
      </c>
      <c r="W944" s="14" t="n">
        <f aca="false">S944/(U944+0.0001)</f>
        <v>24.0961147704423</v>
      </c>
      <c r="X944" s="39" t="n">
        <f aca="false">IF(Informed=1,K944,0)</f>
        <v>22.9614542360928</v>
      </c>
      <c r="Y944" s="39" t="n">
        <f aca="false">IF(Informed=0,K944,0)</f>
        <v>0</v>
      </c>
      <c r="Z944" s="39" t="n">
        <f aca="false">IF(Informed=1,N944,0)</f>
        <v>0</v>
      </c>
      <c r="AA944" s="39" t="n">
        <f aca="false">IF(Informed=0,N944,0)</f>
        <v>0</v>
      </c>
      <c r="AB944" s="43" t="n">
        <f aca="false">IF(Arterial=0,IF(Informed=1,1,0),0)</f>
        <v>1</v>
      </c>
      <c r="AC944" s="43" t="n">
        <f aca="false">IF(Arterial=0,IF(Informed=0,1,0),0)</f>
        <v>0</v>
      </c>
      <c r="AD944" s="43" t="n">
        <f aca="false">IF(Arterial=1,IF(Informed=1,1,0),0)</f>
        <v>0</v>
      </c>
      <c r="AE944" s="43" t="n">
        <f aca="false">IF(Arterial=1,IF(Informed=0,1,0),0)</f>
        <v>0</v>
      </c>
      <c r="AF944" s="35" t="n">
        <f aca="false">IF(AB944=1,(X944-G$1030)^2,0)</f>
        <v>150.106015014862</v>
      </c>
      <c r="AG944" s="35" t="n">
        <f aca="false">IF(AC944=1,(Y944-H$1030)^2,0)</f>
        <v>0</v>
      </c>
      <c r="AH944" s="35" t="n">
        <f aca="false">IF(AD944=1,(Z944-I$1030)^2,0)</f>
        <v>0</v>
      </c>
      <c r="AI944" s="35" t="n">
        <f aca="false">IF(AE944=1,(AA944-J$1030)^2,0)</f>
        <v>0</v>
      </c>
      <c r="AJ944" s="37" t="n">
        <f aca="true">IF(RAND()&lt;$D$6,1,0)</f>
        <v>0</v>
      </c>
      <c r="AK944" s="14" t="n">
        <f aca="false">AK943+IF((AJ944=1),IF((H944=0),1,0),0)</f>
        <v>0</v>
      </c>
      <c r="AL944" s="14" t="n">
        <f aca="false">AL943+IF((AJ944=1),IF((H944=1),1,0),0)</f>
        <v>0</v>
      </c>
      <c r="AM944" s="37" t="n">
        <f aca="false">IF(AK944=0,9999,IF($H944=0,IF($AJ944&lt;1,AM943+1,0),AM943))</f>
        <v>9999</v>
      </c>
      <c r="AN944" s="37" t="n">
        <f aca="false">IF(AL944=0,9999,IF($H944=1,IF($AJ944&lt;1,AN943+1,0),AN943))</f>
        <v>9999</v>
      </c>
      <c r="AO944" s="37" t="n">
        <f aca="false">IF($A944-AM944&gt;0,1/(1+AM944),0)</f>
        <v>0</v>
      </c>
      <c r="AP944" s="37" t="n">
        <f aca="false">IF($A944-AN944&gt;0,1/(1+AN944),0)</f>
        <v>0</v>
      </c>
      <c r="AQ944" s="7" t="n">
        <f aca="false">IF(AK944=0,0,MAX(MIN(1,AO944^Power),0))</f>
        <v>0</v>
      </c>
      <c r="AR944" s="7" t="n">
        <f aca="false">IF(AL944=0,0,MAX(MIN(1,AP944^Power),0))</f>
        <v>0</v>
      </c>
      <c r="AS944" s="7" t="n">
        <f aca="false">IF($AJ944=1,IF($H944=0,K944,AS943),AS943)</f>
        <v>0</v>
      </c>
      <c r="AT944" s="7" t="n">
        <f aca="false">IF($AJ944=1,IF($H944=1,N944,AT943),AT943)</f>
        <v>0</v>
      </c>
    </row>
    <row r="945" customFormat="false" ht="13" hidden="false" customHeight="false" outlineLevel="0" collapsed="false">
      <c r="A945" s="16" t="n">
        <v>928</v>
      </c>
      <c r="B945" s="37" t="n">
        <f aca="true">IF(RAND()&lt;$D$8,1,0)</f>
        <v>1</v>
      </c>
      <c r="C945" s="20" t="n">
        <f aca="true">-LN(RAND())/$D$2</f>
        <v>1.07686165811926</v>
      </c>
      <c r="D945" s="38" t="n">
        <f aca="false">D944+C945</f>
        <v>977.100535031425</v>
      </c>
      <c r="E945" s="39" t="n">
        <f aca="false">MAX($E$3,AS944)</f>
        <v>0</v>
      </c>
      <c r="F945" s="39" t="n">
        <f aca="false">MAX($E$3,AT944)</f>
        <v>0</v>
      </c>
      <c r="G945" s="40" t="n">
        <v>0.5</v>
      </c>
      <c r="H945" s="38" t="n">
        <f aca="true">IF((B945=1),(IF((F945&lt;E945),1,(IF((F945=E945),(IF(RAND()&lt;G945,1,0)),0)))),(IF((RAND()&lt;G945),1,0)))</f>
        <v>0</v>
      </c>
      <c r="I945" s="38" t="n">
        <f aca="true">IF((H945=1),0,$D$3+$D$5*(RAND()-0.5))</f>
        <v>2.09384420886646</v>
      </c>
      <c r="J945" s="38" t="n">
        <f aca="false">I945+MAX(D945,J944)</f>
        <v>1001.07897181826</v>
      </c>
      <c r="K945" s="38" t="n">
        <f aca="false">IF((H945=0),J945-D945,0)</f>
        <v>23.97843678684</v>
      </c>
      <c r="L945" s="38" t="n">
        <f aca="true">IF(($H945=0),0,$D$4+$D$5*(RAND()-0.5))</f>
        <v>0</v>
      </c>
      <c r="M945" s="38" t="n">
        <f aca="false">L945+MAX(D945,M944)</f>
        <v>989.423002627682</v>
      </c>
      <c r="N945" s="38" t="n">
        <f aca="false">IF((H945=1),M945-D945,0)</f>
        <v>0</v>
      </c>
      <c r="O945" s="16" t="n">
        <v>928</v>
      </c>
      <c r="P945" s="41" t="n">
        <f aca="false">IF((Arterial=0),P944+1,P944)</f>
        <v>447</v>
      </c>
      <c r="Q945" s="41" t="n">
        <f aca="false">IF((Arterial=1),Q944+1,Q944)</f>
        <v>481</v>
      </c>
      <c r="R945" s="42" t="e">
        <f aca="false">IF((RESET=1),0,R945+K945)</f>
        <v>#N/A</v>
      </c>
      <c r="S945" s="14" t="n">
        <f aca="false">IF(RESET=1,0,S945+N945)</f>
        <v>722.215400525525</v>
      </c>
      <c r="T945" s="2" t="e">
        <f aca="false">IF(RESET=1,0,T945+IF(H945=0,1,0))</f>
        <v>#N/A</v>
      </c>
      <c r="U945" s="2" t="n">
        <f aca="false">IF(RESET=1,0,U945+H945)</f>
        <v>34</v>
      </c>
      <c r="V945" s="14" t="e">
        <f aca="false">R945/(T945+0.00001)</f>
        <v>#N/A</v>
      </c>
      <c r="W945" s="14" t="n">
        <f aca="false">S945/(U945+0.0001)</f>
        <v>21.2415669520244</v>
      </c>
      <c r="X945" s="39" t="n">
        <f aca="false">IF(Informed=1,K945,0)</f>
        <v>23.97843678684</v>
      </c>
      <c r="Y945" s="39" t="n">
        <f aca="false">IF(Informed=0,K945,0)</f>
        <v>0</v>
      </c>
      <c r="Z945" s="39" t="n">
        <f aca="false">IF(Informed=1,N945,0)</f>
        <v>0</v>
      </c>
      <c r="AA945" s="39" t="n">
        <f aca="false">IF(Informed=0,N945,0)</f>
        <v>0</v>
      </c>
      <c r="AB945" s="43" t="n">
        <f aca="false">IF(Arterial=0,IF(Informed=1,1,0),0)</f>
        <v>1</v>
      </c>
      <c r="AC945" s="43" t="n">
        <f aca="false">IF(Arterial=0,IF(Informed=0,1,0),0)</f>
        <v>0</v>
      </c>
      <c r="AD945" s="43" t="n">
        <f aca="false">IF(Arterial=1,IF(Informed=1,1,0),0)</f>
        <v>0</v>
      </c>
      <c r="AE945" s="43" t="n">
        <f aca="false">IF(Arterial=1,IF(Informed=0,1,0),0)</f>
        <v>0</v>
      </c>
      <c r="AF945" s="35" t="n">
        <f aca="false">IF(AB945=1,(X945-G$1030)^2,0)</f>
        <v>176.05995332715</v>
      </c>
      <c r="AG945" s="35" t="n">
        <f aca="false">IF(AC945=1,(Y945-H$1030)^2,0)</f>
        <v>0</v>
      </c>
      <c r="AH945" s="35" t="n">
        <f aca="false">IF(AD945=1,(Z945-I$1030)^2,0)</f>
        <v>0</v>
      </c>
      <c r="AI945" s="35" t="n">
        <f aca="false">IF(AE945=1,(AA945-J$1030)^2,0)</f>
        <v>0</v>
      </c>
      <c r="AJ945" s="37" t="n">
        <f aca="true">IF(RAND()&lt;$D$6,1,0)</f>
        <v>0</v>
      </c>
      <c r="AK945" s="14" t="n">
        <f aca="false">AK944+IF((AJ945=1),IF((H945=0),1,0),0)</f>
        <v>0</v>
      </c>
      <c r="AL945" s="14" t="n">
        <f aca="false">AL944+IF((AJ945=1),IF((H945=1),1,0),0)</f>
        <v>0</v>
      </c>
      <c r="AM945" s="37" t="n">
        <f aca="false">IF(AK945=0,9999,IF($H945=0,IF($AJ945&lt;1,AM944+1,0),AM944))</f>
        <v>9999</v>
      </c>
      <c r="AN945" s="37" t="n">
        <f aca="false">IF(AL945=0,9999,IF($H945=1,IF($AJ945&lt;1,AN944+1,0),AN944))</f>
        <v>9999</v>
      </c>
      <c r="AO945" s="37" t="n">
        <f aca="false">IF($A945-AM945&gt;0,1/(1+AM945),0)</f>
        <v>0</v>
      </c>
      <c r="AP945" s="37" t="n">
        <f aca="false">IF($A945-AN945&gt;0,1/(1+AN945),0)</f>
        <v>0</v>
      </c>
      <c r="AQ945" s="7" t="n">
        <f aca="false">IF(AK945=0,0,MAX(MIN(1,AO945^Power),0))</f>
        <v>0</v>
      </c>
      <c r="AR945" s="7" t="n">
        <f aca="false">IF(AL945=0,0,MAX(MIN(1,AP945^Power),0))</f>
        <v>0</v>
      </c>
      <c r="AS945" s="7" t="n">
        <f aca="false">IF($AJ945=1,IF($H945=0,K945,AS944),AS944)</f>
        <v>0</v>
      </c>
      <c r="AT945" s="7" t="n">
        <f aca="false">IF($AJ945=1,IF($H945=1,N945,AT944),AT944)</f>
        <v>0</v>
      </c>
    </row>
    <row r="946" customFormat="false" ht="13" hidden="false" customHeight="false" outlineLevel="0" collapsed="false">
      <c r="A946" s="16" t="n">
        <v>929</v>
      </c>
      <c r="B946" s="37" t="n">
        <f aca="true">IF(RAND()&lt;$D$8,1,0)</f>
        <v>1</v>
      </c>
      <c r="C946" s="20" t="n">
        <f aca="true">-LN(RAND())/$D$2</f>
        <v>1.0982407314394</v>
      </c>
      <c r="D946" s="38" t="n">
        <f aca="false">D945+C946</f>
        <v>978.198775762864</v>
      </c>
      <c r="E946" s="39" t="n">
        <f aca="false">MAX($E$3,AS945)</f>
        <v>0</v>
      </c>
      <c r="F946" s="39" t="n">
        <f aca="false">MAX($E$3,AT945)</f>
        <v>0</v>
      </c>
      <c r="G946" s="40" t="n">
        <v>0.5</v>
      </c>
      <c r="H946" s="38" t="n">
        <f aca="true">IF((B946=1),(IF((F946&lt;E946),1,(IF((F946=E946),(IF(RAND()&lt;G946,1,0)),0)))),(IF((RAND()&lt;G946),1,0)))</f>
        <v>0</v>
      </c>
      <c r="I946" s="38" t="n">
        <f aca="true">IF((H946=1),0,$D$3+$D$5*(RAND()-0.5))</f>
        <v>2.04105937574397</v>
      </c>
      <c r="J946" s="38" t="n">
        <f aca="false">I946+MAX(D946,J945)</f>
        <v>1003.12003119401</v>
      </c>
      <c r="K946" s="38" t="n">
        <f aca="false">IF((H946=0),J946-D946,0)</f>
        <v>24.9212554311446</v>
      </c>
      <c r="L946" s="38" t="n">
        <f aca="true">IF(($H946=0),0,$D$4+$D$5*(RAND()-0.5))</f>
        <v>0</v>
      </c>
      <c r="M946" s="38" t="n">
        <f aca="false">L946+MAX(D946,M945)</f>
        <v>989.423002627682</v>
      </c>
      <c r="N946" s="38" t="n">
        <f aca="false">IF((H946=1),M946-D946,0)</f>
        <v>0</v>
      </c>
      <c r="O946" s="16" t="n">
        <v>929</v>
      </c>
      <c r="P946" s="41" t="n">
        <f aca="false">IF((Arterial=0),P945+1,P945)</f>
        <v>448</v>
      </c>
      <c r="Q946" s="41" t="n">
        <f aca="false">IF((Arterial=1),Q945+1,Q945)</f>
        <v>481</v>
      </c>
      <c r="R946" s="42" t="e">
        <f aca="false">IF((RESET=1),0,R946+K946)</f>
        <v>#N/A</v>
      </c>
      <c r="S946" s="14" t="n">
        <f aca="false">IF(RESET=1,0,S946+N946)</f>
        <v>1028.10097390774</v>
      </c>
      <c r="T946" s="2" t="e">
        <f aca="false">IF(RESET=1,0,T946+IF(H946=0,1,0))</f>
        <v>#N/A</v>
      </c>
      <c r="U946" s="2" t="n">
        <f aca="false">IF(RESET=1,0,U946+H946)</f>
        <v>49</v>
      </c>
      <c r="V946" s="14" t="e">
        <f aca="false">R946/(T946+0.00001)</f>
        <v>#N/A</v>
      </c>
      <c r="W946" s="14" t="n">
        <f aca="false">S946/(U946+0.0001)</f>
        <v>20.9816097091177</v>
      </c>
      <c r="X946" s="39" t="n">
        <f aca="false">IF(Informed=1,K946,0)</f>
        <v>24.9212554311446</v>
      </c>
      <c r="Y946" s="39" t="n">
        <f aca="false">IF(Informed=0,K946,0)</f>
        <v>0</v>
      </c>
      <c r="Z946" s="39" t="n">
        <f aca="false">IF(Informed=1,N946,0)</f>
        <v>0</v>
      </c>
      <c r="AA946" s="39" t="n">
        <f aca="false">IF(Informed=0,N946,0)</f>
        <v>0</v>
      </c>
      <c r="AB946" s="43" t="n">
        <f aca="false">IF(Arterial=0,IF(Informed=1,1,0),0)</f>
        <v>1</v>
      </c>
      <c r="AC946" s="43" t="n">
        <f aca="false">IF(Arterial=0,IF(Informed=0,1,0),0)</f>
        <v>0</v>
      </c>
      <c r="AD946" s="43" t="n">
        <f aca="false">IF(Arterial=1,IF(Informed=1,1,0),0)</f>
        <v>0</v>
      </c>
      <c r="AE946" s="43" t="n">
        <f aca="false">IF(Arterial=1,IF(Informed=0,1,0),0)</f>
        <v>0</v>
      </c>
      <c r="AF946" s="35" t="n">
        <f aca="false">IF(AB946=1,(X946-G$1030)^2,0)</f>
        <v>201.968926209318</v>
      </c>
      <c r="AG946" s="35" t="n">
        <f aca="false">IF(AC946=1,(Y946-H$1030)^2,0)</f>
        <v>0</v>
      </c>
      <c r="AH946" s="35" t="n">
        <f aca="false">IF(AD946=1,(Z946-I$1030)^2,0)</f>
        <v>0</v>
      </c>
      <c r="AI946" s="35" t="n">
        <f aca="false">IF(AE946=1,(AA946-J$1030)^2,0)</f>
        <v>0</v>
      </c>
      <c r="AJ946" s="37" t="n">
        <f aca="true">IF(RAND()&lt;$D$6,1,0)</f>
        <v>0</v>
      </c>
      <c r="AK946" s="14" t="n">
        <f aca="false">AK945+IF((AJ946=1),IF((H946=0),1,0),0)</f>
        <v>0</v>
      </c>
      <c r="AL946" s="14" t="n">
        <f aca="false">AL945+IF((AJ946=1),IF((H946=1),1,0),0)</f>
        <v>0</v>
      </c>
      <c r="AM946" s="37" t="n">
        <f aca="false">IF(AK946=0,9999,IF($H946=0,IF($AJ946&lt;1,AM945+1,0),AM945))</f>
        <v>9999</v>
      </c>
      <c r="AN946" s="37" t="n">
        <f aca="false">IF(AL946=0,9999,IF($H946=1,IF($AJ946&lt;1,AN945+1,0),AN945))</f>
        <v>9999</v>
      </c>
      <c r="AO946" s="37" t="n">
        <f aca="false">IF($A946-AM946&gt;0,1/(1+AM946),0)</f>
        <v>0</v>
      </c>
      <c r="AP946" s="37" t="n">
        <f aca="false">IF($A946-AN946&gt;0,1/(1+AN946),0)</f>
        <v>0</v>
      </c>
      <c r="AQ946" s="7" t="n">
        <f aca="false">IF(AK946=0,0,MAX(MIN(1,AO946^Power),0))</f>
        <v>0</v>
      </c>
      <c r="AR946" s="7" t="n">
        <f aca="false">IF(AL946=0,0,MAX(MIN(1,AP946^Power),0))</f>
        <v>0</v>
      </c>
      <c r="AS946" s="7" t="n">
        <f aca="false">IF($AJ946=1,IF($H946=0,K946,AS945),AS945)</f>
        <v>0</v>
      </c>
      <c r="AT946" s="7" t="n">
        <f aca="false">IF($AJ946=1,IF($H946=1,N946,AT945),AT945)</f>
        <v>0</v>
      </c>
    </row>
    <row r="947" customFormat="false" ht="13" hidden="false" customHeight="false" outlineLevel="0" collapsed="false">
      <c r="A947" s="16" t="n">
        <v>930</v>
      </c>
      <c r="B947" s="37" t="n">
        <f aca="true">IF(RAND()&lt;$D$8,1,0)</f>
        <v>1</v>
      </c>
      <c r="C947" s="20" t="n">
        <f aca="true">-LN(RAND())/$D$2</f>
        <v>0.473277983686915</v>
      </c>
      <c r="D947" s="38" t="n">
        <f aca="false">D946+C947</f>
        <v>978.672053746551</v>
      </c>
      <c r="E947" s="39" t="n">
        <f aca="false">MAX($E$3,AS946)</f>
        <v>0</v>
      </c>
      <c r="F947" s="39" t="n">
        <f aca="false">MAX($E$3,AT946)</f>
        <v>0</v>
      </c>
      <c r="G947" s="40" t="n">
        <v>0.5</v>
      </c>
      <c r="H947" s="38" t="n">
        <f aca="true">IF((B947=1),(IF((F947&lt;E947),1,(IF((F947=E947),(IF(RAND()&lt;G947,1,0)),0)))),(IF((RAND()&lt;G947),1,0)))</f>
        <v>1</v>
      </c>
      <c r="I947" s="38" t="n">
        <f aca="true">IF((H947=1),0,$D$3+$D$5*(RAND()-0.5))</f>
        <v>0</v>
      </c>
      <c r="J947" s="38" t="n">
        <f aca="false">I947+MAX(D947,J946)</f>
        <v>1003.12003119401</v>
      </c>
      <c r="K947" s="38" t="n">
        <f aca="false">IF((H947=0),J947-D947,0)</f>
        <v>0</v>
      </c>
      <c r="L947" s="38" t="n">
        <f aca="true">IF(($H947=0),0,$D$4+$D$5*(RAND()-0.5))</f>
        <v>2.22017029715491</v>
      </c>
      <c r="M947" s="38" t="n">
        <f aca="false">L947+MAX(D947,M946)</f>
        <v>991.643172924837</v>
      </c>
      <c r="N947" s="38" t="n">
        <f aca="false">IF((H947=1),M947-D947,0)</f>
        <v>12.9711191782857</v>
      </c>
      <c r="O947" s="16" t="n">
        <v>930</v>
      </c>
      <c r="P947" s="41" t="n">
        <f aca="false">IF((Arterial=0),P946+1,P946)</f>
        <v>448</v>
      </c>
      <c r="Q947" s="41" t="n">
        <f aca="false">IF((Arterial=1),Q946+1,Q946)</f>
        <v>482</v>
      </c>
      <c r="R947" s="42" t="n">
        <f aca="false">IF((RESET=1),0,R947+K947)</f>
        <v>875.821022628296</v>
      </c>
      <c r="S947" s="14" t="e">
        <f aca="false">IF(RESET=1,0,S947+N947)</f>
        <v>#N/A</v>
      </c>
      <c r="T947" s="2" t="n">
        <f aca="false">IF(RESET=1,0,T947+IF(H947=0,1,0))</f>
        <v>42</v>
      </c>
      <c r="U947" s="2" t="e">
        <f aca="false">IF(RESET=1,0,U947+H947)</f>
        <v>#N/A</v>
      </c>
      <c r="V947" s="14" t="n">
        <f aca="false">R947/(T947+0.00001)</f>
        <v>20.8528765261793</v>
      </c>
      <c r="W947" s="14" t="e">
        <f aca="false">S947/(U947+0.0001)</f>
        <v>#N/A</v>
      </c>
      <c r="X947" s="39" t="n">
        <f aca="false">IF(Informed=1,K947,0)</f>
        <v>0</v>
      </c>
      <c r="Y947" s="39" t="n">
        <f aca="false">IF(Informed=0,K947,0)</f>
        <v>0</v>
      </c>
      <c r="Z947" s="39" t="n">
        <f aca="false">IF(Informed=1,N947,0)</f>
        <v>12.9711191782857</v>
      </c>
      <c r="AA947" s="39" t="n">
        <f aca="false">IF(Informed=0,N947,0)</f>
        <v>0</v>
      </c>
      <c r="AB947" s="43" t="n">
        <f aca="false">IF(Arterial=0,IF(Informed=1,1,0),0)</f>
        <v>0</v>
      </c>
      <c r="AC947" s="43" t="n">
        <f aca="false">IF(Arterial=0,IF(Informed=0,1,0),0)</f>
        <v>0</v>
      </c>
      <c r="AD947" s="43" t="n">
        <f aca="false">IF(Arterial=1,IF(Informed=1,1,0),0)</f>
        <v>1</v>
      </c>
      <c r="AE947" s="43" t="n">
        <f aca="false">IF(Arterial=1,IF(Informed=0,1,0),0)</f>
        <v>0</v>
      </c>
      <c r="AF947" s="35" t="n">
        <f aca="false">IF(AB947=1,(X947-G$1030)^2,0)</f>
        <v>0</v>
      </c>
      <c r="AG947" s="35" t="n">
        <f aca="false">IF(AC947=1,(Y947-H$1030)^2,0)</f>
        <v>0</v>
      </c>
      <c r="AH947" s="35" t="n">
        <f aca="false">IF(AD947=1,(Z947-I$1030)^2,0)</f>
        <v>237.274454746266</v>
      </c>
      <c r="AI947" s="35" t="n">
        <f aca="false">IF(AE947=1,(AA947-J$1030)^2,0)</f>
        <v>0</v>
      </c>
      <c r="AJ947" s="37" t="n">
        <f aca="true">IF(RAND()&lt;$D$6,1,0)</f>
        <v>0</v>
      </c>
      <c r="AK947" s="14" t="n">
        <f aca="false">AK946+IF((AJ947=1),IF((H947=0),1,0),0)</f>
        <v>0</v>
      </c>
      <c r="AL947" s="14" t="n">
        <f aca="false">AL946+IF((AJ947=1),IF((H947=1),1,0),0)</f>
        <v>0</v>
      </c>
      <c r="AM947" s="37" t="n">
        <f aca="false">IF(AK947=0,9999,IF($H947=0,IF($AJ947&lt;1,AM946+1,0),AM946))</f>
        <v>9999</v>
      </c>
      <c r="AN947" s="37" t="n">
        <f aca="false">IF(AL947=0,9999,IF($H947=1,IF($AJ947&lt;1,AN946+1,0),AN946))</f>
        <v>9999</v>
      </c>
      <c r="AO947" s="37" t="n">
        <f aca="false">IF($A947-AM947&gt;0,1/(1+AM947),0)</f>
        <v>0</v>
      </c>
      <c r="AP947" s="37" t="n">
        <f aca="false">IF($A947-AN947&gt;0,1/(1+AN947),0)</f>
        <v>0</v>
      </c>
      <c r="AQ947" s="7" t="n">
        <f aca="false">IF(AK947=0,0,MAX(MIN(1,AO947^Power),0))</f>
        <v>0</v>
      </c>
      <c r="AR947" s="7" t="n">
        <f aca="false">IF(AL947=0,0,MAX(MIN(1,AP947^Power),0))</f>
        <v>0</v>
      </c>
      <c r="AS947" s="7" t="n">
        <f aca="false">IF($AJ947=1,IF($H947=0,K947,AS946),AS946)</f>
        <v>0</v>
      </c>
      <c r="AT947" s="7" t="n">
        <f aca="false">IF($AJ947=1,IF($H947=1,N947,AT946),AT946)</f>
        <v>0</v>
      </c>
    </row>
    <row r="948" customFormat="false" ht="13" hidden="false" customHeight="false" outlineLevel="0" collapsed="false">
      <c r="A948" s="16" t="n">
        <v>931</v>
      </c>
      <c r="B948" s="37" t="n">
        <f aca="true">IF(RAND()&lt;$D$8,1,0)</f>
        <v>0</v>
      </c>
      <c r="C948" s="20" t="n">
        <f aca="true">-LN(RAND())/$D$2</f>
        <v>1.93652423139912</v>
      </c>
      <c r="D948" s="38" t="n">
        <f aca="false">D947+C948</f>
        <v>980.60857797795</v>
      </c>
      <c r="E948" s="39" t="n">
        <f aca="false">MAX($E$3,AS947)</f>
        <v>0</v>
      </c>
      <c r="F948" s="39" t="n">
        <f aca="false">MAX($E$3,AT947)</f>
        <v>0</v>
      </c>
      <c r="G948" s="40" t="n">
        <v>0.5</v>
      </c>
      <c r="H948" s="38" t="n">
        <f aca="true">IF((B948=1),(IF((F948&lt;E948),1,(IF((F948=E948),(IF(RAND()&lt;G948,1,0)),0)))),(IF((RAND()&lt;G948),1,0)))</f>
        <v>0</v>
      </c>
      <c r="I948" s="38" t="n">
        <f aca="true">IF((H948=1),0,$D$3+$D$5*(RAND()-0.5))</f>
        <v>1.86462325076873</v>
      </c>
      <c r="J948" s="38" t="n">
        <f aca="false">I948+MAX(D948,J947)</f>
        <v>1004.98465444478</v>
      </c>
      <c r="K948" s="38" t="n">
        <f aca="false">IF((H948=0),J948-D948,0)</f>
        <v>24.3760764668273</v>
      </c>
      <c r="L948" s="38" t="n">
        <f aca="true">IF(($H948=0),0,$D$4+$D$5*(RAND()-0.5))</f>
        <v>0</v>
      </c>
      <c r="M948" s="38" t="n">
        <f aca="false">L948+MAX(D948,M947)</f>
        <v>991.643172924837</v>
      </c>
      <c r="N948" s="38" t="n">
        <f aca="false">IF((H948=1),M948-D948,0)</f>
        <v>0</v>
      </c>
      <c r="O948" s="16" t="n">
        <v>931</v>
      </c>
      <c r="P948" s="41" t="n">
        <f aca="false">IF((Arterial=0),P947+1,P947)</f>
        <v>449</v>
      </c>
      <c r="Q948" s="41" t="n">
        <f aca="false">IF((Arterial=1),Q947+1,Q947)</f>
        <v>482</v>
      </c>
      <c r="R948" s="42" t="e">
        <f aca="false">IF((RESET=1),0,R948+K948)</f>
        <v>#N/A</v>
      </c>
      <c r="S948" s="14" t="n">
        <f aca="false">IF(RESET=1,0,S948+N948)</f>
        <v>915.521939062995</v>
      </c>
      <c r="T948" s="2" t="e">
        <f aca="false">IF(RESET=1,0,T948+IF(H948=0,1,0))</f>
        <v>#N/A</v>
      </c>
      <c r="U948" s="2" t="n">
        <f aca="false">IF(RESET=1,0,U948+H948)</f>
        <v>44</v>
      </c>
      <c r="V948" s="14" t="e">
        <f aca="false">R948/(T948+0.00001)</f>
        <v>#N/A</v>
      </c>
      <c r="W948" s="14" t="n">
        <f aca="false">S948/(U948+0.0001)</f>
        <v>20.8072695076374</v>
      </c>
      <c r="X948" s="39" t="n">
        <f aca="false">IF(Informed=1,K948,0)</f>
        <v>0</v>
      </c>
      <c r="Y948" s="39" t="n">
        <f aca="false">IF(Informed=0,K948,0)</f>
        <v>24.3760764668273</v>
      </c>
      <c r="Z948" s="39" t="n">
        <f aca="false">IF(Informed=1,N948,0)</f>
        <v>0</v>
      </c>
      <c r="AA948" s="39" t="n">
        <f aca="false">IF(Informed=0,N948,0)</f>
        <v>0</v>
      </c>
      <c r="AB948" s="43" t="n">
        <f aca="false">IF(Arterial=0,IF(Informed=1,1,0),0)</f>
        <v>0</v>
      </c>
      <c r="AC948" s="43" t="n">
        <f aca="false">IF(Arterial=0,IF(Informed=0,1,0),0)</f>
        <v>1</v>
      </c>
      <c r="AD948" s="43" t="n">
        <f aca="false">IF(Arterial=1,IF(Informed=1,1,0),0)</f>
        <v>0</v>
      </c>
      <c r="AE948" s="43" t="n">
        <f aca="false">IF(Arterial=1,IF(Informed=0,1,0),0)</f>
        <v>0</v>
      </c>
      <c r="AF948" s="35" t="n">
        <f aca="false">IF(AB948=1,(X948-G$1030)^2,0)</f>
        <v>0</v>
      </c>
      <c r="AG948" s="35" t="n">
        <f aca="false">IF(AC948=1,(Y948-H$1030)^2,0)</f>
        <v>180.96413896296</v>
      </c>
      <c r="AH948" s="35" t="n">
        <f aca="false">IF(AD948=1,(Z948-I$1030)^2,0)</f>
        <v>0</v>
      </c>
      <c r="AI948" s="35" t="n">
        <f aca="false">IF(AE948=1,(AA948-J$1030)^2,0)</f>
        <v>0</v>
      </c>
      <c r="AJ948" s="37" t="n">
        <f aca="true">IF(RAND()&lt;$D$6,1,0)</f>
        <v>0</v>
      </c>
      <c r="AK948" s="14" t="n">
        <f aca="false">AK947+IF((AJ948=1),IF((H948=0),1,0),0)</f>
        <v>0</v>
      </c>
      <c r="AL948" s="14" t="n">
        <f aca="false">AL947+IF((AJ948=1),IF((H948=1),1,0),0)</f>
        <v>0</v>
      </c>
      <c r="AM948" s="37" t="n">
        <f aca="false">IF(AK948=0,9999,IF($H948=0,IF($AJ948&lt;1,AM947+1,0),AM947))</f>
        <v>9999</v>
      </c>
      <c r="AN948" s="37" t="n">
        <f aca="false">IF(AL948=0,9999,IF($H948=1,IF($AJ948&lt;1,AN947+1,0),AN947))</f>
        <v>9999</v>
      </c>
      <c r="AO948" s="37" t="n">
        <f aca="false">IF($A948-AM948&gt;0,1/(1+AM948),0)</f>
        <v>0</v>
      </c>
      <c r="AP948" s="37" t="n">
        <f aca="false">IF($A948-AN948&gt;0,1/(1+AN948),0)</f>
        <v>0</v>
      </c>
      <c r="AQ948" s="7" t="n">
        <f aca="false">IF(AK948=0,0,MAX(MIN(1,AO948^Power),0))</f>
        <v>0</v>
      </c>
      <c r="AR948" s="7" t="n">
        <f aca="false">IF(AL948=0,0,MAX(MIN(1,AP948^Power),0))</f>
        <v>0</v>
      </c>
      <c r="AS948" s="7" t="n">
        <f aca="false">IF($AJ948=1,IF($H948=0,K948,AS947),AS947)</f>
        <v>0</v>
      </c>
      <c r="AT948" s="7" t="n">
        <f aca="false">IF($AJ948=1,IF($H948=1,N948,AT947),AT947)</f>
        <v>0</v>
      </c>
    </row>
    <row r="949" customFormat="false" ht="13" hidden="false" customHeight="false" outlineLevel="0" collapsed="false">
      <c r="A949" s="16" t="n">
        <v>932</v>
      </c>
      <c r="B949" s="37" t="n">
        <f aca="true">IF(RAND()&lt;$D$8,1,0)</f>
        <v>0</v>
      </c>
      <c r="C949" s="20" t="n">
        <f aca="true">-LN(RAND())/$D$2</f>
        <v>0.225941592234633</v>
      </c>
      <c r="D949" s="38" t="n">
        <f aca="false">D948+C949</f>
        <v>980.834519570185</v>
      </c>
      <c r="E949" s="39" t="n">
        <f aca="false">MAX($E$3,AS948)</f>
        <v>0</v>
      </c>
      <c r="F949" s="39" t="n">
        <f aca="false">MAX($E$3,AT948)</f>
        <v>0</v>
      </c>
      <c r="G949" s="40" t="n">
        <v>0.5</v>
      </c>
      <c r="H949" s="38" t="n">
        <f aca="true">IF((B949=1),(IF((F949&lt;E949),1,(IF((F949=E949),(IF(RAND()&lt;G949,1,0)),0)))),(IF((RAND()&lt;G949),1,0)))</f>
        <v>1</v>
      </c>
      <c r="I949" s="38" t="n">
        <f aca="true">IF((H949=1),0,$D$3+$D$5*(RAND()-0.5))</f>
        <v>0</v>
      </c>
      <c r="J949" s="38" t="n">
        <f aca="false">I949+MAX(D949,J948)</f>
        <v>1004.98465444478</v>
      </c>
      <c r="K949" s="38" t="n">
        <f aca="false">IF((H949=0),J949-D949,0)</f>
        <v>0</v>
      </c>
      <c r="L949" s="38" t="n">
        <f aca="true">IF(($H949=0),0,$D$4+$D$5*(RAND()-0.5))</f>
        <v>1.99543878091825</v>
      </c>
      <c r="M949" s="38" t="n">
        <f aca="false">L949+MAX(D949,M948)</f>
        <v>993.638611705755</v>
      </c>
      <c r="N949" s="38" t="n">
        <f aca="false">IF((H949=1),M949-D949,0)</f>
        <v>12.80409213557</v>
      </c>
      <c r="O949" s="16" t="n">
        <v>932</v>
      </c>
      <c r="P949" s="41" t="n">
        <f aca="false">IF((Arterial=0),P948+1,P948)</f>
        <v>449</v>
      </c>
      <c r="Q949" s="41" t="n">
        <f aca="false">IF((Arterial=1),Q948+1,Q948)</f>
        <v>483</v>
      </c>
      <c r="R949" s="42" t="n">
        <f aca="false">IF((RESET=1),0,R949+K949)</f>
        <v>664.892207301954</v>
      </c>
      <c r="S949" s="14" t="e">
        <f aca="false">IF(RESET=1,0,S949+N949)</f>
        <v>#N/A</v>
      </c>
      <c r="T949" s="2" t="n">
        <f aca="false">IF(RESET=1,0,T949+IF(H949=0,1,0))</f>
        <v>35</v>
      </c>
      <c r="U949" s="2" t="e">
        <f aca="false">IF(RESET=1,0,U949+H949)</f>
        <v>#N/A</v>
      </c>
      <c r="V949" s="14" t="n">
        <f aca="false">R949/(T949+0.00001)</f>
        <v>18.9969147809373</v>
      </c>
      <c r="W949" s="14" t="e">
        <f aca="false">S949/(U949+0.0001)</f>
        <v>#N/A</v>
      </c>
      <c r="X949" s="39" t="n">
        <f aca="false">IF(Informed=1,K949,0)</f>
        <v>0</v>
      </c>
      <c r="Y949" s="39" t="n">
        <f aca="false">IF(Informed=0,K949,0)</f>
        <v>0</v>
      </c>
      <c r="Z949" s="39" t="n">
        <f aca="false">IF(Informed=1,N949,0)</f>
        <v>0</v>
      </c>
      <c r="AA949" s="39" t="n">
        <f aca="false">IF(Informed=0,N949,0)</f>
        <v>12.80409213557</v>
      </c>
      <c r="AB949" s="43" t="n">
        <f aca="false">IF(Arterial=0,IF(Informed=1,1,0),0)</f>
        <v>0</v>
      </c>
      <c r="AC949" s="43" t="n">
        <f aca="false">IF(Arterial=0,IF(Informed=0,1,0),0)</f>
        <v>0</v>
      </c>
      <c r="AD949" s="43" t="n">
        <f aca="false">IF(Arterial=1,IF(Informed=1,1,0),0)</f>
        <v>0</v>
      </c>
      <c r="AE949" s="43" t="n">
        <f aca="false">IF(Arterial=1,IF(Informed=0,1,0),0)</f>
        <v>1</v>
      </c>
      <c r="AF949" s="35" t="n">
        <f aca="false">IF(AB949=1,(X949-G$1030)^2,0)</f>
        <v>0</v>
      </c>
      <c r="AG949" s="35" t="n">
        <f aca="false">IF(AC949=1,(Y949-H$1030)^2,0)</f>
        <v>0</v>
      </c>
      <c r="AH949" s="35" t="n">
        <f aca="false">IF(AD949=1,(Z949-I$1030)^2,0)</f>
        <v>0</v>
      </c>
      <c r="AI949" s="35" t="n">
        <f aca="false">IF(AE949=1,(AA949-J$1030)^2,0)</f>
        <v>280.903729321154</v>
      </c>
      <c r="AJ949" s="37" t="n">
        <f aca="true">IF(RAND()&lt;$D$6,1,0)</f>
        <v>0</v>
      </c>
      <c r="AK949" s="14" t="n">
        <f aca="false">AK948+IF((AJ949=1),IF((H949=0),1,0),0)</f>
        <v>0</v>
      </c>
      <c r="AL949" s="14" t="n">
        <f aca="false">AL948+IF((AJ949=1),IF((H949=1),1,0),0)</f>
        <v>0</v>
      </c>
      <c r="AM949" s="37" t="n">
        <f aca="false">IF(AK949=0,9999,IF($H949=0,IF($AJ949&lt;1,AM948+1,0),AM948))</f>
        <v>9999</v>
      </c>
      <c r="AN949" s="37" t="n">
        <f aca="false">IF(AL949=0,9999,IF($H949=1,IF($AJ949&lt;1,AN948+1,0),AN948))</f>
        <v>9999</v>
      </c>
      <c r="AO949" s="37" t="n">
        <f aca="false">IF($A949-AM949&gt;0,1/(1+AM949),0)</f>
        <v>0</v>
      </c>
      <c r="AP949" s="37" t="n">
        <f aca="false">IF($A949-AN949&gt;0,1/(1+AN949),0)</f>
        <v>0</v>
      </c>
      <c r="AQ949" s="7" t="n">
        <f aca="false">IF(AK949=0,0,MAX(MIN(1,AO949^Power),0))</f>
        <v>0</v>
      </c>
      <c r="AR949" s="7" t="n">
        <f aca="false">IF(AL949=0,0,MAX(MIN(1,AP949^Power),0))</f>
        <v>0</v>
      </c>
      <c r="AS949" s="7" t="n">
        <f aca="false">IF($AJ949=1,IF($H949=0,K949,AS948),AS948)</f>
        <v>0</v>
      </c>
      <c r="AT949" s="7" t="n">
        <f aca="false">IF($AJ949=1,IF($H949=1,N949,AT948),AT948)</f>
        <v>0</v>
      </c>
    </row>
    <row r="950" customFormat="false" ht="13" hidden="false" customHeight="false" outlineLevel="0" collapsed="false">
      <c r="A950" s="16" t="n">
        <v>933</v>
      </c>
      <c r="B950" s="37" t="n">
        <f aca="true">IF(RAND()&lt;$D$8,1,0)</f>
        <v>0</v>
      </c>
      <c r="C950" s="20" t="n">
        <f aca="true">-LN(RAND())/$D$2</f>
        <v>0.492063032200119</v>
      </c>
      <c r="D950" s="38" t="n">
        <f aca="false">D949+C950</f>
        <v>981.326582602385</v>
      </c>
      <c r="E950" s="39" t="n">
        <f aca="false">MAX($E$3,AS949)</f>
        <v>0</v>
      </c>
      <c r="F950" s="39" t="n">
        <f aca="false">MAX($E$3,AT949)</f>
        <v>0</v>
      </c>
      <c r="G950" s="40" t="n">
        <v>0.5</v>
      </c>
      <c r="H950" s="38" t="n">
        <f aca="true">IF((B950=1),(IF((F950&lt;E950),1,(IF((F950=E950),(IF(RAND()&lt;G950,1,0)),0)))),(IF((RAND()&lt;G950),1,0)))</f>
        <v>0</v>
      </c>
      <c r="I950" s="38" t="n">
        <f aca="true">IF((H950=1),0,$D$3+$D$5*(RAND()-0.5))</f>
        <v>1.81577488151064</v>
      </c>
      <c r="J950" s="38" t="n">
        <f aca="false">I950+MAX(D950,J949)</f>
        <v>1006.80042932629</v>
      </c>
      <c r="K950" s="38" t="n">
        <f aca="false">IF((H950=0),J950-D950,0)</f>
        <v>25.4738467239031</v>
      </c>
      <c r="L950" s="38" t="n">
        <f aca="true">IF(($H950=0),0,$D$4+$D$5*(RAND()-0.5))</f>
        <v>0</v>
      </c>
      <c r="M950" s="38" t="n">
        <f aca="false">L950+MAX(D950,M949)</f>
        <v>993.638611705755</v>
      </c>
      <c r="N950" s="38" t="n">
        <f aca="false">IF((H950=1),M950-D950,0)</f>
        <v>0</v>
      </c>
      <c r="O950" s="16" t="n">
        <v>933</v>
      </c>
      <c r="P950" s="41" t="n">
        <f aca="false">IF((Arterial=0),P949+1,P949)</f>
        <v>450</v>
      </c>
      <c r="Q950" s="41" t="n">
        <f aca="false">IF((Arterial=1),Q949+1,Q949)</f>
        <v>483</v>
      </c>
      <c r="R950" s="42" t="e">
        <f aca="false">IF((RESET=1),0,R950+K950)</f>
        <v>#N/A</v>
      </c>
      <c r="S950" s="14" t="n">
        <f aca="false">IF(RESET=1,0,S950+N950)</f>
        <v>767.806942412972</v>
      </c>
      <c r="T950" s="2" t="e">
        <f aca="false">IF(RESET=1,0,T950+IF(H950=0,1,0))</f>
        <v>#N/A</v>
      </c>
      <c r="U950" s="2" t="n">
        <f aca="false">IF(RESET=1,0,U950+H950)</f>
        <v>43</v>
      </c>
      <c r="V950" s="14" t="e">
        <f aca="false">R950/(T950+0.00001)</f>
        <v>#N/A</v>
      </c>
      <c r="W950" s="14" t="n">
        <f aca="false">S950/(U950+0.0001)</f>
        <v>17.8559338795252</v>
      </c>
      <c r="X950" s="39" t="n">
        <f aca="false">IF(Informed=1,K950,0)</f>
        <v>0</v>
      </c>
      <c r="Y950" s="39" t="n">
        <f aca="false">IF(Informed=0,K950,0)</f>
        <v>25.4738467239031</v>
      </c>
      <c r="Z950" s="39" t="n">
        <f aca="false">IF(Informed=1,N950,0)</f>
        <v>0</v>
      </c>
      <c r="AA950" s="39" t="n">
        <f aca="false">IF(Informed=0,N950,0)</f>
        <v>0</v>
      </c>
      <c r="AB950" s="43" t="n">
        <f aca="false">IF(Arterial=0,IF(Informed=1,1,0),0)</f>
        <v>0</v>
      </c>
      <c r="AC950" s="43" t="n">
        <f aca="false">IF(Arterial=0,IF(Informed=0,1,0),0)</f>
        <v>1</v>
      </c>
      <c r="AD950" s="43" t="n">
        <f aca="false">IF(Arterial=1,IF(Informed=1,1,0),0)</f>
        <v>0</v>
      </c>
      <c r="AE950" s="43" t="n">
        <f aca="false">IF(Arterial=1,IF(Informed=0,1,0),0)</f>
        <v>0</v>
      </c>
      <c r="AF950" s="35" t="n">
        <f aca="false">IF(AB950=1,(X950-G$1030)^2,0)</f>
        <v>0</v>
      </c>
      <c r="AG950" s="35" t="n">
        <f aca="false">IF(AC950=1,(Y950-H$1030)^2,0)</f>
        <v>211.70428887341</v>
      </c>
      <c r="AH950" s="35" t="n">
        <f aca="false">IF(AD950=1,(Z950-I$1030)^2,0)</f>
        <v>0</v>
      </c>
      <c r="AI950" s="35" t="n">
        <f aca="false">IF(AE950=1,(AA950-J$1030)^2,0)</f>
        <v>0</v>
      </c>
      <c r="AJ950" s="37" t="n">
        <f aca="true">IF(RAND()&lt;$D$6,1,0)</f>
        <v>0</v>
      </c>
      <c r="AK950" s="14" t="n">
        <f aca="false">AK949+IF((AJ950=1),IF((H950=0),1,0),0)</f>
        <v>0</v>
      </c>
      <c r="AL950" s="14" t="n">
        <f aca="false">AL949+IF((AJ950=1),IF((H950=1),1,0),0)</f>
        <v>0</v>
      </c>
      <c r="AM950" s="37" t="n">
        <f aca="false">IF(AK950=0,9999,IF($H950=0,IF($AJ950&lt;1,AM949+1,0),AM949))</f>
        <v>9999</v>
      </c>
      <c r="AN950" s="37" t="n">
        <f aca="false">IF(AL950=0,9999,IF($H950=1,IF($AJ950&lt;1,AN949+1,0),AN949))</f>
        <v>9999</v>
      </c>
      <c r="AO950" s="37" t="n">
        <f aca="false">IF($A950-AM950&gt;0,1/(1+AM950),0)</f>
        <v>0</v>
      </c>
      <c r="AP950" s="37" t="n">
        <f aca="false">IF($A950-AN950&gt;0,1/(1+AN950),0)</f>
        <v>0</v>
      </c>
      <c r="AQ950" s="7" t="n">
        <f aca="false">IF(AK950=0,0,MAX(MIN(1,AO950^Power),0))</f>
        <v>0</v>
      </c>
      <c r="AR950" s="7" t="n">
        <f aca="false">IF(AL950=0,0,MAX(MIN(1,AP950^Power),0))</f>
        <v>0</v>
      </c>
      <c r="AS950" s="7" t="n">
        <f aca="false">IF($AJ950=1,IF($H950=0,K950,AS949),AS949)</f>
        <v>0</v>
      </c>
      <c r="AT950" s="7" t="n">
        <f aca="false">IF($AJ950=1,IF($H950=1,N950,AT949),AT949)</f>
        <v>0</v>
      </c>
    </row>
    <row r="951" customFormat="false" ht="13" hidden="false" customHeight="false" outlineLevel="0" collapsed="false">
      <c r="A951" s="16" t="n">
        <v>934</v>
      </c>
      <c r="B951" s="37" t="n">
        <f aca="true">IF(RAND()&lt;$D$8,1,0)</f>
        <v>0</v>
      </c>
      <c r="C951" s="20" t="n">
        <f aca="true">-LN(RAND())/$D$2</f>
        <v>3.33666238102405</v>
      </c>
      <c r="D951" s="38" t="n">
        <f aca="false">D950+C951</f>
        <v>984.663244983409</v>
      </c>
      <c r="E951" s="39" t="n">
        <f aca="false">MAX($E$3,AS950)</f>
        <v>0</v>
      </c>
      <c r="F951" s="39" t="n">
        <f aca="false">MAX($E$3,AT950)</f>
        <v>0</v>
      </c>
      <c r="G951" s="40" t="n">
        <v>0.5</v>
      </c>
      <c r="H951" s="38" t="n">
        <f aca="true">IF((B951=1),(IF((F951&lt;E951),1,(IF((F951=E951),(IF(RAND()&lt;G951,1,0)),0)))),(IF((RAND()&lt;G951),1,0)))</f>
        <v>0</v>
      </c>
      <c r="I951" s="38" t="n">
        <f aca="true">IF((H951=1),0,$D$3+$D$5*(RAND()-0.5))</f>
        <v>2.01016428142537</v>
      </c>
      <c r="J951" s="38" t="n">
        <f aca="false">I951+MAX(D951,J950)</f>
        <v>1008.81059360771</v>
      </c>
      <c r="K951" s="38" t="n">
        <f aca="false">IF((H951=0),J951-D951,0)</f>
        <v>24.1473486243043</v>
      </c>
      <c r="L951" s="38" t="n">
        <f aca="true">IF(($H951=0),0,$D$4+$D$5*(RAND()-0.5))</f>
        <v>0</v>
      </c>
      <c r="M951" s="38" t="n">
        <f aca="false">L951+MAX(D951,M950)</f>
        <v>993.638611705755</v>
      </c>
      <c r="N951" s="38" t="n">
        <f aca="false">IF((H951=1),M951-D951,0)</f>
        <v>0</v>
      </c>
      <c r="O951" s="16" t="n">
        <v>934</v>
      </c>
      <c r="P951" s="41" t="n">
        <f aca="false">IF((Arterial=0),P950+1,P950)</f>
        <v>451</v>
      </c>
      <c r="Q951" s="41" t="n">
        <f aca="false">IF((Arterial=1),Q950+1,Q950)</f>
        <v>483</v>
      </c>
      <c r="R951" s="42" t="e">
        <f aca="false">IF((RESET=1),0,R951+K951)</f>
        <v>#N/A</v>
      </c>
      <c r="S951" s="14" t="n">
        <f aca="false">IF(RESET=1,0,S951+N951)</f>
        <v>863.129180455694</v>
      </c>
      <c r="T951" s="2" t="e">
        <f aca="false">IF(RESET=1,0,T951+IF(H951=0,1,0))</f>
        <v>#N/A</v>
      </c>
      <c r="U951" s="2" t="n">
        <f aca="false">IF(RESET=1,0,U951+H951)</f>
        <v>40</v>
      </c>
      <c r="V951" s="14" t="e">
        <f aca="false">R951/(T951+0.00001)</f>
        <v>#N/A</v>
      </c>
      <c r="W951" s="14" t="n">
        <f aca="false">S951/(U951+0.0001)</f>
        <v>21.5781755659534</v>
      </c>
      <c r="X951" s="39" t="n">
        <f aca="false">IF(Informed=1,K951,0)</f>
        <v>0</v>
      </c>
      <c r="Y951" s="39" t="n">
        <f aca="false">IF(Informed=0,K951,0)</f>
        <v>24.1473486243043</v>
      </c>
      <c r="Z951" s="39" t="n">
        <f aca="false">IF(Informed=1,N951,0)</f>
        <v>0</v>
      </c>
      <c r="AA951" s="39" t="n">
        <f aca="false">IF(Informed=0,N951,0)</f>
        <v>0</v>
      </c>
      <c r="AB951" s="43" t="n">
        <f aca="false">IF(Arterial=0,IF(Informed=1,1,0),0)</f>
        <v>0</v>
      </c>
      <c r="AC951" s="43" t="n">
        <f aca="false">IF(Arterial=0,IF(Informed=0,1,0),0)</f>
        <v>1</v>
      </c>
      <c r="AD951" s="43" t="n">
        <f aca="false">IF(Arterial=1,IF(Informed=1,1,0),0)</f>
        <v>0</v>
      </c>
      <c r="AE951" s="43" t="n">
        <f aca="false">IF(Arterial=1,IF(Informed=0,1,0),0)</f>
        <v>0</v>
      </c>
      <c r="AF951" s="35" t="n">
        <f aca="false">IF(AB951=1,(X951-G$1030)^2,0)</f>
        <v>0</v>
      </c>
      <c r="AG951" s="35" t="n">
        <f aca="false">IF(AC951=1,(Y951-H$1030)^2,0)</f>
        <v>174.862628295203</v>
      </c>
      <c r="AH951" s="35" t="n">
        <f aca="false">IF(AD951=1,(Z951-I$1030)^2,0)</f>
        <v>0</v>
      </c>
      <c r="AI951" s="35" t="n">
        <f aca="false">IF(AE951=1,(AA951-J$1030)^2,0)</f>
        <v>0</v>
      </c>
      <c r="AJ951" s="37" t="n">
        <f aca="true">IF(RAND()&lt;$D$6,1,0)</f>
        <v>0</v>
      </c>
      <c r="AK951" s="14" t="n">
        <f aca="false">AK950+IF((AJ951=1),IF((H951=0),1,0),0)</f>
        <v>0</v>
      </c>
      <c r="AL951" s="14" t="n">
        <f aca="false">AL950+IF((AJ951=1),IF((H951=1),1,0),0)</f>
        <v>0</v>
      </c>
      <c r="AM951" s="37" t="n">
        <f aca="false">IF(AK951=0,9999,IF($H951=0,IF($AJ951&lt;1,AM950+1,0),AM950))</f>
        <v>9999</v>
      </c>
      <c r="AN951" s="37" t="n">
        <f aca="false">IF(AL951=0,9999,IF($H951=1,IF($AJ951&lt;1,AN950+1,0),AN950))</f>
        <v>9999</v>
      </c>
      <c r="AO951" s="37" t="n">
        <f aca="false">IF($A951-AM951&gt;0,1/(1+AM951),0)</f>
        <v>0</v>
      </c>
      <c r="AP951" s="37" t="n">
        <f aca="false">IF($A951-AN951&gt;0,1/(1+AN951),0)</f>
        <v>0</v>
      </c>
      <c r="AQ951" s="7" t="n">
        <f aca="false">IF(AK951=0,0,MAX(MIN(1,AO951^Power),0))</f>
        <v>0</v>
      </c>
      <c r="AR951" s="7" t="n">
        <f aca="false">IF(AL951=0,0,MAX(MIN(1,AP951^Power),0))</f>
        <v>0</v>
      </c>
      <c r="AS951" s="7" t="n">
        <f aca="false">IF($AJ951=1,IF($H951=0,K951,AS950),AS950)</f>
        <v>0</v>
      </c>
      <c r="AT951" s="7" t="n">
        <f aca="false">IF($AJ951=1,IF($H951=1,N951,AT950),AT950)</f>
        <v>0</v>
      </c>
    </row>
    <row r="952" customFormat="false" ht="13" hidden="false" customHeight="false" outlineLevel="0" collapsed="false">
      <c r="A952" s="16" t="n">
        <v>935</v>
      </c>
      <c r="B952" s="37" t="n">
        <f aca="true">IF(RAND()&lt;$D$8,1,0)</f>
        <v>0</v>
      </c>
      <c r="C952" s="20" t="n">
        <f aca="true">-LN(RAND())/$D$2</f>
        <v>2.51240769404231</v>
      </c>
      <c r="D952" s="38" t="n">
        <f aca="false">D951+C952</f>
        <v>987.175652677452</v>
      </c>
      <c r="E952" s="39" t="n">
        <f aca="false">MAX($E$3,AS951)</f>
        <v>0</v>
      </c>
      <c r="F952" s="39" t="n">
        <f aca="false">MAX($E$3,AT951)</f>
        <v>0</v>
      </c>
      <c r="G952" s="40" t="n">
        <v>0.5</v>
      </c>
      <c r="H952" s="38" t="n">
        <f aca="true">IF((B952=1),(IF((F952&lt;E952),1,(IF((F952=E952),(IF(RAND()&lt;G952,1,0)),0)))),(IF((RAND()&lt;G952),1,0)))</f>
        <v>1</v>
      </c>
      <c r="I952" s="38" t="n">
        <f aca="true">IF((H952=1),0,$D$3+$D$5*(RAND()-0.5))</f>
        <v>0</v>
      </c>
      <c r="J952" s="38" t="n">
        <f aca="false">I952+MAX(D952,J951)</f>
        <v>1008.81059360771</v>
      </c>
      <c r="K952" s="38" t="n">
        <f aca="false">IF((H952=0),J952-D952,0)</f>
        <v>0</v>
      </c>
      <c r="L952" s="38" t="n">
        <f aca="true">IF(($H952=0),0,$D$4+$D$5*(RAND()-0.5))</f>
        <v>2.03868960786267</v>
      </c>
      <c r="M952" s="38" t="n">
        <f aca="false">L952+MAX(D952,M951)</f>
        <v>995.677301313618</v>
      </c>
      <c r="N952" s="38" t="n">
        <f aca="false">IF((H952=1),M952-D952,0)</f>
        <v>8.50164863616624</v>
      </c>
      <c r="O952" s="16" t="n">
        <v>935</v>
      </c>
      <c r="P952" s="41" t="n">
        <f aca="false">IF((Arterial=0),P951+1,P951)</f>
        <v>451</v>
      </c>
      <c r="Q952" s="41" t="n">
        <f aca="false">IF((Arterial=1),Q951+1,Q951)</f>
        <v>484</v>
      </c>
      <c r="R952" s="42" t="n">
        <f aca="false">IF((RESET=1),0,R952+K952)</f>
        <v>833.913365863084</v>
      </c>
      <c r="S952" s="14" t="e">
        <f aca="false">IF(RESET=1,0,S952+N952)</f>
        <v>#N/A</v>
      </c>
      <c r="T952" s="2" t="n">
        <f aca="false">IF(RESET=1,0,T952+IF(H952=0,1,0))</f>
        <v>39</v>
      </c>
      <c r="U952" s="2" t="e">
        <f aca="false">IF(RESET=1,0,U952+H952)</f>
        <v>#N/A</v>
      </c>
      <c r="V952" s="14" t="n">
        <f aca="false">R952/(T952+0.00001)</f>
        <v>21.3823885138256</v>
      </c>
      <c r="W952" s="14" t="e">
        <f aca="false">S952/(U952+0.0001)</f>
        <v>#N/A</v>
      </c>
      <c r="X952" s="39" t="n">
        <f aca="false">IF(Informed=1,K952,0)</f>
        <v>0</v>
      </c>
      <c r="Y952" s="39" t="n">
        <f aca="false">IF(Informed=0,K952,0)</f>
        <v>0</v>
      </c>
      <c r="Z952" s="39" t="n">
        <f aca="false">IF(Informed=1,N952,0)</f>
        <v>0</v>
      </c>
      <c r="AA952" s="39" t="n">
        <f aca="false">IF(Informed=0,N952,0)</f>
        <v>8.50164863616624</v>
      </c>
      <c r="AB952" s="43" t="n">
        <f aca="false">IF(Arterial=0,IF(Informed=1,1,0),0)</f>
        <v>0</v>
      </c>
      <c r="AC952" s="43" t="n">
        <f aca="false">IF(Arterial=0,IF(Informed=0,1,0),0)</f>
        <v>0</v>
      </c>
      <c r="AD952" s="43" t="n">
        <f aca="false">IF(Arterial=1,IF(Informed=1,1,0),0)</f>
        <v>0</v>
      </c>
      <c r="AE952" s="43" t="n">
        <f aca="false">IF(Arterial=1,IF(Informed=0,1,0),0)</f>
        <v>1</v>
      </c>
      <c r="AF952" s="35" t="n">
        <f aca="false">IF(AB952=1,(X952-G$1030)^2,0)</f>
        <v>0</v>
      </c>
      <c r="AG952" s="35" t="n">
        <f aca="false">IF(AC952=1,(Y952-H$1030)^2,0)</f>
        <v>0</v>
      </c>
      <c r="AH952" s="35" t="n">
        <f aca="false">IF(AD952=1,(Z952-I$1030)^2,0)</f>
        <v>0</v>
      </c>
      <c r="AI952" s="35" t="n">
        <f aca="false">IF(AE952=1,(AA952-J$1030)^2,0)</f>
        <v>443.634228930294</v>
      </c>
      <c r="AJ952" s="37" t="n">
        <f aca="true">IF(RAND()&lt;$D$6,1,0)</f>
        <v>0</v>
      </c>
      <c r="AK952" s="14" t="n">
        <f aca="false">AK951+IF((AJ952=1),IF((H952=0),1,0),0)</f>
        <v>0</v>
      </c>
      <c r="AL952" s="14" t="n">
        <f aca="false">AL951+IF((AJ952=1),IF((H952=1),1,0),0)</f>
        <v>0</v>
      </c>
      <c r="AM952" s="37" t="n">
        <f aca="false">IF(AK952=0,9999,IF($H952=0,IF($AJ952&lt;1,AM951+1,0),AM951))</f>
        <v>9999</v>
      </c>
      <c r="AN952" s="37" t="n">
        <f aca="false">IF(AL952=0,9999,IF($H952=1,IF($AJ952&lt;1,AN951+1,0),AN951))</f>
        <v>9999</v>
      </c>
      <c r="AO952" s="37" t="n">
        <f aca="false">IF($A952-AM952&gt;0,1/(1+AM952),0)</f>
        <v>0</v>
      </c>
      <c r="AP952" s="37" t="n">
        <f aca="false">IF($A952-AN952&gt;0,1/(1+AN952),0)</f>
        <v>0</v>
      </c>
      <c r="AQ952" s="7" t="n">
        <f aca="false">IF(AK952=0,0,MAX(MIN(1,AO952^Power),0))</f>
        <v>0</v>
      </c>
      <c r="AR952" s="7" t="n">
        <f aca="false">IF(AL952=0,0,MAX(MIN(1,AP952^Power),0))</f>
        <v>0</v>
      </c>
      <c r="AS952" s="7" t="n">
        <f aca="false">IF($AJ952=1,IF($H952=0,K952,AS951),AS951)</f>
        <v>0</v>
      </c>
      <c r="AT952" s="7" t="n">
        <f aca="false">IF($AJ952=1,IF($H952=1,N952,AT951),AT951)</f>
        <v>0</v>
      </c>
    </row>
    <row r="953" customFormat="false" ht="13" hidden="false" customHeight="false" outlineLevel="0" collapsed="false">
      <c r="A953" s="16" t="n">
        <v>936</v>
      </c>
      <c r="B953" s="37" t="n">
        <f aca="true">IF(RAND()&lt;$D$8,1,0)</f>
        <v>1</v>
      </c>
      <c r="C953" s="20" t="n">
        <f aca="true">-LN(RAND())/$D$2</f>
        <v>2.72059016306512</v>
      </c>
      <c r="D953" s="38" t="n">
        <f aca="false">D952+C953</f>
        <v>989.896242840517</v>
      </c>
      <c r="E953" s="39" t="n">
        <f aca="false">MAX($E$3,AS952)</f>
        <v>0</v>
      </c>
      <c r="F953" s="39" t="n">
        <f aca="false">MAX($E$3,AT952)</f>
        <v>0</v>
      </c>
      <c r="G953" s="40" t="n">
        <v>0.5</v>
      </c>
      <c r="H953" s="38" t="n">
        <f aca="true">IF((B953=1),(IF((F953&lt;E953),1,(IF((F953=E953),(IF(RAND()&lt;G953,1,0)),0)))),(IF((RAND()&lt;G953),1,0)))</f>
        <v>1</v>
      </c>
      <c r="I953" s="38" t="n">
        <f aca="true">IF((H953=1),0,$D$3+$D$5*(RAND()-0.5))</f>
        <v>0</v>
      </c>
      <c r="J953" s="38" t="n">
        <f aca="false">I953+MAX(D953,J952)</f>
        <v>1008.81059360771</v>
      </c>
      <c r="K953" s="38" t="n">
        <f aca="false">IF((H953=0),J953-D953,0)</f>
        <v>0</v>
      </c>
      <c r="L953" s="38" t="n">
        <f aca="true">IF(($H953=0),0,$D$4+$D$5*(RAND()-0.5))</f>
        <v>2.13429004649091</v>
      </c>
      <c r="M953" s="38" t="n">
        <f aca="false">L953+MAX(D953,M952)</f>
        <v>997.811591360109</v>
      </c>
      <c r="N953" s="38" t="n">
        <f aca="false">IF((H953=1),M953-D953,0)</f>
        <v>7.91534851959204</v>
      </c>
      <c r="O953" s="16" t="n">
        <v>936</v>
      </c>
      <c r="P953" s="41" t="n">
        <f aca="false">IF((Arterial=0),P952+1,P952)</f>
        <v>451</v>
      </c>
      <c r="Q953" s="41" t="n">
        <f aca="false">IF((Arterial=1),Q952+1,Q952)</f>
        <v>485</v>
      </c>
      <c r="R953" s="42" t="n">
        <f aca="false">IF((RESET=1),0,R953+K953)</f>
        <v>922.075459307266</v>
      </c>
      <c r="S953" s="14" t="e">
        <f aca="false">IF(RESET=1,0,S953+N953)</f>
        <v>#N/A</v>
      </c>
      <c r="T953" s="2" t="n">
        <f aca="false">IF(RESET=1,0,T953+IF(H953=0,1,0))</f>
        <v>43</v>
      </c>
      <c r="U953" s="2" t="e">
        <f aca="false">IF(RESET=1,0,U953+H953)</f>
        <v>#N/A</v>
      </c>
      <c r="V953" s="14" t="n">
        <f aca="false">R953/(T953+0.00001)</f>
        <v>21.443610345841</v>
      </c>
      <c r="W953" s="14" t="e">
        <f aca="false">S953/(U953+0.0001)</f>
        <v>#N/A</v>
      </c>
      <c r="X953" s="39" t="n">
        <f aca="false">IF(Informed=1,K953,0)</f>
        <v>0</v>
      </c>
      <c r="Y953" s="39" t="n">
        <f aca="false">IF(Informed=0,K953,0)</f>
        <v>0</v>
      </c>
      <c r="Z953" s="39" t="n">
        <f aca="false">IF(Informed=1,N953,0)</f>
        <v>7.91534851959204</v>
      </c>
      <c r="AA953" s="39" t="n">
        <f aca="false">IF(Informed=0,N953,0)</f>
        <v>0</v>
      </c>
      <c r="AB953" s="43" t="n">
        <f aca="false">IF(Arterial=0,IF(Informed=1,1,0),0)</f>
        <v>0</v>
      </c>
      <c r="AC953" s="43" t="n">
        <f aca="false">IF(Arterial=0,IF(Informed=0,1,0),0)</f>
        <v>0</v>
      </c>
      <c r="AD953" s="43" t="n">
        <f aca="false">IF(Arterial=1,IF(Informed=1,1,0),0)</f>
        <v>1</v>
      </c>
      <c r="AE953" s="43" t="n">
        <f aca="false">IF(Arterial=1,IF(Informed=0,1,0),0)</f>
        <v>0</v>
      </c>
      <c r="AF953" s="35" t="n">
        <f aca="false">IF(AB953=1,(X953-G$1030)^2,0)</f>
        <v>0</v>
      </c>
      <c r="AG953" s="35" t="n">
        <f aca="false">IF(AC953=1,(Y953-H$1030)^2,0)</f>
        <v>0</v>
      </c>
      <c r="AH953" s="35" t="n">
        <f aca="false">IF(AD953=1,(Z953-I$1030)^2,0)</f>
        <v>418.590578581427</v>
      </c>
      <c r="AI953" s="35" t="n">
        <f aca="false">IF(AE953=1,(AA953-J$1030)^2,0)</f>
        <v>0</v>
      </c>
      <c r="AJ953" s="37" t="n">
        <f aca="true">IF(RAND()&lt;$D$6,1,0)</f>
        <v>0</v>
      </c>
      <c r="AK953" s="14" t="n">
        <f aca="false">AK952+IF((AJ953=1),IF((H953=0),1,0),0)</f>
        <v>0</v>
      </c>
      <c r="AL953" s="14" t="n">
        <f aca="false">AL952+IF((AJ953=1),IF((H953=1),1,0),0)</f>
        <v>0</v>
      </c>
      <c r="AM953" s="37" t="n">
        <f aca="false">IF(AK953=0,9999,IF($H953=0,IF($AJ953&lt;1,AM952+1,0),AM952))</f>
        <v>9999</v>
      </c>
      <c r="AN953" s="37" t="n">
        <f aca="false">IF(AL953=0,9999,IF($H953=1,IF($AJ953&lt;1,AN952+1,0),AN952))</f>
        <v>9999</v>
      </c>
      <c r="AO953" s="37" t="n">
        <f aca="false">IF($A953-AM953&gt;0,1/(1+AM953),0)</f>
        <v>0</v>
      </c>
      <c r="AP953" s="37" t="n">
        <f aca="false">IF($A953-AN953&gt;0,1/(1+AN953),0)</f>
        <v>0</v>
      </c>
      <c r="AQ953" s="7" t="n">
        <f aca="false">IF(AK953=0,0,MAX(MIN(1,AO953^Power),0))</f>
        <v>0</v>
      </c>
      <c r="AR953" s="7" t="n">
        <f aca="false">IF(AL953=0,0,MAX(MIN(1,AP953^Power),0))</f>
        <v>0</v>
      </c>
      <c r="AS953" s="7" t="n">
        <f aca="false">IF($AJ953=1,IF($H953=0,K953,AS952),AS952)</f>
        <v>0</v>
      </c>
      <c r="AT953" s="7" t="n">
        <f aca="false">IF($AJ953=1,IF($H953=1,N953,AT952),AT952)</f>
        <v>0</v>
      </c>
    </row>
    <row r="954" customFormat="false" ht="13" hidden="false" customHeight="false" outlineLevel="0" collapsed="false">
      <c r="A954" s="16" t="n">
        <v>937</v>
      </c>
      <c r="B954" s="37" t="n">
        <f aca="true">IF(RAND()&lt;$D$8,1,0)</f>
        <v>1</v>
      </c>
      <c r="C954" s="20" t="n">
        <f aca="true">-LN(RAND())/$D$2</f>
        <v>3.9703540730403</v>
      </c>
      <c r="D954" s="38" t="n">
        <f aca="false">D953+C954</f>
        <v>993.866596913557</v>
      </c>
      <c r="E954" s="39" t="n">
        <f aca="false">MAX($E$3,AS953)</f>
        <v>0</v>
      </c>
      <c r="F954" s="39" t="n">
        <f aca="false">MAX($E$3,AT953)</f>
        <v>0</v>
      </c>
      <c r="G954" s="40" t="n">
        <v>0.5</v>
      </c>
      <c r="H954" s="38" t="n">
        <f aca="true">IF((B954=1),(IF((F954&lt;E954),1,(IF((F954=E954),(IF(RAND()&lt;G954,1,0)),0)))),(IF((RAND()&lt;G954),1,0)))</f>
        <v>1</v>
      </c>
      <c r="I954" s="38" t="n">
        <f aca="true">IF((H954=1),0,$D$3+$D$5*(RAND()-0.5))</f>
        <v>0</v>
      </c>
      <c r="J954" s="38" t="n">
        <f aca="false">I954+MAX(D954,J953)</f>
        <v>1008.81059360771</v>
      </c>
      <c r="K954" s="38" t="n">
        <f aca="false">IF((H954=0),J954-D954,0)</f>
        <v>0</v>
      </c>
      <c r="L954" s="38" t="n">
        <f aca="true">IF(($H954=0),0,$D$4+$D$5*(RAND()-0.5))</f>
        <v>2.23412745640804</v>
      </c>
      <c r="M954" s="38" t="n">
        <f aca="false">L954+MAX(D954,M953)</f>
        <v>1000.04571881652</v>
      </c>
      <c r="N954" s="38" t="n">
        <f aca="false">IF((H954=1),M954-D954,0)</f>
        <v>6.17912190295976</v>
      </c>
      <c r="O954" s="16" t="n">
        <v>937</v>
      </c>
      <c r="P954" s="41" t="n">
        <f aca="false">IF((Arterial=0),P953+1,P953)</f>
        <v>451</v>
      </c>
      <c r="Q954" s="41" t="n">
        <f aca="false">IF((Arterial=1),Q953+1,Q953)</f>
        <v>486</v>
      </c>
      <c r="R954" s="42" t="n">
        <f aca="false">IF((RESET=1),0,R954+K954)</f>
        <v>881.10316493941</v>
      </c>
      <c r="S954" s="14" t="e">
        <f aca="false">IF(RESET=1,0,S954+N954)</f>
        <v>#N/A</v>
      </c>
      <c r="T954" s="2" t="n">
        <f aca="false">IF(RESET=1,0,T954+IF(H954=0,1,0))</f>
        <v>40</v>
      </c>
      <c r="U954" s="2" t="e">
        <f aca="false">IF(RESET=1,0,U954+H954)</f>
        <v>#N/A</v>
      </c>
      <c r="V954" s="14" t="n">
        <f aca="false">R954/(T954+0.00001)</f>
        <v>22.0275736165919</v>
      </c>
      <c r="W954" s="14" t="e">
        <f aca="false">S954/(U954+0.0001)</f>
        <v>#N/A</v>
      </c>
      <c r="X954" s="39" t="n">
        <f aca="false">IF(Informed=1,K954,0)</f>
        <v>0</v>
      </c>
      <c r="Y954" s="39" t="n">
        <f aca="false">IF(Informed=0,K954,0)</f>
        <v>0</v>
      </c>
      <c r="Z954" s="39" t="n">
        <f aca="false">IF(Informed=1,N954,0)</f>
        <v>6.17912190295976</v>
      </c>
      <c r="AA954" s="39" t="n">
        <f aca="false">IF(Informed=0,N954,0)</f>
        <v>0</v>
      </c>
      <c r="AB954" s="43" t="n">
        <f aca="false">IF(Arterial=0,IF(Informed=1,1,0),0)</f>
        <v>0</v>
      </c>
      <c r="AC954" s="43" t="n">
        <f aca="false">IF(Arterial=0,IF(Informed=0,1,0),0)</f>
        <v>0</v>
      </c>
      <c r="AD954" s="43" t="n">
        <f aca="false">IF(Arterial=1,IF(Informed=1,1,0),0)</f>
        <v>1</v>
      </c>
      <c r="AE954" s="43" t="n">
        <f aca="false">IF(Arterial=1,IF(Informed=0,1,0),0)</f>
        <v>0</v>
      </c>
      <c r="AF954" s="35" t="n">
        <f aca="false">IF(AB954=1,(X954-G$1030)^2,0)</f>
        <v>0</v>
      </c>
      <c r="AG954" s="35" t="n">
        <f aca="false">IF(AC954=1,(Y954-H$1030)^2,0)</f>
        <v>0</v>
      </c>
      <c r="AH954" s="35" t="n">
        <f aca="false">IF(AD954=1,(Z954-I$1030)^2,0)</f>
        <v>492.649670707576</v>
      </c>
      <c r="AI954" s="35" t="n">
        <f aca="false">IF(AE954=1,(AA954-J$1030)^2,0)</f>
        <v>0</v>
      </c>
      <c r="AJ954" s="37" t="n">
        <f aca="true">IF(RAND()&lt;$D$6,1,0)</f>
        <v>0</v>
      </c>
      <c r="AK954" s="14" t="n">
        <f aca="false">AK953+IF((AJ954=1),IF((H954=0),1,0),0)</f>
        <v>0</v>
      </c>
      <c r="AL954" s="14" t="n">
        <f aca="false">AL953+IF((AJ954=1),IF((H954=1),1,0),0)</f>
        <v>0</v>
      </c>
      <c r="AM954" s="37" t="n">
        <f aca="false">IF(AK954=0,9999,IF($H954=0,IF($AJ954&lt;1,AM953+1,0),AM953))</f>
        <v>9999</v>
      </c>
      <c r="AN954" s="37" t="n">
        <f aca="false">IF(AL954=0,9999,IF($H954=1,IF($AJ954&lt;1,AN953+1,0),AN953))</f>
        <v>9999</v>
      </c>
      <c r="AO954" s="37" t="n">
        <f aca="false">IF($A954-AM954&gt;0,1/(1+AM954),0)</f>
        <v>0</v>
      </c>
      <c r="AP954" s="37" t="n">
        <f aca="false">IF($A954-AN954&gt;0,1/(1+AN954),0)</f>
        <v>0</v>
      </c>
      <c r="AQ954" s="7" t="n">
        <f aca="false">IF(AK954=0,0,MAX(MIN(1,AO954^Power),0))</f>
        <v>0</v>
      </c>
      <c r="AR954" s="7" t="n">
        <f aca="false">IF(AL954=0,0,MAX(MIN(1,AP954^Power),0))</f>
        <v>0</v>
      </c>
      <c r="AS954" s="7" t="n">
        <f aca="false">IF($AJ954=1,IF($H954=0,K954,AS953),AS953)</f>
        <v>0</v>
      </c>
      <c r="AT954" s="7" t="n">
        <f aca="false">IF($AJ954=1,IF($H954=1,N954,AT953),AT953)</f>
        <v>0</v>
      </c>
    </row>
    <row r="955" customFormat="false" ht="13" hidden="false" customHeight="false" outlineLevel="0" collapsed="false">
      <c r="A955" s="16" t="n">
        <v>938</v>
      </c>
      <c r="B955" s="37" t="n">
        <f aca="true">IF(RAND()&lt;$D$8,1,0)</f>
        <v>1</v>
      </c>
      <c r="C955" s="20" t="n">
        <f aca="true">-LN(RAND())/$D$2</f>
        <v>1.0328024042567</v>
      </c>
      <c r="D955" s="38" t="n">
        <f aca="false">D954+C955</f>
        <v>994.899399317814</v>
      </c>
      <c r="E955" s="39" t="n">
        <f aca="false">MAX($E$3,AS954)</f>
        <v>0</v>
      </c>
      <c r="F955" s="39" t="n">
        <f aca="false">MAX($E$3,AT954)</f>
        <v>0</v>
      </c>
      <c r="G955" s="40" t="n">
        <v>0.5</v>
      </c>
      <c r="H955" s="38" t="n">
        <f aca="true">IF((B955=1),(IF((F955&lt;E955),1,(IF((F955=E955),(IF(RAND()&lt;G955,1,0)),0)))),(IF((RAND()&lt;G955),1,0)))</f>
        <v>1</v>
      </c>
      <c r="I955" s="38" t="n">
        <f aca="true">IF((H955=1),0,$D$3+$D$5*(RAND()-0.5))</f>
        <v>0</v>
      </c>
      <c r="J955" s="38" t="n">
        <f aca="false">I955+MAX(D955,J954)</f>
        <v>1008.81059360771</v>
      </c>
      <c r="K955" s="38" t="n">
        <f aca="false">IF((H955=0),J955-D955,0)</f>
        <v>0</v>
      </c>
      <c r="L955" s="38" t="n">
        <f aca="true">IF(($H955=0),0,$D$4+$D$5*(RAND()-0.5))</f>
        <v>1.92910951087318</v>
      </c>
      <c r="M955" s="38" t="n">
        <f aca="false">L955+MAX(D955,M954)</f>
        <v>1001.97482832739</v>
      </c>
      <c r="N955" s="38" t="n">
        <f aca="false">IF((H955=1),M955-D955,0)</f>
        <v>7.07542900957628</v>
      </c>
      <c r="O955" s="16" t="n">
        <v>938</v>
      </c>
      <c r="P955" s="41" t="n">
        <f aca="false">IF((Arterial=0),P954+1,P954)</f>
        <v>451</v>
      </c>
      <c r="Q955" s="41" t="n">
        <f aca="false">IF((Arterial=1),Q954+1,Q954)</f>
        <v>487</v>
      </c>
      <c r="R955" s="42" t="n">
        <f aca="false">IF((RESET=1),0,R955+K955)</f>
        <v>778.20489978349</v>
      </c>
      <c r="S955" s="14" t="e">
        <f aca="false">IF(RESET=1,0,S955+N955)</f>
        <v>#N/A</v>
      </c>
      <c r="T955" s="2" t="n">
        <f aca="false">IF(RESET=1,0,T955+IF(H955=0,1,0))</f>
        <v>39</v>
      </c>
      <c r="U955" s="2" t="e">
        <f aca="false">IF(RESET=1,0,U955+H955)</f>
        <v>#N/A</v>
      </c>
      <c r="V955" s="14" t="n">
        <f aca="false">R955/(T955+0.00001)</f>
        <v>19.9539666729185</v>
      </c>
      <c r="W955" s="14" t="e">
        <f aca="false">S955/(U955+0.0001)</f>
        <v>#N/A</v>
      </c>
      <c r="X955" s="39" t="n">
        <f aca="false">IF(Informed=1,K955,0)</f>
        <v>0</v>
      </c>
      <c r="Y955" s="39" t="n">
        <f aca="false">IF(Informed=0,K955,0)</f>
        <v>0</v>
      </c>
      <c r="Z955" s="39" t="n">
        <f aca="false">IF(Informed=1,N955,0)</f>
        <v>7.07542900957628</v>
      </c>
      <c r="AA955" s="39" t="n">
        <f aca="false">IF(Informed=0,N955,0)</f>
        <v>0</v>
      </c>
      <c r="AB955" s="43" t="n">
        <f aca="false">IF(Arterial=0,IF(Informed=1,1,0),0)</f>
        <v>0</v>
      </c>
      <c r="AC955" s="43" t="n">
        <f aca="false">IF(Arterial=0,IF(Informed=0,1,0),0)</f>
        <v>0</v>
      </c>
      <c r="AD955" s="43" t="n">
        <f aca="false">IF(Arterial=1,IF(Informed=1,1,0),0)</f>
        <v>1</v>
      </c>
      <c r="AE955" s="43" t="n">
        <f aca="false">IF(Arterial=1,IF(Informed=0,1,0),0)</f>
        <v>0</v>
      </c>
      <c r="AF955" s="35" t="n">
        <f aca="false">IF(AB955=1,(X955-G$1030)^2,0)</f>
        <v>0</v>
      </c>
      <c r="AG955" s="35" t="n">
        <f aca="false">IF(AC955=1,(Y955-H$1030)^2,0)</f>
        <v>0</v>
      </c>
      <c r="AH955" s="35" t="n">
        <f aca="false">IF(AD955=1,(Z955-I$1030)^2,0)</f>
        <v>453.664686736999</v>
      </c>
      <c r="AI955" s="35" t="n">
        <f aca="false">IF(AE955=1,(AA955-J$1030)^2,0)</f>
        <v>0</v>
      </c>
      <c r="AJ955" s="37" t="n">
        <f aca="true">IF(RAND()&lt;$D$6,1,0)</f>
        <v>0</v>
      </c>
      <c r="AK955" s="14" t="n">
        <f aca="false">AK954+IF((AJ955=1),IF((H955=0),1,0),0)</f>
        <v>0</v>
      </c>
      <c r="AL955" s="14" t="n">
        <f aca="false">AL954+IF((AJ955=1),IF((H955=1),1,0),0)</f>
        <v>0</v>
      </c>
      <c r="AM955" s="37" t="n">
        <f aca="false">IF(AK955=0,9999,IF($H955=0,IF($AJ955&lt;1,AM954+1,0),AM954))</f>
        <v>9999</v>
      </c>
      <c r="AN955" s="37" t="n">
        <f aca="false">IF(AL955=0,9999,IF($H955=1,IF($AJ955&lt;1,AN954+1,0),AN954))</f>
        <v>9999</v>
      </c>
      <c r="AO955" s="37" t="n">
        <f aca="false">IF($A955-AM955&gt;0,1/(1+AM955),0)</f>
        <v>0</v>
      </c>
      <c r="AP955" s="37" t="n">
        <f aca="false">IF($A955-AN955&gt;0,1/(1+AN955),0)</f>
        <v>0</v>
      </c>
      <c r="AQ955" s="7" t="n">
        <f aca="false">IF(AK955=0,0,MAX(MIN(1,AO955^Power),0))</f>
        <v>0</v>
      </c>
      <c r="AR955" s="7" t="n">
        <f aca="false">IF(AL955=0,0,MAX(MIN(1,AP955^Power),0))</f>
        <v>0</v>
      </c>
      <c r="AS955" s="7" t="n">
        <f aca="false">IF($AJ955=1,IF($H955=0,K955,AS954),AS954)</f>
        <v>0</v>
      </c>
      <c r="AT955" s="7" t="n">
        <f aca="false">IF($AJ955=1,IF($H955=1,N955,AT954),AT954)</f>
        <v>0</v>
      </c>
    </row>
    <row r="956" customFormat="false" ht="13" hidden="false" customHeight="false" outlineLevel="0" collapsed="false">
      <c r="A956" s="16" t="n">
        <v>939</v>
      </c>
      <c r="B956" s="37" t="n">
        <f aca="true">IF(RAND()&lt;$D$8,1,0)</f>
        <v>0</v>
      </c>
      <c r="C956" s="20" t="n">
        <f aca="true">-LN(RAND())/$D$2</f>
        <v>4.28388072439821</v>
      </c>
      <c r="D956" s="38" t="n">
        <f aca="false">D955+C956</f>
        <v>999.183280042212</v>
      </c>
      <c r="E956" s="39" t="n">
        <f aca="false">MAX($E$3,AS955)</f>
        <v>0</v>
      </c>
      <c r="F956" s="39" t="n">
        <f aca="false">MAX($E$3,AT955)</f>
        <v>0</v>
      </c>
      <c r="G956" s="40" t="n">
        <v>0.5</v>
      </c>
      <c r="H956" s="38" t="n">
        <f aca="true">IF((B956=1),(IF((F956&lt;E956),1,(IF((F956=E956),(IF(RAND()&lt;G956,1,0)),0)))),(IF((RAND()&lt;G956),1,0)))</f>
        <v>1</v>
      </c>
      <c r="I956" s="38" t="n">
        <f aca="true">IF((H956=1),0,$D$3+$D$5*(RAND()-0.5))</f>
        <v>0</v>
      </c>
      <c r="J956" s="38" t="n">
        <f aca="false">I956+MAX(D956,J955)</f>
        <v>1008.81059360771</v>
      </c>
      <c r="K956" s="38" t="n">
        <f aca="false">IF((H956=0),J956-D956,0)</f>
        <v>0</v>
      </c>
      <c r="L956" s="38" t="n">
        <f aca="true">IF(($H956=0),0,$D$4+$D$5*(RAND()-0.5))</f>
        <v>2.03349482102102</v>
      </c>
      <c r="M956" s="38" t="n">
        <f aca="false">L956+MAX(D956,M955)</f>
        <v>1004.00832314841</v>
      </c>
      <c r="N956" s="38" t="n">
        <f aca="false">IF((H956=1),M956-D956,0)</f>
        <v>4.82504310619913</v>
      </c>
      <c r="O956" s="16" t="n">
        <v>939</v>
      </c>
      <c r="P956" s="41" t="n">
        <f aca="false">IF((Arterial=0),P955+1,P955)</f>
        <v>451</v>
      </c>
      <c r="Q956" s="41" t="n">
        <f aca="false">IF((Arterial=1),Q955+1,Q955)</f>
        <v>488</v>
      </c>
      <c r="R956" s="42" t="n">
        <f aca="false">IF((RESET=1),0,R956+K956)</f>
        <v>752.281026184012</v>
      </c>
      <c r="S956" s="14" t="e">
        <f aca="false">IF(RESET=1,0,S956+N956)</f>
        <v>#N/A</v>
      </c>
      <c r="T956" s="2" t="n">
        <f aca="false">IF(RESET=1,0,T956+IF(H956=0,1,0))</f>
        <v>35</v>
      </c>
      <c r="U956" s="2" t="e">
        <f aca="false">IF(RESET=1,0,U956+H956)</f>
        <v>#N/A</v>
      </c>
      <c r="V956" s="14" t="n">
        <f aca="false">R956/(T956+0.00001)</f>
        <v>21.4937374641896</v>
      </c>
      <c r="W956" s="14" t="e">
        <f aca="false">S956/(U956+0.0001)</f>
        <v>#N/A</v>
      </c>
      <c r="X956" s="39" t="n">
        <f aca="false">IF(Informed=1,K956,0)</f>
        <v>0</v>
      </c>
      <c r="Y956" s="39" t="n">
        <f aca="false">IF(Informed=0,K956,0)</f>
        <v>0</v>
      </c>
      <c r="Z956" s="39" t="n">
        <f aca="false">IF(Informed=1,N956,0)</f>
        <v>0</v>
      </c>
      <c r="AA956" s="39" t="n">
        <f aca="false">IF(Informed=0,N956,0)</f>
        <v>4.82504310619913</v>
      </c>
      <c r="AB956" s="43" t="n">
        <f aca="false">IF(Arterial=0,IF(Informed=1,1,0),0)</f>
        <v>0</v>
      </c>
      <c r="AC956" s="43" t="n">
        <f aca="false">IF(Arterial=0,IF(Informed=0,1,0),0)</f>
        <v>0</v>
      </c>
      <c r="AD956" s="43" t="n">
        <f aca="false">IF(Arterial=1,IF(Informed=1,1,0),0)</f>
        <v>0</v>
      </c>
      <c r="AE956" s="43" t="n">
        <f aca="false">IF(Arterial=1,IF(Informed=0,1,0),0)</f>
        <v>1</v>
      </c>
      <c r="AF956" s="35" t="n">
        <f aca="false">IF(AB956=1,(X956-G$1030)^2,0)</f>
        <v>0</v>
      </c>
      <c r="AG956" s="35" t="n">
        <f aca="false">IF(AC956=1,(Y956-H$1030)^2,0)</f>
        <v>0</v>
      </c>
      <c r="AH956" s="35" t="n">
        <f aca="false">IF(AD956=1,(Z956-I$1030)^2,0)</f>
        <v>0</v>
      </c>
      <c r="AI956" s="35" t="n">
        <f aca="false">IF(AE956=1,(AA956-J$1030)^2,0)</f>
        <v>612.029594211136</v>
      </c>
      <c r="AJ956" s="37" t="n">
        <f aca="true">IF(RAND()&lt;$D$6,1,0)</f>
        <v>0</v>
      </c>
      <c r="AK956" s="14" t="n">
        <f aca="false">AK955+IF((AJ956=1),IF((H956=0),1,0),0)</f>
        <v>0</v>
      </c>
      <c r="AL956" s="14" t="n">
        <f aca="false">AL955+IF((AJ956=1),IF((H956=1),1,0),0)</f>
        <v>0</v>
      </c>
      <c r="AM956" s="37" t="n">
        <f aca="false">IF(AK956=0,9999,IF($H956=0,IF($AJ956&lt;1,AM955+1,0),AM955))</f>
        <v>9999</v>
      </c>
      <c r="AN956" s="37" t="n">
        <f aca="false">IF(AL956=0,9999,IF($H956=1,IF($AJ956&lt;1,AN955+1,0),AN955))</f>
        <v>9999</v>
      </c>
      <c r="AO956" s="37" t="n">
        <f aca="false">IF($A956-AM956&gt;0,1/(1+AM956),0)</f>
        <v>0</v>
      </c>
      <c r="AP956" s="37" t="n">
        <f aca="false">IF($A956-AN956&gt;0,1/(1+AN956),0)</f>
        <v>0</v>
      </c>
      <c r="AQ956" s="7" t="n">
        <f aca="false">IF(AK956=0,0,MAX(MIN(1,AO956^Power),0))</f>
        <v>0</v>
      </c>
      <c r="AR956" s="7" t="n">
        <f aca="false">IF(AL956=0,0,MAX(MIN(1,AP956^Power),0))</f>
        <v>0</v>
      </c>
      <c r="AS956" s="7" t="n">
        <f aca="false">IF($AJ956=1,IF($H956=0,K956,AS955),AS955)</f>
        <v>0</v>
      </c>
      <c r="AT956" s="7" t="n">
        <f aca="false">IF($AJ956=1,IF($H956=1,N956,AT955),AT955)</f>
        <v>0</v>
      </c>
    </row>
    <row r="957" customFormat="false" ht="13" hidden="false" customHeight="false" outlineLevel="0" collapsed="false">
      <c r="A957" s="16" t="n">
        <v>940</v>
      </c>
      <c r="B957" s="37" t="n">
        <f aca="true">IF(RAND()&lt;$D$8,1,0)</f>
        <v>0</v>
      </c>
      <c r="C957" s="20" t="n">
        <f aca="true">-LN(RAND())/$D$2</f>
        <v>2.15719428045456</v>
      </c>
      <c r="D957" s="38" t="n">
        <f aca="false">D956+C957</f>
        <v>1001.34047432267</v>
      </c>
      <c r="E957" s="39" t="n">
        <f aca="false">MAX($E$3,AS956)</f>
        <v>0</v>
      </c>
      <c r="F957" s="39" t="n">
        <f aca="false">MAX($E$3,AT956)</f>
        <v>0</v>
      </c>
      <c r="G957" s="40" t="n">
        <v>0.5</v>
      </c>
      <c r="H957" s="38" t="n">
        <f aca="true">IF((B957=1),(IF((F957&lt;E957),1,(IF((F957=E957),(IF(RAND()&lt;G957,1,0)),0)))),(IF((RAND()&lt;G957),1,0)))</f>
        <v>0</v>
      </c>
      <c r="I957" s="38" t="n">
        <f aca="true">IF((H957=1),0,$D$3+$D$5*(RAND()-0.5))</f>
        <v>2.03761948916921</v>
      </c>
      <c r="J957" s="38" t="n">
        <f aca="false">I957+MAX(D957,J956)</f>
        <v>1010.84821309688</v>
      </c>
      <c r="K957" s="38" t="n">
        <f aca="false">IF((H957=0),J957-D957,0)</f>
        <v>9.50773877421636</v>
      </c>
      <c r="L957" s="38" t="n">
        <f aca="true">IF(($H957=0),0,$D$4+$D$5*(RAND()-0.5))</f>
        <v>0</v>
      </c>
      <c r="M957" s="38" t="n">
        <f aca="false">L957+MAX(D957,M956)</f>
        <v>1004.00832314841</v>
      </c>
      <c r="N957" s="38" t="n">
        <f aca="false">IF((H957=1),M957-D957,0)</f>
        <v>0</v>
      </c>
      <c r="O957" s="16" t="n">
        <v>940</v>
      </c>
      <c r="P957" s="41" t="n">
        <f aca="false">IF((Arterial=0),P956+1,P956)</f>
        <v>452</v>
      </c>
      <c r="Q957" s="41" t="n">
        <f aca="false">IF((Arterial=1),Q956+1,Q956)</f>
        <v>488</v>
      </c>
      <c r="R957" s="42" t="e">
        <f aca="false">IF((RESET=1),0,R957+K957)</f>
        <v>#N/A</v>
      </c>
      <c r="S957" s="14" t="n">
        <f aca="false">IF(RESET=1,0,S957+N957)</f>
        <v>911.27251056738</v>
      </c>
      <c r="T957" s="2" t="e">
        <f aca="false">IF(RESET=1,0,T957+IF(H957=0,1,0))</f>
        <v>#N/A</v>
      </c>
      <c r="U957" s="2" t="n">
        <f aca="false">IF(RESET=1,0,U957+H957)</f>
        <v>42</v>
      </c>
      <c r="V957" s="14" t="e">
        <f aca="false">R957/(T957+0.00001)</f>
        <v>#N/A</v>
      </c>
      <c r="W957" s="14" t="n">
        <f aca="false">S957/(U957+0.0001)</f>
        <v>21.6969128780022</v>
      </c>
      <c r="X957" s="39" t="n">
        <f aca="false">IF(Informed=1,K957,0)</f>
        <v>0</v>
      </c>
      <c r="Y957" s="39" t="n">
        <f aca="false">IF(Informed=0,K957,0)</f>
        <v>9.50773877421636</v>
      </c>
      <c r="Z957" s="39" t="n">
        <f aca="false">IF(Informed=1,N957,0)</f>
        <v>0</v>
      </c>
      <c r="AA957" s="39" t="n">
        <f aca="false">IF(Informed=0,N957,0)</f>
        <v>0</v>
      </c>
      <c r="AB957" s="43" t="n">
        <f aca="false">IF(Arterial=0,IF(Informed=1,1,0),0)</f>
        <v>0</v>
      </c>
      <c r="AC957" s="43" t="n">
        <f aca="false">IF(Arterial=0,IF(Informed=0,1,0),0)</f>
        <v>1</v>
      </c>
      <c r="AD957" s="43" t="n">
        <f aca="false">IF(Arterial=1,IF(Informed=1,1,0),0)</f>
        <v>0</v>
      </c>
      <c r="AE957" s="43" t="n">
        <f aca="false">IF(Arterial=1,IF(Informed=0,1,0),0)</f>
        <v>0</v>
      </c>
      <c r="AF957" s="35" t="n">
        <f aca="false">IF(AB957=1,(X957-G$1030)^2,0)</f>
        <v>0</v>
      </c>
      <c r="AG957" s="35" t="n">
        <f aca="false">IF(AC957=1,(Y957-H$1030)^2,0)</f>
        <v>2.00518762361803</v>
      </c>
      <c r="AH957" s="35" t="n">
        <f aca="false">IF(AD957=1,(Z957-I$1030)^2,0)</f>
        <v>0</v>
      </c>
      <c r="AI957" s="35" t="n">
        <f aca="false">IF(AE957=1,(AA957-J$1030)^2,0)</f>
        <v>0</v>
      </c>
      <c r="AJ957" s="37" t="n">
        <f aca="true">IF(RAND()&lt;$D$6,1,0)</f>
        <v>0</v>
      </c>
      <c r="AK957" s="14" t="n">
        <f aca="false">AK956+IF((AJ957=1),IF((H957=0),1,0),0)</f>
        <v>0</v>
      </c>
      <c r="AL957" s="14" t="n">
        <f aca="false">AL956+IF((AJ957=1),IF((H957=1),1,0),0)</f>
        <v>0</v>
      </c>
      <c r="AM957" s="37" t="n">
        <f aca="false">IF(AK957=0,9999,IF($H957=0,IF($AJ957&lt;1,AM956+1,0),AM956))</f>
        <v>9999</v>
      </c>
      <c r="AN957" s="37" t="n">
        <f aca="false">IF(AL957=0,9999,IF($H957=1,IF($AJ957&lt;1,AN956+1,0),AN956))</f>
        <v>9999</v>
      </c>
      <c r="AO957" s="37" t="n">
        <f aca="false">IF($A957-AM957&gt;0,1/(1+AM957),0)</f>
        <v>0</v>
      </c>
      <c r="AP957" s="37" t="n">
        <f aca="false">IF($A957-AN957&gt;0,1/(1+AN957),0)</f>
        <v>0</v>
      </c>
      <c r="AQ957" s="7" t="n">
        <f aca="false">IF(AK957=0,0,MAX(MIN(1,AO957^Power),0))</f>
        <v>0</v>
      </c>
      <c r="AR957" s="7" t="n">
        <f aca="false">IF(AL957=0,0,MAX(MIN(1,AP957^Power),0))</f>
        <v>0</v>
      </c>
      <c r="AS957" s="7" t="n">
        <f aca="false">IF($AJ957=1,IF($H957=0,K957,AS956),AS956)</f>
        <v>0</v>
      </c>
      <c r="AT957" s="7" t="n">
        <f aca="false">IF($AJ957=1,IF($H957=1,N957,AT956),AT956)</f>
        <v>0</v>
      </c>
    </row>
    <row r="958" customFormat="false" ht="13" hidden="false" customHeight="false" outlineLevel="0" collapsed="false">
      <c r="A958" s="16" t="n">
        <v>941</v>
      </c>
      <c r="B958" s="37" t="n">
        <f aca="true">IF(RAND()&lt;$D$8,1,0)</f>
        <v>1</v>
      </c>
      <c r="C958" s="20" t="n">
        <f aca="true">-LN(RAND())/$D$2</f>
        <v>0.33406019982918</v>
      </c>
      <c r="D958" s="38" t="n">
        <f aca="false">D957+C958</f>
        <v>1001.6745345225</v>
      </c>
      <c r="E958" s="39" t="n">
        <f aca="false">MAX($E$3,AS957)</f>
        <v>0</v>
      </c>
      <c r="F958" s="39" t="n">
        <f aca="false">MAX($E$3,AT957)</f>
        <v>0</v>
      </c>
      <c r="G958" s="40" t="n">
        <v>0.5</v>
      </c>
      <c r="H958" s="38" t="n">
        <f aca="true">IF((B958=1),(IF((F958&lt;E958),1,(IF((F958=E958),(IF(RAND()&lt;G958,1,0)),0)))),(IF((RAND()&lt;G958),1,0)))</f>
        <v>1</v>
      </c>
      <c r="I958" s="38" t="n">
        <f aca="true">IF((H958=1),0,$D$3+$D$5*(RAND()-0.5))</f>
        <v>0</v>
      </c>
      <c r="J958" s="38" t="n">
        <f aca="false">I958+MAX(D958,J957)</f>
        <v>1010.84821309688</v>
      </c>
      <c r="K958" s="38" t="n">
        <f aca="false">IF((H958=0),J958-D958,0)</f>
        <v>0</v>
      </c>
      <c r="L958" s="38" t="n">
        <f aca="true">IF(($H958=0),0,$D$4+$D$5*(RAND()-0.5))</f>
        <v>2.01924982780886</v>
      </c>
      <c r="M958" s="38" t="n">
        <f aca="false">L958+MAX(D958,M957)</f>
        <v>1006.02757297622</v>
      </c>
      <c r="N958" s="38" t="n">
        <f aca="false">IF((H958=1),M958-D958,0)</f>
        <v>4.35303845372425</v>
      </c>
      <c r="O958" s="16" t="n">
        <v>941</v>
      </c>
      <c r="P958" s="41" t="n">
        <f aca="false">IF((Arterial=0),P957+1,P957)</f>
        <v>452</v>
      </c>
      <c r="Q958" s="41" t="n">
        <f aca="false">IF((Arterial=1),Q957+1,Q957)</f>
        <v>489</v>
      </c>
      <c r="R958" s="42" t="n">
        <f aca="false">IF((RESET=1),0,R958+K958)</f>
        <v>955.002720001471</v>
      </c>
      <c r="S958" s="14" t="e">
        <f aca="false">IF(RESET=1,0,S958+N958)</f>
        <v>#N/A</v>
      </c>
      <c r="T958" s="2" t="n">
        <f aca="false">IF(RESET=1,0,T958+IF(H958=0,1,0))</f>
        <v>43</v>
      </c>
      <c r="U958" s="2" t="e">
        <f aca="false">IF(RESET=1,0,U958+H958)</f>
        <v>#N/A</v>
      </c>
      <c r="V958" s="14" t="n">
        <f aca="false">R958/(T958+0.00001)</f>
        <v>22.209360416462</v>
      </c>
      <c r="W958" s="14" t="e">
        <f aca="false">S958/(U958+0.0001)</f>
        <v>#N/A</v>
      </c>
      <c r="X958" s="39" t="n">
        <f aca="false">IF(Informed=1,K958,0)</f>
        <v>0</v>
      </c>
      <c r="Y958" s="39" t="n">
        <f aca="false">IF(Informed=0,K958,0)</f>
        <v>0</v>
      </c>
      <c r="Z958" s="39" t="n">
        <f aca="false">IF(Informed=1,N958,0)</f>
        <v>4.35303845372425</v>
      </c>
      <c r="AA958" s="39" t="n">
        <f aca="false">IF(Informed=0,N958,0)</f>
        <v>0</v>
      </c>
      <c r="AB958" s="43" t="n">
        <f aca="false">IF(Arterial=0,IF(Informed=1,1,0),0)</f>
        <v>0</v>
      </c>
      <c r="AC958" s="43" t="n">
        <f aca="false">IF(Arterial=0,IF(Informed=0,1,0),0)</f>
        <v>0</v>
      </c>
      <c r="AD958" s="43" t="n">
        <f aca="false">IF(Arterial=1,IF(Informed=1,1,0),0)</f>
        <v>1</v>
      </c>
      <c r="AE958" s="43" t="n">
        <f aca="false">IF(Arterial=1,IF(Informed=0,1,0),0)</f>
        <v>0</v>
      </c>
      <c r="AF958" s="35" t="n">
        <f aca="false">IF(AB958=1,(X958-G$1030)^2,0)</f>
        <v>0</v>
      </c>
      <c r="AG958" s="35" t="n">
        <f aca="false">IF(AC958=1,(Y958-H$1030)^2,0)</f>
        <v>0</v>
      </c>
      <c r="AH958" s="35" t="n">
        <f aca="false">IF(AD958=1,(Z958-I$1030)^2,0)</f>
        <v>577.046699376982</v>
      </c>
      <c r="AI958" s="35" t="n">
        <f aca="false">IF(AE958=1,(AA958-J$1030)^2,0)</f>
        <v>0</v>
      </c>
      <c r="AJ958" s="37" t="n">
        <f aca="true">IF(RAND()&lt;$D$6,1,0)</f>
        <v>0</v>
      </c>
      <c r="AK958" s="14" t="n">
        <f aca="false">AK957+IF((AJ958=1),IF((H958=0),1,0),0)</f>
        <v>0</v>
      </c>
      <c r="AL958" s="14" t="n">
        <f aca="false">AL957+IF((AJ958=1),IF((H958=1),1,0),0)</f>
        <v>0</v>
      </c>
      <c r="AM958" s="37" t="n">
        <f aca="false">IF(AK958=0,9999,IF($H958=0,IF($AJ958&lt;1,AM957+1,0),AM957))</f>
        <v>9999</v>
      </c>
      <c r="AN958" s="37" t="n">
        <f aca="false">IF(AL958=0,9999,IF($H958=1,IF($AJ958&lt;1,AN957+1,0),AN957))</f>
        <v>9999</v>
      </c>
      <c r="AO958" s="37" t="n">
        <f aca="false">IF($A958-AM958&gt;0,1/(1+AM958),0)</f>
        <v>0</v>
      </c>
      <c r="AP958" s="37" t="n">
        <f aca="false">IF($A958-AN958&gt;0,1/(1+AN958),0)</f>
        <v>0</v>
      </c>
      <c r="AQ958" s="7" t="n">
        <f aca="false">IF(AK958=0,0,MAX(MIN(1,AO958^Power),0))</f>
        <v>0</v>
      </c>
      <c r="AR958" s="7" t="n">
        <f aca="false">IF(AL958=0,0,MAX(MIN(1,AP958^Power),0))</f>
        <v>0</v>
      </c>
      <c r="AS958" s="7" t="n">
        <f aca="false">IF($AJ958=1,IF($H958=0,K958,AS957),AS957)</f>
        <v>0</v>
      </c>
      <c r="AT958" s="7" t="n">
        <f aca="false">IF($AJ958=1,IF($H958=1,N958,AT957),AT957)</f>
        <v>0</v>
      </c>
    </row>
    <row r="959" customFormat="false" ht="13" hidden="false" customHeight="false" outlineLevel="0" collapsed="false">
      <c r="A959" s="16" t="n">
        <v>942</v>
      </c>
      <c r="B959" s="37" t="n">
        <f aca="true">IF(RAND()&lt;$D$8,1,0)</f>
        <v>1</v>
      </c>
      <c r="C959" s="20" t="n">
        <f aca="true">-LN(RAND())/$D$2</f>
        <v>1.26388564273221</v>
      </c>
      <c r="D959" s="38" t="n">
        <f aca="false">D958+C959</f>
        <v>1002.93842016523</v>
      </c>
      <c r="E959" s="39" t="n">
        <f aca="false">MAX($E$3,AS958)</f>
        <v>0</v>
      </c>
      <c r="F959" s="39" t="n">
        <f aca="false">MAX($E$3,AT958)</f>
        <v>0</v>
      </c>
      <c r="G959" s="40" t="n">
        <v>0.5</v>
      </c>
      <c r="H959" s="38" t="n">
        <f aca="true">IF((B959=1),(IF((F959&lt;E959),1,(IF((F959=E959),(IF(RAND()&lt;G959,1,0)),0)))),(IF((RAND()&lt;G959),1,0)))</f>
        <v>1</v>
      </c>
      <c r="I959" s="38" t="n">
        <f aca="true">IF((H959=1),0,$D$3+$D$5*(RAND()-0.5))</f>
        <v>0</v>
      </c>
      <c r="J959" s="38" t="n">
        <f aca="false">I959+MAX(D959,J958)</f>
        <v>1010.84821309688</v>
      </c>
      <c r="K959" s="38" t="n">
        <f aca="false">IF((H959=0),J959-D959,0)</f>
        <v>0</v>
      </c>
      <c r="L959" s="38" t="n">
        <f aca="true">IF(($H959=0),0,$D$4+$D$5*(RAND()-0.5))</f>
        <v>2.17810286169734</v>
      </c>
      <c r="M959" s="38" t="n">
        <f aca="false">L959+MAX(D959,M958)</f>
        <v>1008.20567583792</v>
      </c>
      <c r="N959" s="38" t="n">
        <f aca="false">IF((H959=1),M959-D959,0)</f>
        <v>5.26725567268932</v>
      </c>
      <c r="O959" s="16" t="n">
        <v>942</v>
      </c>
      <c r="P959" s="41" t="n">
        <f aca="false">IF((Arterial=0),P958+1,P958)</f>
        <v>452</v>
      </c>
      <c r="Q959" s="41" t="n">
        <f aca="false">IF((Arterial=1),Q958+1,Q958)</f>
        <v>490</v>
      </c>
      <c r="R959" s="42" t="n">
        <f aca="false">IF((RESET=1),0,R959+K959)</f>
        <v>734.550570984795</v>
      </c>
      <c r="S959" s="14" t="e">
        <f aca="false">IF(RESET=1,0,S959+N959)</f>
        <v>#N/A</v>
      </c>
      <c r="T959" s="2" t="n">
        <f aca="false">IF(RESET=1,0,T959+IF(H959=0,1,0))</f>
        <v>38</v>
      </c>
      <c r="U959" s="2" t="e">
        <f aca="false">IF(RESET=1,0,U959+H959)</f>
        <v>#N/A</v>
      </c>
      <c r="V959" s="14" t="n">
        <f aca="false">R959/(T959+0.00001)</f>
        <v>19.3302730968964</v>
      </c>
      <c r="W959" s="14" t="e">
        <f aca="false">S959/(U959+0.0001)</f>
        <v>#N/A</v>
      </c>
      <c r="X959" s="39" t="n">
        <f aca="false">IF(Informed=1,K959,0)</f>
        <v>0</v>
      </c>
      <c r="Y959" s="39" t="n">
        <f aca="false">IF(Informed=0,K959,0)</f>
        <v>0</v>
      </c>
      <c r="Z959" s="39" t="n">
        <f aca="false">IF(Informed=1,N959,0)</f>
        <v>5.26725567268932</v>
      </c>
      <c r="AA959" s="39" t="n">
        <f aca="false">IF(Informed=0,N959,0)</f>
        <v>0</v>
      </c>
      <c r="AB959" s="43" t="n">
        <f aca="false">IF(Arterial=0,IF(Informed=1,1,0),0)</f>
        <v>0</v>
      </c>
      <c r="AC959" s="43" t="n">
        <f aca="false">IF(Arterial=0,IF(Informed=0,1,0),0)</f>
        <v>0</v>
      </c>
      <c r="AD959" s="43" t="n">
        <f aca="false">IF(Arterial=1,IF(Informed=1,1,0),0)</f>
        <v>1</v>
      </c>
      <c r="AE959" s="43" t="n">
        <f aca="false">IF(Arterial=1,IF(Informed=0,1,0),0)</f>
        <v>0</v>
      </c>
      <c r="AF959" s="35" t="n">
        <f aca="false">IF(AB959=1,(X959-G$1030)^2,0)</f>
        <v>0</v>
      </c>
      <c r="AG959" s="35" t="n">
        <f aca="false">IF(AC959=1,(Y959-H$1030)^2,0)</f>
        <v>0</v>
      </c>
      <c r="AH959" s="35" t="n">
        <f aca="false">IF(AD959=1,(Z959-I$1030)^2,0)</f>
        <v>533.960212812327</v>
      </c>
      <c r="AI959" s="35" t="n">
        <f aca="false">IF(AE959=1,(AA959-J$1030)^2,0)</f>
        <v>0</v>
      </c>
      <c r="AJ959" s="37" t="n">
        <f aca="true">IF(RAND()&lt;$D$6,1,0)</f>
        <v>0</v>
      </c>
      <c r="AK959" s="14" t="n">
        <f aca="false">AK958+IF((AJ959=1),IF((H959=0),1,0),0)</f>
        <v>0</v>
      </c>
      <c r="AL959" s="14" t="n">
        <f aca="false">AL958+IF((AJ959=1),IF((H959=1),1,0),0)</f>
        <v>0</v>
      </c>
      <c r="AM959" s="37" t="n">
        <f aca="false">IF(AK959=0,9999,IF($H959=0,IF($AJ959&lt;1,AM958+1,0),AM958))</f>
        <v>9999</v>
      </c>
      <c r="AN959" s="37" t="n">
        <f aca="false">IF(AL959=0,9999,IF($H959=1,IF($AJ959&lt;1,AN958+1,0),AN958))</f>
        <v>9999</v>
      </c>
      <c r="AO959" s="37" t="n">
        <f aca="false">IF($A959-AM959&gt;0,1/(1+AM959),0)</f>
        <v>0</v>
      </c>
      <c r="AP959" s="37" t="n">
        <f aca="false">IF($A959-AN959&gt;0,1/(1+AN959),0)</f>
        <v>0</v>
      </c>
      <c r="AQ959" s="7" t="n">
        <f aca="false">IF(AK959=0,0,MAX(MIN(1,AO959^Power),0))</f>
        <v>0</v>
      </c>
      <c r="AR959" s="7" t="n">
        <f aca="false">IF(AL959=0,0,MAX(MIN(1,AP959^Power),0))</f>
        <v>0</v>
      </c>
      <c r="AS959" s="7" t="n">
        <f aca="false">IF($AJ959=1,IF($H959=0,K959,AS958),AS958)</f>
        <v>0</v>
      </c>
      <c r="AT959" s="7" t="n">
        <f aca="false">IF($AJ959=1,IF($H959=1,N959,AT958),AT958)</f>
        <v>0</v>
      </c>
    </row>
    <row r="960" customFormat="false" ht="13" hidden="false" customHeight="false" outlineLevel="0" collapsed="false">
      <c r="A960" s="16" t="n">
        <v>943</v>
      </c>
      <c r="B960" s="37" t="n">
        <f aca="true">IF(RAND()&lt;$D$8,1,0)</f>
        <v>1</v>
      </c>
      <c r="C960" s="20" t="n">
        <f aca="true">-LN(RAND())/$D$2</f>
        <v>0.159037985138048</v>
      </c>
      <c r="D960" s="38" t="n">
        <f aca="false">D959+C960</f>
        <v>1003.09745815037</v>
      </c>
      <c r="E960" s="39" t="n">
        <f aca="false">MAX($E$3,AS959)</f>
        <v>0</v>
      </c>
      <c r="F960" s="39" t="n">
        <f aca="false">MAX($E$3,AT959)</f>
        <v>0</v>
      </c>
      <c r="G960" s="40" t="n">
        <v>0.5</v>
      </c>
      <c r="H960" s="38" t="n">
        <f aca="true">IF((B960=1),(IF((F960&lt;E960),1,(IF((F960=E960),(IF(RAND()&lt;G960,1,0)),0)))),(IF((RAND()&lt;G960),1,0)))</f>
        <v>1</v>
      </c>
      <c r="I960" s="38" t="n">
        <f aca="true">IF((H960=1),0,$D$3+$D$5*(RAND()-0.5))</f>
        <v>0</v>
      </c>
      <c r="J960" s="38" t="n">
        <f aca="false">I960+MAX(D960,J959)</f>
        <v>1010.84821309688</v>
      </c>
      <c r="K960" s="38" t="n">
        <f aca="false">IF((H960=0),J960-D960,0)</f>
        <v>0</v>
      </c>
      <c r="L960" s="38" t="n">
        <f aca="true">IF(($H960=0),0,$D$4+$D$5*(RAND()-0.5))</f>
        <v>2.08695235708259</v>
      </c>
      <c r="M960" s="38" t="n">
        <f aca="false">L960+MAX(D960,M959)</f>
        <v>1010.292628195</v>
      </c>
      <c r="N960" s="38" t="n">
        <f aca="false">IF((H960=1),M960-D960,0)</f>
        <v>7.19517004463387</v>
      </c>
      <c r="O960" s="16" t="n">
        <v>943</v>
      </c>
      <c r="P960" s="41" t="n">
        <f aca="false">IF((Arterial=0),P959+1,P959)</f>
        <v>452</v>
      </c>
      <c r="Q960" s="41" t="n">
        <f aca="false">IF((Arterial=1),Q959+1,Q959)</f>
        <v>491</v>
      </c>
      <c r="R960" s="42" t="n">
        <f aca="false">IF((RESET=1),0,R960+K960)</f>
        <v>865.720573084161</v>
      </c>
      <c r="S960" s="14" t="e">
        <f aca="false">IF(RESET=1,0,S960+N960)</f>
        <v>#N/A</v>
      </c>
      <c r="T960" s="2" t="n">
        <f aca="false">IF(RESET=1,0,T960+IF(H960=0,1,0))</f>
        <v>45</v>
      </c>
      <c r="U960" s="2" t="e">
        <f aca="false">IF(RESET=1,0,U960+H960)</f>
        <v>#N/A</v>
      </c>
      <c r="V960" s="14" t="n">
        <f aca="false">R960/(T960+0.00001)</f>
        <v>19.2382306822634</v>
      </c>
      <c r="W960" s="14" t="e">
        <f aca="false">S960/(U960+0.0001)</f>
        <v>#N/A</v>
      </c>
      <c r="X960" s="39" t="n">
        <f aca="false">IF(Informed=1,K960,0)</f>
        <v>0</v>
      </c>
      <c r="Y960" s="39" t="n">
        <f aca="false">IF(Informed=0,K960,0)</f>
        <v>0</v>
      </c>
      <c r="Z960" s="39" t="n">
        <f aca="false">IF(Informed=1,N960,0)</f>
        <v>7.19517004463387</v>
      </c>
      <c r="AA960" s="39" t="n">
        <f aca="false">IF(Informed=0,N960,0)</f>
        <v>0</v>
      </c>
      <c r="AB960" s="43" t="n">
        <f aca="false">IF(Arterial=0,IF(Informed=1,1,0),0)</f>
        <v>0</v>
      </c>
      <c r="AC960" s="43" t="n">
        <f aca="false">IF(Arterial=0,IF(Informed=0,1,0),0)</f>
        <v>0</v>
      </c>
      <c r="AD960" s="43" t="n">
        <f aca="false">IF(Arterial=1,IF(Informed=1,1,0),0)</f>
        <v>1</v>
      </c>
      <c r="AE960" s="43" t="n">
        <f aca="false">IF(Arterial=1,IF(Informed=0,1,0),0)</f>
        <v>0</v>
      </c>
      <c r="AF960" s="35" t="n">
        <f aca="false">IF(AB960=1,(X960-G$1030)^2,0)</f>
        <v>0</v>
      </c>
      <c r="AG960" s="35" t="n">
        <f aca="false">IF(AC960=1,(Y960-H$1030)^2,0)</f>
        <v>0</v>
      </c>
      <c r="AH960" s="35" t="n">
        <f aca="false">IF(AD960=1,(Z960-I$1030)^2,0)</f>
        <v>448.578198863181</v>
      </c>
      <c r="AI960" s="35" t="n">
        <f aca="false">IF(AE960=1,(AA960-J$1030)^2,0)</f>
        <v>0</v>
      </c>
      <c r="AJ960" s="37" t="n">
        <f aca="true">IF(RAND()&lt;$D$6,1,0)</f>
        <v>0</v>
      </c>
      <c r="AK960" s="14" t="n">
        <f aca="false">AK959+IF((AJ960=1),IF((H960=0),1,0),0)</f>
        <v>0</v>
      </c>
      <c r="AL960" s="14" t="n">
        <f aca="false">AL959+IF((AJ960=1),IF((H960=1),1,0),0)</f>
        <v>0</v>
      </c>
      <c r="AM960" s="37" t="n">
        <f aca="false">IF(AK960=0,9999,IF($H960=0,IF($AJ960&lt;1,AM959+1,0),AM959))</f>
        <v>9999</v>
      </c>
      <c r="AN960" s="37" t="n">
        <f aca="false">IF(AL960=0,9999,IF($H960=1,IF($AJ960&lt;1,AN959+1,0),AN959))</f>
        <v>9999</v>
      </c>
      <c r="AO960" s="37" t="n">
        <f aca="false">IF($A960-AM960&gt;0,1/(1+AM960),0)</f>
        <v>0</v>
      </c>
      <c r="AP960" s="37" t="n">
        <f aca="false">IF($A960-AN960&gt;0,1/(1+AN960),0)</f>
        <v>0</v>
      </c>
      <c r="AQ960" s="7" t="n">
        <f aca="false">IF(AK960=0,0,MAX(MIN(1,AO960^Power),0))</f>
        <v>0</v>
      </c>
      <c r="AR960" s="7" t="n">
        <f aca="false">IF(AL960=0,0,MAX(MIN(1,AP960^Power),0))</f>
        <v>0</v>
      </c>
      <c r="AS960" s="7" t="n">
        <f aca="false">IF($AJ960=1,IF($H960=0,K960,AS959),AS959)</f>
        <v>0</v>
      </c>
      <c r="AT960" s="7" t="n">
        <f aca="false">IF($AJ960=1,IF($H960=1,N960,AT959),AT959)</f>
        <v>0</v>
      </c>
    </row>
    <row r="961" customFormat="false" ht="13" hidden="false" customHeight="false" outlineLevel="0" collapsed="false">
      <c r="A961" s="16" t="n">
        <v>944</v>
      </c>
      <c r="B961" s="37" t="n">
        <f aca="true">IF(RAND()&lt;$D$8,1,0)</f>
        <v>0</v>
      </c>
      <c r="C961" s="20" t="n">
        <f aca="true">-LN(RAND())/$D$2</f>
        <v>0.0585164904399577</v>
      </c>
      <c r="D961" s="38" t="n">
        <f aca="false">D960+C961</f>
        <v>1003.15597464081</v>
      </c>
      <c r="E961" s="39" t="n">
        <f aca="false">MAX($E$3,AS960)</f>
        <v>0</v>
      </c>
      <c r="F961" s="39" t="n">
        <f aca="false">MAX($E$3,AT960)</f>
        <v>0</v>
      </c>
      <c r="G961" s="40" t="n">
        <v>0.5</v>
      </c>
      <c r="H961" s="38" t="n">
        <f aca="true">IF((B961=1),(IF((F961&lt;E961),1,(IF((F961=E961),(IF(RAND()&lt;G961,1,0)),0)))),(IF((RAND()&lt;G961),1,0)))</f>
        <v>0</v>
      </c>
      <c r="I961" s="38" t="n">
        <f aca="true">IF((H961=1),0,$D$3+$D$5*(RAND()-0.5))</f>
        <v>2.00333580714421</v>
      </c>
      <c r="J961" s="38" t="n">
        <f aca="false">I961+MAX(D961,J960)</f>
        <v>1012.85154890403</v>
      </c>
      <c r="K961" s="38" t="n">
        <f aca="false">IF((H961=0),J961-D961,0)</f>
        <v>9.69557426322115</v>
      </c>
      <c r="L961" s="38" t="n">
        <f aca="true">IF(($H961=0),0,$D$4+$D$5*(RAND()-0.5))</f>
        <v>0</v>
      </c>
      <c r="M961" s="38" t="n">
        <f aca="false">L961+MAX(D961,M960)</f>
        <v>1010.292628195</v>
      </c>
      <c r="N961" s="38" t="n">
        <f aca="false">IF((H961=1),M961-D961,0)</f>
        <v>0</v>
      </c>
      <c r="O961" s="16" t="n">
        <v>944</v>
      </c>
      <c r="P961" s="41" t="n">
        <f aca="false">IF((Arterial=0),P960+1,P960)</f>
        <v>453</v>
      </c>
      <c r="Q961" s="41" t="n">
        <f aca="false">IF((Arterial=1),Q960+1,Q960)</f>
        <v>491</v>
      </c>
      <c r="R961" s="42" t="e">
        <f aca="false">IF((RESET=1),0,R961+K961)</f>
        <v>#N/A</v>
      </c>
      <c r="S961" s="14" t="n">
        <f aca="false">IF(RESET=1,0,S961+N961)</f>
        <v>763.143369486141</v>
      </c>
      <c r="T961" s="2" t="e">
        <f aca="false">IF(RESET=1,0,T961+IF(H961=0,1,0))</f>
        <v>#N/A</v>
      </c>
      <c r="U961" s="2" t="n">
        <f aca="false">IF(RESET=1,0,U961+H961)</f>
        <v>36</v>
      </c>
      <c r="V961" s="14" t="e">
        <f aca="false">R961/(T961+0.00001)</f>
        <v>#N/A</v>
      </c>
      <c r="W961" s="14" t="n">
        <f aca="false">S961/(U961+0.0001)</f>
        <v>21.1983680458149</v>
      </c>
      <c r="X961" s="39" t="n">
        <f aca="false">IF(Informed=1,K961,0)</f>
        <v>0</v>
      </c>
      <c r="Y961" s="39" t="n">
        <f aca="false">IF(Informed=0,K961,0)</f>
        <v>9.69557426322115</v>
      </c>
      <c r="Z961" s="39" t="n">
        <f aca="false">IF(Informed=1,N961,0)</f>
        <v>0</v>
      </c>
      <c r="AA961" s="39" t="n">
        <f aca="false">IF(Informed=0,N961,0)</f>
        <v>0</v>
      </c>
      <c r="AB961" s="43" t="n">
        <f aca="false">IF(Arterial=0,IF(Informed=1,1,0),0)</f>
        <v>0</v>
      </c>
      <c r="AC961" s="43" t="n">
        <f aca="false">IF(Arterial=0,IF(Informed=0,1,0),0)</f>
        <v>1</v>
      </c>
      <c r="AD961" s="43" t="n">
        <f aca="false">IF(Arterial=1,IF(Informed=1,1,0),0)</f>
        <v>0</v>
      </c>
      <c r="AE961" s="43" t="n">
        <f aca="false">IF(Arterial=1,IF(Informed=0,1,0),0)</f>
        <v>0</v>
      </c>
      <c r="AF961" s="35" t="n">
        <f aca="false">IF(AB961=1,(X961-G$1030)^2,0)</f>
        <v>0</v>
      </c>
      <c r="AG961" s="35" t="n">
        <f aca="false">IF(AC961=1,(Y961-H$1030)^2,0)</f>
        <v>1.50850222981262</v>
      </c>
      <c r="AH961" s="35" t="n">
        <f aca="false">IF(AD961=1,(Z961-I$1030)^2,0)</f>
        <v>0</v>
      </c>
      <c r="AI961" s="35" t="n">
        <f aca="false">IF(AE961=1,(AA961-J$1030)^2,0)</f>
        <v>0</v>
      </c>
      <c r="AJ961" s="37" t="n">
        <f aca="true">IF(RAND()&lt;$D$6,1,0)</f>
        <v>0</v>
      </c>
      <c r="AK961" s="14" t="n">
        <f aca="false">AK960+IF((AJ961=1),IF((H961=0),1,0),0)</f>
        <v>0</v>
      </c>
      <c r="AL961" s="14" t="n">
        <f aca="false">AL960+IF((AJ961=1),IF((H961=1),1,0),0)</f>
        <v>0</v>
      </c>
      <c r="AM961" s="37" t="n">
        <f aca="false">IF(AK961=0,9999,IF($H961=0,IF($AJ961&lt;1,AM960+1,0),AM960))</f>
        <v>9999</v>
      </c>
      <c r="AN961" s="37" t="n">
        <f aca="false">IF(AL961=0,9999,IF($H961=1,IF($AJ961&lt;1,AN960+1,0),AN960))</f>
        <v>9999</v>
      </c>
      <c r="AO961" s="37" t="n">
        <f aca="false">IF($A961-AM961&gt;0,1/(1+AM961),0)</f>
        <v>0</v>
      </c>
      <c r="AP961" s="37" t="n">
        <f aca="false">IF($A961-AN961&gt;0,1/(1+AN961),0)</f>
        <v>0</v>
      </c>
      <c r="AQ961" s="7" t="n">
        <f aca="false">IF(AK961=0,0,MAX(MIN(1,AO961^Power),0))</f>
        <v>0</v>
      </c>
      <c r="AR961" s="7" t="n">
        <f aca="false">IF(AL961=0,0,MAX(MIN(1,AP961^Power),0))</f>
        <v>0</v>
      </c>
      <c r="AS961" s="7" t="n">
        <f aca="false">IF($AJ961=1,IF($H961=0,K961,AS960),AS960)</f>
        <v>0</v>
      </c>
      <c r="AT961" s="7" t="n">
        <f aca="false">IF($AJ961=1,IF($H961=1,N961,AT960),AT960)</f>
        <v>0</v>
      </c>
    </row>
    <row r="962" customFormat="false" ht="13" hidden="false" customHeight="false" outlineLevel="0" collapsed="false">
      <c r="A962" s="16" t="n">
        <v>945</v>
      </c>
      <c r="B962" s="37" t="n">
        <f aca="true">IF(RAND()&lt;$D$8,1,0)</f>
        <v>1</v>
      </c>
      <c r="C962" s="20" t="n">
        <f aca="true">-LN(RAND())/$D$2</f>
        <v>0.183058839575973</v>
      </c>
      <c r="D962" s="38" t="n">
        <f aca="false">D961+C962</f>
        <v>1003.33903348038</v>
      </c>
      <c r="E962" s="39" t="n">
        <f aca="false">MAX($E$3,AS961)</f>
        <v>0</v>
      </c>
      <c r="F962" s="39" t="n">
        <f aca="false">MAX($E$3,AT961)</f>
        <v>0</v>
      </c>
      <c r="G962" s="40" t="n">
        <v>0.5</v>
      </c>
      <c r="H962" s="38" t="n">
        <f aca="true">IF((B962=1),(IF((F962&lt;E962),1,(IF((F962=E962),(IF(RAND()&lt;G962,1,0)),0)))),(IF((RAND()&lt;G962),1,0)))</f>
        <v>0</v>
      </c>
      <c r="I962" s="38" t="n">
        <f aca="true">IF((H962=1),0,$D$3+$D$5*(RAND()-0.5))</f>
        <v>1.77139646877338</v>
      </c>
      <c r="J962" s="38" t="n">
        <f aca="false">I962+MAX(D962,J961)</f>
        <v>1014.6229453728</v>
      </c>
      <c r="K962" s="38" t="n">
        <f aca="false">IF((H962=0),J962-D962,0)</f>
        <v>11.2839118924185</v>
      </c>
      <c r="L962" s="38" t="n">
        <f aca="true">IF(($H962=0),0,$D$4+$D$5*(RAND()-0.5))</f>
        <v>0</v>
      </c>
      <c r="M962" s="38" t="n">
        <f aca="false">L962+MAX(D962,M961)</f>
        <v>1010.292628195</v>
      </c>
      <c r="N962" s="38" t="n">
        <f aca="false">IF((H962=1),M962-D962,0)</f>
        <v>0</v>
      </c>
      <c r="O962" s="16" t="n">
        <v>945</v>
      </c>
      <c r="P962" s="41" t="n">
        <f aca="false">IF((Arterial=0),P961+1,P961)</f>
        <v>454</v>
      </c>
      <c r="Q962" s="41" t="n">
        <f aca="false">IF((Arterial=1),Q961+1,Q961)</f>
        <v>491</v>
      </c>
      <c r="R962" s="42" t="e">
        <f aca="false">IF((RESET=1),0,R962+K962)</f>
        <v>#N/A</v>
      </c>
      <c r="S962" s="14" t="n">
        <f aca="false">IF(RESET=1,0,S962+N962)</f>
        <v>911.272451356747</v>
      </c>
      <c r="T962" s="2" t="e">
        <f aca="false">IF(RESET=1,0,T962+IF(H962=0,1,0))</f>
        <v>#N/A</v>
      </c>
      <c r="U962" s="2" t="n">
        <f aca="false">IF(RESET=1,0,U962+H962)</f>
        <v>45</v>
      </c>
      <c r="V962" s="14" t="e">
        <f aca="false">R962/(T962+0.00001)</f>
        <v>#N/A</v>
      </c>
      <c r="W962" s="14" t="n">
        <f aca="false">S962/(U962+0.0001)</f>
        <v>20.2504539180301</v>
      </c>
      <c r="X962" s="39" t="n">
        <f aca="false">IF(Informed=1,K962,0)</f>
        <v>11.2839118924185</v>
      </c>
      <c r="Y962" s="39" t="n">
        <f aca="false">IF(Informed=0,K962,0)</f>
        <v>0</v>
      </c>
      <c r="Z962" s="39" t="n">
        <f aca="false">IF(Informed=1,N962,0)</f>
        <v>0</v>
      </c>
      <c r="AA962" s="39" t="n">
        <f aca="false">IF(Informed=0,N962,0)</f>
        <v>0</v>
      </c>
      <c r="AB962" s="43" t="n">
        <f aca="false">IF(Arterial=0,IF(Informed=1,1,0),0)</f>
        <v>1</v>
      </c>
      <c r="AC962" s="43" t="n">
        <f aca="false">IF(Arterial=0,IF(Informed=0,1,0),0)</f>
        <v>0</v>
      </c>
      <c r="AD962" s="43" t="n">
        <f aca="false">IF(Arterial=1,IF(Informed=1,1,0),0)</f>
        <v>0</v>
      </c>
      <c r="AE962" s="43" t="n">
        <f aca="false">IF(Arterial=1,IF(Informed=0,1,0),0)</f>
        <v>0</v>
      </c>
      <c r="AF962" s="35" t="n">
        <f aca="false">IF(AB962=1,(X962-G$1030)^2,0)</f>
        <v>0.329744285527617</v>
      </c>
      <c r="AG962" s="35" t="n">
        <f aca="false">IF(AC962=1,(Y962-H$1030)^2,0)</f>
        <v>0</v>
      </c>
      <c r="AH962" s="35" t="n">
        <f aca="false">IF(AD962=1,(Z962-I$1030)^2,0)</f>
        <v>0</v>
      </c>
      <c r="AI962" s="35" t="n">
        <f aca="false">IF(AE962=1,(AA962-J$1030)^2,0)</f>
        <v>0</v>
      </c>
      <c r="AJ962" s="37" t="n">
        <f aca="true">IF(RAND()&lt;$D$6,1,0)</f>
        <v>0</v>
      </c>
      <c r="AK962" s="14" t="n">
        <f aca="false">AK961+IF((AJ962=1),IF((H962=0),1,0),0)</f>
        <v>0</v>
      </c>
      <c r="AL962" s="14" t="n">
        <f aca="false">AL961+IF((AJ962=1),IF((H962=1),1,0),0)</f>
        <v>0</v>
      </c>
      <c r="AM962" s="37" t="n">
        <f aca="false">IF(AK962=0,9999,IF($H962=0,IF($AJ962&lt;1,AM961+1,0),AM961))</f>
        <v>9999</v>
      </c>
      <c r="AN962" s="37" t="n">
        <f aca="false">IF(AL962=0,9999,IF($H962=1,IF($AJ962&lt;1,AN961+1,0),AN961))</f>
        <v>9999</v>
      </c>
      <c r="AO962" s="37" t="n">
        <f aca="false">IF($A962-AM962&gt;0,1/(1+AM962),0)</f>
        <v>0</v>
      </c>
      <c r="AP962" s="37" t="n">
        <f aca="false">IF($A962-AN962&gt;0,1/(1+AN962),0)</f>
        <v>0</v>
      </c>
      <c r="AQ962" s="7" t="n">
        <f aca="false">IF(AK962=0,0,MAX(MIN(1,AO962^Power),0))</f>
        <v>0</v>
      </c>
      <c r="AR962" s="7" t="n">
        <f aca="false">IF(AL962=0,0,MAX(MIN(1,AP962^Power),0))</f>
        <v>0</v>
      </c>
      <c r="AS962" s="7" t="n">
        <f aca="false">IF($AJ962=1,IF($H962=0,K962,AS961),AS961)</f>
        <v>0</v>
      </c>
      <c r="AT962" s="7" t="n">
        <f aca="false">IF($AJ962=1,IF($H962=1,N962,AT961),AT961)</f>
        <v>0</v>
      </c>
    </row>
    <row r="963" customFormat="false" ht="13" hidden="false" customHeight="false" outlineLevel="0" collapsed="false">
      <c r="A963" s="16" t="n">
        <v>946</v>
      </c>
      <c r="B963" s="37" t="n">
        <f aca="true">IF(RAND()&lt;$D$8,1,0)</f>
        <v>0</v>
      </c>
      <c r="C963" s="20" t="n">
        <f aca="true">-LN(RAND())/$D$2</f>
        <v>0.217501536803568</v>
      </c>
      <c r="D963" s="38" t="n">
        <f aca="false">D962+C963</f>
        <v>1003.55653501719</v>
      </c>
      <c r="E963" s="39" t="n">
        <f aca="false">MAX($E$3,AS962)</f>
        <v>0</v>
      </c>
      <c r="F963" s="39" t="n">
        <f aca="false">MAX($E$3,AT962)</f>
        <v>0</v>
      </c>
      <c r="G963" s="40" t="n">
        <v>0.5</v>
      </c>
      <c r="H963" s="38" t="n">
        <f aca="true">IF((B963=1),(IF((F963&lt;E963),1,(IF((F963=E963),(IF(RAND()&lt;G963,1,0)),0)))),(IF((RAND()&lt;G963),1,0)))</f>
        <v>1</v>
      </c>
      <c r="I963" s="38" t="n">
        <f aca="true">IF((H963=1),0,$D$3+$D$5*(RAND()-0.5))</f>
        <v>0</v>
      </c>
      <c r="J963" s="38" t="n">
        <f aca="false">I963+MAX(D963,J962)</f>
        <v>1014.6229453728</v>
      </c>
      <c r="K963" s="38" t="n">
        <f aca="false">IF((H963=0),J963-D963,0)</f>
        <v>0</v>
      </c>
      <c r="L963" s="38" t="n">
        <f aca="true">IF(($H963=0),0,$D$4+$D$5*(RAND()-0.5))</f>
        <v>2.02669350627804</v>
      </c>
      <c r="M963" s="38" t="n">
        <f aca="false">L963+MAX(D963,M962)</f>
        <v>1012.31932170128</v>
      </c>
      <c r="N963" s="38" t="n">
        <f aca="false">IF((H963=1),M963-D963,0)</f>
        <v>8.76278668409248</v>
      </c>
      <c r="O963" s="16" t="n">
        <v>946</v>
      </c>
      <c r="P963" s="41" t="n">
        <f aca="false">IF((Arterial=0),P962+1,P962)</f>
        <v>454</v>
      </c>
      <c r="Q963" s="41" t="n">
        <f aca="false">IF((Arterial=1),Q962+1,Q962)</f>
        <v>492</v>
      </c>
      <c r="R963" s="42" t="n">
        <f aca="false">IF((RESET=1),0,R963+K963)</f>
        <v>787.839188868692</v>
      </c>
      <c r="S963" s="14" t="e">
        <f aca="false">IF(RESET=1,0,S963+N963)</f>
        <v>#N/A</v>
      </c>
      <c r="T963" s="2" t="n">
        <f aca="false">IF(RESET=1,0,T963+IF(H963=0,1,0))</f>
        <v>39</v>
      </c>
      <c r="U963" s="2" t="e">
        <f aca="false">IF(RESET=1,0,U963+H963)</f>
        <v>#N/A</v>
      </c>
      <c r="V963" s="14" t="n">
        <f aca="false">R963/(T963+0.00001)</f>
        <v>20.2009996630435</v>
      </c>
      <c r="W963" s="14" t="e">
        <f aca="false">S963/(U963+0.0001)</f>
        <v>#N/A</v>
      </c>
      <c r="X963" s="39" t="n">
        <f aca="false">IF(Informed=1,K963,0)</f>
        <v>0</v>
      </c>
      <c r="Y963" s="39" t="n">
        <f aca="false">IF(Informed=0,K963,0)</f>
        <v>0</v>
      </c>
      <c r="Z963" s="39" t="n">
        <f aca="false">IF(Informed=1,N963,0)</f>
        <v>0</v>
      </c>
      <c r="AA963" s="39" t="n">
        <f aca="false">IF(Informed=0,N963,0)</f>
        <v>8.76278668409248</v>
      </c>
      <c r="AB963" s="43" t="n">
        <f aca="false">IF(Arterial=0,IF(Informed=1,1,0),0)</f>
        <v>0</v>
      </c>
      <c r="AC963" s="43" t="n">
        <f aca="false">IF(Arterial=0,IF(Informed=0,1,0),0)</f>
        <v>0</v>
      </c>
      <c r="AD963" s="43" t="n">
        <f aca="false">IF(Arterial=1,IF(Informed=1,1,0),0)</f>
        <v>0</v>
      </c>
      <c r="AE963" s="43" t="n">
        <f aca="false">IF(Arterial=1,IF(Informed=0,1,0),0)</f>
        <v>1</v>
      </c>
      <c r="AF963" s="35" t="n">
        <f aca="false">IF(AB963=1,(X963-G$1030)^2,0)</f>
        <v>0</v>
      </c>
      <c r="AG963" s="35" t="n">
        <f aca="false">IF(AC963=1,(Y963-H$1030)^2,0)</f>
        <v>0</v>
      </c>
      <c r="AH963" s="35" t="n">
        <f aca="false">IF(AD963=1,(Z963-I$1030)^2,0)</f>
        <v>0</v>
      </c>
      <c r="AI963" s="35" t="n">
        <f aca="false">IF(AE963=1,(AA963-J$1030)^2,0)</f>
        <v>432.701915749776</v>
      </c>
      <c r="AJ963" s="37" t="n">
        <f aca="true">IF(RAND()&lt;$D$6,1,0)</f>
        <v>0</v>
      </c>
      <c r="AK963" s="14" t="n">
        <f aca="false">AK962+IF((AJ963=1),IF((H963=0),1,0),0)</f>
        <v>0</v>
      </c>
      <c r="AL963" s="14" t="n">
        <f aca="false">AL962+IF((AJ963=1),IF((H963=1),1,0),0)</f>
        <v>0</v>
      </c>
      <c r="AM963" s="37" t="n">
        <f aca="false">IF(AK963=0,9999,IF($H963=0,IF($AJ963&lt;1,AM962+1,0),AM962))</f>
        <v>9999</v>
      </c>
      <c r="AN963" s="37" t="n">
        <f aca="false">IF(AL963=0,9999,IF($H963=1,IF($AJ963&lt;1,AN962+1,0),AN962))</f>
        <v>9999</v>
      </c>
      <c r="AO963" s="37" t="n">
        <f aca="false">IF($A963-AM963&gt;0,1/(1+AM963),0)</f>
        <v>0</v>
      </c>
      <c r="AP963" s="37" t="n">
        <f aca="false">IF($A963-AN963&gt;0,1/(1+AN963),0)</f>
        <v>0</v>
      </c>
      <c r="AQ963" s="7" t="n">
        <f aca="false">IF(AK963=0,0,MAX(MIN(1,AO963^Power),0))</f>
        <v>0</v>
      </c>
      <c r="AR963" s="7" t="n">
        <f aca="false">IF(AL963=0,0,MAX(MIN(1,AP963^Power),0))</f>
        <v>0</v>
      </c>
      <c r="AS963" s="7" t="n">
        <f aca="false">IF($AJ963=1,IF($H963=0,K963,AS962),AS962)</f>
        <v>0</v>
      </c>
      <c r="AT963" s="7" t="n">
        <f aca="false">IF($AJ963=1,IF($H963=1,N963,AT962),AT962)</f>
        <v>0</v>
      </c>
    </row>
    <row r="964" customFormat="false" ht="13" hidden="false" customHeight="false" outlineLevel="0" collapsed="false">
      <c r="A964" s="16" t="n">
        <v>947</v>
      </c>
      <c r="B964" s="37" t="n">
        <f aca="true">IF(RAND()&lt;$D$8,1,0)</f>
        <v>0</v>
      </c>
      <c r="C964" s="20" t="n">
        <f aca="true">-LN(RAND())/$D$2</f>
        <v>0.872326674268276</v>
      </c>
      <c r="D964" s="38" t="n">
        <f aca="false">D963+C964</f>
        <v>1004.42886169145</v>
      </c>
      <c r="E964" s="39" t="n">
        <f aca="false">MAX($E$3,AS963)</f>
        <v>0</v>
      </c>
      <c r="F964" s="39" t="n">
        <f aca="false">MAX($E$3,AT963)</f>
        <v>0</v>
      </c>
      <c r="G964" s="40" t="n">
        <v>0.5</v>
      </c>
      <c r="H964" s="38" t="n">
        <f aca="true">IF((B964=1),(IF((F964&lt;E964),1,(IF((F964=E964),(IF(RAND()&lt;G964,1,0)),0)))),(IF((RAND()&lt;G964),1,0)))</f>
        <v>1</v>
      </c>
      <c r="I964" s="38" t="n">
        <f aca="true">IF((H964=1),0,$D$3+$D$5*(RAND()-0.5))</f>
        <v>0</v>
      </c>
      <c r="J964" s="38" t="n">
        <f aca="false">I964+MAX(D964,J963)</f>
        <v>1014.6229453728</v>
      </c>
      <c r="K964" s="38" t="n">
        <f aca="false">IF((H964=0),J964-D964,0)</f>
        <v>0</v>
      </c>
      <c r="L964" s="38" t="n">
        <f aca="true">IF(($H964=0),0,$D$4+$D$5*(RAND()-0.5))</f>
        <v>2.05945043135002</v>
      </c>
      <c r="M964" s="38" t="n">
        <f aca="false">L964+MAX(D964,M963)</f>
        <v>1014.37877213263</v>
      </c>
      <c r="N964" s="38" t="n">
        <f aca="false">IF((H964=1),M964-D964,0)</f>
        <v>9.94991044117421</v>
      </c>
      <c r="O964" s="16" t="n">
        <v>947</v>
      </c>
      <c r="P964" s="41" t="n">
        <f aca="false">IF((Arterial=0),P963+1,P963)</f>
        <v>454</v>
      </c>
      <c r="Q964" s="41" t="n">
        <f aca="false">IF((Arterial=1),Q963+1,Q963)</f>
        <v>493</v>
      </c>
      <c r="R964" s="42" t="n">
        <f aca="false">IF((RESET=1),0,R964+K964)</f>
        <v>658.658529035738</v>
      </c>
      <c r="S964" s="14" t="e">
        <f aca="false">IF(RESET=1,0,S964+N964)</f>
        <v>#N/A</v>
      </c>
      <c r="T964" s="2" t="n">
        <f aca="false">IF(RESET=1,0,T964+IF(H964=0,1,0))</f>
        <v>38</v>
      </c>
      <c r="U964" s="2" t="e">
        <f aca="false">IF(RESET=1,0,U964+H964)</f>
        <v>#N/A</v>
      </c>
      <c r="V964" s="14" t="n">
        <f aca="false">R964/(T964+0.00001)</f>
        <v>17.333114623805</v>
      </c>
      <c r="W964" s="14" t="e">
        <f aca="false">S964/(U964+0.0001)</f>
        <v>#N/A</v>
      </c>
      <c r="X964" s="39" t="n">
        <f aca="false">IF(Informed=1,K964,0)</f>
        <v>0</v>
      </c>
      <c r="Y964" s="39" t="n">
        <f aca="false">IF(Informed=0,K964,0)</f>
        <v>0</v>
      </c>
      <c r="Z964" s="39" t="n">
        <f aca="false">IF(Informed=1,N964,0)</f>
        <v>0</v>
      </c>
      <c r="AA964" s="39" t="n">
        <f aca="false">IF(Informed=0,N964,0)</f>
        <v>9.94991044117421</v>
      </c>
      <c r="AB964" s="43" t="n">
        <f aca="false">IF(Arterial=0,IF(Informed=1,1,0),0)</f>
        <v>0</v>
      </c>
      <c r="AC964" s="43" t="n">
        <f aca="false">IF(Arterial=0,IF(Informed=0,1,0),0)</f>
        <v>0</v>
      </c>
      <c r="AD964" s="43" t="n">
        <f aca="false">IF(Arterial=1,IF(Informed=1,1,0),0)</f>
        <v>0</v>
      </c>
      <c r="AE964" s="43" t="n">
        <f aca="false">IF(Arterial=1,IF(Informed=0,1,0),0)</f>
        <v>1</v>
      </c>
      <c r="AF964" s="35" t="n">
        <f aca="false">IF(AB964=1,(X964-G$1030)^2,0)</f>
        <v>0</v>
      </c>
      <c r="AG964" s="35" t="n">
        <f aca="false">IF(AC964=1,(Y964-H$1030)^2,0)</f>
        <v>0</v>
      </c>
      <c r="AH964" s="35" t="n">
        <f aca="false">IF(AD964=1,(Z964-I$1030)^2,0)</f>
        <v>0</v>
      </c>
      <c r="AI964" s="35" t="n">
        <f aca="false">IF(AE964=1,(AA964-J$1030)^2,0)</f>
        <v>384.723296662691</v>
      </c>
      <c r="AJ964" s="37" t="n">
        <f aca="true">IF(RAND()&lt;$D$6,1,0)</f>
        <v>0</v>
      </c>
      <c r="AK964" s="14" t="n">
        <f aca="false">AK963+IF((AJ964=1),IF((H964=0),1,0),0)</f>
        <v>0</v>
      </c>
      <c r="AL964" s="14" t="n">
        <f aca="false">AL963+IF((AJ964=1),IF((H964=1),1,0),0)</f>
        <v>0</v>
      </c>
      <c r="AM964" s="37" t="n">
        <f aca="false">IF(AK964=0,9999,IF($H964=0,IF($AJ964&lt;1,AM963+1,0),AM963))</f>
        <v>9999</v>
      </c>
      <c r="AN964" s="37" t="n">
        <f aca="false">IF(AL964=0,9999,IF($H964=1,IF($AJ964&lt;1,AN963+1,0),AN963))</f>
        <v>9999</v>
      </c>
      <c r="AO964" s="37" t="n">
        <f aca="false">IF($A964-AM964&gt;0,1/(1+AM964),0)</f>
        <v>0</v>
      </c>
      <c r="AP964" s="37" t="n">
        <f aca="false">IF($A964-AN964&gt;0,1/(1+AN964),0)</f>
        <v>0</v>
      </c>
      <c r="AQ964" s="7" t="n">
        <f aca="false">IF(AK964=0,0,MAX(MIN(1,AO964^Power),0))</f>
        <v>0</v>
      </c>
      <c r="AR964" s="7" t="n">
        <f aca="false">IF(AL964=0,0,MAX(MIN(1,AP964^Power),0))</f>
        <v>0</v>
      </c>
      <c r="AS964" s="7" t="n">
        <f aca="false">IF($AJ964=1,IF($H964=0,K964,AS963),AS963)</f>
        <v>0</v>
      </c>
      <c r="AT964" s="7" t="n">
        <f aca="false">IF($AJ964=1,IF($H964=1,N964,AT963),AT963)</f>
        <v>0</v>
      </c>
    </row>
    <row r="965" customFormat="false" ht="13" hidden="false" customHeight="false" outlineLevel="0" collapsed="false">
      <c r="A965" s="16" t="n">
        <v>948</v>
      </c>
      <c r="B965" s="37" t="n">
        <f aca="true">IF(RAND()&lt;$D$8,1,0)</f>
        <v>1</v>
      </c>
      <c r="C965" s="20" t="n">
        <f aca="true">-LN(RAND())/$D$2</f>
        <v>0.945503403805418</v>
      </c>
      <c r="D965" s="38" t="n">
        <f aca="false">D964+C965</f>
        <v>1005.37436509526</v>
      </c>
      <c r="E965" s="39" t="n">
        <f aca="false">MAX($E$3,AS964)</f>
        <v>0</v>
      </c>
      <c r="F965" s="39" t="n">
        <f aca="false">MAX($E$3,AT964)</f>
        <v>0</v>
      </c>
      <c r="G965" s="40" t="n">
        <v>0.5</v>
      </c>
      <c r="H965" s="38" t="n">
        <f aca="true">IF((B965=1),(IF((F965&lt;E965),1,(IF((F965=E965),(IF(RAND()&lt;G965,1,0)),0)))),(IF((RAND()&lt;G965),1,0)))</f>
        <v>1</v>
      </c>
      <c r="I965" s="38" t="n">
        <f aca="true">IF((H965=1),0,$D$3+$D$5*(RAND()-0.5))</f>
        <v>0</v>
      </c>
      <c r="J965" s="38" t="n">
        <f aca="false">I965+MAX(D965,J964)</f>
        <v>1014.6229453728</v>
      </c>
      <c r="K965" s="38" t="n">
        <f aca="false">IF((H965=0),J965-D965,0)</f>
        <v>0</v>
      </c>
      <c r="L965" s="38" t="n">
        <f aca="true">IF(($H965=0),0,$D$4+$D$5*(RAND()-0.5))</f>
        <v>1.84940440396946</v>
      </c>
      <c r="M965" s="38" t="n">
        <f aca="false">L965+MAX(D965,M964)</f>
        <v>1016.2281765366</v>
      </c>
      <c r="N965" s="38" t="n">
        <f aca="false">IF((H965=1),M965-D965,0)</f>
        <v>10.8538114413383</v>
      </c>
      <c r="O965" s="16" t="n">
        <v>948</v>
      </c>
      <c r="P965" s="41" t="n">
        <f aca="false">IF((Arterial=0),P964+1,P964)</f>
        <v>454</v>
      </c>
      <c r="Q965" s="41" t="n">
        <f aca="false">IF((Arterial=1),Q964+1,Q964)</f>
        <v>494</v>
      </c>
      <c r="R965" s="42" t="n">
        <f aca="false">IF((RESET=1),0,R965+K965)</f>
        <v>969.259584761547</v>
      </c>
      <c r="S965" s="14" t="e">
        <f aca="false">IF(RESET=1,0,S965+N965)</f>
        <v>#N/A</v>
      </c>
      <c r="T965" s="2" t="n">
        <f aca="false">IF(RESET=1,0,T965+IF(H965=0,1,0))</f>
        <v>44</v>
      </c>
      <c r="U965" s="2" t="e">
        <f aca="false">IF(RESET=1,0,U965+H965)</f>
        <v>#N/A</v>
      </c>
      <c r="V965" s="14" t="n">
        <f aca="false">R965/(T965+0.00001)</f>
        <v>22.0286219198938</v>
      </c>
      <c r="W965" s="14" t="e">
        <f aca="false">S965/(U965+0.0001)</f>
        <v>#N/A</v>
      </c>
      <c r="X965" s="39" t="n">
        <f aca="false">IF(Informed=1,K965,0)</f>
        <v>0</v>
      </c>
      <c r="Y965" s="39" t="n">
        <f aca="false">IF(Informed=0,K965,0)</f>
        <v>0</v>
      </c>
      <c r="Z965" s="39" t="n">
        <f aca="false">IF(Informed=1,N965,0)</f>
        <v>10.8538114413383</v>
      </c>
      <c r="AA965" s="39" t="n">
        <f aca="false">IF(Informed=0,N965,0)</f>
        <v>0</v>
      </c>
      <c r="AB965" s="43" t="n">
        <f aca="false">IF(Arterial=0,IF(Informed=1,1,0),0)</f>
        <v>0</v>
      </c>
      <c r="AC965" s="43" t="n">
        <f aca="false">IF(Arterial=0,IF(Informed=0,1,0),0)</f>
        <v>0</v>
      </c>
      <c r="AD965" s="43" t="n">
        <f aca="false">IF(Arterial=1,IF(Informed=1,1,0),0)</f>
        <v>1</v>
      </c>
      <c r="AE965" s="43" t="n">
        <f aca="false">IF(Arterial=1,IF(Informed=0,1,0),0)</f>
        <v>0</v>
      </c>
      <c r="AF965" s="35" t="n">
        <f aca="false">IF(AB965=1,(X965-G$1030)^2,0)</f>
        <v>0</v>
      </c>
      <c r="AG965" s="35" t="n">
        <f aca="false">IF(AC965=1,(Y965-H$1030)^2,0)</f>
        <v>0</v>
      </c>
      <c r="AH965" s="35" t="n">
        <f aca="false">IF(AD965=1,(Z965-I$1030)^2,0)</f>
        <v>306.986259297747</v>
      </c>
      <c r="AI965" s="35" t="n">
        <f aca="false">IF(AE965=1,(AA965-J$1030)^2,0)</f>
        <v>0</v>
      </c>
      <c r="AJ965" s="37" t="n">
        <f aca="true">IF(RAND()&lt;$D$6,1,0)</f>
        <v>0</v>
      </c>
      <c r="AK965" s="14" t="n">
        <f aca="false">AK964+IF((AJ965=1),IF((H965=0),1,0),0)</f>
        <v>0</v>
      </c>
      <c r="AL965" s="14" t="n">
        <f aca="false">AL964+IF((AJ965=1),IF((H965=1),1,0),0)</f>
        <v>0</v>
      </c>
      <c r="AM965" s="37" t="n">
        <f aca="false">IF(AK965=0,9999,IF($H965=0,IF($AJ965&lt;1,AM964+1,0),AM964))</f>
        <v>9999</v>
      </c>
      <c r="AN965" s="37" t="n">
        <f aca="false">IF(AL965=0,9999,IF($H965=1,IF($AJ965&lt;1,AN964+1,0),AN964))</f>
        <v>9999</v>
      </c>
      <c r="AO965" s="37" t="n">
        <f aca="false">IF($A965-AM965&gt;0,1/(1+AM965),0)</f>
        <v>0</v>
      </c>
      <c r="AP965" s="37" t="n">
        <f aca="false">IF($A965-AN965&gt;0,1/(1+AN965),0)</f>
        <v>0</v>
      </c>
      <c r="AQ965" s="7" t="n">
        <f aca="false">IF(AK965=0,0,MAX(MIN(1,AO965^Power),0))</f>
        <v>0</v>
      </c>
      <c r="AR965" s="7" t="n">
        <f aca="false">IF(AL965=0,0,MAX(MIN(1,AP965^Power),0))</f>
        <v>0</v>
      </c>
      <c r="AS965" s="7" t="n">
        <f aca="false">IF($AJ965=1,IF($H965=0,K965,AS964),AS964)</f>
        <v>0</v>
      </c>
      <c r="AT965" s="7" t="n">
        <f aca="false">IF($AJ965=1,IF($H965=1,N965,AT964),AT964)</f>
        <v>0</v>
      </c>
    </row>
    <row r="966" customFormat="false" ht="13" hidden="false" customHeight="false" outlineLevel="0" collapsed="false">
      <c r="A966" s="16" t="n">
        <v>949</v>
      </c>
      <c r="B966" s="37" t="n">
        <f aca="true">IF(RAND()&lt;$D$8,1,0)</f>
        <v>1</v>
      </c>
      <c r="C966" s="20" t="n">
        <f aca="true">-LN(RAND())/$D$2</f>
        <v>0.95339127291235</v>
      </c>
      <c r="D966" s="38" t="n">
        <f aca="false">D965+C966</f>
        <v>1006.32775636817</v>
      </c>
      <c r="E966" s="39" t="n">
        <f aca="false">MAX($E$3,AS965)</f>
        <v>0</v>
      </c>
      <c r="F966" s="39" t="n">
        <f aca="false">MAX($E$3,AT965)</f>
        <v>0</v>
      </c>
      <c r="G966" s="40" t="n">
        <v>0.5</v>
      </c>
      <c r="H966" s="38" t="n">
        <f aca="true">IF((B966=1),(IF((F966&lt;E966),1,(IF((F966=E966),(IF(RAND()&lt;G966,1,0)),0)))),(IF((RAND()&lt;G966),1,0)))</f>
        <v>1</v>
      </c>
      <c r="I966" s="38" t="n">
        <f aca="true">IF((H966=1),0,$D$3+$D$5*(RAND()-0.5))</f>
        <v>0</v>
      </c>
      <c r="J966" s="38" t="n">
        <f aca="false">I966+MAX(D966,J965)</f>
        <v>1014.6229453728</v>
      </c>
      <c r="K966" s="38" t="n">
        <f aca="false">IF((H966=0),J966-D966,0)</f>
        <v>0</v>
      </c>
      <c r="L966" s="38" t="n">
        <f aca="true">IF(($H966=0),0,$D$4+$D$5*(RAND()-0.5))</f>
        <v>2.07667103138733</v>
      </c>
      <c r="M966" s="38" t="n">
        <f aca="false">L966+MAX(D966,M965)</f>
        <v>1018.30484756798</v>
      </c>
      <c r="N966" s="38" t="n">
        <f aca="false">IF((H966=1),M966-D966,0)</f>
        <v>11.9770911998133</v>
      </c>
      <c r="O966" s="16" t="n">
        <v>949</v>
      </c>
      <c r="P966" s="41" t="n">
        <f aca="false">IF((Arterial=0),P965+1,P965)</f>
        <v>454</v>
      </c>
      <c r="Q966" s="41" t="n">
        <f aca="false">IF((Arterial=1),Q965+1,Q965)</f>
        <v>495</v>
      </c>
      <c r="R966" s="42" t="n">
        <f aca="false">IF((RESET=1),0,R966+K966)</f>
        <v>774.365077118194</v>
      </c>
      <c r="S966" s="14" t="e">
        <f aca="false">IF(RESET=1,0,S966+N966)</f>
        <v>#N/A</v>
      </c>
      <c r="T966" s="2" t="n">
        <f aca="false">IF(RESET=1,0,T966+IF(H966=0,1,0))</f>
        <v>44</v>
      </c>
      <c r="U966" s="2" t="e">
        <f aca="false">IF(RESET=1,0,U966+H966)</f>
        <v>#N/A</v>
      </c>
      <c r="V966" s="14" t="n">
        <f aca="false">R966/(T966+0.00001)</f>
        <v>17.5992022983221</v>
      </c>
      <c r="W966" s="14" t="e">
        <f aca="false">S966/(U966+0.0001)</f>
        <v>#N/A</v>
      </c>
      <c r="X966" s="39" t="n">
        <f aca="false">IF(Informed=1,K966,0)</f>
        <v>0</v>
      </c>
      <c r="Y966" s="39" t="n">
        <f aca="false">IF(Informed=0,K966,0)</f>
        <v>0</v>
      </c>
      <c r="Z966" s="39" t="n">
        <f aca="false">IF(Informed=1,N966,0)</f>
        <v>11.9770911998133</v>
      </c>
      <c r="AA966" s="39" t="n">
        <f aca="false">IF(Informed=0,N966,0)</f>
        <v>0</v>
      </c>
      <c r="AB966" s="43" t="n">
        <f aca="false">IF(Arterial=0,IF(Informed=1,1,0),0)</f>
        <v>0</v>
      </c>
      <c r="AC966" s="43" t="n">
        <f aca="false">IF(Arterial=0,IF(Informed=0,1,0),0)</f>
        <v>0</v>
      </c>
      <c r="AD966" s="43" t="n">
        <f aca="false">IF(Arterial=1,IF(Informed=1,1,0),0)</f>
        <v>1</v>
      </c>
      <c r="AE966" s="43" t="n">
        <f aca="false">IF(Arterial=1,IF(Informed=0,1,0),0)</f>
        <v>0</v>
      </c>
      <c r="AF966" s="35" t="n">
        <f aca="false">IF(AB966=1,(X966-G$1030)^2,0)</f>
        <v>0</v>
      </c>
      <c r="AG966" s="35" t="n">
        <f aca="false">IF(AC966=1,(Y966-H$1030)^2,0)</f>
        <v>0</v>
      </c>
      <c r="AH966" s="35" t="n">
        <f aca="false">IF(AD966=1,(Z966-I$1030)^2,0)</f>
        <v>268.885994955635</v>
      </c>
      <c r="AI966" s="35" t="n">
        <f aca="false">IF(AE966=1,(AA966-J$1030)^2,0)</f>
        <v>0</v>
      </c>
      <c r="AJ966" s="37" t="n">
        <f aca="true">IF(RAND()&lt;$D$6,1,0)</f>
        <v>0</v>
      </c>
      <c r="AK966" s="14" t="n">
        <f aca="false">AK965+IF((AJ966=1),IF((H966=0),1,0),0)</f>
        <v>0</v>
      </c>
      <c r="AL966" s="14" t="n">
        <f aca="false">AL965+IF((AJ966=1),IF((H966=1),1,0),0)</f>
        <v>0</v>
      </c>
      <c r="AM966" s="37" t="n">
        <f aca="false">IF(AK966=0,9999,IF($H966=0,IF($AJ966&lt;1,AM965+1,0),AM965))</f>
        <v>9999</v>
      </c>
      <c r="AN966" s="37" t="n">
        <f aca="false">IF(AL966=0,9999,IF($H966=1,IF($AJ966&lt;1,AN965+1,0),AN965))</f>
        <v>9999</v>
      </c>
      <c r="AO966" s="37" t="n">
        <f aca="false">IF($A966-AM966&gt;0,1/(1+AM966),0)</f>
        <v>0</v>
      </c>
      <c r="AP966" s="37" t="n">
        <f aca="false">IF($A966-AN966&gt;0,1/(1+AN966),0)</f>
        <v>0</v>
      </c>
      <c r="AQ966" s="7" t="n">
        <f aca="false">IF(AK966=0,0,MAX(MIN(1,AO966^Power),0))</f>
        <v>0</v>
      </c>
      <c r="AR966" s="7" t="n">
        <f aca="false">IF(AL966=0,0,MAX(MIN(1,AP966^Power),0))</f>
        <v>0</v>
      </c>
      <c r="AS966" s="7" t="n">
        <f aca="false">IF($AJ966=1,IF($H966=0,K966,AS965),AS965)</f>
        <v>0</v>
      </c>
      <c r="AT966" s="7" t="n">
        <f aca="false">IF($AJ966=1,IF($H966=1,N966,AT965),AT965)</f>
        <v>0</v>
      </c>
    </row>
    <row r="967" customFormat="false" ht="13" hidden="false" customHeight="false" outlineLevel="0" collapsed="false">
      <c r="A967" s="16" t="n">
        <v>950</v>
      </c>
      <c r="B967" s="37" t="n">
        <f aca="true">IF(RAND()&lt;$D$8,1,0)</f>
        <v>0</v>
      </c>
      <c r="C967" s="20" t="n">
        <f aca="true">-LN(RAND())/$D$2</f>
        <v>0.729020438255331</v>
      </c>
      <c r="D967" s="38" t="n">
        <f aca="false">D966+C967</f>
        <v>1007.05677680643</v>
      </c>
      <c r="E967" s="39" t="n">
        <f aca="false">MAX($E$3,AS966)</f>
        <v>0</v>
      </c>
      <c r="F967" s="39" t="n">
        <f aca="false">MAX($E$3,AT966)</f>
        <v>0</v>
      </c>
      <c r="G967" s="40" t="n">
        <v>0.5</v>
      </c>
      <c r="H967" s="38" t="n">
        <f aca="true">IF((B967=1),(IF((F967&lt;E967),1,(IF((F967=E967),(IF(RAND()&lt;G967,1,0)),0)))),(IF((RAND()&lt;G967),1,0)))</f>
        <v>1</v>
      </c>
      <c r="I967" s="38" t="n">
        <f aca="true">IF((H967=1),0,$D$3+$D$5*(RAND()-0.5))</f>
        <v>0</v>
      </c>
      <c r="J967" s="38" t="n">
        <f aca="false">I967+MAX(D967,J966)</f>
        <v>1014.6229453728</v>
      </c>
      <c r="K967" s="38" t="n">
        <f aca="false">IF((H967=0),J967-D967,0)</f>
        <v>0</v>
      </c>
      <c r="L967" s="38" t="n">
        <f aca="true">IF(($H967=0),0,$D$4+$D$5*(RAND()-0.5))</f>
        <v>2.11891167602862</v>
      </c>
      <c r="M967" s="38" t="n">
        <f aca="false">L967+MAX(D967,M966)</f>
        <v>1020.42375924401</v>
      </c>
      <c r="N967" s="38" t="n">
        <f aca="false">IF((H967=1),M967-D967,0)</f>
        <v>13.3669824375866</v>
      </c>
      <c r="O967" s="16" t="n">
        <v>950</v>
      </c>
      <c r="P967" s="41" t="n">
        <f aca="false">IF((Arterial=0),P966+1,P966)</f>
        <v>454</v>
      </c>
      <c r="Q967" s="41" t="n">
        <f aca="false">IF((Arterial=1),Q966+1,Q966)</f>
        <v>496</v>
      </c>
      <c r="R967" s="42" t="n">
        <f aca="false">IF((RESET=1),0,R967+K967)</f>
        <v>753.433316887751</v>
      </c>
      <c r="S967" s="14" t="e">
        <f aca="false">IF(RESET=1,0,S967+N967)</f>
        <v>#N/A</v>
      </c>
      <c r="T967" s="2" t="n">
        <f aca="false">IF(RESET=1,0,T967+IF(H967=0,1,0))</f>
        <v>41</v>
      </c>
      <c r="U967" s="2" t="e">
        <f aca="false">IF(RESET=1,0,U967+H967)</f>
        <v>#N/A</v>
      </c>
      <c r="V967" s="14" t="n">
        <f aca="false">R967/(T967+0.00001)</f>
        <v>18.3764178810627</v>
      </c>
      <c r="W967" s="14" t="e">
        <f aca="false">S967/(U967+0.0001)</f>
        <v>#N/A</v>
      </c>
      <c r="X967" s="39" t="n">
        <f aca="false">IF(Informed=1,K967,0)</f>
        <v>0</v>
      </c>
      <c r="Y967" s="39" t="n">
        <f aca="false">IF(Informed=0,K967,0)</f>
        <v>0</v>
      </c>
      <c r="Z967" s="39" t="n">
        <f aca="false">IF(Informed=1,N967,0)</f>
        <v>0</v>
      </c>
      <c r="AA967" s="39" t="n">
        <f aca="false">IF(Informed=0,N967,0)</f>
        <v>13.3669824375866</v>
      </c>
      <c r="AB967" s="43" t="n">
        <f aca="false">IF(Arterial=0,IF(Informed=1,1,0),0)</f>
        <v>0</v>
      </c>
      <c r="AC967" s="43" t="n">
        <f aca="false">IF(Arterial=0,IF(Informed=0,1,0),0)</f>
        <v>0</v>
      </c>
      <c r="AD967" s="43" t="n">
        <f aca="false">IF(Arterial=1,IF(Informed=1,1,0),0)</f>
        <v>0</v>
      </c>
      <c r="AE967" s="43" t="n">
        <f aca="false">IF(Arterial=1,IF(Informed=0,1,0),0)</f>
        <v>1</v>
      </c>
      <c r="AF967" s="35" t="n">
        <f aca="false">IF(AB967=1,(X967-G$1030)^2,0)</f>
        <v>0</v>
      </c>
      <c r="AG967" s="35" t="n">
        <f aca="false">IF(AC967=1,(Y967-H$1030)^2,0)</f>
        <v>0</v>
      </c>
      <c r="AH967" s="35" t="n">
        <f aca="false">IF(AD967=1,(Z967-I$1030)^2,0)</f>
        <v>0</v>
      </c>
      <c r="AI967" s="35" t="n">
        <f aca="false">IF(AE967=1,(AA967-J$1030)^2,0)</f>
        <v>262.352286035452</v>
      </c>
      <c r="AJ967" s="37" t="n">
        <f aca="true">IF(RAND()&lt;$D$6,1,0)</f>
        <v>0</v>
      </c>
      <c r="AK967" s="14" t="n">
        <f aca="false">AK966+IF((AJ967=1),IF((H967=0),1,0),0)</f>
        <v>0</v>
      </c>
      <c r="AL967" s="14" t="n">
        <f aca="false">AL966+IF((AJ967=1),IF((H967=1),1,0),0)</f>
        <v>0</v>
      </c>
      <c r="AM967" s="37" t="n">
        <f aca="false">IF(AK967=0,9999,IF($H967=0,IF($AJ967&lt;1,AM966+1,0),AM966))</f>
        <v>9999</v>
      </c>
      <c r="AN967" s="37" t="n">
        <f aca="false">IF(AL967=0,9999,IF($H967=1,IF($AJ967&lt;1,AN966+1,0),AN966))</f>
        <v>9999</v>
      </c>
      <c r="AO967" s="37" t="n">
        <f aca="false">IF($A967-AM967&gt;0,1/(1+AM967),0)</f>
        <v>0</v>
      </c>
      <c r="AP967" s="37" t="n">
        <f aca="false">IF($A967-AN967&gt;0,1/(1+AN967),0)</f>
        <v>0</v>
      </c>
      <c r="AQ967" s="7" t="n">
        <f aca="false">IF(AK967=0,0,MAX(MIN(1,AO967^Power),0))</f>
        <v>0</v>
      </c>
      <c r="AR967" s="7" t="n">
        <f aca="false">IF(AL967=0,0,MAX(MIN(1,AP967^Power),0))</f>
        <v>0</v>
      </c>
      <c r="AS967" s="7" t="n">
        <f aca="false">IF($AJ967=1,IF($H967=0,K967,AS966),AS966)</f>
        <v>0</v>
      </c>
      <c r="AT967" s="7" t="n">
        <f aca="false">IF($AJ967=1,IF($H967=1,N967,AT966),AT966)</f>
        <v>0</v>
      </c>
    </row>
    <row r="968" customFormat="false" ht="13" hidden="false" customHeight="false" outlineLevel="0" collapsed="false">
      <c r="A968" s="16" t="n">
        <v>951</v>
      </c>
      <c r="B968" s="37" t="n">
        <f aca="true">IF(RAND()&lt;$D$8,1,0)</f>
        <v>1</v>
      </c>
      <c r="C968" s="20" t="n">
        <f aca="true">-LN(RAND())/$D$2</f>
        <v>0.913259876962658</v>
      </c>
      <c r="D968" s="38" t="n">
        <f aca="false">D967+C968</f>
        <v>1007.97003668339</v>
      </c>
      <c r="E968" s="39" t="n">
        <f aca="false">MAX($E$3,AS967)</f>
        <v>0</v>
      </c>
      <c r="F968" s="39" t="n">
        <f aca="false">MAX($E$3,AT967)</f>
        <v>0</v>
      </c>
      <c r="G968" s="40" t="n">
        <v>0.5</v>
      </c>
      <c r="H968" s="38" t="n">
        <f aca="true">IF((B968=1),(IF((F968&lt;E968),1,(IF((F968=E968),(IF(RAND()&lt;G968,1,0)),0)))),(IF((RAND()&lt;G968),1,0)))</f>
        <v>0</v>
      </c>
      <c r="I968" s="38" t="n">
        <f aca="true">IF((H968=1),0,$D$3+$D$5*(RAND()-0.5))</f>
        <v>2.17459049795501</v>
      </c>
      <c r="J968" s="38" t="n">
        <f aca="false">I968+MAX(D968,J967)</f>
        <v>1016.79753587076</v>
      </c>
      <c r="K968" s="38" t="n">
        <f aca="false">IF((H968=0),J968-D968,0)</f>
        <v>8.8274991873659</v>
      </c>
      <c r="L968" s="38" t="n">
        <f aca="true">IF(($H968=0),0,$D$4+$D$5*(RAND()-0.5))</f>
        <v>0</v>
      </c>
      <c r="M968" s="38" t="n">
        <f aca="false">L968+MAX(D968,M967)</f>
        <v>1020.42375924401</v>
      </c>
      <c r="N968" s="38" t="n">
        <f aca="false">IF((H968=1),M968-D968,0)</f>
        <v>0</v>
      </c>
      <c r="O968" s="16" t="n">
        <v>951</v>
      </c>
      <c r="P968" s="41" t="n">
        <f aca="false">IF((Arterial=0),P967+1,P967)</f>
        <v>455</v>
      </c>
      <c r="Q968" s="41" t="n">
        <f aca="false">IF((Arterial=1),Q967+1,Q967)</f>
        <v>496</v>
      </c>
      <c r="R968" s="42" t="e">
        <f aca="false">IF((RESET=1),0,R968+K968)</f>
        <v>#N/A</v>
      </c>
      <c r="S968" s="14" t="n">
        <f aca="false">IF(RESET=1,0,S968+N968)</f>
        <v>594.031094635678</v>
      </c>
      <c r="T968" s="2" t="e">
        <f aca="false">IF(RESET=1,0,T968+IF(H968=0,1,0))</f>
        <v>#N/A</v>
      </c>
      <c r="U968" s="2" t="n">
        <f aca="false">IF(RESET=1,0,U968+H968)</f>
        <v>36</v>
      </c>
      <c r="V968" s="14" t="e">
        <f aca="false">R968/(T968+0.00001)</f>
        <v>#N/A</v>
      </c>
      <c r="W968" s="14" t="n">
        <f aca="false">S968/(U968+0.0001)</f>
        <v>16.5008179042746</v>
      </c>
      <c r="X968" s="39" t="n">
        <f aca="false">IF(Informed=1,K968,0)</f>
        <v>8.8274991873659</v>
      </c>
      <c r="Y968" s="39" t="n">
        <f aca="false">IF(Informed=0,K968,0)</f>
        <v>0</v>
      </c>
      <c r="Z968" s="39" t="n">
        <f aca="false">IF(Informed=1,N968,0)</f>
        <v>0</v>
      </c>
      <c r="AA968" s="39" t="n">
        <f aca="false">IF(Informed=0,N968,0)</f>
        <v>0</v>
      </c>
      <c r="AB968" s="43" t="n">
        <f aca="false">IF(Arterial=0,IF(Informed=1,1,0),0)</f>
        <v>1</v>
      </c>
      <c r="AC968" s="43" t="n">
        <f aca="false">IF(Arterial=0,IF(Informed=0,1,0),0)</f>
        <v>0</v>
      </c>
      <c r="AD968" s="43" t="n">
        <f aca="false">IF(Arterial=1,IF(Informed=1,1,0),0)</f>
        <v>0</v>
      </c>
      <c r="AE968" s="43" t="n">
        <f aca="false">IF(Arterial=1,IF(Informed=0,1,0),0)</f>
        <v>0</v>
      </c>
      <c r="AF968" s="35" t="n">
        <f aca="false">IF(AB968=1,(X968-G$1030)^2,0)</f>
        <v>3.5425979928685</v>
      </c>
      <c r="AG968" s="35" t="n">
        <f aca="false">IF(AC968=1,(Y968-H$1030)^2,0)</f>
        <v>0</v>
      </c>
      <c r="AH968" s="35" t="n">
        <f aca="false">IF(AD968=1,(Z968-I$1030)^2,0)</f>
        <v>0</v>
      </c>
      <c r="AI968" s="35" t="n">
        <f aca="false">IF(AE968=1,(AA968-J$1030)^2,0)</f>
        <v>0</v>
      </c>
      <c r="AJ968" s="37" t="n">
        <f aca="true">IF(RAND()&lt;$D$6,1,0)</f>
        <v>0</v>
      </c>
      <c r="AK968" s="14" t="n">
        <f aca="false">AK967+IF((AJ968=1),IF((H968=0),1,0),0)</f>
        <v>0</v>
      </c>
      <c r="AL968" s="14" t="n">
        <f aca="false">AL967+IF((AJ968=1),IF((H968=1),1,0),0)</f>
        <v>0</v>
      </c>
      <c r="AM968" s="37" t="n">
        <f aca="false">IF(AK968=0,9999,IF($H968=0,IF($AJ968&lt;1,AM967+1,0),AM967))</f>
        <v>9999</v>
      </c>
      <c r="AN968" s="37" t="n">
        <f aca="false">IF(AL968=0,9999,IF($H968=1,IF($AJ968&lt;1,AN967+1,0),AN967))</f>
        <v>9999</v>
      </c>
      <c r="AO968" s="37" t="n">
        <f aca="false">IF($A968-AM968&gt;0,1/(1+AM968),0)</f>
        <v>0</v>
      </c>
      <c r="AP968" s="37" t="n">
        <f aca="false">IF($A968-AN968&gt;0,1/(1+AN968),0)</f>
        <v>0</v>
      </c>
      <c r="AQ968" s="7" t="n">
        <f aca="false">IF(AK968=0,0,MAX(MIN(1,AO968^Power),0))</f>
        <v>0</v>
      </c>
      <c r="AR968" s="7" t="n">
        <f aca="false">IF(AL968=0,0,MAX(MIN(1,AP968^Power),0))</f>
        <v>0</v>
      </c>
      <c r="AS968" s="7" t="n">
        <f aca="false">IF($AJ968=1,IF($H968=0,K968,AS967),AS967)</f>
        <v>0</v>
      </c>
      <c r="AT968" s="7" t="n">
        <f aca="false">IF($AJ968=1,IF($H968=1,N968,AT967),AT967)</f>
        <v>0</v>
      </c>
    </row>
    <row r="969" customFormat="false" ht="13" hidden="false" customHeight="false" outlineLevel="0" collapsed="false">
      <c r="A969" s="16" t="n">
        <v>952</v>
      </c>
      <c r="B969" s="37" t="n">
        <f aca="true">IF(RAND()&lt;$D$8,1,0)</f>
        <v>1</v>
      </c>
      <c r="C969" s="20" t="n">
        <f aca="true">-LN(RAND())/$D$2</f>
        <v>1.83385597553628</v>
      </c>
      <c r="D969" s="38" t="n">
        <f aca="false">D968+C969</f>
        <v>1009.80389265893</v>
      </c>
      <c r="E969" s="39" t="n">
        <f aca="false">MAX($E$3,AS968)</f>
        <v>0</v>
      </c>
      <c r="F969" s="39" t="n">
        <f aca="false">MAX($E$3,AT968)</f>
        <v>0</v>
      </c>
      <c r="G969" s="40" t="n">
        <v>0.5</v>
      </c>
      <c r="H969" s="38" t="n">
        <f aca="true">IF((B969=1),(IF((F969&lt;E969),1,(IF((F969=E969),(IF(RAND()&lt;G969,1,0)),0)))),(IF((RAND()&lt;G969),1,0)))</f>
        <v>0</v>
      </c>
      <c r="I969" s="38" t="n">
        <f aca="true">IF((H969=1),0,$D$3+$D$5*(RAND()-0.5))</f>
        <v>1.8741494177155</v>
      </c>
      <c r="J969" s="38" t="n">
        <f aca="false">I969+MAX(D969,J968)</f>
        <v>1018.67168528847</v>
      </c>
      <c r="K969" s="38" t="n">
        <f aca="false">IF((H969=0),J969-D969,0)</f>
        <v>8.86779262954519</v>
      </c>
      <c r="L969" s="38" t="n">
        <f aca="true">IF(($H969=0),0,$D$4+$D$5*(RAND()-0.5))</f>
        <v>0</v>
      </c>
      <c r="M969" s="38" t="n">
        <f aca="false">L969+MAX(D969,M968)</f>
        <v>1020.42375924401</v>
      </c>
      <c r="N969" s="38" t="n">
        <f aca="false">IF((H969=1),M969-D969,0)</f>
        <v>0</v>
      </c>
      <c r="O969" s="16" t="n">
        <v>952</v>
      </c>
      <c r="P969" s="41" t="n">
        <f aca="false">IF((Arterial=0),P968+1,P968)</f>
        <v>456</v>
      </c>
      <c r="Q969" s="41" t="n">
        <f aca="false">IF((Arterial=1),Q968+1,Q968)</f>
        <v>496</v>
      </c>
      <c r="R969" s="42" t="e">
        <f aca="false">IF((RESET=1),0,R969+K969)</f>
        <v>#N/A</v>
      </c>
      <c r="S969" s="14" t="n">
        <f aca="false">IF(RESET=1,0,S969+N969)</f>
        <v>956.32278297455</v>
      </c>
      <c r="T969" s="2" t="e">
        <f aca="false">IF(RESET=1,0,T969+IF(H969=0,1,0))</f>
        <v>#N/A</v>
      </c>
      <c r="U969" s="2" t="n">
        <f aca="false">IF(RESET=1,0,U969+H969)</f>
        <v>41</v>
      </c>
      <c r="V969" s="14" t="e">
        <f aca="false">R969/(T969+0.00001)</f>
        <v>#N/A</v>
      </c>
      <c r="W969" s="14" t="n">
        <f aca="false">S969/(U969+0.0001)</f>
        <v>23.3248890362353</v>
      </c>
      <c r="X969" s="39" t="n">
        <f aca="false">IF(Informed=1,K969,0)</f>
        <v>8.86779262954519</v>
      </c>
      <c r="Y969" s="39" t="n">
        <f aca="false">IF(Informed=0,K969,0)</f>
        <v>0</v>
      </c>
      <c r="Z969" s="39" t="n">
        <f aca="false">IF(Informed=1,N969,0)</f>
        <v>0</v>
      </c>
      <c r="AA969" s="39" t="n">
        <f aca="false">IF(Informed=0,N969,0)</f>
        <v>0</v>
      </c>
      <c r="AB969" s="43" t="n">
        <f aca="false">IF(Arterial=0,IF(Informed=1,1,0),0)</f>
        <v>1</v>
      </c>
      <c r="AC969" s="43" t="n">
        <f aca="false">IF(Arterial=0,IF(Informed=0,1,0),0)</f>
        <v>0</v>
      </c>
      <c r="AD969" s="43" t="n">
        <f aca="false">IF(Arterial=1,IF(Informed=1,1,0),0)</f>
        <v>0</v>
      </c>
      <c r="AE969" s="43" t="n">
        <f aca="false">IF(Arterial=1,IF(Informed=0,1,0),0)</f>
        <v>0</v>
      </c>
      <c r="AF969" s="35" t="n">
        <f aca="false">IF(AB969=1,(X969-G$1030)^2,0)</f>
        <v>3.39254260855108</v>
      </c>
      <c r="AG969" s="35" t="n">
        <f aca="false">IF(AC969=1,(Y969-H$1030)^2,0)</f>
        <v>0</v>
      </c>
      <c r="AH969" s="35" t="n">
        <f aca="false">IF(AD969=1,(Z969-I$1030)^2,0)</f>
        <v>0</v>
      </c>
      <c r="AI969" s="35" t="n">
        <f aca="false">IF(AE969=1,(AA969-J$1030)^2,0)</f>
        <v>0</v>
      </c>
      <c r="AJ969" s="37" t="n">
        <f aca="true">IF(RAND()&lt;$D$6,1,0)</f>
        <v>0</v>
      </c>
      <c r="AK969" s="14" t="n">
        <f aca="false">AK968+IF((AJ969=1),IF((H969=0),1,0),0)</f>
        <v>0</v>
      </c>
      <c r="AL969" s="14" t="n">
        <f aca="false">AL968+IF((AJ969=1),IF((H969=1),1,0),0)</f>
        <v>0</v>
      </c>
      <c r="AM969" s="37" t="n">
        <f aca="false">IF(AK969=0,9999,IF($H969=0,IF($AJ969&lt;1,AM968+1,0),AM968))</f>
        <v>9999</v>
      </c>
      <c r="AN969" s="37" t="n">
        <f aca="false">IF(AL969=0,9999,IF($H969=1,IF($AJ969&lt;1,AN968+1,0),AN968))</f>
        <v>9999</v>
      </c>
      <c r="AO969" s="37" t="n">
        <f aca="false">IF($A969-AM969&gt;0,1/(1+AM969),0)</f>
        <v>0</v>
      </c>
      <c r="AP969" s="37" t="n">
        <f aca="false">IF($A969-AN969&gt;0,1/(1+AN969),0)</f>
        <v>0</v>
      </c>
      <c r="AQ969" s="7" t="n">
        <f aca="false">IF(AK969=0,0,MAX(MIN(1,AO969^Power),0))</f>
        <v>0</v>
      </c>
      <c r="AR969" s="7" t="n">
        <f aca="false">IF(AL969=0,0,MAX(MIN(1,AP969^Power),0))</f>
        <v>0</v>
      </c>
      <c r="AS969" s="7" t="n">
        <f aca="false">IF($AJ969=1,IF($H969=0,K969,AS968),AS968)</f>
        <v>0</v>
      </c>
      <c r="AT969" s="7" t="n">
        <f aca="false">IF($AJ969=1,IF($H969=1,N969,AT968),AT968)</f>
        <v>0</v>
      </c>
    </row>
    <row r="970" customFormat="false" ht="13" hidden="false" customHeight="false" outlineLevel="0" collapsed="false">
      <c r="A970" s="16" t="n">
        <v>953</v>
      </c>
      <c r="B970" s="37" t="n">
        <f aca="true">IF(RAND()&lt;$D$8,1,0)</f>
        <v>1</v>
      </c>
      <c r="C970" s="20" t="n">
        <f aca="true">-LN(RAND())/$D$2</f>
        <v>0.569357381029276</v>
      </c>
      <c r="D970" s="38" t="n">
        <f aca="false">D969+C970</f>
        <v>1010.37325003995</v>
      </c>
      <c r="E970" s="39" t="n">
        <f aca="false">MAX($E$3,AS969)</f>
        <v>0</v>
      </c>
      <c r="F970" s="39" t="n">
        <f aca="false">MAX($E$3,AT969)</f>
        <v>0</v>
      </c>
      <c r="G970" s="40" t="n">
        <v>0.5</v>
      </c>
      <c r="H970" s="38" t="n">
        <f aca="true">IF((B970=1),(IF((F970&lt;E970),1,(IF((F970=E970),(IF(RAND()&lt;G970,1,0)),0)))),(IF((RAND()&lt;G970),1,0)))</f>
        <v>1</v>
      </c>
      <c r="I970" s="38" t="n">
        <f aca="true">IF((H970=1),0,$D$3+$D$5*(RAND()-0.5))</f>
        <v>0</v>
      </c>
      <c r="J970" s="38" t="n">
        <f aca="false">I970+MAX(D970,J969)</f>
        <v>1018.67168528847</v>
      </c>
      <c r="K970" s="38" t="n">
        <f aca="false">IF((H970=0),J970-D970,0)</f>
        <v>0</v>
      </c>
      <c r="L970" s="38" t="n">
        <f aca="true">IF(($H970=0),0,$D$4+$D$5*(RAND()-0.5))</f>
        <v>2.09797439483156</v>
      </c>
      <c r="M970" s="38" t="n">
        <f aca="false">L970+MAX(D970,M969)</f>
        <v>1022.52173363884</v>
      </c>
      <c r="N970" s="38" t="n">
        <f aca="false">IF((H970=1),M970-D970,0)</f>
        <v>12.1484835988899</v>
      </c>
      <c r="O970" s="16" t="n">
        <v>953</v>
      </c>
      <c r="P970" s="41" t="n">
        <f aca="false">IF((Arterial=0),P969+1,P969)</f>
        <v>456</v>
      </c>
      <c r="Q970" s="41" t="n">
        <f aca="false">IF((Arterial=1),Q969+1,Q969)</f>
        <v>497</v>
      </c>
      <c r="R970" s="42" t="n">
        <f aca="false">IF((RESET=1),0,R970+K970)</f>
        <v>626.718922667837</v>
      </c>
      <c r="S970" s="14" t="e">
        <f aca="false">IF(RESET=1,0,S970+N970)</f>
        <v>#N/A</v>
      </c>
      <c r="T970" s="2" t="n">
        <f aca="false">IF(RESET=1,0,T970+IF(H970=0,1,0))</f>
        <v>32</v>
      </c>
      <c r="U970" s="2" t="e">
        <f aca="false">IF(RESET=1,0,U970+H970)</f>
        <v>#N/A</v>
      </c>
      <c r="V970" s="14" t="n">
        <f aca="false">R970/(T970+0.00001)</f>
        <v>19.5849602130698</v>
      </c>
      <c r="W970" s="14" t="e">
        <f aca="false">S970/(U970+0.0001)</f>
        <v>#N/A</v>
      </c>
      <c r="X970" s="39" t="n">
        <f aca="false">IF(Informed=1,K970,0)</f>
        <v>0</v>
      </c>
      <c r="Y970" s="39" t="n">
        <f aca="false">IF(Informed=0,K970,0)</f>
        <v>0</v>
      </c>
      <c r="Z970" s="39" t="n">
        <f aca="false">IF(Informed=1,N970,0)</f>
        <v>12.1484835988899</v>
      </c>
      <c r="AA970" s="39" t="n">
        <f aca="false">IF(Informed=0,N970,0)</f>
        <v>0</v>
      </c>
      <c r="AB970" s="43" t="n">
        <f aca="false">IF(Arterial=0,IF(Informed=1,1,0),0)</f>
        <v>0</v>
      </c>
      <c r="AC970" s="43" t="n">
        <f aca="false">IF(Arterial=0,IF(Informed=0,1,0),0)</f>
        <v>0</v>
      </c>
      <c r="AD970" s="43" t="n">
        <f aca="false">IF(Arterial=1,IF(Informed=1,1,0),0)</f>
        <v>1</v>
      </c>
      <c r="AE970" s="43" t="n">
        <f aca="false">IF(Arterial=1,IF(Informed=0,1,0),0)</f>
        <v>0</v>
      </c>
      <c r="AF970" s="35" t="n">
        <f aca="false">IF(AB970=1,(X970-G$1030)^2,0)</f>
        <v>0</v>
      </c>
      <c r="AG970" s="35" t="n">
        <f aca="false">IF(AC970=1,(Y970-H$1030)^2,0)</f>
        <v>0</v>
      </c>
      <c r="AH970" s="35" t="n">
        <f aca="false">IF(AD970=1,(Z970-I$1030)^2,0)</f>
        <v>263.294473082257</v>
      </c>
      <c r="AI970" s="35" t="n">
        <f aca="false">IF(AE970=1,(AA970-J$1030)^2,0)</f>
        <v>0</v>
      </c>
      <c r="AJ970" s="37" t="n">
        <f aca="true">IF(RAND()&lt;$D$6,1,0)</f>
        <v>0</v>
      </c>
      <c r="AK970" s="14" t="n">
        <f aca="false">AK969+IF((AJ970=1),IF((H970=0),1,0),0)</f>
        <v>0</v>
      </c>
      <c r="AL970" s="14" t="n">
        <f aca="false">AL969+IF((AJ970=1),IF((H970=1),1,0),0)</f>
        <v>0</v>
      </c>
      <c r="AM970" s="37" t="n">
        <f aca="false">IF(AK970=0,9999,IF($H970=0,IF($AJ970&lt;1,AM969+1,0),AM969))</f>
        <v>9999</v>
      </c>
      <c r="AN970" s="37" t="n">
        <f aca="false">IF(AL970=0,9999,IF($H970=1,IF($AJ970&lt;1,AN969+1,0),AN969))</f>
        <v>9999</v>
      </c>
      <c r="AO970" s="37" t="n">
        <f aca="false">IF($A970-AM970&gt;0,1/(1+AM970),0)</f>
        <v>0</v>
      </c>
      <c r="AP970" s="37" t="n">
        <f aca="false">IF($A970-AN970&gt;0,1/(1+AN970),0)</f>
        <v>0</v>
      </c>
      <c r="AQ970" s="7" t="n">
        <f aca="false">IF(AK970=0,0,MAX(MIN(1,AO970^Power),0))</f>
        <v>0</v>
      </c>
      <c r="AR970" s="7" t="n">
        <f aca="false">IF(AL970=0,0,MAX(MIN(1,AP970^Power),0))</f>
        <v>0</v>
      </c>
      <c r="AS970" s="7" t="n">
        <f aca="false">IF($AJ970=1,IF($H970=0,K970,AS969),AS969)</f>
        <v>0</v>
      </c>
      <c r="AT970" s="7" t="n">
        <f aca="false">IF($AJ970=1,IF($H970=1,N970,AT969),AT969)</f>
        <v>0</v>
      </c>
    </row>
    <row r="971" customFormat="false" ht="13" hidden="false" customHeight="false" outlineLevel="0" collapsed="false">
      <c r="A971" s="16" t="n">
        <v>954</v>
      </c>
      <c r="B971" s="37" t="n">
        <f aca="true">IF(RAND()&lt;$D$8,1,0)</f>
        <v>1</v>
      </c>
      <c r="C971" s="20" t="n">
        <f aca="true">-LN(RAND())/$D$2</f>
        <v>0.0299548005361028</v>
      </c>
      <c r="D971" s="38" t="n">
        <f aca="false">D970+C971</f>
        <v>1010.40320484049</v>
      </c>
      <c r="E971" s="39" t="n">
        <f aca="false">MAX($E$3,AS970)</f>
        <v>0</v>
      </c>
      <c r="F971" s="39" t="n">
        <f aca="false">MAX($E$3,AT970)</f>
        <v>0</v>
      </c>
      <c r="G971" s="40" t="n">
        <v>0.5</v>
      </c>
      <c r="H971" s="38" t="n">
        <f aca="true">IF((B971=1),(IF((F971&lt;E971),1,(IF((F971=E971),(IF(RAND()&lt;G971,1,0)),0)))),(IF((RAND()&lt;G971),1,0)))</f>
        <v>0</v>
      </c>
      <c r="I971" s="38" t="n">
        <f aca="true">IF((H971=1),0,$D$3+$D$5*(RAND()-0.5))</f>
        <v>2.12670143356758</v>
      </c>
      <c r="J971" s="38" t="n">
        <f aca="false">I971+MAX(D971,J970)</f>
        <v>1020.79838672204</v>
      </c>
      <c r="K971" s="38" t="n">
        <f aca="false">IF((H971=0),J971-D971,0)</f>
        <v>10.3951818815475</v>
      </c>
      <c r="L971" s="38" t="n">
        <f aca="true">IF(($H971=0),0,$D$4+$D$5*(RAND()-0.5))</f>
        <v>0</v>
      </c>
      <c r="M971" s="38" t="n">
        <f aca="false">L971+MAX(D971,M970)</f>
        <v>1022.52173363884</v>
      </c>
      <c r="N971" s="38" t="n">
        <f aca="false">IF((H971=1),M971-D971,0)</f>
        <v>0</v>
      </c>
      <c r="O971" s="16" t="n">
        <v>954</v>
      </c>
      <c r="P971" s="41" t="n">
        <f aca="false">IF((Arterial=0),P970+1,P970)</f>
        <v>457</v>
      </c>
      <c r="Q971" s="41" t="n">
        <f aca="false">IF((Arterial=1),Q970+1,Q970)</f>
        <v>497</v>
      </c>
      <c r="R971" s="42" t="e">
        <f aca="false">IF((RESET=1),0,R971+K971)</f>
        <v>#N/A</v>
      </c>
      <c r="S971" s="14" t="n">
        <f aca="false">IF(RESET=1,0,S971+N971)</f>
        <v>802.284111773466</v>
      </c>
      <c r="T971" s="2" t="e">
        <f aca="false">IF(RESET=1,0,T971+IF(H971=0,1,0))</f>
        <v>#N/A</v>
      </c>
      <c r="U971" s="2" t="n">
        <f aca="false">IF(RESET=1,0,U971+H971)</f>
        <v>40</v>
      </c>
      <c r="V971" s="14" t="e">
        <f aca="false">R971/(T971+0.00001)</f>
        <v>#N/A</v>
      </c>
      <c r="W971" s="14" t="n">
        <f aca="false">S971/(U971+0.0001)</f>
        <v>20.057052651705</v>
      </c>
      <c r="X971" s="39" t="n">
        <f aca="false">IF(Informed=1,K971,0)</f>
        <v>10.3951818815475</v>
      </c>
      <c r="Y971" s="39" t="n">
        <f aca="false">IF(Informed=0,K971,0)</f>
        <v>0</v>
      </c>
      <c r="Z971" s="39" t="n">
        <f aca="false">IF(Informed=1,N971,0)</f>
        <v>0</v>
      </c>
      <c r="AA971" s="39" t="n">
        <f aca="false">IF(Informed=0,N971,0)</f>
        <v>0</v>
      </c>
      <c r="AB971" s="43" t="n">
        <f aca="false">IF(Arterial=0,IF(Informed=1,1,0),0)</f>
        <v>1</v>
      </c>
      <c r="AC971" s="43" t="n">
        <f aca="false">IF(Arterial=0,IF(Informed=0,1,0),0)</f>
        <v>0</v>
      </c>
      <c r="AD971" s="43" t="n">
        <f aca="false">IF(Arterial=1,IF(Informed=1,1,0),0)</f>
        <v>0</v>
      </c>
      <c r="AE971" s="43" t="n">
        <f aca="false">IF(Arterial=1,IF(Informed=0,1,0),0)</f>
        <v>0</v>
      </c>
      <c r="AF971" s="35" t="n">
        <f aca="false">IF(AB971=1,(X971-G$1030)^2,0)</f>
        <v>0.0989079605983786</v>
      </c>
      <c r="AG971" s="35" t="n">
        <f aca="false">IF(AC971=1,(Y971-H$1030)^2,0)</f>
        <v>0</v>
      </c>
      <c r="AH971" s="35" t="n">
        <f aca="false">IF(AD971=1,(Z971-I$1030)^2,0)</f>
        <v>0</v>
      </c>
      <c r="AI971" s="35" t="n">
        <f aca="false">IF(AE971=1,(AA971-J$1030)^2,0)</f>
        <v>0</v>
      </c>
      <c r="AJ971" s="37" t="n">
        <f aca="true">IF(RAND()&lt;$D$6,1,0)</f>
        <v>0</v>
      </c>
      <c r="AK971" s="14" t="n">
        <f aca="false">AK970+IF((AJ971=1),IF((H971=0),1,0),0)</f>
        <v>0</v>
      </c>
      <c r="AL971" s="14" t="n">
        <f aca="false">AL970+IF((AJ971=1),IF((H971=1),1,0),0)</f>
        <v>0</v>
      </c>
      <c r="AM971" s="37" t="n">
        <f aca="false">IF(AK971=0,9999,IF($H971=0,IF($AJ971&lt;1,AM970+1,0),AM970))</f>
        <v>9999</v>
      </c>
      <c r="AN971" s="37" t="n">
        <f aca="false">IF(AL971=0,9999,IF($H971=1,IF($AJ971&lt;1,AN970+1,0),AN970))</f>
        <v>9999</v>
      </c>
      <c r="AO971" s="37" t="n">
        <f aca="false">IF($A971-AM971&gt;0,1/(1+AM971),0)</f>
        <v>0</v>
      </c>
      <c r="AP971" s="37" t="n">
        <f aca="false">IF($A971-AN971&gt;0,1/(1+AN971),0)</f>
        <v>0</v>
      </c>
      <c r="AQ971" s="7" t="n">
        <f aca="false">IF(AK971=0,0,MAX(MIN(1,AO971^Power),0))</f>
        <v>0</v>
      </c>
      <c r="AR971" s="7" t="n">
        <f aca="false">IF(AL971=0,0,MAX(MIN(1,AP971^Power),0))</f>
        <v>0</v>
      </c>
      <c r="AS971" s="7" t="n">
        <f aca="false">IF($AJ971=1,IF($H971=0,K971,AS970),AS970)</f>
        <v>0</v>
      </c>
      <c r="AT971" s="7" t="n">
        <f aca="false">IF($AJ971=1,IF($H971=1,N971,AT970),AT970)</f>
        <v>0</v>
      </c>
    </row>
    <row r="972" customFormat="false" ht="13" hidden="false" customHeight="false" outlineLevel="0" collapsed="false">
      <c r="A972" s="16" t="n">
        <v>955</v>
      </c>
      <c r="B972" s="37" t="n">
        <f aca="true">IF(RAND()&lt;$D$8,1,0)</f>
        <v>1</v>
      </c>
      <c r="C972" s="20" t="n">
        <f aca="true">-LN(RAND())/$D$2</f>
        <v>1.75606760667731</v>
      </c>
      <c r="D972" s="38" t="n">
        <f aca="false">D971+C972</f>
        <v>1012.15927244717</v>
      </c>
      <c r="E972" s="39" t="n">
        <f aca="false">MAX($E$3,AS971)</f>
        <v>0</v>
      </c>
      <c r="F972" s="39" t="n">
        <f aca="false">MAX($E$3,AT971)</f>
        <v>0</v>
      </c>
      <c r="G972" s="40" t="n">
        <v>0.5</v>
      </c>
      <c r="H972" s="38" t="n">
        <f aca="true">IF((B972=1),(IF((F972&lt;E972),1,(IF((F972=E972),(IF(RAND()&lt;G972,1,0)),0)))),(IF((RAND()&lt;G972),1,0)))</f>
        <v>1</v>
      </c>
      <c r="I972" s="38" t="n">
        <f aca="true">IF((H972=1),0,$D$3+$D$5*(RAND()-0.5))</f>
        <v>0</v>
      </c>
      <c r="J972" s="38" t="n">
        <f aca="false">I972+MAX(D972,J971)</f>
        <v>1020.79838672204</v>
      </c>
      <c r="K972" s="38" t="n">
        <f aca="false">IF((H972=0),J972-D972,0)</f>
        <v>0</v>
      </c>
      <c r="L972" s="38" t="n">
        <f aca="true">IF(($H972=0),0,$D$4+$D$5*(RAND()-0.5))</f>
        <v>1.86199439584098</v>
      </c>
      <c r="M972" s="38" t="n">
        <f aca="false">L972+MAX(D972,M971)</f>
        <v>1024.38372803469</v>
      </c>
      <c r="N972" s="38" t="n">
        <f aca="false">IF((H972=1),M972-D972,0)</f>
        <v>12.2244555875176</v>
      </c>
      <c r="O972" s="16" t="n">
        <v>955</v>
      </c>
      <c r="P972" s="41" t="n">
        <f aca="false">IF((Arterial=0),P971+1,P971)</f>
        <v>457</v>
      </c>
      <c r="Q972" s="41" t="n">
        <f aca="false">IF((Arterial=1),Q971+1,Q971)</f>
        <v>498</v>
      </c>
      <c r="R972" s="42" t="n">
        <f aca="false">IF((RESET=1),0,R972+K972)</f>
        <v>732.231922540327</v>
      </c>
      <c r="S972" s="14" t="e">
        <f aca="false">IF(RESET=1,0,S972+N972)</f>
        <v>#N/A</v>
      </c>
      <c r="T972" s="2" t="n">
        <f aca="false">IF(RESET=1,0,T972+IF(H972=0,1,0))</f>
        <v>38</v>
      </c>
      <c r="U972" s="2" t="e">
        <f aca="false">IF(RESET=1,0,U972+H972)</f>
        <v>#N/A</v>
      </c>
      <c r="V972" s="14" t="n">
        <f aca="false">R972/(T972+0.00001)</f>
        <v>19.2692560486254</v>
      </c>
      <c r="W972" s="14" t="e">
        <f aca="false">S972/(U972+0.0001)</f>
        <v>#N/A</v>
      </c>
      <c r="X972" s="39" t="n">
        <f aca="false">IF(Informed=1,K972,0)</f>
        <v>0</v>
      </c>
      <c r="Y972" s="39" t="n">
        <f aca="false">IF(Informed=0,K972,0)</f>
        <v>0</v>
      </c>
      <c r="Z972" s="39" t="n">
        <f aca="false">IF(Informed=1,N972,0)</f>
        <v>12.2244555875176</v>
      </c>
      <c r="AA972" s="39" t="n">
        <f aca="false">IF(Informed=0,N972,0)</f>
        <v>0</v>
      </c>
      <c r="AB972" s="43" t="n">
        <f aca="false">IF(Arterial=0,IF(Informed=1,1,0),0)</f>
        <v>0</v>
      </c>
      <c r="AC972" s="43" t="n">
        <f aca="false">IF(Arterial=0,IF(Informed=0,1,0),0)</f>
        <v>0</v>
      </c>
      <c r="AD972" s="43" t="n">
        <f aca="false">IF(Arterial=1,IF(Informed=1,1,0),0)</f>
        <v>1</v>
      </c>
      <c r="AE972" s="43" t="n">
        <f aca="false">IF(Arterial=1,IF(Informed=0,1,0),0)</f>
        <v>0</v>
      </c>
      <c r="AF972" s="35" t="n">
        <f aca="false">IF(AB972=1,(X972-G$1030)^2,0)</f>
        <v>0</v>
      </c>
      <c r="AG972" s="35" t="n">
        <f aca="false">IF(AC972=1,(Y972-H$1030)^2,0)</f>
        <v>0</v>
      </c>
      <c r="AH972" s="35" t="n">
        <f aca="false">IF(AD972=1,(Z972-I$1030)^2,0)</f>
        <v>260.834748488503</v>
      </c>
      <c r="AI972" s="35" t="n">
        <f aca="false">IF(AE972=1,(AA972-J$1030)^2,0)</f>
        <v>0</v>
      </c>
      <c r="AJ972" s="37" t="n">
        <f aca="true">IF(RAND()&lt;$D$6,1,0)</f>
        <v>0</v>
      </c>
      <c r="AK972" s="14" t="n">
        <f aca="false">AK971+IF((AJ972=1),IF((H972=0),1,0),0)</f>
        <v>0</v>
      </c>
      <c r="AL972" s="14" t="n">
        <f aca="false">AL971+IF((AJ972=1),IF((H972=1),1,0),0)</f>
        <v>0</v>
      </c>
      <c r="AM972" s="37" t="n">
        <f aca="false">IF(AK972=0,9999,IF($H972=0,IF($AJ972&lt;1,AM971+1,0),AM971))</f>
        <v>9999</v>
      </c>
      <c r="AN972" s="37" t="n">
        <f aca="false">IF(AL972=0,9999,IF($H972=1,IF($AJ972&lt;1,AN971+1,0),AN971))</f>
        <v>9999</v>
      </c>
      <c r="AO972" s="37" t="n">
        <f aca="false">IF($A972-AM972&gt;0,1/(1+AM972),0)</f>
        <v>0</v>
      </c>
      <c r="AP972" s="37" t="n">
        <f aca="false">IF($A972-AN972&gt;0,1/(1+AN972),0)</f>
        <v>0</v>
      </c>
      <c r="AQ972" s="7" t="n">
        <f aca="false">IF(AK972=0,0,MAX(MIN(1,AO972^Power),0))</f>
        <v>0</v>
      </c>
      <c r="AR972" s="7" t="n">
        <f aca="false">IF(AL972=0,0,MAX(MIN(1,AP972^Power),0))</f>
        <v>0</v>
      </c>
      <c r="AS972" s="7" t="n">
        <f aca="false">IF($AJ972=1,IF($H972=0,K972,AS971),AS971)</f>
        <v>0</v>
      </c>
      <c r="AT972" s="7" t="n">
        <f aca="false">IF($AJ972=1,IF($H972=1,N972,AT971),AT971)</f>
        <v>0</v>
      </c>
    </row>
    <row r="973" customFormat="false" ht="13" hidden="false" customHeight="false" outlineLevel="0" collapsed="false">
      <c r="A973" s="16" t="n">
        <v>956</v>
      </c>
      <c r="B973" s="37" t="n">
        <f aca="true">IF(RAND()&lt;$D$8,1,0)</f>
        <v>1</v>
      </c>
      <c r="C973" s="20" t="n">
        <f aca="true">-LN(RAND())/$D$2</f>
        <v>0.825421334923802</v>
      </c>
      <c r="D973" s="38" t="n">
        <f aca="false">D972+C973</f>
        <v>1012.98469378209</v>
      </c>
      <c r="E973" s="39" t="n">
        <f aca="false">MAX($E$3,AS972)</f>
        <v>0</v>
      </c>
      <c r="F973" s="39" t="n">
        <f aca="false">MAX($E$3,AT972)</f>
        <v>0</v>
      </c>
      <c r="G973" s="40" t="n">
        <v>0.5</v>
      </c>
      <c r="H973" s="38" t="n">
        <f aca="true">IF((B973=1),(IF((F973&lt;E973),1,(IF((F973=E973),(IF(RAND()&lt;G973,1,0)),0)))),(IF((RAND()&lt;G973),1,0)))</f>
        <v>1</v>
      </c>
      <c r="I973" s="38" t="n">
        <f aca="true">IF((H973=1),0,$D$3+$D$5*(RAND()-0.5))</f>
        <v>0</v>
      </c>
      <c r="J973" s="38" t="n">
        <f aca="false">I973+MAX(D973,J972)</f>
        <v>1020.79838672204</v>
      </c>
      <c r="K973" s="38" t="n">
        <f aca="false">IF((H973=0),J973-D973,0)</f>
        <v>0</v>
      </c>
      <c r="L973" s="38" t="n">
        <f aca="true">IF(($H973=0),0,$D$4+$D$5*(RAND()-0.5))</f>
        <v>1.90888507680958</v>
      </c>
      <c r="M973" s="38" t="n">
        <f aca="false">L973+MAX(D973,M972)</f>
        <v>1026.2926131115</v>
      </c>
      <c r="N973" s="38" t="n">
        <f aca="false">IF((H973=1),M973-D973,0)</f>
        <v>13.3079193294034</v>
      </c>
      <c r="O973" s="16" t="n">
        <v>956</v>
      </c>
      <c r="P973" s="41" t="n">
        <f aca="false">IF((Arterial=0),P972+1,P972)</f>
        <v>457</v>
      </c>
      <c r="Q973" s="41" t="n">
        <f aca="false">IF((Arterial=1),Q972+1,Q972)</f>
        <v>499</v>
      </c>
      <c r="R973" s="42" t="n">
        <f aca="false">IF((RESET=1),0,R973+K973)</f>
        <v>718.6066646062</v>
      </c>
      <c r="S973" s="14" t="e">
        <f aca="false">IF(RESET=1,0,S973+N973)</f>
        <v>#N/A</v>
      </c>
      <c r="T973" s="2" t="n">
        <f aca="false">IF(RESET=1,0,T973+IF(H973=0,1,0))</f>
        <v>32</v>
      </c>
      <c r="U973" s="2" t="e">
        <f aca="false">IF(RESET=1,0,U973+H973)</f>
        <v>#N/A</v>
      </c>
      <c r="V973" s="14" t="n">
        <f aca="false">R973/(T973+0.00001)</f>
        <v>22.4564512513027</v>
      </c>
      <c r="W973" s="14" t="e">
        <f aca="false">S973/(U973+0.0001)</f>
        <v>#N/A</v>
      </c>
      <c r="X973" s="39" t="n">
        <f aca="false">IF(Informed=1,K973,0)</f>
        <v>0</v>
      </c>
      <c r="Y973" s="39" t="n">
        <f aca="false">IF(Informed=0,K973,0)</f>
        <v>0</v>
      </c>
      <c r="Z973" s="39" t="n">
        <f aca="false">IF(Informed=1,N973,0)</f>
        <v>13.3079193294034</v>
      </c>
      <c r="AA973" s="39" t="n">
        <f aca="false">IF(Informed=0,N973,0)</f>
        <v>0</v>
      </c>
      <c r="AB973" s="43" t="n">
        <f aca="false">IF(Arterial=0,IF(Informed=1,1,0),0)</f>
        <v>0</v>
      </c>
      <c r="AC973" s="43" t="n">
        <f aca="false">IF(Arterial=0,IF(Informed=0,1,0),0)</f>
        <v>0</v>
      </c>
      <c r="AD973" s="43" t="n">
        <f aca="false">IF(Arterial=1,IF(Informed=1,1,0),0)</f>
        <v>1</v>
      </c>
      <c r="AE973" s="43" t="n">
        <f aca="false">IF(Arterial=1,IF(Informed=0,1,0),0)</f>
        <v>0</v>
      </c>
      <c r="AF973" s="35" t="n">
        <f aca="false">IF(AB973=1,(X973-G$1030)^2,0)</f>
        <v>0</v>
      </c>
      <c r="AG973" s="35" t="n">
        <f aca="false">IF(AC973=1,(Y973-H$1030)^2,0)</f>
        <v>0</v>
      </c>
      <c r="AH973" s="35" t="n">
        <f aca="false">IF(AD973=1,(Z973-I$1030)^2,0)</f>
        <v>227.01194159428</v>
      </c>
      <c r="AI973" s="35" t="n">
        <f aca="false">IF(AE973=1,(AA973-J$1030)^2,0)</f>
        <v>0</v>
      </c>
      <c r="AJ973" s="37" t="n">
        <f aca="true">IF(RAND()&lt;$D$6,1,0)</f>
        <v>0</v>
      </c>
      <c r="AK973" s="14" t="n">
        <f aca="false">AK972+IF((AJ973=1),IF((H973=0),1,0),0)</f>
        <v>0</v>
      </c>
      <c r="AL973" s="14" t="n">
        <f aca="false">AL972+IF((AJ973=1),IF((H973=1),1,0),0)</f>
        <v>0</v>
      </c>
      <c r="AM973" s="37" t="n">
        <f aca="false">IF(AK973=0,9999,IF($H973=0,IF($AJ973&lt;1,AM972+1,0),AM972))</f>
        <v>9999</v>
      </c>
      <c r="AN973" s="37" t="n">
        <f aca="false">IF(AL973=0,9999,IF($H973=1,IF($AJ973&lt;1,AN972+1,0),AN972))</f>
        <v>9999</v>
      </c>
      <c r="AO973" s="37" t="n">
        <f aca="false">IF($A973-AM973&gt;0,1/(1+AM973),0)</f>
        <v>0</v>
      </c>
      <c r="AP973" s="37" t="n">
        <f aca="false">IF($A973-AN973&gt;0,1/(1+AN973),0)</f>
        <v>0</v>
      </c>
      <c r="AQ973" s="7" t="n">
        <f aca="false">IF(AK973=0,0,MAX(MIN(1,AO973^Power),0))</f>
        <v>0</v>
      </c>
      <c r="AR973" s="7" t="n">
        <f aca="false">IF(AL973=0,0,MAX(MIN(1,AP973^Power),0))</f>
        <v>0</v>
      </c>
      <c r="AS973" s="7" t="n">
        <f aca="false">IF($AJ973=1,IF($H973=0,K973,AS972),AS972)</f>
        <v>0</v>
      </c>
      <c r="AT973" s="7" t="n">
        <f aca="false">IF($AJ973=1,IF($H973=1,N973,AT972),AT972)</f>
        <v>0</v>
      </c>
    </row>
    <row r="974" customFormat="false" ht="13" hidden="false" customHeight="false" outlineLevel="0" collapsed="false">
      <c r="A974" s="16" t="n">
        <v>957</v>
      </c>
      <c r="B974" s="37" t="n">
        <f aca="true">IF(RAND()&lt;$D$8,1,0)</f>
        <v>0</v>
      </c>
      <c r="C974" s="20" t="n">
        <f aca="true">-LN(RAND())/$D$2</f>
        <v>0.281401637554989</v>
      </c>
      <c r="D974" s="38" t="n">
        <f aca="false">D973+C974</f>
        <v>1013.26609541965</v>
      </c>
      <c r="E974" s="39" t="n">
        <f aca="false">MAX($E$3,AS973)</f>
        <v>0</v>
      </c>
      <c r="F974" s="39" t="n">
        <f aca="false">MAX($E$3,AT973)</f>
        <v>0</v>
      </c>
      <c r="G974" s="40" t="n">
        <v>0.5</v>
      </c>
      <c r="H974" s="38" t="n">
        <f aca="true">IF((B974=1),(IF((F974&lt;E974),1,(IF((F974=E974),(IF(RAND()&lt;G974,1,0)),0)))),(IF((RAND()&lt;G974),1,0)))</f>
        <v>1</v>
      </c>
      <c r="I974" s="38" t="n">
        <f aca="true">IF((H974=1),0,$D$3+$D$5*(RAND()-0.5))</f>
        <v>0</v>
      </c>
      <c r="J974" s="38" t="n">
        <f aca="false">I974+MAX(D974,J973)</f>
        <v>1020.79838672204</v>
      </c>
      <c r="K974" s="38" t="n">
        <f aca="false">IF((H974=0),J974-D974,0)</f>
        <v>0</v>
      </c>
      <c r="L974" s="38" t="n">
        <f aca="true">IF(($H974=0),0,$D$4+$D$5*(RAND()-0.5))</f>
        <v>2.08748193751778</v>
      </c>
      <c r="M974" s="38" t="n">
        <f aca="false">L974+MAX(D974,M973)</f>
        <v>1028.38009504901</v>
      </c>
      <c r="N974" s="38" t="n">
        <f aca="false">IF((H974=1),M974-D974,0)</f>
        <v>15.1139996293663</v>
      </c>
      <c r="O974" s="16" t="n">
        <v>957</v>
      </c>
      <c r="P974" s="41" t="n">
        <f aca="false">IF((Arterial=0),P973+1,P973)</f>
        <v>457</v>
      </c>
      <c r="Q974" s="41" t="n">
        <f aca="false">IF((Arterial=1),Q973+1,Q973)</f>
        <v>500</v>
      </c>
      <c r="R974" s="42" t="n">
        <f aca="false">IF((RESET=1),0,R974+K974)</f>
        <v>742.218715500225</v>
      </c>
      <c r="S974" s="14" t="e">
        <f aca="false">IF(RESET=1,0,S974+N974)</f>
        <v>#N/A</v>
      </c>
      <c r="T974" s="2" t="n">
        <f aca="false">IF(RESET=1,0,T974+IF(H974=0,1,0))</f>
        <v>36</v>
      </c>
      <c r="U974" s="2" t="e">
        <f aca="false">IF(RESET=1,0,U974+H974)</f>
        <v>#N/A</v>
      </c>
      <c r="V974" s="14" t="n">
        <f aca="false">R974/(T974+0.00001)</f>
        <v>20.6171808146782</v>
      </c>
      <c r="W974" s="14" t="e">
        <f aca="false">S974/(U974+0.0001)</f>
        <v>#N/A</v>
      </c>
      <c r="X974" s="39" t="n">
        <f aca="false">IF(Informed=1,K974,0)</f>
        <v>0</v>
      </c>
      <c r="Y974" s="39" t="n">
        <f aca="false">IF(Informed=0,K974,0)</f>
        <v>0</v>
      </c>
      <c r="Z974" s="39" t="n">
        <f aca="false">IF(Informed=1,N974,0)</f>
        <v>0</v>
      </c>
      <c r="AA974" s="39" t="n">
        <f aca="false">IF(Informed=0,N974,0)</f>
        <v>15.1139996293663</v>
      </c>
      <c r="AB974" s="43" t="n">
        <f aca="false">IF(Arterial=0,IF(Informed=1,1,0),0)</f>
        <v>0</v>
      </c>
      <c r="AC974" s="43" t="n">
        <f aca="false">IF(Arterial=0,IF(Informed=0,1,0),0)</f>
        <v>0</v>
      </c>
      <c r="AD974" s="43" t="n">
        <f aca="false">IF(Arterial=1,IF(Informed=1,1,0),0)</f>
        <v>0</v>
      </c>
      <c r="AE974" s="43" t="n">
        <f aca="false">IF(Arterial=1,IF(Informed=0,1,0),0)</f>
        <v>1</v>
      </c>
      <c r="AF974" s="35" t="n">
        <f aca="false">IF(AB974=1,(X974-G$1030)^2,0)</f>
        <v>0</v>
      </c>
      <c r="AG974" s="35" t="n">
        <f aca="false">IF(AC974=1,(Y974-H$1030)^2,0)</f>
        <v>0</v>
      </c>
      <c r="AH974" s="35" t="n">
        <f aca="false">IF(AD974=1,(Z974-I$1030)^2,0)</f>
        <v>0</v>
      </c>
      <c r="AI974" s="35" t="n">
        <f aca="false">IF(AE974=1,(AA974-J$1030)^2,0)</f>
        <v>208.810458004368</v>
      </c>
      <c r="AJ974" s="37" t="n">
        <f aca="true">IF(RAND()&lt;$D$6,1,0)</f>
        <v>0</v>
      </c>
      <c r="AK974" s="14" t="n">
        <f aca="false">AK973+IF((AJ974=1),IF((H974=0),1,0),0)</f>
        <v>0</v>
      </c>
      <c r="AL974" s="14" t="n">
        <f aca="false">AL973+IF((AJ974=1),IF((H974=1),1,0),0)</f>
        <v>0</v>
      </c>
      <c r="AM974" s="37" t="n">
        <f aca="false">IF(AK974=0,9999,IF($H974=0,IF($AJ974&lt;1,AM973+1,0),AM973))</f>
        <v>9999</v>
      </c>
      <c r="AN974" s="37" t="n">
        <f aca="false">IF(AL974=0,9999,IF($H974=1,IF($AJ974&lt;1,AN973+1,0),AN973))</f>
        <v>9999</v>
      </c>
      <c r="AO974" s="37" t="n">
        <f aca="false">IF($A974-AM974&gt;0,1/(1+AM974),0)</f>
        <v>0</v>
      </c>
      <c r="AP974" s="37" t="n">
        <f aca="false">IF($A974-AN974&gt;0,1/(1+AN974),0)</f>
        <v>0</v>
      </c>
      <c r="AQ974" s="7" t="n">
        <f aca="false">IF(AK974=0,0,MAX(MIN(1,AO974^Power),0))</f>
        <v>0</v>
      </c>
      <c r="AR974" s="7" t="n">
        <f aca="false">IF(AL974=0,0,MAX(MIN(1,AP974^Power),0))</f>
        <v>0</v>
      </c>
      <c r="AS974" s="7" t="n">
        <f aca="false">IF($AJ974=1,IF($H974=0,K974,AS973),AS973)</f>
        <v>0</v>
      </c>
      <c r="AT974" s="7" t="n">
        <f aca="false">IF($AJ974=1,IF($H974=1,N974,AT973),AT973)</f>
        <v>0</v>
      </c>
    </row>
    <row r="975" customFormat="false" ht="13" hidden="false" customHeight="false" outlineLevel="0" collapsed="false">
      <c r="A975" s="16" t="n">
        <v>958</v>
      </c>
      <c r="B975" s="37" t="n">
        <f aca="true">IF(RAND()&lt;$D$8,1,0)</f>
        <v>1</v>
      </c>
      <c r="C975" s="20" t="n">
        <f aca="true">-LN(RAND())/$D$2</f>
        <v>0.0734469645243263</v>
      </c>
      <c r="D975" s="38" t="n">
        <f aca="false">D974+C975</f>
        <v>1013.33954238417</v>
      </c>
      <c r="E975" s="39" t="n">
        <f aca="false">MAX($E$3,AS974)</f>
        <v>0</v>
      </c>
      <c r="F975" s="39" t="n">
        <f aca="false">MAX($E$3,AT974)</f>
        <v>0</v>
      </c>
      <c r="G975" s="40" t="n">
        <v>0.5</v>
      </c>
      <c r="H975" s="38" t="n">
        <f aca="true">IF((B975=1),(IF((F975&lt;E975),1,(IF((F975=E975),(IF(RAND()&lt;G975,1,0)),0)))),(IF((RAND()&lt;G975),1,0)))</f>
        <v>0</v>
      </c>
      <c r="I975" s="38" t="n">
        <f aca="true">IF((H975=1),0,$D$3+$D$5*(RAND()-0.5))</f>
        <v>2.15699566113185</v>
      </c>
      <c r="J975" s="38" t="n">
        <f aca="false">I975+MAX(D975,J974)</f>
        <v>1022.95538238317</v>
      </c>
      <c r="K975" s="38" t="n">
        <f aca="false">IF((H975=0),J975-D975,0)</f>
        <v>9.61583999899892</v>
      </c>
      <c r="L975" s="38" t="n">
        <f aca="true">IF(($H975=0),0,$D$4+$D$5*(RAND()-0.5))</f>
        <v>0</v>
      </c>
      <c r="M975" s="38" t="n">
        <f aca="false">L975+MAX(D975,M974)</f>
        <v>1028.38009504901</v>
      </c>
      <c r="N975" s="38" t="n">
        <f aca="false">IF((H975=1),M975-D975,0)</f>
        <v>0</v>
      </c>
      <c r="O975" s="16" t="n">
        <v>958</v>
      </c>
      <c r="P975" s="41" t="n">
        <f aca="false">IF((Arterial=0),P974+1,P974)</f>
        <v>458</v>
      </c>
      <c r="Q975" s="41" t="n">
        <f aca="false">IF((Arterial=1),Q974+1,Q974)</f>
        <v>500</v>
      </c>
      <c r="R975" s="42" t="e">
        <f aca="false">IF((RESET=1),0,R975+K975)</f>
        <v>#N/A</v>
      </c>
      <c r="S975" s="14" t="n">
        <f aca="false">IF(RESET=1,0,S975+N975)</f>
        <v>786.119917560566</v>
      </c>
      <c r="T975" s="2" t="e">
        <f aca="false">IF(RESET=1,0,T975+IF(H975=0,1,0))</f>
        <v>#N/A</v>
      </c>
      <c r="U975" s="2" t="n">
        <f aca="false">IF(RESET=1,0,U975+H975)</f>
        <v>42</v>
      </c>
      <c r="V975" s="14" t="e">
        <f aca="false">R975/(T975+0.00001)</f>
        <v>#N/A</v>
      </c>
      <c r="W975" s="14" t="n">
        <f aca="false">S975/(U975+0.0001)</f>
        <v>18.7170963297841</v>
      </c>
      <c r="X975" s="39" t="n">
        <f aca="false">IF(Informed=1,K975,0)</f>
        <v>9.61583999899892</v>
      </c>
      <c r="Y975" s="39" t="n">
        <f aca="false">IF(Informed=0,K975,0)</f>
        <v>0</v>
      </c>
      <c r="Z975" s="39" t="n">
        <f aca="false">IF(Informed=1,N975,0)</f>
        <v>0</v>
      </c>
      <c r="AA975" s="39" t="n">
        <f aca="false">IF(Informed=0,N975,0)</f>
        <v>0</v>
      </c>
      <c r="AB975" s="43" t="n">
        <f aca="false">IF(Arterial=0,IF(Informed=1,1,0),0)</f>
        <v>1</v>
      </c>
      <c r="AC975" s="43" t="n">
        <f aca="false">IF(Arterial=0,IF(Informed=0,1,0),0)</f>
        <v>0</v>
      </c>
      <c r="AD975" s="43" t="n">
        <f aca="false">IF(Arterial=1,IF(Informed=1,1,0),0)</f>
        <v>0</v>
      </c>
      <c r="AE975" s="43" t="n">
        <f aca="false">IF(Arterial=1,IF(Informed=0,1,0),0)</f>
        <v>0</v>
      </c>
      <c r="AF975" s="35" t="n">
        <f aca="false">IF(AB975=1,(X975-G$1030)^2,0)</f>
        <v>1.19648210136653</v>
      </c>
      <c r="AG975" s="35" t="n">
        <f aca="false">IF(AC975=1,(Y975-H$1030)^2,0)</f>
        <v>0</v>
      </c>
      <c r="AH975" s="35" t="n">
        <f aca="false">IF(AD975=1,(Z975-I$1030)^2,0)</f>
        <v>0</v>
      </c>
      <c r="AI975" s="35" t="n">
        <f aca="false">IF(AE975=1,(AA975-J$1030)^2,0)</f>
        <v>0</v>
      </c>
      <c r="AJ975" s="37" t="n">
        <f aca="true">IF(RAND()&lt;$D$6,1,0)</f>
        <v>0</v>
      </c>
      <c r="AK975" s="14" t="n">
        <f aca="false">AK974+IF((AJ975=1),IF((H975=0),1,0),0)</f>
        <v>0</v>
      </c>
      <c r="AL975" s="14" t="n">
        <f aca="false">AL974+IF((AJ975=1),IF((H975=1),1,0),0)</f>
        <v>0</v>
      </c>
      <c r="AM975" s="37" t="n">
        <f aca="false">IF(AK975=0,9999,IF($H975=0,IF($AJ975&lt;1,AM974+1,0),AM974))</f>
        <v>9999</v>
      </c>
      <c r="AN975" s="37" t="n">
        <f aca="false">IF(AL975=0,9999,IF($H975=1,IF($AJ975&lt;1,AN974+1,0),AN974))</f>
        <v>9999</v>
      </c>
      <c r="AO975" s="37" t="n">
        <f aca="false">IF($A975-AM975&gt;0,1/(1+AM975),0)</f>
        <v>0</v>
      </c>
      <c r="AP975" s="37" t="n">
        <f aca="false">IF($A975-AN975&gt;0,1/(1+AN975),0)</f>
        <v>0</v>
      </c>
      <c r="AQ975" s="7" t="n">
        <f aca="false">IF(AK975=0,0,MAX(MIN(1,AO975^Power),0))</f>
        <v>0</v>
      </c>
      <c r="AR975" s="7" t="n">
        <f aca="false">IF(AL975=0,0,MAX(MIN(1,AP975^Power),0))</f>
        <v>0</v>
      </c>
      <c r="AS975" s="7" t="n">
        <f aca="false">IF($AJ975=1,IF($H975=0,K975,AS974),AS974)</f>
        <v>0</v>
      </c>
      <c r="AT975" s="7" t="n">
        <f aca="false">IF($AJ975=1,IF($H975=1,N975,AT974),AT974)</f>
        <v>0</v>
      </c>
    </row>
    <row r="976" customFormat="false" ht="13" hidden="false" customHeight="false" outlineLevel="0" collapsed="false">
      <c r="A976" s="16" t="n">
        <v>959</v>
      </c>
      <c r="B976" s="37" t="n">
        <f aca="true">IF(RAND()&lt;$D$8,1,0)</f>
        <v>1</v>
      </c>
      <c r="C976" s="20" t="n">
        <f aca="true">-LN(RAND())/$D$2</f>
        <v>0.29860230792362</v>
      </c>
      <c r="D976" s="38" t="n">
        <f aca="false">D975+C976</f>
        <v>1013.6381446921</v>
      </c>
      <c r="E976" s="39" t="n">
        <f aca="false">MAX($E$3,AS975)</f>
        <v>0</v>
      </c>
      <c r="F976" s="39" t="n">
        <f aca="false">MAX($E$3,AT975)</f>
        <v>0</v>
      </c>
      <c r="G976" s="40" t="n">
        <v>0.5</v>
      </c>
      <c r="H976" s="38" t="n">
        <f aca="true">IF((B976=1),(IF((F976&lt;E976),1,(IF((F976=E976),(IF(RAND()&lt;G976,1,0)),0)))),(IF((RAND()&lt;G976),1,0)))</f>
        <v>0</v>
      </c>
      <c r="I976" s="38" t="n">
        <f aca="true">IF((H976=1),0,$D$3+$D$5*(RAND()-0.5))</f>
        <v>1.88158548418024</v>
      </c>
      <c r="J976" s="38" t="n">
        <f aca="false">I976+MAX(D976,J975)</f>
        <v>1024.83696786735</v>
      </c>
      <c r="K976" s="38" t="n">
        <f aca="false">IF((H976=0),J976-D976,0)</f>
        <v>11.1988231752555</v>
      </c>
      <c r="L976" s="38" t="n">
        <f aca="true">IF(($H976=0),0,$D$4+$D$5*(RAND()-0.5))</f>
        <v>0</v>
      </c>
      <c r="M976" s="38" t="n">
        <f aca="false">L976+MAX(D976,M975)</f>
        <v>1028.38009504901</v>
      </c>
      <c r="N976" s="38" t="n">
        <f aca="false">IF((H976=1),M976-D976,0)</f>
        <v>0</v>
      </c>
      <c r="O976" s="16" t="n">
        <v>959</v>
      </c>
      <c r="P976" s="41" t="n">
        <f aca="false">IF((Arterial=0),P975+1,P975)</f>
        <v>459</v>
      </c>
      <c r="Q976" s="41" t="n">
        <f aca="false">IF((Arterial=1),Q975+1,Q975)</f>
        <v>500</v>
      </c>
      <c r="R976" s="42" t="e">
        <f aca="false">IF((RESET=1),0,R976+K976)</f>
        <v>#N/A</v>
      </c>
      <c r="S976" s="14" t="n">
        <f aca="false">IF(RESET=1,0,S976+N976)</f>
        <v>869.696081544646</v>
      </c>
      <c r="T976" s="2" t="e">
        <f aca="false">IF(RESET=1,0,T976+IF(H976=0,1,0))</f>
        <v>#N/A</v>
      </c>
      <c r="U976" s="2" t="n">
        <f aca="false">IF(RESET=1,0,U976+H976)</f>
        <v>38</v>
      </c>
      <c r="V976" s="14" t="e">
        <f aca="false">R976/(T976+0.00001)</f>
        <v>#N/A</v>
      </c>
      <c r="W976" s="14" t="n">
        <f aca="false">S976/(U976+0.0001)</f>
        <v>22.886678759915</v>
      </c>
      <c r="X976" s="39" t="n">
        <f aca="false">IF(Informed=1,K976,0)</f>
        <v>11.1988231752555</v>
      </c>
      <c r="Y976" s="39" t="n">
        <f aca="false">IF(Informed=0,K976,0)</f>
        <v>0</v>
      </c>
      <c r="Z976" s="39" t="n">
        <f aca="false">IF(Informed=1,N976,0)</f>
        <v>0</v>
      </c>
      <c r="AA976" s="39" t="n">
        <f aca="false">IF(Informed=0,N976,0)</f>
        <v>0</v>
      </c>
      <c r="AB976" s="43" t="n">
        <f aca="false">IF(Arterial=0,IF(Informed=1,1,0),0)</f>
        <v>1</v>
      </c>
      <c r="AC976" s="43" t="n">
        <f aca="false">IF(Arterial=0,IF(Informed=0,1,0),0)</f>
        <v>0</v>
      </c>
      <c r="AD976" s="43" t="n">
        <f aca="false">IF(Arterial=1,IF(Informed=1,1,0),0)</f>
        <v>0</v>
      </c>
      <c r="AE976" s="43" t="n">
        <f aca="false">IF(Arterial=1,IF(Informed=0,1,0),0)</f>
        <v>0</v>
      </c>
      <c r="AF976" s="35" t="n">
        <f aca="false">IF(AB976=1,(X976-G$1030)^2,0)</f>
        <v>0.239262765946464</v>
      </c>
      <c r="AG976" s="35" t="n">
        <f aca="false">IF(AC976=1,(Y976-H$1030)^2,0)</f>
        <v>0</v>
      </c>
      <c r="AH976" s="35" t="n">
        <f aca="false">IF(AD976=1,(Z976-I$1030)^2,0)</f>
        <v>0</v>
      </c>
      <c r="AI976" s="35" t="n">
        <f aca="false">IF(AE976=1,(AA976-J$1030)^2,0)</f>
        <v>0</v>
      </c>
      <c r="AJ976" s="37" t="n">
        <f aca="true">IF(RAND()&lt;$D$6,1,0)</f>
        <v>0</v>
      </c>
      <c r="AK976" s="14" t="n">
        <f aca="false">AK975+IF((AJ976=1),IF((H976=0),1,0),0)</f>
        <v>0</v>
      </c>
      <c r="AL976" s="14" t="n">
        <f aca="false">AL975+IF((AJ976=1),IF((H976=1),1,0),0)</f>
        <v>0</v>
      </c>
      <c r="AM976" s="37" t="n">
        <f aca="false">IF(AK976=0,9999,IF($H976=0,IF($AJ976&lt;1,AM975+1,0),AM975))</f>
        <v>9999</v>
      </c>
      <c r="AN976" s="37" t="n">
        <f aca="false">IF(AL976=0,9999,IF($H976=1,IF($AJ976&lt;1,AN975+1,0),AN975))</f>
        <v>9999</v>
      </c>
      <c r="AO976" s="37" t="n">
        <f aca="false">IF($A976-AM976&gt;0,1/(1+AM976),0)</f>
        <v>0</v>
      </c>
      <c r="AP976" s="37" t="n">
        <f aca="false">IF($A976-AN976&gt;0,1/(1+AN976),0)</f>
        <v>0</v>
      </c>
      <c r="AQ976" s="7" t="n">
        <f aca="false">IF(AK976=0,0,MAX(MIN(1,AO976^Power),0))</f>
        <v>0</v>
      </c>
      <c r="AR976" s="7" t="n">
        <f aca="false">IF(AL976=0,0,MAX(MIN(1,AP976^Power),0))</f>
        <v>0</v>
      </c>
      <c r="AS976" s="7" t="n">
        <f aca="false">IF($AJ976=1,IF($H976=0,K976,AS975),AS975)</f>
        <v>0</v>
      </c>
      <c r="AT976" s="7" t="n">
        <f aca="false">IF($AJ976=1,IF($H976=1,N976,AT975),AT975)</f>
        <v>0</v>
      </c>
    </row>
    <row r="977" customFormat="false" ht="13" hidden="false" customHeight="false" outlineLevel="0" collapsed="false">
      <c r="A977" s="16" t="n">
        <v>960</v>
      </c>
      <c r="B977" s="37" t="n">
        <f aca="true">IF(RAND()&lt;$D$8,1,0)</f>
        <v>0</v>
      </c>
      <c r="C977" s="20" t="n">
        <f aca="true">-LN(RAND())/$D$2</f>
        <v>0.0255175311498054</v>
      </c>
      <c r="D977" s="38" t="n">
        <f aca="false">D976+C977</f>
        <v>1013.66366222324</v>
      </c>
      <c r="E977" s="39" t="n">
        <f aca="false">MAX($E$3,AS976)</f>
        <v>0</v>
      </c>
      <c r="F977" s="39" t="n">
        <f aca="false">MAX($E$3,AT976)</f>
        <v>0</v>
      </c>
      <c r="G977" s="40" t="n">
        <v>0.5</v>
      </c>
      <c r="H977" s="38" t="n">
        <f aca="true">IF((B977=1),(IF((F977&lt;E977),1,(IF((F977=E977),(IF(RAND()&lt;G977,1,0)),0)))),(IF((RAND()&lt;G977),1,0)))</f>
        <v>0</v>
      </c>
      <c r="I977" s="38" t="n">
        <f aca="true">IF((H977=1),0,$D$3+$D$5*(RAND()-0.5))</f>
        <v>2.18709854089914</v>
      </c>
      <c r="J977" s="38" t="n">
        <f aca="false">I977+MAX(D977,J976)</f>
        <v>1027.02406640825</v>
      </c>
      <c r="K977" s="38" t="n">
        <f aca="false">IF((H977=0),J977-D977,0)</f>
        <v>13.3604041850048</v>
      </c>
      <c r="L977" s="38" t="n">
        <f aca="true">IF(($H977=0),0,$D$4+$D$5*(RAND()-0.5))</f>
        <v>0</v>
      </c>
      <c r="M977" s="38" t="n">
        <f aca="false">L977+MAX(D977,M976)</f>
        <v>1028.38009504901</v>
      </c>
      <c r="N977" s="38" t="n">
        <f aca="false">IF((H977=1),M977-D977,0)</f>
        <v>0</v>
      </c>
      <c r="O977" s="16" t="n">
        <v>960</v>
      </c>
      <c r="P977" s="41" t="n">
        <f aca="false">IF((Arterial=0),P976+1,P976)</f>
        <v>460</v>
      </c>
      <c r="Q977" s="41" t="n">
        <f aca="false">IF((Arterial=1),Q976+1,Q976)</f>
        <v>500</v>
      </c>
      <c r="R977" s="42" t="e">
        <f aca="false">IF((RESET=1),0,R977+K977)</f>
        <v>#N/A</v>
      </c>
      <c r="S977" s="14" t="n">
        <f aca="false">IF(RESET=1,0,S977+N977)</f>
        <v>685.801712176427</v>
      </c>
      <c r="T977" s="2" t="e">
        <f aca="false">IF(RESET=1,0,T977+IF(H977=0,1,0))</f>
        <v>#N/A</v>
      </c>
      <c r="U977" s="2" t="n">
        <f aca="false">IF(RESET=1,0,U977+H977)</f>
        <v>38</v>
      </c>
      <c r="V977" s="14" t="e">
        <f aca="false">R977/(T977+0.00001)</f>
        <v>#N/A</v>
      </c>
      <c r="W977" s="14" t="n">
        <f aca="false">S977/(U977+0.0001)</f>
        <v>18.0473659852586</v>
      </c>
      <c r="X977" s="39" t="n">
        <f aca="false">IF(Informed=1,K977,0)</f>
        <v>0</v>
      </c>
      <c r="Y977" s="39" t="n">
        <f aca="false">IF(Informed=0,K977,0)</f>
        <v>13.3604041850048</v>
      </c>
      <c r="Z977" s="39" t="n">
        <f aca="false">IF(Informed=1,N977,0)</f>
        <v>0</v>
      </c>
      <c r="AA977" s="39" t="n">
        <f aca="false">IF(Informed=0,N977,0)</f>
        <v>0</v>
      </c>
      <c r="AB977" s="43" t="n">
        <f aca="false">IF(Arterial=0,IF(Informed=1,1,0),0)</f>
        <v>0</v>
      </c>
      <c r="AC977" s="43" t="n">
        <f aca="false">IF(Arterial=0,IF(Informed=0,1,0),0)</f>
        <v>1</v>
      </c>
      <c r="AD977" s="43" t="n">
        <f aca="false">IF(Arterial=1,IF(Informed=1,1,0),0)</f>
        <v>0</v>
      </c>
      <c r="AE977" s="43" t="n">
        <f aca="false">IF(Arterial=1,IF(Informed=0,1,0),0)</f>
        <v>0</v>
      </c>
      <c r="AF977" s="35" t="n">
        <f aca="false">IF(AB977=1,(X977-G$1030)^2,0)</f>
        <v>0</v>
      </c>
      <c r="AG977" s="35" t="n">
        <f aca="false">IF(AC977=1,(Y977-H$1030)^2,0)</f>
        <v>5.93711183091562</v>
      </c>
      <c r="AH977" s="35" t="n">
        <f aca="false">IF(AD977=1,(Z977-I$1030)^2,0)</f>
        <v>0</v>
      </c>
      <c r="AI977" s="35" t="n">
        <f aca="false">IF(AE977=1,(AA977-J$1030)^2,0)</f>
        <v>0</v>
      </c>
      <c r="AJ977" s="37" t="n">
        <f aca="true">IF(RAND()&lt;$D$6,1,0)</f>
        <v>0</v>
      </c>
      <c r="AK977" s="14" t="n">
        <f aca="false">AK976+IF((AJ977=1),IF((H977=0),1,0),0)</f>
        <v>0</v>
      </c>
      <c r="AL977" s="14" t="n">
        <f aca="false">AL976+IF((AJ977=1),IF((H977=1),1,0),0)</f>
        <v>0</v>
      </c>
      <c r="AM977" s="37" t="n">
        <f aca="false">IF(AK977=0,9999,IF($H977=0,IF($AJ977&lt;1,AM976+1,0),AM976))</f>
        <v>9999</v>
      </c>
      <c r="AN977" s="37" t="n">
        <f aca="false">IF(AL977=0,9999,IF($H977=1,IF($AJ977&lt;1,AN976+1,0),AN976))</f>
        <v>9999</v>
      </c>
      <c r="AO977" s="37" t="n">
        <f aca="false">IF($A977-AM977&gt;0,1/(1+AM977),0)</f>
        <v>0</v>
      </c>
      <c r="AP977" s="37" t="n">
        <f aca="false">IF($A977-AN977&gt;0,1/(1+AN977),0)</f>
        <v>0</v>
      </c>
      <c r="AQ977" s="7" t="n">
        <f aca="false">IF(AK977=0,0,MAX(MIN(1,AO977^Power),0))</f>
        <v>0</v>
      </c>
      <c r="AR977" s="7" t="n">
        <f aca="false">IF(AL977=0,0,MAX(MIN(1,AP977^Power),0))</f>
        <v>0</v>
      </c>
      <c r="AS977" s="7" t="n">
        <f aca="false">IF($AJ977=1,IF($H977=0,K977,AS976),AS976)</f>
        <v>0</v>
      </c>
      <c r="AT977" s="7" t="n">
        <f aca="false">IF($AJ977=1,IF($H977=1,N977,AT976),AT976)</f>
        <v>0</v>
      </c>
    </row>
    <row r="978" customFormat="false" ht="13" hidden="false" customHeight="false" outlineLevel="0" collapsed="false">
      <c r="A978" s="16" t="n">
        <v>961</v>
      </c>
      <c r="B978" s="37" t="n">
        <f aca="true">IF(RAND()&lt;$D$8,1,0)</f>
        <v>0</v>
      </c>
      <c r="C978" s="20" t="n">
        <f aca="true">-LN(RAND())/$D$2</f>
        <v>0.141791736151018</v>
      </c>
      <c r="D978" s="38" t="n">
        <f aca="false">D977+C978</f>
        <v>1013.8054539594</v>
      </c>
      <c r="E978" s="39" t="n">
        <f aca="false">MAX($E$3,AS977)</f>
        <v>0</v>
      </c>
      <c r="F978" s="39" t="n">
        <f aca="false">MAX($E$3,AT977)</f>
        <v>0</v>
      </c>
      <c r="G978" s="40" t="n">
        <v>0.5</v>
      </c>
      <c r="H978" s="38" t="n">
        <f aca="true">IF((B978=1),(IF((F978&lt;E978),1,(IF((F978=E978),(IF(RAND()&lt;G978,1,0)),0)))),(IF((RAND()&lt;G978),1,0)))</f>
        <v>0</v>
      </c>
      <c r="I978" s="38" t="n">
        <f aca="true">IF((H978=1),0,$D$3+$D$5*(RAND()-0.5))</f>
        <v>1.98769859873047</v>
      </c>
      <c r="J978" s="38" t="n">
        <f aca="false">I978+MAX(D978,J977)</f>
        <v>1029.01176500698</v>
      </c>
      <c r="K978" s="38" t="n">
        <f aca="false">IF((H978=0),J978-D978,0)</f>
        <v>15.2063110475842</v>
      </c>
      <c r="L978" s="38" t="n">
        <f aca="true">IF(($H978=0),0,$D$4+$D$5*(RAND()-0.5))</f>
        <v>0</v>
      </c>
      <c r="M978" s="38" t="n">
        <f aca="false">L978+MAX(D978,M977)</f>
        <v>1028.38009504901</v>
      </c>
      <c r="N978" s="38" t="n">
        <f aca="false">IF((H978=1),M978-D978,0)</f>
        <v>0</v>
      </c>
      <c r="O978" s="16" t="n">
        <v>961</v>
      </c>
      <c r="P978" s="41" t="n">
        <f aca="false">IF((Arterial=0),P977+1,P977)</f>
        <v>461</v>
      </c>
      <c r="Q978" s="41" t="n">
        <f aca="false">IF((Arterial=1),Q977+1,Q977)</f>
        <v>500</v>
      </c>
      <c r="R978" s="42" t="e">
        <f aca="false">IF((RESET=1),0,R978+K978)</f>
        <v>#N/A</v>
      </c>
      <c r="S978" s="14" t="n">
        <f aca="false">IF(RESET=1,0,S978+N978)</f>
        <v>901.059118276235</v>
      </c>
      <c r="T978" s="2" t="e">
        <f aca="false">IF(RESET=1,0,T978+IF(H978=0,1,0))</f>
        <v>#N/A</v>
      </c>
      <c r="U978" s="2" t="n">
        <f aca="false">IF(RESET=1,0,U978+H978)</f>
        <v>48</v>
      </c>
      <c r="V978" s="14" t="e">
        <f aca="false">R978/(T978+0.00001)</f>
        <v>#N/A</v>
      </c>
      <c r="W978" s="14" t="n">
        <f aca="false">S978/(U978+0.0001)</f>
        <v>18.772025855701</v>
      </c>
      <c r="X978" s="39" t="n">
        <f aca="false">IF(Informed=1,K978,0)</f>
        <v>0</v>
      </c>
      <c r="Y978" s="39" t="n">
        <f aca="false">IF(Informed=0,K978,0)</f>
        <v>15.2063110475842</v>
      </c>
      <c r="Z978" s="39" t="n">
        <f aca="false">IF(Informed=1,N978,0)</f>
        <v>0</v>
      </c>
      <c r="AA978" s="39" t="n">
        <f aca="false">IF(Informed=0,N978,0)</f>
        <v>0</v>
      </c>
      <c r="AB978" s="43" t="n">
        <f aca="false">IF(Arterial=0,IF(Informed=1,1,0),0)</f>
        <v>0</v>
      </c>
      <c r="AC978" s="43" t="n">
        <f aca="false">IF(Arterial=0,IF(Informed=0,1,0),0)</f>
        <v>1</v>
      </c>
      <c r="AD978" s="43" t="n">
        <f aca="false">IF(Arterial=1,IF(Informed=1,1,0),0)</f>
        <v>0</v>
      </c>
      <c r="AE978" s="43" t="n">
        <f aca="false">IF(Arterial=1,IF(Informed=0,1,0),0)</f>
        <v>0</v>
      </c>
      <c r="AF978" s="35" t="n">
        <f aca="false">IF(AB978=1,(X978-G$1030)^2,0)</f>
        <v>0</v>
      </c>
      <c r="AG978" s="35" t="n">
        <f aca="false">IF(AC978=1,(Y978-H$1030)^2,0)</f>
        <v>18.3400272008086</v>
      </c>
      <c r="AH978" s="35" t="n">
        <f aca="false">IF(AD978=1,(Z978-I$1030)^2,0)</f>
        <v>0</v>
      </c>
      <c r="AI978" s="35" t="n">
        <f aca="false">IF(AE978=1,(AA978-J$1030)^2,0)</f>
        <v>0</v>
      </c>
      <c r="AJ978" s="37" t="n">
        <f aca="true">IF(RAND()&lt;$D$6,1,0)</f>
        <v>0</v>
      </c>
      <c r="AK978" s="14" t="n">
        <f aca="false">AK977+IF((AJ978=1),IF((H978=0),1,0),0)</f>
        <v>0</v>
      </c>
      <c r="AL978" s="14" t="n">
        <f aca="false">AL977+IF((AJ978=1),IF((H978=1),1,0),0)</f>
        <v>0</v>
      </c>
      <c r="AM978" s="37" t="n">
        <f aca="false">IF(AK978=0,9999,IF($H978=0,IF($AJ978&lt;1,AM977+1,0),AM977))</f>
        <v>9999</v>
      </c>
      <c r="AN978" s="37" t="n">
        <f aca="false">IF(AL978=0,9999,IF($H978=1,IF($AJ978&lt;1,AN977+1,0),AN977))</f>
        <v>9999</v>
      </c>
      <c r="AO978" s="37" t="n">
        <f aca="false">IF($A978-AM978&gt;0,1/(1+AM978),0)</f>
        <v>0</v>
      </c>
      <c r="AP978" s="37" t="n">
        <f aca="false">IF($A978-AN978&gt;0,1/(1+AN978),0)</f>
        <v>0</v>
      </c>
      <c r="AQ978" s="7" t="n">
        <f aca="false">IF(AK978=0,0,MAX(MIN(1,AO978^Power),0))</f>
        <v>0</v>
      </c>
      <c r="AR978" s="7" t="n">
        <f aca="false">IF(AL978=0,0,MAX(MIN(1,AP978^Power),0))</f>
        <v>0</v>
      </c>
      <c r="AS978" s="7" t="n">
        <f aca="false">IF($AJ978=1,IF($H978=0,K978,AS977),AS977)</f>
        <v>0</v>
      </c>
      <c r="AT978" s="7" t="n">
        <f aca="false">IF($AJ978=1,IF($H978=1,N978,AT977),AT977)</f>
        <v>0</v>
      </c>
    </row>
    <row r="979" customFormat="false" ht="13" hidden="false" customHeight="false" outlineLevel="0" collapsed="false">
      <c r="A979" s="16" t="n">
        <v>962</v>
      </c>
      <c r="B979" s="37" t="n">
        <f aca="true">IF(RAND()&lt;$D$8,1,0)</f>
        <v>1</v>
      </c>
      <c r="C979" s="20" t="n">
        <f aca="true">-LN(RAND())/$D$2</f>
        <v>0.468079731990629</v>
      </c>
      <c r="D979" s="38" t="n">
        <f aca="false">D978+C979</f>
        <v>1014.27353369139</v>
      </c>
      <c r="E979" s="39" t="n">
        <f aca="false">MAX($E$3,AS978)</f>
        <v>0</v>
      </c>
      <c r="F979" s="39" t="n">
        <f aca="false">MAX($E$3,AT978)</f>
        <v>0</v>
      </c>
      <c r="G979" s="40" t="n">
        <v>0.5</v>
      </c>
      <c r="H979" s="38" t="n">
        <f aca="true">IF((B979=1),(IF((F979&lt;E979),1,(IF((F979=E979),(IF(RAND()&lt;G979,1,0)),0)))),(IF((RAND()&lt;G979),1,0)))</f>
        <v>0</v>
      </c>
      <c r="I979" s="38" t="n">
        <f aca="true">IF((H979=1),0,$D$3+$D$5*(RAND()-0.5))</f>
        <v>1.94339684225316</v>
      </c>
      <c r="J979" s="38" t="n">
        <f aca="false">I979+MAX(D979,J978)</f>
        <v>1030.95516184923</v>
      </c>
      <c r="K979" s="38" t="n">
        <f aca="false">IF((H979=0),J979-D979,0)</f>
        <v>16.6816281578467</v>
      </c>
      <c r="L979" s="38" t="n">
        <f aca="true">IF(($H979=0),0,$D$4+$D$5*(RAND()-0.5))</f>
        <v>0</v>
      </c>
      <c r="M979" s="38" t="n">
        <f aca="false">L979+MAX(D979,M978)</f>
        <v>1028.38009504901</v>
      </c>
      <c r="N979" s="38" t="n">
        <f aca="false">IF((H979=1),M979-D979,0)</f>
        <v>0</v>
      </c>
      <c r="O979" s="16" t="n">
        <v>962</v>
      </c>
      <c r="P979" s="41" t="n">
        <f aca="false">IF((Arterial=0),P978+1,P978)</f>
        <v>462</v>
      </c>
      <c r="Q979" s="41" t="n">
        <f aca="false">IF((Arterial=1),Q978+1,Q978)</f>
        <v>500</v>
      </c>
      <c r="R979" s="42" t="e">
        <f aca="false">IF((RESET=1),0,R979+K979)</f>
        <v>#N/A</v>
      </c>
      <c r="S979" s="14" t="n">
        <f aca="false">IF(RESET=1,0,S979+N979)</f>
        <v>777.22069578508</v>
      </c>
      <c r="T979" s="2" t="e">
        <f aca="false">IF(RESET=1,0,T979+IF(H979=0,1,0))</f>
        <v>#N/A</v>
      </c>
      <c r="U979" s="2" t="n">
        <f aca="false">IF(RESET=1,0,U979+H979)</f>
        <v>38</v>
      </c>
      <c r="V979" s="14" t="e">
        <f aca="false">R979/(T979+0.00001)</f>
        <v>#N/A</v>
      </c>
      <c r="W979" s="14" t="n">
        <f aca="false">S979/(U979+0.0001)</f>
        <v>20.4531223808643</v>
      </c>
      <c r="X979" s="39" t="n">
        <f aca="false">IF(Informed=1,K979,0)</f>
        <v>16.6816281578467</v>
      </c>
      <c r="Y979" s="39" t="n">
        <f aca="false">IF(Informed=0,K979,0)</f>
        <v>0</v>
      </c>
      <c r="Z979" s="39" t="n">
        <f aca="false">IF(Informed=1,N979,0)</f>
        <v>0</v>
      </c>
      <c r="AA979" s="39" t="n">
        <f aca="false">IF(Informed=0,N979,0)</f>
        <v>0</v>
      </c>
      <c r="AB979" s="43" t="n">
        <f aca="false">IF(Arterial=0,IF(Informed=1,1,0),0)</f>
        <v>1</v>
      </c>
      <c r="AC979" s="43" t="n">
        <f aca="false">IF(Arterial=0,IF(Informed=0,1,0),0)</f>
        <v>0</v>
      </c>
      <c r="AD979" s="43" t="n">
        <f aca="false">IF(Arterial=1,IF(Informed=1,1,0),0)</f>
        <v>0</v>
      </c>
      <c r="AE979" s="43" t="n">
        <f aca="false">IF(Arterial=1,IF(Informed=0,1,0),0)</f>
        <v>0</v>
      </c>
      <c r="AF979" s="35" t="n">
        <f aca="false">IF(AB979=1,(X979-G$1030)^2,0)</f>
        <v>35.6641858000304</v>
      </c>
      <c r="AG979" s="35" t="n">
        <f aca="false">IF(AC979=1,(Y979-H$1030)^2,0)</f>
        <v>0</v>
      </c>
      <c r="AH979" s="35" t="n">
        <f aca="false">IF(AD979=1,(Z979-I$1030)^2,0)</f>
        <v>0</v>
      </c>
      <c r="AI979" s="35" t="n">
        <f aca="false">IF(AE979=1,(AA979-J$1030)^2,0)</f>
        <v>0</v>
      </c>
      <c r="AJ979" s="37" t="n">
        <f aca="true">IF(RAND()&lt;$D$6,1,0)</f>
        <v>0</v>
      </c>
      <c r="AK979" s="14" t="n">
        <f aca="false">AK978+IF((AJ979=1),IF((H979=0),1,0),0)</f>
        <v>0</v>
      </c>
      <c r="AL979" s="14" t="n">
        <f aca="false">AL978+IF((AJ979=1),IF((H979=1),1,0),0)</f>
        <v>0</v>
      </c>
      <c r="AM979" s="37" t="n">
        <f aca="false">IF(AK979=0,9999,IF($H979=0,IF($AJ979&lt;1,AM978+1,0),AM978))</f>
        <v>9999</v>
      </c>
      <c r="AN979" s="37" t="n">
        <f aca="false">IF(AL979=0,9999,IF($H979=1,IF($AJ979&lt;1,AN978+1,0),AN978))</f>
        <v>9999</v>
      </c>
      <c r="AO979" s="37" t="n">
        <f aca="false">IF($A979-AM979&gt;0,1/(1+AM979),0)</f>
        <v>0</v>
      </c>
      <c r="AP979" s="37" t="n">
        <f aca="false">IF($A979-AN979&gt;0,1/(1+AN979),0)</f>
        <v>0</v>
      </c>
      <c r="AQ979" s="7" t="n">
        <f aca="false">IF(AK979=0,0,MAX(MIN(1,AO979^Power),0))</f>
        <v>0</v>
      </c>
      <c r="AR979" s="7" t="n">
        <f aca="false">IF(AL979=0,0,MAX(MIN(1,AP979^Power),0))</f>
        <v>0</v>
      </c>
      <c r="AS979" s="7" t="n">
        <f aca="false">IF($AJ979=1,IF($H979=0,K979,AS978),AS978)</f>
        <v>0</v>
      </c>
      <c r="AT979" s="7" t="n">
        <f aca="false">IF($AJ979=1,IF($H979=1,N979,AT978),AT978)</f>
        <v>0</v>
      </c>
    </row>
    <row r="980" customFormat="false" ht="13" hidden="false" customHeight="false" outlineLevel="0" collapsed="false">
      <c r="A980" s="16" t="n">
        <v>963</v>
      </c>
      <c r="B980" s="37" t="n">
        <f aca="true">IF(RAND()&lt;$D$8,1,0)</f>
        <v>0</v>
      </c>
      <c r="C980" s="20" t="n">
        <f aca="true">-LN(RAND())/$D$2</f>
        <v>0.252063973928108</v>
      </c>
      <c r="D980" s="38" t="n">
        <f aca="false">D979+C980</f>
        <v>1014.52559766531</v>
      </c>
      <c r="E980" s="39" t="n">
        <f aca="false">MAX($E$3,AS979)</f>
        <v>0</v>
      </c>
      <c r="F980" s="39" t="n">
        <f aca="false">MAX($E$3,AT979)</f>
        <v>0</v>
      </c>
      <c r="G980" s="40" t="n">
        <v>0.5</v>
      </c>
      <c r="H980" s="38" t="n">
        <f aca="true">IF((B980=1),(IF((F980&lt;E980),1,(IF((F980=E980),(IF(RAND()&lt;G980,1,0)),0)))),(IF((RAND()&lt;G980),1,0)))</f>
        <v>1</v>
      </c>
      <c r="I980" s="38" t="n">
        <f aca="true">IF((H980=1),0,$D$3+$D$5*(RAND()-0.5))</f>
        <v>0</v>
      </c>
      <c r="J980" s="38" t="n">
        <f aca="false">I980+MAX(D980,J979)</f>
        <v>1030.95516184923</v>
      </c>
      <c r="K980" s="38" t="n">
        <f aca="false">IF((H980=0),J980-D980,0)</f>
        <v>0</v>
      </c>
      <c r="L980" s="38" t="n">
        <f aca="true">IF(($H980=0),0,$D$4+$D$5*(RAND()-0.5))</f>
        <v>1.78563688558349</v>
      </c>
      <c r="M980" s="38" t="n">
        <f aca="false">L980+MAX(D980,M979)</f>
        <v>1030.1657319346</v>
      </c>
      <c r="N980" s="38" t="n">
        <f aca="false">IF((H980=1),M980-D980,0)</f>
        <v>15.6401342692822</v>
      </c>
      <c r="O980" s="16" t="n">
        <v>963</v>
      </c>
      <c r="P980" s="41" t="n">
        <f aca="false">IF((Arterial=0),P979+1,P979)</f>
        <v>462</v>
      </c>
      <c r="Q980" s="41" t="n">
        <f aca="false">IF((Arterial=1),Q979+1,Q979)</f>
        <v>501</v>
      </c>
      <c r="R980" s="42" t="n">
        <f aca="false">IF((RESET=1),0,R980+K980)</f>
        <v>972.254864718965</v>
      </c>
      <c r="S980" s="14" t="e">
        <f aca="false">IF(RESET=1,0,S980+N980)</f>
        <v>#N/A</v>
      </c>
      <c r="T980" s="2" t="n">
        <f aca="false">IF(RESET=1,0,T980+IF(H980=0,1,0))</f>
        <v>45</v>
      </c>
      <c r="U980" s="2" t="e">
        <f aca="false">IF(RESET=1,0,U980+H980)</f>
        <v>#N/A</v>
      </c>
      <c r="V980" s="14" t="n">
        <f aca="false">R980/(T980+0.00001)</f>
        <v>21.6056588591639</v>
      </c>
      <c r="W980" s="14" t="e">
        <f aca="false">S980/(U980+0.0001)</f>
        <v>#N/A</v>
      </c>
      <c r="X980" s="39" t="n">
        <f aca="false">IF(Informed=1,K980,0)</f>
        <v>0</v>
      </c>
      <c r="Y980" s="39" t="n">
        <f aca="false">IF(Informed=0,K980,0)</f>
        <v>0</v>
      </c>
      <c r="Z980" s="39" t="n">
        <f aca="false">IF(Informed=1,N980,0)</f>
        <v>0</v>
      </c>
      <c r="AA980" s="39" t="n">
        <f aca="false">IF(Informed=0,N980,0)</f>
        <v>15.6401342692822</v>
      </c>
      <c r="AB980" s="43" t="n">
        <f aca="false">IF(Arterial=0,IF(Informed=1,1,0),0)</f>
        <v>0</v>
      </c>
      <c r="AC980" s="43" t="n">
        <f aca="false">IF(Arterial=0,IF(Informed=0,1,0),0)</f>
        <v>0</v>
      </c>
      <c r="AD980" s="43" t="n">
        <f aca="false">IF(Arterial=1,IF(Informed=1,1,0),0)</f>
        <v>0</v>
      </c>
      <c r="AE980" s="43" t="n">
        <f aca="false">IF(Arterial=1,IF(Informed=0,1,0),0)</f>
        <v>1</v>
      </c>
      <c r="AF980" s="35" t="n">
        <f aca="false">IF(AB980=1,(X980-G$1030)^2,0)</f>
        <v>0</v>
      </c>
      <c r="AG980" s="35" t="n">
        <f aca="false">IF(AC980=1,(Y980-H$1030)^2,0)</f>
        <v>0</v>
      </c>
      <c r="AH980" s="35" t="n">
        <f aca="false">IF(AD980=1,(Z980-I$1030)^2,0)</f>
        <v>0</v>
      </c>
      <c r="AI980" s="35" t="n">
        <f aca="false">IF(AE980=1,(AA980-J$1030)^2,0)</f>
        <v>193.881694816356</v>
      </c>
      <c r="AJ980" s="37" t="n">
        <f aca="true">IF(RAND()&lt;$D$6,1,0)</f>
        <v>0</v>
      </c>
      <c r="AK980" s="14" t="n">
        <f aca="false">AK979+IF((AJ980=1),IF((H980=0),1,0),0)</f>
        <v>0</v>
      </c>
      <c r="AL980" s="14" t="n">
        <f aca="false">AL979+IF((AJ980=1),IF((H980=1),1,0),0)</f>
        <v>0</v>
      </c>
      <c r="AM980" s="37" t="n">
        <f aca="false">IF(AK980=0,9999,IF($H980=0,IF($AJ980&lt;1,AM979+1,0),AM979))</f>
        <v>9999</v>
      </c>
      <c r="AN980" s="37" t="n">
        <f aca="false">IF(AL980=0,9999,IF($H980=1,IF($AJ980&lt;1,AN979+1,0),AN979))</f>
        <v>9999</v>
      </c>
      <c r="AO980" s="37" t="n">
        <f aca="false">IF($A980-AM980&gt;0,1/(1+AM980),0)</f>
        <v>0</v>
      </c>
      <c r="AP980" s="37" t="n">
        <f aca="false">IF($A980-AN980&gt;0,1/(1+AN980),0)</f>
        <v>0</v>
      </c>
      <c r="AQ980" s="7" t="n">
        <f aca="false">IF(AK980=0,0,MAX(MIN(1,AO980^Power),0))</f>
        <v>0</v>
      </c>
      <c r="AR980" s="7" t="n">
        <f aca="false">IF(AL980=0,0,MAX(MIN(1,AP980^Power),0))</f>
        <v>0</v>
      </c>
      <c r="AS980" s="7" t="n">
        <f aca="false">IF($AJ980=1,IF($H980=0,K980,AS979),AS979)</f>
        <v>0</v>
      </c>
      <c r="AT980" s="7" t="n">
        <f aca="false">IF($AJ980=1,IF($H980=1,N980,AT979),AT979)</f>
        <v>0</v>
      </c>
    </row>
    <row r="981" customFormat="false" ht="13" hidden="false" customHeight="false" outlineLevel="0" collapsed="false">
      <c r="A981" s="16" t="n">
        <v>964</v>
      </c>
      <c r="B981" s="37" t="n">
        <f aca="true">IF(RAND()&lt;$D$8,1,0)</f>
        <v>1</v>
      </c>
      <c r="C981" s="20" t="n">
        <f aca="true">-LN(RAND())/$D$2</f>
        <v>1.42712822107692</v>
      </c>
      <c r="D981" s="38" t="n">
        <f aca="false">D980+C981</f>
        <v>1015.95272588639</v>
      </c>
      <c r="E981" s="39" t="n">
        <f aca="false">MAX($E$3,AS980)</f>
        <v>0</v>
      </c>
      <c r="F981" s="39" t="n">
        <f aca="false">MAX($E$3,AT980)</f>
        <v>0</v>
      </c>
      <c r="G981" s="40" t="n">
        <v>0.5</v>
      </c>
      <c r="H981" s="38" t="n">
        <f aca="true">IF((B981=1),(IF((F981&lt;E981),1,(IF((F981=E981),(IF(RAND()&lt;G981,1,0)),0)))),(IF((RAND()&lt;G981),1,0)))</f>
        <v>1</v>
      </c>
      <c r="I981" s="38" t="n">
        <f aca="true">IF((H981=1),0,$D$3+$D$5*(RAND()-0.5))</f>
        <v>0</v>
      </c>
      <c r="J981" s="38" t="n">
        <f aca="false">I981+MAX(D981,J980)</f>
        <v>1030.95516184923</v>
      </c>
      <c r="K981" s="38" t="n">
        <f aca="false">IF((H981=0),J981-D981,0)</f>
        <v>0</v>
      </c>
      <c r="L981" s="38" t="n">
        <f aca="true">IF(($H981=0),0,$D$4+$D$5*(RAND()-0.5))</f>
        <v>2.19784734836285</v>
      </c>
      <c r="M981" s="38" t="n">
        <f aca="false">L981+MAX(D981,M980)</f>
        <v>1032.36357928296</v>
      </c>
      <c r="N981" s="38" t="n">
        <f aca="false">IF((H981=1),M981-D981,0)</f>
        <v>16.410853396568</v>
      </c>
      <c r="O981" s="16" t="n">
        <v>964</v>
      </c>
      <c r="P981" s="41" t="n">
        <f aca="false">IF((Arterial=0),P980+1,P980)</f>
        <v>462</v>
      </c>
      <c r="Q981" s="41" t="n">
        <f aca="false">IF((Arterial=1),Q980+1,Q980)</f>
        <v>502</v>
      </c>
      <c r="R981" s="42" t="n">
        <f aca="false">IF((RESET=1),0,R981+K981)</f>
        <v>575.645157291382</v>
      </c>
      <c r="S981" s="14" t="e">
        <f aca="false">IF(RESET=1,0,S981+N981)</f>
        <v>#N/A</v>
      </c>
      <c r="T981" s="2" t="n">
        <f aca="false">IF(RESET=1,0,T981+IF(H981=0,1,0))</f>
        <v>36</v>
      </c>
      <c r="U981" s="2" t="e">
        <f aca="false">IF(RESET=1,0,U981+H981)</f>
        <v>#N/A</v>
      </c>
      <c r="V981" s="14" t="n">
        <f aca="false">R981/(T981+0.00001)</f>
        <v>15.9901388163887</v>
      </c>
      <c r="W981" s="14" t="e">
        <f aca="false">S981/(U981+0.0001)</f>
        <v>#N/A</v>
      </c>
      <c r="X981" s="39" t="n">
        <f aca="false">IF(Informed=1,K981,0)</f>
        <v>0</v>
      </c>
      <c r="Y981" s="39" t="n">
        <f aca="false">IF(Informed=0,K981,0)</f>
        <v>0</v>
      </c>
      <c r="Z981" s="39" t="n">
        <f aca="false">IF(Informed=1,N981,0)</f>
        <v>16.410853396568</v>
      </c>
      <c r="AA981" s="39" t="n">
        <f aca="false">IF(Informed=0,N981,0)</f>
        <v>0</v>
      </c>
      <c r="AB981" s="43" t="n">
        <f aca="false">IF(Arterial=0,IF(Informed=1,1,0),0)</f>
        <v>0</v>
      </c>
      <c r="AC981" s="43" t="n">
        <f aca="false">IF(Arterial=0,IF(Informed=0,1,0),0)</f>
        <v>0</v>
      </c>
      <c r="AD981" s="43" t="n">
        <f aca="false">IF(Arterial=1,IF(Informed=1,1,0),0)</f>
        <v>1</v>
      </c>
      <c r="AE981" s="43" t="n">
        <f aca="false">IF(Arterial=1,IF(Informed=0,1,0),0)</f>
        <v>0</v>
      </c>
      <c r="AF981" s="35" t="n">
        <f aca="false">IF(AB981=1,(X981-G$1030)^2,0)</f>
        <v>0</v>
      </c>
      <c r="AG981" s="35" t="n">
        <f aca="false">IF(AC981=1,(Y981-H$1030)^2,0)</f>
        <v>0</v>
      </c>
      <c r="AH981" s="35" t="n">
        <f aca="false">IF(AD981=1,(Z981-I$1030)^2,0)</f>
        <v>143.13685085982</v>
      </c>
      <c r="AI981" s="35" t="n">
        <f aca="false">IF(AE981=1,(AA981-J$1030)^2,0)</f>
        <v>0</v>
      </c>
      <c r="AJ981" s="37" t="n">
        <f aca="true">IF(RAND()&lt;$D$6,1,0)</f>
        <v>0</v>
      </c>
      <c r="AK981" s="14" t="n">
        <f aca="false">AK980+IF((AJ981=1),IF((H981=0),1,0),0)</f>
        <v>0</v>
      </c>
      <c r="AL981" s="14" t="n">
        <f aca="false">AL980+IF((AJ981=1),IF((H981=1),1,0),0)</f>
        <v>0</v>
      </c>
      <c r="AM981" s="37" t="n">
        <f aca="false">IF(AK981=0,9999,IF($H981=0,IF($AJ981&lt;1,AM980+1,0),AM980))</f>
        <v>9999</v>
      </c>
      <c r="AN981" s="37" t="n">
        <f aca="false">IF(AL981=0,9999,IF($H981=1,IF($AJ981&lt;1,AN980+1,0),AN980))</f>
        <v>9999</v>
      </c>
      <c r="AO981" s="37" t="n">
        <f aca="false">IF($A981-AM981&gt;0,1/(1+AM981),0)</f>
        <v>0</v>
      </c>
      <c r="AP981" s="37" t="n">
        <f aca="false">IF($A981-AN981&gt;0,1/(1+AN981),0)</f>
        <v>0</v>
      </c>
      <c r="AQ981" s="7" t="n">
        <f aca="false">IF(AK981=0,0,MAX(MIN(1,AO981^Power),0))</f>
        <v>0</v>
      </c>
      <c r="AR981" s="7" t="n">
        <f aca="false">IF(AL981=0,0,MAX(MIN(1,AP981^Power),0))</f>
        <v>0</v>
      </c>
      <c r="AS981" s="7" t="n">
        <f aca="false">IF($AJ981=1,IF($H981=0,K981,AS980),AS980)</f>
        <v>0</v>
      </c>
      <c r="AT981" s="7" t="n">
        <f aca="false">IF($AJ981=1,IF($H981=1,N981,AT980),AT980)</f>
        <v>0</v>
      </c>
    </row>
    <row r="982" customFormat="false" ht="13" hidden="false" customHeight="false" outlineLevel="0" collapsed="false">
      <c r="A982" s="16" t="n">
        <v>965</v>
      </c>
      <c r="B982" s="37" t="n">
        <f aca="true">IF(RAND()&lt;$D$8,1,0)</f>
        <v>0</v>
      </c>
      <c r="C982" s="20" t="n">
        <f aca="true">-LN(RAND())/$D$2</f>
        <v>0.257124567997494</v>
      </c>
      <c r="D982" s="38" t="n">
        <f aca="false">D981+C982</f>
        <v>1016.20985045439</v>
      </c>
      <c r="E982" s="39" t="n">
        <f aca="false">MAX($E$3,AS981)</f>
        <v>0</v>
      </c>
      <c r="F982" s="39" t="n">
        <f aca="false">MAX($E$3,AT981)</f>
        <v>0</v>
      </c>
      <c r="G982" s="40" t="n">
        <v>0.5</v>
      </c>
      <c r="H982" s="38" t="n">
        <f aca="true">IF((B982=1),(IF((F982&lt;E982),1,(IF((F982=E982),(IF(RAND()&lt;G982,1,0)),0)))),(IF((RAND()&lt;G982),1,0)))</f>
        <v>1</v>
      </c>
      <c r="I982" s="38" t="n">
        <f aca="true">IF((H982=1),0,$D$3+$D$5*(RAND()-0.5))</f>
        <v>0</v>
      </c>
      <c r="J982" s="38" t="n">
        <f aca="false">I982+MAX(D982,J981)</f>
        <v>1030.95516184923</v>
      </c>
      <c r="K982" s="38" t="n">
        <f aca="false">IF((H982=0),J982-D982,0)</f>
        <v>0</v>
      </c>
      <c r="L982" s="38" t="n">
        <f aca="true">IF(($H982=0),0,$D$4+$D$5*(RAND()-0.5))</f>
        <v>1.79405416486139</v>
      </c>
      <c r="M982" s="38" t="n">
        <f aca="false">L982+MAX(D982,M981)</f>
        <v>1034.15763344782</v>
      </c>
      <c r="N982" s="38" t="n">
        <f aca="false">IF((H982=1),M982-D982,0)</f>
        <v>17.9477829934318</v>
      </c>
      <c r="O982" s="16" t="n">
        <v>965</v>
      </c>
      <c r="P982" s="41" t="n">
        <f aca="false">IF((Arterial=0),P981+1,P981)</f>
        <v>462</v>
      </c>
      <c r="Q982" s="41" t="n">
        <f aca="false">IF((Arterial=1),Q981+1,Q981)</f>
        <v>503</v>
      </c>
      <c r="R982" s="42" t="n">
        <f aca="false">IF((RESET=1),0,R982+K982)</f>
        <v>657.273043070117</v>
      </c>
      <c r="S982" s="14" t="e">
        <f aca="false">IF(RESET=1,0,S982+N982)</f>
        <v>#N/A</v>
      </c>
      <c r="T982" s="2" t="n">
        <f aca="false">IF(RESET=1,0,T982+IF(H982=0,1,0))</f>
        <v>36</v>
      </c>
      <c r="U982" s="2" t="e">
        <f aca="false">IF(RESET=1,0,U982+H982)</f>
        <v>#N/A</v>
      </c>
      <c r="V982" s="14" t="n">
        <f aca="false">R982/(T982+0.00001)</f>
        <v>18.2575794581756</v>
      </c>
      <c r="W982" s="14" t="e">
        <f aca="false">S982/(U982+0.0001)</f>
        <v>#N/A</v>
      </c>
      <c r="X982" s="39" t="n">
        <f aca="false">IF(Informed=1,K982,0)</f>
        <v>0</v>
      </c>
      <c r="Y982" s="39" t="n">
        <f aca="false">IF(Informed=0,K982,0)</f>
        <v>0</v>
      </c>
      <c r="Z982" s="39" t="n">
        <f aca="false">IF(Informed=1,N982,0)</f>
        <v>0</v>
      </c>
      <c r="AA982" s="39" t="n">
        <f aca="false">IF(Informed=0,N982,0)</f>
        <v>17.9477829934318</v>
      </c>
      <c r="AB982" s="43" t="n">
        <f aca="false">IF(Arterial=0,IF(Informed=1,1,0),0)</f>
        <v>0</v>
      </c>
      <c r="AC982" s="43" t="n">
        <f aca="false">IF(Arterial=0,IF(Informed=0,1,0),0)</f>
        <v>0</v>
      </c>
      <c r="AD982" s="43" t="n">
        <f aca="false">IF(Arterial=1,IF(Informed=1,1,0),0)</f>
        <v>0</v>
      </c>
      <c r="AE982" s="43" t="n">
        <f aca="false">IF(Arterial=1,IF(Informed=0,1,0),0)</f>
        <v>1</v>
      </c>
      <c r="AF982" s="35" t="n">
        <f aca="false">IF(AB982=1,(X982-G$1030)^2,0)</f>
        <v>0</v>
      </c>
      <c r="AG982" s="35" t="n">
        <f aca="false">IF(AC982=1,(Y982-H$1030)^2,0)</f>
        <v>0</v>
      </c>
      <c r="AH982" s="35" t="n">
        <f aca="false">IF(AD982=1,(Z982-I$1030)^2,0)</f>
        <v>0</v>
      </c>
      <c r="AI982" s="35" t="n">
        <f aca="false">IF(AE982=1,(AA982-J$1030)^2,0)</f>
        <v>134.942886311341</v>
      </c>
      <c r="AJ982" s="37" t="n">
        <f aca="true">IF(RAND()&lt;$D$6,1,0)</f>
        <v>0</v>
      </c>
      <c r="AK982" s="14" t="n">
        <f aca="false">AK981+IF((AJ982=1),IF((H982=0),1,0),0)</f>
        <v>0</v>
      </c>
      <c r="AL982" s="14" t="n">
        <f aca="false">AL981+IF((AJ982=1),IF((H982=1),1,0),0)</f>
        <v>0</v>
      </c>
      <c r="AM982" s="37" t="n">
        <f aca="false">IF(AK982=0,9999,IF($H982=0,IF($AJ982&lt;1,AM981+1,0),AM981))</f>
        <v>9999</v>
      </c>
      <c r="AN982" s="37" t="n">
        <f aca="false">IF(AL982=0,9999,IF($H982=1,IF($AJ982&lt;1,AN981+1,0),AN981))</f>
        <v>9999</v>
      </c>
      <c r="AO982" s="37" t="n">
        <f aca="false">IF($A982-AM982&gt;0,1/(1+AM982),0)</f>
        <v>0</v>
      </c>
      <c r="AP982" s="37" t="n">
        <f aca="false">IF($A982-AN982&gt;0,1/(1+AN982),0)</f>
        <v>0</v>
      </c>
      <c r="AQ982" s="7" t="n">
        <f aca="false">IF(AK982=0,0,MAX(MIN(1,AO982^Power),0))</f>
        <v>0</v>
      </c>
      <c r="AR982" s="7" t="n">
        <f aca="false">IF(AL982=0,0,MAX(MIN(1,AP982^Power),0))</f>
        <v>0</v>
      </c>
      <c r="AS982" s="7" t="n">
        <f aca="false">IF($AJ982=1,IF($H982=0,K982,AS981),AS981)</f>
        <v>0</v>
      </c>
      <c r="AT982" s="7" t="n">
        <f aca="false">IF($AJ982=1,IF($H982=1,N982,AT981),AT981)</f>
        <v>0</v>
      </c>
    </row>
    <row r="983" customFormat="false" ht="13" hidden="false" customHeight="false" outlineLevel="0" collapsed="false">
      <c r="A983" s="16" t="n">
        <v>966</v>
      </c>
      <c r="B983" s="37" t="n">
        <f aca="true">IF(RAND()&lt;$D$8,1,0)</f>
        <v>1</v>
      </c>
      <c r="C983" s="20" t="n">
        <f aca="true">-LN(RAND())/$D$2</f>
        <v>0.723773315281919</v>
      </c>
      <c r="D983" s="38" t="n">
        <f aca="false">D982+C983</f>
        <v>1016.93362376967</v>
      </c>
      <c r="E983" s="39" t="n">
        <f aca="false">MAX($E$3,AS982)</f>
        <v>0</v>
      </c>
      <c r="F983" s="39" t="n">
        <f aca="false">MAX($E$3,AT982)</f>
        <v>0</v>
      </c>
      <c r="G983" s="40" t="n">
        <v>0.5</v>
      </c>
      <c r="H983" s="38" t="n">
        <f aca="true">IF((B983=1),(IF((F983&lt;E983),1,(IF((F983=E983),(IF(RAND()&lt;G983,1,0)),0)))),(IF((RAND()&lt;G983),1,0)))</f>
        <v>1</v>
      </c>
      <c r="I983" s="38" t="n">
        <f aca="true">IF((H983=1),0,$D$3+$D$5*(RAND()-0.5))</f>
        <v>0</v>
      </c>
      <c r="J983" s="38" t="n">
        <f aca="false">I983+MAX(D983,J982)</f>
        <v>1030.95516184923</v>
      </c>
      <c r="K983" s="38" t="n">
        <f aca="false">IF((H983=0),J983-D983,0)</f>
        <v>0</v>
      </c>
      <c r="L983" s="38" t="n">
        <f aca="true">IF(($H983=0),0,$D$4+$D$5*(RAND()-0.5))</f>
        <v>1.94245981209275</v>
      </c>
      <c r="M983" s="38" t="n">
        <f aca="false">L983+MAX(D983,M982)</f>
        <v>1036.10009325991</v>
      </c>
      <c r="N983" s="38" t="n">
        <f aca="false">IF((H983=1),M983-D983,0)</f>
        <v>19.1664694902425</v>
      </c>
      <c r="O983" s="16" t="n">
        <v>966</v>
      </c>
      <c r="P983" s="41" t="n">
        <f aca="false">IF((Arterial=0),P982+1,P982)</f>
        <v>462</v>
      </c>
      <c r="Q983" s="41" t="n">
        <f aca="false">IF((Arterial=1),Q982+1,Q982)</f>
        <v>504</v>
      </c>
      <c r="R983" s="42" t="n">
        <f aca="false">IF((RESET=1),0,R983+K983)</f>
        <v>820.433418137363</v>
      </c>
      <c r="S983" s="14" t="e">
        <f aca="false">IF(RESET=1,0,S983+N983)</f>
        <v>#N/A</v>
      </c>
      <c r="T983" s="2" t="n">
        <f aca="false">IF(RESET=1,0,T983+IF(H983=0,1,0))</f>
        <v>46</v>
      </c>
      <c r="U983" s="2" t="e">
        <f aca="false">IF(RESET=1,0,U983+H983)</f>
        <v>#N/A</v>
      </c>
      <c r="V983" s="14" t="n">
        <f aca="false">R983/(T983+0.00001)</f>
        <v>17.8355052126589</v>
      </c>
      <c r="W983" s="14" t="e">
        <f aca="false">S983/(U983+0.0001)</f>
        <v>#N/A</v>
      </c>
      <c r="X983" s="39" t="n">
        <f aca="false">IF(Informed=1,K983,0)</f>
        <v>0</v>
      </c>
      <c r="Y983" s="39" t="n">
        <f aca="false">IF(Informed=0,K983,0)</f>
        <v>0</v>
      </c>
      <c r="Z983" s="39" t="n">
        <f aca="false">IF(Informed=1,N983,0)</f>
        <v>19.1664694902425</v>
      </c>
      <c r="AA983" s="39" t="n">
        <f aca="false">IF(Informed=0,N983,0)</f>
        <v>0</v>
      </c>
      <c r="AB983" s="43" t="n">
        <f aca="false">IF(Arterial=0,IF(Informed=1,1,0),0)</f>
        <v>0</v>
      </c>
      <c r="AC983" s="43" t="n">
        <f aca="false">IF(Arterial=0,IF(Informed=0,1,0),0)</f>
        <v>0</v>
      </c>
      <c r="AD983" s="43" t="n">
        <f aca="false">IF(Arterial=1,IF(Informed=1,1,0),0)</f>
        <v>1</v>
      </c>
      <c r="AE983" s="43" t="n">
        <f aca="false">IF(Arterial=1,IF(Informed=0,1,0),0)</f>
        <v>0</v>
      </c>
      <c r="AF983" s="35" t="n">
        <f aca="false">IF(AB983=1,(X983-G$1030)^2,0)</f>
        <v>0</v>
      </c>
      <c r="AG983" s="35" t="n">
        <f aca="false">IF(AC983=1,(Y983-H$1030)^2,0)</f>
        <v>0</v>
      </c>
      <c r="AH983" s="35" t="n">
        <f aca="false">IF(AD983=1,(Z983-I$1030)^2,0)</f>
        <v>84.7939915533744</v>
      </c>
      <c r="AI983" s="35" t="n">
        <f aca="false">IF(AE983=1,(AA983-J$1030)^2,0)</f>
        <v>0</v>
      </c>
      <c r="AJ983" s="37" t="n">
        <f aca="true">IF(RAND()&lt;$D$6,1,0)</f>
        <v>0</v>
      </c>
      <c r="AK983" s="14" t="n">
        <f aca="false">AK982+IF((AJ983=1),IF((H983=0),1,0),0)</f>
        <v>0</v>
      </c>
      <c r="AL983" s="14" t="n">
        <f aca="false">AL982+IF((AJ983=1),IF((H983=1),1,0),0)</f>
        <v>0</v>
      </c>
      <c r="AM983" s="37" t="n">
        <f aca="false">IF(AK983=0,9999,IF($H983=0,IF($AJ983&lt;1,AM982+1,0),AM982))</f>
        <v>9999</v>
      </c>
      <c r="AN983" s="37" t="n">
        <f aca="false">IF(AL983=0,9999,IF($H983=1,IF($AJ983&lt;1,AN982+1,0),AN982))</f>
        <v>9999</v>
      </c>
      <c r="AO983" s="37" t="n">
        <f aca="false">IF($A983-AM983&gt;0,1/(1+AM983),0)</f>
        <v>0</v>
      </c>
      <c r="AP983" s="37" t="n">
        <f aca="false">IF($A983-AN983&gt;0,1/(1+AN983),0)</f>
        <v>0</v>
      </c>
      <c r="AQ983" s="7" t="n">
        <f aca="false">IF(AK983=0,0,MAX(MIN(1,AO983^Power),0))</f>
        <v>0</v>
      </c>
      <c r="AR983" s="7" t="n">
        <f aca="false">IF(AL983=0,0,MAX(MIN(1,AP983^Power),0))</f>
        <v>0</v>
      </c>
      <c r="AS983" s="7" t="n">
        <f aca="false">IF($AJ983=1,IF($H983=0,K983,AS982),AS982)</f>
        <v>0</v>
      </c>
      <c r="AT983" s="7" t="n">
        <f aca="false">IF($AJ983=1,IF($H983=1,N983,AT982),AT982)</f>
        <v>0</v>
      </c>
    </row>
    <row r="984" customFormat="false" ht="13" hidden="false" customHeight="false" outlineLevel="0" collapsed="false">
      <c r="A984" s="16" t="n">
        <v>967</v>
      </c>
      <c r="B984" s="37" t="n">
        <f aca="true">IF(RAND()&lt;$D$8,1,0)</f>
        <v>0</v>
      </c>
      <c r="C984" s="20" t="n">
        <f aca="true">-LN(RAND())/$D$2</f>
        <v>1.51110947846123</v>
      </c>
      <c r="D984" s="38" t="n">
        <f aca="false">D983+C984</f>
        <v>1018.44473324813</v>
      </c>
      <c r="E984" s="39" t="n">
        <f aca="false">MAX($E$3,AS983)</f>
        <v>0</v>
      </c>
      <c r="F984" s="39" t="n">
        <f aca="false">MAX($E$3,AT983)</f>
        <v>0</v>
      </c>
      <c r="G984" s="40" t="n">
        <v>0.5</v>
      </c>
      <c r="H984" s="38" t="n">
        <f aca="true">IF((B984=1),(IF((F984&lt;E984),1,(IF((F984=E984),(IF(RAND()&lt;G984,1,0)),0)))),(IF((RAND()&lt;G984),1,0)))</f>
        <v>1</v>
      </c>
      <c r="I984" s="38" t="n">
        <f aca="true">IF((H984=1),0,$D$3+$D$5*(RAND()-0.5))</f>
        <v>0</v>
      </c>
      <c r="J984" s="38" t="n">
        <f aca="false">I984+MAX(D984,J983)</f>
        <v>1030.95516184923</v>
      </c>
      <c r="K984" s="38" t="n">
        <f aca="false">IF((H984=0),J984-D984,0)</f>
        <v>0</v>
      </c>
      <c r="L984" s="38" t="n">
        <f aca="true">IF(($H984=0),0,$D$4+$D$5*(RAND()-0.5))</f>
        <v>2.20770069243209</v>
      </c>
      <c r="M984" s="38" t="n">
        <f aca="false">L984+MAX(D984,M983)</f>
        <v>1038.30779395235</v>
      </c>
      <c r="N984" s="38" t="n">
        <f aca="false">IF((H984=1),M984-D984,0)</f>
        <v>19.8630607042135</v>
      </c>
      <c r="O984" s="16" t="n">
        <v>967</v>
      </c>
      <c r="P984" s="41" t="n">
        <f aca="false">IF((Arterial=0),P983+1,P983)</f>
        <v>462</v>
      </c>
      <c r="Q984" s="41" t="n">
        <f aca="false">IF((Arterial=1),Q983+1,Q983)</f>
        <v>505</v>
      </c>
      <c r="R984" s="42" t="n">
        <f aca="false">IF((RESET=1),0,R984+K984)</f>
        <v>685.31726493507</v>
      </c>
      <c r="S984" s="14" t="e">
        <f aca="false">IF(RESET=1,0,S984+N984)</f>
        <v>#N/A</v>
      </c>
      <c r="T984" s="2" t="n">
        <f aca="false">IF(RESET=1,0,T984+IF(H984=0,1,0))</f>
        <v>41</v>
      </c>
      <c r="U984" s="2" t="e">
        <f aca="false">IF(RESET=1,0,U984+H984)</f>
        <v>#N/A</v>
      </c>
      <c r="V984" s="14" t="n">
        <f aca="false">R984/(T984+0.00001)</f>
        <v>16.715051165477</v>
      </c>
      <c r="W984" s="14" t="e">
        <f aca="false">S984/(U984+0.0001)</f>
        <v>#N/A</v>
      </c>
      <c r="X984" s="39" t="n">
        <f aca="false">IF(Informed=1,K984,0)</f>
        <v>0</v>
      </c>
      <c r="Y984" s="39" t="n">
        <f aca="false">IF(Informed=0,K984,0)</f>
        <v>0</v>
      </c>
      <c r="Z984" s="39" t="n">
        <f aca="false">IF(Informed=1,N984,0)</f>
        <v>0</v>
      </c>
      <c r="AA984" s="39" t="n">
        <f aca="false">IF(Informed=0,N984,0)</f>
        <v>19.8630607042135</v>
      </c>
      <c r="AB984" s="43" t="n">
        <f aca="false">IF(Arterial=0,IF(Informed=1,1,0),0)</f>
        <v>0</v>
      </c>
      <c r="AC984" s="43" t="n">
        <f aca="false">IF(Arterial=0,IF(Informed=0,1,0),0)</f>
        <v>0</v>
      </c>
      <c r="AD984" s="43" t="n">
        <f aca="false">IF(Arterial=1,IF(Informed=1,1,0),0)</f>
        <v>0</v>
      </c>
      <c r="AE984" s="43" t="n">
        <f aca="false">IF(Arterial=1,IF(Informed=0,1,0),0)</f>
        <v>1</v>
      </c>
      <c r="AF984" s="35" t="n">
        <f aca="false">IF(AB984=1,(X984-G$1030)^2,0)</f>
        <v>0</v>
      </c>
      <c r="AG984" s="35" t="n">
        <f aca="false">IF(AC984=1,(Y984-H$1030)^2,0)</f>
        <v>0</v>
      </c>
      <c r="AH984" s="35" t="n">
        <f aca="false">IF(AD984=1,(Z984-I$1030)^2,0)</f>
        <v>0</v>
      </c>
      <c r="AI984" s="35" t="n">
        <f aca="false">IF(AE984=1,(AA984-J$1030)^2,0)</f>
        <v>94.1135586229315</v>
      </c>
      <c r="AJ984" s="37" t="n">
        <f aca="true">IF(RAND()&lt;$D$6,1,0)</f>
        <v>0</v>
      </c>
      <c r="AK984" s="14" t="n">
        <f aca="false">AK983+IF((AJ984=1),IF((H984=0),1,0),0)</f>
        <v>0</v>
      </c>
      <c r="AL984" s="14" t="n">
        <f aca="false">AL983+IF((AJ984=1),IF((H984=1),1,0),0)</f>
        <v>0</v>
      </c>
      <c r="AM984" s="37" t="n">
        <f aca="false">IF(AK984=0,9999,IF($H984=0,IF($AJ984&lt;1,AM983+1,0),AM983))</f>
        <v>9999</v>
      </c>
      <c r="AN984" s="37" t="n">
        <f aca="false">IF(AL984=0,9999,IF($H984=1,IF($AJ984&lt;1,AN983+1,0),AN983))</f>
        <v>9999</v>
      </c>
      <c r="AO984" s="37" t="n">
        <f aca="false">IF($A984-AM984&gt;0,1/(1+AM984),0)</f>
        <v>0</v>
      </c>
      <c r="AP984" s="37" t="n">
        <f aca="false">IF($A984-AN984&gt;0,1/(1+AN984),0)</f>
        <v>0</v>
      </c>
      <c r="AQ984" s="7" t="n">
        <f aca="false">IF(AK984=0,0,MAX(MIN(1,AO984^Power),0))</f>
        <v>0</v>
      </c>
      <c r="AR984" s="7" t="n">
        <f aca="false">IF(AL984=0,0,MAX(MIN(1,AP984^Power),0))</f>
        <v>0</v>
      </c>
      <c r="AS984" s="7" t="n">
        <f aca="false">IF($AJ984=1,IF($H984=0,K984,AS983),AS983)</f>
        <v>0</v>
      </c>
      <c r="AT984" s="7" t="n">
        <f aca="false">IF($AJ984=1,IF($H984=1,N984,AT983),AT983)</f>
        <v>0</v>
      </c>
    </row>
    <row r="985" customFormat="false" ht="13" hidden="false" customHeight="false" outlineLevel="0" collapsed="false">
      <c r="A985" s="16" t="n">
        <v>968</v>
      </c>
      <c r="B985" s="37" t="n">
        <f aca="true">IF(RAND()&lt;$D$8,1,0)</f>
        <v>0</v>
      </c>
      <c r="C985" s="20" t="n">
        <f aca="true">-LN(RAND())/$D$2</f>
        <v>0.892323627974422</v>
      </c>
      <c r="D985" s="38" t="n">
        <f aca="false">D984+C985</f>
        <v>1019.33705687611</v>
      </c>
      <c r="E985" s="39" t="n">
        <f aca="false">MAX($E$3,AS984)</f>
        <v>0</v>
      </c>
      <c r="F985" s="39" t="n">
        <f aca="false">MAX($E$3,AT984)</f>
        <v>0</v>
      </c>
      <c r="G985" s="40" t="n">
        <v>0.5</v>
      </c>
      <c r="H985" s="38" t="n">
        <f aca="true">IF((B985=1),(IF((F985&lt;E985),1,(IF((F985=E985),(IF(RAND()&lt;G985,1,0)),0)))),(IF((RAND()&lt;G985),1,0)))</f>
        <v>1</v>
      </c>
      <c r="I985" s="38" t="n">
        <f aca="true">IF((H985=1),0,$D$3+$D$5*(RAND()-0.5))</f>
        <v>0</v>
      </c>
      <c r="J985" s="38" t="n">
        <f aca="false">I985+MAX(D985,J984)</f>
        <v>1030.95516184923</v>
      </c>
      <c r="K985" s="38" t="n">
        <f aca="false">IF((H985=0),J985-D985,0)</f>
        <v>0</v>
      </c>
      <c r="L985" s="38" t="n">
        <f aca="true">IF(($H985=0),0,$D$4+$D$5*(RAND()-0.5))</f>
        <v>1.98616693970798</v>
      </c>
      <c r="M985" s="38" t="n">
        <f aca="false">L985+MAX(D985,M984)</f>
        <v>1040.29396089205</v>
      </c>
      <c r="N985" s="38" t="n">
        <f aca="false">IF((H985=1),M985-D985,0)</f>
        <v>20.9569040159471</v>
      </c>
      <c r="O985" s="16" t="n">
        <v>968</v>
      </c>
      <c r="P985" s="41" t="n">
        <f aca="false">IF((Arterial=0),P984+1,P984)</f>
        <v>462</v>
      </c>
      <c r="Q985" s="41" t="n">
        <f aca="false">IF((Arterial=1),Q984+1,Q984)</f>
        <v>506</v>
      </c>
      <c r="R985" s="42" t="n">
        <f aca="false">IF((RESET=1),0,R985+K985)</f>
        <v>762.12927843968</v>
      </c>
      <c r="S985" s="14" t="e">
        <f aca="false">IF(RESET=1,0,S985+N985)</f>
        <v>#N/A</v>
      </c>
      <c r="T985" s="2" t="n">
        <f aca="false">IF(RESET=1,0,T985+IF(H985=0,1,0))</f>
        <v>39</v>
      </c>
      <c r="U985" s="2" t="e">
        <f aca="false">IF(RESET=1,0,U985+H985)</f>
        <v>#N/A</v>
      </c>
      <c r="V985" s="14" t="n">
        <f aca="false">R985/(T985+0.00001)</f>
        <v>19.5417713595376</v>
      </c>
      <c r="W985" s="14" t="e">
        <f aca="false">S985/(U985+0.0001)</f>
        <v>#N/A</v>
      </c>
      <c r="X985" s="39" t="n">
        <f aca="false">IF(Informed=1,K985,0)</f>
        <v>0</v>
      </c>
      <c r="Y985" s="39" t="n">
        <f aca="false">IF(Informed=0,K985,0)</f>
        <v>0</v>
      </c>
      <c r="Z985" s="39" t="n">
        <f aca="false">IF(Informed=1,N985,0)</f>
        <v>0</v>
      </c>
      <c r="AA985" s="39" t="n">
        <f aca="false">IF(Informed=0,N985,0)</f>
        <v>20.9569040159471</v>
      </c>
      <c r="AB985" s="43" t="n">
        <f aca="false">IF(Arterial=0,IF(Informed=1,1,0),0)</f>
        <v>0</v>
      </c>
      <c r="AC985" s="43" t="n">
        <f aca="false">IF(Arterial=0,IF(Informed=0,1,0),0)</f>
        <v>0</v>
      </c>
      <c r="AD985" s="43" t="n">
        <f aca="false">IF(Arterial=1,IF(Informed=1,1,0),0)</f>
        <v>0</v>
      </c>
      <c r="AE985" s="43" t="n">
        <f aca="false">IF(Arterial=1,IF(Informed=0,1,0),0)</f>
        <v>1</v>
      </c>
      <c r="AF985" s="35" t="n">
        <f aca="false">IF(AB985=1,(X985-G$1030)^2,0)</f>
        <v>0</v>
      </c>
      <c r="AG985" s="35" t="n">
        <f aca="false">IF(AC985=1,(Y985-H$1030)^2,0)</f>
        <v>0</v>
      </c>
      <c r="AH985" s="35" t="n">
        <f aca="false">IF(AD985=1,(Z985-I$1030)^2,0)</f>
        <v>0</v>
      </c>
      <c r="AI985" s="35" t="n">
        <f aca="false">IF(AE985=1,(AA985-J$1030)^2,0)</f>
        <v>74.0868350886797</v>
      </c>
      <c r="AJ985" s="37" t="n">
        <f aca="true">IF(RAND()&lt;$D$6,1,0)</f>
        <v>0</v>
      </c>
      <c r="AK985" s="14" t="n">
        <f aca="false">AK984+IF((AJ985=1),IF((H985=0),1,0),0)</f>
        <v>0</v>
      </c>
      <c r="AL985" s="14" t="n">
        <f aca="false">AL984+IF((AJ985=1),IF((H985=1),1,0),0)</f>
        <v>0</v>
      </c>
      <c r="AM985" s="37" t="n">
        <f aca="false">IF(AK985=0,9999,IF($H985=0,IF($AJ985&lt;1,AM984+1,0),AM984))</f>
        <v>9999</v>
      </c>
      <c r="AN985" s="37" t="n">
        <f aca="false">IF(AL985=0,9999,IF($H985=1,IF($AJ985&lt;1,AN984+1,0),AN984))</f>
        <v>9999</v>
      </c>
      <c r="AO985" s="37" t="n">
        <f aca="false">IF($A985-AM985&gt;0,1/(1+AM985),0)</f>
        <v>0</v>
      </c>
      <c r="AP985" s="37" t="n">
        <f aca="false">IF($A985-AN985&gt;0,1/(1+AN985),0)</f>
        <v>0</v>
      </c>
      <c r="AQ985" s="7" t="n">
        <f aca="false">IF(AK985=0,0,MAX(MIN(1,AO985^Power),0))</f>
        <v>0</v>
      </c>
      <c r="AR985" s="7" t="n">
        <f aca="false">IF(AL985=0,0,MAX(MIN(1,AP985^Power),0))</f>
        <v>0</v>
      </c>
      <c r="AS985" s="7" t="n">
        <f aca="false">IF($AJ985=1,IF($H985=0,K985,AS984),AS984)</f>
        <v>0</v>
      </c>
      <c r="AT985" s="7" t="n">
        <f aca="false">IF($AJ985=1,IF($H985=1,N985,AT984),AT984)</f>
        <v>0</v>
      </c>
    </row>
    <row r="986" customFormat="false" ht="13" hidden="false" customHeight="false" outlineLevel="0" collapsed="false">
      <c r="A986" s="16" t="n">
        <v>969</v>
      </c>
      <c r="B986" s="37" t="n">
        <f aca="true">IF(RAND()&lt;$D$8,1,0)</f>
        <v>1</v>
      </c>
      <c r="C986" s="20" t="n">
        <f aca="true">-LN(RAND())/$D$2</f>
        <v>0.986152614815719</v>
      </c>
      <c r="D986" s="38" t="n">
        <f aca="false">D985+C986</f>
        <v>1020.32320949092</v>
      </c>
      <c r="E986" s="39" t="n">
        <f aca="false">MAX($E$3,AS985)</f>
        <v>0</v>
      </c>
      <c r="F986" s="39" t="n">
        <f aca="false">MAX($E$3,AT985)</f>
        <v>0</v>
      </c>
      <c r="G986" s="40" t="n">
        <v>0.5</v>
      </c>
      <c r="H986" s="38" t="n">
        <f aca="true">IF((B986=1),(IF((F986&lt;E986),1,(IF((F986=E986),(IF(RAND()&lt;G986,1,0)),0)))),(IF((RAND()&lt;G986),1,0)))</f>
        <v>1</v>
      </c>
      <c r="I986" s="38" t="n">
        <f aca="true">IF((H986=1),0,$D$3+$D$5*(RAND()-0.5))</f>
        <v>0</v>
      </c>
      <c r="J986" s="38" t="n">
        <f aca="false">I986+MAX(D986,J985)</f>
        <v>1030.95516184923</v>
      </c>
      <c r="K986" s="38" t="n">
        <f aca="false">IF((H986=0),J986-D986,0)</f>
        <v>0</v>
      </c>
      <c r="L986" s="38" t="n">
        <f aca="true">IF(($H986=0),0,$D$4+$D$5*(RAND()-0.5))</f>
        <v>1.79760298731654</v>
      </c>
      <c r="M986" s="38" t="n">
        <f aca="false">L986+MAX(D986,M985)</f>
        <v>1042.09156387937</v>
      </c>
      <c r="N986" s="38" t="n">
        <f aca="false">IF((H986=1),M986-D986,0)</f>
        <v>21.768354388448</v>
      </c>
      <c r="O986" s="16" t="n">
        <v>969</v>
      </c>
      <c r="P986" s="41" t="n">
        <f aca="false">IF((Arterial=0),P985+1,P985)</f>
        <v>462</v>
      </c>
      <c r="Q986" s="41" t="n">
        <f aca="false">IF((Arterial=1),Q985+1,Q985)</f>
        <v>507</v>
      </c>
      <c r="R986" s="42" t="n">
        <f aca="false">IF((RESET=1),0,R986+K986)</f>
        <v>856.147439538732</v>
      </c>
      <c r="S986" s="14" t="e">
        <f aca="false">IF(RESET=1,0,S986+N986)</f>
        <v>#N/A</v>
      </c>
      <c r="T986" s="2" t="n">
        <f aca="false">IF(RESET=1,0,T986+IF(H986=0,1,0))</f>
        <v>43</v>
      </c>
      <c r="U986" s="2" t="e">
        <f aca="false">IF(RESET=1,0,U986+H986)</f>
        <v>#N/A</v>
      </c>
      <c r="V986" s="14" t="n">
        <f aca="false">R986/(T986+0.00001)</f>
        <v>19.9104009403424</v>
      </c>
      <c r="W986" s="14" t="e">
        <f aca="false">S986/(U986+0.0001)</f>
        <v>#N/A</v>
      </c>
      <c r="X986" s="39" t="n">
        <f aca="false">IF(Informed=1,K986,0)</f>
        <v>0</v>
      </c>
      <c r="Y986" s="39" t="n">
        <f aca="false">IF(Informed=0,K986,0)</f>
        <v>0</v>
      </c>
      <c r="Z986" s="39" t="n">
        <f aca="false">IF(Informed=1,N986,0)</f>
        <v>21.768354388448</v>
      </c>
      <c r="AA986" s="39" t="n">
        <f aca="false">IF(Informed=0,N986,0)</f>
        <v>0</v>
      </c>
      <c r="AB986" s="43" t="n">
        <f aca="false">IF(Arterial=0,IF(Informed=1,1,0),0)</f>
        <v>0</v>
      </c>
      <c r="AC986" s="43" t="n">
        <f aca="false">IF(Arterial=0,IF(Informed=0,1,0),0)</f>
        <v>0</v>
      </c>
      <c r="AD986" s="43" t="n">
        <f aca="false">IF(Arterial=1,IF(Informed=1,1,0),0)</f>
        <v>1</v>
      </c>
      <c r="AE986" s="43" t="n">
        <f aca="false">IF(Arterial=1,IF(Informed=0,1,0),0)</f>
        <v>0</v>
      </c>
      <c r="AF986" s="35" t="n">
        <f aca="false">IF(AB986=1,(X986-G$1030)^2,0)</f>
        <v>0</v>
      </c>
      <c r="AG986" s="35" t="n">
        <f aca="false">IF(AC986=1,(Y986-H$1030)^2,0)</f>
        <v>0</v>
      </c>
      <c r="AH986" s="35" t="n">
        <f aca="false">IF(AD986=1,(Z986-I$1030)^2,0)</f>
        <v>43.6455833388488</v>
      </c>
      <c r="AI986" s="35" t="n">
        <f aca="false">IF(AE986=1,(AA986-J$1030)^2,0)</f>
        <v>0</v>
      </c>
      <c r="AJ986" s="37" t="n">
        <f aca="true">IF(RAND()&lt;$D$6,1,0)</f>
        <v>0</v>
      </c>
      <c r="AK986" s="14" t="n">
        <f aca="false">AK985+IF((AJ986=1),IF((H986=0),1,0),0)</f>
        <v>0</v>
      </c>
      <c r="AL986" s="14" t="n">
        <f aca="false">AL985+IF((AJ986=1),IF((H986=1),1,0),0)</f>
        <v>0</v>
      </c>
      <c r="AM986" s="37" t="n">
        <f aca="false">IF(AK986=0,9999,IF($H986=0,IF($AJ986&lt;1,AM985+1,0),AM985))</f>
        <v>9999</v>
      </c>
      <c r="AN986" s="37" t="n">
        <f aca="false">IF(AL986=0,9999,IF($H986=1,IF($AJ986&lt;1,AN985+1,0),AN985))</f>
        <v>9999</v>
      </c>
      <c r="AO986" s="37" t="n">
        <f aca="false">IF($A986-AM986&gt;0,1/(1+AM986),0)</f>
        <v>0</v>
      </c>
      <c r="AP986" s="37" t="n">
        <f aca="false">IF($A986-AN986&gt;0,1/(1+AN986),0)</f>
        <v>0</v>
      </c>
      <c r="AQ986" s="7" t="n">
        <f aca="false">IF(AK986=0,0,MAX(MIN(1,AO986^Power),0))</f>
        <v>0</v>
      </c>
      <c r="AR986" s="7" t="n">
        <f aca="false">IF(AL986=0,0,MAX(MIN(1,AP986^Power),0))</f>
        <v>0</v>
      </c>
      <c r="AS986" s="7" t="n">
        <f aca="false">IF($AJ986=1,IF($H986=0,K986,AS985),AS985)</f>
        <v>0</v>
      </c>
      <c r="AT986" s="7" t="n">
        <f aca="false">IF($AJ986=1,IF($H986=1,N986,AT985),AT985)</f>
        <v>0</v>
      </c>
    </row>
    <row r="987" customFormat="false" ht="13" hidden="false" customHeight="false" outlineLevel="0" collapsed="false">
      <c r="A987" s="16" t="n">
        <v>970</v>
      </c>
      <c r="B987" s="37" t="n">
        <f aca="true">IF(RAND()&lt;$D$8,1,0)</f>
        <v>1</v>
      </c>
      <c r="C987" s="20" t="n">
        <f aca="true">-LN(RAND())/$D$2</f>
        <v>1.13736900515815</v>
      </c>
      <c r="D987" s="38" t="n">
        <f aca="false">D986+C987</f>
        <v>1021.46057849608</v>
      </c>
      <c r="E987" s="39" t="n">
        <f aca="false">MAX($E$3,AS986)</f>
        <v>0</v>
      </c>
      <c r="F987" s="39" t="n">
        <f aca="false">MAX($E$3,AT986)</f>
        <v>0</v>
      </c>
      <c r="G987" s="40" t="n">
        <v>0.5</v>
      </c>
      <c r="H987" s="38" t="n">
        <f aca="true">IF((B987=1),(IF((F987&lt;E987),1,(IF((F987=E987),(IF(RAND()&lt;G987,1,0)),0)))),(IF((RAND()&lt;G987),1,0)))</f>
        <v>0</v>
      </c>
      <c r="I987" s="38" t="n">
        <f aca="true">IF((H987=1),0,$D$3+$D$5*(RAND()-0.5))</f>
        <v>2.11083069458914</v>
      </c>
      <c r="J987" s="38" t="n">
        <f aca="false">I987+MAX(D987,J986)</f>
        <v>1033.06599254382</v>
      </c>
      <c r="K987" s="38" t="n">
        <f aca="false">IF((H987=0),J987-D987,0)</f>
        <v>11.6054140477419</v>
      </c>
      <c r="L987" s="38" t="n">
        <f aca="true">IF(($H987=0),0,$D$4+$D$5*(RAND()-0.5))</f>
        <v>0</v>
      </c>
      <c r="M987" s="38" t="n">
        <f aca="false">L987+MAX(D987,M986)</f>
        <v>1042.09156387937</v>
      </c>
      <c r="N987" s="38" t="n">
        <f aca="false">IF((H987=1),M987-D987,0)</f>
        <v>0</v>
      </c>
      <c r="O987" s="16" t="n">
        <v>970</v>
      </c>
      <c r="P987" s="41" t="n">
        <f aca="false">IF((Arterial=0),P986+1,P986)</f>
        <v>463</v>
      </c>
      <c r="Q987" s="41" t="n">
        <f aca="false">IF((Arterial=1),Q986+1,Q986)</f>
        <v>507</v>
      </c>
      <c r="R987" s="42" t="e">
        <f aca="false">IF((RESET=1),0,R987+K987)</f>
        <v>#N/A</v>
      </c>
      <c r="S987" s="14" t="n">
        <f aca="false">IF(RESET=1,0,S987+N987)</f>
        <v>672.716358690058</v>
      </c>
      <c r="T987" s="2" t="e">
        <f aca="false">IF(RESET=1,0,T987+IF(H987=0,1,0))</f>
        <v>#N/A</v>
      </c>
      <c r="U987" s="2" t="n">
        <f aca="false">IF(RESET=1,0,U987+H987)</f>
        <v>46</v>
      </c>
      <c r="V987" s="14" t="e">
        <f aca="false">R987/(T987+0.00001)</f>
        <v>#N/A</v>
      </c>
      <c r="W987" s="14" t="n">
        <f aca="false">S987/(U987+0.0001)</f>
        <v>14.6242368753559</v>
      </c>
      <c r="X987" s="39" t="n">
        <f aca="false">IF(Informed=1,K987,0)</f>
        <v>11.6054140477419</v>
      </c>
      <c r="Y987" s="39" t="n">
        <f aca="false">IF(Informed=0,K987,0)</f>
        <v>0</v>
      </c>
      <c r="Z987" s="39" t="n">
        <f aca="false">IF(Informed=1,N987,0)</f>
        <v>0</v>
      </c>
      <c r="AA987" s="39" t="n">
        <f aca="false">IF(Informed=0,N987,0)</f>
        <v>0</v>
      </c>
      <c r="AB987" s="43" t="n">
        <f aca="false">IF(Arterial=0,IF(Informed=1,1,0),0)</f>
        <v>1</v>
      </c>
      <c r="AC987" s="43" t="n">
        <f aca="false">IF(Arterial=0,IF(Informed=0,1,0),0)</f>
        <v>0</v>
      </c>
      <c r="AD987" s="43" t="n">
        <f aca="false">IF(Arterial=1,IF(Informed=1,1,0),0)</f>
        <v>0</v>
      </c>
      <c r="AE987" s="43" t="n">
        <f aca="false">IF(Arterial=1,IF(Informed=0,1,0),0)</f>
        <v>0</v>
      </c>
      <c r="AF987" s="35" t="n">
        <f aca="false">IF(AB987=1,(X987-G$1030)^2,0)</f>
        <v>0.802342634085333</v>
      </c>
      <c r="AG987" s="35" t="n">
        <f aca="false">IF(AC987=1,(Y987-H$1030)^2,0)</f>
        <v>0</v>
      </c>
      <c r="AH987" s="35" t="n">
        <f aca="false">IF(AD987=1,(Z987-I$1030)^2,0)</f>
        <v>0</v>
      </c>
      <c r="AI987" s="35" t="n">
        <f aca="false">IF(AE987=1,(AA987-J$1030)^2,0)</f>
        <v>0</v>
      </c>
      <c r="AJ987" s="37" t="n">
        <f aca="true">IF(RAND()&lt;$D$6,1,0)</f>
        <v>0</v>
      </c>
      <c r="AK987" s="14" t="n">
        <f aca="false">AK986+IF((AJ987=1),IF((H987=0),1,0),0)</f>
        <v>0</v>
      </c>
      <c r="AL987" s="14" t="n">
        <f aca="false">AL986+IF((AJ987=1),IF((H987=1),1,0),0)</f>
        <v>0</v>
      </c>
      <c r="AM987" s="37" t="n">
        <f aca="false">IF(AK987=0,9999,IF($H987=0,IF($AJ987&lt;1,AM986+1,0),AM986))</f>
        <v>9999</v>
      </c>
      <c r="AN987" s="37" t="n">
        <f aca="false">IF(AL987=0,9999,IF($H987=1,IF($AJ987&lt;1,AN986+1,0),AN986))</f>
        <v>9999</v>
      </c>
      <c r="AO987" s="37" t="n">
        <f aca="false">IF($A987-AM987&gt;0,1/(1+AM987),0)</f>
        <v>0</v>
      </c>
      <c r="AP987" s="37" t="n">
        <f aca="false">IF($A987-AN987&gt;0,1/(1+AN987),0)</f>
        <v>0</v>
      </c>
      <c r="AQ987" s="7" t="n">
        <f aca="false">IF(AK987=0,0,MAX(MIN(1,AO987^Power),0))</f>
        <v>0</v>
      </c>
      <c r="AR987" s="7" t="n">
        <f aca="false">IF(AL987=0,0,MAX(MIN(1,AP987^Power),0))</f>
        <v>0</v>
      </c>
      <c r="AS987" s="7" t="n">
        <f aca="false">IF($AJ987=1,IF($H987=0,K987,AS986),AS986)</f>
        <v>0</v>
      </c>
      <c r="AT987" s="7" t="n">
        <f aca="false">IF($AJ987=1,IF($H987=1,N987,AT986),AT986)</f>
        <v>0</v>
      </c>
    </row>
    <row r="988" customFormat="false" ht="13" hidden="false" customHeight="false" outlineLevel="0" collapsed="false">
      <c r="A988" s="16" t="n">
        <v>971</v>
      </c>
      <c r="B988" s="37" t="n">
        <f aca="true">IF(RAND()&lt;$D$8,1,0)</f>
        <v>0</v>
      </c>
      <c r="C988" s="20" t="n">
        <f aca="true">-LN(RAND())/$D$2</f>
        <v>2.64503062391945</v>
      </c>
      <c r="D988" s="38" t="n">
        <f aca="false">D987+C988</f>
        <v>1024.10560912</v>
      </c>
      <c r="E988" s="39" t="n">
        <f aca="false">MAX($E$3,AS987)</f>
        <v>0</v>
      </c>
      <c r="F988" s="39" t="n">
        <f aca="false">MAX($E$3,AT987)</f>
        <v>0</v>
      </c>
      <c r="G988" s="40" t="n">
        <v>0.5</v>
      </c>
      <c r="H988" s="38" t="n">
        <f aca="true">IF((B988=1),(IF((F988&lt;E988),1,(IF((F988=E988),(IF(RAND()&lt;G988,1,0)),0)))),(IF((RAND()&lt;G988),1,0)))</f>
        <v>0</v>
      </c>
      <c r="I988" s="38" t="n">
        <f aca="true">IF((H988=1),0,$D$3+$D$5*(RAND()-0.5))</f>
        <v>2.01246638026917</v>
      </c>
      <c r="J988" s="38" t="n">
        <f aca="false">I988+MAX(D988,J987)</f>
        <v>1035.07845892409</v>
      </c>
      <c r="K988" s="38" t="n">
        <f aca="false">IF((H988=0),J988-D988,0)</f>
        <v>10.9728498040915</v>
      </c>
      <c r="L988" s="38" t="n">
        <f aca="true">IF(($H988=0),0,$D$4+$D$5*(RAND()-0.5))</f>
        <v>0</v>
      </c>
      <c r="M988" s="38" t="n">
        <f aca="false">L988+MAX(D988,M987)</f>
        <v>1042.09156387937</v>
      </c>
      <c r="N988" s="38" t="n">
        <f aca="false">IF((H988=1),M988-D988,0)</f>
        <v>0</v>
      </c>
      <c r="O988" s="16" t="n">
        <v>971</v>
      </c>
      <c r="P988" s="41" t="n">
        <f aca="false">IF((Arterial=0),P987+1,P987)</f>
        <v>464</v>
      </c>
      <c r="Q988" s="41" t="n">
        <f aca="false">IF((Arterial=1),Q987+1,Q987)</f>
        <v>507</v>
      </c>
      <c r="R988" s="42" t="e">
        <f aca="false">IF((RESET=1),0,R988+K988)</f>
        <v>#N/A</v>
      </c>
      <c r="S988" s="14" t="n">
        <f aca="false">IF(RESET=1,0,S988+N988)</f>
        <v>827.682846059606</v>
      </c>
      <c r="T988" s="2" t="e">
        <f aca="false">IF(RESET=1,0,T988+IF(H988=0,1,0))</f>
        <v>#N/A</v>
      </c>
      <c r="U988" s="2" t="n">
        <f aca="false">IF(RESET=1,0,U988+H988)</f>
        <v>38</v>
      </c>
      <c r="V988" s="14" t="e">
        <f aca="false">R988/(T988+0.00001)</f>
        <v>#N/A</v>
      </c>
      <c r="W988" s="14" t="n">
        <f aca="false">S988/(U988+0.0001)</f>
        <v>21.7810702092785</v>
      </c>
      <c r="X988" s="39" t="n">
        <f aca="false">IF(Informed=1,K988,0)</f>
        <v>0</v>
      </c>
      <c r="Y988" s="39" t="n">
        <f aca="false">IF(Informed=0,K988,0)</f>
        <v>10.9728498040915</v>
      </c>
      <c r="Z988" s="39" t="n">
        <f aca="false">IF(Informed=1,N988,0)</f>
        <v>0</v>
      </c>
      <c r="AA988" s="39" t="n">
        <f aca="false">IF(Informed=0,N988,0)</f>
        <v>0</v>
      </c>
      <c r="AB988" s="43" t="n">
        <f aca="false">IF(Arterial=0,IF(Informed=1,1,0),0)</f>
        <v>0</v>
      </c>
      <c r="AC988" s="43" t="n">
        <f aca="false">IF(Arterial=0,IF(Informed=0,1,0),0)</f>
        <v>1</v>
      </c>
      <c r="AD988" s="43" t="n">
        <f aca="false">IF(Arterial=1,IF(Informed=1,1,0),0)</f>
        <v>0</v>
      </c>
      <c r="AE988" s="43" t="n">
        <f aca="false">IF(Arterial=1,IF(Informed=0,1,0),0)</f>
        <v>0</v>
      </c>
      <c r="AF988" s="35" t="n">
        <f aca="false">IF(AB988=1,(X988-G$1030)^2,0)</f>
        <v>0</v>
      </c>
      <c r="AG988" s="35" t="n">
        <f aca="false">IF(AC988=1,(Y988-H$1030)^2,0)</f>
        <v>0.00240733039756022</v>
      </c>
      <c r="AH988" s="35" t="n">
        <f aca="false">IF(AD988=1,(Z988-I$1030)^2,0)</f>
        <v>0</v>
      </c>
      <c r="AI988" s="35" t="n">
        <f aca="false">IF(AE988=1,(AA988-J$1030)^2,0)</f>
        <v>0</v>
      </c>
      <c r="AJ988" s="37" t="n">
        <f aca="true">IF(RAND()&lt;$D$6,1,0)</f>
        <v>0</v>
      </c>
      <c r="AK988" s="14" t="n">
        <f aca="false">AK987+IF((AJ988=1),IF((H988=0),1,0),0)</f>
        <v>0</v>
      </c>
      <c r="AL988" s="14" t="n">
        <f aca="false">AL987+IF((AJ988=1),IF((H988=1),1,0),0)</f>
        <v>0</v>
      </c>
      <c r="AM988" s="37" t="n">
        <f aca="false">IF(AK988=0,9999,IF($H988=0,IF($AJ988&lt;1,AM987+1,0),AM987))</f>
        <v>9999</v>
      </c>
      <c r="AN988" s="37" t="n">
        <f aca="false">IF(AL988=0,9999,IF($H988=1,IF($AJ988&lt;1,AN987+1,0),AN987))</f>
        <v>9999</v>
      </c>
      <c r="AO988" s="37" t="n">
        <f aca="false">IF($A988-AM988&gt;0,1/(1+AM988),0)</f>
        <v>0</v>
      </c>
      <c r="AP988" s="37" t="n">
        <f aca="false">IF($A988-AN988&gt;0,1/(1+AN988),0)</f>
        <v>0</v>
      </c>
      <c r="AQ988" s="7" t="n">
        <f aca="false">IF(AK988=0,0,MAX(MIN(1,AO988^Power),0))</f>
        <v>0</v>
      </c>
      <c r="AR988" s="7" t="n">
        <f aca="false">IF(AL988=0,0,MAX(MIN(1,AP988^Power),0))</f>
        <v>0</v>
      </c>
      <c r="AS988" s="7" t="n">
        <f aca="false">IF($AJ988=1,IF($H988=0,K988,AS987),AS987)</f>
        <v>0</v>
      </c>
      <c r="AT988" s="7" t="n">
        <f aca="false">IF($AJ988=1,IF($H988=1,N988,AT987),AT987)</f>
        <v>0</v>
      </c>
    </row>
    <row r="989" customFormat="false" ht="13" hidden="false" customHeight="false" outlineLevel="0" collapsed="false">
      <c r="A989" s="16" t="n">
        <v>972</v>
      </c>
      <c r="B989" s="37" t="n">
        <f aca="true">IF(RAND()&lt;$D$8,1,0)</f>
        <v>0</v>
      </c>
      <c r="C989" s="20" t="n">
        <f aca="true">-LN(RAND())/$D$2</f>
        <v>3.41205711914299</v>
      </c>
      <c r="D989" s="38" t="n">
        <f aca="false">D988+C989</f>
        <v>1027.51766623914</v>
      </c>
      <c r="E989" s="39" t="n">
        <f aca="false">MAX($E$3,AS988)</f>
        <v>0</v>
      </c>
      <c r="F989" s="39" t="n">
        <f aca="false">MAX($E$3,AT988)</f>
        <v>0</v>
      </c>
      <c r="G989" s="40" t="n">
        <v>0.5</v>
      </c>
      <c r="H989" s="38" t="n">
        <f aca="true">IF((B989=1),(IF((F989&lt;E989),1,(IF((F989=E989),(IF(RAND()&lt;G989,1,0)),0)))),(IF((RAND()&lt;G989),1,0)))</f>
        <v>0</v>
      </c>
      <c r="I989" s="38" t="n">
        <f aca="true">IF((H989=1),0,$D$3+$D$5*(RAND()-0.5))</f>
        <v>2.09698703153024</v>
      </c>
      <c r="J989" s="38" t="n">
        <f aca="false">I989+MAX(D989,J988)</f>
        <v>1037.17544595562</v>
      </c>
      <c r="K989" s="38" t="n">
        <f aca="false">IF((H989=0),J989-D989,0)</f>
        <v>9.6577797164789</v>
      </c>
      <c r="L989" s="38" t="n">
        <f aca="true">IF(($H989=0),0,$D$4+$D$5*(RAND()-0.5))</f>
        <v>0</v>
      </c>
      <c r="M989" s="38" t="n">
        <f aca="false">L989+MAX(D989,M988)</f>
        <v>1042.09156387937</v>
      </c>
      <c r="N989" s="38" t="n">
        <f aca="false">IF((H989=1),M989-D989,0)</f>
        <v>0</v>
      </c>
      <c r="O989" s="16" t="n">
        <v>972</v>
      </c>
      <c r="P989" s="41" t="n">
        <f aca="false">IF((Arterial=0),P988+1,P988)</f>
        <v>465</v>
      </c>
      <c r="Q989" s="41" t="n">
        <f aca="false">IF((Arterial=1),Q988+1,Q988)</f>
        <v>507</v>
      </c>
      <c r="R989" s="42" t="e">
        <f aca="false">IF((RESET=1),0,R989+K989)</f>
        <v>#N/A</v>
      </c>
      <c r="S989" s="14" t="n">
        <f aca="false">IF(RESET=1,0,S989+N989)</f>
        <v>771.90680560558</v>
      </c>
      <c r="T989" s="2" t="e">
        <f aca="false">IF(RESET=1,0,T989+IF(H989=0,1,0))</f>
        <v>#N/A</v>
      </c>
      <c r="U989" s="2" t="n">
        <f aca="false">IF(RESET=1,0,U989+H989)</f>
        <v>38</v>
      </c>
      <c r="V989" s="14" t="e">
        <f aca="false">R989/(T989+0.00001)</f>
        <v>#N/A</v>
      </c>
      <c r="W989" s="14" t="n">
        <f aca="false">S989/(U989+0.0001)</f>
        <v>20.3132835336112</v>
      </c>
      <c r="X989" s="39" t="n">
        <f aca="false">IF(Informed=1,K989,0)</f>
        <v>0</v>
      </c>
      <c r="Y989" s="39" t="n">
        <f aca="false">IF(Informed=0,K989,0)</f>
        <v>9.6577797164789</v>
      </c>
      <c r="Z989" s="39" t="n">
        <f aca="false">IF(Informed=1,N989,0)</f>
        <v>0</v>
      </c>
      <c r="AA989" s="39" t="n">
        <f aca="false">IF(Informed=0,N989,0)</f>
        <v>0</v>
      </c>
      <c r="AB989" s="43" t="n">
        <f aca="false">IF(Arterial=0,IF(Informed=1,1,0),0)</f>
        <v>0</v>
      </c>
      <c r="AC989" s="43" t="n">
        <f aca="false">IF(Arterial=0,IF(Informed=0,1,0),0)</f>
        <v>1</v>
      </c>
      <c r="AD989" s="43" t="n">
        <f aca="false">IF(Arterial=1,IF(Informed=1,1,0),0)</f>
        <v>0</v>
      </c>
      <c r="AE989" s="43" t="n">
        <f aca="false">IF(Arterial=1,IF(Informed=0,1,0),0)</f>
        <v>0</v>
      </c>
      <c r="AF989" s="35" t="n">
        <f aca="false">IF(AB989=1,(X989-G$1030)^2,0)</f>
        <v>0</v>
      </c>
      <c r="AG989" s="35" t="n">
        <f aca="false">IF(AC989=1,(Y989-H$1030)^2,0)</f>
        <v>1.60277001272879</v>
      </c>
      <c r="AH989" s="35" t="n">
        <f aca="false">IF(AD989=1,(Z989-I$1030)^2,0)</f>
        <v>0</v>
      </c>
      <c r="AI989" s="35" t="n">
        <f aca="false">IF(AE989=1,(AA989-J$1030)^2,0)</f>
        <v>0</v>
      </c>
      <c r="AJ989" s="37" t="n">
        <f aca="true">IF(RAND()&lt;$D$6,1,0)</f>
        <v>0</v>
      </c>
      <c r="AK989" s="14" t="n">
        <f aca="false">AK988+IF((AJ989=1),IF((H989=0),1,0),0)</f>
        <v>0</v>
      </c>
      <c r="AL989" s="14" t="n">
        <f aca="false">AL988+IF((AJ989=1),IF((H989=1),1,0),0)</f>
        <v>0</v>
      </c>
      <c r="AM989" s="37" t="n">
        <f aca="false">IF(AK989=0,9999,IF($H989=0,IF($AJ989&lt;1,AM988+1,0),AM988))</f>
        <v>9999</v>
      </c>
      <c r="AN989" s="37" t="n">
        <f aca="false">IF(AL989=0,9999,IF($H989=1,IF($AJ989&lt;1,AN988+1,0),AN988))</f>
        <v>9999</v>
      </c>
      <c r="AO989" s="37" t="n">
        <f aca="false">IF($A989-AM989&gt;0,1/(1+AM989),0)</f>
        <v>0</v>
      </c>
      <c r="AP989" s="37" t="n">
        <f aca="false">IF($A989-AN989&gt;0,1/(1+AN989),0)</f>
        <v>0</v>
      </c>
      <c r="AQ989" s="7" t="n">
        <f aca="false">IF(AK989=0,0,MAX(MIN(1,AO989^Power),0))</f>
        <v>0</v>
      </c>
      <c r="AR989" s="7" t="n">
        <f aca="false">IF(AL989=0,0,MAX(MIN(1,AP989^Power),0))</f>
        <v>0</v>
      </c>
      <c r="AS989" s="7" t="n">
        <f aca="false">IF($AJ989=1,IF($H989=0,K989,AS988),AS988)</f>
        <v>0</v>
      </c>
      <c r="AT989" s="7" t="n">
        <f aca="false">IF($AJ989=1,IF($H989=1,N989,AT988),AT988)</f>
        <v>0</v>
      </c>
    </row>
    <row r="990" customFormat="false" ht="13" hidden="false" customHeight="false" outlineLevel="0" collapsed="false">
      <c r="A990" s="16" t="n">
        <v>973</v>
      </c>
      <c r="B990" s="37" t="n">
        <f aca="true">IF(RAND()&lt;$D$8,1,0)</f>
        <v>1</v>
      </c>
      <c r="C990" s="20" t="n">
        <f aca="true">-LN(RAND())/$D$2</f>
        <v>0.263849726436243</v>
      </c>
      <c r="D990" s="38" t="n">
        <f aca="false">D989+C990</f>
        <v>1027.78151596558</v>
      </c>
      <c r="E990" s="39" t="n">
        <f aca="false">MAX($E$3,AS989)</f>
        <v>0</v>
      </c>
      <c r="F990" s="39" t="n">
        <f aca="false">MAX($E$3,AT989)</f>
        <v>0</v>
      </c>
      <c r="G990" s="40" t="n">
        <v>0.5</v>
      </c>
      <c r="H990" s="38" t="n">
        <f aca="true">IF((B990=1),(IF((F990&lt;E990),1,(IF((F990=E990),(IF(RAND()&lt;G990,1,0)),0)))),(IF((RAND()&lt;G990),1,0)))</f>
        <v>0</v>
      </c>
      <c r="I990" s="38" t="n">
        <f aca="true">IF((H990=1),0,$D$3+$D$5*(RAND()-0.5))</f>
        <v>2.23774161947213</v>
      </c>
      <c r="J990" s="38" t="n">
        <f aca="false">I990+MAX(D990,J989)</f>
        <v>1039.41318757509</v>
      </c>
      <c r="K990" s="38" t="n">
        <f aca="false">IF((H990=0),J990-D990,0)</f>
        <v>11.6316716095148</v>
      </c>
      <c r="L990" s="38" t="n">
        <f aca="true">IF(($H990=0),0,$D$4+$D$5*(RAND()-0.5))</f>
        <v>0</v>
      </c>
      <c r="M990" s="38" t="n">
        <f aca="false">L990+MAX(D990,M989)</f>
        <v>1042.09156387937</v>
      </c>
      <c r="N990" s="38" t="n">
        <f aca="false">IF((H990=1),M990-D990,0)</f>
        <v>0</v>
      </c>
      <c r="O990" s="16" t="n">
        <v>973</v>
      </c>
      <c r="P990" s="41" t="n">
        <f aca="false">IF((Arterial=0),P989+1,P989)</f>
        <v>466</v>
      </c>
      <c r="Q990" s="41" t="n">
        <f aca="false">IF((Arterial=1),Q989+1,Q989)</f>
        <v>507</v>
      </c>
      <c r="R990" s="42" t="e">
        <f aca="false">IF((RESET=1),0,R990+K990)</f>
        <v>#N/A</v>
      </c>
      <c r="S990" s="14" t="n">
        <f aca="false">IF(RESET=1,0,S990+N990)</f>
        <v>1055.23039844239</v>
      </c>
      <c r="T990" s="2" t="e">
        <f aca="false">IF(RESET=1,0,T990+IF(H990=0,1,0))</f>
        <v>#N/A</v>
      </c>
      <c r="U990" s="2" t="n">
        <f aca="false">IF(RESET=1,0,U990+H990)</f>
        <v>47</v>
      </c>
      <c r="V990" s="14" t="e">
        <f aca="false">R990/(T990+0.00001)</f>
        <v>#N/A</v>
      </c>
      <c r="W990" s="14" t="n">
        <f aca="false">S990/(U990+0.0001)</f>
        <v>22.4516628356619</v>
      </c>
      <c r="X990" s="39" t="n">
        <f aca="false">IF(Informed=1,K990,0)</f>
        <v>11.6316716095148</v>
      </c>
      <c r="Y990" s="39" t="n">
        <f aca="false">IF(Informed=0,K990,0)</f>
        <v>0</v>
      </c>
      <c r="Z990" s="39" t="n">
        <f aca="false">IF(Informed=1,N990,0)</f>
        <v>0</v>
      </c>
      <c r="AA990" s="39" t="n">
        <f aca="false">IF(Informed=0,N990,0)</f>
        <v>0</v>
      </c>
      <c r="AB990" s="43" t="n">
        <f aca="false">IF(Arterial=0,IF(Informed=1,1,0),0)</f>
        <v>1</v>
      </c>
      <c r="AC990" s="43" t="n">
        <f aca="false">IF(Arterial=0,IF(Informed=0,1,0),0)</f>
        <v>0</v>
      </c>
      <c r="AD990" s="43" t="n">
        <f aca="false">IF(Arterial=1,IF(Informed=1,1,0),0)</f>
        <v>0</v>
      </c>
      <c r="AE990" s="43" t="n">
        <f aca="false">IF(Arterial=1,IF(Informed=0,1,0),0)</f>
        <v>0</v>
      </c>
      <c r="AF990" s="35" t="n">
        <f aca="false">IF(AB990=1,(X990-G$1030)^2,0)</f>
        <v>0.85007177015021</v>
      </c>
      <c r="AG990" s="35" t="n">
        <f aca="false">IF(AC990=1,(Y990-H$1030)^2,0)</f>
        <v>0</v>
      </c>
      <c r="AH990" s="35" t="n">
        <f aca="false">IF(AD990=1,(Z990-I$1030)^2,0)</f>
        <v>0</v>
      </c>
      <c r="AI990" s="35" t="n">
        <f aca="false">IF(AE990=1,(AA990-J$1030)^2,0)</f>
        <v>0</v>
      </c>
      <c r="AJ990" s="37" t="n">
        <f aca="true">IF(RAND()&lt;$D$6,1,0)</f>
        <v>0</v>
      </c>
      <c r="AK990" s="14" t="n">
        <f aca="false">AK989+IF((AJ990=1),IF((H990=0),1,0),0)</f>
        <v>0</v>
      </c>
      <c r="AL990" s="14" t="n">
        <f aca="false">AL989+IF((AJ990=1),IF((H990=1),1,0),0)</f>
        <v>0</v>
      </c>
      <c r="AM990" s="37" t="n">
        <f aca="false">IF(AK990=0,9999,IF($H990=0,IF($AJ990&lt;1,AM989+1,0),AM989))</f>
        <v>9999</v>
      </c>
      <c r="AN990" s="37" t="n">
        <f aca="false">IF(AL990=0,9999,IF($H990=1,IF($AJ990&lt;1,AN989+1,0),AN989))</f>
        <v>9999</v>
      </c>
      <c r="AO990" s="37" t="n">
        <f aca="false">IF($A990-AM990&gt;0,1/(1+AM990),0)</f>
        <v>0</v>
      </c>
      <c r="AP990" s="37" t="n">
        <f aca="false">IF($A990-AN990&gt;0,1/(1+AN990),0)</f>
        <v>0</v>
      </c>
      <c r="AQ990" s="7" t="n">
        <f aca="false">IF(AK990=0,0,MAX(MIN(1,AO990^Power),0))</f>
        <v>0</v>
      </c>
      <c r="AR990" s="7" t="n">
        <f aca="false">IF(AL990=0,0,MAX(MIN(1,AP990^Power),0))</f>
        <v>0</v>
      </c>
      <c r="AS990" s="7" t="n">
        <f aca="false">IF($AJ990=1,IF($H990=0,K990,AS989),AS989)</f>
        <v>0</v>
      </c>
      <c r="AT990" s="7" t="n">
        <f aca="false">IF($AJ990=1,IF($H990=1,N990,AT989),AT989)</f>
        <v>0</v>
      </c>
    </row>
    <row r="991" customFormat="false" ht="13" hidden="false" customHeight="false" outlineLevel="0" collapsed="false">
      <c r="A991" s="16" t="n">
        <v>974</v>
      </c>
      <c r="B991" s="37" t="n">
        <f aca="true">IF(RAND()&lt;$D$8,1,0)</f>
        <v>1</v>
      </c>
      <c r="C991" s="20" t="n">
        <f aca="true">-LN(RAND())/$D$2</f>
        <v>0.964231815315294</v>
      </c>
      <c r="D991" s="38" t="n">
        <f aca="false">D990+C991</f>
        <v>1028.74574778089</v>
      </c>
      <c r="E991" s="39" t="n">
        <f aca="false">MAX($E$3,AS990)</f>
        <v>0</v>
      </c>
      <c r="F991" s="39" t="n">
        <f aca="false">MAX($E$3,AT990)</f>
        <v>0</v>
      </c>
      <c r="G991" s="40" t="n">
        <v>0.5</v>
      </c>
      <c r="H991" s="38" t="n">
        <f aca="true">IF((B991=1),(IF((F991&lt;E991),1,(IF((F991=E991),(IF(RAND()&lt;G991,1,0)),0)))),(IF((RAND()&lt;G991),1,0)))</f>
        <v>1</v>
      </c>
      <c r="I991" s="38" t="n">
        <f aca="true">IF((H991=1),0,$D$3+$D$5*(RAND()-0.5))</f>
        <v>0</v>
      </c>
      <c r="J991" s="38" t="n">
        <f aca="false">I991+MAX(D991,J990)</f>
        <v>1039.41318757509</v>
      </c>
      <c r="K991" s="38" t="n">
        <f aca="false">IF((H991=0),J991-D991,0)</f>
        <v>0</v>
      </c>
      <c r="L991" s="38" t="n">
        <f aca="true">IF(($H991=0),0,$D$4+$D$5*(RAND()-0.5))</f>
        <v>2.19755946613045</v>
      </c>
      <c r="M991" s="38" t="n">
        <f aca="false">L991+MAX(D991,M990)</f>
        <v>1044.2891233455</v>
      </c>
      <c r="N991" s="38" t="n">
        <f aca="false">IF((H991=1),M991-D991,0)</f>
        <v>15.5433755646063</v>
      </c>
      <c r="O991" s="16" t="n">
        <v>974</v>
      </c>
      <c r="P991" s="41" t="n">
        <f aca="false">IF((Arterial=0),P990+1,P990)</f>
        <v>466</v>
      </c>
      <c r="Q991" s="41" t="n">
        <f aca="false">IF((Arterial=1),Q990+1,Q990)</f>
        <v>508</v>
      </c>
      <c r="R991" s="42" t="n">
        <f aca="false">IF((RESET=1),0,R991+K991)</f>
        <v>753.100127208738</v>
      </c>
      <c r="S991" s="14" t="e">
        <f aca="false">IF(RESET=1,0,S991+N991)</f>
        <v>#N/A</v>
      </c>
      <c r="T991" s="2" t="n">
        <f aca="false">IF(RESET=1,0,T991+IF(H991=0,1,0))</f>
        <v>35</v>
      </c>
      <c r="U991" s="2" t="e">
        <f aca="false">IF(RESET=1,0,U991+H991)</f>
        <v>#N/A</v>
      </c>
      <c r="V991" s="14" t="n">
        <f aca="false">R991/(T991+0.00001)</f>
        <v>21.5171403439238</v>
      </c>
      <c r="W991" s="14" t="e">
        <f aca="false">S991/(U991+0.0001)</f>
        <v>#N/A</v>
      </c>
      <c r="X991" s="39" t="n">
        <f aca="false">IF(Informed=1,K991,0)</f>
        <v>0</v>
      </c>
      <c r="Y991" s="39" t="n">
        <f aca="false">IF(Informed=0,K991,0)</f>
        <v>0</v>
      </c>
      <c r="Z991" s="39" t="n">
        <f aca="false">IF(Informed=1,N991,0)</f>
        <v>15.5433755646063</v>
      </c>
      <c r="AA991" s="39" t="n">
        <f aca="false">IF(Informed=0,N991,0)</f>
        <v>0</v>
      </c>
      <c r="AB991" s="43" t="n">
        <f aca="false">IF(Arterial=0,IF(Informed=1,1,0),0)</f>
        <v>0</v>
      </c>
      <c r="AC991" s="43" t="n">
        <f aca="false">IF(Arterial=0,IF(Informed=0,1,0),0)</f>
        <v>0</v>
      </c>
      <c r="AD991" s="43" t="n">
        <f aca="false">IF(Arterial=1,IF(Informed=1,1,0),0)</f>
        <v>1</v>
      </c>
      <c r="AE991" s="43" t="n">
        <f aca="false">IF(Arterial=1,IF(Informed=0,1,0),0)</f>
        <v>0</v>
      </c>
      <c r="AF991" s="35" t="n">
        <f aca="false">IF(AB991=1,(X991-G$1030)^2,0)</f>
        <v>0</v>
      </c>
      <c r="AG991" s="35" t="n">
        <f aca="false">IF(AC991=1,(Y991-H$1030)^2,0)</f>
        <v>0</v>
      </c>
      <c r="AH991" s="35" t="n">
        <f aca="false">IF(AD991=1,(Z991-I$1030)^2,0)</f>
        <v>164.646345935987</v>
      </c>
      <c r="AI991" s="35" t="n">
        <f aca="false">IF(AE991=1,(AA991-J$1030)^2,0)</f>
        <v>0</v>
      </c>
      <c r="AJ991" s="37" t="n">
        <f aca="true">IF(RAND()&lt;$D$6,1,0)</f>
        <v>0</v>
      </c>
      <c r="AK991" s="14" t="n">
        <f aca="false">AK990+IF((AJ991=1),IF((H991=0),1,0),0)</f>
        <v>0</v>
      </c>
      <c r="AL991" s="14" t="n">
        <f aca="false">AL990+IF((AJ991=1),IF((H991=1),1,0),0)</f>
        <v>0</v>
      </c>
      <c r="AM991" s="37" t="n">
        <f aca="false">IF(AK991=0,9999,IF($H991=0,IF($AJ991&lt;1,AM990+1,0),AM990))</f>
        <v>9999</v>
      </c>
      <c r="AN991" s="37" t="n">
        <f aca="false">IF(AL991=0,9999,IF($H991=1,IF($AJ991&lt;1,AN990+1,0),AN990))</f>
        <v>9999</v>
      </c>
      <c r="AO991" s="37" t="n">
        <f aca="false">IF($A991-AM991&gt;0,1/(1+AM991),0)</f>
        <v>0</v>
      </c>
      <c r="AP991" s="37" t="n">
        <f aca="false">IF($A991-AN991&gt;0,1/(1+AN991),0)</f>
        <v>0</v>
      </c>
      <c r="AQ991" s="7" t="n">
        <f aca="false">IF(AK991=0,0,MAX(MIN(1,AO991^Power),0))</f>
        <v>0</v>
      </c>
      <c r="AR991" s="7" t="n">
        <f aca="false">IF(AL991=0,0,MAX(MIN(1,AP991^Power),0))</f>
        <v>0</v>
      </c>
      <c r="AS991" s="7" t="n">
        <f aca="false">IF($AJ991=1,IF($H991=0,K991,AS990),AS990)</f>
        <v>0</v>
      </c>
      <c r="AT991" s="7" t="n">
        <f aca="false">IF($AJ991=1,IF($H991=1,N991,AT990),AT990)</f>
        <v>0</v>
      </c>
    </row>
    <row r="992" customFormat="false" ht="13" hidden="false" customHeight="false" outlineLevel="0" collapsed="false">
      <c r="A992" s="16" t="n">
        <v>975</v>
      </c>
      <c r="B992" s="37" t="n">
        <f aca="true">IF(RAND()&lt;$D$8,1,0)</f>
        <v>0</v>
      </c>
      <c r="C992" s="20" t="n">
        <f aca="true">-LN(RAND())/$D$2</f>
        <v>0.00205277596726926</v>
      </c>
      <c r="D992" s="38" t="n">
        <f aca="false">D991+C992</f>
        <v>1028.74780055686</v>
      </c>
      <c r="E992" s="39" t="n">
        <f aca="false">MAX($E$3,AS991)</f>
        <v>0</v>
      </c>
      <c r="F992" s="39" t="n">
        <f aca="false">MAX($E$3,AT991)</f>
        <v>0</v>
      </c>
      <c r="G992" s="40" t="n">
        <v>0.5</v>
      </c>
      <c r="H992" s="38" t="n">
        <f aca="true">IF((B992=1),(IF((F992&lt;E992),1,(IF((F992=E992),(IF(RAND()&lt;G992,1,0)),0)))),(IF((RAND()&lt;G992),1,0)))</f>
        <v>1</v>
      </c>
      <c r="I992" s="38" t="n">
        <f aca="true">IF((H992=1),0,$D$3+$D$5*(RAND()-0.5))</f>
        <v>0</v>
      </c>
      <c r="J992" s="38" t="n">
        <f aca="false">I992+MAX(D992,J991)</f>
        <v>1039.41318757509</v>
      </c>
      <c r="K992" s="38" t="n">
        <f aca="false">IF((H992=0),J992-D992,0)</f>
        <v>0</v>
      </c>
      <c r="L992" s="38" t="n">
        <f aca="true">IF(($H992=0),0,$D$4+$D$5*(RAND()-0.5))</f>
        <v>1.93918727704912</v>
      </c>
      <c r="M992" s="38" t="n">
        <f aca="false">L992+MAX(D992,M991)</f>
        <v>1046.22831062255</v>
      </c>
      <c r="N992" s="38" t="n">
        <f aca="false">IF((H992=1),M992-D992,0)</f>
        <v>17.4805100656881</v>
      </c>
      <c r="O992" s="16" t="n">
        <v>975</v>
      </c>
      <c r="P992" s="41" t="n">
        <f aca="false">IF((Arterial=0),P991+1,P991)</f>
        <v>466</v>
      </c>
      <c r="Q992" s="41" t="n">
        <f aca="false">IF((Arterial=1),Q991+1,Q991)</f>
        <v>509</v>
      </c>
      <c r="R992" s="42" t="n">
        <f aca="false">IF((RESET=1),0,R992+K992)</f>
        <v>628.642877034951</v>
      </c>
      <c r="S992" s="14" t="e">
        <f aca="false">IF(RESET=1,0,S992+N992)</f>
        <v>#N/A</v>
      </c>
      <c r="T992" s="2" t="n">
        <f aca="false">IF(RESET=1,0,T992+IF(H992=0,1,0))</f>
        <v>38</v>
      </c>
      <c r="U992" s="2" t="e">
        <f aca="false">IF(RESET=1,0,U992+H992)</f>
        <v>#N/A</v>
      </c>
      <c r="V992" s="14" t="n">
        <f aca="false">R992/(T992+0.00001)</f>
        <v>16.5432292527015</v>
      </c>
      <c r="W992" s="14" t="e">
        <f aca="false">S992/(U992+0.0001)</f>
        <v>#N/A</v>
      </c>
      <c r="X992" s="39" t="n">
        <f aca="false">IF(Informed=1,K992,0)</f>
        <v>0</v>
      </c>
      <c r="Y992" s="39" t="n">
        <f aca="false">IF(Informed=0,K992,0)</f>
        <v>0</v>
      </c>
      <c r="Z992" s="39" t="n">
        <f aca="false">IF(Informed=1,N992,0)</f>
        <v>0</v>
      </c>
      <c r="AA992" s="39" t="n">
        <f aca="false">IF(Informed=0,N992,0)</f>
        <v>17.4805100656881</v>
      </c>
      <c r="AB992" s="43" t="n">
        <f aca="false">IF(Arterial=0,IF(Informed=1,1,0),0)</f>
        <v>0</v>
      </c>
      <c r="AC992" s="43" t="n">
        <f aca="false">IF(Arterial=0,IF(Informed=0,1,0),0)</f>
        <v>0</v>
      </c>
      <c r="AD992" s="43" t="n">
        <f aca="false">IF(Arterial=1,IF(Informed=1,1,0),0)</f>
        <v>0</v>
      </c>
      <c r="AE992" s="43" t="n">
        <f aca="false">IF(Arterial=1,IF(Informed=0,1,0),0)</f>
        <v>1</v>
      </c>
      <c r="AF992" s="35" t="n">
        <f aca="false">IF(AB992=1,(X992-G$1030)^2,0)</f>
        <v>0</v>
      </c>
      <c r="AG992" s="35" t="n">
        <f aca="false">IF(AC992=1,(Y992-H$1030)^2,0)</f>
        <v>0</v>
      </c>
      <c r="AH992" s="35" t="n">
        <f aca="false">IF(AD992=1,(Z992-I$1030)^2,0)</f>
        <v>0</v>
      </c>
      <c r="AI992" s="35" t="n">
        <f aca="false">IF(AE992=1,(AA992-J$1030)^2,0)</f>
        <v>146.01737475124</v>
      </c>
      <c r="AJ992" s="37" t="n">
        <f aca="true">IF(RAND()&lt;$D$6,1,0)</f>
        <v>0</v>
      </c>
      <c r="AK992" s="14" t="n">
        <f aca="false">AK991+IF((AJ992=1),IF((H992=0),1,0),0)</f>
        <v>0</v>
      </c>
      <c r="AL992" s="14" t="n">
        <f aca="false">AL991+IF((AJ992=1),IF((H992=1),1,0),0)</f>
        <v>0</v>
      </c>
      <c r="AM992" s="37" t="n">
        <f aca="false">IF(AK992=0,9999,IF($H992=0,IF($AJ992&lt;1,AM991+1,0),AM991))</f>
        <v>9999</v>
      </c>
      <c r="AN992" s="37" t="n">
        <f aca="false">IF(AL992=0,9999,IF($H992=1,IF($AJ992&lt;1,AN991+1,0),AN991))</f>
        <v>9999</v>
      </c>
      <c r="AO992" s="37" t="n">
        <f aca="false">IF($A992-AM992&gt;0,1/(1+AM992),0)</f>
        <v>0</v>
      </c>
      <c r="AP992" s="37" t="n">
        <f aca="false">IF($A992-AN992&gt;0,1/(1+AN992),0)</f>
        <v>0</v>
      </c>
      <c r="AQ992" s="7" t="n">
        <f aca="false">IF(AK992=0,0,MAX(MIN(1,AO992^Power),0))</f>
        <v>0</v>
      </c>
      <c r="AR992" s="7" t="n">
        <f aca="false">IF(AL992=0,0,MAX(MIN(1,AP992^Power),0))</f>
        <v>0</v>
      </c>
      <c r="AS992" s="7" t="n">
        <f aca="false">IF($AJ992=1,IF($H992=0,K992,AS991),AS991)</f>
        <v>0</v>
      </c>
      <c r="AT992" s="7" t="n">
        <f aca="false">IF($AJ992=1,IF($H992=1,N992,AT991),AT991)</f>
        <v>0</v>
      </c>
    </row>
    <row r="993" customFormat="false" ht="13" hidden="false" customHeight="false" outlineLevel="0" collapsed="false">
      <c r="A993" s="16" t="n">
        <v>976</v>
      </c>
      <c r="B993" s="37" t="n">
        <f aca="true">IF(RAND()&lt;$D$8,1,0)</f>
        <v>1</v>
      </c>
      <c r="C993" s="20" t="n">
        <f aca="true">-LN(RAND())/$D$2</f>
        <v>1.99025170106304</v>
      </c>
      <c r="D993" s="38" t="n">
        <f aca="false">D992+C993</f>
        <v>1030.73805225793</v>
      </c>
      <c r="E993" s="39" t="n">
        <f aca="false">MAX($E$3,AS992)</f>
        <v>0</v>
      </c>
      <c r="F993" s="39" t="n">
        <f aca="false">MAX($E$3,AT992)</f>
        <v>0</v>
      </c>
      <c r="G993" s="40" t="n">
        <v>0.5</v>
      </c>
      <c r="H993" s="38" t="n">
        <f aca="true">IF((B993=1),(IF((F993&lt;E993),1,(IF((F993=E993),(IF(RAND()&lt;G993,1,0)),0)))),(IF((RAND()&lt;G993),1,0)))</f>
        <v>1</v>
      </c>
      <c r="I993" s="38" t="n">
        <f aca="true">IF((H993=1),0,$D$3+$D$5*(RAND()-0.5))</f>
        <v>0</v>
      </c>
      <c r="J993" s="38" t="n">
        <f aca="false">I993+MAX(D993,J992)</f>
        <v>1039.41318757509</v>
      </c>
      <c r="K993" s="38" t="n">
        <f aca="false">IF((H993=0),J993-D993,0)</f>
        <v>0</v>
      </c>
      <c r="L993" s="38" t="n">
        <f aca="true">IF(($H993=0),0,$D$4+$D$5*(RAND()-0.5))</f>
        <v>2.00818419460667</v>
      </c>
      <c r="M993" s="38" t="n">
        <f aca="false">L993+MAX(D993,M992)</f>
        <v>1048.23649481716</v>
      </c>
      <c r="N993" s="38" t="n">
        <f aca="false">IF((H993=1),M993-D993,0)</f>
        <v>17.4984425592318</v>
      </c>
      <c r="O993" s="16" t="n">
        <v>976</v>
      </c>
      <c r="P993" s="41" t="n">
        <f aca="false">IF((Arterial=0),P992+1,P992)</f>
        <v>466</v>
      </c>
      <c r="Q993" s="41" t="n">
        <f aca="false">IF((Arterial=1),Q992+1,Q992)</f>
        <v>510</v>
      </c>
      <c r="R993" s="42" t="n">
        <f aca="false">IF((RESET=1),0,R993+K993)</f>
        <v>680.701165814163</v>
      </c>
      <c r="S993" s="14" t="e">
        <f aca="false">IF(RESET=1,0,S993+N993)</f>
        <v>#N/A</v>
      </c>
      <c r="T993" s="2" t="n">
        <f aca="false">IF(RESET=1,0,T993+IF(H993=0,1,0))</f>
        <v>37</v>
      </c>
      <c r="U993" s="2" t="e">
        <f aca="false">IF(RESET=1,0,U993+H993)</f>
        <v>#N/A</v>
      </c>
      <c r="V993" s="14" t="n">
        <f aca="false">R993/(T993+0.00001)</f>
        <v>18.3973238335385</v>
      </c>
      <c r="W993" s="14" t="e">
        <f aca="false">S993/(U993+0.0001)</f>
        <v>#N/A</v>
      </c>
      <c r="X993" s="39" t="n">
        <f aca="false">IF(Informed=1,K993,0)</f>
        <v>0</v>
      </c>
      <c r="Y993" s="39" t="n">
        <f aca="false">IF(Informed=0,K993,0)</f>
        <v>0</v>
      </c>
      <c r="Z993" s="39" t="n">
        <f aca="false">IF(Informed=1,N993,0)</f>
        <v>17.4984425592318</v>
      </c>
      <c r="AA993" s="39" t="n">
        <f aca="false">IF(Informed=0,N993,0)</f>
        <v>0</v>
      </c>
      <c r="AB993" s="43" t="n">
        <f aca="false">IF(Arterial=0,IF(Informed=1,1,0),0)</f>
        <v>0</v>
      </c>
      <c r="AC993" s="43" t="n">
        <f aca="false">IF(Arterial=0,IF(Informed=0,1,0),0)</f>
        <v>0</v>
      </c>
      <c r="AD993" s="43" t="n">
        <f aca="false">IF(Arterial=1,IF(Informed=1,1,0),0)</f>
        <v>1</v>
      </c>
      <c r="AE993" s="43" t="n">
        <f aca="false">IF(Arterial=1,IF(Informed=0,1,0),0)</f>
        <v>0</v>
      </c>
      <c r="AF993" s="35" t="n">
        <f aca="false">IF(AB993=1,(X993-G$1030)^2,0)</f>
        <v>0</v>
      </c>
      <c r="AG993" s="35" t="n">
        <f aca="false">IF(AC993=1,(Y993-H$1030)^2,0)</f>
        <v>0</v>
      </c>
      <c r="AH993" s="35" t="n">
        <f aca="false">IF(AD993=1,(Z993-I$1030)^2,0)</f>
        <v>118.295908027909</v>
      </c>
      <c r="AI993" s="35" t="n">
        <f aca="false">IF(AE993=1,(AA993-J$1030)^2,0)</f>
        <v>0</v>
      </c>
      <c r="AJ993" s="37" t="n">
        <f aca="true">IF(RAND()&lt;$D$6,1,0)</f>
        <v>0</v>
      </c>
      <c r="AK993" s="14" t="n">
        <f aca="false">AK992+IF((AJ993=1),IF((H993=0),1,0),0)</f>
        <v>0</v>
      </c>
      <c r="AL993" s="14" t="n">
        <f aca="false">AL992+IF((AJ993=1),IF((H993=1),1,0),0)</f>
        <v>0</v>
      </c>
      <c r="AM993" s="37" t="n">
        <f aca="false">IF(AK993=0,9999,IF($H993=0,IF($AJ993&lt;1,AM992+1,0),AM992))</f>
        <v>9999</v>
      </c>
      <c r="AN993" s="37" t="n">
        <f aca="false">IF(AL993=0,9999,IF($H993=1,IF($AJ993&lt;1,AN992+1,0),AN992))</f>
        <v>9999</v>
      </c>
      <c r="AO993" s="37" t="n">
        <f aca="false">IF($A993-AM993&gt;0,1/(1+AM993),0)</f>
        <v>0</v>
      </c>
      <c r="AP993" s="37" t="n">
        <f aca="false">IF($A993-AN993&gt;0,1/(1+AN993),0)</f>
        <v>0</v>
      </c>
      <c r="AQ993" s="7" t="n">
        <f aca="false">IF(AK993=0,0,MAX(MIN(1,AO993^Power),0))</f>
        <v>0</v>
      </c>
      <c r="AR993" s="7" t="n">
        <f aca="false">IF(AL993=0,0,MAX(MIN(1,AP993^Power),0))</f>
        <v>0</v>
      </c>
      <c r="AS993" s="7" t="n">
        <f aca="false">IF($AJ993=1,IF($H993=0,K993,AS992),AS992)</f>
        <v>0</v>
      </c>
      <c r="AT993" s="7" t="n">
        <f aca="false">IF($AJ993=1,IF($H993=1,N993,AT992),AT992)</f>
        <v>0</v>
      </c>
    </row>
    <row r="994" customFormat="false" ht="13" hidden="false" customHeight="false" outlineLevel="0" collapsed="false">
      <c r="A994" s="16" t="n">
        <v>977</v>
      </c>
      <c r="B994" s="37" t="n">
        <f aca="true">IF(RAND()&lt;$D$8,1,0)</f>
        <v>1</v>
      </c>
      <c r="C994" s="20" t="n">
        <f aca="true">-LN(RAND())/$D$2</f>
        <v>0.799035002508653</v>
      </c>
      <c r="D994" s="38" t="n">
        <f aca="false">D993+C994</f>
        <v>1031.53708726043</v>
      </c>
      <c r="E994" s="39" t="n">
        <f aca="false">MAX($E$3,AS993)</f>
        <v>0</v>
      </c>
      <c r="F994" s="39" t="n">
        <f aca="false">MAX($E$3,AT993)</f>
        <v>0</v>
      </c>
      <c r="G994" s="40" t="n">
        <v>0.5</v>
      </c>
      <c r="H994" s="38" t="n">
        <f aca="true">IF((B994=1),(IF((F994&lt;E994),1,(IF((F994=E994),(IF(RAND()&lt;G994,1,0)),0)))),(IF((RAND()&lt;G994),1,0)))</f>
        <v>1</v>
      </c>
      <c r="I994" s="38" t="n">
        <f aca="true">IF((H994=1),0,$D$3+$D$5*(RAND()-0.5))</f>
        <v>0</v>
      </c>
      <c r="J994" s="38" t="n">
        <f aca="false">I994+MAX(D994,J993)</f>
        <v>1039.41318757509</v>
      </c>
      <c r="K994" s="38" t="n">
        <f aca="false">IF((H994=0),J994-D994,0)</f>
        <v>0</v>
      </c>
      <c r="L994" s="38" t="n">
        <f aca="true">IF(($H994=0),0,$D$4+$D$5*(RAND()-0.5))</f>
        <v>1.91159239525931</v>
      </c>
      <c r="M994" s="38" t="n">
        <f aca="false">L994+MAX(D994,M993)</f>
        <v>1050.14808721242</v>
      </c>
      <c r="N994" s="38" t="n">
        <f aca="false">IF((H994=1),M994-D994,0)</f>
        <v>18.6109999519824</v>
      </c>
      <c r="O994" s="16" t="n">
        <v>977</v>
      </c>
      <c r="P994" s="41" t="n">
        <f aca="false">IF((Arterial=0),P993+1,P993)</f>
        <v>466</v>
      </c>
      <c r="Q994" s="41" t="n">
        <f aca="false">IF((Arterial=1),Q993+1,Q993)</f>
        <v>511</v>
      </c>
      <c r="R994" s="42" t="n">
        <f aca="false">IF((RESET=1),0,R994+K994)</f>
        <v>758.50584982029</v>
      </c>
      <c r="S994" s="14" t="e">
        <f aca="false">IF(RESET=1,0,S994+N994)</f>
        <v>#N/A</v>
      </c>
      <c r="T994" s="2" t="n">
        <f aca="false">IF(RESET=1,0,T994+IF(H994=0,1,0))</f>
        <v>38</v>
      </c>
      <c r="U994" s="2" t="e">
        <f aca="false">IF(RESET=1,0,U994+H994)</f>
        <v>#N/A</v>
      </c>
      <c r="V994" s="14" t="n">
        <f aca="false">R994/(T994+0.00001)</f>
        <v>19.9606750056195</v>
      </c>
      <c r="W994" s="14" t="e">
        <f aca="false">S994/(U994+0.0001)</f>
        <v>#N/A</v>
      </c>
      <c r="X994" s="39" t="n">
        <f aca="false">IF(Informed=1,K994,0)</f>
        <v>0</v>
      </c>
      <c r="Y994" s="39" t="n">
        <f aca="false">IF(Informed=0,K994,0)</f>
        <v>0</v>
      </c>
      <c r="Z994" s="39" t="n">
        <f aca="false">IF(Informed=1,N994,0)</f>
        <v>18.6109999519824</v>
      </c>
      <c r="AA994" s="39" t="n">
        <f aca="false">IF(Informed=0,N994,0)</f>
        <v>0</v>
      </c>
      <c r="AB994" s="43" t="n">
        <f aca="false">IF(Arterial=0,IF(Informed=1,1,0),0)</f>
        <v>0</v>
      </c>
      <c r="AC994" s="43" t="n">
        <f aca="false">IF(Arterial=0,IF(Informed=0,1,0),0)</f>
        <v>0</v>
      </c>
      <c r="AD994" s="43" t="n">
        <f aca="false">IF(Arterial=1,IF(Informed=1,1,0),0)</f>
        <v>1</v>
      </c>
      <c r="AE994" s="43" t="n">
        <f aca="false">IF(Arterial=1,IF(Informed=0,1,0),0)</f>
        <v>0</v>
      </c>
      <c r="AF994" s="35" t="n">
        <f aca="false">IF(AB994=1,(X994-G$1030)^2,0)</f>
        <v>0</v>
      </c>
      <c r="AG994" s="35" t="n">
        <f aca="false">IF(AC994=1,(Y994-H$1030)^2,0)</f>
        <v>0</v>
      </c>
      <c r="AH994" s="35" t="n">
        <f aca="false">IF(AD994=1,(Z994-I$1030)^2,0)</f>
        <v>95.332470807278</v>
      </c>
      <c r="AI994" s="35" t="n">
        <f aca="false">IF(AE994=1,(AA994-J$1030)^2,0)</f>
        <v>0</v>
      </c>
      <c r="AJ994" s="37" t="n">
        <f aca="true">IF(RAND()&lt;$D$6,1,0)</f>
        <v>0</v>
      </c>
      <c r="AK994" s="14" t="n">
        <f aca="false">AK993+IF((AJ994=1),IF((H994=0),1,0),0)</f>
        <v>0</v>
      </c>
      <c r="AL994" s="14" t="n">
        <f aca="false">AL993+IF((AJ994=1),IF((H994=1),1,0),0)</f>
        <v>0</v>
      </c>
      <c r="AM994" s="37" t="n">
        <f aca="false">IF(AK994=0,9999,IF($H994=0,IF($AJ994&lt;1,AM993+1,0),AM993))</f>
        <v>9999</v>
      </c>
      <c r="AN994" s="37" t="n">
        <f aca="false">IF(AL994=0,9999,IF($H994=1,IF($AJ994&lt;1,AN993+1,0),AN993))</f>
        <v>9999</v>
      </c>
      <c r="AO994" s="37" t="n">
        <f aca="false">IF($A994-AM994&gt;0,1/(1+AM994),0)</f>
        <v>0</v>
      </c>
      <c r="AP994" s="37" t="n">
        <f aca="false">IF($A994-AN994&gt;0,1/(1+AN994),0)</f>
        <v>0</v>
      </c>
      <c r="AQ994" s="7" t="n">
        <f aca="false">IF(AK994=0,0,MAX(MIN(1,AO994^Power),0))</f>
        <v>0</v>
      </c>
      <c r="AR994" s="7" t="n">
        <f aca="false">IF(AL994=0,0,MAX(MIN(1,AP994^Power),0))</f>
        <v>0</v>
      </c>
      <c r="AS994" s="7" t="n">
        <f aca="false">IF($AJ994=1,IF($H994=0,K994,AS993),AS993)</f>
        <v>0</v>
      </c>
      <c r="AT994" s="7" t="n">
        <f aca="false">IF($AJ994=1,IF($H994=1,N994,AT993),AT993)</f>
        <v>0</v>
      </c>
    </row>
    <row r="995" customFormat="false" ht="13" hidden="false" customHeight="false" outlineLevel="0" collapsed="false">
      <c r="A995" s="16" t="n">
        <v>978</v>
      </c>
      <c r="B995" s="37" t="n">
        <f aca="true">IF(RAND()&lt;$D$8,1,0)</f>
        <v>0</v>
      </c>
      <c r="C995" s="20" t="n">
        <f aca="true">-LN(RAND())/$D$2</f>
        <v>0.537970828427453</v>
      </c>
      <c r="D995" s="38" t="n">
        <f aca="false">D994+C995</f>
        <v>1032.07505808886</v>
      </c>
      <c r="E995" s="39" t="n">
        <f aca="false">MAX($E$3,AS994)</f>
        <v>0</v>
      </c>
      <c r="F995" s="39" t="n">
        <f aca="false">MAX($E$3,AT994)</f>
        <v>0</v>
      </c>
      <c r="G995" s="40" t="n">
        <v>0.5</v>
      </c>
      <c r="H995" s="38" t="n">
        <f aca="true">IF((B995=1),(IF((F995&lt;E995),1,(IF((F995=E995),(IF(RAND()&lt;G995,1,0)),0)))),(IF((RAND()&lt;G995),1,0)))</f>
        <v>1</v>
      </c>
      <c r="I995" s="38" t="n">
        <f aca="true">IF((H995=1),0,$D$3+$D$5*(RAND()-0.5))</f>
        <v>0</v>
      </c>
      <c r="J995" s="38" t="n">
        <f aca="false">I995+MAX(D995,J994)</f>
        <v>1039.41318757509</v>
      </c>
      <c r="K995" s="38" t="n">
        <f aca="false">IF((H995=0),J995-D995,0)</f>
        <v>0</v>
      </c>
      <c r="L995" s="38" t="n">
        <f aca="true">IF(($H995=0),0,$D$4+$D$5*(RAND()-0.5))</f>
        <v>1.96868373321438</v>
      </c>
      <c r="M995" s="38" t="n">
        <f aca="false">L995+MAX(D995,M994)</f>
        <v>1052.11677094563</v>
      </c>
      <c r="N995" s="38" t="n">
        <f aca="false">IF((H995=1),M995-D995,0)</f>
        <v>20.0417128567694</v>
      </c>
      <c r="O995" s="16" t="n">
        <v>978</v>
      </c>
      <c r="P995" s="41" t="n">
        <f aca="false">IF((Arterial=0),P994+1,P994)</f>
        <v>466</v>
      </c>
      <c r="Q995" s="41" t="n">
        <f aca="false">IF((Arterial=1),Q994+1,Q994)</f>
        <v>512</v>
      </c>
      <c r="R995" s="42" t="n">
        <f aca="false">IF((RESET=1),0,R995+K995)</f>
        <v>756.356105054593</v>
      </c>
      <c r="S995" s="14" t="e">
        <f aca="false">IF(RESET=1,0,S995+N995)</f>
        <v>#N/A</v>
      </c>
      <c r="T995" s="2" t="n">
        <f aca="false">IF(RESET=1,0,T995+IF(H995=0,1,0))</f>
        <v>40</v>
      </c>
      <c r="U995" s="2" t="e">
        <f aca="false">IF(RESET=1,0,U995+H995)</f>
        <v>#N/A</v>
      </c>
      <c r="V995" s="14" t="n">
        <f aca="false">R995/(T995+0.00001)</f>
        <v>18.9088978991403</v>
      </c>
      <c r="W995" s="14" t="e">
        <f aca="false">S995/(U995+0.0001)</f>
        <v>#N/A</v>
      </c>
      <c r="X995" s="39" t="n">
        <f aca="false">IF(Informed=1,K995,0)</f>
        <v>0</v>
      </c>
      <c r="Y995" s="39" t="n">
        <f aca="false">IF(Informed=0,K995,0)</f>
        <v>0</v>
      </c>
      <c r="Z995" s="39" t="n">
        <f aca="false">IF(Informed=1,N995,0)</f>
        <v>0</v>
      </c>
      <c r="AA995" s="39" t="n">
        <f aca="false">IF(Informed=0,N995,0)</f>
        <v>20.0417128567694</v>
      </c>
      <c r="AB995" s="43" t="n">
        <f aca="false">IF(Arterial=0,IF(Informed=1,1,0),0)</f>
        <v>0</v>
      </c>
      <c r="AC995" s="43" t="n">
        <f aca="false">IF(Arterial=0,IF(Informed=0,1,0),0)</f>
        <v>0</v>
      </c>
      <c r="AD995" s="43" t="n">
        <f aca="false">IF(Arterial=1,IF(Informed=1,1,0),0)</f>
        <v>0</v>
      </c>
      <c r="AE995" s="43" t="n">
        <f aca="false">IF(Arterial=1,IF(Informed=0,1,0),0)</f>
        <v>1</v>
      </c>
      <c r="AF995" s="35" t="n">
        <f aca="false">IF(AB995=1,(X995-G$1030)^2,0)</f>
        <v>0</v>
      </c>
      <c r="AG995" s="35" t="n">
        <f aca="false">IF(AC995=1,(Y995-H$1030)^2,0)</f>
        <v>0</v>
      </c>
      <c r="AH995" s="35" t="n">
        <f aca="false">IF(AD995=1,(Z995-I$1030)^2,0)</f>
        <v>0</v>
      </c>
      <c r="AI995" s="35" t="n">
        <f aca="false">IF(AE995=1,(AA995-J$1030)^2,0)</f>
        <v>90.6791895853424</v>
      </c>
      <c r="AJ995" s="37" t="n">
        <f aca="true">IF(RAND()&lt;$D$6,1,0)</f>
        <v>0</v>
      </c>
      <c r="AK995" s="14" t="n">
        <f aca="false">AK994+IF((AJ995=1),IF((H995=0),1,0),0)</f>
        <v>0</v>
      </c>
      <c r="AL995" s="14" t="n">
        <f aca="false">AL994+IF((AJ995=1),IF((H995=1),1,0),0)</f>
        <v>0</v>
      </c>
      <c r="AM995" s="37" t="n">
        <f aca="false">IF(AK995=0,9999,IF($H995=0,IF($AJ995&lt;1,AM994+1,0),AM994))</f>
        <v>9999</v>
      </c>
      <c r="AN995" s="37" t="n">
        <f aca="false">IF(AL995=0,9999,IF($H995=1,IF($AJ995&lt;1,AN994+1,0),AN994))</f>
        <v>9999</v>
      </c>
      <c r="AO995" s="37" t="n">
        <f aca="false">IF($A995-AM995&gt;0,1/(1+AM995),0)</f>
        <v>0</v>
      </c>
      <c r="AP995" s="37" t="n">
        <f aca="false">IF($A995-AN995&gt;0,1/(1+AN995),0)</f>
        <v>0</v>
      </c>
      <c r="AQ995" s="7" t="n">
        <f aca="false">IF(AK995=0,0,MAX(MIN(1,AO995^Power),0))</f>
        <v>0</v>
      </c>
      <c r="AR995" s="7" t="n">
        <f aca="false">IF(AL995=0,0,MAX(MIN(1,AP995^Power),0))</f>
        <v>0</v>
      </c>
      <c r="AS995" s="7" t="n">
        <f aca="false">IF($AJ995=1,IF($H995=0,K995,AS994),AS994)</f>
        <v>0</v>
      </c>
      <c r="AT995" s="7" t="n">
        <f aca="false">IF($AJ995=1,IF($H995=1,N995,AT994),AT994)</f>
        <v>0</v>
      </c>
    </row>
    <row r="996" customFormat="false" ht="13" hidden="false" customHeight="false" outlineLevel="0" collapsed="false">
      <c r="A996" s="16" t="n">
        <v>979</v>
      </c>
      <c r="B996" s="37" t="n">
        <f aca="true">IF(RAND()&lt;$D$8,1,0)</f>
        <v>0</v>
      </c>
      <c r="C996" s="20" t="n">
        <f aca="true">-LN(RAND())/$D$2</f>
        <v>0.575906904624277</v>
      </c>
      <c r="D996" s="38" t="n">
        <f aca="false">D995+C996</f>
        <v>1032.65096499349</v>
      </c>
      <c r="E996" s="39" t="n">
        <f aca="false">MAX($E$3,AS995)</f>
        <v>0</v>
      </c>
      <c r="F996" s="39" t="n">
        <f aca="false">MAX($E$3,AT995)</f>
        <v>0</v>
      </c>
      <c r="G996" s="40" t="n">
        <v>0.5</v>
      </c>
      <c r="H996" s="38" t="n">
        <f aca="true">IF((B996=1),(IF((F996&lt;E996),1,(IF((F996=E996),(IF(RAND()&lt;G996,1,0)),0)))),(IF((RAND()&lt;G996),1,0)))</f>
        <v>1</v>
      </c>
      <c r="I996" s="38" t="n">
        <f aca="true">IF((H996=1),0,$D$3+$D$5*(RAND()-0.5))</f>
        <v>0</v>
      </c>
      <c r="J996" s="38" t="n">
        <f aca="false">I996+MAX(D996,J995)</f>
        <v>1039.41318757509</v>
      </c>
      <c r="K996" s="38" t="n">
        <f aca="false">IF((H996=0),J996-D996,0)</f>
        <v>0</v>
      </c>
      <c r="L996" s="38" t="n">
        <f aca="true">IF(($H996=0),0,$D$4+$D$5*(RAND()-0.5))</f>
        <v>2.1706583814433</v>
      </c>
      <c r="M996" s="38" t="n">
        <f aca="false">L996+MAX(D996,M995)</f>
        <v>1054.28742932707</v>
      </c>
      <c r="N996" s="38" t="n">
        <f aca="false">IF((H996=1),M996-D996,0)</f>
        <v>21.6364643335883</v>
      </c>
      <c r="O996" s="16" t="n">
        <v>979</v>
      </c>
      <c r="P996" s="41" t="n">
        <f aca="false">IF((Arterial=0),P995+1,P995)</f>
        <v>466</v>
      </c>
      <c r="Q996" s="41" t="n">
        <f aca="false">IF((Arterial=1),Q995+1,Q995)</f>
        <v>513</v>
      </c>
      <c r="R996" s="42" t="n">
        <f aca="false">IF((RESET=1),0,R996+K996)</f>
        <v>738.56543198518</v>
      </c>
      <c r="S996" s="14" t="e">
        <f aca="false">IF(RESET=1,0,S996+N996)</f>
        <v>#N/A</v>
      </c>
      <c r="T996" s="2" t="n">
        <f aca="false">IF(RESET=1,0,T996+IF(H996=0,1,0))</f>
        <v>39</v>
      </c>
      <c r="U996" s="2" t="e">
        <f aca="false">IF(RESET=1,0,U996+H996)</f>
        <v>#N/A</v>
      </c>
      <c r="V996" s="14" t="n">
        <f aca="false">R996/(T996+0.00001)</f>
        <v>18.9375703233199</v>
      </c>
      <c r="W996" s="14" t="e">
        <f aca="false">S996/(U996+0.0001)</f>
        <v>#N/A</v>
      </c>
      <c r="X996" s="39" t="n">
        <f aca="false">IF(Informed=1,K996,0)</f>
        <v>0</v>
      </c>
      <c r="Y996" s="39" t="n">
        <f aca="false">IF(Informed=0,K996,0)</f>
        <v>0</v>
      </c>
      <c r="Z996" s="39" t="n">
        <f aca="false">IF(Informed=1,N996,0)</f>
        <v>0</v>
      </c>
      <c r="AA996" s="39" t="n">
        <f aca="false">IF(Informed=0,N996,0)</f>
        <v>21.6364643335883</v>
      </c>
      <c r="AB996" s="43" t="n">
        <f aca="false">IF(Arterial=0,IF(Informed=1,1,0),0)</f>
        <v>0</v>
      </c>
      <c r="AC996" s="43" t="n">
        <f aca="false">IF(Arterial=0,IF(Informed=0,1,0),0)</f>
        <v>0</v>
      </c>
      <c r="AD996" s="43" t="n">
        <f aca="false">IF(Arterial=1,IF(Informed=1,1,0),0)</f>
        <v>0</v>
      </c>
      <c r="AE996" s="43" t="n">
        <f aca="false">IF(Arterial=1,IF(Informed=0,1,0),0)</f>
        <v>1</v>
      </c>
      <c r="AF996" s="35" t="n">
        <f aca="false">IF(AB996=1,(X996-G$1030)^2,0)</f>
        <v>0</v>
      </c>
      <c r="AG996" s="35" t="n">
        <f aca="false">IF(AC996=1,(Y996-H$1030)^2,0)</f>
        <v>0</v>
      </c>
      <c r="AH996" s="35" t="n">
        <f aca="false">IF(AD996=1,(Z996-I$1030)^2,0)</f>
        <v>0</v>
      </c>
      <c r="AI996" s="35" t="n">
        <f aca="false">IF(AE996=1,(AA996-J$1030)^2,0)</f>
        <v>62.8501818073336</v>
      </c>
      <c r="AJ996" s="37" t="n">
        <f aca="true">IF(RAND()&lt;$D$6,1,0)</f>
        <v>0</v>
      </c>
      <c r="AK996" s="14" t="n">
        <f aca="false">AK995+IF((AJ996=1),IF((H996=0),1,0),0)</f>
        <v>0</v>
      </c>
      <c r="AL996" s="14" t="n">
        <f aca="false">AL995+IF((AJ996=1),IF((H996=1),1,0),0)</f>
        <v>0</v>
      </c>
      <c r="AM996" s="37" t="n">
        <f aca="false">IF(AK996=0,9999,IF($H996=0,IF($AJ996&lt;1,AM995+1,0),AM995))</f>
        <v>9999</v>
      </c>
      <c r="AN996" s="37" t="n">
        <f aca="false">IF(AL996=0,9999,IF($H996=1,IF($AJ996&lt;1,AN995+1,0),AN995))</f>
        <v>9999</v>
      </c>
      <c r="AO996" s="37" t="n">
        <f aca="false">IF($A996-AM996&gt;0,1/(1+AM996),0)</f>
        <v>0</v>
      </c>
      <c r="AP996" s="37" t="n">
        <f aca="false">IF($A996-AN996&gt;0,1/(1+AN996),0)</f>
        <v>0</v>
      </c>
      <c r="AQ996" s="7" t="n">
        <f aca="false">IF(AK996=0,0,MAX(MIN(1,AO996^Power),0))</f>
        <v>0</v>
      </c>
      <c r="AR996" s="7" t="n">
        <f aca="false">IF(AL996=0,0,MAX(MIN(1,AP996^Power),0))</f>
        <v>0</v>
      </c>
      <c r="AS996" s="7" t="n">
        <f aca="false">IF($AJ996=1,IF($H996=0,K996,AS995),AS995)</f>
        <v>0</v>
      </c>
      <c r="AT996" s="7" t="n">
        <f aca="false">IF($AJ996=1,IF($H996=1,N996,AT995),AT995)</f>
        <v>0</v>
      </c>
    </row>
    <row r="997" customFormat="false" ht="13" hidden="false" customHeight="false" outlineLevel="0" collapsed="false">
      <c r="A997" s="16" t="n">
        <v>980</v>
      </c>
      <c r="B997" s="37" t="n">
        <f aca="true">IF(RAND()&lt;$D$8,1,0)</f>
        <v>1</v>
      </c>
      <c r="C997" s="20" t="n">
        <f aca="true">-LN(RAND())/$D$2</f>
        <v>0.95429543729121</v>
      </c>
      <c r="D997" s="38" t="n">
        <f aca="false">D996+C997</f>
        <v>1033.60526043078</v>
      </c>
      <c r="E997" s="39" t="n">
        <f aca="false">MAX($E$3,AS996)</f>
        <v>0</v>
      </c>
      <c r="F997" s="39" t="n">
        <f aca="false">MAX($E$3,AT996)</f>
        <v>0</v>
      </c>
      <c r="G997" s="40" t="n">
        <v>0.5</v>
      </c>
      <c r="H997" s="38" t="n">
        <f aca="true">IF((B997=1),(IF((F997&lt;E997),1,(IF((F997=E997),(IF(RAND()&lt;G997,1,0)),0)))),(IF((RAND()&lt;G997),1,0)))</f>
        <v>0</v>
      </c>
      <c r="I997" s="38" t="n">
        <f aca="true">IF((H997=1),0,$D$3+$D$5*(RAND()-0.5))</f>
        <v>2.21350319301992</v>
      </c>
      <c r="J997" s="38" t="n">
        <f aca="false">I997+MAX(D997,J996)</f>
        <v>1041.62669076811</v>
      </c>
      <c r="K997" s="38" t="n">
        <f aca="false">IF((H997=0),J997-D997,0)</f>
        <v>8.02143033733751</v>
      </c>
      <c r="L997" s="38" t="n">
        <f aca="true">IF(($H997=0),0,$D$4+$D$5*(RAND()-0.5))</f>
        <v>0</v>
      </c>
      <c r="M997" s="38" t="n">
        <f aca="false">L997+MAX(D997,M996)</f>
        <v>1054.28742932707</v>
      </c>
      <c r="N997" s="38" t="n">
        <f aca="false">IF((H997=1),M997-D997,0)</f>
        <v>0</v>
      </c>
      <c r="O997" s="16" t="n">
        <v>980</v>
      </c>
      <c r="P997" s="41" t="n">
        <f aca="false">IF((Arterial=0),P996+1,P996)</f>
        <v>467</v>
      </c>
      <c r="Q997" s="41" t="n">
        <f aca="false">IF((Arterial=1),Q996+1,Q996)</f>
        <v>513</v>
      </c>
      <c r="R997" s="42" t="e">
        <f aca="false">IF((RESET=1),0,R997+K997)</f>
        <v>#N/A</v>
      </c>
      <c r="S997" s="14" t="n">
        <f aca="false">IF(RESET=1,0,S997+N997)</f>
        <v>794.89028425313</v>
      </c>
      <c r="T997" s="2" t="e">
        <f aca="false">IF(RESET=1,0,T997+IF(H997=0,1,0))</f>
        <v>#N/A</v>
      </c>
      <c r="U997" s="2" t="n">
        <f aca="false">IF(RESET=1,0,U997+H997)</f>
        <v>41</v>
      </c>
      <c r="V997" s="14" t="e">
        <f aca="false">R997/(T997+0.00001)</f>
        <v>#N/A</v>
      </c>
      <c r="W997" s="14" t="n">
        <f aca="false">S997/(U997+0.0001)</f>
        <v>19.3875206219773</v>
      </c>
      <c r="X997" s="39" t="n">
        <f aca="false">IF(Informed=1,K997,0)</f>
        <v>8.02143033733751</v>
      </c>
      <c r="Y997" s="39" t="n">
        <f aca="false">IF(Informed=0,K997,0)</f>
        <v>0</v>
      </c>
      <c r="Z997" s="39" t="n">
        <f aca="false">IF(Informed=1,N997,0)</f>
        <v>0</v>
      </c>
      <c r="AA997" s="39" t="n">
        <f aca="false">IF(Informed=0,N997,0)</f>
        <v>0</v>
      </c>
      <c r="AB997" s="43" t="n">
        <f aca="false">IF(Arterial=0,IF(Informed=1,1,0),0)</f>
        <v>1</v>
      </c>
      <c r="AC997" s="43" t="n">
        <f aca="false">IF(Arterial=0,IF(Informed=0,1,0),0)</f>
        <v>0</v>
      </c>
      <c r="AD997" s="43" t="n">
        <f aca="false">IF(Arterial=1,IF(Informed=1,1,0),0)</f>
        <v>0</v>
      </c>
      <c r="AE997" s="43" t="n">
        <f aca="false">IF(Arterial=1,IF(Informed=0,1,0),0)</f>
        <v>0</v>
      </c>
      <c r="AF997" s="35" t="n">
        <f aca="false">IF(AB997=1,(X997-G$1030)^2,0)</f>
        <v>7.22667679572996</v>
      </c>
      <c r="AG997" s="35" t="n">
        <f aca="false">IF(AC997=1,(Y997-H$1030)^2,0)</f>
        <v>0</v>
      </c>
      <c r="AH997" s="35" t="n">
        <f aca="false">IF(AD997=1,(Z997-I$1030)^2,0)</f>
        <v>0</v>
      </c>
      <c r="AI997" s="35" t="n">
        <f aca="false">IF(AE997=1,(AA997-J$1030)^2,0)</f>
        <v>0</v>
      </c>
      <c r="AJ997" s="37" t="n">
        <f aca="true">IF(RAND()&lt;$D$6,1,0)</f>
        <v>0</v>
      </c>
      <c r="AK997" s="14" t="n">
        <f aca="false">AK996+IF((AJ997=1),IF((H997=0),1,0),0)</f>
        <v>0</v>
      </c>
      <c r="AL997" s="14" t="n">
        <f aca="false">AL996+IF((AJ997=1),IF((H997=1),1,0),0)</f>
        <v>0</v>
      </c>
      <c r="AM997" s="37" t="n">
        <f aca="false">IF(AK997=0,9999,IF($H997=0,IF($AJ997&lt;1,AM996+1,0),AM996))</f>
        <v>9999</v>
      </c>
      <c r="AN997" s="37" t="n">
        <f aca="false">IF(AL997=0,9999,IF($H997=1,IF($AJ997&lt;1,AN996+1,0),AN996))</f>
        <v>9999</v>
      </c>
      <c r="AO997" s="37" t="n">
        <f aca="false">IF($A997-AM997&gt;0,1/(1+AM997),0)</f>
        <v>0</v>
      </c>
      <c r="AP997" s="37" t="n">
        <f aca="false">IF($A997-AN997&gt;0,1/(1+AN997),0)</f>
        <v>0</v>
      </c>
      <c r="AQ997" s="7" t="n">
        <f aca="false">IF(AK997=0,0,MAX(MIN(1,AO997^Power),0))</f>
        <v>0</v>
      </c>
      <c r="AR997" s="7" t="n">
        <f aca="false">IF(AL997=0,0,MAX(MIN(1,AP997^Power),0))</f>
        <v>0</v>
      </c>
      <c r="AS997" s="7" t="n">
        <f aca="false">IF($AJ997=1,IF($H997=0,K997,AS996),AS996)</f>
        <v>0</v>
      </c>
      <c r="AT997" s="7" t="n">
        <f aca="false">IF($AJ997=1,IF($H997=1,N997,AT996),AT996)</f>
        <v>0</v>
      </c>
    </row>
    <row r="998" customFormat="false" ht="13" hidden="false" customHeight="false" outlineLevel="0" collapsed="false">
      <c r="A998" s="16" t="n">
        <v>981</v>
      </c>
      <c r="B998" s="37" t="n">
        <f aca="true">IF(RAND()&lt;$D$8,1,0)</f>
        <v>0</v>
      </c>
      <c r="C998" s="20" t="n">
        <f aca="true">-LN(RAND())/$D$2</f>
        <v>1.62760215728816</v>
      </c>
      <c r="D998" s="38" t="n">
        <f aca="false">D997+C998</f>
        <v>1035.23286258806</v>
      </c>
      <c r="E998" s="39" t="n">
        <f aca="false">MAX($E$3,AS997)</f>
        <v>0</v>
      </c>
      <c r="F998" s="39" t="n">
        <f aca="false">MAX($E$3,AT997)</f>
        <v>0</v>
      </c>
      <c r="G998" s="40" t="n">
        <v>0.5</v>
      </c>
      <c r="H998" s="38" t="n">
        <f aca="true">IF((B998=1),(IF((F998&lt;E998),1,(IF((F998=E998),(IF(RAND()&lt;G998,1,0)),0)))),(IF((RAND()&lt;G998),1,0)))</f>
        <v>0</v>
      </c>
      <c r="I998" s="38" t="n">
        <f aca="true">IF((H998=1),0,$D$3+$D$5*(RAND()-0.5))</f>
        <v>1.92299592982126</v>
      </c>
      <c r="J998" s="38" t="n">
        <f aca="false">I998+MAX(D998,J997)</f>
        <v>1043.54968669794</v>
      </c>
      <c r="K998" s="38" t="n">
        <f aca="false">IF((H998=0),J998-D998,0)</f>
        <v>8.3168241098706</v>
      </c>
      <c r="L998" s="38" t="n">
        <f aca="true">IF(($H998=0),0,$D$4+$D$5*(RAND()-0.5))</f>
        <v>0</v>
      </c>
      <c r="M998" s="38" t="n">
        <f aca="false">L998+MAX(D998,M997)</f>
        <v>1054.28742932707</v>
      </c>
      <c r="N998" s="38" t="n">
        <f aca="false">IF((H998=1),M998-D998,0)</f>
        <v>0</v>
      </c>
      <c r="O998" s="16" t="n">
        <v>981</v>
      </c>
      <c r="P998" s="41" t="n">
        <f aca="false">IF((Arterial=0),P997+1,P997)</f>
        <v>468</v>
      </c>
      <c r="Q998" s="41" t="n">
        <f aca="false">IF((Arterial=1),Q997+1,Q997)</f>
        <v>513</v>
      </c>
      <c r="R998" s="42" t="e">
        <f aca="false">IF((RESET=1),0,R998+K998)</f>
        <v>#N/A</v>
      </c>
      <c r="S998" s="14" t="n">
        <f aca="false">IF(RESET=1,0,S998+N998)</f>
        <v>1054.76970553515</v>
      </c>
      <c r="T998" s="2" t="e">
        <f aca="false">IF(RESET=1,0,T998+IF(H998=0,1,0))</f>
        <v>#N/A</v>
      </c>
      <c r="U998" s="2" t="n">
        <f aca="false">IF(RESET=1,0,U998+H998)</f>
        <v>50</v>
      </c>
      <c r="V998" s="14" t="e">
        <f aca="false">R998/(T998+0.00001)</f>
        <v>#N/A</v>
      </c>
      <c r="W998" s="14" t="n">
        <f aca="false">S998/(U998+0.0001)</f>
        <v>21.0953519199991</v>
      </c>
      <c r="X998" s="39" t="n">
        <f aca="false">IF(Informed=1,K998,0)</f>
        <v>0</v>
      </c>
      <c r="Y998" s="39" t="n">
        <f aca="false">IF(Informed=0,K998,0)</f>
        <v>8.3168241098706</v>
      </c>
      <c r="Z998" s="39" t="n">
        <f aca="false">IF(Informed=1,N998,0)</f>
        <v>0</v>
      </c>
      <c r="AA998" s="39" t="n">
        <f aca="false">IF(Informed=0,N998,0)</f>
        <v>0</v>
      </c>
      <c r="AB998" s="43" t="n">
        <f aca="false">IF(Arterial=0,IF(Informed=1,1,0),0)</f>
        <v>0</v>
      </c>
      <c r="AC998" s="43" t="n">
        <f aca="false">IF(Arterial=0,IF(Informed=0,1,0),0)</f>
        <v>1</v>
      </c>
      <c r="AD998" s="43" t="n">
        <f aca="false">IF(Arterial=1,IF(Informed=1,1,0),0)</f>
        <v>0</v>
      </c>
      <c r="AE998" s="43" t="n">
        <f aca="false">IF(Arterial=1,IF(Informed=0,1,0),0)</f>
        <v>0</v>
      </c>
      <c r="AF998" s="35" t="n">
        <f aca="false">IF(AB998=1,(X998-G$1030)^2,0)</f>
        <v>0</v>
      </c>
      <c r="AG998" s="35" t="n">
        <f aca="false">IF(AC998=1,(Y998-H$1030)^2,0)</f>
        <v>6.79624638989821</v>
      </c>
      <c r="AH998" s="35" t="n">
        <f aca="false">IF(AD998=1,(Z998-I$1030)^2,0)</f>
        <v>0</v>
      </c>
      <c r="AI998" s="35" t="n">
        <f aca="false">IF(AE998=1,(AA998-J$1030)^2,0)</f>
        <v>0</v>
      </c>
      <c r="AJ998" s="37" t="n">
        <f aca="true">IF(RAND()&lt;$D$6,1,0)</f>
        <v>0</v>
      </c>
      <c r="AK998" s="14" t="n">
        <f aca="false">AK997+IF((AJ998=1),IF((H998=0),1,0),0)</f>
        <v>0</v>
      </c>
      <c r="AL998" s="14" t="n">
        <f aca="false">AL997+IF((AJ998=1),IF((H998=1),1,0),0)</f>
        <v>0</v>
      </c>
      <c r="AM998" s="37" t="n">
        <f aca="false">IF(AK998=0,9999,IF($H998=0,IF($AJ998&lt;1,AM997+1,0),AM997))</f>
        <v>9999</v>
      </c>
      <c r="AN998" s="37" t="n">
        <f aca="false">IF(AL998=0,9999,IF($H998=1,IF($AJ998&lt;1,AN997+1,0),AN997))</f>
        <v>9999</v>
      </c>
      <c r="AO998" s="37" t="n">
        <f aca="false">IF($A998-AM998&gt;0,1/(1+AM998),0)</f>
        <v>0</v>
      </c>
      <c r="AP998" s="37" t="n">
        <f aca="false">IF($A998-AN998&gt;0,1/(1+AN998),0)</f>
        <v>0</v>
      </c>
      <c r="AQ998" s="7" t="n">
        <f aca="false">IF(AK998=0,0,MAX(MIN(1,AO998^Power),0))</f>
        <v>0</v>
      </c>
      <c r="AR998" s="7" t="n">
        <f aca="false">IF(AL998=0,0,MAX(MIN(1,AP998^Power),0))</f>
        <v>0</v>
      </c>
      <c r="AS998" s="7" t="n">
        <f aca="false">IF($AJ998=1,IF($H998=0,K998,AS997),AS997)</f>
        <v>0</v>
      </c>
      <c r="AT998" s="7" t="n">
        <f aca="false">IF($AJ998=1,IF($H998=1,N998,AT997),AT997)</f>
        <v>0</v>
      </c>
    </row>
    <row r="999" customFormat="false" ht="13" hidden="false" customHeight="false" outlineLevel="0" collapsed="false">
      <c r="A999" s="16" t="n">
        <v>982</v>
      </c>
      <c r="B999" s="37" t="n">
        <f aca="true">IF(RAND()&lt;$D$8,1,0)</f>
        <v>1</v>
      </c>
      <c r="C999" s="20" t="n">
        <f aca="true">-LN(RAND())/$D$2</f>
        <v>0.00107099294633413</v>
      </c>
      <c r="D999" s="38" t="n">
        <f aca="false">D998+C999</f>
        <v>1035.23393358101</v>
      </c>
      <c r="E999" s="39" t="n">
        <f aca="false">MAX($E$3,AS998)</f>
        <v>0</v>
      </c>
      <c r="F999" s="39" t="n">
        <f aca="false">MAX($E$3,AT998)</f>
        <v>0</v>
      </c>
      <c r="G999" s="40" t="n">
        <v>0.5</v>
      </c>
      <c r="H999" s="38" t="n">
        <f aca="true">IF((B999=1),(IF((F999&lt;E999),1,(IF((F999=E999),(IF(RAND()&lt;G999,1,0)),0)))),(IF((RAND()&lt;G999),1,0)))</f>
        <v>0</v>
      </c>
      <c r="I999" s="38" t="n">
        <f aca="true">IF((H999=1),0,$D$3+$D$5*(RAND()-0.5))</f>
        <v>2.0805003408317</v>
      </c>
      <c r="J999" s="38" t="n">
        <f aca="false">I999+MAX(D999,J998)</f>
        <v>1045.63018703877</v>
      </c>
      <c r="K999" s="38" t="n">
        <f aca="false">IF((H999=0),J999-D999,0)</f>
        <v>10.3962534577561</v>
      </c>
      <c r="L999" s="38" t="n">
        <f aca="true">IF(($H999=0),0,$D$4+$D$5*(RAND()-0.5))</f>
        <v>0</v>
      </c>
      <c r="M999" s="38" t="n">
        <f aca="false">L999+MAX(D999,M998)</f>
        <v>1054.28742932707</v>
      </c>
      <c r="N999" s="38" t="n">
        <f aca="false">IF((H999=1),M999-D999,0)</f>
        <v>0</v>
      </c>
      <c r="O999" s="16" t="n">
        <v>982</v>
      </c>
      <c r="P999" s="41" t="n">
        <f aca="false">IF((Arterial=0),P998+1,P998)</f>
        <v>469</v>
      </c>
      <c r="Q999" s="41" t="n">
        <f aca="false">IF((Arterial=1),Q998+1,Q998)</f>
        <v>513</v>
      </c>
      <c r="R999" s="42" t="e">
        <f aca="false">IF((RESET=1),0,R999+K999)</f>
        <v>#N/A</v>
      </c>
      <c r="S999" s="14" t="n">
        <f aca="false">IF(RESET=1,0,S999+N999)</f>
        <v>731.1009493302</v>
      </c>
      <c r="T999" s="2" t="e">
        <f aca="false">IF(RESET=1,0,T999+IF(H999=0,1,0))</f>
        <v>#N/A</v>
      </c>
      <c r="U999" s="2" t="n">
        <f aca="false">IF(RESET=1,0,U999+H999)</f>
        <v>40</v>
      </c>
      <c r="V999" s="14" t="e">
        <f aca="false">R999/(T999+0.00001)</f>
        <v>#N/A</v>
      </c>
      <c r="W999" s="14" t="n">
        <f aca="false">S999/(U999+0.0001)</f>
        <v>18.2774780395599</v>
      </c>
      <c r="X999" s="39" t="n">
        <f aca="false">IF(Informed=1,K999,0)</f>
        <v>10.3962534577561</v>
      </c>
      <c r="Y999" s="39" t="n">
        <f aca="false">IF(Informed=0,K999,0)</f>
        <v>0</v>
      </c>
      <c r="Z999" s="39" t="n">
        <f aca="false">IF(Informed=1,N999,0)</f>
        <v>0</v>
      </c>
      <c r="AA999" s="39" t="n">
        <f aca="false">IF(Informed=0,N999,0)</f>
        <v>0</v>
      </c>
      <c r="AB999" s="43" t="n">
        <f aca="false">IF(Arterial=0,IF(Informed=1,1,0),0)</f>
        <v>1</v>
      </c>
      <c r="AC999" s="43" t="n">
        <f aca="false">IF(Arterial=0,IF(Informed=0,1,0),0)</f>
        <v>0</v>
      </c>
      <c r="AD999" s="43" t="n">
        <f aca="false">IF(Arterial=1,IF(Informed=1,1,0),0)</f>
        <v>0</v>
      </c>
      <c r="AE999" s="43" t="n">
        <f aca="false">IF(Arterial=1,IF(Informed=0,1,0),0)</f>
        <v>0</v>
      </c>
      <c r="AF999" s="35" t="n">
        <f aca="false">IF(AB999=1,(X999-G$1030)^2,0)</f>
        <v>0.0982350952393368</v>
      </c>
      <c r="AG999" s="35" t="n">
        <f aca="false">IF(AC999=1,(Y999-H$1030)^2,0)</f>
        <v>0</v>
      </c>
      <c r="AH999" s="35" t="n">
        <f aca="false">IF(AD999=1,(Z999-I$1030)^2,0)</f>
        <v>0</v>
      </c>
      <c r="AI999" s="35" t="n">
        <f aca="false">IF(AE999=1,(AA999-J$1030)^2,0)</f>
        <v>0</v>
      </c>
      <c r="AJ999" s="37" t="n">
        <f aca="true">IF(RAND()&lt;$D$6,1,0)</f>
        <v>0</v>
      </c>
      <c r="AK999" s="14" t="n">
        <f aca="false">AK998+IF((AJ999=1),IF((H999=0),1,0),0)</f>
        <v>0</v>
      </c>
      <c r="AL999" s="14" t="n">
        <f aca="false">AL998+IF((AJ999=1),IF((H999=1),1,0),0)</f>
        <v>0</v>
      </c>
      <c r="AM999" s="37" t="n">
        <f aca="false">IF(AK999=0,9999,IF($H999=0,IF($AJ999&lt;1,AM998+1,0),AM998))</f>
        <v>9999</v>
      </c>
      <c r="AN999" s="37" t="n">
        <f aca="false">IF(AL999=0,9999,IF($H999=1,IF($AJ999&lt;1,AN998+1,0),AN998))</f>
        <v>9999</v>
      </c>
      <c r="AO999" s="37" t="n">
        <f aca="false">IF($A999-AM999&gt;0,1/(1+AM999),0)</f>
        <v>0</v>
      </c>
      <c r="AP999" s="37" t="n">
        <f aca="false">IF($A999-AN999&gt;0,1/(1+AN999),0)</f>
        <v>0</v>
      </c>
      <c r="AQ999" s="7" t="n">
        <f aca="false">IF(AK999=0,0,MAX(MIN(1,AO999^Power),0))</f>
        <v>0</v>
      </c>
      <c r="AR999" s="7" t="n">
        <f aca="false">IF(AL999=0,0,MAX(MIN(1,AP999^Power),0))</f>
        <v>0</v>
      </c>
      <c r="AS999" s="7" t="n">
        <f aca="false">IF($AJ999=1,IF($H999=0,K999,AS998),AS998)</f>
        <v>0</v>
      </c>
      <c r="AT999" s="7" t="n">
        <f aca="false">IF($AJ999=1,IF($H999=1,N999,AT998),AT998)</f>
        <v>0</v>
      </c>
    </row>
    <row r="1000" customFormat="false" ht="13" hidden="false" customHeight="false" outlineLevel="0" collapsed="false">
      <c r="A1000" s="16" t="n">
        <v>983</v>
      </c>
      <c r="B1000" s="37" t="n">
        <f aca="true">IF(RAND()&lt;$D$8,1,0)</f>
        <v>0</v>
      </c>
      <c r="C1000" s="20" t="n">
        <f aca="true">-LN(RAND())/$D$2</f>
        <v>3.2603339359016</v>
      </c>
      <c r="D1000" s="38" t="n">
        <f aca="false">D999+C1000</f>
        <v>1038.49426751691</v>
      </c>
      <c r="E1000" s="39" t="n">
        <f aca="false">MAX($E$3,AS999)</f>
        <v>0</v>
      </c>
      <c r="F1000" s="39" t="n">
        <f aca="false">MAX($E$3,AT999)</f>
        <v>0</v>
      </c>
      <c r="G1000" s="40" t="n">
        <v>0.5</v>
      </c>
      <c r="H1000" s="38" t="n">
        <f aca="true">IF((B1000=1),(IF((F1000&lt;E1000),1,(IF((F1000=E1000),(IF(RAND()&lt;G1000,1,0)),0)))),(IF((RAND()&lt;G1000),1,0)))</f>
        <v>0</v>
      </c>
      <c r="I1000" s="38" t="n">
        <f aca="true">IF((H1000=1),0,$D$3+$D$5*(RAND()-0.5))</f>
        <v>2.23013990767896</v>
      </c>
      <c r="J1000" s="38" t="n">
        <f aca="false">I1000+MAX(D1000,J999)</f>
        <v>1047.86032694645</v>
      </c>
      <c r="K1000" s="38" t="n">
        <f aca="false">IF((H1000=0),J1000-D1000,0)</f>
        <v>9.36605942953338</v>
      </c>
      <c r="L1000" s="38" t="n">
        <f aca="true">IF(($H1000=0),0,$D$4+$D$5*(RAND()-0.5))</f>
        <v>0</v>
      </c>
      <c r="M1000" s="38" t="n">
        <f aca="false">L1000+MAX(D1000,M999)</f>
        <v>1054.28742932707</v>
      </c>
      <c r="N1000" s="38" t="n">
        <f aca="false">IF((H1000=1),M1000-D1000,0)</f>
        <v>0</v>
      </c>
      <c r="O1000" s="16" t="n">
        <v>983</v>
      </c>
      <c r="P1000" s="41" t="n">
        <f aca="false">IF((Arterial=0),P999+1,P999)</f>
        <v>470</v>
      </c>
      <c r="Q1000" s="41" t="n">
        <f aca="false">IF((Arterial=1),Q999+1,Q999)</f>
        <v>513</v>
      </c>
      <c r="R1000" s="42" t="e">
        <f aca="false">IF((RESET=1),0,R1000+K1000)</f>
        <v>#N/A</v>
      </c>
      <c r="S1000" s="14" t="n">
        <f aca="false">IF(RESET=1,0,S1000+N1000)</f>
        <v>618.991257169446</v>
      </c>
      <c r="T1000" s="2" t="e">
        <f aca="false">IF(RESET=1,0,T1000+IF(H1000=0,1,0))</f>
        <v>#N/A</v>
      </c>
      <c r="U1000" s="2" t="n">
        <f aca="false">IF(RESET=1,0,U1000+H1000)</f>
        <v>38</v>
      </c>
      <c r="V1000" s="14" t="e">
        <f aca="false">R1000/(T1000+0.00001)</f>
        <v>#N/A</v>
      </c>
      <c r="W1000" s="14" t="n">
        <f aca="false">S1000/(U1000+0.0001)</f>
        <v>16.2892007434045</v>
      </c>
      <c r="X1000" s="39" t="n">
        <f aca="false">IF(Informed=1,K1000,0)</f>
        <v>0</v>
      </c>
      <c r="Y1000" s="39" t="n">
        <f aca="false">IF(Informed=0,K1000,0)</f>
        <v>9.36605942953338</v>
      </c>
      <c r="Z1000" s="39" t="n">
        <f aca="false">IF(Informed=1,N1000,0)</f>
        <v>0</v>
      </c>
      <c r="AA1000" s="39" t="n">
        <f aca="false">IF(Informed=0,N1000,0)</f>
        <v>0</v>
      </c>
      <c r="AB1000" s="43" t="n">
        <f aca="false">IF(Arterial=0,IF(Informed=1,1,0),0)</f>
        <v>0</v>
      </c>
      <c r="AC1000" s="43" t="n">
        <f aca="false">IF(Arterial=0,IF(Informed=0,1,0),0)</f>
        <v>1</v>
      </c>
      <c r="AD1000" s="43" t="n">
        <f aca="false">IF(Arterial=1,IF(Informed=1,1,0),0)</f>
        <v>0</v>
      </c>
      <c r="AE1000" s="43" t="n">
        <f aca="false">IF(Arterial=1,IF(Informed=0,1,0),0)</f>
        <v>0</v>
      </c>
      <c r="AF1000" s="35" t="n">
        <f aca="false">IF(AB1000=1,(X1000-G$1030)^2,0)</f>
        <v>0</v>
      </c>
      <c r="AG1000" s="35" t="n">
        <f aca="false">IF(AC1000=1,(Y1000-H$1030)^2,0)</f>
        <v>2.42650973399116</v>
      </c>
      <c r="AH1000" s="35" t="n">
        <f aca="false">IF(AD1000=1,(Z1000-I$1030)^2,0)</f>
        <v>0</v>
      </c>
      <c r="AI1000" s="35" t="n">
        <f aca="false">IF(AE1000=1,(AA1000-J$1030)^2,0)</f>
        <v>0</v>
      </c>
      <c r="AJ1000" s="37" t="n">
        <f aca="true">IF(RAND()&lt;$D$6,1,0)</f>
        <v>0</v>
      </c>
      <c r="AK1000" s="14" t="n">
        <f aca="false">AK999+IF((AJ1000=1),IF((H1000=0),1,0),0)</f>
        <v>0</v>
      </c>
      <c r="AL1000" s="14" t="n">
        <f aca="false">AL999+IF((AJ1000=1),IF((H1000=1),1,0),0)</f>
        <v>0</v>
      </c>
      <c r="AM1000" s="37" t="n">
        <f aca="false">IF(AK1000=0,9999,IF($H1000=0,IF($AJ1000&lt;1,AM999+1,0),AM999))</f>
        <v>9999</v>
      </c>
      <c r="AN1000" s="37" t="n">
        <f aca="false">IF(AL1000=0,9999,IF($H1000=1,IF($AJ1000&lt;1,AN999+1,0),AN999))</f>
        <v>9999</v>
      </c>
      <c r="AO1000" s="37" t="n">
        <f aca="false">IF($A1000-AM1000&gt;0,1/(1+AM1000),0)</f>
        <v>0</v>
      </c>
      <c r="AP1000" s="37" t="n">
        <f aca="false">IF($A1000-AN1000&gt;0,1/(1+AN1000),0)</f>
        <v>0</v>
      </c>
      <c r="AQ1000" s="7" t="n">
        <f aca="false">IF(AK1000=0,0,MAX(MIN(1,AO1000^Power),0))</f>
        <v>0</v>
      </c>
      <c r="AR1000" s="7" t="n">
        <f aca="false">IF(AL1000=0,0,MAX(MIN(1,AP1000^Power),0))</f>
        <v>0</v>
      </c>
      <c r="AS1000" s="7" t="n">
        <f aca="false">IF($AJ1000=1,IF($H1000=0,K1000,AS999),AS999)</f>
        <v>0</v>
      </c>
      <c r="AT1000" s="7" t="n">
        <f aca="false">IF($AJ1000=1,IF($H1000=1,N1000,AT999),AT999)</f>
        <v>0</v>
      </c>
    </row>
    <row r="1001" customFormat="false" ht="13" hidden="false" customHeight="false" outlineLevel="0" collapsed="false">
      <c r="A1001" s="16" t="n">
        <v>984</v>
      </c>
      <c r="B1001" s="37" t="n">
        <f aca="true">IF(RAND()&lt;$D$8,1,0)</f>
        <v>0</v>
      </c>
      <c r="C1001" s="20" t="n">
        <f aca="true">-LN(RAND())/$D$2</f>
        <v>0.505202139855673</v>
      </c>
      <c r="D1001" s="38" t="n">
        <f aca="false">D1000+C1001</f>
        <v>1038.99946965677</v>
      </c>
      <c r="E1001" s="39" t="n">
        <f aca="false">MAX($E$3,AS1000)</f>
        <v>0</v>
      </c>
      <c r="F1001" s="39" t="n">
        <f aca="false">MAX($E$3,AT1000)</f>
        <v>0</v>
      </c>
      <c r="G1001" s="40" t="n">
        <v>0.5</v>
      </c>
      <c r="H1001" s="38" t="n">
        <f aca="true">IF((B1001=1),(IF((F1001&lt;E1001),1,(IF((F1001=E1001),(IF(RAND()&lt;G1001,1,0)),0)))),(IF((RAND()&lt;G1001),1,0)))</f>
        <v>1</v>
      </c>
      <c r="I1001" s="38" t="n">
        <f aca="true">IF((H1001=1),0,$D$3+$D$5*(RAND()-0.5))</f>
        <v>0</v>
      </c>
      <c r="J1001" s="38" t="n">
        <f aca="false">I1001+MAX(D1001,J1000)</f>
        <v>1047.86032694645</v>
      </c>
      <c r="K1001" s="38" t="n">
        <f aca="false">IF((H1001=0),J1001-D1001,0)</f>
        <v>0</v>
      </c>
      <c r="L1001" s="38" t="n">
        <f aca="true">IF(($H1001=0),0,$D$4+$D$5*(RAND()-0.5))</f>
        <v>2.03049726694245</v>
      </c>
      <c r="M1001" s="38" t="n">
        <f aca="false">L1001+MAX(D1001,M1000)</f>
        <v>1056.31792659402</v>
      </c>
      <c r="N1001" s="38" t="n">
        <f aca="false">IF((H1001=1),M1001-D1001,0)</f>
        <v>17.3184569372474</v>
      </c>
      <c r="O1001" s="16" t="n">
        <v>984</v>
      </c>
      <c r="P1001" s="41" t="n">
        <f aca="false">IF((Arterial=0),P1000+1,P1000)</f>
        <v>470</v>
      </c>
      <c r="Q1001" s="41" t="n">
        <f aca="false">IF((Arterial=1),Q1000+1,Q1000)</f>
        <v>514</v>
      </c>
      <c r="R1001" s="42" t="n">
        <f aca="false">IF((RESET=1),0,R1001+K1001)</f>
        <v>706.954028875699</v>
      </c>
      <c r="S1001" s="14" t="e">
        <f aca="false">IF(RESET=1,0,S1001+N1001)</f>
        <v>#N/A</v>
      </c>
      <c r="T1001" s="2" t="n">
        <f aca="false">IF(RESET=1,0,T1001+IF(H1001=0,1,0))</f>
        <v>37</v>
      </c>
      <c r="U1001" s="2" t="e">
        <f aca="false">IF(RESET=1,0,U1001+H1001)</f>
        <v>#N/A</v>
      </c>
      <c r="V1001" s="14" t="n">
        <f aca="false">R1001/(T1001+0.00001)</f>
        <v>19.1068604812728</v>
      </c>
      <c r="W1001" s="14" t="e">
        <f aca="false">S1001/(U1001+0.0001)</f>
        <v>#N/A</v>
      </c>
      <c r="X1001" s="39" t="n">
        <f aca="false">IF(Informed=1,K1001,0)</f>
        <v>0</v>
      </c>
      <c r="Y1001" s="39" t="n">
        <f aca="false">IF(Informed=0,K1001,0)</f>
        <v>0</v>
      </c>
      <c r="Z1001" s="39" t="n">
        <f aca="false">IF(Informed=1,N1001,0)</f>
        <v>0</v>
      </c>
      <c r="AA1001" s="39" t="n">
        <f aca="false">IF(Informed=0,N1001,0)</f>
        <v>17.3184569372474</v>
      </c>
      <c r="AB1001" s="43" t="n">
        <f aca="false">IF(Arterial=0,IF(Informed=1,1,0),0)</f>
        <v>0</v>
      </c>
      <c r="AC1001" s="43" t="n">
        <f aca="false">IF(Arterial=0,IF(Informed=0,1,0),0)</f>
        <v>0</v>
      </c>
      <c r="AD1001" s="43" t="n">
        <f aca="false">IF(Arterial=1,IF(Informed=1,1,0),0)</f>
        <v>0</v>
      </c>
      <c r="AE1001" s="43" t="n">
        <f aca="false">IF(Arterial=1,IF(Informed=0,1,0),0)</f>
        <v>1</v>
      </c>
      <c r="AF1001" s="35" t="n">
        <f aca="false">IF(AB1001=1,(X1001-G$1030)^2,0)</f>
        <v>0</v>
      </c>
      <c r="AG1001" s="35" t="n">
        <f aca="false">IF(AC1001=1,(Y1001-H$1030)^2,0)</f>
        <v>0</v>
      </c>
      <c r="AH1001" s="35" t="n">
        <f aca="false">IF(AD1001=1,(Z1001-I$1030)^2,0)</f>
        <v>0</v>
      </c>
      <c r="AI1001" s="35" t="n">
        <f aca="false">IF(AE1001=1,(AA1001-J$1030)^2,0)</f>
        <v>149.9600597864</v>
      </c>
      <c r="AJ1001" s="37" t="n">
        <f aca="true">IF(RAND()&lt;$D$6,1,0)</f>
        <v>0</v>
      </c>
      <c r="AK1001" s="14" t="n">
        <f aca="false">AK1000+IF((AJ1001=1),IF((H1001=0),1,0),0)</f>
        <v>0</v>
      </c>
      <c r="AL1001" s="14" t="n">
        <f aca="false">AL1000+IF((AJ1001=1),IF((H1001=1),1,0),0)</f>
        <v>0</v>
      </c>
      <c r="AM1001" s="37" t="n">
        <f aca="false">IF(AK1001=0,9999,IF($H1001=0,IF($AJ1001&lt;1,AM1000+1,0),AM1000))</f>
        <v>9999</v>
      </c>
      <c r="AN1001" s="37" t="n">
        <f aca="false">IF(AL1001=0,9999,IF($H1001=1,IF($AJ1001&lt;1,AN1000+1,0),AN1000))</f>
        <v>9999</v>
      </c>
      <c r="AO1001" s="37" t="n">
        <f aca="false">IF($A1001-AM1001&gt;0,1/(1+AM1001),0)</f>
        <v>0</v>
      </c>
      <c r="AP1001" s="37" t="n">
        <f aca="false">IF($A1001-AN1001&gt;0,1/(1+AN1001),0)</f>
        <v>0</v>
      </c>
      <c r="AQ1001" s="7" t="n">
        <f aca="false">IF(AK1001=0,0,MAX(MIN(1,AO1001^Power),0))</f>
        <v>0</v>
      </c>
      <c r="AR1001" s="7" t="n">
        <f aca="false">IF(AL1001=0,0,MAX(MIN(1,AP1001^Power),0))</f>
        <v>0</v>
      </c>
      <c r="AS1001" s="7" t="n">
        <f aca="false">IF($AJ1001=1,IF($H1001=0,K1001,AS1000),AS1000)</f>
        <v>0</v>
      </c>
      <c r="AT1001" s="7" t="n">
        <f aca="false">IF($AJ1001=1,IF($H1001=1,N1001,AT1000),AT1000)</f>
        <v>0</v>
      </c>
    </row>
    <row r="1002" customFormat="false" ht="13" hidden="false" customHeight="false" outlineLevel="0" collapsed="false">
      <c r="A1002" s="16" t="n">
        <v>985</v>
      </c>
      <c r="B1002" s="37" t="n">
        <f aca="true">IF(RAND()&lt;$D$8,1,0)</f>
        <v>1</v>
      </c>
      <c r="C1002" s="20" t="n">
        <f aca="true">-LN(RAND())/$D$2</f>
        <v>0.531893989495023</v>
      </c>
      <c r="D1002" s="38" t="n">
        <f aca="false">D1001+C1002</f>
        <v>1039.53136364626</v>
      </c>
      <c r="E1002" s="39" t="n">
        <f aca="false">MAX($E$3,AS1001)</f>
        <v>0</v>
      </c>
      <c r="F1002" s="39" t="n">
        <f aca="false">MAX($E$3,AT1001)</f>
        <v>0</v>
      </c>
      <c r="G1002" s="40" t="n">
        <v>0.5</v>
      </c>
      <c r="H1002" s="38" t="n">
        <f aca="true">IF((B1002=1),(IF((F1002&lt;E1002),1,(IF((F1002=E1002),(IF(RAND()&lt;G1002,1,0)),0)))),(IF((RAND()&lt;G1002),1,0)))</f>
        <v>1</v>
      </c>
      <c r="I1002" s="38" t="n">
        <f aca="true">IF((H1002=1),0,$D$3+$D$5*(RAND()-0.5))</f>
        <v>0</v>
      </c>
      <c r="J1002" s="38" t="n">
        <f aca="false">I1002+MAX(D1002,J1001)</f>
        <v>1047.86032694645</v>
      </c>
      <c r="K1002" s="38" t="n">
        <f aca="false">IF((H1002=0),J1002-D1002,0)</f>
        <v>0</v>
      </c>
      <c r="L1002" s="38" t="n">
        <f aca="true">IF(($H1002=0),0,$D$4+$D$5*(RAND()-0.5))</f>
        <v>2.03121111623861</v>
      </c>
      <c r="M1002" s="38" t="n">
        <f aca="false">L1002+MAX(D1002,M1001)</f>
        <v>1058.34913771025</v>
      </c>
      <c r="N1002" s="38" t="n">
        <f aca="false">IF((H1002=1),M1002-D1002,0)</f>
        <v>18.817774063991</v>
      </c>
      <c r="O1002" s="16" t="n">
        <v>985</v>
      </c>
      <c r="P1002" s="41" t="n">
        <f aca="false">IF((Arterial=0),P1001+1,P1001)</f>
        <v>470</v>
      </c>
      <c r="Q1002" s="41" t="n">
        <f aca="false">IF((Arterial=1),Q1001+1,Q1001)</f>
        <v>515</v>
      </c>
      <c r="R1002" s="42" t="n">
        <f aca="false">IF((RESET=1),0,R1002+K1002)</f>
        <v>571.475591828967</v>
      </c>
      <c r="S1002" s="14" t="e">
        <f aca="false">IF(RESET=1,0,S1002+N1002)</f>
        <v>#N/A</v>
      </c>
      <c r="T1002" s="2" t="n">
        <f aca="false">IF(RESET=1,0,T1002+IF(H1002=0,1,0))</f>
        <v>33</v>
      </c>
      <c r="U1002" s="2" t="e">
        <f aca="false">IF(RESET=1,0,U1002+H1002)</f>
        <v>#N/A</v>
      </c>
      <c r="V1002" s="14" t="n">
        <f aca="false">R1002/(T1002+0.00001)</f>
        <v>17.3174369289272</v>
      </c>
      <c r="W1002" s="14" t="e">
        <f aca="false">S1002/(U1002+0.0001)</f>
        <v>#N/A</v>
      </c>
      <c r="X1002" s="39" t="n">
        <f aca="false">IF(Informed=1,K1002,0)</f>
        <v>0</v>
      </c>
      <c r="Y1002" s="39" t="n">
        <f aca="false">IF(Informed=0,K1002,0)</f>
        <v>0</v>
      </c>
      <c r="Z1002" s="39" t="n">
        <f aca="false">IF(Informed=1,N1002,0)</f>
        <v>18.817774063991</v>
      </c>
      <c r="AA1002" s="39" t="n">
        <f aca="false">IF(Informed=0,N1002,0)</f>
        <v>0</v>
      </c>
      <c r="AB1002" s="43" t="n">
        <f aca="false">IF(Arterial=0,IF(Informed=1,1,0),0)</f>
        <v>0</v>
      </c>
      <c r="AC1002" s="43" t="n">
        <f aca="false">IF(Arterial=0,IF(Informed=0,1,0),0)</f>
        <v>0</v>
      </c>
      <c r="AD1002" s="43" t="n">
        <f aca="false">IF(Arterial=1,IF(Informed=1,1,0),0)</f>
        <v>1</v>
      </c>
      <c r="AE1002" s="43" t="n">
        <f aca="false">IF(Arterial=1,IF(Informed=0,1,0),0)</f>
        <v>0</v>
      </c>
      <c r="AF1002" s="35" t="n">
        <f aca="false">IF(AB1002=1,(X1002-G$1030)^2,0)</f>
        <v>0</v>
      </c>
      <c r="AG1002" s="35" t="n">
        <f aca="false">IF(AC1002=1,(Y1002-H$1030)^2,0)</f>
        <v>0</v>
      </c>
      <c r="AH1002" s="35" t="n">
        <f aca="false">IF(AD1002=1,(Z1002-I$1030)^2,0)</f>
        <v>91.3374097824775</v>
      </c>
      <c r="AI1002" s="35" t="n">
        <f aca="false">IF(AE1002=1,(AA1002-J$1030)^2,0)</f>
        <v>0</v>
      </c>
      <c r="AJ1002" s="37" t="n">
        <f aca="true">IF(RAND()&lt;$D$6,1,0)</f>
        <v>0</v>
      </c>
      <c r="AK1002" s="14" t="n">
        <f aca="false">AK1001+IF((AJ1002=1),IF((H1002=0),1,0),0)</f>
        <v>0</v>
      </c>
      <c r="AL1002" s="14" t="n">
        <f aca="false">AL1001+IF((AJ1002=1),IF((H1002=1),1,0),0)</f>
        <v>0</v>
      </c>
      <c r="AM1002" s="37" t="n">
        <f aca="false">IF(AK1002=0,9999,IF($H1002=0,IF($AJ1002&lt;1,AM1001+1,0),AM1001))</f>
        <v>9999</v>
      </c>
      <c r="AN1002" s="37" t="n">
        <f aca="false">IF(AL1002=0,9999,IF($H1002=1,IF($AJ1002&lt;1,AN1001+1,0),AN1001))</f>
        <v>9999</v>
      </c>
      <c r="AO1002" s="37" t="n">
        <f aca="false">IF($A1002-AM1002&gt;0,1/(1+AM1002),0)</f>
        <v>0</v>
      </c>
      <c r="AP1002" s="37" t="n">
        <f aca="false">IF($A1002-AN1002&gt;0,1/(1+AN1002),0)</f>
        <v>0</v>
      </c>
      <c r="AQ1002" s="7" t="n">
        <f aca="false">IF(AK1002=0,0,MAX(MIN(1,AO1002^Power),0))</f>
        <v>0</v>
      </c>
      <c r="AR1002" s="7" t="n">
        <f aca="false">IF(AL1002=0,0,MAX(MIN(1,AP1002^Power),0))</f>
        <v>0</v>
      </c>
      <c r="AS1002" s="7" t="n">
        <f aca="false">IF($AJ1002=1,IF($H1002=0,K1002,AS1001),AS1001)</f>
        <v>0</v>
      </c>
      <c r="AT1002" s="7" t="n">
        <f aca="false">IF($AJ1002=1,IF($H1002=1,N1002,AT1001),AT1001)</f>
        <v>0</v>
      </c>
    </row>
    <row r="1003" customFormat="false" ht="13" hidden="false" customHeight="false" outlineLevel="0" collapsed="false">
      <c r="A1003" s="16" t="n">
        <v>986</v>
      </c>
      <c r="B1003" s="37" t="n">
        <f aca="true">IF(RAND()&lt;$D$8,1,0)</f>
        <v>1</v>
      </c>
      <c r="C1003" s="20" t="n">
        <f aca="true">-LN(RAND())/$D$2</f>
        <v>0.542761591785807</v>
      </c>
      <c r="D1003" s="38" t="n">
        <f aca="false">D1002+C1003</f>
        <v>1040.07412523805</v>
      </c>
      <c r="E1003" s="39" t="n">
        <f aca="false">MAX($E$3,AS1002)</f>
        <v>0</v>
      </c>
      <c r="F1003" s="39" t="n">
        <f aca="false">MAX($E$3,AT1002)</f>
        <v>0</v>
      </c>
      <c r="G1003" s="40" t="n">
        <v>0.5</v>
      </c>
      <c r="H1003" s="38" t="n">
        <f aca="true">IF((B1003=1),(IF((F1003&lt;E1003),1,(IF((F1003=E1003),(IF(RAND()&lt;G1003,1,0)),0)))),(IF((RAND()&lt;G1003),1,0)))</f>
        <v>1</v>
      </c>
      <c r="I1003" s="38" t="n">
        <f aca="true">IF((H1003=1),0,$D$3+$D$5*(RAND()-0.5))</f>
        <v>0</v>
      </c>
      <c r="J1003" s="38" t="n">
        <f aca="false">I1003+MAX(D1003,J1002)</f>
        <v>1047.86032694645</v>
      </c>
      <c r="K1003" s="38" t="n">
        <f aca="false">IF((H1003=0),J1003-D1003,0)</f>
        <v>0</v>
      </c>
      <c r="L1003" s="38" t="n">
        <f aca="true">IF(($H1003=0),0,$D$4+$D$5*(RAND()-0.5))</f>
        <v>1.78656475057772</v>
      </c>
      <c r="M1003" s="38" t="n">
        <f aca="false">L1003+MAX(D1003,M1002)</f>
        <v>1060.13570246083</v>
      </c>
      <c r="N1003" s="38" t="n">
        <f aca="false">IF((H1003=1),M1003-D1003,0)</f>
        <v>20.0615772227829</v>
      </c>
      <c r="O1003" s="16" t="n">
        <v>986</v>
      </c>
      <c r="P1003" s="41" t="n">
        <f aca="false">IF((Arterial=0),P1002+1,P1002)</f>
        <v>470</v>
      </c>
      <c r="Q1003" s="41" t="n">
        <f aca="false">IF((Arterial=1),Q1002+1,Q1002)</f>
        <v>516</v>
      </c>
      <c r="R1003" s="42" t="n">
        <f aca="false">IF((RESET=1),0,R1003+K1003)</f>
        <v>630.336668423341</v>
      </c>
      <c r="S1003" s="14" t="e">
        <f aca="false">IF(RESET=1,0,S1003+N1003)</f>
        <v>#N/A</v>
      </c>
      <c r="T1003" s="2" t="n">
        <f aca="false">IF(RESET=1,0,T1003+IF(H1003=0,1,0))</f>
        <v>37</v>
      </c>
      <c r="U1003" s="2" t="e">
        <f aca="false">IF(RESET=1,0,U1003+H1003)</f>
        <v>#N/A</v>
      </c>
      <c r="V1003" s="14" t="n">
        <f aca="false">R1003/(T1003+0.00001)</f>
        <v>17.0361215692466</v>
      </c>
      <c r="W1003" s="14" t="e">
        <f aca="false">S1003/(U1003+0.0001)</f>
        <v>#N/A</v>
      </c>
      <c r="X1003" s="39" t="n">
        <f aca="false">IF(Informed=1,K1003,0)</f>
        <v>0</v>
      </c>
      <c r="Y1003" s="39" t="n">
        <f aca="false">IF(Informed=0,K1003,0)</f>
        <v>0</v>
      </c>
      <c r="Z1003" s="39" t="n">
        <f aca="false">IF(Informed=1,N1003,0)</f>
        <v>20.0615772227829</v>
      </c>
      <c r="AA1003" s="39" t="n">
        <f aca="false">IF(Informed=0,N1003,0)</f>
        <v>0</v>
      </c>
      <c r="AB1003" s="43" t="n">
        <f aca="false">IF(Arterial=0,IF(Informed=1,1,0),0)</f>
        <v>0</v>
      </c>
      <c r="AC1003" s="43" t="n">
        <f aca="false">IF(Arterial=0,IF(Informed=0,1,0),0)</f>
        <v>0</v>
      </c>
      <c r="AD1003" s="43" t="n">
        <f aca="false">IF(Arterial=1,IF(Informed=1,1,0),0)</f>
        <v>1</v>
      </c>
      <c r="AE1003" s="43" t="n">
        <f aca="false">IF(Arterial=1,IF(Informed=0,1,0),0)</f>
        <v>0</v>
      </c>
      <c r="AF1003" s="35" t="n">
        <f aca="false">IF(AB1003=1,(X1003-G$1030)^2,0)</f>
        <v>0</v>
      </c>
      <c r="AG1003" s="35" t="n">
        <f aca="false">IF(AC1003=1,(Y1003-H$1030)^2,0)</f>
        <v>0</v>
      </c>
      <c r="AH1003" s="35" t="n">
        <f aca="false">IF(AD1003=1,(Z1003-I$1030)^2,0)</f>
        <v>69.1102514326957</v>
      </c>
      <c r="AI1003" s="35" t="n">
        <f aca="false">IF(AE1003=1,(AA1003-J$1030)^2,0)</f>
        <v>0</v>
      </c>
      <c r="AJ1003" s="37" t="n">
        <f aca="true">IF(RAND()&lt;$D$6,1,0)</f>
        <v>0</v>
      </c>
      <c r="AK1003" s="14" t="n">
        <f aca="false">AK1002+IF((AJ1003=1),IF((H1003=0),1,0),0)</f>
        <v>0</v>
      </c>
      <c r="AL1003" s="14" t="n">
        <f aca="false">AL1002+IF((AJ1003=1),IF((H1003=1),1,0),0)</f>
        <v>0</v>
      </c>
      <c r="AM1003" s="37" t="n">
        <f aca="false">IF(AK1003=0,9999,IF($H1003=0,IF($AJ1003&lt;1,AM1002+1,0),AM1002))</f>
        <v>9999</v>
      </c>
      <c r="AN1003" s="37" t="n">
        <f aca="false">IF(AL1003=0,9999,IF($H1003=1,IF($AJ1003&lt;1,AN1002+1,0),AN1002))</f>
        <v>9999</v>
      </c>
      <c r="AO1003" s="37" t="n">
        <f aca="false">IF($A1003-AM1003&gt;0,1/(1+AM1003),0)</f>
        <v>0</v>
      </c>
      <c r="AP1003" s="37" t="n">
        <f aca="false">IF($A1003-AN1003&gt;0,1/(1+AN1003),0)</f>
        <v>0</v>
      </c>
      <c r="AQ1003" s="7" t="n">
        <f aca="false">IF(AK1003=0,0,MAX(MIN(1,AO1003^Power),0))</f>
        <v>0</v>
      </c>
      <c r="AR1003" s="7" t="n">
        <f aca="false">IF(AL1003=0,0,MAX(MIN(1,AP1003^Power),0))</f>
        <v>0</v>
      </c>
      <c r="AS1003" s="7" t="n">
        <f aca="false">IF($AJ1003=1,IF($H1003=0,K1003,AS1002),AS1002)</f>
        <v>0</v>
      </c>
      <c r="AT1003" s="7" t="n">
        <f aca="false">IF($AJ1003=1,IF($H1003=1,N1003,AT1002),AT1002)</f>
        <v>0</v>
      </c>
    </row>
    <row r="1004" customFormat="false" ht="13" hidden="false" customHeight="false" outlineLevel="0" collapsed="false">
      <c r="A1004" s="16" t="n">
        <v>987</v>
      </c>
      <c r="B1004" s="37" t="n">
        <f aca="true">IF(RAND()&lt;$D$8,1,0)</f>
        <v>0</v>
      </c>
      <c r="C1004" s="20" t="n">
        <f aca="true">-LN(RAND())/$D$2</f>
        <v>0.371777016138908</v>
      </c>
      <c r="D1004" s="38" t="n">
        <f aca="false">D1003+C1004</f>
        <v>1040.44590225419</v>
      </c>
      <c r="E1004" s="39" t="n">
        <f aca="false">MAX($E$3,AS1003)</f>
        <v>0</v>
      </c>
      <c r="F1004" s="39" t="n">
        <f aca="false">MAX($E$3,AT1003)</f>
        <v>0</v>
      </c>
      <c r="G1004" s="40" t="n">
        <v>0.5</v>
      </c>
      <c r="H1004" s="38" t="n">
        <f aca="true">IF((B1004=1),(IF((F1004&lt;E1004),1,(IF((F1004=E1004),(IF(RAND()&lt;G1004,1,0)),0)))),(IF((RAND()&lt;G1004),1,0)))</f>
        <v>0</v>
      </c>
      <c r="I1004" s="38" t="n">
        <f aca="true">IF((H1004=1),0,$D$3+$D$5*(RAND()-0.5))</f>
        <v>2.04227852495937</v>
      </c>
      <c r="J1004" s="38" t="n">
        <f aca="false">I1004+MAX(D1004,J1003)</f>
        <v>1049.90260547141</v>
      </c>
      <c r="K1004" s="38" t="n">
        <f aca="false">IF((H1004=0),J1004-D1004,0)</f>
        <v>9.45670321721718</v>
      </c>
      <c r="L1004" s="38" t="n">
        <f aca="true">IF(($H1004=0),0,$D$4+$D$5*(RAND()-0.5))</f>
        <v>0</v>
      </c>
      <c r="M1004" s="38" t="n">
        <f aca="false">L1004+MAX(D1004,M1003)</f>
        <v>1060.13570246083</v>
      </c>
      <c r="N1004" s="38" t="n">
        <f aca="false">IF((H1004=1),M1004-D1004,0)</f>
        <v>0</v>
      </c>
      <c r="O1004" s="16" t="n">
        <v>987</v>
      </c>
      <c r="P1004" s="41" t="n">
        <f aca="false">IF((Arterial=0),P1003+1,P1003)</f>
        <v>471</v>
      </c>
      <c r="Q1004" s="41" t="n">
        <f aca="false">IF((Arterial=1),Q1003+1,Q1003)</f>
        <v>516</v>
      </c>
      <c r="R1004" s="42" t="e">
        <f aca="false">IF((RESET=1),0,R1004+K1004)</f>
        <v>#N/A</v>
      </c>
      <c r="S1004" s="14" t="n">
        <f aca="false">IF(RESET=1,0,S1004+N1004)</f>
        <v>697.904824758259</v>
      </c>
      <c r="T1004" s="2" t="e">
        <f aca="false">IF(RESET=1,0,T1004+IF(H1004=0,1,0))</f>
        <v>#N/A</v>
      </c>
      <c r="U1004" s="2" t="n">
        <f aca="false">IF(RESET=1,0,U1004+H1004)</f>
        <v>41</v>
      </c>
      <c r="V1004" s="14" t="e">
        <f aca="false">R1004/(T1004+0.00001)</f>
        <v>#N/A</v>
      </c>
      <c r="W1004" s="14" t="n">
        <f aca="false">S1004/(U1004+0.0001)</f>
        <v>17.0220273794029</v>
      </c>
      <c r="X1004" s="39" t="n">
        <f aca="false">IF(Informed=1,K1004,0)</f>
        <v>0</v>
      </c>
      <c r="Y1004" s="39" t="n">
        <f aca="false">IF(Informed=0,K1004,0)</f>
        <v>9.45670321721718</v>
      </c>
      <c r="Z1004" s="39" t="n">
        <f aca="false">IF(Informed=1,N1004,0)</f>
        <v>0</v>
      </c>
      <c r="AA1004" s="39" t="n">
        <f aca="false">IF(Informed=0,N1004,0)</f>
        <v>0</v>
      </c>
      <c r="AB1004" s="43" t="n">
        <f aca="false">IF(Arterial=0,IF(Informed=1,1,0),0)</f>
        <v>0</v>
      </c>
      <c r="AC1004" s="43" t="n">
        <f aca="false">IF(Arterial=0,IF(Informed=0,1,0),0)</f>
        <v>1</v>
      </c>
      <c r="AD1004" s="43" t="n">
        <f aca="false">IF(Arterial=1,IF(Informed=1,1,0),0)</f>
        <v>0</v>
      </c>
      <c r="AE1004" s="43" t="n">
        <f aca="false">IF(Arterial=1,IF(Informed=0,1,0),0)</f>
        <v>0</v>
      </c>
      <c r="AF1004" s="35" t="n">
        <f aca="false">IF(AB1004=1,(X1004-G$1030)^2,0)</f>
        <v>0</v>
      </c>
      <c r="AG1004" s="35" t="n">
        <f aca="false">IF(AC1004=1,(Y1004-H$1030)^2,0)</f>
        <v>2.15232969302641</v>
      </c>
      <c r="AH1004" s="35" t="n">
        <f aca="false">IF(AD1004=1,(Z1004-I$1030)^2,0)</f>
        <v>0</v>
      </c>
      <c r="AI1004" s="35" t="n">
        <f aca="false">IF(AE1004=1,(AA1004-J$1030)^2,0)</f>
        <v>0</v>
      </c>
      <c r="AJ1004" s="37" t="n">
        <f aca="true">IF(RAND()&lt;$D$6,1,0)</f>
        <v>0</v>
      </c>
      <c r="AK1004" s="14" t="n">
        <f aca="false">AK1003+IF((AJ1004=1),IF((H1004=0),1,0),0)</f>
        <v>0</v>
      </c>
      <c r="AL1004" s="14" t="n">
        <f aca="false">AL1003+IF((AJ1004=1),IF((H1004=1),1,0),0)</f>
        <v>0</v>
      </c>
      <c r="AM1004" s="37" t="n">
        <f aca="false">IF(AK1004=0,9999,IF($H1004=0,IF($AJ1004&lt;1,AM1003+1,0),AM1003))</f>
        <v>9999</v>
      </c>
      <c r="AN1004" s="37" t="n">
        <f aca="false">IF(AL1004=0,9999,IF($H1004=1,IF($AJ1004&lt;1,AN1003+1,0),AN1003))</f>
        <v>9999</v>
      </c>
      <c r="AO1004" s="37" t="n">
        <f aca="false">IF($A1004-AM1004&gt;0,1/(1+AM1004),0)</f>
        <v>0</v>
      </c>
      <c r="AP1004" s="37" t="n">
        <f aca="false">IF($A1004-AN1004&gt;0,1/(1+AN1004),0)</f>
        <v>0</v>
      </c>
      <c r="AQ1004" s="7" t="n">
        <f aca="false">IF(AK1004=0,0,MAX(MIN(1,AO1004^Power),0))</f>
        <v>0</v>
      </c>
      <c r="AR1004" s="7" t="n">
        <f aca="false">IF(AL1004=0,0,MAX(MIN(1,AP1004^Power),0))</f>
        <v>0</v>
      </c>
      <c r="AS1004" s="7" t="n">
        <f aca="false">IF($AJ1004=1,IF($H1004=0,K1004,AS1003),AS1003)</f>
        <v>0</v>
      </c>
      <c r="AT1004" s="7" t="n">
        <f aca="false">IF($AJ1004=1,IF($H1004=1,N1004,AT1003),AT1003)</f>
        <v>0</v>
      </c>
    </row>
    <row r="1005" customFormat="false" ht="13" hidden="false" customHeight="false" outlineLevel="0" collapsed="false">
      <c r="A1005" s="16" t="n">
        <v>988</v>
      </c>
      <c r="B1005" s="37" t="n">
        <f aca="true">IF(RAND()&lt;$D$8,1,0)</f>
        <v>0</v>
      </c>
      <c r="C1005" s="20" t="n">
        <f aca="true">-LN(RAND())/$D$2</f>
        <v>0.433961431610416</v>
      </c>
      <c r="D1005" s="38" t="n">
        <f aca="false">D1004+C1005</f>
        <v>1040.8798636858</v>
      </c>
      <c r="E1005" s="39" t="n">
        <f aca="false">MAX($E$3,AS1004)</f>
        <v>0</v>
      </c>
      <c r="F1005" s="39" t="n">
        <f aca="false">MAX($E$3,AT1004)</f>
        <v>0</v>
      </c>
      <c r="G1005" s="40" t="n">
        <v>0.5</v>
      </c>
      <c r="H1005" s="38" t="n">
        <f aca="true">IF((B1005=1),(IF((F1005&lt;E1005),1,(IF((F1005=E1005),(IF(RAND()&lt;G1005,1,0)),0)))),(IF((RAND()&lt;G1005),1,0)))</f>
        <v>0</v>
      </c>
      <c r="I1005" s="38" t="n">
        <f aca="true">IF((H1005=1),0,$D$3+$D$5*(RAND()-0.5))</f>
        <v>1.9224691602025</v>
      </c>
      <c r="J1005" s="38" t="n">
        <f aca="false">I1005+MAX(D1005,J1004)</f>
        <v>1051.82507463161</v>
      </c>
      <c r="K1005" s="38" t="n">
        <f aca="false">IF((H1005=0),J1005-D1005,0)</f>
        <v>10.9452109458093</v>
      </c>
      <c r="L1005" s="38" t="n">
        <f aca="true">IF(($H1005=0),0,$D$4+$D$5*(RAND()-0.5))</f>
        <v>0</v>
      </c>
      <c r="M1005" s="38" t="n">
        <f aca="false">L1005+MAX(D1005,M1004)</f>
        <v>1060.13570246083</v>
      </c>
      <c r="N1005" s="38" t="n">
        <f aca="false">IF((H1005=1),M1005-D1005,0)</f>
        <v>0</v>
      </c>
      <c r="O1005" s="16" t="n">
        <v>988</v>
      </c>
      <c r="P1005" s="41" t="n">
        <f aca="false">IF((Arterial=0),P1004+1,P1004)</f>
        <v>472</v>
      </c>
      <c r="Q1005" s="41" t="n">
        <f aca="false">IF((Arterial=1),Q1004+1,Q1004)</f>
        <v>516</v>
      </c>
      <c r="R1005" s="42" t="e">
        <f aca="false">IF((RESET=1),0,R1005+K1005)</f>
        <v>#N/A</v>
      </c>
      <c r="S1005" s="14" t="n">
        <f aca="false">IF(RESET=1,0,S1005+N1005)</f>
        <v>838.790698023738</v>
      </c>
      <c r="T1005" s="2" t="e">
        <f aca="false">IF(RESET=1,0,T1005+IF(H1005=0,1,0))</f>
        <v>#N/A</v>
      </c>
      <c r="U1005" s="2" t="n">
        <f aca="false">IF(RESET=1,0,U1005+H1005)</f>
        <v>39</v>
      </c>
      <c r="V1005" s="14" t="e">
        <f aca="false">R1005/(T1005+0.00001)</f>
        <v>#N/A</v>
      </c>
      <c r="W1005" s="14" t="n">
        <f aca="false">S1005/(U1005+0.0001)</f>
        <v>21.5073986483044</v>
      </c>
      <c r="X1005" s="39" t="n">
        <f aca="false">IF(Informed=1,K1005,0)</f>
        <v>0</v>
      </c>
      <c r="Y1005" s="39" t="n">
        <f aca="false">IF(Informed=0,K1005,0)</f>
        <v>10.9452109458093</v>
      </c>
      <c r="Z1005" s="39" t="n">
        <f aca="false">IF(Informed=1,N1005,0)</f>
        <v>0</v>
      </c>
      <c r="AA1005" s="39" t="n">
        <f aca="false">IF(Informed=0,N1005,0)</f>
        <v>0</v>
      </c>
      <c r="AB1005" s="43" t="n">
        <f aca="false">IF(Arterial=0,IF(Informed=1,1,0),0)</f>
        <v>0</v>
      </c>
      <c r="AC1005" s="43" t="n">
        <f aca="false">IF(Arterial=0,IF(Informed=0,1,0),0)</f>
        <v>1</v>
      </c>
      <c r="AD1005" s="43" t="n">
        <f aca="false">IF(Arterial=1,IF(Informed=1,1,0),0)</f>
        <v>0</v>
      </c>
      <c r="AE1005" s="43" t="n">
        <f aca="false">IF(Arterial=1,IF(Informed=0,1,0),0)</f>
        <v>0</v>
      </c>
      <c r="AF1005" s="35" t="n">
        <f aca="false">IF(AB1005=1,(X1005-G$1030)^2,0)</f>
        <v>0</v>
      </c>
      <c r="AG1005" s="35" t="n">
        <f aca="false">IF(AC1005=1,(Y1005-H$1030)^2,0)</f>
        <v>0.000459060410065693</v>
      </c>
      <c r="AH1005" s="35" t="n">
        <f aca="false">IF(AD1005=1,(Z1005-I$1030)^2,0)</f>
        <v>0</v>
      </c>
      <c r="AI1005" s="35" t="n">
        <f aca="false">IF(AE1005=1,(AA1005-J$1030)^2,0)</f>
        <v>0</v>
      </c>
      <c r="AJ1005" s="37" t="n">
        <f aca="true">IF(RAND()&lt;$D$6,1,0)</f>
        <v>0</v>
      </c>
      <c r="AK1005" s="14" t="n">
        <f aca="false">AK1004+IF((AJ1005=1),IF((H1005=0),1,0),0)</f>
        <v>0</v>
      </c>
      <c r="AL1005" s="14" t="n">
        <f aca="false">AL1004+IF((AJ1005=1),IF((H1005=1),1,0),0)</f>
        <v>0</v>
      </c>
      <c r="AM1005" s="37" t="n">
        <f aca="false">IF(AK1005=0,9999,IF($H1005=0,IF($AJ1005&lt;1,AM1004+1,0),AM1004))</f>
        <v>9999</v>
      </c>
      <c r="AN1005" s="37" t="n">
        <f aca="false">IF(AL1005=0,9999,IF($H1005=1,IF($AJ1005&lt;1,AN1004+1,0),AN1004))</f>
        <v>9999</v>
      </c>
      <c r="AO1005" s="37" t="n">
        <f aca="false">IF($A1005-AM1005&gt;0,1/(1+AM1005),0)</f>
        <v>0</v>
      </c>
      <c r="AP1005" s="37" t="n">
        <f aca="false">IF($A1005-AN1005&gt;0,1/(1+AN1005),0)</f>
        <v>0</v>
      </c>
      <c r="AQ1005" s="7" t="n">
        <f aca="false">IF(AK1005=0,0,MAX(MIN(1,AO1005^Power),0))</f>
        <v>0</v>
      </c>
      <c r="AR1005" s="7" t="n">
        <f aca="false">IF(AL1005=0,0,MAX(MIN(1,AP1005^Power),0))</f>
        <v>0</v>
      </c>
      <c r="AS1005" s="7" t="n">
        <f aca="false">IF($AJ1005=1,IF($H1005=0,K1005,AS1004),AS1004)</f>
        <v>0</v>
      </c>
      <c r="AT1005" s="7" t="n">
        <f aca="false">IF($AJ1005=1,IF($H1005=1,N1005,AT1004),AT1004)</f>
        <v>0</v>
      </c>
    </row>
    <row r="1006" customFormat="false" ht="13" hidden="false" customHeight="false" outlineLevel="0" collapsed="false">
      <c r="A1006" s="16" t="n">
        <v>989</v>
      </c>
      <c r="B1006" s="37" t="n">
        <f aca="true">IF(RAND()&lt;$D$8,1,0)</f>
        <v>1</v>
      </c>
      <c r="C1006" s="20" t="n">
        <f aca="true">-LN(RAND())/$D$2</f>
        <v>0.448221260932192</v>
      </c>
      <c r="D1006" s="38" t="n">
        <f aca="false">D1005+C1006</f>
        <v>1041.32808494673</v>
      </c>
      <c r="E1006" s="39" t="n">
        <f aca="false">MAX($E$3,AS1005)</f>
        <v>0</v>
      </c>
      <c r="F1006" s="39" t="n">
        <f aca="false">MAX($E$3,AT1005)</f>
        <v>0</v>
      </c>
      <c r="G1006" s="40" t="n">
        <v>0.5</v>
      </c>
      <c r="H1006" s="38" t="n">
        <f aca="true">IF((B1006=1),(IF((F1006&lt;E1006),1,(IF((F1006=E1006),(IF(RAND()&lt;G1006,1,0)),0)))),(IF((RAND()&lt;G1006),1,0)))</f>
        <v>1</v>
      </c>
      <c r="I1006" s="38" t="n">
        <f aca="true">IF((H1006=1),0,$D$3+$D$5*(RAND()-0.5))</f>
        <v>0</v>
      </c>
      <c r="J1006" s="38" t="n">
        <f aca="false">I1006+MAX(D1006,J1005)</f>
        <v>1051.82507463161</v>
      </c>
      <c r="K1006" s="38" t="n">
        <f aca="false">IF((H1006=0),J1006-D1006,0)</f>
        <v>0</v>
      </c>
      <c r="L1006" s="38" t="n">
        <f aca="true">IF(($H1006=0),0,$D$4+$D$5*(RAND()-0.5))</f>
        <v>2.20041225466494</v>
      </c>
      <c r="M1006" s="38" t="n">
        <f aca="false">L1006+MAX(D1006,M1005)</f>
        <v>1062.3361147155</v>
      </c>
      <c r="N1006" s="38" t="n">
        <f aca="false">IF((H1006=1),M1006-D1006,0)</f>
        <v>21.0080297687666</v>
      </c>
      <c r="O1006" s="16" t="n">
        <v>989</v>
      </c>
      <c r="P1006" s="41" t="n">
        <f aca="false">IF((Arterial=0),P1005+1,P1005)</f>
        <v>472</v>
      </c>
      <c r="Q1006" s="41" t="n">
        <f aca="false">IF((Arterial=1),Q1005+1,Q1005)</f>
        <v>517</v>
      </c>
      <c r="R1006" s="42" t="n">
        <f aca="false">IF((RESET=1),0,R1006+K1006)</f>
        <v>643.157687848969</v>
      </c>
      <c r="S1006" s="14" t="e">
        <f aca="false">IF(RESET=1,0,S1006+N1006)</f>
        <v>#N/A</v>
      </c>
      <c r="T1006" s="2" t="n">
        <f aca="false">IF(RESET=1,0,T1006+IF(H1006=0,1,0))</f>
        <v>34</v>
      </c>
      <c r="U1006" s="2" t="e">
        <f aca="false">IF(RESET=1,0,U1006+H1006)</f>
        <v>#N/A</v>
      </c>
      <c r="V1006" s="14" t="n">
        <f aca="false">R1006/(T1006+0.00001)</f>
        <v>18.916397020147</v>
      </c>
      <c r="W1006" s="14" t="e">
        <f aca="false">S1006/(U1006+0.0001)</f>
        <v>#N/A</v>
      </c>
      <c r="X1006" s="39" t="n">
        <f aca="false">IF(Informed=1,K1006,0)</f>
        <v>0</v>
      </c>
      <c r="Y1006" s="39" t="n">
        <f aca="false">IF(Informed=0,K1006,0)</f>
        <v>0</v>
      </c>
      <c r="Z1006" s="39" t="n">
        <f aca="false">IF(Informed=1,N1006,0)</f>
        <v>21.0080297687666</v>
      </c>
      <c r="AA1006" s="39" t="n">
        <f aca="false">IF(Informed=0,N1006,0)</f>
        <v>0</v>
      </c>
      <c r="AB1006" s="43" t="n">
        <f aca="false">IF(Arterial=0,IF(Informed=1,1,0),0)</f>
        <v>0</v>
      </c>
      <c r="AC1006" s="43" t="n">
        <f aca="false">IF(Arterial=0,IF(Informed=0,1,0),0)</f>
        <v>0</v>
      </c>
      <c r="AD1006" s="43" t="n">
        <f aca="false">IF(Arterial=1,IF(Informed=1,1,0),0)</f>
        <v>1</v>
      </c>
      <c r="AE1006" s="43" t="n">
        <f aca="false">IF(Arterial=1,IF(Informed=0,1,0),0)</f>
        <v>0</v>
      </c>
      <c r="AF1006" s="35" t="n">
        <f aca="false">IF(AB1006=1,(X1006-G$1030)^2,0)</f>
        <v>0</v>
      </c>
      <c r="AG1006" s="35" t="n">
        <f aca="false">IF(AC1006=1,(Y1006-H$1030)^2,0)</f>
        <v>0</v>
      </c>
      <c r="AH1006" s="35" t="n">
        <f aca="false">IF(AD1006=1,(Z1006-I$1030)^2,0)</f>
        <v>54.2698162685479</v>
      </c>
      <c r="AI1006" s="35" t="n">
        <f aca="false">IF(AE1006=1,(AA1006-J$1030)^2,0)</f>
        <v>0</v>
      </c>
      <c r="AJ1006" s="37" t="n">
        <f aca="true">IF(RAND()&lt;$D$6,1,0)</f>
        <v>0</v>
      </c>
      <c r="AK1006" s="14" t="n">
        <f aca="false">AK1005+IF((AJ1006=1),IF((H1006=0),1,0),0)</f>
        <v>0</v>
      </c>
      <c r="AL1006" s="14" t="n">
        <f aca="false">AL1005+IF((AJ1006=1),IF((H1006=1),1,0),0)</f>
        <v>0</v>
      </c>
      <c r="AM1006" s="37" t="n">
        <f aca="false">IF(AK1006=0,9999,IF($H1006=0,IF($AJ1006&lt;1,AM1005+1,0),AM1005))</f>
        <v>9999</v>
      </c>
      <c r="AN1006" s="37" t="n">
        <f aca="false">IF(AL1006=0,9999,IF($H1006=1,IF($AJ1006&lt;1,AN1005+1,0),AN1005))</f>
        <v>9999</v>
      </c>
      <c r="AO1006" s="37" t="n">
        <f aca="false">IF($A1006-AM1006&gt;0,1/(1+AM1006),0)</f>
        <v>0</v>
      </c>
      <c r="AP1006" s="37" t="n">
        <f aca="false">IF($A1006-AN1006&gt;0,1/(1+AN1006),0)</f>
        <v>0</v>
      </c>
      <c r="AQ1006" s="7" t="n">
        <f aca="false">IF(AK1006=0,0,MAX(MIN(1,AO1006^Power),0))</f>
        <v>0</v>
      </c>
      <c r="AR1006" s="7" t="n">
        <f aca="false">IF(AL1006=0,0,MAX(MIN(1,AP1006^Power),0))</f>
        <v>0</v>
      </c>
      <c r="AS1006" s="7" t="n">
        <f aca="false">IF($AJ1006=1,IF($H1006=0,K1006,AS1005),AS1005)</f>
        <v>0</v>
      </c>
      <c r="AT1006" s="7" t="n">
        <f aca="false">IF($AJ1006=1,IF($H1006=1,N1006,AT1005),AT1005)</f>
        <v>0</v>
      </c>
    </row>
    <row r="1007" customFormat="false" ht="13" hidden="false" customHeight="false" outlineLevel="0" collapsed="false">
      <c r="A1007" s="16" t="n">
        <v>990</v>
      </c>
      <c r="B1007" s="37" t="n">
        <f aca="true">IF(RAND()&lt;$D$8,1,0)</f>
        <v>1</v>
      </c>
      <c r="C1007" s="20" t="n">
        <f aca="true">-LN(RAND())/$D$2</f>
        <v>0.0263966009574396</v>
      </c>
      <c r="D1007" s="38" t="n">
        <f aca="false">D1006+C1007</f>
        <v>1041.35448154769</v>
      </c>
      <c r="E1007" s="39" t="n">
        <f aca="false">MAX($E$3,AS1006)</f>
        <v>0</v>
      </c>
      <c r="F1007" s="39" t="n">
        <f aca="false">MAX($E$3,AT1006)</f>
        <v>0</v>
      </c>
      <c r="G1007" s="40" t="n">
        <v>0.5</v>
      </c>
      <c r="H1007" s="38" t="n">
        <f aca="true">IF((B1007=1),(IF((F1007&lt;E1007),1,(IF((F1007=E1007),(IF(RAND()&lt;G1007,1,0)),0)))),(IF((RAND()&lt;G1007),1,0)))</f>
        <v>0</v>
      </c>
      <c r="I1007" s="38" t="n">
        <f aca="true">IF((H1007=1),0,$D$3+$D$5*(RAND()-0.5))</f>
        <v>2.07613292845392</v>
      </c>
      <c r="J1007" s="38" t="n">
        <f aca="false">I1007+MAX(D1007,J1006)</f>
        <v>1053.90120756006</v>
      </c>
      <c r="K1007" s="38" t="n">
        <f aca="false">IF((H1007=0),J1007-D1007,0)</f>
        <v>12.5467260123737</v>
      </c>
      <c r="L1007" s="38" t="n">
        <f aca="true">IF(($H1007=0),0,$D$4+$D$5*(RAND()-0.5))</f>
        <v>0</v>
      </c>
      <c r="M1007" s="38" t="n">
        <f aca="false">L1007+MAX(D1007,M1006)</f>
        <v>1062.3361147155</v>
      </c>
      <c r="N1007" s="38" t="n">
        <f aca="false">IF((H1007=1),M1007-D1007,0)</f>
        <v>0</v>
      </c>
      <c r="O1007" s="16" t="n">
        <v>990</v>
      </c>
      <c r="P1007" s="41" t="n">
        <f aca="false">IF((Arterial=0),P1006+1,P1006)</f>
        <v>473</v>
      </c>
      <c r="Q1007" s="41" t="n">
        <f aca="false">IF((Arterial=1),Q1006+1,Q1006)</f>
        <v>517</v>
      </c>
      <c r="R1007" s="42" t="e">
        <f aca="false">IF((RESET=1),0,R1007+K1007)</f>
        <v>#N/A</v>
      </c>
      <c r="S1007" s="14" t="n">
        <f aca="false">IF(RESET=1,0,S1007+N1007)</f>
        <v>917.456070376831</v>
      </c>
      <c r="T1007" s="2" t="e">
        <f aca="false">IF(RESET=1,0,T1007+IF(H1007=0,1,0))</f>
        <v>#N/A</v>
      </c>
      <c r="U1007" s="2" t="n">
        <f aca="false">IF(RESET=1,0,U1007+H1007)</f>
        <v>44</v>
      </c>
      <c r="V1007" s="14" t="e">
        <f aca="false">R1007/(T1007+0.00001)</f>
        <v>#N/A</v>
      </c>
      <c r="W1007" s="14" t="n">
        <f aca="false">S1007/(U1007+0.0001)</f>
        <v>20.851226937594</v>
      </c>
      <c r="X1007" s="39" t="n">
        <f aca="false">IF(Informed=1,K1007,0)</f>
        <v>12.5467260123737</v>
      </c>
      <c r="Y1007" s="39" t="n">
        <f aca="false">IF(Informed=0,K1007,0)</f>
        <v>0</v>
      </c>
      <c r="Z1007" s="39" t="n">
        <f aca="false">IF(Informed=1,N1007,0)</f>
        <v>0</v>
      </c>
      <c r="AA1007" s="39" t="n">
        <f aca="false">IF(Informed=0,N1007,0)</f>
        <v>0</v>
      </c>
      <c r="AB1007" s="43" t="n">
        <f aca="false">IF(Arterial=0,IF(Informed=1,1,0),0)</f>
        <v>1</v>
      </c>
      <c r="AC1007" s="43" t="n">
        <f aca="false">IF(Arterial=0,IF(Informed=0,1,0),0)</f>
        <v>0</v>
      </c>
      <c r="AD1007" s="43" t="n">
        <f aca="false">IF(Arterial=1,IF(Informed=1,1,0),0)</f>
        <v>0</v>
      </c>
      <c r="AE1007" s="43" t="n">
        <f aca="false">IF(Arterial=1,IF(Informed=0,1,0),0)</f>
        <v>0</v>
      </c>
      <c r="AF1007" s="35" t="n">
        <f aca="false">IF(AB1007=1,(X1007-G$1030)^2,0)</f>
        <v>3.37474451144981</v>
      </c>
      <c r="AG1007" s="35" t="n">
        <f aca="false">IF(AC1007=1,(Y1007-H$1030)^2,0)</f>
        <v>0</v>
      </c>
      <c r="AH1007" s="35" t="n">
        <f aca="false">IF(AD1007=1,(Z1007-I$1030)^2,0)</f>
        <v>0</v>
      </c>
      <c r="AI1007" s="35" t="n">
        <f aca="false">IF(AE1007=1,(AA1007-J$1030)^2,0)</f>
        <v>0</v>
      </c>
      <c r="AJ1007" s="37" t="n">
        <f aca="true">IF(RAND()&lt;$D$6,1,0)</f>
        <v>0</v>
      </c>
      <c r="AK1007" s="14" t="n">
        <f aca="false">AK1006+IF((AJ1007=1),IF((H1007=0),1,0),0)</f>
        <v>0</v>
      </c>
      <c r="AL1007" s="14" t="n">
        <f aca="false">AL1006+IF((AJ1007=1),IF((H1007=1),1,0),0)</f>
        <v>0</v>
      </c>
      <c r="AM1007" s="37" t="n">
        <f aca="false">IF(AK1007=0,9999,IF($H1007=0,IF($AJ1007&lt;1,AM1006+1,0),AM1006))</f>
        <v>9999</v>
      </c>
      <c r="AN1007" s="37" t="n">
        <f aca="false">IF(AL1007=0,9999,IF($H1007=1,IF($AJ1007&lt;1,AN1006+1,0),AN1006))</f>
        <v>9999</v>
      </c>
      <c r="AO1007" s="37" t="n">
        <f aca="false">IF($A1007-AM1007&gt;0,1/(1+AM1007),0)</f>
        <v>0</v>
      </c>
      <c r="AP1007" s="37" t="n">
        <f aca="false">IF($A1007-AN1007&gt;0,1/(1+AN1007),0)</f>
        <v>0</v>
      </c>
      <c r="AQ1007" s="7" t="n">
        <f aca="false">IF(AK1007=0,0,MAX(MIN(1,AO1007^Power),0))</f>
        <v>0</v>
      </c>
      <c r="AR1007" s="7" t="n">
        <f aca="false">IF(AL1007=0,0,MAX(MIN(1,AP1007^Power),0))</f>
        <v>0</v>
      </c>
      <c r="AS1007" s="7" t="n">
        <f aca="false">IF($AJ1007=1,IF($H1007=0,K1007,AS1006),AS1006)</f>
        <v>0</v>
      </c>
      <c r="AT1007" s="7" t="n">
        <f aca="false">IF($AJ1007=1,IF($H1007=1,N1007,AT1006),AT1006)</f>
        <v>0</v>
      </c>
    </row>
    <row r="1008" customFormat="false" ht="13" hidden="false" customHeight="false" outlineLevel="0" collapsed="false">
      <c r="A1008" s="16" t="n">
        <v>991</v>
      </c>
      <c r="B1008" s="37" t="n">
        <f aca="true">IF(RAND()&lt;$D$8,1,0)</f>
        <v>0</v>
      </c>
      <c r="C1008" s="20" t="n">
        <f aca="true">-LN(RAND())/$D$2</f>
        <v>0.101332502345215</v>
      </c>
      <c r="D1008" s="38" t="n">
        <f aca="false">D1007+C1008</f>
        <v>1041.45581405003</v>
      </c>
      <c r="E1008" s="39" t="n">
        <f aca="false">MAX($E$3,AS1007)</f>
        <v>0</v>
      </c>
      <c r="F1008" s="39" t="n">
        <f aca="false">MAX($E$3,AT1007)</f>
        <v>0</v>
      </c>
      <c r="G1008" s="40" t="n">
        <v>0.5</v>
      </c>
      <c r="H1008" s="38" t="n">
        <f aca="true">IF((B1008=1),(IF((F1008&lt;E1008),1,(IF((F1008=E1008),(IF(RAND()&lt;G1008,1,0)),0)))),(IF((RAND()&lt;G1008),1,0)))</f>
        <v>0</v>
      </c>
      <c r="I1008" s="38" t="n">
        <f aca="true">IF((H1008=1),0,$D$3+$D$5*(RAND()-0.5))</f>
        <v>2.24157944876019</v>
      </c>
      <c r="J1008" s="38" t="n">
        <f aca="false">I1008+MAX(D1008,J1007)</f>
        <v>1056.14278700882</v>
      </c>
      <c r="K1008" s="38" t="n">
        <f aca="false">IF((H1008=0),J1008-D1008,0)</f>
        <v>14.6869729587886</v>
      </c>
      <c r="L1008" s="38" t="n">
        <f aca="true">IF(($H1008=0),0,$D$4+$D$5*(RAND()-0.5))</f>
        <v>0</v>
      </c>
      <c r="M1008" s="38" t="n">
        <f aca="false">L1008+MAX(D1008,M1007)</f>
        <v>1062.3361147155</v>
      </c>
      <c r="N1008" s="38" t="n">
        <f aca="false">IF((H1008=1),M1008-D1008,0)</f>
        <v>0</v>
      </c>
      <c r="O1008" s="16" t="n">
        <v>991</v>
      </c>
      <c r="P1008" s="41" t="n">
        <f aca="false">IF((Arterial=0),P1007+1,P1007)</f>
        <v>474</v>
      </c>
      <c r="Q1008" s="41" t="n">
        <f aca="false">IF((Arterial=1),Q1007+1,Q1007)</f>
        <v>517</v>
      </c>
      <c r="R1008" s="42" t="e">
        <f aca="false">IF((RESET=1),0,R1008+K1008)</f>
        <v>#N/A</v>
      </c>
      <c r="S1008" s="14" t="n">
        <f aca="false">IF(RESET=1,0,S1008+N1008)</f>
        <v>594.27125607266</v>
      </c>
      <c r="T1008" s="2" t="e">
        <f aca="false">IF(RESET=1,0,T1008+IF(H1008=0,1,0))</f>
        <v>#N/A</v>
      </c>
      <c r="U1008" s="2" t="n">
        <f aca="false">IF(RESET=1,0,U1008+H1008)</f>
        <v>35</v>
      </c>
      <c r="V1008" s="14" t="e">
        <f aca="false">R1008/(T1008+0.00001)</f>
        <v>#N/A</v>
      </c>
      <c r="W1008" s="14" t="n">
        <f aca="false">S1008/(U1008+0.0001)</f>
        <v>16.9791302331325</v>
      </c>
      <c r="X1008" s="39" t="n">
        <f aca="false">IF(Informed=1,K1008,0)</f>
        <v>0</v>
      </c>
      <c r="Y1008" s="39" t="n">
        <f aca="false">IF(Informed=0,K1008,0)</f>
        <v>14.6869729587886</v>
      </c>
      <c r="Z1008" s="39" t="n">
        <f aca="false">IF(Informed=1,N1008,0)</f>
        <v>0</v>
      </c>
      <c r="AA1008" s="39" t="n">
        <f aca="false">IF(Informed=0,N1008,0)</f>
        <v>0</v>
      </c>
      <c r="AB1008" s="43" t="n">
        <f aca="false">IF(Arterial=0,IF(Informed=1,1,0),0)</f>
        <v>0</v>
      </c>
      <c r="AC1008" s="43" t="n">
        <f aca="false">IF(Arterial=0,IF(Informed=0,1,0),0)</f>
        <v>1</v>
      </c>
      <c r="AD1008" s="43" t="n">
        <f aca="false">IF(Arterial=1,IF(Informed=1,1,0),0)</f>
        <v>0</v>
      </c>
      <c r="AE1008" s="43" t="n">
        <f aca="false">IF(Arterial=1,IF(Informed=0,1,0),0)</f>
        <v>0</v>
      </c>
      <c r="AF1008" s="35" t="n">
        <f aca="false">IF(AB1008=1,(X1008-G$1030)^2,0)</f>
        <v>0</v>
      </c>
      <c r="AG1008" s="35" t="n">
        <f aca="false">IF(AC1008=1,(Y1008-H$1030)^2,0)</f>
        <v>14.1615817261595</v>
      </c>
      <c r="AH1008" s="35" t="n">
        <f aca="false">IF(AD1008=1,(Z1008-I$1030)^2,0)</f>
        <v>0</v>
      </c>
      <c r="AI1008" s="35" t="n">
        <f aca="false">IF(AE1008=1,(AA1008-J$1030)^2,0)</f>
        <v>0</v>
      </c>
      <c r="AJ1008" s="37" t="n">
        <f aca="true">IF(RAND()&lt;$D$6,1,0)</f>
        <v>0</v>
      </c>
      <c r="AK1008" s="14" t="n">
        <f aca="false">AK1007+IF((AJ1008=1),IF((H1008=0),1,0),0)</f>
        <v>0</v>
      </c>
      <c r="AL1008" s="14" t="n">
        <f aca="false">AL1007+IF((AJ1008=1),IF((H1008=1),1,0),0)</f>
        <v>0</v>
      </c>
      <c r="AM1008" s="37" t="n">
        <f aca="false">IF(AK1008=0,9999,IF($H1008=0,IF($AJ1008&lt;1,AM1007+1,0),AM1007))</f>
        <v>9999</v>
      </c>
      <c r="AN1008" s="37" t="n">
        <f aca="false">IF(AL1008=0,9999,IF($H1008=1,IF($AJ1008&lt;1,AN1007+1,0),AN1007))</f>
        <v>9999</v>
      </c>
      <c r="AO1008" s="37" t="n">
        <f aca="false">IF($A1008-AM1008&gt;0,1/(1+AM1008),0)</f>
        <v>0</v>
      </c>
      <c r="AP1008" s="37" t="n">
        <f aca="false">IF($A1008-AN1008&gt;0,1/(1+AN1008),0)</f>
        <v>0</v>
      </c>
      <c r="AQ1008" s="7" t="n">
        <f aca="false">IF(AK1008=0,0,MAX(MIN(1,AO1008^Power),0))</f>
        <v>0</v>
      </c>
      <c r="AR1008" s="7" t="n">
        <f aca="false">IF(AL1008=0,0,MAX(MIN(1,AP1008^Power),0))</f>
        <v>0</v>
      </c>
      <c r="AS1008" s="7" t="n">
        <f aca="false">IF($AJ1008=1,IF($H1008=0,K1008,AS1007),AS1007)</f>
        <v>0</v>
      </c>
      <c r="AT1008" s="7" t="n">
        <f aca="false">IF($AJ1008=1,IF($H1008=1,N1008,AT1007),AT1007)</f>
        <v>0</v>
      </c>
    </row>
    <row r="1009" customFormat="false" ht="13" hidden="false" customHeight="false" outlineLevel="0" collapsed="false">
      <c r="A1009" s="16" t="n">
        <v>992</v>
      </c>
      <c r="B1009" s="37" t="n">
        <f aca="true">IF(RAND()&lt;$D$8,1,0)</f>
        <v>0</v>
      </c>
      <c r="C1009" s="20" t="n">
        <f aca="true">-LN(RAND())/$D$2</f>
        <v>2.60862392469363</v>
      </c>
      <c r="D1009" s="38" t="n">
        <f aca="false">D1008+C1009</f>
        <v>1044.06443797473</v>
      </c>
      <c r="E1009" s="39" t="n">
        <f aca="false">MAX($E$3,AS1008)</f>
        <v>0</v>
      </c>
      <c r="F1009" s="39" t="n">
        <f aca="false">MAX($E$3,AT1008)</f>
        <v>0</v>
      </c>
      <c r="G1009" s="40" t="n">
        <v>0.5</v>
      </c>
      <c r="H1009" s="38" t="n">
        <f aca="true">IF((B1009=1),(IF((F1009&lt;E1009),1,(IF((F1009=E1009),(IF(RAND()&lt;G1009,1,0)),0)))),(IF((RAND()&lt;G1009),1,0)))</f>
        <v>0</v>
      </c>
      <c r="I1009" s="38" t="n">
        <f aca="true">IF((H1009=1),0,$D$3+$D$5*(RAND()-0.5))</f>
        <v>2.14143939633197</v>
      </c>
      <c r="J1009" s="38" t="n">
        <f aca="false">I1009+MAX(D1009,J1008)</f>
        <v>1058.28422640515</v>
      </c>
      <c r="K1009" s="38" t="n">
        <f aca="false">IF((H1009=0),J1009-D1009,0)</f>
        <v>14.2197884304269</v>
      </c>
      <c r="L1009" s="38" t="n">
        <f aca="true">IF(($H1009=0),0,$D$4+$D$5*(RAND()-0.5))</f>
        <v>0</v>
      </c>
      <c r="M1009" s="38" t="n">
        <f aca="false">L1009+MAX(D1009,M1008)</f>
        <v>1062.3361147155</v>
      </c>
      <c r="N1009" s="38" t="n">
        <f aca="false">IF((H1009=1),M1009-D1009,0)</f>
        <v>0</v>
      </c>
      <c r="O1009" s="16" t="n">
        <v>992</v>
      </c>
      <c r="P1009" s="41" t="n">
        <f aca="false">IF((Arterial=0),P1008+1,P1008)</f>
        <v>475</v>
      </c>
      <c r="Q1009" s="41" t="n">
        <f aca="false">IF((Arterial=1),Q1008+1,Q1008)</f>
        <v>517</v>
      </c>
      <c r="R1009" s="42" t="e">
        <f aca="false">IF((RESET=1),0,R1009+K1009)</f>
        <v>#N/A</v>
      </c>
      <c r="S1009" s="14" t="n">
        <f aca="false">IF(RESET=1,0,S1009+N1009)</f>
        <v>811.91791975738</v>
      </c>
      <c r="T1009" s="2" t="e">
        <f aca="false">IF(RESET=1,0,T1009+IF(H1009=0,1,0))</f>
        <v>#N/A</v>
      </c>
      <c r="U1009" s="2" t="n">
        <f aca="false">IF(RESET=1,0,U1009+H1009)</f>
        <v>40</v>
      </c>
      <c r="V1009" s="14" t="e">
        <f aca="false">R1009/(T1009+0.00001)</f>
        <v>#N/A</v>
      </c>
      <c r="W1009" s="14" t="n">
        <f aca="false">S1009/(U1009+0.0001)</f>
        <v>20.2978972491914</v>
      </c>
      <c r="X1009" s="39" t="n">
        <f aca="false">IF(Informed=1,K1009,0)</f>
        <v>0</v>
      </c>
      <c r="Y1009" s="39" t="n">
        <f aca="false">IF(Informed=0,K1009,0)</f>
        <v>14.2197884304269</v>
      </c>
      <c r="Z1009" s="39" t="n">
        <f aca="false">IF(Informed=1,N1009,0)</f>
        <v>0</v>
      </c>
      <c r="AA1009" s="39" t="n">
        <f aca="false">IF(Informed=0,N1009,0)</f>
        <v>0</v>
      </c>
      <c r="AB1009" s="43" t="n">
        <f aca="false">IF(Arterial=0,IF(Informed=1,1,0),0)</f>
        <v>0</v>
      </c>
      <c r="AC1009" s="43" t="n">
        <f aca="false">IF(Arterial=0,IF(Informed=0,1,0),0)</f>
        <v>1</v>
      </c>
      <c r="AD1009" s="43" t="n">
        <f aca="false">IF(Arterial=1,IF(Informed=1,1,0),0)</f>
        <v>0</v>
      </c>
      <c r="AE1009" s="43" t="n">
        <f aca="false">IF(Arterial=1,IF(Informed=0,1,0),0)</f>
        <v>0</v>
      </c>
      <c r="AF1009" s="35" t="n">
        <f aca="false">IF(AB1009=1,(X1009-G$1030)^2,0)</f>
        <v>0</v>
      </c>
      <c r="AG1009" s="35" t="n">
        <f aca="false">IF(AC1009=1,(Y1009-H$1030)^2,0)</f>
        <v>10.8636369606387</v>
      </c>
      <c r="AH1009" s="35" t="n">
        <f aca="false">IF(AD1009=1,(Z1009-I$1030)^2,0)</f>
        <v>0</v>
      </c>
      <c r="AI1009" s="35" t="n">
        <f aca="false">IF(AE1009=1,(AA1009-J$1030)^2,0)</f>
        <v>0</v>
      </c>
      <c r="AJ1009" s="37" t="n">
        <f aca="true">IF(RAND()&lt;$D$6,1,0)</f>
        <v>0</v>
      </c>
      <c r="AK1009" s="14" t="n">
        <f aca="false">AK1008+IF((AJ1009=1),IF((H1009=0),1,0),0)</f>
        <v>0</v>
      </c>
      <c r="AL1009" s="14" t="n">
        <f aca="false">AL1008+IF((AJ1009=1),IF((H1009=1),1,0),0)</f>
        <v>0</v>
      </c>
      <c r="AM1009" s="37" t="n">
        <f aca="false">IF(AK1009=0,9999,IF($H1009=0,IF($AJ1009&lt;1,AM1008+1,0),AM1008))</f>
        <v>9999</v>
      </c>
      <c r="AN1009" s="37" t="n">
        <f aca="false">IF(AL1009=0,9999,IF($H1009=1,IF($AJ1009&lt;1,AN1008+1,0),AN1008))</f>
        <v>9999</v>
      </c>
      <c r="AO1009" s="37" t="n">
        <f aca="false">IF($A1009-AM1009&gt;0,1/(1+AM1009),0)</f>
        <v>0</v>
      </c>
      <c r="AP1009" s="37" t="n">
        <f aca="false">IF($A1009-AN1009&gt;0,1/(1+AN1009),0)</f>
        <v>0</v>
      </c>
      <c r="AQ1009" s="7" t="n">
        <f aca="false">IF(AK1009=0,0,MAX(MIN(1,AO1009^Power),0))</f>
        <v>0</v>
      </c>
      <c r="AR1009" s="7" t="n">
        <f aca="false">IF(AL1009=0,0,MAX(MIN(1,AP1009^Power),0))</f>
        <v>0</v>
      </c>
      <c r="AS1009" s="7" t="n">
        <f aca="false">IF($AJ1009=1,IF($H1009=0,K1009,AS1008),AS1008)</f>
        <v>0</v>
      </c>
      <c r="AT1009" s="7" t="n">
        <f aca="false">IF($AJ1009=1,IF($H1009=1,N1009,AT1008),AT1008)</f>
        <v>0</v>
      </c>
    </row>
    <row r="1010" customFormat="false" ht="13" hidden="false" customHeight="false" outlineLevel="0" collapsed="false">
      <c r="A1010" s="16" t="n">
        <v>993</v>
      </c>
      <c r="B1010" s="37" t="n">
        <f aca="true">IF(RAND()&lt;$D$8,1,0)</f>
        <v>0</v>
      </c>
      <c r="C1010" s="20" t="n">
        <f aca="true">-LN(RAND())/$D$2</f>
        <v>2.11445824992634</v>
      </c>
      <c r="D1010" s="38" t="n">
        <f aca="false">D1009+C1010</f>
        <v>1046.17889622465</v>
      </c>
      <c r="E1010" s="39" t="n">
        <f aca="false">MAX($E$3,AS1009)</f>
        <v>0</v>
      </c>
      <c r="F1010" s="39" t="n">
        <f aca="false">MAX($E$3,AT1009)</f>
        <v>0</v>
      </c>
      <c r="G1010" s="40" t="n">
        <v>0.5</v>
      </c>
      <c r="H1010" s="38" t="n">
        <f aca="true">IF((B1010=1),(IF((F1010&lt;E1010),1,(IF((F1010=E1010),(IF(RAND()&lt;G1010,1,0)),0)))),(IF((RAND()&lt;G1010),1,0)))</f>
        <v>0</v>
      </c>
      <c r="I1010" s="38" t="n">
        <f aca="true">IF((H1010=1),0,$D$3+$D$5*(RAND()-0.5))</f>
        <v>2.00856626954262</v>
      </c>
      <c r="J1010" s="38" t="n">
        <f aca="false">I1010+MAX(D1010,J1009)</f>
        <v>1060.2927926747</v>
      </c>
      <c r="K1010" s="38" t="n">
        <f aca="false">IF((H1010=0),J1010-D1010,0)</f>
        <v>14.1138964500431</v>
      </c>
      <c r="L1010" s="38" t="n">
        <f aca="true">IF(($H1010=0),0,$D$4+$D$5*(RAND()-0.5))</f>
        <v>0</v>
      </c>
      <c r="M1010" s="38" t="n">
        <f aca="false">L1010+MAX(D1010,M1009)</f>
        <v>1062.3361147155</v>
      </c>
      <c r="N1010" s="38" t="n">
        <f aca="false">IF((H1010=1),M1010-D1010,0)</f>
        <v>0</v>
      </c>
      <c r="O1010" s="16" t="n">
        <v>993</v>
      </c>
      <c r="P1010" s="41" t="n">
        <f aca="false">IF((Arterial=0),P1009+1,P1009)</f>
        <v>476</v>
      </c>
      <c r="Q1010" s="41" t="n">
        <f aca="false">IF((Arterial=1),Q1009+1,Q1009)</f>
        <v>517</v>
      </c>
      <c r="R1010" s="42" t="e">
        <f aca="false">IF((RESET=1),0,R1010+K1010)</f>
        <v>#N/A</v>
      </c>
      <c r="S1010" s="14" t="n">
        <f aca="false">IF(RESET=1,0,S1010+N1010)</f>
        <v>1082.01932997986</v>
      </c>
      <c r="T1010" s="2" t="e">
        <f aca="false">IF(RESET=1,0,T1010+IF(H1010=0,1,0))</f>
        <v>#N/A</v>
      </c>
      <c r="U1010" s="2" t="n">
        <f aca="false">IF(RESET=1,0,U1010+H1010)</f>
        <v>47</v>
      </c>
      <c r="V1010" s="14" t="e">
        <f aca="false">R1010/(T1010+0.00001)</f>
        <v>#N/A</v>
      </c>
      <c r="W1010" s="14" t="n">
        <f aca="false">S1010/(U1010+0.0001)</f>
        <v>23.0216388897014</v>
      </c>
      <c r="X1010" s="39" t="n">
        <f aca="false">IF(Informed=1,K1010,0)</f>
        <v>0</v>
      </c>
      <c r="Y1010" s="39" t="n">
        <f aca="false">IF(Informed=0,K1010,0)</f>
        <v>14.1138964500431</v>
      </c>
      <c r="Z1010" s="39" t="n">
        <f aca="false">IF(Informed=1,N1010,0)</f>
        <v>0</v>
      </c>
      <c r="AA1010" s="39" t="n">
        <f aca="false">IF(Informed=0,N1010,0)</f>
        <v>0</v>
      </c>
      <c r="AB1010" s="43" t="n">
        <f aca="false">IF(Arterial=0,IF(Informed=1,1,0),0)</f>
        <v>0</v>
      </c>
      <c r="AC1010" s="43" t="n">
        <f aca="false">IF(Arterial=0,IF(Informed=0,1,0),0)</f>
        <v>1</v>
      </c>
      <c r="AD1010" s="43" t="n">
        <f aca="false">IF(Arterial=1,IF(Informed=1,1,0),0)</f>
        <v>0</v>
      </c>
      <c r="AE1010" s="43" t="n">
        <f aca="false">IF(Arterial=1,IF(Informed=0,1,0),0)</f>
        <v>0</v>
      </c>
      <c r="AF1010" s="35" t="n">
        <f aca="false">IF(AB1010=1,(X1010-G$1030)^2,0)</f>
        <v>0</v>
      </c>
      <c r="AG1010" s="35" t="n">
        <f aca="false">IF(AC1010=1,(Y1010-H$1030)^2,0)</f>
        <v>10.1768094640472</v>
      </c>
      <c r="AH1010" s="35" t="n">
        <f aca="false">IF(AD1010=1,(Z1010-I$1030)^2,0)</f>
        <v>0</v>
      </c>
      <c r="AI1010" s="35" t="n">
        <f aca="false">IF(AE1010=1,(AA1010-J$1030)^2,0)</f>
        <v>0</v>
      </c>
      <c r="AJ1010" s="37" t="n">
        <f aca="true">IF(RAND()&lt;$D$6,1,0)</f>
        <v>0</v>
      </c>
      <c r="AK1010" s="14" t="n">
        <f aca="false">AK1009+IF((AJ1010=1),IF((H1010=0),1,0),0)</f>
        <v>0</v>
      </c>
      <c r="AL1010" s="14" t="n">
        <f aca="false">AL1009+IF((AJ1010=1),IF((H1010=1),1,0),0)</f>
        <v>0</v>
      </c>
      <c r="AM1010" s="37" t="n">
        <f aca="false">IF(AK1010=0,9999,IF($H1010=0,IF($AJ1010&lt;1,AM1009+1,0),AM1009))</f>
        <v>9999</v>
      </c>
      <c r="AN1010" s="37" t="n">
        <f aca="false">IF(AL1010=0,9999,IF($H1010=1,IF($AJ1010&lt;1,AN1009+1,0),AN1009))</f>
        <v>9999</v>
      </c>
      <c r="AO1010" s="37" t="n">
        <f aca="false">IF($A1010-AM1010&gt;0,1/(1+AM1010),0)</f>
        <v>0</v>
      </c>
      <c r="AP1010" s="37" t="n">
        <f aca="false">IF($A1010-AN1010&gt;0,1/(1+AN1010),0)</f>
        <v>0</v>
      </c>
      <c r="AQ1010" s="7" t="n">
        <f aca="false">IF(AK1010=0,0,MAX(MIN(1,AO1010^Power),0))</f>
        <v>0</v>
      </c>
      <c r="AR1010" s="7" t="n">
        <f aca="false">IF(AL1010=0,0,MAX(MIN(1,AP1010^Power),0))</f>
        <v>0</v>
      </c>
      <c r="AS1010" s="7" t="n">
        <f aca="false">IF($AJ1010=1,IF($H1010=0,K1010,AS1009),AS1009)</f>
        <v>0</v>
      </c>
      <c r="AT1010" s="7" t="n">
        <f aca="false">IF($AJ1010=1,IF($H1010=1,N1010,AT1009),AT1009)</f>
        <v>0</v>
      </c>
    </row>
    <row r="1011" customFormat="false" ht="13" hidden="false" customHeight="false" outlineLevel="0" collapsed="false">
      <c r="A1011" s="16" t="n">
        <v>994</v>
      </c>
      <c r="B1011" s="37" t="n">
        <f aca="true">IF(RAND()&lt;$D$8,1,0)</f>
        <v>0</v>
      </c>
      <c r="C1011" s="20" t="n">
        <f aca="true">-LN(RAND())/$D$2</f>
        <v>0.114519802221789</v>
      </c>
      <c r="D1011" s="38" t="n">
        <f aca="false">D1010+C1011</f>
        <v>1046.29341602688</v>
      </c>
      <c r="E1011" s="39" t="n">
        <f aca="false">MAX($E$3,AS1010)</f>
        <v>0</v>
      </c>
      <c r="F1011" s="39" t="n">
        <f aca="false">MAX($E$3,AT1010)</f>
        <v>0</v>
      </c>
      <c r="G1011" s="40" t="n">
        <v>0.5</v>
      </c>
      <c r="H1011" s="38" t="n">
        <f aca="true">IF((B1011=1),(IF((F1011&lt;E1011),1,(IF((F1011=E1011),(IF(RAND()&lt;G1011,1,0)),0)))),(IF((RAND()&lt;G1011),1,0)))</f>
        <v>1</v>
      </c>
      <c r="I1011" s="38" t="n">
        <f aca="true">IF((H1011=1),0,$D$3+$D$5*(RAND()-0.5))</f>
        <v>0</v>
      </c>
      <c r="J1011" s="38" t="n">
        <f aca="false">I1011+MAX(D1011,J1010)</f>
        <v>1060.2927926747</v>
      </c>
      <c r="K1011" s="38" t="n">
        <f aca="false">IF((H1011=0),J1011-D1011,0)</f>
        <v>0</v>
      </c>
      <c r="L1011" s="38" t="n">
        <f aca="true">IF(($H1011=0),0,$D$4+$D$5*(RAND()-0.5))</f>
        <v>1.8975689593088</v>
      </c>
      <c r="M1011" s="38" t="n">
        <f aca="false">L1011+MAX(D1011,M1010)</f>
        <v>1064.23368367481</v>
      </c>
      <c r="N1011" s="38" t="n">
        <f aca="false">IF((H1011=1),M1011-D1011,0)</f>
        <v>17.9402676479308</v>
      </c>
      <c r="O1011" s="16" t="n">
        <v>994</v>
      </c>
      <c r="P1011" s="41" t="n">
        <f aca="false">IF((Arterial=0),P1010+1,P1010)</f>
        <v>476</v>
      </c>
      <c r="Q1011" s="41" t="n">
        <f aca="false">IF((Arterial=1),Q1010+1,Q1010)</f>
        <v>518</v>
      </c>
      <c r="R1011" s="42" t="n">
        <f aca="false">IF((RESET=1),0,R1011+K1011)</f>
        <v>759.432863389346</v>
      </c>
      <c r="S1011" s="14" t="e">
        <f aca="false">IF(RESET=1,0,S1011+N1011)</f>
        <v>#N/A</v>
      </c>
      <c r="T1011" s="2" t="n">
        <f aca="false">IF(RESET=1,0,T1011+IF(H1011=0,1,0))</f>
        <v>39</v>
      </c>
      <c r="U1011" s="2" t="e">
        <f aca="false">IF(RESET=1,0,U1011+H1011)</f>
        <v>#N/A</v>
      </c>
      <c r="V1011" s="14" t="n">
        <f aca="false">R1011/(T1011+0.00001)</f>
        <v>19.472632529821</v>
      </c>
      <c r="W1011" s="14" t="e">
        <f aca="false">S1011/(U1011+0.0001)</f>
        <v>#N/A</v>
      </c>
      <c r="X1011" s="39" t="n">
        <f aca="false">IF(Informed=1,K1011,0)</f>
        <v>0</v>
      </c>
      <c r="Y1011" s="39" t="n">
        <f aca="false">IF(Informed=0,K1011,0)</f>
        <v>0</v>
      </c>
      <c r="Z1011" s="39" t="n">
        <f aca="false">IF(Informed=1,N1011,0)</f>
        <v>0</v>
      </c>
      <c r="AA1011" s="39" t="n">
        <f aca="false">IF(Informed=0,N1011,0)</f>
        <v>17.9402676479308</v>
      </c>
      <c r="AB1011" s="43" t="n">
        <f aca="false">IF(Arterial=0,IF(Informed=1,1,0),0)</f>
        <v>0</v>
      </c>
      <c r="AC1011" s="43" t="n">
        <f aca="false">IF(Arterial=0,IF(Informed=0,1,0),0)</f>
        <v>0</v>
      </c>
      <c r="AD1011" s="43" t="n">
        <f aca="false">IF(Arterial=1,IF(Informed=1,1,0),0)</f>
        <v>0</v>
      </c>
      <c r="AE1011" s="43" t="n">
        <f aca="false">IF(Arterial=1,IF(Informed=0,1,0),0)</f>
        <v>1</v>
      </c>
      <c r="AF1011" s="35" t="n">
        <f aca="false">IF(AB1011=1,(X1011-G$1030)^2,0)</f>
        <v>0</v>
      </c>
      <c r="AG1011" s="35" t="n">
        <f aca="false">IF(AC1011=1,(Y1011-H$1030)^2,0)</f>
        <v>0</v>
      </c>
      <c r="AH1011" s="35" t="n">
        <f aca="false">IF(AD1011=1,(Z1011-I$1030)^2,0)</f>
        <v>0</v>
      </c>
      <c r="AI1011" s="35" t="n">
        <f aca="false">IF(AE1011=1,(AA1011-J$1030)^2,0)</f>
        <v>135.117546693491</v>
      </c>
      <c r="AJ1011" s="37" t="n">
        <f aca="true">IF(RAND()&lt;$D$6,1,0)</f>
        <v>0</v>
      </c>
      <c r="AK1011" s="14" t="n">
        <f aca="false">AK1010+IF((AJ1011=1),IF((H1011=0),1,0),0)</f>
        <v>0</v>
      </c>
      <c r="AL1011" s="14" t="n">
        <f aca="false">AL1010+IF((AJ1011=1),IF((H1011=1),1,0),0)</f>
        <v>0</v>
      </c>
      <c r="AM1011" s="37" t="n">
        <f aca="false">IF(AK1011=0,9999,IF($H1011=0,IF($AJ1011&lt;1,AM1010+1,0),AM1010))</f>
        <v>9999</v>
      </c>
      <c r="AN1011" s="37" t="n">
        <f aca="false">IF(AL1011=0,9999,IF($H1011=1,IF($AJ1011&lt;1,AN1010+1,0),AN1010))</f>
        <v>9999</v>
      </c>
      <c r="AO1011" s="37" t="n">
        <f aca="false">IF($A1011-AM1011&gt;0,1/(1+AM1011),0)</f>
        <v>0</v>
      </c>
      <c r="AP1011" s="37" t="n">
        <f aca="false">IF($A1011-AN1011&gt;0,1/(1+AN1011),0)</f>
        <v>0</v>
      </c>
      <c r="AQ1011" s="7" t="n">
        <f aca="false">IF(AK1011=0,0,MAX(MIN(1,AO1011^Power),0))</f>
        <v>0</v>
      </c>
      <c r="AR1011" s="7" t="n">
        <f aca="false">IF(AL1011=0,0,MAX(MIN(1,AP1011^Power),0))</f>
        <v>0</v>
      </c>
      <c r="AS1011" s="7" t="n">
        <f aca="false">IF($AJ1011=1,IF($H1011=0,K1011,AS1010),AS1010)</f>
        <v>0</v>
      </c>
      <c r="AT1011" s="7" t="n">
        <f aca="false">IF($AJ1011=1,IF($H1011=1,N1011,AT1010),AT1010)</f>
        <v>0</v>
      </c>
    </row>
    <row r="1012" customFormat="false" ht="13" hidden="false" customHeight="false" outlineLevel="0" collapsed="false">
      <c r="A1012" s="16" t="n">
        <v>995</v>
      </c>
      <c r="B1012" s="37" t="n">
        <f aca="true">IF(RAND()&lt;$D$8,1,0)</f>
        <v>1</v>
      </c>
      <c r="C1012" s="20" t="n">
        <f aca="true">-LN(RAND())/$D$2</f>
        <v>0.665690905676574</v>
      </c>
      <c r="D1012" s="38" t="n">
        <f aca="false">D1011+C1012</f>
        <v>1046.95910693255</v>
      </c>
      <c r="E1012" s="39" t="n">
        <f aca="false">MAX($E$3,AS1011)</f>
        <v>0</v>
      </c>
      <c r="F1012" s="39" t="n">
        <f aca="false">MAX($E$3,AT1011)</f>
        <v>0</v>
      </c>
      <c r="G1012" s="40" t="n">
        <v>0.5</v>
      </c>
      <c r="H1012" s="38" t="n">
        <f aca="true">IF((B1012=1),(IF((F1012&lt;E1012),1,(IF((F1012=E1012),(IF(RAND()&lt;G1012,1,0)),0)))),(IF((RAND()&lt;G1012),1,0)))</f>
        <v>0</v>
      </c>
      <c r="I1012" s="38" t="n">
        <f aca="true">IF((H1012=1),0,$D$3+$D$5*(RAND()-0.5))</f>
        <v>2.16601483859873</v>
      </c>
      <c r="J1012" s="38" t="n">
        <f aca="false">I1012+MAX(D1012,J1011)</f>
        <v>1062.4588075133</v>
      </c>
      <c r="K1012" s="38" t="n">
        <f aca="false">IF((H1012=0),J1012-D1012,0)</f>
        <v>15.4997005807434</v>
      </c>
      <c r="L1012" s="38" t="n">
        <f aca="true">IF(($H1012=0),0,$D$4+$D$5*(RAND()-0.5))</f>
        <v>0</v>
      </c>
      <c r="M1012" s="38" t="n">
        <f aca="false">L1012+MAX(D1012,M1011)</f>
        <v>1064.23368367481</v>
      </c>
      <c r="N1012" s="38" t="n">
        <f aca="false">IF((H1012=1),M1012-D1012,0)</f>
        <v>0</v>
      </c>
      <c r="O1012" s="16" t="n">
        <v>995</v>
      </c>
      <c r="P1012" s="41" t="n">
        <f aca="false">IF((Arterial=0),P1011+1,P1011)</f>
        <v>477</v>
      </c>
      <c r="Q1012" s="41" t="n">
        <f aca="false">IF((Arterial=1),Q1011+1,Q1011)</f>
        <v>518</v>
      </c>
      <c r="R1012" s="42" t="e">
        <f aca="false">IF((RESET=1),0,R1012+K1012)</f>
        <v>#N/A</v>
      </c>
      <c r="S1012" s="14" t="n">
        <f aca="false">IF(RESET=1,0,S1012+N1012)</f>
        <v>819.188884211794</v>
      </c>
      <c r="T1012" s="2" t="e">
        <f aca="false">IF(RESET=1,0,T1012+IF(H1012=0,1,0))</f>
        <v>#N/A</v>
      </c>
      <c r="U1012" s="2" t="n">
        <f aca="false">IF(RESET=1,0,U1012+H1012)</f>
        <v>39</v>
      </c>
      <c r="V1012" s="14" t="e">
        <f aca="false">R1012/(T1012+0.00001)</f>
        <v>#N/A</v>
      </c>
      <c r="W1012" s="14" t="n">
        <f aca="false">S1012/(U1012+0.0001)</f>
        <v>21.0047893264836</v>
      </c>
      <c r="X1012" s="39" t="n">
        <f aca="false">IF(Informed=1,K1012,0)</f>
        <v>15.4997005807434</v>
      </c>
      <c r="Y1012" s="39" t="n">
        <f aca="false">IF(Informed=0,K1012,0)</f>
        <v>0</v>
      </c>
      <c r="Z1012" s="39" t="n">
        <f aca="false">IF(Informed=1,N1012,0)</f>
        <v>0</v>
      </c>
      <c r="AA1012" s="39" t="n">
        <f aca="false">IF(Informed=0,N1012,0)</f>
        <v>0</v>
      </c>
      <c r="AB1012" s="43" t="n">
        <f aca="false">IF(Arterial=0,IF(Informed=1,1,0),0)</f>
        <v>1</v>
      </c>
      <c r="AC1012" s="43" t="n">
        <f aca="false">IF(Arterial=0,IF(Informed=0,1,0),0)</f>
        <v>0</v>
      </c>
      <c r="AD1012" s="43" t="n">
        <f aca="false">IF(Arterial=1,IF(Informed=1,1,0),0)</f>
        <v>0</v>
      </c>
      <c r="AE1012" s="43" t="n">
        <f aca="false">IF(Arterial=1,IF(Informed=0,1,0),0)</f>
        <v>0</v>
      </c>
      <c r="AF1012" s="35" t="n">
        <f aca="false">IF(AB1012=1,(X1012-G$1030)^2,0)</f>
        <v>22.944314007785</v>
      </c>
      <c r="AG1012" s="35" t="n">
        <f aca="false">IF(AC1012=1,(Y1012-H$1030)^2,0)</f>
        <v>0</v>
      </c>
      <c r="AH1012" s="35" t="n">
        <f aca="false">IF(AD1012=1,(Z1012-I$1030)^2,0)</f>
        <v>0</v>
      </c>
      <c r="AI1012" s="35" t="n">
        <f aca="false">IF(AE1012=1,(AA1012-J$1030)^2,0)</f>
        <v>0</v>
      </c>
      <c r="AJ1012" s="37" t="n">
        <f aca="true">IF(RAND()&lt;$D$6,1,0)</f>
        <v>0</v>
      </c>
      <c r="AK1012" s="14" t="n">
        <f aca="false">AK1011+IF((AJ1012=1),IF((H1012=0),1,0),0)</f>
        <v>0</v>
      </c>
      <c r="AL1012" s="14" t="n">
        <f aca="false">AL1011+IF((AJ1012=1),IF((H1012=1),1,0),0)</f>
        <v>0</v>
      </c>
      <c r="AM1012" s="37" t="n">
        <f aca="false">IF(AK1012=0,9999,IF($H1012=0,IF($AJ1012&lt;1,AM1011+1,0),AM1011))</f>
        <v>9999</v>
      </c>
      <c r="AN1012" s="37" t="n">
        <f aca="false">IF(AL1012=0,9999,IF($H1012=1,IF($AJ1012&lt;1,AN1011+1,0),AN1011))</f>
        <v>9999</v>
      </c>
      <c r="AO1012" s="37" t="n">
        <f aca="false">IF($A1012-AM1012&gt;0,1/(1+AM1012),0)</f>
        <v>0</v>
      </c>
      <c r="AP1012" s="37" t="n">
        <f aca="false">IF($A1012-AN1012&gt;0,1/(1+AN1012),0)</f>
        <v>0</v>
      </c>
      <c r="AQ1012" s="7" t="n">
        <f aca="false">IF(AK1012=0,0,MAX(MIN(1,AO1012^Power),0))</f>
        <v>0</v>
      </c>
      <c r="AR1012" s="7" t="n">
        <f aca="false">IF(AL1012=0,0,MAX(MIN(1,AP1012^Power),0))</f>
        <v>0</v>
      </c>
      <c r="AS1012" s="7" t="n">
        <f aca="false">IF($AJ1012=1,IF($H1012=0,K1012,AS1011),AS1011)</f>
        <v>0</v>
      </c>
      <c r="AT1012" s="7" t="n">
        <f aca="false">IF($AJ1012=1,IF($H1012=1,N1012,AT1011),AT1011)</f>
        <v>0</v>
      </c>
    </row>
    <row r="1013" customFormat="false" ht="13" hidden="false" customHeight="false" outlineLevel="0" collapsed="false">
      <c r="A1013" s="16" t="n">
        <v>996</v>
      </c>
      <c r="B1013" s="37" t="n">
        <f aca="true">IF(RAND()&lt;$D$8,1,0)</f>
        <v>1</v>
      </c>
      <c r="C1013" s="20" t="n">
        <f aca="true">-LN(RAND())/$D$2</f>
        <v>0.55746973697578</v>
      </c>
      <c r="D1013" s="38" t="n">
        <f aca="false">D1012+C1013</f>
        <v>1047.51657666953</v>
      </c>
      <c r="E1013" s="39" t="n">
        <f aca="false">MAX($E$3,AS1012)</f>
        <v>0</v>
      </c>
      <c r="F1013" s="39" t="n">
        <f aca="false">MAX($E$3,AT1012)</f>
        <v>0</v>
      </c>
      <c r="G1013" s="40" t="n">
        <v>0.5</v>
      </c>
      <c r="H1013" s="38" t="n">
        <f aca="true">IF((B1013=1),(IF((F1013&lt;E1013),1,(IF((F1013=E1013),(IF(RAND()&lt;G1013,1,0)),0)))),(IF((RAND()&lt;G1013),1,0)))</f>
        <v>1</v>
      </c>
      <c r="I1013" s="38" t="n">
        <f aca="true">IF((H1013=1),0,$D$3+$D$5*(RAND()-0.5))</f>
        <v>0</v>
      </c>
      <c r="J1013" s="38" t="n">
        <f aca="false">I1013+MAX(D1013,J1012)</f>
        <v>1062.4588075133</v>
      </c>
      <c r="K1013" s="38" t="n">
        <f aca="false">IF((H1013=0),J1013-D1013,0)</f>
        <v>0</v>
      </c>
      <c r="L1013" s="38" t="n">
        <f aca="true">IF(($H1013=0),0,$D$4+$D$5*(RAND()-0.5))</f>
        <v>2.00333252733244</v>
      </c>
      <c r="M1013" s="38" t="n">
        <f aca="false">L1013+MAX(D1013,M1012)</f>
        <v>1066.23701620214</v>
      </c>
      <c r="N1013" s="38" t="n">
        <f aca="false">IF((H1013=1),M1013-D1013,0)</f>
        <v>18.720439532611</v>
      </c>
      <c r="O1013" s="16" t="n">
        <v>996</v>
      </c>
      <c r="P1013" s="41" t="n">
        <f aca="false">IF((Arterial=0),P1012+1,P1012)</f>
        <v>477</v>
      </c>
      <c r="Q1013" s="41" t="n">
        <f aca="false">IF((Arterial=1),Q1012+1,Q1012)</f>
        <v>519</v>
      </c>
      <c r="R1013" s="42" t="n">
        <f aca="false">IF((RESET=1),0,R1013+K1013)</f>
        <v>977.575474075189</v>
      </c>
      <c r="S1013" s="14" t="e">
        <f aca="false">IF(RESET=1,0,S1013+N1013)</f>
        <v>#N/A</v>
      </c>
      <c r="T1013" s="2" t="n">
        <f aca="false">IF(RESET=1,0,T1013+IF(H1013=0,1,0))</f>
        <v>51</v>
      </c>
      <c r="U1013" s="2" t="e">
        <f aca="false">IF(RESET=1,0,U1013+H1013)</f>
        <v>#N/A</v>
      </c>
      <c r="V1013" s="14" t="n">
        <f aca="false">R1013/(T1013+0.00001)</f>
        <v>19.1681427920345</v>
      </c>
      <c r="W1013" s="14" t="e">
        <f aca="false">S1013/(U1013+0.0001)</f>
        <v>#N/A</v>
      </c>
      <c r="X1013" s="39" t="n">
        <f aca="false">IF(Informed=1,K1013,0)</f>
        <v>0</v>
      </c>
      <c r="Y1013" s="39" t="n">
        <f aca="false">IF(Informed=0,K1013,0)</f>
        <v>0</v>
      </c>
      <c r="Z1013" s="39" t="n">
        <f aca="false">IF(Informed=1,N1013,0)</f>
        <v>18.720439532611</v>
      </c>
      <c r="AA1013" s="39" t="n">
        <f aca="false">IF(Informed=0,N1013,0)</f>
        <v>0</v>
      </c>
      <c r="AB1013" s="43" t="n">
        <f aca="false">IF(Arterial=0,IF(Informed=1,1,0),0)</f>
        <v>0</v>
      </c>
      <c r="AC1013" s="43" t="n">
        <f aca="false">IF(Arterial=0,IF(Informed=0,1,0),0)</f>
        <v>0</v>
      </c>
      <c r="AD1013" s="43" t="n">
        <f aca="false">IF(Arterial=1,IF(Informed=1,1,0),0)</f>
        <v>1</v>
      </c>
      <c r="AE1013" s="43" t="n">
        <f aca="false">IF(Arterial=1,IF(Informed=0,1,0),0)</f>
        <v>0</v>
      </c>
      <c r="AF1013" s="35" t="n">
        <f aca="false">IF(AB1013=1,(X1013-G$1030)^2,0)</f>
        <v>0</v>
      </c>
      <c r="AG1013" s="35" t="n">
        <f aca="false">IF(AC1013=1,(Y1013-H$1030)^2,0)</f>
        <v>0</v>
      </c>
      <c r="AH1013" s="35" t="n">
        <f aca="false">IF(AD1013=1,(Z1013-I$1030)^2,0)</f>
        <v>93.2073478483801</v>
      </c>
      <c r="AI1013" s="35" t="n">
        <f aca="false">IF(AE1013=1,(AA1013-J$1030)^2,0)</f>
        <v>0</v>
      </c>
      <c r="AJ1013" s="37" t="n">
        <f aca="true">IF(RAND()&lt;$D$6,1,0)</f>
        <v>0</v>
      </c>
      <c r="AK1013" s="14" t="n">
        <f aca="false">AK1012+IF((AJ1013=1),IF((H1013=0),1,0),0)</f>
        <v>0</v>
      </c>
      <c r="AL1013" s="14" t="n">
        <f aca="false">AL1012+IF((AJ1013=1),IF((H1013=1),1,0),0)</f>
        <v>0</v>
      </c>
      <c r="AM1013" s="37" t="n">
        <f aca="false">IF(AK1013=0,9999,IF($H1013=0,IF($AJ1013&lt;1,AM1012+1,0),AM1012))</f>
        <v>9999</v>
      </c>
      <c r="AN1013" s="37" t="n">
        <f aca="false">IF(AL1013=0,9999,IF($H1013=1,IF($AJ1013&lt;1,AN1012+1,0),AN1012))</f>
        <v>9999</v>
      </c>
      <c r="AO1013" s="37" t="n">
        <f aca="false">IF($A1013-AM1013&gt;0,1/(1+AM1013),0)</f>
        <v>0</v>
      </c>
      <c r="AP1013" s="37" t="n">
        <f aca="false">IF($A1013-AN1013&gt;0,1/(1+AN1013),0)</f>
        <v>0</v>
      </c>
      <c r="AQ1013" s="7" t="n">
        <f aca="false">IF(AK1013=0,0,MAX(MIN(1,AO1013^Power),0))</f>
        <v>0</v>
      </c>
      <c r="AR1013" s="7" t="n">
        <f aca="false">IF(AL1013=0,0,MAX(MIN(1,AP1013^Power),0))</f>
        <v>0</v>
      </c>
      <c r="AS1013" s="7" t="n">
        <f aca="false">IF($AJ1013=1,IF($H1013=0,K1013,AS1012),AS1012)</f>
        <v>0</v>
      </c>
      <c r="AT1013" s="7" t="n">
        <f aca="false">IF($AJ1013=1,IF($H1013=1,N1013,AT1012),AT1012)</f>
        <v>0</v>
      </c>
    </row>
    <row r="1014" customFormat="false" ht="13" hidden="false" customHeight="false" outlineLevel="0" collapsed="false">
      <c r="A1014" s="16" t="n">
        <v>997</v>
      </c>
      <c r="B1014" s="37" t="n">
        <f aca="true">IF(RAND()&lt;$D$8,1,0)</f>
        <v>1</v>
      </c>
      <c r="C1014" s="20" t="n">
        <f aca="true">-LN(RAND())/$D$2</f>
        <v>0.22239405502775</v>
      </c>
      <c r="D1014" s="38" t="n">
        <f aca="false">D1013+C1014</f>
        <v>1047.73897072456</v>
      </c>
      <c r="E1014" s="39" t="n">
        <f aca="false">MAX($E$3,AS1013)</f>
        <v>0</v>
      </c>
      <c r="F1014" s="39" t="n">
        <f aca="false">MAX($E$3,AT1013)</f>
        <v>0</v>
      </c>
      <c r="G1014" s="40" t="n">
        <v>0.5</v>
      </c>
      <c r="H1014" s="38" t="n">
        <f aca="true">IF((B1014=1),(IF((F1014&lt;E1014),1,(IF((F1014=E1014),(IF(RAND()&lt;G1014,1,0)),0)))),(IF((RAND()&lt;G1014),1,0)))</f>
        <v>0</v>
      </c>
      <c r="I1014" s="38" t="n">
        <f aca="true">IF((H1014=1),0,$D$3+$D$5*(RAND()-0.5))</f>
        <v>2.03685831686029</v>
      </c>
      <c r="J1014" s="38" t="n">
        <f aca="false">I1014+MAX(D1014,J1013)</f>
        <v>1064.49566583016</v>
      </c>
      <c r="K1014" s="38" t="n">
        <f aca="false">IF((H1014=0),J1014-D1014,0)</f>
        <v>16.7566951056003</v>
      </c>
      <c r="L1014" s="38" t="n">
        <f aca="true">IF(($H1014=0),0,$D$4+$D$5*(RAND()-0.5))</f>
        <v>0</v>
      </c>
      <c r="M1014" s="38" t="n">
        <f aca="false">L1014+MAX(D1014,M1013)</f>
        <v>1066.23701620214</v>
      </c>
      <c r="N1014" s="38" t="n">
        <f aca="false">IF((H1014=1),M1014-D1014,0)</f>
        <v>0</v>
      </c>
      <c r="O1014" s="16" t="n">
        <v>997</v>
      </c>
      <c r="P1014" s="41" t="n">
        <f aca="false">IF((Arterial=0),P1013+1,P1013)</f>
        <v>478</v>
      </c>
      <c r="Q1014" s="41" t="n">
        <f aca="false">IF((Arterial=1),Q1013+1,Q1013)</f>
        <v>519</v>
      </c>
      <c r="R1014" s="42" t="e">
        <f aca="false">IF((RESET=1),0,R1014+K1014)</f>
        <v>#N/A</v>
      </c>
      <c r="S1014" s="14" t="n">
        <f aca="false">IF(RESET=1,0,S1014+N1014)</f>
        <v>869.897055874371</v>
      </c>
      <c r="T1014" s="2" t="e">
        <f aca="false">IF(RESET=1,0,T1014+IF(H1014=0,1,0))</f>
        <v>#N/A</v>
      </c>
      <c r="U1014" s="2" t="n">
        <f aca="false">IF(RESET=1,0,U1014+H1014)</f>
        <v>43</v>
      </c>
      <c r="V1014" s="14" t="e">
        <f aca="false">R1014/(T1014+0.00001)</f>
        <v>#N/A</v>
      </c>
      <c r="W1014" s="14" t="n">
        <f aca="false">S1014/(U1014+0.0001)</f>
        <v>20.2301170433178</v>
      </c>
      <c r="X1014" s="39" t="n">
        <f aca="false">IF(Informed=1,K1014,0)</f>
        <v>16.7566951056003</v>
      </c>
      <c r="Y1014" s="39" t="n">
        <f aca="false">IF(Informed=0,K1014,0)</f>
        <v>0</v>
      </c>
      <c r="Z1014" s="39" t="n">
        <f aca="false">IF(Informed=1,N1014,0)</f>
        <v>0</v>
      </c>
      <c r="AA1014" s="39" t="n">
        <f aca="false">IF(Informed=0,N1014,0)</f>
        <v>0</v>
      </c>
      <c r="AB1014" s="43" t="n">
        <f aca="false">IF(Arterial=0,IF(Informed=1,1,0),0)</f>
        <v>1</v>
      </c>
      <c r="AC1014" s="43" t="n">
        <f aca="false">IF(Arterial=0,IF(Informed=0,1,0),0)</f>
        <v>0</v>
      </c>
      <c r="AD1014" s="43" t="n">
        <f aca="false">IF(Arterial=1,IF(Informed=1,1,0),0)</f>
        <v>0</v>
      </c>
      <c r="AE1014" s="43" t="n">
        <f aca="false">IF(Arterial=1,IF(Informed=0,1,0),0)</f>
        <v>0</v>
      </c>
      <c r="AF1014" s="35" t="n">
        <f aca="false">IF(AB1014=1,(X1014-G$1030)^2,0)</f>
        <v>36.5664129513488</v>
      </c>
      <c r="AG1014" s="35" t="n">
        <f aca="false">IF(AC1014=1,(Y1014-H$1030)^2,0)</f>
        <v>0</v>
      </c>
      <c r="AH1014" s="35" t="n">
        <f aca="false">IF(AD1014=1,(Z1014-I$1030)^2,0)</f>
        <v>0</v>
      </c>
      <c r="AI1014" s="35" t="n">
        <f aca="false">IF(AE1014=1,(AA1014-J$1030)^2,0)</f>
        <v>0</v>
      </c>
      <c r="AJ1014" s="37" t="n">
        <f aca="true">IF(RAND()&lt;$D$6,1,0)</f>
        <v>0</v>
      </c>
      <c r="AK1014" s="14" t="n">
        <f aca="false">AK1013+IF((AJ1014=1),IF((H1014=0),1,0),0)</f>
        <v>0</v>
      </c>
      <c r="AL1014" s="14" t="n">
        <f aca="false">AL1013+IF((AJ1014=1),IF((H1014=1),1,0),0)</f>
        <v>0</v>
      </c>
      <c r="AM1014" s="37" t="n">
        <f aca="false">IF(AK1014=0,9999,IF($H1014=0,IF($AJ1014&lt;1,AM1013+1,0),AM1013))</f>
        <v>9999</v>
      </c>
      <c r="AN1014" s="37" t="n">
        <f aca="false">IF(AL1014=0,9999,IF($H1014=1,IF($AJ1014&lt;1,AN1013+1,0),AN1013))</f>
        <v>9999</v>
      </c>
      <c r="AO1014" s="37" t="n">
        <f aca="false">IF($A1014-AM1014&gt;0,1/(1+AM1014),0)</f>
        <v>0</v>
      </c>
      <c r="AP1014" s="37" t="n">
        <f aca="false">IF($A1014-AN1014&gt;0,1/(1+AN1014),0)</f>
        <v>0</v>
      </c>
      <c r="AQ1014" s="7" t="n">
        <f aca="false">IF(AK1014=0,0,MAX(MIN(1,AO1014^Power),0))</f>
        <v>0</v>
      </c>
      <c r="AR1014" s="7" t="n">
        <f aca="false">IF(AL1014=0,0,MAX(MIN(1,AP1014^Power),0))</f>
        <v>0</v>
      </c>
      <c r="AS1014" s="7" t="n">
        <f aca="false">IF($AJ1014=1,IF($H1014=0,K1014,AS1013),AS1013)</f>
        <v>0</v>
      </c>
      <c r="AT1014" s="7" t="n">
        <f aca="false">IF($AJ1014=1,IF($H1014=1,N1014,AT1013),AT1013)</f>
        <v>0</v>
      </c>
    </row>
    <row r="1015" customFormat="false" ht="13" hidden="false" customHeight="false" outlineLevel="0" collapsed="false">
      <c r="A1015" s="16" t="n">
        <v>998</v>
      </c>
      <c r="B1015" s="37" t="n">
        <f aca="true">IF(RAND()&lt;$D$8,1,0)</f>
        <v>1</v>
      </c>
      <c r="C1015" s="20" t="n">
        <f aca="true">-LN(RAND())/$D$2</f>
        <v>0.731838935610265</v>
      </c>
      <c r="D1015" s="38" t="n">
        <f aca="false">D1014+C1015</f>
        <v>1048.47080966017</v>
      </c>
      <c r="E1015" s="39" t="n">
        <f aca="false">MAX($E$3,AS1014)</f>
        <v>0</v>
      </c>
      <c r="F1015" s="39" t="n">
        <f aca="false">MAX($E$3,AT1014)</f>
        <v>0</v>
      </c>
      <c r="G1015" s="40" t="n">
        <v>0.5</v>
      </c>
      <c r="H1015" s="38" t="n">
        <f aca="true">IF((B1015=1),(IF((F1015&lt;E1015),1,(IF((F1015=E1015),(IF(RAND()&lt;G1015,1,0)),0)))),(IF((RAND()&lt;G1015),1,0)))</f>
        <v>1</v>
      </c>
      <c r="I1015" s="38" t="n">
        <f aca="true">IF((H1015=1),0,$D$3+$D$5*(RAND()-0.5))</f>
        <v>0</v>
      </c>
      <c r="J1015" s="38" t="n">
        <f aca="false">I1015+MAX(D1015,J1014)</f>
        <v>1064.49566583016</v>
      </c>
      <c r="K1015" s="38" t="n">
        <f aca="false">IF((H1015=0),J1015-D1015,0)</f>
        <v>0</v>
      </c>
      <c r="L1015" s="38" t="n">
        <f aca="true">IF(($H1015=0),0,$D$4+$D$5*(RAND()-0.5))</f>
        <v>1.75445115200277</v>
      </c>
      <c r="M1015" s="38" t="n">
        <f aca="false">L1015+MAX(D1015,M1014)</f>
        <v>1067.99146735414</v>
      </c>
      <c r="N1015" s="38" t="n">
        <f aca="false">IF((H1015=1),M1015-D1015,0)</f>
        <v>19.5206576939756</v>
      </c>
      <c r="O1015" s="16" t="n">
        <v>998</v>
      </c>
      <c r="P1015" s="41" t="n">
        <f aca="false">IF((Arterial=0),P1014+1,P1014)</f>
        <v>478</v>
      </c>
      <c r="Q1015" s="41" t="n">
        <f aca="false">IF((Arterial=1),Q1014+1,Q1014)</f>
        <v>520</v>
      </c>
      <c r="R1015" s="42" t="n">
        <f aca="false">IF((RESET=1),0,R1015+K1015)</f>
        <v>785.996967121362</v>
      </c>
      <c r="S1015" s="14" t="e">
        <f aca="false">IF(RESET=1,0,S1015+N1015)</f>
        <v>#N/A</v>
      </c>
      <c r="T1015" s="2" t="n">
        <f aca="false">IF(RESET=1,0,T1015+IF(H1015=0,1,0))</f>
        <v>47</v>
      </c>
      <c r="U1015" s="2" t="e">
        <f aca="false">IF(RESET=1,0,U1015+H1015)</f>
        <v>#N/A</v>
      </c>
      <c r="V1015" s="14" t="n">
        <f aca="false">R1015/(T1015+0.00001)</f>
        <v>16.7233361678298</v>
      </c>
      <c r="W1015" s="14" t="e">
        <f aca="false">S1015/(U1015+0.0001)</f>
        <v>#N/A</v>
      </c>
      <c r="X1015" s="39" t="n">
        <f aca="false">IF(Informed=1,K1015,0)</f>
        <v>0</v>
      </c>
      <c r="Y1015" s="39" t="n">
        <f aca="false">IF(Informed=0,K1015,0)</f>
        <v>0</v>
      </c>
      <c r="Z1015" s="39" t="n">
        <f aca="false">IF(Informed=1,N1015,0)</f>
        <v>19.5206576939756</v>
      </c>
      <c r="AA1015" s="39" t="n">
        <f aca="false">IF(Informed=0,N1015,0)</f>
        <v>0</v>
      </c>
      <c r="AB1015" s="43" t="n">
        <f aca="false">IF(Arterial=0,IF(Informed=1,1,0),0)</f>
        <v>0</v>
      </c>
      <c r="AC1015" s="43" t="n">
        <f aca="false">IF(Arterial=0,IF(Informed=0,1,0),0)</f>
        <v>0</v>
      </c>
      <c r="AD1015" s="43" t="n">
        <f aca="false">IF(Arterial=1,IF(Informed=1,1,0),0)</f>
        <v>1</v>
      </c>
      <c r="AE1015" s="43" t="n">
        <f aca="false">IF(Arterial=1,IF(Informed=0,1,0),0)</f>
        <v>0</v>
      </c>
      <c r="AF1015" s="35" t="n">
        <f aca="false">IF(AB1015=1,(X1015-G$1030)^2,0)</f>
        <v>0</v>
      </c>
      <c r="AG1015" s="35" t="n">
        <f aca="false">IF(AC1015=1,(Y1015-H$1030)^2,0)</f>
        <v>0</v>
      </c>
      <c r="AH1015" s="35" t="n">
        <f aca="false">IF(AD1015=1,(Z1015-I$1030)^2,0)</f>
        <v>78.3964521050673</v>
      </c>
      <c r="AI1015" s="35" t="n">
        <f aca="false">IF(AE1015=1,(AA1015-J$1030)^2,0)</f>
        <v>0</v>
      </c>
      <c r="AJ1015" s="37" t="n">
        <f aca="true">IF(RAND()&lt;$D$6,1,0)</f>
        <v>0</v>
      </c>
      <c r="AK1015" s="14" t="n">
        <f aca="false">AK1014+IF((AJ1015=1),IF((H1015=0),1,0),0)</f>
        <v>0</v>
      </c>
      <c r="AL1015" s="14" t="n">
        <f aca="false">AL1014+IF((AJ1015=1),IF((H1015=1),1,0),0)</f>
        <v>0</v>
      </c>
      <c r="AM1015" s="37" t="n">
        <f aca="false">IF(AK1015=0,9999,IF($H1015=0,IF($AJ1015&lt;1,AM1014+1,0),AM1014))</f>
        <v>9999</v>
      </c>
      <c r="AN1015" s="37" t="n">
        <f aca="false">IF(AL1015=0,9999,IF($H1015=1,IF($AJ1015&lt;1,AN1014+1,0),AN1014))</f>
        <v>9999</v>
      </c>
      <c r="AO1015" s="37" t="n">
        <f aca="false">IF($A1015-AM1015&gt;0,1/(1+AM1015),0)</f>
        <v>0</v>
      </c>
      <c r="AP1015" s="37" t="n">
        <f aca="false">IF($A1015-AN1015&gt;0,1/(1+AN1015),0)</f>
        <v>0</v>
      </c>
      <c r="AQ1015" s="7" t="n">
        <f aca="false">IF(AK1015=0,0,MAX(MIN(1,AO1015^Power),0))</f>
        <v>0</v>
      </c>
      <c r="AR1015" s="7" t="n">
        <f aca="false">IF(AL1015=0,0,MAX(MIN(1,AP1015^Power),0))</f>
        <v>0</v>
      </c>
      <c r="AS1015" s="7" t="n">
        <f aca="false">IF($AJ1015=1,IF($H1015=0,K1015,AS1014),AS1014)</f>
        <v>0</v>
      </c>
      <c r="AT1015" s="7" t="n">
        <f aca="false">IF($AJ1015=1,IF($H1015=1,N1015,AT1014),AT1014)</f>
        <v>0</v>
      </c>
    </row>
    <row r="1016" customFormat="false" ht="13" hidden="false" customHeight="false" outlineLevel="0" collapsed="false">
      <c r="A1016" s="16" t="n">
        <v>999</v>
      </c>
      <c r="B1016" s="37" t="n">
        <f aca="true">IF(RAND()&lt;$D$8,1,0)</f>
        <v>1</v>
      </c>
      <c r="C1016" s="20" t="n">
        <f aca="true">-LN(RAND())/$D$2</f>
        <v>1.46543697108252</v>
      </c>
      <c r="D1016" s="38" t="n">
        <f aca="false">D1015+C1016</f>
        <v>1049.93624663125</v>
      </c>
      <c r="E1016" s="39" t="n">
        <f aca="false">MAX($E$3,AS1015)</f>
        <v>0</v>
      </c>
      <c r="F1016" s="39" t="n">
        <f aca="false">MAX($E$3,AT1015)</f>
        <v>0</v>
      </c>
      <c r="G1016" s="40" t="n">
        <v>0.5</v>
      </c>
      <c r="H1016" s="38" t="n">
        <f aca="true">IF((B1016=1),(IF((F1016&lt;E1016),1,(IF((F1016=E1016),(IF(RAND()&lt;G1016,1,0)),0)))),(IF((RAND()&lt;G1016),1,0)))</f>
        <v>0</v>
      </c>
      <c r="I1016" s="38" t="n">
        <f aca="true">IF((H1016=1),0,$D$3+$D$5*(RAND()-0.5))</f>
        <v>1.80404260156674</v>
      </c>
      <c r="J1016" s="38" t="n">
        <f aca="false">I1016+MAX(D1016,J1015)</f>
        <v>1066.29970843172</v>
      </c>
      <c r="K1016" s="38" t="n">
        <f aca="false">IF((H1016=0),J1016-D1016,0)</f>
        <v>16.3634618004744</v>
      </c>
      <c r="L1016" s="38" t="n">
        <f aca="true">IF(($H1016=0),0,$D$4+$D$5*(RAND()-0.5))</f>
        <v>0</v>
      </c>
      <c r="M1016" s="38" t="n">
        <f aca="false">L1016+MAX(D1016,M1015)</f>
        <v>1067.99146735414</v>
      </c>
      <c r="N1016" s="38" t="n">
        <f aca="false">IF((H1016=1),M1016-D1016,0)</f>
        <v>0</v>
      </c>
      <c r="O1016" s="16" t="n">
        <v>999</v>
      </c>
      <c r="P1016" s="41" t="n">
        <f aca="false">IF((Arterial=0),P1015+1,P1015)</f>
        <v>479</v>
      </c>
      <c r="Q1016" s="41" t="n">
        <f aca="false">IF((Arterial=1),Q1015+1,Q1015)</f>
        <v>520</v>
      </c>
      <c r="R1016" s="42" t="e">
        <f aca="false">IF((RESET=1),0,R1016+K1016)</f>
        <v>#N/A</v>
      </c>
      <c r="S1016" s="14" t="n">
        <f aca="false">IF(RESET=1,0,S1016+N1016)</f>
        <v>772.809362220992</v>
      </c>
      <c r="T1016" s="2" t="e">
        <f aca="false">IF(RESET=1,0,T1016+IF(H1016=0,1,0))</f>
        <v>#N/A</v>
      </c>
      <c r="U1016" s="2" t="n">
        <f aca="false">IF(RESET=1,0,U1016+H1016)</f>
        <v>40</v>
      </c>
      <c r="V1016" s="14" t="e">
        <f aca="false">R1016/(T1016+0.00001)</f>
        <v>#N/A</v>
      </c>
      <c r="W1016" s="14" t="n">
        <f aca="false">S1016/(U1016+0.0001)</f>
        <v>19.3201857550604</v>
      </c>
      <c r="X1016" s="39" t="n">
        <f aca="false">IF(Informed=1,K1016,0)</f>
        <v>16.3634618004744</v>
      </c>
      <c r="Y1016" s="39" t="n">
        <f aca="false">IF(Informed=0,K1016,0)</f>
        <v>0</v>
      </c>
      <c r="Z1016" s="39" t="n">
        <f aca="false">IF(Informed=1,N1016,0)</f>
        <v>0</v>
      </c>
      <c r="AA1016" s="39" t="n">
        <f aca="false">IF(Informed=0,N1016,0)</f>
        <v>0</v>
      </c>
      <c r="AB1016" s="43" t="n">
        <f aca="false">IF(Arterial=0,IF(Informed=1,1,0),0)</f>
        <v>1</v>
      </c>
      <c r="AC1016" s="43" t="n">
        <f aca="false">IF(Arterial=0,IF(Informed=0,1,0),0)</f>
        <v>0</v>
      </c>
      <c r="AD1016" s="43" t="n">
        <f aca="false">IF(Arterial=1,IF(Informed=1,1,0),0)</f>
        <v>0</v>
      </c>
      <c r="AE1016" s="43" t="n">
        <f aca="false">IF(Arterial=1,IF(Informed=0,1,0),0)</f>
        <v>0</v>
      </c>
      <c r="AF1016" s="35" t="n">
        <f aca="false">IF(AB1016=1,(X1016-G$1030)^2,0)</f>
        <v>31.9652685285831</v>
      </c>
      <c r="AG1016" s="35" t="n">
        <f aca="false">IF(AC1016=1,(Y1016-H$1030)^2,0)</f>
        <v>0</v>
      </c>
      <c r="AH1016" s="35" t="n">
        <f aca="false">IF(AD1016=1,(Z1016-I$1030)^2,0)</f>
        <v>0</v>
      </c>
      <c r="AI1016" s="35" t="n">
        <f aca="false">IF(AE1016=1,(AA1016-J$1030)^2,0)</f>
        <v>0</v>
      </c>
      <c r="AJ1016" s="37" t="n">
        <f aca="true">IF(RAND()&lt;$D$6,1,0)</f>
        <v>0</v>
      </c>
      <c r="AK1016" s="14" t="n">
        <f aca="false">AK1015+IF((AJ1016=1),IF((H1016=0),1,0),0)</f>
        <v>0</v>
      </c>
      <c r="AL1016" s="14" t="n">
        <f aca="false">AL1015+IF((AJ1016=1),IF((H1016=1),1,0),0)</f>
        <v>0</v>
      </c>
      <c r="AM1016" s="37" t="n">
        <f aca="false">IF(AK1016=0,9999,IF($H1016=0,IF($AJ1016&lt;1,AM1015+1,0),AM1015))</f>
        <v>9999</v>
      </c>
      <c r="AN1016" s="37" t="n">
        <f aca="false">IF(AL1016=0,9999,IF($H1016=1,IF($AJ1016&lt;1,AN1015+1,0),AN1015))</f>
        <v>9999</v>
      </c>
      <c r="AO1016" s="37" t="n">
        <f aca="false">IF($A1016-AM1016&gt;0,1/(1+AM1016),0)</f>
        <v>0</v>
      </c>
      <c r="AP1016" s="37" t="n">
        <f aca="false">IF($A1016-AN1016&gt;0,1/(1+AN1016),0)</f>
        <v>0</v>
      </c>
      <c r="AQ1016" s="7" t="n">
        <f aca="false">IF(AK1016=0,0,MAX(MIN(1,AO1016^Power),0))</f>
        <v>0</v>
      </c>
      <c r="AR1016" s="7" t="n">
        <f aca="false">IF(AL1016=0,0,MAX(MIN(1,AP1016^Power),0))</f>
        <v>0</v>
      </c>
      <c r="AS1016" s="7" t="n">
        <f aca="false">IF($AJ1016=1,IF($H1016=0,K1016,AS1015),AS1015)</f>
        <v>0</v>
      </c>
      <c r="AT1016" s="7" t="n">
        <f aca="false">IF($AJ1016=1,IF($H1016=1,N1016,AT1015),AT1015)</f>
        <v>0</v>
      </c>
    </row>
    <row r="1017" customFormat="false" ht="13" hidden="false" customHeight="false" outlineLevel="0" collapsed="false">
      <c r="A1017" s="16" t="n">
        <v>1000</v>
      </c>
      <c r="B1017" s="37" t="n">
        <f aca="true">IF(RAND()&lt;$D$8,1,0)</f>
        <v>0</v>
      </c>
      <c r="C1017" s="20" t="n">
        <f aca="true">-LN(RAND())/$D$2</f>
        <v>0.971454429277314</v>
      </c>
      <c r="D1017" s="38" t="n">
        <f aca="false">D1016+C1017</f>
        <v>1050.90770106053</v>
      </c>
      <c r="E1017" s="39" t="n">
        <f aca="false">MAX($E$3,AS1016)</f>
        <v>0</v>
      </c>
      <c r="F1017" s="39" t="n">
        <f aca="false">MAX($E$3,AT1016)</f>
        <v>0</v>
      </c>
      <c r="G1017" s="40" t="n">
        <v>0.5</v>
      </c>
      <c r="H1017" s="38" t="n">
        <f aca="true">IF((B1017=1),(IF((F1017&lt;E1017),1,(IF((F1017=E1017),(IF(RAND()&lt;G1017,1,0)),0)))),(IF((RAND()&lt;G1017),1,0)))</f>
        <v>1</v>
      </c>
      <c r="I1017" s="38" t="n">
        <f aca="true">IF((H1017=1),0,$D$3+$D$5*(RAND()-0.5))</f>
        <v>0</v>
      </c>
      <c r="J1017" s="38" t="n">
        <f aca="false">I1017+MAX(D1017,J1016)</f>
        <v>1066.29970843172</v>
      </c>
      <c r="K1017" s="38" t="n">
        <f aca="false">IF((H1017=0),J1017-D1017,0)</f>
        <v>0</v>
      </c>
      <c r="L1017" s="38" t="n">
        <f aca="true">IF(($H1017=0),0,$D$4+$D$5*(RAND()-0.5))</f>
        <v>1.79768821336914</v>
      </c>
      <c r="M1017" s="38" t="n">
        <f aca="false">L1017+MAX(D1017,M1016)</f>
        <v>1069.78915556751</v>
      </c>
      <c r="N1017" s="38" t="n">
        <f aca="false">IF((H1017=1),M1017-D1017,0)</f>
        <v>18.8814545069849</v>
      </c>
      <c r="O1017" s="16" t="n">
        <v>1000</v>
      </c>
      <c r="P1017" s="41" t="n">
        <f aca="false">IF((Arterial=0),P1016+1,P1016)</f>
        <v>479</v>
      </c>
      <c r="Q1017" s="41" t="n">
        <f aca="false">IF((Arterial=1),Q1016+1,Q1016)</f>
        <v>521</v>
      </c>
      <c r="R1017" s="42" t="n">
        <f aca="false">IF((RESET=1),0,R1017+K1017)</f>
        <v>666.59289601865</v>
      </c>
      <c r="S1017" s="14" t="e">
        <f aca="false">IF(RESET=1,0,S1017+N1017)</f>
        <v>#N/A</v>
      </c>
      <c r="T1017" s="2" t="n">
        <f aca="false">IF(RESET=1,0,T1017+IF(H1017=0,1,0))</f>
        <v>43</v>
      </c>
      <c r="U1017" s="2" t="e">
        <f aca="false">IF(RESET=1,0,U1017+H1017)</f>
        <v>#N/A</v>
      </c>
      <c r="V1017" s="14" t="n">
        <f aca="false">R1017/(T1017+0.00001)</f>
        <v>15.502156767374</v>
      </c>
      <c r="W1017" s="14" t="e">
        <f aca="false">S1017/(U1017+0.0001)</f>
        <v>#N/A</v>
      </c>
      <c r="X1017" s="39" t="n">
        <f aca="false">IF(Informed=1,K1017,0)</f>
        <v>0</v>
      </c>
      <c r="Y1017" s="39" t="n">
        <f aca="false">IF(Informed=0,K1017,0)</f>
        <v>0</v>
      </c>
      <c r="Z1017" s="39" t="n">
        <f aca="false">IF(Informed=1,N1017,0)</f>
        <v>0</v>
      </c>
      <c r="AA1017" s="39" t="n">
        <f aca="false">IF(Informed=0,N1017,0)</f>
        <v>18.8814545069849</v>
      </c>
      <c r="AB1017" s="43" t="n">
        <f aca="false">IF(Arterial=0,IF(Informed=1,1,0),0)</f>
        <v>0</v>
      </c>
      <c r="AC1017" s="43" t="n">
        <f aca="false">IF(Arterial=0,IF(Informed=0,1,0),0)</f>
        <v>0</v>
      </c>
      <c r="AD1017" s="43" t="n">
        <f aca="false">IF(Arterial=1,IF(Informed=1,1,0),0)</f>
        <v>0</v>
      </c>
      <c r="AE1017" s="43" t="n">
        <f aca="false">IF(Arterial=1,IF(Informed=0,1,0),0)</f>
        <v>1</v>
      </c>
      <c r="AF1017" s="35" t="n">
        <f aca="false">IF(AB1017=1,(X1017-G$1030)^2,0)</f>
        <v>0</v>
      </c>
      <c r="AG1017" s="35" t="n">
        <f aca="false">IF(AC1017=1,(Y1017-H$1030)^2,0)</f>
        <v>0</v>
      </c>
      <c r="AH1017" s="35" t="n">
        <f aca="false">IF(AD1017=1,(Z1017-I$1030)^2,0)</f>
        <v>0</v>
      </c>
      <c r="AI1017" s="35" t="n">
        <f aca="false">IF(AE1017=1,(AA1017-J$1030)^2,0)</f>
        <v>114.122653476932</v>
      </c>
      <c r="AJ1017" s="37" t="n">
        <f aca="true">IF(RAND()&lt;$D$6,1,0)</f>
        <v>0</v>
      </c>
      <c r="AK1017" s="14" t="n">
        <f aca="false">AK1016+IF((AJ1017=1),IF((H1017=0),1,0),0)</f>
        <v>0</v>
      </c>
      <c r="AL1017" s="14" t="n">
        <f aca="false">AL1016+IF((AJ1017=1),IF((H1017=1),1,0),0)</f>
        <v>0</v>
      </c>
      <c r="AM1017" s="37" t="n">
        <f aca="false">IF(AK1017=0,9999,IF($H1017=0,IF($AJ1017&lt;1,AM1016+1,0),AM1016))</f>
        <v>9999</v>
      </c>
      <c r="AN1017" s="37" t="n">
        <f aca="false">IF(AL1017=0,9999,IF($H1017=1,IF($AJ1017&lt;1,AN1016+1,0),AN1016))</f>
        <v>9999</v>
      </c>
      <c r="AO1017" s="37" t="n">
        <f aca="false">IF($A1017-AM1017&gt;0,1/(1+AM1017),0)</f>
        <v>0</v>
      </c>
      <c r="AP1017" s="37" t="n">
        <f aca="false">IF($A1017-AN1017&gt;0,1/(1+AN1017),0)</f>
        <v>0</v>
      </c>
      <c r="AQ1017" s="7" t="n">
        <f aca="false">IF(AK1017=0,0,MAX(MIN(1,AO1017^Power),0))</f>
        <v>0</v>
      </c>
      <c r="AR1017" s="7" t="n">
        <f aca="false">IF(AL1017=0,0,MAX(MIN(1,AP1017^Power),0))</f>
        <v>0</v>
      </c>
      <c r="AS1017" s="7" t="n">
        <f aca="false">IF($AJ1017=1,IF($H1017=0,K1017,AS1016),AS1016)</f>
        <v>0</v>
      </c>
      <c r="AT1017" s="7" t="n">
        <f aca="false">IF($AJ1017=1,IF($H1017=1,N1017,AT1016),AT1016)</f>
        <v>0</v>
      </c>
    </row>
    <row r="1018" customFormat="false" ht="13" hidden="false" customHeight="false" outlineLevel="0" collapsed="false">
      <c r="C1018" s="13"/>
      <c r="E1018" s="13"/>
      <c r="F1018" s="13"/>
      <c r="R1018" s="14"/>
      <c r="S1018" s="14"/>
      <c r="V1018" s="14"/>
      <c r="W1018" s="14"/>
      <c r="AF1018" s="35" t="n">
        <f aca="false">IF(AB1018=1,(X1018-G$1030)^2,0)</f>
        <v>0</v>
      </c>
      <c r="AG1018" s="35" t="n">
        <f aca="false">IF(AC1018=1,(Y1018-H$1030)^2,0)</f>
        <v>0</v>
      </c>
      <c r="AH1018" s="35" t="n">
        <f aca="false">IF(AD1018=1,(Z1018-I$1030)^2,0)</f>
        <v>0</v>
      </c>
      <c r="AI1018" s="35" t="n">
        <f aca="false">IF(AE1018=1,(AA1018-J$1030)^2,0)</f>
        <v>0</v>
      </c>
      <c r="AJ1018" s="37" t="n">
        <f aca="true">IF(RAND()&lt;$D$6,1,0)</f>
        <v>0</v>
      </c>
      <c r="AK1018" s="14"/>
      <c r="AL1018" s="14"/>
      <c r="AQ1018" s="14"/>
      <c r="AS1018" s="14"/>
      <c r="AT1018" s="14"/>
    </row>
    <row r="1019" customFormat="false" ht="13" hidden="false" customHeight="false" outlineLevel="0" collapsed="false">
      <c r="A1019" s="43" t="s">
        <v>79</v>
      </c>
      <c r="B1019" s="43" t="n">
        <f aca="false">SUM(B18:B1017)</f>
        <v>490</v>
      </c>
      <c r="C1019" s="43" t="n">
        <f aca="false">SUM(C18:C1017)</f>
        <v>1050.90770106053</v>
      </c>
      <c r="D1019" s="43" t="n">
        <f aca="false">SUM(D18:D1017)</f>
        <v>532426.226314244</v>
      </c>
      <c r="E1019" s="43" t="n">
        <f aca="false">SUM(E18:E1017)</f>
        <v>0</v>
      </c>
      <c r="F1019" s="43" t="n">
        <f aca="false">SUM(F18:F1017)</f>
        <v>0</v>
      </c>
      <c r="G1019" s="43" t="n">
        <f aca="false">SUM(G18:G1017)</f>
        <v>500</v>
      </c>
      <c r="H1019" s="43" t="n">
        <f aca="false">SUM(H18:H1017)</f>
        <v>521</v>
      </c>
      <c r="I1019" s="43" t="n">
        <f aca="false">SUM(I18:I1017)</f>
        <v>960.14725178573</v>
      </c>
      <c r="J1019" s="43" t="n">
        <f aca="false">SUM(J18:J1017)</f>
        <v>542067.689016923</v>
      </c>
      <c r="K1019" s="43" t="n">
        <f aca="false">SUM(K18:K1017)</f>
        <v>5183.24852303824</v>
      </c>
      <c r="L1019" s="43" t="n">
        <f aca="false">SUM(L18:L1017)</f>
        <v>1046.80044382011</v>
      </c>
      <c r="M1019" s="43" t="n">
        <f aca="false">SUM(M18:M1017)</f>
        <v>560892.258335979</v>
      </c>
      <c r="N1019" s="43" t="n">
        <f aca="false">SUM(N18:N1017)</f>
        <v>15093.7328186876</v>
      </c>
      <c r="O1019" s="43" t="n">
        <f aca="false">SUM(O18:O1017)</f>
        <v>500500</v>
      </c>
      <c r="P1019" s="43" t="n">
        <f aca="false">SUM(P18:P1017)</f>
        <v>233402</v>
      </c>
      <c r="Q1019" s="43" t="n">
        <f aca="false">SUM(Q18:Q1017)</f>
        <v>267098</v>
      </c>
      <c r="R1019" s="44" t="e">
        <f aca="false">SUM(R18:R1017)</f>
        <v>#N/A</v>
      </c>
      <c r="S1019" s="44" t="e">
        <f aca="false">SUM(S18:S1017)</f>
        <v>#N/A</v>
      </c>
      <c r="T1019" s="43" t="e">
        <f aca="false">SUM(T18:T1017)</f>
        <v>#N/A</v>
      </c>
      <c r="U1019" s="43" t="e">
        <f aca="false">SUM(U18:U1017)</f>
        <v>#N/A</v>
      </c>
      <c r="V1019" s="44" t="e">
        <f aca="false">SUM(V18:V1017)</f>
        <v>#N/A</v>
      </c>
      <c r="W1019" s="44" t="e">
        <f aca="false">SUM(W18:W1017)</f>
        <v>#N/A</v>
      </c>
      <c r="X1019" s="43" t="n">
        <f aca="false">SUM(X18:X1017)</f>
        <v>2463.22599560899</v>
      </c>
      <c r="Y1019" s="43" t="n">
        <f aca="false">SUM(Y18:Y1017)</f>
        <v>2720.02252742925</v>
      </c>
      <c r="Z1019" s="43" t="n">
        <f aca="false">SUM(Z18:Z1017)</f>
        <v>7377.45704624137</v>
      </c>
      <c r="AA1019" s="43" t="n">
        <f aca="false">SUM(AA18:AA1017)</f>
        <v>7716.27577244627</v>
      </c>
      <c r="AB1019" s="43" t="n">
        <f aca="false">SUM(AB18:AB1017)</f>
        <v>230</v>
      </c>
      <c r="AC1019" s="43" t="n">
        <f aca="false">SUM(AC18:AC1017)</f>
        <v>249</v>
      </c>
      <c r="AD1019" s="43" t="n">
        <f aca="false">SUM(AD18:AD1017)</f>
        <v>260</v>
      </c>
      <c r="AE1019" s="43" t="n">
        <f aca="false">SUM(AE18:AE1017)</f>
        <v>261</v>
      </c>
      <c r="AF1019" s="35" t="n">
        <f aca="false">IF(AB1019=1,(X1019-G$1030)^2,0)</f>
        <v>0</v>
      </c>
      <c r="AG1019" s="35" t="n">
        <f aca="false">IF(AC1019=1,(Y1019-H$1030)^2,0)</f>
        <v>0</v>
      </c>
      <c r="AH1019" s="35" t="n">
        <f aca="false">IF(AD1019=1,(Z1019-I$1030)^2,0)</f>
        <v>0</v>
      </c>
      <c r="AI1019" s="35" t="n">
        <f aca="false">IF(AE1019=1,(AA1019-J$1030)^2,0)</f>
        <v>0</v>
      </c>
      <c r="AJ1019" s="37" t="n">
        <f aca="true">IF(RAND()&lt;$D$6,1,0)</f>
        <v>0</v>
      </c>
      <c r="AK1019" s="44" t="n">
        <f aca="false">SUM(AK18:AK1017)</f>
        <v>0</v>
      </c>
      <c r="AL1019" s="44" t="n">
        <f aca="false">SUM(AL18:AL1017)</f>
        <v>0</v>
      </c>
      <c r="AM1019" s="43"/>
      <c r="AN1019" s="43"/>
      <c r="AO1019" s="43"/>
      <c r="AP1019" s="43"/>
      <c r="AQ1019" s="44"/>
      <c r="AR1019" s="43"/>
      <c r="AS1019" s="44"/>
      <c r="AT1019" s="44"/>
    </row>
    <row r="1020" customFormat="false" ht="13" hidden="false" customHeight="false" outlineLevel="0" collapsed="false">
      <c r="A1020" s="2" t="s">
        <v>80</v>
      </c>
      <c r="C1020" s="45" t="n">
        <f aca="false">C1019/1000</f>
        <v>1.05090770106053</v>
      </c>
      <c r="E1020" s="45" t="n">
        <f aca="false">E1019/(1000-H1019)</f>
        <v>0</v>
      </c>
      <c r="F1020" s="45" t="n">
        <f aca="false">F1019/H1019</f>
        <v>0</v>
      </c>
      <c r="G1020" s="46" t="n">
        <f aca="false">G1019/1000</f>
        <v>0.5</v>
      </c>
      <c r="H1020" s="45" t="n">
        <f aca="false">H1019/COUNT(H18:H1017)</f>
        <v>0.521</v>
      </c>
      <c r="R1020" s="14"/>
      <c r="S1020" s="14"/>
      <c r="T1020" s="14" t="e">
        <f aca="false">AVERAGE(T18:T1017)</f>
        <v>#N/A</v>
      </c>
      <c r="U1020" s="14" t="e">
        <f aca="false">AVERAGE(U18:U1017)</f>
        <v>#N/A</v>
      </c>
      <c r="V1020" s="14"/>
      <c r="W1020" s="14"/>
      <c r="X1020" s="14" t="n">
        <f aca="false">X1019/AB1019</f>
        <v>10.7096782417782</v>
      </c>
      <c r="Y1020" s="14" t="n">
        <f aca="false">Y1019/AC1019</f>
        <v>10.9237852507199</v>
      </c>
      <c r="Z1020" s="14" t="n">
        <f aca="false">Z1019/AD1019</f>
        <v>28.374834793236</v>
      </c>
      <c r="AA1020" s="14" t="n">
        <f aca="false">AA1019/AE1019</f>
        <v>29.5642749902156</v>
      </c>
      <c r="AK1020" s="14"/>
      <c r="AL1020" s="14"/>
      <c r="AQ1020" s="14"/>
      <c r="AS1020" s="14"/>
      <c r="AT1020" s="14"/>
    </row>
    <row r="1021" customFormat="false" ht="13" hidden="false" customHeight="false" outlineLevel="0" collapsed="false">
      <c r="C1021" s="13"/>
      <c r="E1021" s="13"/>
      <c r="F1021" s="13"/>
      <c r="R1021" s="14"/>
      <c r="S1021" s="14"/>
      <c r="T1021" s="14" t="e">
        <f aca="false">STDEV(T18:T1017)</f>
        <v>#N/A</v>
      </c>
      <c r="U1021" s="14" t="e">
        <f aca="false">STDEV(U18:U1017)</f>
        <v>#N/A</v>
      </c>
      <c r="V1021" s="14"/>
      <c r="W1021" s="14"/>
      <c r="AK1021" s="14"/>
      <c r="AL1021" s="14"/>
      <c r="AQ1021" s="14"/>
      <c r="AS1021" s="14"/>
      <c r="AT1021" s="14"/>
    </row>
    <row r="1022" customFormat="false" ht="13" hidden="false" customHeight="false" outlineLevel="0" collapsed="false">
      <c r="A1022" s="2" t="s">
        <v>81</v>
      </c>
      <c r="B1022" s="43" t="e">
        <f aca="false">IF(RESET=1,0,B1022+B1019)</f>
        <v>#N/A</v>
      </c>
      <c r="C1022" s="43" t="e">
        <f aca="false">IF(RESET=1,0,C1022+C1019)</f>
        <v>#N/A</v>
      </c>
      <c r="D1022" s="43" t="e">
        <f aca="false">IF(RESET=1,0,D1022+D1019)</f>
        <v>#N/A</v>
      </c>
      <c r="E1022" s="43" t="n">
        <f aca="false">IF(RESET=1,0,E1022+E1019)</f>
        <v>0</v>
      </c>
      <c r="F1022" s="43" t="n">
        <f aca="false">IF(RESET=1,0,F1022+F1019)</f>
        <v>0</v>
      </c>
      <c r="G1022" s="43" t="e">
        <f aca="false">IF(RESET=1,0,G1022+G1019)</f>
        <v>#N/A</v>
      </c>
      <c r="H1022" s="43" t="e">
        <f aca="false">IF(RESET=1,0,H1022+H1019)</f>
        <v>#N/A</v>
      </c>
      <c r="I1022" s="43" t="e">
        <f aca="false">IF(RESET=1,0,I1022+I1019)</f>
        <v>#N/A</v>
      </c>
      <c r="J1022" s="43" t="e">
        <f aca="false">IF(RESET=1,0,J1022+J1019)</f>
        <v>#N/A</v>
      </c>
      <c r="K1022" s="43" t="e">
        <f aca="false">IF(RESET=1,0,K1022+K1019)</f>
        <v>#N/A</v>
      </c>
      <c r="L1022" s="43" t="e">
        <f aca="false">IF(RESET=1,0,L1022+L1019)</f>
        <v>#N/A</v>
      </c>
      <c r="M1022" s="43" t="e">
        <f aca="false">IF(RESET=1,0,M1022+M1019)</f>
        <v>#N/A</v>
      </c>
      <c r="N1022" s="43" t="e">
        <f aca="false">IF(RESET=1,0,N1022+N1019)</f>
        <v>#N/A</v>
      </c>
      <c r="O1022" s="43" t="e">
        <f aca="false">IF(RESET=1,0,O1022+O1019)</f>
        <v>#N/A</v>
      </c>
      <c r="P1022" s="43" t="e">
        <f aca="false">IF(RESET=1,0,P1022+P1019)</f>
        <v>#N/A</v>
      </c>
      <c r="Q1022" s="43" t="e">
        <f aca="false">IF(RESET=1,0,Q1022+Q1019)</f>
        <v>#N/A</v>
      </c>
      <c r="R1022" s="43" t="e">
        <f aca="false">IF(RESET=1,0,R1022+R1019)</f>
        <v>#N/A</v>
      </c>
      <c r="S1022" s="43" t="e">
        <f aca="false">IF(RESET=1,0,S1022+S1019)</f>
        <v>#N/A</v>
      </c>
      <c r="T1022" s="43" t="e">
        <f aca="false">IF(RESET=1,0,T1022+T1019)</f>
        <v>#N/A</v>
      </c>
      <c r="U1022" s="43" t="e">
        <f aca="false">IF(RESET=1,0,U1022+U1019)</f>
        <v>#N/A</v>
      </c>
      <c r="V1022" s="43" t="e">
        <f aca="false">IF(RESET=1,0,V1022+V1019)</f>
        <v>#N/A</v>
      </c>
      <c r="W1022" s="43" t="e">
        <f aca="false">IF(RESET=1,0,W1022+W1019)</f>
        <v>#N/A</v>
      </c>
      <c r="X1022" s="43" t="e">
        <f aca="false">IF(RESET=1,0,X1022+X1019)</f>
        <v>#N/A</v>
      </c>
      <c r="Y1022" s="43" t="e">
        <f aca="false">IF(RESET=1,0,Y1022+Y1019)</f>
        <v>#N/A</v>
      </c>
      <c r="Z1022" s="43" t="e">
        <f aca="false">IF(RESET=1,0,Z1022+Z1019)</f>
        <v>#N/A</v>
      </c>
      <c r="AA1022" s="43" t="e">
        <f aca="false">IF(RESET=1,0,AA1022+AA1019)</f>
        <v>#N/A</v>
      </c>
      <c r="AB1022" s="43" t="e">
        <f aca="false">IF(RESET=1,0,AB1022+AB1019)</f>
        <v>#N/A</v>
      </c>
      <c r="AC1022" s="43" t="e">
        <f aca="false">IF(RESET=1,0,AC1022+AC1019)</f>
        <v>#N/A</v>
      </c>
      <c r="AD1022" s="43" t="e">
        <f aca="false">IF(RESET=1,0,AD1022+AD1019)</f>
        <v>#N/A</v>
      </c>
      <c r="AE1022" s="43" t="e">
        <f aca="false">IF(RESET=1,0,AE1022+AE1019)</f>
        <v>#N/A</v>
      </c>
      <c r="AK1022" s="43"/>
      <c r="AL1022" s="43"/>
      <c r="AM1022" s="43"/>
      <c r="AN1022" s="43"/>
      <c r="AO1022" s="43"/>
      <c r="AP1022" s="43"/>
      <c r="AQ1022" s="43"/>
      <c r="AR1022" s="43"/>
      <c r="AS1022" s="43"/>
      <c r="AT1022" s="43"/>
    </row>
    <row r="1023" customFormat="false" ht="13" hidden="false" customHeight="false" outlineLevel="0" collapsed="false">
      <c r="A1023" s="2" t="s">
        <v>82</v>
      </c>
      <c r="E1023" s="13"/>
      <c r="F1023" s="13"/>
      <c r="R1023" s="14"/>
      <c r="S1023" s="14"/>
      <c r="V1023" s="14"/>
      <c r="W1023" s="14"/>
      <c r="X1023" s="14" t="e">
        <f aca="false">X1022/AB1022</f>
        <v>#N/A</v>
      </c>
      <c r="Y1023" s="14" t="e">
        <f aca="false">Y1022/AC1022</f>
        <v>#N/A</v>
      </c>
      <c r="Z1023" s="14" t="e">
        <f aca="false">Z1022/AD1022</f>
        <v>#N/A</v>
      </c>
      <c r="AA1023" s="14" t="e">
        <f aca="false">AA1022/AE1022</f>
        <v>#N/A</v>
      </c>
      <c r="AK1023" s="14"/>
      <c r="AL1023" s="14"/>
      <c r="AQ1023" s="14"/>
      <c r="AS1023" s="14"/>
      <c r="AT1023" s="14"/>
    </row>
    <row r="1024" customFormat="false" ht="13" hidden="false" customHeight="false" outlineLevel="0" collapsed="false">
      <c r="E1024" s="13"/>
      <c r="F1024" s="13"/>
      <c r="R1024" s="14"/>
      <c r="S1024" s="14"/>
      <c r="V1024" s="14"/>
      <c r="W1024" s="14"/>
      <c r="AK1024" s="14"/>
      <c r="AL1024" s="14"/>
      <c r="AQ1024" s="14"/>
      <c r="AS1024" s="14"/>
      <c r="AT1024" s="14"/>
    </row>
    <row r="1025" customFormat="false" ht="13" hidden="false" customHeight="false" outlineLevel="0" collapsed="false">
      <c r="A1025" s="15"/>
      <c r="B1025" s="15"/>
      <c r="C1025" s="15"/>
      <c r="D1025" s="15"/>
      <c r="E1025" s="13"/>
      <c r="F1025" s="19"/>
      <c r="G1025" s="15"/>
      <c r="R1025" s="14"/>
      <c r="S1025" s="14"/>
      <c r="V1025" s="14"/>
      <c r="W1025" s="14"/>
      <c r="AK1025" s="14"/>
      <c r="AL1025" s="14"/>
      <c r="AM1025" s="15"/>
      <c r="AN1025" s="15"/>
      <c r="AO1025" s="15"/>
      <c r="AP1025" s="15"/>
      <c r="AQ1025" s="14"/>
      <c r="AR1025" s="15"/>
      <c r="AS1025" s="14"/>
      <c r="AT1025" s="14"/>
    </row>
    <row r="1026" customFormat="false" ht="13" hidden="false" customHeight="false" outlineLevel="0" collapsed="false">
      <c r="A1026" s="47" t="s">
        <v>83</v>
      </c>
      <c r="B1026" s="23" t="s">
        <v>84</v>
      </c>
      <c r="C1026" s="22" t="s">
        <v>84</v>
      </c>
      <c r="D1026" s="18" t="s">
        <v>84</v>
      </c>
      <c r="E1026" s="23" t="s">
        <v>84</v>
      </c>
      <c r="F1026" s="22" t="s">
        <v>84</v>
      </c>
      <c r="G1026" s="21" t="s">
        <v>18</v>
      </c>
      <c r="H1026" s="21" t="s">
        <v>18</v>
      </c>
      <c r="I1026" s="22" t="s">
        <v>19</v>
      </c>
      <c r="J1026" s="22" t="s">
        <v>19</v>
      </c>
      <c r="K1026" s="21"/>
      <c r="L1026" s="21"/>
      <c r="M1026" s="21"/>
      <c r="N1026" s="21"/>
      <c r="O1026" s="21"/>
      <c r="P1026" s="21"/>
      <c r="Q1026" s="21"/>
      <c r="R1026" s="24"/>
      <c r="S1026" s="24"/>
      <c r="T1026" s="21"/>
      <c r="U1026" s="21"/>
      <c r="V1026" s="24"/>
      <c r="W1026" s="24"/>
      <c r="X1026" s="21"/>
      <c r="Y1026" s="21"/>
      <c r="Z1026" s="21"/>
      <c r="AA1026" s="21"/>
      <c r="AB1026" s="21"/>
      <c r="AC1026" s="21"/>
      <c r="AD1026" s="21"/>
      <c r="AE1026" s="21"/>
      <c r="AF1026" s="21" t="s">
        <v>18</v>
      </c>
      <c r="AG1026" s="21" t="s">
        <v>18</v>
      </c>
      <c r="AH1026" s="22" t="s">
        <v>19</v>
      </c>
      <c r="AI1026" s="22" t="s">
        <v>19</v>
      </c>
      <c r="AJ1026" s="22"/>
      <c r="AK1026" s="24"/>
      <c r="AL1026" s="24"/>
      <c r="AM1026" s="23"/>
      <c r="AN1026" s="23"/>
      <c r="AO1026" s="23"/>
      <c r="AP1026" s="23"/>
      <c r="AQ1026" s="24"/>
      <c r="AR1026" s="23"/>
      <c r="AS1026" s="24"/>
      <c r="AT1026" s="24"/>
    </row>
    <row r="1027" customFormat="false" ht="14" hidden="false" customHeight="false" outlineLevel="0" collapsed="false">
      <c r="A1027" s="34"/>
      <c r="B1027" s="48" t="s">
        <v>18</v>
      </c>
      <c r="C1027" s="48" t="s">
        <v>19</v>
      </c>
      <c r="D1027" s="49" t="s">
        <v>84</v>
      </c>
      <c r="E1027" s="34" t="s">
        <v>40</v>
      </c>
      <c r="F1027" s="48" t="s">
        <v>41</v>
      </c>
      <c r="G1027" s="34" t="s">
        <v>40</v>
      </c>
      <c r="H1027" s="34" t="s">
        <v>41</v>
      </c>
      <c r="I1027" s="34" t="s">
        <v>40</v>
      </c>
      <c r="J1027" s="34" t="s">
        <v>41</v>
      </c>
      <c r="K1027" s="34"/>
      <c r="L1027" s="34"/>
      <c r="M1027" s="34"/>
      <c r="N1027" s="34"/>
      <c r="O1027" s="34"/>
      <c r="P1027" s="34"/>
      <c r="Q1027" s="34"/>
      <c r="R1027" s="50"/>
      <c r="S1027" s="50"/>
      <c r="T1027" s="34"/>
      <c r="U1027" s="34"/>
      <c r="V1027" s="50"/>
      <c r="W1027" s="50"/>
      <c r="X1027" s="34"/>
      <c r="Y1027" s="34"/>
      <c r="Z1027" s="34"/>
      <c r="AA1027" s="34"/>
      <c r="AB1027" s="34"/>
      <c r="AC1027" s="34"/>
      <c r="AD1027" s="34"/>
      <c r="AE1027" s="34"/>
      <c r="AF1027" s="34" t="s">
        <v>40</v>
      </c>
      <c r="AG1027" s="34" t="s">
        <v>41</v>
      </c>
      <c r="AH1027" s="34" t="s">
        <v>40</v>
      </c>
      <c r="AI1027" s="34" t="s">
        <v>41</v>
      </c>
      <c r="AJ1027" s="34"/>
      <c r="AK1027" s="50"/>
      <c r="AL1027" s="50"/>
      <c r="AM1027" s="48"/>
      <c r="AN1027" s="48"/>
      <c r="AO1027" s="48"/>
      <c r="AP1027" s="48"/>
      <c r="AQ1027" s="50"/>
      <c r="AR1027" s="48"/>
      <c r="AS1027" s="50"/>
      <c r="AT1027" s="50"/>
    </row>
    <row r="1028" customFormat="false" ht="13" hidden="false" customHeight="false" outlineLevel="0" collapsed="false">
      <c r="A1028" s="15" t="s">
        <v>85</v>
      </c>
      <c r="B1028" s="35" t="n">
        <f aca="false">SUM(X18:Y1017)</f>
        <v>5183.24852303824</v>
      </c>
      <c r="C1028" s="35" t="n">
        <f aca="false">SUM(Z18:AA1017)</f>
        <v>15093.7328186876</v>
      </c>
      <c r="D1028" s="35" t="n">
        <f aca="false">SUM(X18:AA1017)</f>
        <v>20276.9813417259</v>
      </c>
      <c r="E1028" s="35" t="n">
        <f aca="false">SUM(X18:X1017)+SUM(Z18:Z1017)</f>
        <v>9840.68304185036</v>
      </c>
      <c r="F1028" s="35" t="n">
        <f aca="false">SUM(Y18:Y1017)+SUM(AA18:AA1017)</f>
        <v>10436.2982998755</v>
      </c>
      <c r="G1028" s="35" t="n">
        <f aca="false">SUM(X18:X1017)</f>
        <v>2463.22599560899</v>
      </c>
      <c r="H1028" s="35" t="n">
        <f aca="false">SUM(Y18:Y1017)</f>
        <v>2720.02252742925</v>
      </c>
      <c r="I1028" s="35" t="n">
        <f aca="false">SUM(Z18:Z1017)</f>
        <v>7377.45704624137</v>
      </c>
      <c r="J1028" s="35" t="n">
        <f aca="false">SUM(AA18:AA1017)</f>
        <v>7716.27577244627</v>
      </c>
      <c r="K1028" s="51" t="s">
        <v>22</v>
      </c>
      <c r="L1028" s="52"/>
      <c r="M1028" s="52"/>
      <c r="N1028" s="52"/>
      <c r="O1028" s="52"/>
      <c r="P1028" s="52"/>
      <c r="Q1028" s="52"/>
      <c r="R1028" s="36"/>
      <c r="S1028" s="36"/>
      <c r="T1028" s="52"/>
      <c r="U1028" s="52"/>
      <c r="V1028" s="36"/>
      <c r="W1028" s="36"/>
      <c r="X1028" s="52"/>
      <c r="Y1028" s="52"/>
      <c r="Z1028" s="52"/>
      <c r="AA1028" s="52"/>
      <c r="AB1028" s="52"/>
      <c r="AC1028" s="52"/>
      <c r="AD1028" s="52"/>
      <c r="AE1028" s="52" t="s">
        <v>86</v>
      </c>
      <c r="AF1028" s="52" t="n">
        <f aca="false">SQRT(SUM(AF18:AF1017)/AB1019)</f>
        <v>6.75362474357382</v>
      </c>
      <c r="AG1028" s="52" t="n">
        <f aca="false">SQRT(SUM(AG18:AG1017)/AC1019)</f>
        <v>6.47308634285796</v>
      </c>
      <c r="AH1028" s="52" t="n">
        <f aca="false">SQRT(SUM(AH18:AH1017)/AD1019)</f>
        <v>16.4277026810078</v>
      </c>
      <c r="AI1028" s="52" t="n">
        <f aca="false">SQRT(SUM(AI18:AI1017)/AE1019)</f>
        <v>16.7844287000711</v>
      </c>
      <c r="AJ1028" s="52"/>
      <c r="AK1028" s="36"/>
      <c r="AL1028" s="36"/>
      <c r="AM1028" s="35"/>
      <c r="AN1028" s="35"/>
      <c r="AO1028" s="35"/>
      <c r="AP1028" s="35"/>
      <c r="AQ1028" s="36"/>
      <c r="AR1028" s="35"/>
      <c r="AS1028" s="36"/>
      <c r="AT1028" s="36"/>
    </row>
    <row r="1029" customFormat="false" ht="13" hidden="false" customHeight="false" outlineLevel="0" collapsed="false">
      <c r="A1029" s="15" t="s">
        <v>87</v>
      </c>
      <c r="B1029" s="35" t="n">
        <f aca="false">AB1019+AC1019</f>
        <v>479</v>
      </c>
      <c r="C1029" s="35" t="n">
        <f aca="false">AD1019+AE1019</f>
        <v>521</v>
      </c>
      <c r="D1029" s="35" t="n">
        <f aca="false">AB1019+AC1019+AD1019+AE1019</f>
        <v>1000</v>
      </c>
      <c r="E1029" s="35" t="n">
        <f aca="false">AB1019+AD1019</f>
        <v>490</v>
      </c>
      <c r="F1029" s="35" t="n">
        <f aca="false">AC1019+AE1019</f>
        <v>510</v>
      </c>
      <c r="G1029" s="35" t="n">
        <f aca="false">AB1019</f>
        <v>230</v>
      </c>
      <c r="H1029" s="35" t="n">
        <f aca="false">AC1019</f>
        <v>249</v>
      </c>
      <c r="I1029" s="35" t="n">
        <f aca="false">AD1019</f>
        <v>260</v>
      </c>
      <c r="J1029" s="35" t="n">
        <f aca="false">AE1019</f>
        <v>261</v>
      </c>
      <c r="K1029" s="51"/>
      <c r="L1029" s="52"/>
      <c r="M1029" s="52"/>
      <c r="N1029" s="52"/>
      <c r="O1029" s="52"/>
      <c r="P1029" s="52"/>
      <c r="Q1029" s="52"/>
      <c r="R1029" s="36"/>
      <c r="S1029" s="36"/>
      <c r="T1029" s="52"/>
      <c r="U1029" s="52"/>
      <c r="V1029" s="36"/>
      <c r="W1029" s="36"/>
      <c r="X1029" s="52"/>
      <c r="Y1029" s="52"/>
      <c r="Z1029" s="52"/>
      <c r="AA1029" s="52"/>
      <c r="AB1029" s="52"/>
      <c r="AC1029" s="52"/>
      <c r="AD1029" s="52"/>
      <c r="AE1029" s="52" t="s">
        <v>87</v>
      </c>
      <c r="AF1029" s="35" t="n">
        <f aca="false">AB1019</f>
        <v>230</v>
      </c>
      <c r="AG1029" s="35" t="n">
        <f aca="false">AC1019</f>
        <v>249</v>
      </c>
      <c r="AH1029" s="35" t="n">
        <f aca="false">AD1019</f>
        <v>260</v>
      </c>
      <c r="AI1029" s="35" t="n">
        <f aca="false">AE1019</f>
        <v>261</v>
      </c>
      <c r="AJ1029" s="35"/>
      <c r="AK1029" s="36"/>
      <c r="AL1029" s="36"/>
      <c r="AM1029" s="35"/>
      <c r="AN1029" s="35"/>
      <c r="AO1029" s="35"/>
      <c r="AP1029" s="35"/>
      <c r="AQ1029" s="36"/>
      <c r="AR1029" s="35"/>
      <c r="AS1029" s="36"/>
      <c r="AT1029" s="36"/>
    </row>
    <row r="1030" customFormat="false" ht="13" hidden="false" customHeight="false" outlineLevel="0" collapsed="false">
      <c r="A1030" s="15" t="s">
        <v>88</v>
      </c>
      <c r="B1030" s="53" t="n">
        <f aca="false">SUM(X18:Y1017)/(AB1019+AC1019)</f>
        <v>10.8209781274285</v>
      </c>
      <c r="C1030" s="53" t="n">
        <f aca="false">SUM(Z18:AA1017)/(AD1019+AE1019)</f>
        <v>28.9706963890358</v>
      </c>
      <c r="D1030" s="53" t="n">
        <f aca="false">SUM(X18:AA1017)/(AB1019+AC1019+AD1019+AE1019)</f>
        <v>20.2769813417259</v>
      </c>
      <c r="E1030" s="53" t="n">
        <f aca="false">(SUM(X18:X1017)+SUM(Z18:Z1017))/(AB1019+AD1019)</f>
        <v>20.0830266160212</v>
      </c>
      <c r="F1030" s="53" t="n">
        <f aca="false">(SUM(Y18:Y1017)+SUM(AA18:AA1017))/(AC1019+AE1019)</f>
        <v>20.4633299997559</v>
      </c>
      <c r="G1030" s="53" t="n">
        <f aca="false">SUM(X18:X1017)/(AB1019)</f>
        <v>10.7096782417782</v>
      </c>
      <c r="H1030" s="53" t="n">
        <f aca="false">SUM(Y18:Y1017)/(AC1019)</f>
        <v>10.9237852507199</v>
      </c>
      <c r="I1030" s="53" t="n">
        <f aca="false">SUM(Z18:Z1017)/(AD1019)</f>
        <v>28.374834793236</v>
      </c>
      <c r="J1030" s="53" t="n">
        <f aca="false">SUM(AA18:AA1017)/(AE1019)</f>
        <v>29.5642749902156</v>
      </c>
      <c r="K1030" s="51"/>
      <c r="L1030" s="52"/>
      <c r="M1030" s="52"/>
      <c r="N1030" s="52"/>
      <c r="O1030" s="52"/>
      <c r="P1030" s="52"/>
      <c r="Q1030" s="52"/>
      <c r="R1030" s="36"/>
      <c r="S1030" s="36"/>
      <c r="T1030" s="52"/>
      <c r="U1030" s="52"/>
      <c r="V1030" s="36"/>
      <c r="W1030" s="36"/>
      <c r="X1030" s="52"/>
      <c r="Y1030" s="52"/>
      <c r="Z1030" s="52"/>
      <c r="AA1030" s="52"/>
      <c r="AB1030" s="52"/>
      <c r="AC1030" s="52"/>
      <c r="AD1030" s="52"/>
      <c r="AE1030" s="52"/>
      <c r="AF1030" s="53"/>
      <c r="AG1030" s="53"/>
      <c r="AH1030" s="53"/>
      <c r="AI1030" s="53"/>
      <c r="AJ1030" s="53"/>
      <c r="AK1030" s="36"/>
      <c r="AL1030" s="36"/>
      <c r="AM1030" s="53"/>
      <c r="AN1030" s="53"/>
      <c r="AO1030" s="53"/>
      <c r="AP1030" s="53"/>
      <c r="AQ1030" s="36"/>
      <c r="AR1030" s="53"/>
      <c r="AS1030" s="36"/>
      <c r="AT1030" s="36"/>
    </row>
    <row r="1031" customFormat="false" ht="13" hidden="false" customHeight="false" outlineLevel="0" collapsed="false">
      <c r="A1031" s="15" t="s">
        <v>89</v>
      </c>
      <c r="B1031" s="44" t="e">
        <f aca="false">IF(RESET=1,0,B1031+B1028)</f>
        <v>#N/A</v>
      </c>
      <c r="C1031" s="44" t="e">
        <f aca="false">IF(RESET=1,0,C1031+C1028)</f>
        <v>#N/A</v>
      </c>
      <c r="D1031" s="44" t="e">
        <f aca="false">IF(RESET=1,0,D1031+D1028)</f>
        <v>#N/A</v>
      </c>
      <c r="E1031" s="44" t="e">
        <f aca="false">IF(RESET=1,0,E1031+E1028)</f>
        <v>#N/A</v>
      </c>
      <c r="F1031" s="44" t="e">
        <f aca="false">IF(RESET=1,0,F1031+F1028)</f>
        <v>#N/A</v>
      </c>
      <c r="G1031" s="44" t="e">
        <f aca="false">IF(RESET=1,0,G1031+G1028)</f>
        <v>#N/A</v>
      </c>
      <c r="H1031" s="44" t="e">
        <f aca="false">IF(RESET=1,0,H1031+H1028)</f>
        <v>#N/A</v>
      </c>
      <c r="I1031" s="44" t="e">
        <f aca="false">IF(RESET=1,0,I1031+I1028)</f>
        <v>#N/A</v>
      </c>
      <c r="J1031" s="44" t="e">
        <f aca="false">IF(RESET=1,0,J1031+J1028)</f>
        <v>#N/A</v>
      </c>
      <c r="K1031" s="54" t="s">
        <v>22</v>
      </c>
      <c r="L1031" s="52"/>
      <c r="M1031" s="52"/>
      <c r="N1031" s="52"/>
      <c r="O1031" s="52"/>
      <c r="P1031" s="52"/>
      <c r="Q1031" s="52"/>
      <c r="R1031" s="36"/>
      <c r="S1031" s="36"/>
      <c r="T1031" s="52"/>
      <c r="U1031" s="52"/>
      <c r="V1031" s="36"/>
      <c r="W1031" s="36"/>
      <c r="X1031" s="52"/>
      <c r="Y1031" s="52"/>
      <c r="Z1031" s="52"/>
      <c r="AA1031" s="52"/>
      <c r="AB1031" s="52"/>
      <c r="AC1031" s="52"/>
      <c r="AD1031" s="52"/>
      <c r="AE1031" s="52" t="s">
        <v>90</v>
      </c>
      <c r="AF1031" s="44" t="e">
        <f aca="false">IF(RESET=1,0,AF1031+AF1029*AF1028)</f>
        <v>#N/A</v>
      </c>
      <c r="AG1031" s="44" t="e">
        <f aca="false">IF(RESET=1,0,AG1031+AG1029*AG1028)</f>
        <v>#N/A</v>
      </c>
      <c r="AH1031" s="44" t="e">
        <f aca="false">IF(RESET=1,0,AH1031+AH1029*AH1028)</f>
        <v>#N/A</v>
      </c>
      <c r="AI1031" s="44" t="e">
        <f aca="false">IF(RESET=1,0,AI1031+AI1029*AI1028)</f>
        <v>#N/A</v>
      </c>
      <c r="AJ1031" s="44"/>
      <c r="AK1031" s="36"/>
      <c r="AL1031" s="36"/>
      <c r="AM1031" s="44"/>
      <c r="AN1031" s="44"/>
      <c r="AO1031" s="44"/>
      <c r="AP1031" s="44"/>
      <c r="AQ1031" s="36"/>
      <c r="AR1031" s="44"/>
      <c r="AS1031" s="36"/>
      <c r="AT1031" s="36"/>
    </row>
    <row r="1032" customFormat="false" ht="13" hidden="false" customHeight="false" outlineLevel="0" collapsed="false">
      <c r="A1032" s="55" t="s">
        <v>91</v>
      </c>
      <c r="B1032" s="2" t="e">
        <f aca="false">IF(RESET=1,0,B1032+B1029)</f>
        <v>#N/A</v>
      </c>
      <c r="C1032" s="2" t="e">
        <f aca="false">IF(RESET=1,0,C1032+C1029)</f>
        <v>#N/A</v>
      </c>
      <c r="D1032" s="2" t="e">
        <f aca="false">IF(RESET=1,0,D1032+D1029)</f>
        <v>#N/A</v>
      </c>
      <c r="E1032" s="2" t="e">
        <f aca="false">IF(RESET=1,0,E1032+E1029)</f>
        <v>#N/A</v>
      </c>
      <c r="F1032" s="2" t="e">
        <f aca="false">IF(RESET=1,0,F1032+F1029)</f>
        <v>#N/A</v>
      </c>
      <c r="G1032" s="2" t="e">
        <f aca="false">IF(RESET=1,0,G1032+G1029)</f>
        <v>#N/A</v>
      </c>
      <c r="H1032" s="2" t="e">
        <f aca="false">IF(RESET=1,0,H1032+H1029)</f>
        <v>#N/A</v>
      </c>
      <c r="I1032" s="2" t="e">
        <f aca="false">IF(RESET=1,0,I1032+I1029)</f>
        <v>#N/A</v>
      </c>
      <c r="J1032" s="2" t="e">
        <f aca="false">IF(RESET=1,0,J1032+J1029)</f>
        <v>#N/A</v>
      </c>
      <c r="K1032" s="56"/>
      <c r="L1032" s="56"/>
      <c r="M1032" s="56"/>
      <c r="N1032" s="56"/>
      <c r="O1032" s="56"/>
      <c r="P1032" s="56"/>
      <c r="Q1032" s="56"/>
      <c r="R1032" s="57"/>
      <c r="S1032" s="57"/>
      <c r="T1032" s="56"/>
      <c r="U1032" s="56"/>
      <c r="V1032" s="57"/>
      <c r="W1032" s="57"/>
      <c r="X1032" s="56"/>
      <c r="Y1032" s="56"/>
      <c r="Z1032" s="56"/>
      <c r="AA1032" s="56"/>
      <c r="AB1032" s="56"/>
      <c r="AC1032" s="56"/>
      <c r="AD1032" s="56"/>
      <c r="AE1032" s="56"/>
      <c r="AF1032" s="2" t="e">
        <f aca="false">IF(RESET=1,0,AF1032+AF1029)</f>
        <v>#N/A</v>
      </c>
      <c r="AG1032" s="2" t="e">
        <f aca="false">IF(RESET=1,0,AG1032+AG1029)</f>
        <v>#N/A</v>
      </c>
      <c r="AH1032" s="2" t="e">
        <f aca="false">IF(RESET=1,0,AH1032+AH1029)</f>
        <v>#N/A</v>
      </c>
      <c r="AI1032" s="2" t="e">
        <f aca="false">IF(RESET=1,0,AI1032+AI1029)</f>
        <v>#N/A</v>
      </c>
      <c r="AK1032" s="57"/>
      <c r="AL1032" s="57"/>
      <c r="AQ1032" s="57"/>
      <c r="AS1032" s="57"/>
      <c r="AT1032" s="57"/>
    </row>
    <row r="1033" customFormat="false" ht="13" hidden="false" customHeight="false" outlineLevel="0" collapsed="false">
      <c r="A1033" s="58" t="s">
        <v>92</v>
      </c>
      <c r="B1033" s="59" t="e">
        <f aca="false">IF(RESET=1,0,B1031/B1032)</f>
        <v>#N/A</v>
      </c>
      <c r="C1033" s="59" t="e">
        <f aca="false">IF(RESET=1,0,C1031/C1032)</f>
        <v>#N/A</v>
      </c>
      <c r="D1033" s="59" t="e">
        <f aca="false">IF(RESET=1,0,D1031/D1032)</f>
        <v>#N/A</v>
      </c>
      <c r="E1033" s="59" t="e">
        <f aca="false">IF(RESET=1,0,E1031/E1032)</f>
        <v>#N/A</v>
      </c>
      <c r="F1033" s="59" t="e">
        <f aca="false">IF(RESET=1,0,F1031/F1032)</f>
        <v>#N/A</v>
      </c>
      <c r="G1033" s="59" t="e">
        <f aca="false">IF(RESET=1,0,G1031/G1032)</f>
        <v>#N/A</v>
      </c>
      <c r="H1033" s="59" t="e">
        <f aca="false">IF(RESET=1,0,H1031/H1032)</f>
        <v>#N/A</v>
      </c>
      <c r="I1033" s="59" t="e">
        <f aca="false">IF(RESET=1,0,I1031/I1032)</f>
        <v>#N/A</v>
      </c>
      <c r="J1033" s="59" t="e">
        <f aca="false">IF(RESET=1,0,J1031/J1032)</f>
        <v>#N/A</v>
      </c>
      <c r="K1033" s="32"/>
      <c r="L1033" s="32"/>
      <c r="M1033" s="32"/>
      <c r="N1033" s="32"/>
      <c r="O1033" s="32"/>
      <c r="P1033" s="32"/>
      <c r="Q1033" s="32"/>
      <c r="R1033" s="33"/>
      <c r="S1033" s="33"/>
      <c r="T1033" s="32"/>
      <c r="U1033" s="32"/>
      <c r="V1033" s="33"/>
      <c r="W1033" s="33"/>
      <c r="X1033" s="32"/>
      <c r="Y1033" s="32"/>
      <c r="Z1033" s="32"/>
      <c r="AA1033" s="32"/>
      <c r="AB1033" s="32"/>
      <c r="AC1033" s="32"/>
      <c r="AD1033" s="32"/>
      <c r="AE1033" s="32" t="s">
        <v>93</v>
      </c>
      <c r="AF1033" s="59" t="e">
        <f aca="false">IF(RESET=1,0,AF1031/AF1032)</f>
        <v>#N/A</v>
      </c>
      <c r="AG1033" s="59" t="e">
        <f aca="false">IF(RESET=1,0,AG1031/AG1032)</f>
        <v>#N/A</v>
      </c>
      <c r="AH1033" s="59" t="e">
        <f aca="false">IF(RESET=1,0,AH1031/AH1032)</f>
        <v>#N/A</v>
      </c>
      <c r="AI1033" s="59" t="e">
        <f aca="false">IF(RESET=1,0,AI1031/AI1032)</f>
        <v>#N/A</v>
      </c>
      <c r="AJ1033" s="59"/>
      <c r="AK1033" s="33"/>
      <c r="AL1033" s="33"/>
      <c r="AM1033" s="59"/>
      <c r="AN1033" s="59"/>
      <c r="AO1033" s="59"/>
      <c r="AP1033" s="59"/>
      <c r="AQ1033" s="33"/>
      <c r="AR1033" s="59"/>
      <c r="AS1033" s="33"/>
      <c r="AT1033" s="33"/>
    </row>
    <row r="1034" customFormat="false" ht="13" hidden="false" customHeight="false" outlineLevel="0" collapsed="false">
      <c r="E1034" s="13"/>
      <c r="F1034" s="13"/>
      <c r="R1034" s="14"/>
      <c r="S1034" s="14"/>
      <c r="V1034" s="14"/>
      <c r="W1034" s="14"/>
      <c r="AK1034" s="14"/>
      <c r="AL1034" s="14"/>
      <c r="AQ1034" s="14"/>
      <c r="AS1034" s="14"/>
      <c r="AT1034" s="14"/>
    </row>
    <row r="1035" customFormat="false" ht="13" hidden="false" customHeight="false" outlineLevel="0" collapsed="false">
      <c r="E1035" s="13"/>
      <c r="F1035" s="13"/>
      <c r="R1035" s="14"/>
      <c r="S1035" s="14"/>
      <c r="V1035" s="14"/>
      <c r="W1035" s="14"/>
      <c r="AK1035" s="14"/>
      <c r="AL1035" s="14"/>
      <c r="AQ1035" s="14"/>
      <c r="AS1035" s="14"/>
      <c r="AT1035" s="14"/>
    </row>
    <row r="1036" customFormat="false" ht="13" hidden="false" customHeight="false" outlineLevel="0" collapsed="false">
      <c r="E1036" s="13"/>
      <c r="F1036" s="13"/>
      <c r="R1036" s="14"/>
      <c r="S1036" s="14"/>
      <c r="V1036" s="14"/>
      <c r="W1036" s="14"/>
      <c r="AK1036" s="14"/>
      <c r="AL1036" s="14"/>
      <c r="AQ1036" s="14"/>
      <c r="AS1036" s="14"/>
      <c r="AT1036" s="14"/>
    </row>
    <row r="1037" customFormat="false" ht="13" hidden="false" customHeight="false" outlineLevel="0" collapsed="false">
      <c r="E1037" s="13"/>
      <c r="F1037" s="13"/>
      <c r="R1037" s="14"/>
      <c r="S1037" s="14"/>
      <c r="V1037" s="14"/>
      <c r="W1037" s="14"/>
      <c r="AK1037" s="14"/>
      <c r="AL1037" s="14"/>
      <c r="AQ1037" s="14"/>
      <c r="AS1037" s="14"/>
      <c r="AT1037" s="14"/>
    </row>
    <row r="1038" customFormat="false" ht="13" hidden="false" customHeight="false" outlineLevel="0" collapsed="false">
      <c r="E1038" s="13"/>
      <c r="F1038" s="13"/>
      <c r="R1038" s="14"/>
      <c r="S1038" s="14"/>
      <c r="V1038" s="14"/>
      <c r="W1038" s="14"/>
      <c r="AK1038" s="14"/>
      <c r="AL1038" s="14"/>
      <c r="AQ1038" s="14"/>
      <c r="AS1038" s="14"/>
      <c r="AT1038" s="14"/>
    </row>
    <row r="1039" customFormat="false" ht="13" hidden="false" customHeight="false" outlineLevel="0" collapsed="false">
      <c r="E1039" s="13"/>
      <c r="F1039" s="13"/>
      <c r="R1039" s="14"/>
      <c r="S1039" s="14"/>
      <c r="V1039" s="14"/>
      <c r="W1039" s="14"/>
      <c r="AK1039" s="14"/>
      <c r="AL1039" s="14"/>
      <c r="AQ1039" s="14"/>
      <c r="AS1039" s="14"/>
      <c r="AT1039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:D1017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1" t="s">
        <v>23</v>
      </c>
    </row>
    <row r="2" customFormat="false" ht="13" hidden="false" customHeight="false" outlineLevel="0" collapsed="false">
      <c r="A2" s="15" t="s">
        <v>25</v>
      </c>
    </row>
    <row r="3" customFormat="false" ht="13" hidden="false" customHeight="false" outlineLevel="0" collapsed="false">
      <c r="A3" s="15" t="s">
        <v>27</v>
      </c>
    </row>
    <row r="4" customFormat="false" ht="13" hidden="false" customHeight="false" outlineLevel="0" collapsed="false">
      <c r="A4" s="15" t="s">
        <v>29</v>
      </c>
    </row>
    <row r="5" customFormat="false" ht="13" hidden="false" customHeight="false" outlineLevel="0" collapsed="false">
      <c r="A5" s="15" t="s">
        <v>30</v>
      </c>
    </row>
    <row r="6" customFormat="false" ht="13" hidden="false" customHeight="false" outlineLevel="0" collapsed="false">
      <c r="A6" s="15" t="s">
        <v>31</v>
      </c>
    </row>
    <row r="7" customFormat="false" ht="13" hidden="false" customHeight="false" outlineLevel="0" collapsed="false">
      <c r="A7" s="15" t="s">
        <v>28</v>
      </c>
    </row>
    <row r="8" customFormat="false" ht="13" hidden="false" customHeight="false" outlineLevel="0" collapsed="false">
      <c r="A8" s="15" t="s">
        <v>32</v>
      </c>
    </row>
    <row r="10" customFormat="false" ht="13" hidden="false" customHeight="false" outlineLevel="0" collapsed="false">
      <c r="A10" s="15" t="s">
        <v>33</v>
      </c>
    </row>
    <row r="11" customFormat="false" ht="13" hidden="false" customHeight="false" outlineLevel="0" collapsed="false">
      <c r="A11" s="15" t="s">
        <v>34</v>
      </c>
    </row>
    <row r="13" customFormat="false" ht="13" hidden="false" customHeight="false" outlineLevel="0" collapsed="false">
      <c r="A13" s="15"/>
    </row>
    <row r="14" customFormat="false" ht="13" hidden="false" customHeight="false" outlineLevel="0" collapsed="false">
      <c r="A14" s="25" t="s">
        <v>48</v>
      </c>
      <c r="B14" s="21" t="s">
        <v>18</v>
      </c>
      <c r="C14" s="21" t="s">
        <v>19</v>
      </c>
      <c r="D14" s="2" t="s">
        <v>94</v>
      </c>
    </row>
    <row r="15" customFormat="false" ht="13" hidden="false" customHeight="false" outlineLevel="0" collapsed="false">
      <c r="B15" s="25" t="s">
        <v>20</v>
      </c>
      <c r="C15" s="25" t="s">
        <v>20</v>
      </c>
      <c r="D15" s="2" t="s">
        <v>95</v>
      </c>
    </row>
    <row r="16" customFormat="false" ht="13" hidden="false" customHeight="false" outlineLevel="0" collapsed="false">
      <c r="A16" s="30" t="s">
        <v>62</v>
      </c>
      <c r="B16" s="30" t="s">
        <v>21</v>
      </c>
      <c r="C16" s="30" t="s">
        <v>21</v>
      </c>
    </row>
    <row r="17" customFormat="false" ht="13" hidden="false" customHeight="false" outlineLevel="0" collapsed="false">
      <c r="A17" s="15"/>
    </row>
    <row r="18" customFormat="false" ht="13" hidden="false" customHeight="false" outlineLevel="0" collapsed="false">
      <c r="A18" s="16" t="n">
        <v>1</v>
      </c>
      <c r="B18" s="38" t="n">
        <v>2.03178748071514</v>
      </c>
      <c r="C18" s="38" t="n">
        <v>0</v>
      </c>
      <c r="D18" s="39" t="n">
        <f aca="false">MAX(B18,C18)</f>
        <v>2.03178748071514</v>
      </c>
    </row>
    <row r="19" customFormat="false" ht="13" hidden="false" customHeight="false" outlineLevel="0" collapsed="false">
      <c r="A19" s="16" t="n">
        <v>2</v>
      </c>
      <c r="B19" s="38" t="n">
        <v>0</v>
      </c>
      <c r="C19" s="38" t="n">
        <v>1.86628582237701</v>
      </c>
      <c r="D19" s="39" t="n">
        <f aca="false">MAX(B19,C19)</f>
        <v>1.86628582237701</v>
      </c>
    </row>
    <row r="20" customFormat="false" ht="13" hidden="false" customHeight="false" outlineLevel="0" collapsed="false">
      <c r="A20" s="16" t="n">
        <v>3</v>
      </c>
      <c r="B20" s="38" t="n">
        <v>2.39106676289792</v>
      </c>
      <c r="C20" s="38" t="n">
        <v>0</v>
      </c>
      <c r="D20" s="39" t="n">
        <f aca="false">MAX(B20,C20)</f>
        <v>2.39106676289792</v>
      </c>
    </row>
    <row r="21" customFormat="false" ht="13" hidden="false" customHeight="false" outlineLevel="0" collapsed="false">
      <c r="A21" s="16" t="n">
        <v>4</v>
      </c>
      <c r="B21" s="38" t="n">
        <v>0</v>
      </c>
      <c r="C21" s="38" t="n">
        <v>3.40753605585871</v>
      </c>
      <c r="D21" s="39" t="n">
        <f aca="false">MAX(B21,C21)</f>
        <v>3.40753605585871</v>
      </c>
    </row>
    <row r="22" customFormat="false" ht="13" hidden="false" customHeight="false" outlineLevel="0" collapsed="false">
      <c r="A22" s="16" t="n">
        <v>5</v>
      </c>
      <c r="B22" s="38" t="n">
        <v>0</v>
      </c>
      <c r="C22" s="38" t="n">
        <v>4.18134184642202</v>
      </c>
      <c r="D22" s="39" t="n">
        <f aca="false">MAX(B22,C22)</f>
        <v>4.18134184642202</v>
      </c>
    </row>
    <row r="23" customFormat="false" ht="13" hidden="false" customHeight="false" outlineLevel="0" collapsed="false">
      <c r="A23" s="16" t="n">
        <v>6</v>
      </c>
      <c r="B23" s="38" t="n">
        <v>0</v>
      </c>
      <c r="C23" s="38" t="n">
        <v>2.69974631838671</v>
      </c>
      <c r="D23" s="39" t="n">
        <f aca="false">MAX(B23,C23)</f>
        <v>2.69974631838671</v>
      </c>
    </row>
    <row r="24" customFormat="false" ht="13" hidden="false" customHeight="false" outlineLevel="0" collapsed="false">
      <c r="A24" s="16" t="n">
        <v>7</v>
      </c>
      <c r="B24" s="38" t="n">
        <v>0</v>
      </c>
      <c r="C24" s="38" t="n">
        <v>4.52428804104374</v>
      </c>
      <c r="D24" s="39" t="n">
        <f aca="false">MAX(B24,C24)</f>
        <v>4.52428804104374</v>
      </c>
    </row>
    <row r="25" customFormat="false" ht="13" hidden="false" customHeight="false" outlineLevel="0" collapsed="false">
      <c r="A25" s="16" t="n">
        <v>8</v>
      </c>
      <c r="B25" s="38" t="n">
        <v>0</v>
      </c>
      <c r="C25" s="38" t="n">
        <v>6.13980664515161</v>
      </c>
      <c r="D25" s="39" t="n">
        <f aca="false">MAX(B25,C25)</f>
        <v>6.13980664515161</v>
      </c>
    </row>
    <row r="26" customFormat="false" ht="13" hidden="false" customHeight="false" outlineLevel="0" collapsed="false">
      <c r="A26" s="16" t="n">
        <v>9</v>
      </c>
      <c r="B26" s="38" t="n">
        <v>0</v>
      </c>
      <c r="C26" s="38" t="n">
        <v>7.80399378607798</v>
      </c>
      <c r="D26" s="39" t="n">
        <f aca="false">MAX(B26,C26)</f>
        <v>7.80399378607798</v>
      </c>
    </row>
    <row r="27" customFormat="false" ht="13" hidden="false" customHeight="false" outlineLevel="0" collapsed="false">
      <c r="A27" s="16" t="n">
        <v>10</v>
      </c>
      <c r="B27" s="38" t="n">
        <v>0</v>
      </c>
      <c r="C27" s="38" t="n">
        <v>7.84654715116016</v>
      </c>
      <c r="D27" s="39" t="n">
        <f aca="false">MAX(B27,C27)</f>
        <v>7.84654715116016</v>
      </c>
    </row>
    <row r="28" customFormat="false" ht="13" hidden="false" customHeight="false" outlineLevel="0" collapsed="false">
      <c r="A28" s="16" t="n">
        <v>11</v>
      </c>
      <c r="B28" s="38" t="n">
        <v>0</v>
      </c>
      <c r="C28" s="38" t="n">
        <v>9.25296629334002</v>
      </c>
      <c r="D28" s="39" t="n">
        <f aca="false">MAX(B28,C28)</f>
        <v>9.25296629334002</v>
      </c>
    </row>
    <row r="29" customFormat="false" ht="13" hidden="false" customHeight="false" outlineLevel="0" collapsed="false">
      <c r="A29" s="16" t="n">
        <v>12</v>
      </c>
      <c r="B29" s="38" t="n">
        <v>2.22012023549632</v>
      </c>
      <c r="C29" s="38" t="n">
        <v>0</v>
      </c>
      <c r="D29" s="39" t="n">
        <f aca="false">MAX(B29,C29)</f>
        <v>2.22012023549632</v>
      </c>
    </row>
    <row r="30" customFormat="false" ht="13" hidden="false" customHeight="false" outlineLevel="0" collapsed="false">
      <c r="A30" s="16" t="n">
        <v>13</v>
      </c>
      <c r="B30" s="38" t="n">
        <v>2.16274017943657</v>
      </c>
      <c r="C30" s="38" t="n">
        <v>0</v>
      </c>
      <c r="D30" s="39" t="n">
        <f aca="false">MAX(B30,C30)</f>
        <v>2.16274017943657</v>
      </c>
    </row>
    <row r="31" customFormat="false" ht="13" hidden="false" customHeight="false" outlineLevel="0" collapsed="false">
      <c r="A31" s="16" t="n">
        <v>14</v>
      </c>
      <c r="B31" s="38" t="n">
        <v>0</v>
      </c>
      <c r="C31" s="38" t="n">
        <v>8.5325904648312</v>
      </c>
      <c r="D31" s="39" t="n">
        <f aca="false">MAX(B31,C31)</f>
        <v>8.5325904648312</v>
      </c>
    </row>
    <row r="32" customFormat="false" ht="13" hidden="false" customHeight="false" outlineLevel="0" collapsed="false">
      <c r="A32" s="16" t="n">
        <v>15</v>
      </c>
      <c r="B32" s="38" t="n">
        <v>0</v>
      </c>
      <c r="C32" s="38" t="n">
        <v>9.60034936112814</v>
      </c>
      <c r="D32" s="39" t="n">
        <f aca="false">MAX(B32,C32)</f>
        <v>9.60034936112814</v>
      </c>
    </row>
    <row r="33" customFormat="false" ht="13" hidden="false" customHeight="false" outlineLevel="0" collapsed="false">
      <c r="A33" s="16" t="n">
        <v>16</v>
      </c>
      <c r="B33" s="38" t="n">
        <v>1.80591813231194</v>
      </c>
      <c r="C33" s="38" t="n">
        <v>0</v>
      </c>
      <c r="D33" s="39" t="n">
        <f aca="false">MAX(B33,C33)</f>
        <v>1.80591813231194</v>
      </c>
    </row>
    <row r="34" customFormat="false" ht="13" hidden="false" customHeight="false" outlineLevel="0" collapsed="false">
      <c r="A34" s="16" t="n">
        <v>17</v>
      </c>
      <c r="B34" s="38" t="n">
        <v>0</v>
      </c>
      <c r="C34" s="38" t="n">
        <v>8.47374350481369</v>
      </c>
      <c r="D34" s="39" t="n">
        <f aca="false">MAX(B34,C34)</f>
        <v>8.47374350481369</v>
      </c>
    </row>
    <row r="35" customFormat="false" ht="13" hidden="false" customHeight="false" outlineLevel="0" collapsed="false">
      <c r="A35" s="16" t="n">
        <v>18</v>
      </c>
      <c r="B35" s="38" t="n">
        <v>2.02764093560836</v>
      </c>
      <c r="C35" s="38" t="n">
        <v>0</v>
      </c>
      <c r="D35" s="39" t="n">
        <f aca="false">MAX(B35,C35)</f>
        <v>2.02764093560836</v>
      </c>
    </row>
    <row r="36" customFormat="false" ht="13" hidden="false" customHeight="false" outlineLevel="0" collapsed="false">
      <c r="A36" s="16" t="n">
        <v>19</v>
      </c>
      <c r="B36" s="38" t="n">
        <v>0</v>
      </c>
      <c r="C36" s="38" t="n">
        <v>6.40173036109732</v>
      </c>
      <c r="D36" s="39" t="n">
        <f aca="false">MAX(B36,C36)</f>
        <v>6.40173036109732</v>
      </c>
    </row>
    <row r="37" customFormat="false" ht="13" hidden="false" customHeight="false" outlineLevel="0" collapsed="false">
      <c r="A37" s="16" t="n">
        <v>20</v>
      </c>
      <c r="B37" s="38" t="n">
        <v>0</v>
      </c>
      <c r="C37" s="38" t="n">
        <v>7.74033639928544</v>
      </c>
      <c r="D37" s="39" t="n">
        <f aca="false">MAX(B37,C37)</f>
        <v>7.74033639928544</v>
      </c>
    </row>
    <row r="38" customFormat="false" ht="13" hidden="false" customHeight="false" outlineLevel="0" collapsed="false">
      <c r="A38" s="16" t="n">
        <v>21</v>
      </c>
      <c r="B38" s="38" t="n">
        <v>2.06729210970798</v>
      </c>
      <c r="C38" s="38" t="n">
        <v>0</v>
      </c>
      <c r="D38" s="39" t="n">
        <f aca="false">MAX(B38,C38)</f>
        <v>2.06729210970798</v>
      </c>
    </row>
    <row r="39" customFormat="false" ht="13" hidden="false" customHeight="false" outlineLevel="0" collapsed="false">
      <c r="A39" s="16" t="n">
        <v>22</v>
      </c>
      <c r="B39" s="38" t="n">
        <v>0</v>
      </c>
      <c r="C39" s="38" t="n">
        <v>7.83704947413099</v>
      </c>
      <c r="D39" s="39" t="n">
        <f aca="false">MAX(B39,C39)</f>
        <v>7.83704947413099</v>
      </c>
    </row>
    <row r="40" customFormat="false" ht="13" hidden="false" customHeight="false" outlineLevel="0" collapsed="false">
      <c r="A40" s="16" t="n">
        <v>23</v>
      </c>
      <c r="B40" s="38" t="n">
        <v>0</v>
      </c>
      <c r="C40" s="38" t="n">
        <v>9.28023790828938</v>
      </c>
      <c r="D40" s="39" t="n">
        <f aca="false">MAX(B40,C40)</f>
        <v>9.28023790828938</v>
      </c>
    </row>
    <row r="41" customFormat="false" ht="13" hidden="false" customHeight="false" outlineLevel="0" collapsed="false">
      <c r="A41" s="16" t="n">
        <v>24</v>
      </c>
      <c r="B41" s="38" t="n">
        <v>0</v>
      </c>
      <c r="C41" s="38" t="n">
        <v>10.4289869285856</v>
      </c>
      <c r="D41" s="39" t="n">
        <f aca="false">MAX(B41,C41)</f>
        <v>10.4289869285856</v>
      </c>
    </row>
    <row r="42" customFormat="false" ht="13" hidden="false" customHeight="false" outlineLevel="0" collapsed="false">
      <c r="A42" s="16" t="n">
        <v>25</v>
      </c>
      <c r="B42" s="38" t="n">
        <v>1.98147294205137</v>
      </c>
      <c r="C42" s="38" t="n">
        <v>0</v>
      </c>
      <c r="D42" s="39" t="n">
        <f aca="false">MAX(B42,C42)</f>
        <v>1.98147294205137</v>
      </c>
    </row>
    <row r="43" customFormat="false" ht="13" hidden="false" customHeight="false" outlineLevel="0" collapsed="false">
      <c r="A43" s="16" t="n">
        <v>26</v>
      </c>
      <c r="B43" s="38" t="n">
        <v>0</v>
      </c>
      <c r="C43" s="38" t="n">
        <v>11.8538896237436</v>
      </c>
      <c r="D43" s="39" t="n">
        <f aca="false">MAX(B43,C43)</f>
        <v>11.8538896237436</v>
      </c>
    </row>
    <row r="44" customFormat="false" ht="13" hidden="false" customHeight="false" outlineLevel="0" collapsed="false">
      <c r="A44" s="16" t="n">
        <v>27</v>
      </c>
      <c r="B44" s="38" t="n">
        <v>0</v>
      </c>
      <c r="C44" s="38" t="n">
        <v>13.9099053097737</v>
      </c>
      <c r="D44" s="39" t="n">
        <f aca="false">MAX(B44,C44)</f>
        <v>13.9099053097737</v>
      </c>
    </row>
    <row r="45" customFormat="false" ht="13" hidden="false" customHeight="false" outlineLevel="0" collapsed="false">
      <c r="A45" s="16" t="n">
        <v>28</v>
      </c>
      <c r="B45" s="38" t="n">
        <v>2.77037934688084</v>
      </c>
      <c r="C45" s="38" t="n">
        <v>0</v>
      </c>
      <c r="D45" s="39" t="n">
        <f aca="false">MAX(B45,C45)</f>
        <v>2.77037934688084</v>
      </c>
    </row>
    <row r="46" customFormat="false" ht="13" hidden="false" customHeight="false" outlineLevel="0" collapsed="false">
      <c r="A46" s="16" t="n">
        <v>29</v>
      </c>
      <c r="B46" s="38" t="n">
        <v>4.0606208080233</v>
      </c>
      <c r="C46" s="38" t="n">
        <v>0</v>
      </c>
      <c r="D46" s="39" t="n">
        <f aca="false">MAX(B46,C46)</f>
        <v>4.0606208080233</v>
      </c>
    </row>
    <row r="47" customFormat="false" ht="13" hidden="false" customHeight="false" outlineLevel="0" collapsed="false">
      <c r="A47" s="16" t="n">
        <v>30</v>
      </c>
      <c r="B47" s="38" t="n">
        <v>0</v>
      </c>
      <c r="C47" s="38" t="n">
        <v>13.576563789716</v>
      </c>
      <c r="D47" s="39" t="n">
        <f aca="false">MAX(B47,C47)</f>
        <v>13.576563789716</v>
      </c>
    </row>
    <row r="48" customFormat="false" ht="13" hidden="false" customHeight="false" outlineLevel="0" collapsed="false">
      <c r="A48" s="16" t="n">
        <v>31</v>
      </c>
      <c r="B48" s="38" t="n">
        <v>5.26642668072923</v>
      </c>
      <c r="C48" s="38" t="n">
        <v>0</v>
      </c>
      <c r="D48" s="39" t="n">
        <f aca="false">MAX(B48,C48)</f>
        <v>5.26642668072923</v>
      </c>
    </row>
    <row r="49" customFormat="false" ht="13" hidden="false" customHeight="false" outlineLevel="0" collapsed="false">
      <c r="A49" s="16" t="n">
        <v>32</v>
      </c>
      <c r="B49" s="38" t="n">
        <v>0</v>
      </c>
      <c r="C49" s="38" t="n">
        <v>13.6358791785342</v>
      </c>
      <c r="D49" s="39" t="n">
        <f aca="false">MAX(B49,C49)</f>
        <v>13.6358791785342</v>
      </c>
    </row>
    <row r="50" customFormat="false" ht="13" hidden="false" customHeight="false" outlineLevel="0" collapsed="false">
      <c r="A50" s="16" t="n">
        <v>33</v>
      </c>
      <c r="B50" s="38" t="n">
        <v>0</v>
      </c>
      <c r="C50" s="38" t="n">
        <v>15.1220116077164</v>
      </c>
      <c r="D50" s="39" t="n">
        <f aca="false">MAX(B50,C50)</f>
        <v>15.1220116077164</v>
      </c>
    </row>
    <row r="51" customFormat="false" ht="13" hidden="false" customHeight="false" outlineLevel="0" collapsed="false">
      <c r="A51" s="16" t="n">
        <v>34</v>
      </c>
      <c r="B51" s="38" t="n">
        <v>0</v>
      </c>
      <c r="C51" s="38" t="n">
        <v>15.1206939569839</v>
      </c>
      <c r="D51" s="39" t="n">
        <f aca="false">MAX(B51,C51)</f>
        <v>15.1206939569839</v>
      </c>
    </row>
    <row r="52" customFormat="false" ht="13" hidden="false" customHeight="false" outlineLevel="0" collapsed="false">
      <c r="A52" s="16" t="n">
        <v>35</v>
      </c>
      <c r="B52" s="38" t="n">
        <v>0</v>
      </c>
      <c r="C52" s="38" t="n">
        <v>16.9367103257285</v>
      </c>
      <c r="D52" s="39" t="n">
        <f aca="false">MAX(B52,C52)</f>
        <v>16.9367103257285</v>
      </c>
    </row>
    <row r="53" customFormat="false" ht="13" hidden="false" customHeight="false" outlineLevel="0" collapsed="false">
      <c r="A53" s="16" t="n">
        <v>36</v>
      </c>
      <c r="B53" s="38" t="n">
        <v>0</v>
      </c>
      <c r="C53" s="38" t="n">
        <v>18.6108007860998</v>
      </c>
      <c r="D53" s="39" t="n">
        <f aca="false">MAX(B53,C53)</f>
        <v>18.6108007860998</v>
      </c>
    </row>
    <row r="54" customFormat="false" ht="13" hidden="false" customHeight="false" outlineLevel="0" collapsed="false">
      <c r="A54" s="16" t="n">
        <v>37</v>
      </c>
      <c r="B54" s="38" t="n">
        <v>2.24260516740378</v>
      </c>
      <c r="C54" s="38" t="n">
        <v>0</v>
      </c>
      <c r="D54" s="39" t="n">
        <f aca="false">MAX(B54,C54)</f>
        <v>2.24260516740378</v>
      </c>
    </row>
    <row r="55" customFormat="false" ht="13" hidden="false" customHeight="false" outlineLevel="0" collapsed="false">
      <c r="A55" s="16" t="n">
        <v>38</v>
      </c>
      <c r="B55" s="38" t="n">
        <v>0</v>
      </c>
      <c r="C55" s="38" t="n">
        <v>19.4991892996286</v>
      </c>
      <c r="D55" s="39" t="n">
        <f aca="false">MAX(B55,C55)</f>
        <v>19.4991892996286</v>
      </c>
    </row>
    <row r="56" customFormat="false" ht="13" hidden="false" customHeight="false" outlineLevel="0" collapsed="false">
      <c r="A56" s="16" t="n">
        <v>39</v>
      </c>
      <c r="B56" s="38" t="n">
        <v>0</v>
      </c>
      <c r="C56" s="38" t="n">
        <v>19.3309319918464</v>
      </c>
      <c r="D56" s="39" t="n">
        <f aca="false">MAX(B56,C56)</f>
        <v>19.3309319918464</v>
      </c>
    </row>
    <row r="57" customFormat="false" ht="13" hidden="false" customHeight="false" outlineLevel="0" collapsed="false">
      <c r="A57" s="16" t="n">
        <v>40</v>
      </c>
      <c r="B57" s="38" t="n">
        <v>2.23101257253165</v>
      </c>
      <c r="C57" s="38" t="n">
        <v>0</v>
      </c>
      <c r="D57" s="39" t="n">
        <f aca="false">MAX(B57,C57)</f>
        <v>2.23101257253165</v>
      </c>
    </row>
    <row r="58" customFormat="false" ht="13" hidden="false" customHeight="false" outlineLevel="0" collapsed="false">
      <c r="A58" s="16" t="n">
        <v>41</v>
      </c>
      <c r="B58" s="38" t="n">
        <v>1.94212981032047</v>
      </c>
      <c r="C58" s="38" t="n">
        <v>0</v>
      </c>
      <c r="D58" s="39" t="n">
        <f aca="false">MAX(B58,C58)</f>
        <v>1.94212981032047</v>
      </c>
    </row>
    <row r="59" customFormat="false" ht="13" hidden="false" customHeight="false" outlineLevel="0" collapsed="false">
      <c r="A59" s="16" t="n">
        <v>42</v>
      </c>
      <c r="B59" s="38" t="n">
        <v>2.30885085014676</v>
      </c>
      <c r="C59" s="38" t="n">
        <v>0</v>
      </c>
      <c r="D59" s="39" t="n">
        <f aca="false">MAX(B59,C59)</f>
        <v>2.30885085014676</v>
      </c>
    </row>
    <row r="60" customFormat="false" ht="13" hidden="false" customHeight="false" outlineLevel="0" collapsed="false">
      <c r="A60" s="16" t="n">
        <v>43</v>
      </c>
      <c r="B60" s="38" t="n">
        <v>0</v>
      </c>
      <c r="C60" s="38" t="n">
        <v>15.4778159836486</v>
      </c>
      <c r="D60" s="39" t="n">
        <f aca="false">MAX(B60,C60)</f>
        <v>15.4778159836486</v>
      </c>
    </row>
    <row r="61" customFormat="false" ht="13" hidden="false" customHeight="false" outlineLevel="0" collapsed="false">
      <c r="A61" s="16" t="n">
        <v>44</v>
      </c>
      <c r="B61" s="38" t="n">
        <v>0</v>
      </c>
      <c r="C61" s="38" t="n">
        <v>16.9964952517802</v>
      </c>
      <c r="D61" s="39" t="n">
        <f aca="false">MAX(B61,C61)</f>
        <v>16.9964952517802</v>
      </c>
    </row>
    <row r="62" customFormat="false" ht="13" hidden="false" customHeight="false" outlineLevel="0" collapsed="false">
      <c r="A62" s="16" t="n">
        <v>45</v>
      </c>
      <c r="B62" s="38" t="n">
        <v>1.94306100327231</v>
      </c>
      <c r="C62" s="38" t="n">
        <v>0</v>
      </c>
      <c r="D62" s="39" t="n">
        <f aca="false">MAX(B62,C62)</f>
        <v>1.94306100327231</v>
      </c>
    </row>
    <row r="63" customFormat="false" ht="13" hidden="false" customHeight="false" outlineLevel="0" collapsed="false">
      <c r="A63" s="16" t="n">
        <v>46</v>
      </c>
      <c r="B63" s="38" t="n">
        <v>2.4291903648545</v>
      </c>
      <c r="C63" s="38" t="n">
        <v>0</v>
      </c>
      <c r="D63" s="39" t="n">
        <f aca="false">MAX(B63,C63)</f>
        <v>2.4291903648545</v>
      </c>
    </row>
    <row r="64" customFormat="false" ht="13" hidden="false" customHeight="false" outlineLevel="0" collapsed="false">
      <c r="A64" s="16" t="n">
        <v>47</v>
      </c>
      <c r="B64" s="38" t="n">
        <v>3.29817946181857</v>
      </c>
      <c r="C64" s="38" t="n">
        <v>0</v>
      </c>
      <c r="D64" s="39" t="n">
        <f aca="false">MAX(B64,C64)</f>
        <v>3.29817946181857</v>
      </c>
    </row>
    <row r="65" customFormat="false" ht="13" hidden="false" customHeight="false" outlineLevel="0" collapsed="false">
      <c r="A65" s="16" t="n">
        <v>48</v>
      </c>
      <c r="B65" s="38" t="n">
        <v>0</v>
      </c>
      <c r="C65" s="38" t="n">
        <v>12.0891589239313</v>
      </c>
      <c r="D65" s="39" t="n">
        <f aca="false">MAX(B65,C65)</f>
        <v>12.0891589239313</v>
      </c>
    </row>
    <row r="66" customFormat="false" ht="13" hidden="false" customHeight="false" outlineLevel="0" collapsed="false">
      <c r="A66" s="16" t="n">
        <v>49</v>
      </c>
      <c r="B66" s="38" t="n">
        <v>0</v>
      </c>
      <c r="C66" s="38" t="n">
        <v>12.8696225777744</v>
      </c>
      <c r="D66" s="39" t="n">
        <f aca="false">MAX(B66,C66)</f>
        <v>12.8696225777744</v>
      </c>
    </row>
    <row r="67" customFormat="false" ht="13" hidden="false" customHeight="false" outlineLevel="0" collapsed="false">
      <c r="A67" s="16" t="n">
        <v>50</v>
      </c>
      <c r="B67" s="38" t="n">
        <v>0</v>
      </c>
      <c r="C67" s="38" t="n">
        <v>13.9049579984125</v>
      </c>
      <c r="D67" s="39" t="n">
        <f aca="false">MAX(B67,C67)</f>
        <v>13.9049579984125</v>
      </c>
    </row>
    <row r="68" customFormat="false" ht="13" hidden="false" customHeight="false" outlineLevel="0" collapsed="false">
      <c r="A68" s="16" t="n">
        <v>51</v>
      </c>
      <c r="B68" s="38" t="n">
        <v>1.76754204935651</v>
      </c>
      <c r="C68" s="38" t="n">
        <v>0</v>
      </c>
      <c r="D68" s="39" t="n">
        <f aca="false">MAX(B68,C68)</f>
        <v>1.76754204935651</v>
      </c>
    </row>
    <row r="69" customFormat="false" ht="13" hidden="false" customHeight="false" outlineLevel="0" collapsed="false">
      <c r="A69" s="16" t="n">
        <v>52</v>
      </c>
      <c r="B69" s="38" t="n">
        <v>3.45312851636119</v>
      </c>
      <c r="C69" s="38" t="n">
        <v>0</v>
      </c>
      <c r="D69" s="39" t="n">
        <f aca="false">MAX(B69,C69)</f>
        <v>3.45312851636119</v>
      </c>
    </row>
    <row r="70" customFormat="false" ht="13" hidden="false" customHeight="false" outlineLevel="0" collapsed="false">
      <c r="A70" s="16" t="n">
        <v>53</v>
      </c>
      <c r="B70" s="38" t="n">
        <v>5.09173952494982</v>
      </c>
      <c r="C70" s="38" t="n">
        <v>0</v>
      </c>
      <c r="D70" s="39" t="n">
        <f aca="false">MAX(B70,C70)</f>
        <v>5.09173952494982</v>
      </c>
    </row>
    <row r="71" customFormat="false" ht="13" hidden="false" customHeight="false" outlineLevel="0" collapsed="false">
      <c r="A71" s="16" t="n">
        <v>54</v>
      </c>
      <c r="B71" s="38" t="n">
        <v>0</v>
      </c>
      <c r="C71" s="38" t="n">
        <v>14.6291320259665</v>
      </c>
      <c r="D71" s="39" t="n">
        <f aca="false">MAX(B71,C71)</f>
        <v>14.6291320259665</v>
      </c>
    </row>
    <row r="72" customFormat="false" ht="13" hidden="false" customHeight="false" outlineLevel="0" collapsed="false">
      <c r="A72" s="16" t="n">
        <v>55</v>
      </c>
      <c r="B72" s="38" t="n">
        <v>6.26953531072233</v>
      </c>
      <c r="C72" s="38" t="n">
        <v>0</v>
      </c>
      <c r="D72" s="39" t="n">
        <f aca="false">MAX(B72,C72)</f>
        <v>6.26953531072233</v>
      </c>
    </row>
    <row r="73" customFormat="false" ht="13" hidden="false" customHeight="false" outlineLevel="0" collapsed="false">
      <c r="A73" s="16" t="n">
        <v>56</v>
      </c>
      <c r="B73" s="38" t="n">
        <v>7.5635441463535</v>
      </c>
      <c r="C73" s="38" t="n">
        <v>0</v>
      </c>
      <c r="D73" s="39" t="n">
        <f aca="false">MAX(B73,C73)</f>
        <v>7.5635441463535</v>
      </c>
    </row>
    <row r="74" customFormat="false" ht="13" hidden="false" customHeight="false" outlineLevel="0" collapsed="false">
      <c r="A74" s="16" t="n">
        <v>57</v>
      </c>
      <c r="B74" s="38" t="n">
        <v>8.51552695537224</v>
      </c>
      <c r="C74" s="38" t="n">
        <v>0</v>
      </c>
      <c r="D74" s="39" t="n">
        <f aca="false">MAX(B74,C74)</f>
        <v>8.51552695537224</v>
      </c>
    </row>
    <row r="75" customFormat="false" ht="13" hidden="false" customHeight="false" outlineLevel="0" collapsed="false">
      <c r="A75" s="16" t="n">
        <v>58</v>
      </c>
      <c r="B75" s="38" t="n">
        <v>0</v>
      </c>
      <c r="C75" s="38" t="n">
        <v>13.8963071002494</v>
      </c>
      <c r="D75" s="39" t="n">
        <f aca="false">MAX(B75,C75)</f>
        <v>13.8963071002494</v>
      </c>
    </row>
    <row r="76" customFormat="false" ht="13" hidden="false" customHeight="false" outlineLevel="0" collapsed="false">
      <c r="A76" s="16" t="n">
        <v>59</v>
      </c>
      <c r="B76" s="38" t="n">
        <v>9.01561179955721</v>
      </c>
      <c r="C76" s="38" t="n">
        <v>0</v>
      </c>
      <c r="D76" s="39" t="n">
        <f aca="false">MAX(B76,C76)</f>
        <v>9.01561179955721</v>
      </c>
    </row>
    <row r="77" customFormat="false" ht="13" hidden="false" customHeight="false" outlineLevel="0" collapsed="false">
      <c r="A77" s="16" t="n">
        <v>60</v>
      </c>
      <c r="B77" s="38" t="n">
        <v>0</v>
      </c>
      <c r="C77" s="38" t="n">
        <v>14.1002829101262</v>
      </c>
      <c r="D77" s="39" t="n">
        <f aca="false">MAX(B77,C77)</f>
        <v>14.1002829101262</v>
      </c>
    </row>
    <row r="78" customFormat="false" ht="13" hidden="false" customHeight="false" outlineLevel="0" collapsed="false">
      <c r="A78" s="16" t="n">
        <v>61</v>
      </c>
      <c r="B78" s="38" t="n">
        <v>0</v>
      </c>
      <c r="C78" s="38" t="n">
        <v>16.158061433992</v>
      </c>
      <c r="D78" s="39" t="n">
        <f aca="false">MAX(B78,C78)</f>
        <v>16.158061433992</v>
      </c>
    </row>
    <row r="79" customFormat="false" ht="13" hidden="false" customHeight="false" outlineLevel="0" collapsed="false">
      <c r="A79" s="16" t="n">
        <v>62</v>
      </c>
      <c r="B79" s="38" t="n">
        <v>8.80880503915273</v>
      </c>
      <c r="C79" s="38" t="n">
        <v>0</v>
      </c>
      <c r="D79" s="39" t="n">
        <f aca="false">MAX(B79,C79)</f>
        <v>8.80880503915273</v>
      </c>
    </row>
    <row r="80" customFormat="false" ht="13" hidden="false" customHeight="false" outlineLevel="0" collapsed="false">
      <c r="A80" s="16" t="n">
        <v>63</v>
      </c>
      <c r="B80" s="38" t="n">
        <v>0</v>
      </c>
      <c r="C80" s="38" t="n">
        <v>16.4835616541864</v>
      </c>
      <c r="D80" s="39" t="n">
        <f aca="false">MAX(B80,C80)</f>
        <v>16.4835616541864</v>
      </c>
    </row>
    <row r="81" customFormat="false" ht="13" hidden="false" customHeight="false" outlineLevel="0" collapsed="false">
      <c r="A81" s="16" t="n">
        <v>64</v>
      </c>
      <c r="B81" s="38" t="n">
        <v>0</v>
      </c>
      <c r="C81" s="38" t="n">
        <v>17.5283477381686</v>
      </c>
      <c r="D81" s="39" t="n">
        <f aca="false">MAX(B81,C81)</f>
        <v>17.5283477381686</v>
      </c>
    </row>
    <row r="82" customFormat="false" ht="13" hidden="false" customHeight="false" outlineLevel="0" collapsed="false">
      <c r="A82" s="16" t="n">
        <v>65</v>
      </c>
      <c r="B82" s="38" t="n">
        <v>5.14238414177187</v>
      </c>
      <c r="C82" s="38" t="n">
        <v>0</v>
      </c>
      <c r="D82" s="39" t="n">
        <f aca="false">MAX(B82,C82)</f>
        <v>5.14238414177187</v>
      </c>
    </row>
    <row r="83" customFormat="false" ht="13" hidden="false" customHeight="false" outlineLevel="0" collapsed="false">
      <c r="A83" s="16" t="n">
        <v>66</v>
      </c>
      <c r="B83" s="38" t="n">
        <v>0</v>
      </c>
      <c r="C83" s="38" t="n">
        <v>13.7697438615959</v>
      </c>
      <c r="D83" s="39" t="n">
        <f aca="false">MAX(B83,C83)</f>
        <v>13.7697438615959</v>
      </c>
    </row>
    <row r="84" customFormat="false" ht="13" hidden="false" customHeight="false" outlineLevel="0" collapsed="false">
      <c r="A84" s="16" t="n">
        <v>67</v>
      </c>
      <c r="B84" s="38" t="n">
        <v>0</v>
      </c>
      <c r="C84" s="38" t="n">
        <v>15.6030238924493</v>
      </c>
      <c r="D84" s="39" t="n">
        <f aca="false">MAX(B84,C84)</f>
        <v>15.6030238924493</v>
      </c>
    </row>
    <row r="85" customFormat="false" ht="13" hidden="false" customHeight="false" outlineLevel="0" collapsed="false">
      <c r="A85" s="16" t="n">
        <v>68</v>
      </c>
      <c r="B85" s="38" t="n">
        <v>5.40087553109842</v>
      </c>
      <c r="C85" s="38" t="n">
        <v>0</v>
      </c>
      <c r="D85" s="39" t="n">
        <f aca="false">MAX(B85,C85)</f>
        <v>5.40087553109842</v>
      </c>
    </row>
    <row r="86" customFormat="false" ht="13" hidden="false" customHeight="false" outlineLevel="0" collapsed="false">
      <c r="A86" s="16" t="n">
        <v>69</v>
      </c>
      <c r="B86" s="38" t="n">
        <v>7.43333035369084</v>
      </c>
      <c r="C86" s="38" t="n">
        <v>0</v>
      </c>
      <c r="D86" s="39" t="n">
        <f aca="false">MAX(B86,C86)</f>
        <v>7.43333035369084</v>
      </c>
    </row>
    <row r="87" customFormat="false" ht="13" hidden="false" customHeight="false" outlineLevel="0" collapsed="false">
      <c r="A87" s="16" t="n">
        <v>70</v>
      </c>
      <c r="B87" s="38" t="n">
        <v>0</v>
      </c>
      <c r="C87" s="38" t="n">
        <v>16.5005294413724</v>
      </c>
      <c r="D87" s="39" t="n">
        <f aca="false">MAX(B87,C87)</f>
        <v>16.5005294413724</v>
      </c>
    </row>
    <row r="88" customFormat="false" ht="13" hidden="false" customHeight="false" outlineLevel="0" collapsed="false">
      <c r="A88" s="16" t="n">
        <v>71</v>
      </c>
      <c r="B88" s="38" t="n">
        <v>0</v>
      </c>
      <c r="C88" s="38" t="n">
        <v>16.8642477256031</v>
      </c>
      <c r="D88" s="39" t="n">
        <f aca="false">MAX(B88,C88)</f>
        <v>16.8642477256031</v>
      </c>
    </row>
    <row r="89" customFormat="false" ht="13" hidden="false" customHeight="false" outlineLevel="0" collapsed="false">
      <c r="A89" s="16" t="n">
        <v>72</v>
      </c>
      <c r="B89" s="38" t="n">
        <v>6.47685782180133</v>
      </c>
      <c r="C89" s="38" t="n">
        <v>0</v>
      </c>
      <c r="D89" s="39" t="n">
        <f aca="false">MAX(B89,C89)</f>
        <v>6.47685782180133</v>
      </c>
    </row>
    <row r="90" customFormat="false" ht="13" hidden="false" customHeight="false" outlineLevel="0" collapsed="false">
      <c r="A90" s="16" t="n">
        <v>73</v>
      </c>
      <c r="B90" s="38" t="n">
        <v>7.84953618627067</v>
      </c>
      <c r="C90" s="38" t="n">
        <v>0</v>
      </c>
      <c r="D90" s="39" t="n">
        <f aca="false">MAX(B90,C90)</f>
        <v>7.84953618627067</v>
      </c>
    </row>
    <row r="91" customFormat="false" ht="13" hidden="false" customHeight="false" outlineLevel="0" collapsed="false">
      <c r="A91" s="16" t="n">
        <v>74</v>
      </c>
      <c r="B91" s="38" t="n">
        <v>8.82619892681434</v>
      </c>
      <c r="C91" s="38" t="n">
        <v>0</v>
      </c>
      <c r="D91" s="39" t="n">
        <f aca="false">MAX(B91,C91)</f>
        <v>8.82619892681434</v>
      </c>
    </row>
    <row r="92" customFormat="false" ht="13" hidden="false" customHeight="false" outlineLevel="0" collapsed="false">
      <c r="A92" s="16" t="n">
        <v>75</v>
      </c>
      <c r="B92" s="38" t="n">
        <v>8.9547385111328</v>
      </c>
      <c r="C92" s="38" t="n">
        <v>0</v>
      </c>
      <c r="D92" s="39" t="n">
        <f aca="false">MAX(B92,C92)</f>
        <v>8.9547385111328</v>
      </c>
    </row>
    <row r="93" customFormat="false" ht="13" hidden="false" customHeight="false" outlineLevel="0" collapsed="false">
      <c r="A93" s="16" t="n">
        <v>76</v>
      </c>
      <c r="B93" s="38" t="n">
        <v>0</v>
      </c>
      <c r="C93" s="38" t="n">
        <v>12.8401495055392</v>
      </c>
      <c r="D93" s="39" t="n">
        <f aca="false">MAX(B93,C93)</f>
        <v>12.8401495055392</v>
      </c>
    </row>
    <row r="94" customFormat="false" ht="13" hidden="false" customHeight="false" outlineLevel="0" collapsed="false">
      <c r="A94" s="16" t="n">
        <v>77</v>
      </c>
      <c r="B94" s="38" t="n">
        <v>0</v>
      </c>
      <c r="C94" s="38" t="n">
        <v>12.334848133927</v>
      </c>
      <c r="D94" s="39" t="n">
        <f aca="false">MAX(B94,C94)</f>
        <v>12.334848133927</v>
      </c>
    </row>
    <row r="95" customFormat="false" ht="13" hidden="false" customHeight="false" outlineLevel="0" collapsed="false">
      <c r="A95" s="16" t="n">
        <v>78</v>
      </c>
      <c r="B95" s="38" t="n">
        <v>0</v>
      </c>
      <c r="C95" s="38" t="n">
        <v>13.9507087975907</v>
      </c>
      <c r="D95" s="39" t="n">
        <f aca="false">MAX(B95,C95)</f>
        <v>13.9507087975907</v>
      </c>
    </row>
    <row r="96" customFormat="false" ht="13" hidden="false" customHeight="false" outlineLevel="0" collapsed="false">
      <c r="A96" s="16" t="n">
        <v>79</v>
      </c>
      <c r="B96" s="38" t="n">
        <v>5.80261354117386</v>
      </c>
      <c r="C96" s="38" t="n">
        <v>0</v>
      </c>
      <c r="D96" s="39" t="n">
        <f aca="false">MAX(B96,C96)</f>
        <v>5.80261354117386</v>
      </c>
    </row>
    <row r="97" customFormat="false" ht="13" hidden="false" customHeight="false" outlineLevel="0" collapsed="false">
      <c r="A97" s="16" t="n">
        <v>80</v>
      </c>
      <c r="B97" s="38" t="n">
        <v>0</v>
      </c>
      <c r="C97" s="38" t="n">
        <v>13.8393657873285</v>
      </c>
      <c r="D97" s="39" t="n">
        <f aca="false">MAX(B97,C97)</f>
        <v>13.8393657873285</v>
      </c>
    </row>
    <row r="98" customFormat="false" ht="13" hidden="false" customHeight="false" outlineLevel="0" collapsed="false">
      <c r="A98" s="16" t="n">
        <v>81</v>
      </c>
      <c r="B98" s="38" t="n">
        <v>6.73632184405197</v>
      </c>
      <c r="C98" s="38" t="n">
        <v>0</v>
      </c>
      <c r="D98" s="39" t="n">
        <f aca="false">MAX(B98,C98)</f>
        <v>6.73632184405197</v>
      </c>
    </row>
    <row r="99" customFormat="false" ht="13" hidden="false" customHeight="false" outlineLevel="0" collapsed="false">
      <c r="A99" s="16" t="n">
        <v>82</v>
      </c>
      <c r="B99" s="38" t="n">
        <v>0</v>
      </c>
      <c r="C99" s="38" t="n">
        <v>14.9870756603436</v>
      </c>
      <c r="D99" s="39" t="n">
        <f aca="false">MAX(B99,C99)</f>
        <v>14.9870756603436</v>
      </c>
    </row>
    <row r="100" customFormat="false" ht="13" hidden="false" customHeight="false" outlineLevel="0" collapsed="false">
      <c r="A100" s="16" t="n">
        <v>83</v>
      </c>
      <c r="B100" s="38" t="n">
        <v>0</v>
      </c>
      <c r="C100" s="38" t="n">
        <v>14.9159083352319</v>
      </c>
      <c r="D100" s="39" t="n">
        <f aca="false">MAX(B100,C100)</f>
        <v>14.9159083352319</v>
      </c>
    </row>
    <row r="101" customFormat="false" ht="13" hidden="false" customHeight="false" outlineLevel="0" collapsed="false">
      <c r="A101" s="16" t="n">
        <v>84</v>
      </c>
      <c r="B101" s="38" t="n">
        <v>5.63755264100706</v>
      </c>
      <c r="C101" s="38" t="n">
        <v>0</v>
      </c>
      <c r="D101" s="39" t="n">
        <f aca="false">MAX(B101,C101)</f>
        <v>5.63755264100706</v>
      </c>
    </row>
    <row r="102" customFormat="false" ht="13" hidden="false" customHeight="false" outlineLevel="0" collapsed="false">
      <c r="A102" s="16" t="n">
        <v>85</v>
      </c>
      <c r="B102" s="38" t="n">
        <v>7.31224788074329</v>
      </c>
      <c r="C102" s="38" t="n">
        <v>0</v>
      </c>
      <c r="D102" s="39" t="n">
        <f aca="false">MAX(B102,C102)</f>
        <v>7.31224788074329</v>
      </c>
    </row>
    <row r="103" customFormat="false" ht="13" hidden="false" customHeight="false" outlineLevel="0" collapsed="false">
      <c r="A103" s="16" t="n">
        <v>86</v>
      </c>
      <c r="B103" s="38" t="n">
        <v>0</v>
      </c>
      <c r="C103" s="38" t="n">
        <v>14.0961440572923</v>
      </c>
      <c r="D103" s="39" t="n">
        <f aca="false">MAX(B103,C103)</f>
        <v>14.0961440572923</v>
      </c>
    </row>
    <row r="104" customFormat="false" ht="13" hidden="false" customHeight="false" outlineLevel="0" collapsed="false">
      <c r="A104" s="16" t="n">
        <v>87</v>
      </c>
      <c r="B104" s="38" t="n">
        <v>0</v>
      </c>
      <c r="C104" s="38" t="n">
        <v>15.7255149330001</v>
      </c>
      <c r="D104" s="39" t="n">
        <f aca="false">MAX(B104,C104)</f>
        <v>15.7255149330001</v>
      </c>
    </row>
    <row r="105" customFormat="false" ht="13" hidden="false" customHeight="false" outlineLevel="0" collapsed="false">
      <c r="A105" s="16" t="n">
        <v>88</v>
      </c>
      <c r="B105" s="38" t="n">
        <v>0</v>
      </c>
      <c r="C105" s="38" t="n">
        <v>17.6362943179555</v>
      </c>
      <c r="D105" s="39" t="n">
        <f aca="false">MAX(B105,C105)</f>
        <v>17.6362943179555</v>
      </c>
    </row>
    <row r="106" customFormat="false" ht="13" hidden="false" customHeight="false" outlineLevel="0" collapsed="false">
      <c r="A106" s="16" t="n">
        <v>89</v>
      </c>
      <c r="B106" s="38" t="n">
        <v>6.40243272643528</v>
      </c>
      <c r="C106" s="38" t="n">
        <v>0</v>
      </c>
      <c r="D106" s="39" t="n">
        <f aca="false">MAX(B106,C106)</f>
        <v>6.40243272643528</v>
      </c>
    </row>
    <row r="107" customFormat="false" ht="13" hidden="false" customHeight="false" outlineLevel="0" collapsed="false">
      <c r="A107" s="16" t="n">
        <v>90</v>
      </c>
      <c r="B107" s="38" t="n">
        <v>0</v>
      </c>
      <c r="C107" s="38" t="n">
        <v>17.4418254802857</v>
      </c>
      <c r="D107" s="39" t="n">
        <f aca="false">MAX(B107,C107)</f>
        <v>17.4418254802857</v>
      </c>
    </row>
    <row r="108" customFormat="false" ht="13" hidden="false" customHeight="false" outlineLevel="0" collapsed="false">
      <c r="A108" s="16" t="n">
        <v>91</v>
      </c>
      <c r="B108" s="38" t="n">
        <v>7.09805795123938</v>
      </c>
      <c r="C108" s="38" t="n">
        <v>0</v>
      </c>
      <c r="D108" s="39" t="n">
        <f aca="false">MAX(B108,C108)</f>
        <v>7.09805795123938</v>
      </c>
    </row>
    <row r="109" customFormat="false" ht="13" hidden="false" customHeight="false" outlineLevel="0" collapsed="false">
      <c r="A109" s="16" t="n">
        <v>92</v>
      </c>
      <c r="B109" s="38" t="n">
        <v>8.93605875506547</v>
      </c>
      <c r="C109" s="38" t="n">
        <v>0</v>
      </c>
      <c r="D109" s="39" t="n">
        <f aca="false">MAX(B109,C109)</f>
        <v>8.93605875506547</v>
      </c>
    </row>
    <row r="110" customFormat="false" ht="13" hidden="false" customHeight="false" outlineLevel="0" collapsed="false">
      <c r="A110" s="16" t="n">
        <v>93</v>
      </c>
      <c r="B110" s="38" t="n">
        <v>0</v>
      </c>
      <c r="C110" s="38" t="n">
        <v>17.2526405670602</v>
      </c>
      <c r="D110" s="39" t="n">
        <f aca="false">MAX(B110,C110)</f>
        <v>17.2526405670602</v>
      </c>
    </row>
    <row r="111" customFormat="false" ht="13" hidden="false" customHeight="false" outlineLevel="0" collapsed="false">
      <c r="A111" s="16" t="n">
        <v>94</v>
      </c>
      <c r="B111" s="38" t="n">
        <v>0</v>
      </c>
      <c r="C111" s="38" t="n">
        <v>18.8669648022264</v>
      </c>
      <c r="D111" s="39" t="n">
        <f aca="false">MAX(B111,C111)</f>
        <v>18.8669648022264</v>
      </c>
    </row>
    <row r="112" customFormat="false" ht="13" hidden="false" customHeight="false" outlineLevel="0" collapsed="false">
      <c r="A112" s="16" t="n">
        <v>95</v>
      </c>
      <c r="B112" s="38" t="n">
        <v>0</v>
      </c>
      <c r="C112" s="38" t="n">
        <v>19.9376495598334</v>
      </c>
      <c r="D112" s="39" t="n">
        <f aca="false">MAX(B112,C112)</f>
        <v>19.9376495598334</v>
      </c>
    </row>
    <row r="113" customFormat="false" ht="13" hidden="false" customHeight="false" outlineLevel="0" collapsed="false">
      <c r="A113" s="16" t="n">
        <v>96</v>
      </c>
      <c r="B113" s="38" t="n">
        <v>7.18624472033203</v>
      </c>
      <c r="C113" s="38" t="n">
        <v>0</v>
      </c>
      <c r="D113" s="39" t="n">
        <f aca="false">MAX(B113,C113)</f>
        <v>7.18624472033203</v>
      </c>
    </row>
    <row r="114" customFormat="false" ht="13" hidden="false" customHeight="false" outlineLevel="0" collapsed="false">
      <c r="A114" s="16" t="n">
        <v>97</v>
      </c>
      <c r="B114" s="38" t="n">
        <v>8.89859913410362</v>
      </c>
      <c r="C114" s="38" t="n">
        <v>0</v>
      </c>
      <c r="D114" s="39" t="n">
        <f aca="false">MAX(B114,C114)</f>
        <v>8.89859913410362</v>
      </c>
    </row>
    <row r="115" customFormat="false" ht="13" hidden="false" customHeight="false" outlineLevel="0" collapsed="false">
      <c r="A115" s="16" t="n">
        <v>98</v>
      </c>
      <c r="B115" s="38" t="n">
        <v>10.1141779075478</v>
      </c>
      <c r="C115" s="38" t="n">
        <v>0</v>
      </c>
      <c r="D115" s="39" t="n">
        <f aca="false">MAX(B115,C115)</f>
        <v>10.1141779075478</v>
      </c>
    </row>
    <row r="116" customFormat="false" ht="13" hidden="false" customHeight="false" outlineLevel="0" collapsed="false">
      <c r="A116" s="16" t="n">
        <v>99</v>
      </c>
      <c r="B116" s="38" t="n">
        <v>0</v>
      </c>
      <c r="C116" s="38" t="n">
        <v>19.6861190805676</v>
      </c>
      <c r="D116" s="39" t="n">
        <f aca="false">MAX(B116,C116)</f>
        <v>19.6861190805676</v>
      </c>
    </row>
    <row r="117" customFormat="false" ht="13" hidden="false" customHeight="false" outlineLevel="0" collapsed="false">
      <c r="A117" s="16" t="n">
        <v>100</v>
      </c>
      <c r="B117" s="38" t="n">
        <v>9.63548266296266</v>
      </c>
      <c r="C117" s="38" t="n">
        <v>0</v>
      </c>
      <c r="D117" s="39" t="n">
        <f aca="false">MAX(B117,C117)</f>
        <v>9.63548266296266</v>
      </c>
    </row>
    <row r="118" customFormat="false" ht="13" hidden="false" customHeight="false" outlineLevel="0" collapsed="false">
      <c r="A118" s="16" t="n">
        <v>101</v>
      </c>
      <c r="B118" s="38" t="n">
        <v>0</v>
      </c>
      <c r="C118" s="38" t="n">
        <v>18.8106548993194</v>
      </c>
      <c r="D118" s="39" t="n">
        <f aca="false">MAX(B118,C118)</f>
        <v>18.8106548993194</v>
      </c>
    </row>
    <row r="119" customFormat="false" ht="13" hidden="false" customHeight="false" outlineLevel="0" collapsed="false">
      <c r="A119" s="16" t="n">
        <v>102</v>
      </c>
      <c r="B119" s="38" t="n">
        <v>9.7805630702747</v>
      </c>
      <c r="C119" s="38" t="n">
        <v>0</v>
      </c>
      <c r="D119" s="39" t="n">
        <f aca="false">MAX(B119,C119)</f>
        <v>9.7805630702747</v>
      </c>
    </row>
    <row r="120" customFormat="false" ht="13" hidden="false" customHeight="false" outlineLevel="0" collapsed="false">
      <c r="A120" s="16" t="n">
        <v>103</v>
      </c>
      <c r="B120" s="38" t="n">
        <v>11.0430724787002</v>
      </c>
      <c r="C120" s="38" t="n">
        <v>0</v>
      </c>
      <c r="D120" s="39" t="n">
        <f aca="false">MAX(B120,C120)</f>
        <v>11.0430724787002</v>
      </c>
    </row>
    <row r="121" customFormat="false" ht="13" hidden="false" customHeight="false" outlineLevel="0" collapsed="false">
      <c r="A121" s="16" t="n">
        <v>104</v>
      </c>
      <c r="B121" s="38" t="n">
        <v>11.7011037860542</v>
      </c>
      <c r="C121" s="38" t="n">
        <v>0</v>
      </c>
      <c r="D121" s="39" t="n">
        <f aca="false">MAX(B121,C121)</f>
        <v>11.7011037860542</v>
      </c>
    </row>
    <row r="122" customFormat="false" ht="13" hidden="false" customHeight="false" outlineLevel="0" collapsed="false">
      <c r="A122" s="16" t="n">
        <v>105</v>
      </c>
      <c r="B122" s="38" t="n">
        <v>13.9059336620789</v>
      </c>
      <c r="C122" s="38" t="n">
        <v>0</v>
      </c>
      <c r="D122" s="39" t="n">
        <f aca="false">MAX(B122,C122)</f>
        <v>13.9059336620789</v>
      </c>
    </row>
    <row r="123" customFormat="false" ht="13" hidden="false" customHeight="false" outlineLevel="0" collapsed="false">
      <c r="A123" s="16" t="n">
        <v>106</v>
      </c>
      <c r="B123" s="38" t="n">
        <v>0</v>
      </c>
      <c r="C123" s="38" t="n">
        <v>17.8533743263068</v>
      </c>
      <c r="D123" s="39" t="n">
        <f aca="false">MAX(B123,C123)</f>
        <v>17.8533743263068</v>
      </c>
    </row>
    <row r="124" customFormat="false" ht="13" hidden="false" customHeight="false" outlineLevel="0" collapsed="false">
      <c r="A124" s="16" t="n">
        <v>107</v>
      </c>
      <c r="B124" s="38" t="n">
        <v>0</v>
      </c>
      <c r="C124" s="38" t="n">
        <v>19.1018545668031</v>
      </c>
      <c r="D124" s="39" t="n">
        <f aca="false">MAX(B124,C124)</f>
        <v>19.1018545668031</v>
      </c>
    </row>
    <row r="125" customFormat="false" ht="13" hidden="false" customHeight="false" outlineLevel="0" collapsed="false">
      <c r="A125" s="16" t="n">
        <v>108</v>
      </c>
      <c r="B125" s="38" t="n">
        <v>11.5997980176244</v>
      </c>
      <c r="C125" s="38" t="n">
        <v>0</v>
      </c>
      <c r="D125" s="39" t="n">
        <f aca="false">MAX(B125,C125)</f>
        <v>11.5997980176244</v>
      </c>
    </row>
    <row r="126" customFormat="false" ht="13" hidden="false" customHeight="false" outlineLevel="0" collapsed="false">
      <c r="A126" s="16" t="n">
        <v>109</v>
      </c>
      <c r="B126" s="38" t="n">
        <v>0</v>
      </c>
      <c r="C126" s="38" t="n">
        <v>17.4271024998287</v>
      </c>
      <c r="D126" s="39" t="n">
        <f aca="false">MAX(B126,C126)</f>
        <v>17.4271024998287</v>
      </c>
    </row>
    <row r="127" customFormat="false" ht="13" hidden="false" customHeight="false" outlineLevel="0" collapsed="false">
      <c r="A127" s="16" t="n">
        <v>110</v>
      </c>
      <c r="B127" s="38" t="n">
        <v>13.2292348131783</v>
      </c>
      <c r="C127" s="38" t="n">
        <v>0</v>
      </c>
      <c r="D127" s="39" t="n">
        <f aca="false">MAX(B127,C127)</f>
        <v>13.2292348131783</v>
      </c>
    </row>
    <row r="128" customFormat="false" ht="13" hidden="false" customHeight="false" outlineLevel="0" collapsed="false">
      <c r="A128" s="16" t="n">
        <v>111</v>
      </c>
      <c r="B128" s="38" t="n">
        <v>0</v>
      </c>
      <c r="C128" s="38" t="n">
        <v>17.7404163719986</v>
      </c>
      <c r="D128" s="39" t="n">
        <f aca="false">MAX(B128,C128)</f>
        <v>17.7404163719986</v>
      </c>
    </row>
    <row r="129" customFormat="false" ht="13" hidden="false" customHeight="false" outlineLevel="0" collapsed="false">
      <c r="A129" s="16" t="n">
        <v>112</v>
      </c>
      <c r="B129" s="38" t="n">
        <v>0</v>
      </c>
      <c r="C129" s="38" t="n">
        <v>18.4027573622825</v>
      </c>
      <c r="D129" s="39" t="n">
        <f aca="false">MAX(B129,C129)</f>
        <v>18.4027573622825</v>
      </c>
    </row>
    <row r="130" customFormat="false" ht="13" hidden="false" customHeight="false" outlineLevel="0" collapsed="false">
      <c r="A130" s="16" t="n">
        <v>113</v>
      </c>
      <c r="B130" s="38" t="n">
        <v>12.0302078793773</v>
      </c>
      <c r="C130" s="38" t="n">
        <v>0</v>
      </c>
      <c r="D130" s="39" t="n">
        <f aca="false">MAX(B130,C130)</f>
        <v>12.0302078793773</v>
      </c>
    </row>
    <row r="131" customFormat="false" ht="13" hidden="false" customHeight="false" outlineLevel="0" collapsed="false">
      <c r="A131" s="16" t="n">
        <v>114</v>
      </c>
      <c r="B131" s="38" t="n">
        <v>0</v>
      </c>
      <c r="C131" s="38" t="n">
        <v>16.4497830725578</v>
      </c>
      <c r="D131" s="39" t="n">
        <f aca="false">MAX(B131,C131)</f>
        <v>16.4497830725578</v>
      </c>
    </row>
    <row r="132" customFormat="false" ht="13" hidden="false" customHeight="false" outlineLevel="0" collapsed="false">
      <c r="A132" s="16" t="n">
        <v>115</v>
      </c>
      <c r="B132" s="38" t="n">
        <v>0</v>
      </c>
      <c r="C132" s="38" t="n">
        <v>17.0085572314443</v>
      </c>
      <c r="D132" s="39" t="n">
        <f aca="false">MAX(B132,C132)</f>
        <v>17.0085572314443</v>
      </c>
    </row>
    <row r="133" customFormat="false" ht="13" hidden="false" customHeight="false" outlineLevel="0" collapsed="false">
      <c r="A133" s="16" t="n">
        <v>116</v>
      </c>
      <c r="B133" s="38" t="n">
        <v>9.31389921077899</v>
      </c>
      <c r="C133" s="38" t="n">
        <v>0</v>
      </c>
      <c r="D133" s="39" t="n">
        <f aca="false">MAX(B133,C133)</f>
        <v>9.31389921077899</v>
      </c>
    </row>
    <row r="134" customFormat="false" ht="13" hidden="false" customHeight="false" outlineLevel="0" collapsed="false">
      <c r="A134" s="16" t="n">
        <v>117</v>
      </c>
      <c r="B134" s="38" t="n">
        <v>8.68886529644483</v>
      </c>
      <c r="C134" s="38" t="n">
        <v>0</v>
      </c>
      <c r="D134" s="39" t="n">
        <f aca="false">MAX(B134,C134)</f>
        <v>8.68886529644483</v>
      </c>
    </row>
    <row r="135" customFormat="false" ht="13" hidden="false" customHeight="false" outlineLevel="0" collapsed="false">
      <c r="A135" s="16" t="n">
        <v>118</v>
      </c>
      <c r="B135" s="38" t="n">
        <v>0</v>
      </c>
      <c r="C135" s="38" t="n">
        <v>14.1684883571515</v>
      </c>
      <c r="D135" s="39" t="n">
        <f aca="false">MAX(B135,C135)</f>
        <v>14.1684883571515</v>
      </c>
    </row>
    <row r="136" customFormat="false" ht="13" hidden="false" customHeight="false" outlineLevel="0" collapsed="false">
      <c r="A136" s="16" t="n">
        <v>119</v>
      </c>
      <c r="B136" s="38" t="n">
        <v>0</v>
      </c>
      <c r="C136" s="38" t="n">
        <v>13.7826408285453</v>
      </c>
      <c r="D136" s="39" t="n">
        <f aca="false">MAX(B136,C136)</f>
        <v>13.7826408285453</v>
      </c>
    </row>
    <row r="137" customFormat="false" ht="13" hidden="false" customHeight="false" outlineLevel="0" collapsed="false">
      <c r="A137" s="16" t="n">
        <v>120</v>
      </c>
      <c r="B137" s="38" t="n">
        <v>4.7164628253406</v>
      </c>
      <c r="C137" s="38" t="n">
        <v>0</v>
      </c>
      <c r="D137" s="39" t="n">
        <f aca="false">MAX(B137,C137)</f>
        <v>4.7164628253406</v>
      </c>
    </row>
    <row r="138" customFormat="false" ht="13" hidden="false" customHeight="false" outlineLevel="0" collapsed="false">
      <c r="A138" s="16" t="n">
        <v>121</v>
      </c>
      <c r="B138" s="38" t="n">
        <v>0</v>
      </c>
      <c r="C138" s="38" t="n">
        <v>14.2229336556455</v>
      </c>
      <c r="D138" s="39" t="n">
        <f aca="false">MAX(B138,C138)</f>
        <v>14.2229336556455</v>
      </c>
    </row>
    <row r="139" customFormat="false" ht="13" hidden="false" customHeight="false" outlineLevel="0" collapsed="false">
      <c r="A139" s="16" t="n">
        <v>122</v>
      </c>
      <c r="B139" s="38" t="n">
        <v>0</v>
      </c>
      <c r="C139" s="38" t="n">
        <v>16.3027503939118</v>
      </c>
      <c r="D139" s="39" t="n">
        <f aca="false">MAX(B139,C139)</f>
        <v>16.3027503939118</v>
      </c>
    </row>
    <row r="140" customFormat="false" ht="13" hidden="false" customHeight="false" outlineLevel="0" collapsed="false">
      <c r="A140" s="16" t="n">
        <v>123</v>
      </c>
      <c r="B140" s="38" t="n">
        <v>0</v>
      </c>
      <c r="C140" s="38" t="n">
        <v>14.6576125468074</v>
      </c>
      <c r="D140" s="39" t="n">
        <f aca="false">MAX(B140,C140)</f>
        <v>14.6576125468074</v>
      </c>
    </row>
    <row r="141" customFormat="false" ht="13" hidden="false" customHeight="false" outlineLevel="0" collapsed="false">
      <c r="A141" s="16" t="n">
        <v>124</v>
      </c>
      <c r="B141" s="38" t="n">
        <v>0</v>
      </c>
      <c r="C141" s="38" t="n">
        <v>16.7937471627889</v>
      </c>
      <c r="D141" s="39" t="n">
        <f aca="false">MAX(B141,C141)</f>
        <v>16.7937471627889</v>
      </c>
    </row>
    <row r="142" customFormat="false" ht="13" hidden="false" customHeight="false" outlineLevel="0" collapsed="false">
      <c r="A142" s="16" t="n">
        <v>125</v>
      </c>
      <c r="B142" s="38" t="n">
        <v>0</v>
      </c>
      <c r="C142" s="38" t="n">
        <v>16.8799180340597</v>
      </c>
      <c r="D142" s="39" t="n">
        <f aca="false">MAX(B142,C142)</f>
        <v>16.8799180340597</v>
      </c>
    </row>
    <row r="143" customFormat="false" ht="13" hidden="false" customHeight="false" outlineLevel="0" collapsed="false">
      <c r="A143" s="16" t="n">
        <v>126</v>
      </c>
      <c r="B143" s="38" t="n">
        <v>0</v>
      </c>
      <c r="C143" s="38" t="n">
        <v>17.0005679985978</v>
      </c>
      <c r="D143" s="39" t="n">
        <f aca="false">MAX(B143,C143)</f>
        <v>17.0005679985978</v>
      </c>
    </row>
    <row r="144" customFormat="false" ht="13" hidden="false" customHeight="false" outlineLevel="0" collapsed="false">
      <c r="A144" s="16" t="n">
        <v>127</v>
      </c>
      <c r="B144" s="38" t="n">
        <v>1.81541043164316</v>
      </c>
      <c r="C144" s="38" t="n">
        <v>0</v>
      </c>
      <c r="D144" s="39" t="n">
        <f aca="false">MAX(B144,C144)</f>
        <v>1.81541043164316</v>
      </c>
    </row>
    <row r="145" customFormat="false" ht="13" hidden="false" customHeight="false" outlineLevel="0" collapsed="false">
      <c r="A145" s="16" t="n">
        <v>128</v>
      </c>
      <c r="B145" s="38" t="n">
        <v>0</v>
      </c>
      <c r="C145" s="38" t="n">
        <v>16.5901061551391</v>
      </c>
      <c r="D145" s="39" t="n">
        <f aca="false">MAX(B145,C145)</f>
        <v>16.5901061551391</v>
      </c>
    </row>
    <row r="146" customFormat="false" ht="13" hidden="false" customHeight="false" outlineLevel="0" collapsed="false">
      <c r="A146" s="16" t="n">
        <v>129</v>
      </c>
      <c r="B146" s="38" t="n">
        <v>1.75151266745979</v>
      </c>
      <c r="C146" s="38" t="n">
        <v>0</v>
      </c>
      <c r="D146" s="39" t="n">
        <f aca="false">MAX(B146,C146)</f>
        <v>1.75151266745979</v>
      </c>
    </row>
    <row r="147" customFormat="false" ht="13" hidden="false" customHeight="false" outlineLevel="0" collapsed="false">
      <c r="A147" s="16" t="n">
        <v>130</v>
      </c>
      <c r="B147" s="38" t="n">
        <v>0</v>
      </c>
      <c r="C147" s="38" t="n">
        <v>16.6367204894525</v>
      </c>
      <c r="D147" s="39" t="n">
        <f aca="false">MAX(B147,C147)</f>
        <v>16.6367204894525</v>
      </c>
    </row>
    <row r="148" customFormat="false" ht="13" hidden="false" customHeight="false" outlineLevel="0" collapsed="false">
      <c r="A148" s="16" t="n">
        <v>131</v>
      </c>
      <c r="B148" s="38" t="n">
        <v>2.21157062262</v>
      </c>
      <c r="C148" s="38" t="n">
        <v>0</v>
      </c>
      <c r="D148" s="39" t="n">
        <f aca="false">MAX(B148,C148)</f>
        <v>2.21157062262</v>
      </c>
    </row>
    <row r="149" customFormat="false" ht="13" hidden="false" customHeight="false" outlineLevel="0" collapsed="false">
      <c r="A149" s="16" t="n">
        <v>132</v>
      </c>
      <c r="B149" s="38" t="n">
        <v>0</v>
      </c>
      <c r="C149" s="38" t="n">
        <v>16.5884900761813</v>
      </c>
      <c r="D149" s="39" t="n">
        <f aca="false">MAX(B149,C149)</f>
        <v>16.5884900761813</v>
      </c>
    </row>
    <row r="150" customFormat="false" ht="13" hidden="false" customHeight="false" outlineLevel="0" collapsed="false">
      <c r="A150" s="16" t="n">
        <v>133</v>
      </c>
      <c r="B150" s="38" t="n">
        <v>3.28915729670928</v>
      </c>
      <c r="C150" s="38" t="n">
        <v>0</v>
      </c>
      <c r="D150" s="39" t="n">
        <f aca="false">MAX(B150,C150)</f>
        <v>3.28915729670928</v>
      </c>
    </row>
    <row r="151" customFormat="false" ht="13" hidden="false" customHeight="false" outlineLevel="0" collapsed="false">
      <c r="A151" s="16" t="n">
        <v>134</v>
      </c>
      <c r="B151" s="38" t="n">
        <v>0</v>
      </c>
      <c r="C151" s="38" t="n">
        <v>16.1930544480714</v>
      </c>
      <c r="D151" s="39" t="n">
        <f aca="false">MAX(B151,C151)</f>
        <v>16.1930544480714</v>
      </c>
    </row>
    <row r="152" customFormat="false" ht="13" hidden="false" customHeight="false" outlineLevel="0" collapsed="false">
      <c r="A152" s="16" t="n">
        <v>135</v>
      </c>
      <c r="B152" s="38" t="n">
        <v>0</v>
      </c>
      <c r="C152" s="38" t="n">
        <v>17.8883716831734</v>
      </c>
      <c r="D152" s="39" t="n">
        <f aca="false">MAX(B152,C152)</f>
        <v>17.8883716831734</v>
      </c>
    </row>
    <row r="153" customFormat="false" ht="13" hidden="false" customHeight="false" outlineLevel="0" collapsed="false">
      <c r="A153" s="16" t="n">
        <v>136</v>
      </c>
      <c r="B153" s="38" t="n">
        <v>2.19423779975068</v>
      </c>
      <c r="C153" s="38" t="n">
        <v>0</v>
      </c>
      <c r="D153" s="39" t="n">
        <f aca="false">MAX(B153,C153)</f>
        <v>2.19423779975068</v>
      </c>
    </row>
    <row r="154" customFormat="false" ht="13" hidden="false" customHeight="false" outlineLevel="0" collapsed="false">
      <c r="A154" s="16" t="n">
        <v>137</v>
      </c>
      <c r="B154" s="38" t="n">
        <v>2.21509485143906</v>
      </c>
      <c r="C154" s="38" t="n">
        <v>0</v>
      </c>
      <c r="D154" s="39" t="n">
        <f aca="false">MAX(B154,C154)</f>
        <v>2.21509485143906</v>
      </c>
    </row>
    <row r="155" customFormat="false" ht="13" hidden="false" customHeight="false" outlineLevel="0" collapsed="false">
      <c r="A155" s="16" t="n">
        <v>138</v>
      </c>
      <c r="B155" s="38" t="n">
        <v>2.72870016292308</v>
      </c>
      <c r="C155" s="38" t="n">
        <v>0</v>
      </c>
      <c r="D155" s="39" t="n">
        <f aca="false">MAX(B155,C155)</f>
        <v>2.72870016292308</v>
      </c>
    </row>
    <row r="156" customFormat="false" ht="13" hidden="false" customHeight="false" outlineLevel="0" collapsed="false">
      <c r="A156" s="16" t="n">
        <v>139</v>
      </c>
      <c r="B156" s="38" t="n">
        <v>3.82604970342774</v>
      </c>
      <c r="C156" s="38" t="n">
        <v>0</v>
      </c>
      <c r="D156" s="39" t="n">
        <f aca="false">MAX(B156,C156)</f>
        <v>3.82604970342774</v>
      </c>
    </row>
    <row r="157" customFormat="false" ht="13" hidden="false" customHeight="false" outlineLevel="0" collapsed="false">
      <c r="A157" s="16" t="n">
        <v>140</v>
      </c>
      <c r="B157" s="38" t="n">
        <v>0</v>
      </c>
      <c r="C157" s="38" t="n">
        <v>10.7147320084023</v>
      </c>
      <c r="D157" s="39" t="n">
        <f aca="false">MAX(B157,C157)</f>
        <v>10.7147320084023</v>
      </c>
    </row>
    <row r="158" customFormat="false" ht="13" hidden="false" customHeight="false" outlineLevel="0" collapsed="false">
      <c r="A158" s="16" t="n">
        <v>141</v>
      </c>
      <c r="B158" s="38" t="n">
        <v>0</v>
      </c>
      <c r="C158" s="38" t="n">
        <v>8.58673503806216</v>
      </c>
      <c r="D158" s="39" t="n">
        <f aca="false">MAX(B158,C158)</f>
        <v>8.58673503806216</v>
      </c>
    </row>
    <row r="159" customFormat="false" ht="13" hidden="false" customHeight="false" outlineLevel="0" collapsed="false">
      <c r="A159" s="16" t="n">
        <v>142</v>
      </c>
      <c r="B159" s="38" t="n">
        <v>2.00416422020408</v>
      </c>
      <c r="C159" s="38" t="n">
        <v>0</v>
      </c>
      <c r="D159" s="39" t="n">
        <f aca="false">MAX(B159,C159)</f>
        <v>2.00416422020408</v>
      </c>
    </row>
    <row r="160" customFormat="false" ht="13" hidden="false" customHeight="false" outlineLevel="0" collapsed="false">
      <c r="A160" s="16" t="n">
        <v>143</v>
      </c>
      <c r="B160" s="38" t="n">
        <v>2.0024701243583</v>
      </c>
      <c r="C160" s="38" t="n">
        <v>0</v>
      </c>
      <c r="D160" s="39" t="n">
        <f aca="false">MAX(B160,C160)</f>
        <v>2.0024701243583</v>
      </c>
    </row>
    <row r="161" customFormat="false" ht="13" hidden="false" customHeight="false" outlineLevel="0" collapsed="false">
      <c r="A161" s="16" t="n">
        <v>144</v>
      </c>
      <c r="B161" s="38" t="n">
        <v>1.86475482283231</v>
      </c>
      <c r="C161" s="38" t="n">
        <v>0</v>
      </c>
      <c r="D161" s="39" t="n">
        <f aca="false">MAX(B161,C161)</f>
        <v>1.86475482283231</v>
      </c>
    </row>
    <row r="162" customFormat="false" ht="13" hidden="false" customHeight="false" outlineLevel="0" collapsed="false">
      <c r="A162" s="16" t="n">
        <v>145</v>
      </c>
      <c r="B162" s="38" t="n">
        <v>2.50342974340055</v>
      </c>
      <c r="C162" s="38" t="n">
        <v>0</v>
      </c>
      <c r="D162" s="39" t="n">
        <f aca="false">MAX(B162,C162)</f>
        <v>2.50342974340055</v>
      </c>
    </row>
    <row r="163" customFormat="false" ht="13" hidden="false" customHeight="false" outlineLevel="0" collapsed="false">
      <c r="A163" s="16" t="n">
        <v>146</v>
      </c>
      <c r="B163" s="38" t="n">
        <v>0</v>
      </c>
      <c r="C163" s="38" t="n">
        <v>2.1389537428754</v>
      </c>
      <c r="D163" s="39" t="n">
        <f aca="false">MAX(B163,C163)</f>
        <v>2.1389537428754</v>
      </c>
    </row>
    <row r="164" customFormat="false" ht="13" hidden="false" customHeight="false" outlineLevel="0" collapsed="false">
      <c r="A164" s="16" t="n">
        <v>147</v>
      </c>
      <c r="B164" s="38" t="n">
        <v>0</v>
      </c>
      <c r="C164" s="38" t="n">
        <v>3.11536427284295</v>
      </c>
      <c r="D164" s="39" t="n">
        <f aca="false">MAX(B164,C164)</f>
        <v>3.11536427284295</v>
      </c>
    </row>
    <row r="165" customFormat="false" ht="13" hidden="false" customHeight="false" outlineLevel="0" collapsed="false">
      <c r="A165" s="16" t="n">
        <v>148</v>
      </c>
      <c r="B165" s="38" t="n">
        <v>0</v>
      </c>
      <c r="C165" s="38" t="n">
        <v>5.24831746910655</v>
      </c>
      <c r="D165" s="39" t="n">
        <f aca="false">MAX(B165,C165)</f>
        <v>5.24831746910655</v>
      </c>
    </row>
    <row r="166" customFormat="false" ht="13" hidden="false" customHeight="false" outlineLevel="0" collapsed="false">
      <c r="A166" s="16" t="n">
        <v>149</v>
      </c>
      <c r="B166" s="38" t="n">
        <v>0</v>
      </c>
      <c r="C166" s="38" t="n">
        <v>5.59929514076683</v>
      </c>
      <c r="D166" s="39" t="n">
        <f aca="false">MAX(B166,C166)</f>
        <v>5.59929514076683</v>
      </c>
    </row>
    <row r="167" customFormat="false" ht="13" hidden="false" customHeight="false" outlineLevel="0" collapsed="false">
      <c r="A167" s="16" t="n">
        <v>150</v>
      </c>
      <c r="B167" s="38" t="n">
        <v>1.95366673009312</v>
      </c>
      <c r="C167" s="38" t="n">
        <v>0</v>
      </c>
      <c r="D167" s="39" t="n">
        <f aca="false">MAX(B167,C167)</f>
        <v>1.95366673009312</v>
      </c>
    </row>
    <row r="168" customFormat="false" ht="13" hidden="false" customHeight="false" outlineLevel="0" collapsed="false">
      <c r="A168" s="16" t="n">
        <v>151</v>
      </c>
      <c r="B168" s="38" t="n">
        <v>0</v>
      </c>
      <c r="C168" s="38" t="n">
        <v>3.81229764076394</v>
      </c>
      <c r="D168" s="39" t="n">
        <f aca="false">MAX(B168,C168)</f>
        <v>3.81229764076394</v>
      </c>
    </row>
    <row r="169" customFormat="false" ht="13" hidden="false" customHeight="false" outlineLevel="0" collapsed="false">
      <c r="A169" s="16" t="n">
        <v>152</v>
      </c>
      <c r="B169" s="38" t="n">
        <v>0</v>
      </c>
      <c r="C169" s="38" t="n">
        <v>5.47207461642063</v>
      </c>
      <c r="D169" s="39" t="n">
        <f aca="false">MAX(B169,C169)</f>
        <v>5.47207461642063</v>
      </c>
    </row>
    <row r="170" customFormat="false" ht="13" hidden="false" customHeight="false" outlineLevel="0" collapsed="false">
      <c r="A170" s="16" t="n">
        <v>153</v>
      </c>
      <c r="B170" s="38" t="n">
        <v>2.66921848846255</v>
      </c>
      <c r="C170" s="38" t="n">
        <v>0</v>
      </c>
      <c r="D170" s="39" t="n">
        <f aca="false">MAX(B170,C170)</f>
        <v>2.66921848846255</v>
      </c>
    </row>
    <row r="171" customFormat="false" ht="13" hidden="false" customHeight="false" outlineLevel="0" collapsed="false">
      <c r="A171" s="16" t="n">
        <v>154</v>
      </c>
      <c r="B171" s="38" t="n">
        <v>3.25227997886054</v>
      </c>
      <c r="C171" s="38" t="n">
        <v>0</v>
      </c>
      <c r="D171" s="39" t="n">
        <f aca="false">MAX(B171,C171)</f>
        <v>3.25227997886054</v>
      </c>
    </row>
    <row r="172" customFormat="false" ht="13" hidden="false" customHeight="false" outlineLevel="0" collapsed="false">
      <c r="A172" s="16" t="n">
        <v>155</v>
      </c>
      <c r="B172" s="38" t="n">
        <v>0</v>
      </c>
      <c r="C172" s="38" t="n">
        <v>5.87535659986924</v>
      </c>
      <c r="D172" s="39" t="n">
        <f aca="false">MAX(B172,C172)</f>
        <v>5.87535659986924</v>
      </c>
    </row>
    <row r="173" customFormat="false" ht="13" hidden="false" customHeight="false" outlineLevel="0" collapsed="false">
      <c r="A173" s="16" t="n">
        <v>156</v>
      </c>
      <c r="B173" s="38" t="n">
        <v>0</v>
      </c>
      <c r="C173" s="38" t="n">
        <v>7.0458697588696</v>
      </c>
      <c r="D173" s="39" t="n">
        <f aca="false">MAX(B173,C173)</f>
        <v>7.0458697588696</v>
      </c>
    </row>
    <row r="174" customFormat="false" ht="13" hidden="false" customHeight="false" outlineLevel="0" collapsed="false">
      <c r="A174" s="16" t="n">
        <v>157</v>
      </c>
      <c r="B174" s="38" t="n">
        <v>0</v>
      </c>
      <c r="C174" s="38" t="n">
        <v>7.81658237322333</v>
      </c>
      <c r="D174" s="39" t="n">
        <f aca="false">MAX(B174,C174)</f>
        <v>7.81658237322333</v>
      </c>
    </row>
    <row r="175" customFormat="false" ht="13" hidden="false" customHeight="false" outlineLevel="0" collapsed="false">
      <c r="A175" s="16" t="n">
        <v>158</v>
      </c>
      <c r="B175" s="38" t="n">
        <v>0</v>
      </c>
      <c r="C175" s="38" t="n">
        <v>7.40062920538782</v>
      </c>
      <c r="D175" s="39" t="n">
        <f aca="false">MAX(B175,C175)</f>
        <v>7.40062920538782</v>
      </c>
    </row>
    <row r="176" customFormat="false" ht="13" hidden="false" customHeight="false" outlineLevel="0" collapsed="false">
      <c r="A176" s="16" t="n">
        <v>159</v>
      </c>
      <c r="B176" s="38" t="n">
        <v>2.1564682865328</v>
      </c>
      <c r="C176" s="38" t="n">
        <v>0</v>
      </c>
      <c r="D176" s="39" t="n">
        <f aca="false">MAX(B176,C176)</f>
        <v>2.1564682865328</v>
      </c>
    </row>
    <row r="177" customFormat="false" ht="13" hidden="false" customHeight="false" outlineLevel="0" collapsed="false">
      <c r="A177" s="16" t="n">
        <v>160</v>
      </c>
      <c r="B177" s="38" t="n">
        <v>0</v>
      </c>
      <c r="C177" s="38" t="n">
        <v>8.42274356290614</v>
      </c>
      <c r="D177" s="39" t="n">
        <f aca="false">MAX(B177,C177)</f>
        <v>8.42274356290614</v>
      </c>
    </row>
    <row r="178" customFormat="false" ht="13" hidden="false" customHeight="false" outlineLevel="0" collapsed="false">
      <c r="A178" s="16" t="n">
        <v>161</v>
      </c>
      <c r="B178" s="38" t="n">
        <v>0</v>
      </c>
      <c r="C178" s="38" t="n">
        <v>10.0908924142652</v>
      </c>
      <c r="D178" s="39" t="n">
        <f aca="false">MAX(B178,C178)</f>
        <v>10.0908924142652</v>
      </c>
    </row>
    <row r="179" customFormat="false" ht="13" hidden="false" customHeight="false" outlineLevel="0" collapsed="false">
      <c r="A179" s="16" t="n">
        <v>162</v>
      </c>
      <c r="B179" s="38" t="n">
        <v>2.58003231207894</v>
      </c>
      <c r="C179" s="38" t="n">
        <v>0</v>
      </c>
      <c r="D179" s="39" t="n">
        <f aca="false">MAX(B179,C179)</f>
        <v>2.58003231207894</v>
      </c>
    </row>
    <row r="180" customFormat="false" ht="13" hidden="false" customHeight="false" outlineLevel="0" collapsed="false">
      <c r="A180" s="16" t="n">
        <v>163</v>
      </c>
      <c r="B180" s="38" t="n">
        <v>3.00080218481506</v>
      </c>
      <c r="C180" s="38" t="n">
        <v>0</v>
      </c>
      <c r="D180" s="39" t="n">
        <f aca="false">MAX(B180,C180)</f>
        <v>3.00080218481506</v>
      </c>
    </row>
    <row r="181" customFormat="false" ht="13" hidden="false" customHeight="false" outlineLevel="0" collapsed="false">
      <c r="A181" s="16" t="n">
        <v>164</v>
      </c>
      <c r="B181" s="38" t="n">
        <v>0</v>
      </c>
      <c r="C181" s="38" t="n">
        <v>9.61466032325623</v>
      </c>
      <c r="D181" s="39" t="n">
        <f aca="false">MAX(B181,C181)</f>
        <v>9.61466032325623</v>
      </c>
    </row>
    <row r="182" customFormat="false" ht="13" hidden="false" customHeight="false" outlineLevel="0" collapsed="false">
      <c r="A182" s="16" t="n">
        <v>165</v>
      </c>
      <c r="B182" s="38" t="n">
        <v>1.94721130094285</v>
      </c>
      <c r="C182" s="38" t="n">
        <v>0</v>
      </c>
      <c r="D182" s="39" t="n">
        <f aca="false">MAX(B182,C182)</f>
        <v>1.94721130094285</v>
      </c>
    </row>
    <row r="183" customFormat="false" ht="13" hidden="false" customHeight="false" outlineLevel="0" collapsed="false">
      <c r="A183" s="16" t="n">
        <v>166</v>
      </c>
      <c r="B183" s="38" t="n">
        <v>3.58861035236251</v>
      </c>
      <c r="C183" s="38" t="n">
        <v>0</v>
      </c>
      <c r="D183" s="39" t="n">
        <f aca="false">MAX(B183,C183)</f>
        <v>3.58861035236251</v>
      </c>
    </row>
    <row r="184" customFormat="false" ht="13" hidden="false" customHeight="false" outlineLevel="0" collapsed="false">
      <c r="A184" s="16" t="n">
        <v>167</v>
      </c>
      <c r="B184" s="38" t="n">
        <v>0</v>
      </c>
      <c r="C184" s="38" t="n">
        <v>5.73508898243696</v>
      </c>
      <c r="D184" s="39" t="n">
        <f aca="false">MAX(B184,C184)</f>
        <v>5.73508898243696</v>
      </c>
    </row>
    <row r="185" customFormat="false" ht="13" hidden="false" customHeight="false" outlineLevel="0" collapsed="false">
      <c r="A185" s="16" t="n">
        <v>168</v>
      </c>
      <c r="B185" s="38" t="n">
        <v>0</v>
      </c>
      <c r="C185" s="38" t="n">
        <v>7.29193793782648</v>
      </c>
      <c r="D185" s="39" t="n">
        <f aca="false">MAX(B185,C185)</f>
        <v>7.29193793782648</v>
      </c>
    </row>
    <row r="186" customFormat="false" ht="13" hidden="false" customHeight="false" outlineLevel="0" collapsed="false">
      <c r="A186" s="16" t="n">
        <v>169</v>
      </c>
      <c r="B186" s="38" t="n">
        <v>0</v>
      </c>
      <c r="C186" s="38" t="n">
        <v>8.80827435373465</v>
      </c>
      <c r="D186" s="39" t="n">
        <f aca="false">MAX(B186,C186)</f>
        <v>8.80827435373465</v>
      </c>
    </row>
    <row r="187" customFormat="false" ht="13" hidden="false" customHeight="false" outlineLevel="0" collapsed="false">
      <c r="A187" s="16" t="n">
        <v>170</v>
      </c>
      <c r="B187" s="38" t="n">
        <v>0</v>
      </c>
      <c r="C187" s="38" t="n">
        <v>8.06735608526628</v>
      </c>
      <c r="D187" s="39" t="n">
        <f aca="false">MAX(B187,C187)</f>
        <v>8.06735608526628</v>
      </c>
    </row>
    <row r="188" customFormat="false" ht="13" hidden="false" customHeight="false" outlineLevel="0" collapsed="false">
      <c r="A188" s="16" t="n">
        <v>171</v>
      </c>
      <c r="B188" s="38" t="n">
        <v>2.06110049213476</v>
      </c>
      <c r="C188" s="38" t="n">
        <v>0</v>
      </c>
      <c r="D188" s="39" t="n">
        <f aca="false">MAX(B188,C188)</f>
        <v>2.06110049213476</v>
      </c>
    </row>
    <row r="189" customFormat="false" ht="13" hidden="false" customHeight="false" outlineLevel="0" collapsed="false">
      <c r="A189" s="16" t="n">
        <v>172</v>
      </c>
      <c r="B189" s="38" t="n">
        <v>0</v>
      </c>
      <c r="C189" s="38" t="n">
        <v>9.57954631713804</v>
      </c>
      <c r="D189" s="39" t="n">
        <f aca="false">MAX(B189,C189)</f>
        <v>9.57954631713804</v>
      </c>
    </row>
    <row r="190" customFormat="false" ht="13" hidden="false" customHeight="false" outlineLevel="0" collapsed="false">
      <c r="A190" s="16" t="n">
        <v>173</v>
      </c>
      <c r="B190" s="38" t="n">
        <v>0</v>
      </c>
      <c r="C190" s="38" t="n">
        <v>11.5954641233717</v>
      </c>
      <c r="D190" s="39" t="n">
        <f aca="false">MAX(B190,C190)</f>
        <v>11.5954641233717</v>
      </c>
    </row>
    <row r="191" customFormat="false" ht="13" hidden="false" customHeight="false" outlineLevel="0" collapsed="false">
      <c r="A191" s="16" t="n">
        <v>174</v>
      </c>
      <c r="B191" s="38" t="n">
        <v>0</v>
      </c>
      <c r="C191" s="38" t="n">
        <v>11.2790909655432</v>
      </c>
      <c r="D191" s="39" t="n">
        <f aca="false">MAX(B191,C191)</f>
        <v>11.2790909655432</v>
      </c>
    </row>
    <row r="192" customFormat="false" ht="13" hidden="false" customHeight="false" outlineLevel="0" collapsed="false">
      <c r="A192" s="16" t="n">
        <v>175</v>
      </c>
      <c r="B192" s="38" t="n">
        <v>2.17359675543639</v>
      </c>
      <c r="C192" s="38" t="n">
        <v>0</v>
      </c>
      <c r="D192" s="39" t="n">
        <f aca="false">MAX(B192,C192)</f>
        <v>2.17359675543639</v>
      </c>
    </row>
    <row r="193" customFormat="false" ht="13" hidden="false" customHeight="false" outlineLevel="0" collapsed="false">
      <c r="A193" s="16" t="n">
        <v>176</v>
      </c>
      <c r="B193" s="38" t="n">
        <v>2.35769388650522</v>
      </c>
      <c r="C193" s="38" t="n">
        <v>0</v>
      </c>
      <c r="D193" s="39" t="n">
        <f aca="false">MAX(B193,C193)</f>
        <v>2.35769388650522</v>
      </c>
    </row>
    <row r="194" customFormat="false" ht="13" hidden="false" customHeight="false" outlineLevel="0" collapsed="false">
      <c r="A194" s="16" t="n">
        <v>177</v>
      </c>
      <c r="B194" s="38" t="n">
        <v>0</v>
      </c>
      <c r="C194" s="38" t="n">
        <v>11.284798267224</v>
      </c>
      <c r="D194" s="39" t="n">
        <f aca="false">MAX(B194,C194)</f>
        <v>11.284798267224</v>
      </c>
    </row>
    <row r="195" customFormat="false" ht="13" hidden="false" customHeight="false" outlineLevel="0" collapsed="false">
      <c r="A195" s="16" t="n">
        <v>178</v>
      </c>
      <c r="B195" s="38" t="n">
        <v>0</v>
      </c>
      <c r="C195" s="38" t="n">
        <v>13.1974620448395</v>
      </c>
      <c r="D195" s="39" t="n">
        <f aca="false">MAX(B195,C195)</f>
        <v>13.1974620448395</v>
      </c>
    </row>
    <row r="196" customFormat="false" ht="13" hidden="false" customHeight="false" outlineLevel="0" collapsed="false">
      <c r="A196" s="16" t="n">
        <v>179</v>
      </c>
      <c r="B196" s="38" t="n">
        <v>3.63645837104991</v>
      </c>
      <c r="C196" s="38" t="n">
        <v>0</v>
      </c>
      <c r="D196" s="39" t="n">
        <f aca="false">MAX(B196,C196)</f>
        <v>3.63645837104991</v>
      </c>
    </row>
    <row r="197" customFormat="false" ht="13" hidden="false" customHeight="false" outlineLevel="0" collapsed="false">
      <c r="A197" s="16" t="n">
        <v>180</v>
      </c>
      <c r="B197" s="38" t="n">
        <v>4.16749931061474</v>
      </c>
      <c r="C197" s="38" t="n">
        <v>0</v>
      </c>
      <c r="D197" s="39" t="n">
        <f aca="false">MAX(B197,C197)</f>
        <v>4.16749931061474</v>
      </c>
    </row>
    <row r="198" customFormat="false" ht="13" hidden="false" customHeight="false" outlineLevel="0" collapsed="false">
      <c r="A198" s="16" t="n">
        <v>181</v>
      </c>
      <c r="B198" s="38" t="n">
        <v>0</v>
      </c>
      <c r="C198" s="38" t="n">
        <v>13.2631544501461</v>
      </c>
      <c r="D198" s="39" t="n">
        <f aca="false">MAX(B198,C198)</f>
        <v>13.2631544501461</v>
      </c>
    </row>
    <row r="199" customFormat="false" ht="13" hidden="false" customHeight="false" outlineLevel="0" collapsed="false">
      <c r="A199" s="16" t="n">
        <v>182</v>
      </c>
      <c r="B199" s="38" t="n">
        <v>5.84983955364311</v>
      </c>
      <c r="C199" s="38" t="n">
        <v>0</v>
      </c>
      <c r="D199" s="39" t="n">
        <f aca="false">MAX(B199,C199)</f>
        <v>5.84983955364311</v>
      </c>
    </row>
    <row r="200" customFormat="false" ht="13" hidden="false" customHeight="false" outlineLevel="0" collapsed="false">
      <c r="A200" s="16" t="n">
        <v>183</v>
      </c>
      <c r="B200" s="38" t="n">
        <v>0</v>
      </c>
      <c r="C200" s="38" t="n">
        <v>14.915299429951</v>
      </c>
      <c r="D200" s="39" t="n">
        <f aca="false">MAX(B200,C200)</f>
        <v>14.915299429951</v>
      </c>
    </row>
    <row r="201" customFormat="false" ht="13" hidden="false" customHeight="false" outlineLevel="0" collapsed="false">
      <c r="A201" s="16" t="n">
        <v>184</v>
      </c>
      <c r="B201" s="38" t="n">
        <v>7.18939590653707</v>
      </c>
      <c r="C201" s="38" t="n">
        <v>0</v>
      </c>
      <c r="D201" s="39" t="n">
        <f aca="false">MAX(B201,C201)</f>
        <v>7.18939590653707</v>
      </c>
    </row>
    <row r="202" customFormat="false" ht="13" hidden="false" customHeight="false" outlineLevel="0" collapsed="false">
      <c r="A202" s="16" t="n">
        <v>185</v>
      </c>
      <c r="B202" s="38" t="n">
        <v>0</v>
      </c>
      <c r="C202" s="38" t="n">
        <v>15.8065354223549</v>
      </c>
      <c r="D202" s="39" t="n">
        <f aca="false">MAX(B202,C202)</f>
        <v>15.8065354223549</v>
      </c>
    </row>
    <row r="203" customFormat="false" ht="13" hidden="false" customHeight="false" outlineLevel="0" collapsed="false">
      <c r="A203" s="16" t="n">
        <v>186</v>
      </c>
      <c r="B203" s="38" t="n">
        <v>0</v>
      </c>
      <c r="C203" s="38" t="n">
        <v>16.6091095228407</v>
      </c>
      <c r="D203" s="39" t="n">
        <f aca="false">MAX(B203,C203)</f>
        <v>16.6091095228407</v>
      </c>
    </row>
    <row r="204" customFormat="false" ht="13" hidden="false" customHeight="false" outlineLevel="0" collapsed="false">
      <c r="A204" s="16" t="n">
        <v>187</v>
      </c>
      <c r="B204" s="38" t="n">
        <v>0</v>
      </c>
      <c r="C204" s="38" t="n">
        <v>18.0328567124916</v>
      </c>
      <c r="D204" s="39" t="n">
        <f aca="false">MAX(B204,C204)</f>
        <v>18.0328567124916</v>
      </c>
    </row>
    <row r="205" customFormat="false" ht="13" hidden="false" customHeight="false" outlineLevel="0" collapsed="false">
      <c r="A205" s="16" t="n">
        <v>188</v>
      </c>
      <c r="B205" s="38" t="n">
        <v>5.77642163998408</v>
      </c>
      <c r="C205" s="38" t="n">
        <v>0</v>
      </c>
      <c r="D205" s="39" t="n">
        <f aca="false">MAX(B205,C205)</f>
        <v>5.77642163998408</v>
      </c>
    </row>
    <row r="206" customFormat="false" ht="13" hidden="false" customHeight="false" outlineLevel="0" collapsed="false">
      <c r="A206" s="16" t="n">
        <v>189</v>
      </c>
      <c r="B206" s="38" t="n">
        <v>7.28895550856259</v>
      </c>
      <c r="C206" s="38" t="n">
        <v>0</v>
      </c>
      <c r="D206" s="39" t="n">
        <f aca="false">MAX(B206,C206)</f>
        <v>7.28895550856259</v>
      </c>
    </row>
    <row r="207" customFormat="false" ht="13" hidden="false" customHeight="false" outlineLevel="0" collapsed="false">
      <c r="A207" s="16" t="n">
        <v>190</v>
      </c>
      <c r="B207" s="38" t="n">
        <v>9.09909263288228</v>
      </c>
      <c r="C207" s="38" t="n">
        <v>0</v>
      </c>
      <c r="D207" s="39" t="n">
        <f aca="false">MAX(B207,C207)</f>
        <v>9.09909263288228</v>
      </c>
    </row>
    <row r="208" customFormat="false" ht="13" hidden="false" customHeight="false" outlineLevel="0" collapsed="false">
      <c r="A208" s="16" t="n">
        <v>191</v>
      </c>
      <c r="B208" s="38" t="n">
        <v>9.9270712283994</v>
      </c>
      <c r="C208" s="38" t="n">
        <v>0</v>
      </c>
      <c r="D208" s="39" t="n">
        <f aca="false">MAX(B208,C208)</f>
        <v>9.9270712283994</v>
      </c>
    </row>
    <row r="209" customFormat="false" ht="13" hidden="false" customHeight="false" outlineLevel="0" collapsed="false">
      <c r="A209" s="16" t="n">
        <v>192</v>
      </c>
      <c r="B209" s="38" t="n">
        <v>0</v>
      </c>
      <c r="C209" s="38" t="n">
        <v>16.1642675196429</v>
      </c>
      <c r="D209" s="39" t="n">
        <f aca="false">MAX(B209,C209)</f>
        <v>16.1642675196429</v>
      </c>
    </row>
    <row r="210" customFormat="false" ht="13" hidden="false" customHeight="false" outlineLevel="0" collapsed="false">
      <c r="A210" s="16" t="n">
        <v>193</v>
      </c>
      <c r="B210" s="38" t="n">
        <v>10.6791398953744</v>
      </c>
      <c r="C210" s="38" t="n">
        <v>0</v>
      </c>
      <c r="D210" s="39" t="n">
        <f aca="false">MAX(B210,C210)</f>
        <v>10.6791398953744</v>
      </c>
    </row>
    <row r="211" customFormat="false" ht="13" hidden="false" customHeight="false" outlineLevel="0" collapsed="false">
      <c r="A211" s="16" t="n">
        <v>194</v>
      </c>
      <c r="B211" s="38" t="n">
        <v>12.2563883423525</v>
      </c>
      <c r="C211" s="38" t="n">
        <v>0</v>
      </c>
      <c r="D211" s="39" t="n">
        <f aca="false">MAX(B211,C211)</f>
        <v>12.2563883423525</v>
      </c>
    </row>
    <row r="212" customFormat="false" ht="13" hidden="false" customHeight="false" outlineLevel="0" collapsed="false">
      <c r="A212" s="16" t="n">
        <v>195</v>
      </c>
      <c r="B212" s="38" t="n">
        <v>0</v>
      </c>
      <c r="C212" s="38" t="n">
        <v>16.632692823587</v>
      </c>
      <c r="D212" s="39" t="n">
        <f aca="false">MAX(B212,C212)</f>
        <v>16.632692823587</v>
      </c>
    </row>
    <row r="213" customFormat="false" ht="13" hidden="false" customHeight="false" outlineLevel="0" collapsed="false">
      <c r="A213" s="16" t="n">
        <v>196</v>
      </c>
      <c r="B213" s="38" t="n">
        <v>12.5688529853041</v>
      </c>
      <c r="C213" s="38" t="n">
        <v>0</v>
      </c>
      <c r="D213" s="39" t="n">
        <f aca="false">MAX(B213,C213)</f>
        <v>12.5688529853041</v>
      </c>
    </row>
    <row r="214" customFormat="false" ht="13" hidden="false" customHeight="false" outlineLevel="0" collapsed="false">
      <c r="A214" s="16" t="n">
        <v>197</v>
      </c>
      <c r="B214" s="38" t="n">
        <v>14.4775885399072</v>
      </c>
      <c r="C214" s="38" t="n">
        <v>0</v>
      </c>
      <c r="D214" s="39" t="n">
        <f aca="false">MAX(B214,C214)</f>
        <v>14.4775885399072</v>
      </c>
    </row>
    <row r="215" customFormat="false" ht="13" hidden="false" customHeight="false" outlineLevel="0" collapsed="false">
      <c r="A215" s="16" t="n">
        <v>198</v>
      </c>
      <c r="B215" s="38" t="n">
        <v>0</v>
      </c>
      <c r="C215" s="38" t="n">
        <v>17.5537372515905</v>
      </c>
      <c r="D215" s="39" t="n">
        <f aca="false">MAX(B215,C215)</f>
        <v>17.5537372515905</v>
      </c>
    </row>
    <row r="216" customFormat="false" ht="13" hidden="false" customHeight="false" outlineLevel="0" collapsed="false">
      <c r="A216" s="16" t="n">
        <v>199</v>
      </c>
      <c r="B216" s="38" t="n">
        <v>0</v>
      </c>
      <c r="C216" s="38" t="n">
        <v>17.6225650453695</v>
      </c>
      <c r="D216" s="39" t="n">
        <f aca="false">MAX(B216,C216)</f>
        <v>17.6225650453695</v>
      </c>
    </row>
    <row r="217" customFormat="false" ht="13" hidden="false" customHeight="false" outlineLevel="0" collapsed="false">
      <c r="A217" s="16" t="n">
        <v>200</v>
      </c>
      <c r="B217" s="38" t="n">
        <v>0</v>
      </c>
      <c r="C217" s="38" t="n">
        <v>18.0650987269017</v>
      </c>
      <c r="D217" s="39" t="n">
        <f aca="false">MAX(B217,C217)</f>
        <v>18.0650987269017</v>
      </c>
    </row>
    <row r="218" customFormat="false" ht="13" hidden="false" customHeight="false" outlineLevel="0" collapsed="false">
      <c r="A218" s="16" t="n">
        <v>201</v>
      </c>
      <c r="B218" s="38" t="n">
        <v>12.9555656243179</v>
      </c>
      <c r="C218" s="38" t="n">
        <v>0</v>
      </c>
      <c r="D218" s="39" t="n">
        <f aca="false">MAX(B218,C218)</f>
        <v>12.9555656243179</v>
      </c>
    </row>
    <row r="219" customFormat="false" ht="13" hidden="false" customHeight="false" outlineLevel="0" collapsed="false">
      <c r="A219" s="16" t="n">
        <v>202</v>
      </c>
      <c r="B219" s="38" t="n">
        <v>0</v>
      </c>
      <c r="C219" s="38" t="n">
        <v>18.792634577969</v>
      </c>
      <c r="D219" s="39" t="n">
        <f aca="false">MAX(B219,C219)</f>
        <v>18.792634577969</v>
      </c>
    </row>
    <row r="220" customFormat="false" ht="13" hidden="false" customHeight="false" outlineLevel="0" collapsed="false">
      <c r="A220" s="16" t="n">
        <v>203</v>
      </c>
      <c r="B220" s="38" t="n">
        <v>13.5262090557982</v>
      </c>
      <c r="C220" s="38" t="n">
        <v>0</v>
      </c>
      <c r="D220" s="39" t="n">
        <f aca="false">MAX(B220,C220)</f>
        <v>13.5262090557982</v>
      </c>
    </row>
    <row r="221" customFormat="false" ht="13" hidden="false" customHeight="false" outlineLevel="0" collapsed="false">
      <c r="A221" s="16" t="n">
        <v>204</v>
      </c>
      <c r="B221" s="38" t="n">
        <v>0</v>
      </c>
      <c r="C221" s="38" t="n">
        <v>18.0440668194075</v>
      </c>
      <c r="D221" s="39" t="n">
        <f aca="false">MAX(B221,C221)</f>
        <v>18.0440668194075</v>
      </c>
    </row>
    <row r="222" customFormat="false" ht="13" hidden="false" customHeight="false" outlineLevel="0" collapsed="false">
      <c r="A222" s="16" t="n">
        <v>205</v>
      </c>
      <c r="B222" s="38" t="n">
        <v>10.8606418400746</v>
      </c>
      <c r="C222" s="38" t="n">
        <v>0</v>
      </c>
      <c r="D222" s="39" t="n">
        <f aca="false">MAX(B222,C222)</f>
        <v>10.8606418400746</v>
      </c>
    </row>
    <row r="223" customFormat="false" ht="13" hidden="false" customHeight="false" outlineLevel="0" collapsed="false">
      <c r="A223" s="16" t="n">
        <v>206</v>
      </c>
      <c r="B223" s="38" t="n">
        <v>10.0025437302412</v>
      </c>
      <c r="C223" s="38" t="n">
        <v>0</v>
      </c>
      <c r="D223" s="39" t="n">
        <f aca="false">MAX(B223,C223)</f>
        <v>10.0025437302412</v>
      </c>
    </row>
    <row r="224" customFormat="false" ht="13" hidden="false" customHeight="false" outlineLevel="0" collapsed="false">
      <c r="A224" s="16" t="n">
        <v>207</v>
      </c>
      <c r="B224" s="38" t="n">
        <v>11.7362006836333</v>
      </c>
      <c r="C224" s="38" t="n">
        <v>0</v>
      </c>
      <c r="D224" s="39" t="n">
        <f aca="false">MAX(B224,C224)</f>
        <v>11.7362006836333</v>
      </c>
    </row>
    <row r="225" customFormat="false" ht="13" hidden="false" customHeight="false" outlineLevel="0" collapsed="false">
      <c r="A225" s="16" t="n">
        <v>208</v>
      </c>
      <c r="B225" s="38" t="n">
        <v>13.0042816153735</v>
      </c>
      <c r="C225" s="38" t="n">
        <v>0</v>
      </c>
      <c r="D225" s="39" t="n">
        <f aca="false">MAX(B225,C225)</f>
        <v>13.0042816153735</v>
      </c>
    </row>
    <row r="226" customFormat="false" ht="13" hidden="false" customHeight="false" outlineLevel="0" collapsed="false">
      <c r="A226" s="16" t="n">
        <v>209</v>
      </c>
      <c r="B226" s="38" t="n">
        <v>0</v>
      </c>
      <c r="C226" s="38" t="n">
        <v>13.3334732454493</v>
      </c>
      <c r="D226" s="39" t="n">
        <f aca="false">MAX(B226,C226)</f>
        <v>13.3334732454493</v>
      </c>
    </row>
    <row r="227" customFormat="false" ht="13" hidden="false" customHeight="false" outlineLevel="0" collapsed="false">
      <c r="A227" s="16" t="n">
        <v>210</v>
      </c>
      <c r="B227" s="38" t="n">
        <v>13.7266263126603</v>
      </c>
      <c r="C227" s="38" t="n">
        <v>0</v>
      </c>
      <c r="D227" s="39" t="n">
        <f aca="false">MAX(B227,C227)</f>
        <v>13.7266263126603</v>
      </c>
    </row>
    <row r="228" customFormat="false" ht="13" hidden="false" customHeight="false" outlineLevel="0" collapsed="false">
      <c r="A228" s="16" t="n">
        <v>211</v>
      </c>
      <c r="B228" s="38" t="n">
        <v>0</v>
      </c>
      <c r="C228" s="38" t="n">
        <v>13.6834712726676</v>
      </c>
      <c r="D228" s="39" t="n">
        <f aca="false">MAX(B228,C228)</f>
        <v>13.6834712726676</v>
      </c>
    </row>
    <row r="229" customFormat="false" ht="13" hidden="false" customHeight="false" outlineLevel="0" collapsed="false">
      <c r="A229" s="16" t="n">
        <v>212</v>
      </c>
      <c r="B229" s="38" t="n">
        <v>12.7748529239535</v>
      </c>
      <c r="C229" s="38" t="n">
        <v>0</v>
      </c>
      <c r="D229" s="39" t="n">
        <f aca="false">MAX(B229,C229)</f>
        <v>12.7748529239535</v>
      </c>
    </row>
    <row r="230" customFormat="false" ht="13" hidden="false" customHeight="false" outlineLevel="0" collapsed="false">
      <c r="A230" s="16" t="n">
        <v>213</v>
      </c>
      <c r="B230" s="38" t="n">
        <v>0</v>
      </c>
      <c r="C230" s="38" t="n">
        <v>12.6625881811834</v>
      </c>
      <c r="D230" s="39" t="n">
        <f aca="false">MAX(B230,C230)</f>
        <v>12.6625881811834</v>
      </c>
    </row>
    <row r="231" customFormat="false" ht="13" hidden="false" customHeight="false" outlineLevel="0" collapsed="false">
      <c r="A231" s="16" t="n">
        <v>214</v>
      </c>
      <c r="B231" s="38" t="n">
        <v>10.0380420379703</v>
      </c>
      <c r="C231" s="38" t="n">
        <v>0</v>
      </c>
      <c r="D231" s="39" t="n">
        <f aca="false">MAX(B231,C231)</f>
        <v>10.0380420379703</v>
      </c>
    </row>
    <row r="232" customFormat="false" ht="13" hidden="false" customHeight="false" outlineLevel="0" collapsed="false">
      <c r="A232" s="16" t="n">
        <v>215</v>
      </c>
      <c r="B232" s="38" t="n">
        <v>11.7171332543466</v>
      </c>
      <c r="C232" s="38" t="n">
        <v>0</v>
      </c>
      <c r="D232" s="39" t="n">
        <f aca="false">MAX(B232,C232)</f>
        <v>11.7171332543466</v>
      </c>
    </row>
    <row r="233" customFormat="false" ht="13" hidden="false" customHeight="false" outlineLevel="0" collapsed="false">
      <c r="A233" s="16" t="n">
        <v>216</v>
      </c>
      <c r="B233" s="38" t="n">
        <v>0</v>
      </c>
      <c r="C233" s="38" t="n">
        <v>9.10298077144304</v>
      </c>
      <c r="D233" s="39" t="n">
        <f aca="false">MAX(B233,C233)</f>
        <v>9.10298077144304</v>
      </c>
    </row>
    <row r="234" customFormat="false" ht="13" hidden="false" customHeight="false" outlineLevel="0" collapsed="false">
      <c r="A234" s="16" t="n">
        <v>217</v>
      </c>
      <c r="B234" s="38" t="n">
        <v>12.6022783081504</v>
      </c>
      <c r="C234" s="38" t="n">
        <v>0</v>
      </c>
      <c r="D234" s="39" t="n">
        <f aca="false">MAX(B234,C234)</f>
        <v>12.6022783081504</v>
      </c>
    </row>
    <row r="235" customFormat="false" ht="13" hidden="false" customHeight="false" outlineLevel="0" collapsed="false">
      <c r="A235" s="16" t="n">
        <v>218</v>
      </c>
      <c r="B235" s="38" t="n">
        <v>14.2961665711476</v>
      </c>
      <c r="C235" s="38" t="n">
        <v>0</v>
      </c>
      <c r="D235" s="39" t="n">
        <f aca="false">MAX(B235,C235)</f>
        <v>14.2961665711476</v>
      </c>
    </row>
    <row r="236" customFormat="false" ht="13" hidden="false" customHeight="false" outlineLevel="0" collapsed="false">
      <c r="A236" s="16" t="n">
        <v>219</v>
      </c>
      <c r="B236" s="38" t="n">
        <v>15.9061962536316</v>
      </c>
      <c r="C236" s="38" t="n">
        <v>0</v>
      </c>
      <c r="D236" s="39" t="n">
        <f aca="false">MAX(B236,C236)</f>
        <v>15.9061962536316</v>
      </c>
    </row>
    <row r="237" customFormat="false" ht="13" hidden="false" customHeight="false" outlineLevel="0" collapsed="false">
      <c r="A237" s="16" t="n">
        <v>220</v>
      </c>
      <c r="B237" s="38" t="n">
        <v>17.8784377740819</v>
      </c>
      <c r="C237" s="38" t="n">
        <v>0</v>
      </c>
      <c r="D237" s="39" t="n">
        <f aca="false">MAX(B237,C237)</f>
        <v>17.8784377740819</v>
      </c>
    </row>
    <row r="238" customFormat="false" ht="13" hidden="false" customHeight="false" outlineLevel="0" collapsed="false">
      <c r="A238" s="16" t="n">
        <v>221</v>
      </c>
      <c r="B238" s="38" t="n">
        <v>0</v>
      </c>
      <c r="C238" s="38" t="n">
        <v>9.64014228962435</v>
      </c>
      <c r="D238" s="39" t="n">
        <f aca="false">MAX(B238,C238)</f>
        <v>9.64014228962435</v>
      </c>
    </row>
    <row r="239" customFormat="false" ht="13" hidden="false" customHeight="false" outlineLevel="0" collapsed="false">
      <c r="A239" s="16" t="n">
        <v>222</v>
      </c>
      <c r="B239" s="38" t="n">
        <v>17.0655083693602</v>
      </c>
      <c r="C239" s="38" t="n">
        <v>0</v>
      </c>
      <c r="D239" s="39" t="n">
        <f aca="false">MAX(B239,C239)</f>
        <v>17.0655083693602</v>
      </c>
    </row>
    <row r="240" customFormat="false" ht="13" hidden="false" customHeight="false" outlineLevel="0" collapsed="false">
      <c r="A240" s="16" t="n">
        <v>223</v>
      </c>
      <c r="B240" s="38" t="n">
        <v>15.3514203664125</v>
      </c>
      <c r="C240" s="38" t="n">
        <v>0</v>
      </c>
      <c r="D240" s="39" t="n">
        <f aca="false">MAX(B240,C240)</f>
        <v>15.3514203664125</v>
      </c>
    </row>
    <row r="241" customFormat="false" ht="13" hidden="false" customHeight="false" outlineLevel="0" collapsed="false">
      <c r="A241" s="16" t="n">
        <v>224</v>
      </c>
      <c r="B241" s="38" t="n">
        <v>13.9345279274001</v>
      </c>
      <c r="C241" s="38" t="n">
        <v>0</v>
      </c>
      <c r="D241" s="39" t="n">
        <f aca="false">MAX(B241,C241)</f>
        <v>13.9345279274001</v>
      </c>
    </row>
    <row r="242" customFormat="false" ht="13" hidden="false" customHeight="false" outlineLevel="0" collapsed="false">
      <c r="A242" s="16" t="n">
        <v>225</v>
      </c>
      <c r="B242" s="38" t="n">
        <v>15.7617981958645</v>
      </c>
      <c r="C242" s="38" t="n">
        <v>0</v>
      </c>
      <c r="D242" s="39" t="n">
        <f aca="false">MAX(B242,C242)</f>
        <v>15.7617981958645</v>
      </c>
    </row>
    <row r="243" customFormat="false" ht="13" hidden="false" customHeight="false" outlineLevel="0" collapsed="false">
      <c r="A243" s="16" t="n">
        <v>226</v>
      </c>
      <c r="B243" s="38" t="n">
        <v>0</v>
      </c>
      <c r="C243" s="38" t="n">
        <v>1.90439887360571</v>
      </c>
      <c r="D243" s="39" t="n">
        <f aca="false">MAX(B243,C243)</f>
        <v>1.90439887360571</v>
      </c>
    </row>
    <row r="244" customFormat="false" ht="13" hidden="false" customHeight="false" outlineLevel="0" collapsed="false">
      <c r="A244" s="16" t="n">
        <v>227</v>
      </c>
      <c r="B244" s="38" t="n">
        <v>0</v>
      </c>
      <c r="C244" s="38" t="n">
        <v>3.51100406677952</v>
      </c>
      <c r="D244" s="39" t="n">
        <f aca="false">MAX(B244,C244)</f>
        <v>3.51100406677952</v>
      </c>
    </row>
    <row r="245" customFormat="false" ht="13" hidden="false" customHeight="false" outlineLevel="0" collapsed="false">
      <c r="A245" s="16" t="n">
        <v>228</v>
      </c>
      <c r="B245" s="38" t="n">
        <v>0</v>
      </c>
      <c r="C245" s="38" t="n">
        <v>5.53166311635951</v>
      </c>
      <c r="D245" s="39" t="n">
        <f aca="false">MAX(B245,C245)</f>
        <v>5.53166311635951</v>
      </c>
    </row>
    <row r="246" customFormat="false" ht="13" hidden="false" customHeight="false" outlineLevel="0" collapsed="false">
      <c r="A246" s="16" t="n">
        <v>229</v>
      </c>
      <c r="B246" s="38" t="n">
        <v>0</v>
      </c>
      <c r="C246" s="38" t="n">
        <v>7.3570385307286</v>
      </c>
      <c r="D246" s="39" t="n">
        <f aca="false">MAX(B246,C246)</f>
        <v>7.3570385307286</v>
      </c>
    </row>
    <row r="247" customFormat="false" ht="13" hidden="false" customHeight="false" outlineLevel="0" collapsed="false">
      <c r="A247" s="16" t="n">
        <v>230</v>
      </c>
      <c r="B247" s="38" t="n">
        <v>14.3934737500705</v>
      </c>
      <c r="C247" s="38" t="n">
        <v>0</v>
      </c>
      <c r="D247" s="39" t="n">
        <f aca="false">MAX(B247,C247)</f>
        <v>14.3934737500705</v>
      </c>
    </row>
    <row r="248" customFormat="false" ht="13" hidden="false" customHeight="false" outlineLevel="0" collapsed="false">
      <c r="A248" s="16" t="n">
        <v>231</v>
      </c>
      <c r="B248" s="38" t="n">
        <v>15.8602041831138</v>
      </c>
      <c r="C248" s="38" t="n">
        <v>0</v>
      </c>
      <c r="D248" s="39" t="n">
        <f aca="false">MAX(B248,C248)</f>
        <v>15.8602041831138</v>
      </c>
    </row>
    <row r="249" customFormat="false" ht="13" hidden="false" customHeight="false" outlineLevel="0" collapsed="false">
      <c r="A249" s="16" t="n">
        <v>232</v>
      </c>
      <c r="B249" s="38" t="n">
        <v>17.4645650305157</v>
      </c>
      <c r="C249" s="38" t="n">
        <v>0</v>
      </c>
      <c r="D249" s="39" t="n">
        <f aca="false">MAX(B249,C249)</f>
        <v>17.4645650305157</v>
      </c>
    </row>
    <row r="250" customFormat="false" ht="13" hidden="false" customHeight="false" outlineLevel="0" collapsed="false">
      <c r="A250" s="16" t="n">
        <v>233</v>
      </c>
      <c r="B250" s="38" t="n">
        <v>18.0931048541948</v>
      </c>
      <c r="C250" s="38" t="n">
        <v>0</v>
      </c>
      <c r="D250" s="39" t="n">
        <f aca="false">MAX(B250,C250)</f>
        <v>18.0931048541948</v>
      </c>
    </row>
    <row r="251" customFormat="false" ht="13" hidden="false" customHeight="false" outlineLevel="0" collapsed="false">
      <c r="A251" s="16" t="n">
        <v>234</v>
      </c>
      <c r="B251" s="38" t="n">
        <v>0</v>
      </c>
      <c r="C251" s="38" t="n">
        <v>3.08822452122999</v>
      </c>
      <c r="D251" s="39" t="n">
        <f aca="false">MAX(B251,C251)</f>
        <v>3.08822452122999</v>
      </c>
    </row>
    <row r="252" customFormat="false" ht="13" hidden="false" customHeight="false" outlineLevel="0" collapsed="false">
      <c r="A252" s="16" t="n">
        <v>235</v>
      </c>
      <c r="B252" s="38" t="n">
        <v>0</v>
      </c>
      <c r="C252" s="38" t="n">
        <v>3.44980670727114</v>
      </c>
      <c r="D252" s="39" t="n">
        <f aca="false">MAX(B252,C252)</f>
        <v>3.44980670727114</v>
      </c>
    </row>
    <row r="253" customFormat="false" ht="13" hidden="false" customHeight="false" outlineLevel="0" collapsed="false">
      <c r="A253" s="16" t="n">
        <v>236</v>
      </c>
      <c r="B253" s="38" t="n">
        <v>0</v>
      </c>
      <c r="C253" s="38" t="n">
        <v>5.03797741225523</v>
      </c>
      <c r="D253" s="39" t="n">
        <f aca="false">MAX(B253,C253)</f>
        <v>5.03797741225523</v>
      </c>
    </row>
    <row r="254" customFormat="false" ht="13" hidden="false" customHeight="false" outlineLevel="0" collapsed="false">
      <c r="A254" s="16" t="n">
        <v>237</v>
      </c>
      <c r="B254" s="38" t="n">
        <v>15.9458867563421</v>
      </c>
      <c r="C254" s="38" t="n">
        <v>0</v>
      </c>
      <c r="D254" s="39" t="n">
        <f aca="false">MAX(B254,C254)</f>
        <v>15.9458867563421</v>
      </c>
    </row>
    <row r="255" customFormat="false" ht="13" hidden="false" customHeight="false" outlineLevel="0" collapsed="false">
      <c r="A255" s="16" t="n">
        <v>238</v>
      </c>
      <c r="B255" s="38" t="n">
        <v>16.4988248995618</v>
      </c>
      <c r="C255" s="38" t="n">
        <v>0</v>
      </c>
      <c r="D255" s="39" t="n">
        <f aca="false">MAX(B255,C255)</f>
        <v>16.4988248995618</v>
      </c>
    </row>
    <row r="256" customFormat="false" ht="13" hidden="false" customHeight="false" outlineLevel="0" collapsed="false">
      <c r="A256" s="16" t="n">
        <v>239</v>
      </c>
      <c r="B256" s="38" t="n">
        <v>0</v>
      </c>
      <c r="C256" s="38" t="n">
        <v>5.28557902121409</v>
      </c>
      <c r="D256" s="39" t="n">
        <f aca="false">MAX(B256,C256)</f>
        <v>5.28557902121409</v>
      </c>
    </row>
    <row r="257" customFormat="false" ht="13" hidden="false" customHeight="false" outlineLevel="0" collapsed="false">
      <c r="A257" s="16" t="n">
        <v>240</v>
      </c>
      <c r="B257" s="38" t="n">
        <v>17.6387830845432</v>
      </c>
      <c r="C257" s="38" t="n">
        <v>0</v>
      </c>
      <c r="D257" s="39" t="n">
        <f aca="false">MAX(B257,C257)</f>
        <v>17.6387830845432</v>
      </c>
    </row>
    <row r="258" customFormat="false" ht="13" hidden="false" customHeight="false" outlineLevel="0" collapsed="false">
      <c r="A258" s="16" t="n">
        <v>241</v>
      </c>
      <c r="B258" s="38" t="n">
        <v>18.7229510095632</v>
      </c>
      <c r="C258" s="38" t="n">
        <v>0</v>
      </c>
      <c r="D258" s="39" t="n">
        <f aca="false">MAX(B258,C258)</f>
        <v>18.7229510095632</v>
      </c>
    </row>
    <row r="259" customFormat="false" ht="13" hidden="false" customHeight="false" outlineLevel="0" collapsed="false">
      <c r="A259" s="16" t="n">
        <v>242</v>
      </c>
      <c r="B259" s="38" t="n">
        <v>19.1786814624552</v>
      </c>
      <c r="C259" s="38" t="n">
        <v>0</v>
      </c>
      <c r="D259" s="39" t="n">
        <f aca="false">MAX(B259,C259)</f>
        <v>19.1786814624552</v>
      </c>
    </row>
    <row r="260" customFormat="false" ht="13" hidden="false" customHeight="false" outlineLevel="0" collapsed="false">
      <c r="A260" s="16" t="n">
        <v>243</v>
      </c>
      <c r="B260" s="38" t="n">
        <v>0</v>
      </c>
      <c r="C260" s="38" t="n">
        <v>3.31865451010816</v>
      </c>
      <c r="D260" s="39" t="n">
        <f aca="false">MAX(B260,C260)</f>
        <v>3.31865451010816</v>
      </c>
    </row>
    <row r="261" customFormat="false" ht="13" hidden="false" customHeight="false" outlineLevel="0" collapsed="false">
      <c r="A261" s="16" t="n">
        <v>244</v>
      </c>
      <c r="B261" s="38" t="n">
        <v>18.5679261110637</v>
      </c>
      <c r="C261" s="38" t="n">
        <v>0</v>
      </c>
      <c r="D261" s="39" t="n">
        <f aca="false">MAX(B261,C261)</f>
        <v>18.5679261110637</v>
      </c>
    </row>
    <row r="262" customFormat="false" ht="13" hidden="false" customHeight="false" outlineLevel="0" collapsed="false">
      <c r="A262" s="16" t="n">
        <v>245</v>
      </c>
      <c r="B262" s="38" t="n">
        <v>19.7055705855501</v>
      </c>
      <c r="C262" s="38" t="n">
        <v>0</v>
      </c>
      <c r="D262" s="39" t="n">
        <f aca="false">MAX(B262,C262)</f>
        <v>19.7055705855501</v>
      </c>
    </row>
    <row r="263" customFormat="false" ht="13" hidden="false" customHeight="false" outlineLevel="0" collapsed="false">
      <c r="A263" s="16" t="n">
        <v>246</v>
      </c>
      <c r="B263" s="38" t="n">
        <v>0</v>
      </c>
      <c r="C263" s="38" t="n">
        <v>2.07404972533686</v>
      </c>
      <c r="D263" s="39" t="n">
        <f aca="false">MAX(B263,C263)</f>
        <v>2.07404972533686</v>
      </c>
    </row>
    <row r="264" customFormat="false" ht="13" hidden="false" customHeight="false" outlineLevel="0" collapsed="false">
      <c r="A264" s="16" t="n">
        <v>247</v>
      </c>
      <c r="B264" s="38" t="n">
        <v>18.7545029941381</v>
      </c>
      <c r="C264" s="38" t="n">
        <v>0</v>
      </c>
      <c r="D264" s="39" t="n">
        <f aca="false">MAX(B264,C264)</f>
        <v>18.7545029941381</v>
      </c>
    </row>
    <row r="265" customFormat="false" ht="13" hidden="false" customHeight="false" outlineLevel="0" collapsed="false">
      <c r="A265" s="16" t="n">
        <v>248</v>
      </c>
      <c r="B265" s="38" t="n">
        <v>0</v>
      </c>
      <c r="C265" s="38" t="n">
        <v>1.98567415756042</v>
      </c>
      <c r="D265" s="39" t="n">
        <f aca="false">MAX(B265,C265)</f>
        <v>1.98567415756042</v>
      </c>
    </row>
    <row r="266" customFormat="false" ht="13" hidden="false" customHeight="false" outlineLevel="0" collapsed="false">
      <c r="A266" s="16" t="n">
        <v>249</v>
      </c>
      <c r="B266" s="38" t="n">
        <v>18.0627874703572</v>
      </c>
      <c r="C266" s="38" t="n">
        <v>0</v>
      </c>
      <c r="D266" s="39" t="n">
        <f aca="false">MAX(B266,C266)</f>
        <v>18.0627874703572</v>
      </c>
    </row>
    <row r="267" customFormat="false" ht="13" hidden="false" customHeight="false" outlineLevel="0" collapsed="false">
      <c r="A267" s="16" t="n">
        <v>250</v>
      </c>
      <c r="B267" s="38" t="n">
        <v>0</v>
      </c>
      <c r="C267" s="38" t="n">
        <v>1.94514775531843</v>
      </c>
      <c r="D267" s="39" t="n">
        <f aca="false">MAX(B267,C267)</f>
        <v>1.94514775531843</v>
      </c>
    </row>
    <row r="268" customFormat="false" ht="13" hidden="false" customHeight="false" outlineLevel="0" collapsed="false">
      <c r="A268" s="16" t="n">
        <v>251</v>
      </c>
      <c r="B268" s="38" t="n">
        <v>0</v>
      </c>
      <c r="C268" s="38" t="n">
        <v>3.05350121195056</v>
      </c>
      <c r="D268" s="39" t="n">
        <f aca="false">MAX(B268,C268)</f>
        <v>3.05350121195056</v>
      </c>
    </row>
    <row r="269" customFormat="false" ht="13" hidden="false" customHeight="false" outlineLevel="0" collapsed="false">
      <c r="A269" s="16" t="n">
        <v>252</v>
      </c>
      <c r="B269" s="38" t="n">
        <v>0</v>
      </c>
      <c r="C269" s="38" t="n">
        <v>4.15805282613985</v>
      </c>
      <c r="D269" s="39" t="n">
        <f aca="false">MAX(B269,C269)</f>
        <v>4.15805282613985</v>
      </c>
    </row>
    <row r="270" customFormat="false" ht="13" hidden="false" customHeight="false" outlineLevel="0" collapsed="false">
      <c r="A270" s="16" t="n">
        <v>253</v>
      </c>
      <c r="B270" s="38" t="n">
        <v>16.2550318566841</v>
      </c>
      <c r="C270" s="38" t="n">
        <v>0</v>
      </c>
      <c r="D270" s="39" t="n">
        <f aca="false">MAX(B270,C270)</f>
        <v>16.2550318566841</v>
      </c>
    </row>
    <row r="271" customFormat="false" ht="13" hidden="false" customHeight="false" outlineLevel="0" collapsed="false">
      <c r="A271" s="16" t="n">
        <v>254</v>
      </c>
      <c r="B271" s="38" t="n">
        <v>14.3201238056294</v>
      </c>
      <c r="C271" s="38" t="n">
        <v>0</v>
      </c>
      <c r="D271" s="39" t="n">
        <f aca="false">MAX(B271,C271)</f>
        <v>14.3201238056294</v>
      </c>
    </row>
    <row r="272" customFormat="false" ht="13" hidden="false" customHeight="false" outlineLevel="0" collapsed="false">
      <c r="A272" s="16" t="n">
        <v>255</v>
      </c>
      <c r="B272" s="38" t="n">
        <v>0</v>
      </c>
      <c r="C272" s="38" t="n">
        <v>2.15928190942395</v>
      </c>
      <c r="D272" s="39" t="n">
        <f aca="false">MAX(B272,C272)</f>
        <v>2.15928190942395</v>
      </c>
    </row>
    <row r="273" customFormat="false" ht="13" hidden="false" customHeight="false" outlineLevel="0" collapsed="false">
      <c r="A273" s="16" t="n">
        <v>256</v>
      </c>
      <c r="B273" s="38" t="n">
        <v>0</v>
      </c>
      <c r="C273" s="38" t="n">
        <v>2.75587222404624</v>
      </c>
      <c r="D273" s="39" t="n">
        <f aca="false">MAX(B273,C273)</f>
        <v>2.75587222404624</v>
      </c>
    </row>
    <row r="274" customFormat="false" ht="13" hidden="false" customHeight="false" outlineLevel="0" collapsed="false">
      <c r="A274" s="16" t="n">
        <v>257</v>
      </c>
      <c r="B274" s="38" t="n">
        <v>0</v>
      </c>
      <c r="C274" s="38" t="n">
        <v>4.28836980663482</v>
      </c>
      <c r="D274" s="39" t="n">
        <f aca="false">MAX(B274,C274)</f>
        <v>4.28836980663482</v>
      </c>
    </row>
    <row r="275" customFormat="false" ht="13" hidden="false" customHeight="false" outlineLevel="0" collapsed="false">
      <c r="A275" s="16" t="n">
        <v>258</v>
      </c>
      <c r="B275" s="38" t="n">
        <v>0</v>
      </c>
      <c r="C275" s="38" t="n">
        <v>5.33011527591839</v>
      </c>
      <c r="D275" s="39" t="n">
        <f aca="false">MAX(B275,C275)</f>
        <v>5.33011527591839</v>
      </c>
    </row>
    <row r="276" customFormat="false" ht="13" hidden="false" customHeight="false" outlineLevel="0" collapsed="false">
      <c r="A276" s="16" t="n">
        <v>259</v>
      </c>
      <c r="B276" s="38" t="n">
        <v>11.6923545786255</v>
      </c>
      <c r="C276" s="38" t="n">
        <v>0</v>
      </c>
      <c r="D276" s="39" t="n">
        <f aca="false">MAX(B276,C276)</f>
        <v>11.6923545786255</v>
      </c>
    </row>
    <row r="277" customFormat="false" ht="13" hidden="false" customHeight="false" outlineLevel="0" collapsed="false">
      <c r="A277" s="16" t="n">
        <v>260</v>
      </c>
      <c r="B277" s="38" t="n">
        <v>0</v>
      </c>
      <c r="C277" s="38" t="n">
        <v>5.98803987758134</v>
      </c>
      <c r="D277" s="39" t="n">
        <f aca="false">MAX(B277,C277)</f>
        <v>5.98803987758134</v>
      </c>
    </row>
    <row r="278" customFormat="false" ht="13" hidden="false" customHeight="false" outlineLevel="0" collapsed="false">
      <c r="A278" s="16" t="n">
        <v>261</v>
      </c>
      <c r="B278" s="38" t="n">
        <v>12.2906107143197</v>
      </c>
      <c r="C278" s="38" t="n">
        <v>0</v>
      </c>
      <c r="D278" s="39" t="n">
        <f aca="false">MAX(B278,C278)</f>
        <v>12.2906107143197</v>
      </c>
    </row>
    <row r="279" customFormat="false" ht="13" hidden="false" customHeight="false" outlineLevel="0" collapsed="false">
      <c r="A279" s="16" t="n">
        <v>262</v>
      </c>
      <c r="B279" s="38" t="n">
        <v>0</v>
      </c>
      <c r="C279" s="38" t="n">
        <v>7.4239158598819</v>
      </c>
      <c r="D279" s="39" t="n">
        <f aca="false">MAX(B279,C279)</f>
        <v>7.4239158598819</v>
      </c>
    </row>
    <row r="280" customFormat="false" ht="13" hidden="false" customHeight="false" outlineLevel="0" collapsed="false">
      <c r="A280" s="16" t="n">
        <v>263</v>
      </c>
      <c r="B280" s="38" t="n">
        <v>0</v>
      </c>
      <c r="C280" s="38" t="n">
        <v>8.9170462078016</v>
      </c>
      <c r="D280" s="39" t="n">
        <f aca="false">MAX(B280,C280)</f>
        <v>8.9170462078016</v>
      </c>
    </row>
    <row r="281" customFormat="false" ht="13" hidden="false" customHeight="false" outlineLevel="0" collapsed="false">
      <c r="A281" s="16" t="n">
        <v>264</v>
      </c>
      <c r="B281" s="38" t="n">
        <v>12.7365840989416</v>
      </c>
      <c r="C281" s="38" t="n">
        <v>0</v>
      </c>
      <c r="D281" s="39" t="n">
        <f aca="false">MAX(B281,C281)</f>
        <v>12.7365840989416</v>
      </c>
    </row>
    <row r="282" customFormat="false" ht="13" hidden="false" customHeight="false" outlineLevel="0" collapsed="false">
      <c r="A282" s="16" t="n">
        <v>265</v>
      </c>
      <c r="B282" s="38" t="n">
        <v>13.8564629630875</v>
      </c>
      <c r="C282" s="38" t="n">
        <v>0</v>
      </c>
      <c r="D282" s="39" t="n">
        <f aca="false">MAX(B282,C282)</f>
        <v>13.8564629630875</v>
      </c>
    </row>
    <row r="283" customFormat="false" ht="13" hidden="false" customHeight="false" outlineLevel="0" collapsed="false">
      <c r="A283" s="16" t="n">
        <v>266</v>
      </c>
      <c r="B283" s="38" t="n">
        <v>14.4469042965786</v>
      </c>
      <c r="C283" s="38" t="n">
        <v>0</v>
      </c>
      <c r="D283" s="39" t="n">
        <f aca="false">MAX(B283,C283)</f>
        <v>14.4469042965786</v>
      </c>
    </row>
    <row r="284" customFormat="false" ht="13" hidden="false" customHeight="false" outlineLevel="0" collapsed="false">
      <c r="A284" s="16" t="n">
        <v>267</v>
      </c>
      <c r="B284" s="38" t="n">
        <v>16.1371913952144</v>
      </c>
      <c r="C284" s="38" t="n">
        <v>0</v>
      </c>
      <c r="D284" s="39" t="n">
        <f aca="false">MAX(B284,C284)</f>
        <v>16.1371913952144</v>
      </c>
    </row>
    <row r="285" customFormat="false" ht="13" hidden="false" customHeight="false" outlineLevel="0" collapsed="false">
      <c r="A285" s="16" t="n">
        <v>268</v>
      </c>
      <c r="B285" s="38" t="n">
        <v>0</v>
      </c>
      <c r="C285" s="38" t="n">
        <v>6.5552491992965</v>
      </c>
      <c r="D285" s="39" t="n">
        <f aca="false">MAX(B285,C285)</f>
        <v>6.5552491992965</v>
      </c>
    </row>
    <row r="286" customFormat="false" ht="13" hidden="false" customHeight="false" outlineLevel="0" collapsed="false">
      <c r="A286" s="16" t="n">
        <v>269</v>
      </c>
      <c r="B286" s="38" t="n">
        <v>0</v>
      </c>
      <c r="C286" s="38" t="n">
        <v>8.45636232490188</v>
      </c>
      <c r="D286" s="39" t="n">
        <f aca="false">MAX(B286,C286)</f>
        <v>8.45636232490188</v>
      </c>
    </row>
    <row r="287" customFormat="false" ht="13" hidden="false" customHeight="false" outlineLevel="0" collapsed="false">
      <c r="A287" s="16" t="n">
        <v>270</v>
      </c>
      <c r="B287" s="38" t="n">
        <v>16.6489983061647</v>
      </c>
      <c r="C287" s="38" t="n">
        <v>0</v>
      </c>
      <c r="D287" s="39" t="n">
        <f aca="false">MAX(B287,C287)</f>
        <v>16.6489983061647</v>
      </c>
    </row>
    <row r="288" customFormat="false" ht="13" hidden="false" customHeight="false" outlineLevel="0" collapsed="false">
      <c r="A288" s="16" t="n">
        <v>271</v>
      </c>
      <c r="B288" s="38" t="n">
        <v>0</v>
      </c>
      <c r="C288" s="38" t="n">
        <v>9.62122334221084</v>
      </c>
      <c r="D288" s="39" t="n">
        <f aca="false">MAX(B288,C288)</f>
        <v>9.62122334221084</v>
      </c>
    </row>
    <row r="289" customFormat="false" ht="13" hidden="false" customHeight="false" outlineLevel="0" collapsed="false">
      <c r="A289" s="16" t="n">
        <v>272</v>
      </c>
      <c r="B289" s="38" t="n">
        <v>0</v>
      </c>
      <c r="C289" s="38" t="n">
        <v>11.4471626957229</v>
      </c>
      <c r="D289" s="39" t="n">
        <f aca="false">MAX(B289,C289)</f>
        <v>11.4471626957229</v>
      </c>
    </row>
    <row r="290" customFormat="false" ht="13" hidden="false" customHeight="false" outlineLevel="0" collapsed="false">
      <c r="A290" s="16" t="n">
        <v>273</v>
      </c>
      <c r="B290" s="38" t="n">
        <v>18.1106301276939</v>
      </c>
      <c r="C290" s="38" t="n">
        <v>0</v>
      </c>
      <c r="D290" s="39" t="n">
        <f aca="false">MAX(B290,C290)</f>
        <v>18.1106301276939</v>
      </c>
    </row>
    <row r="291" customFormat="false" ht="13" hidden="false" customHeight="false" outlineLevel="0" collapsed="false">
      <c r="A291" s="16" t="n">
        <v>274</v>
      </c>
      <c r="B291" s="38" t="n">
        <v>19.9203133128723</v>
      </c>
      <c r="C291" s="38" t="n">
        <v>0</v>
      </c>
      <c r="D291" s="39" t="n">
        <f aca="false">MAX(B291,C291)</f>
        <v>19.9203133128723</v>
      </c>
    </row>
    <row r="292" customFormat="false" ht="13" hidden="false" customHeight="false" outlineLevel="0" collapsed="false">
      <c r="A292" s="16" t="n">
        <v>275</v>
      </c>
      <c r="B292" s="38" t="n">
        <v>21.3878814368161</v>
      </c>
      <c r="C292" s="38" t="n">
        <v>0</v>
      </c>
      <c r="D292" s="39" t="n">
        <f aca="false">MAX(B292,C292)</f>
        <v>21.3878814368161</v>
      </c>
    </row>
    <row r="293" customFormat="false" ht="13" hidden="false" customHeight="false" outlineLevel="0" collapsed="false">
      <c r="A293" s="16" t="n">
        <v>276</v>
      </c>
      <c r="B293" s="38" t="n">
        <v>0</v>
      </c>
      <c r="C293" s="38" t="n">
        <v>11.0849238081096</v>
      </c>
      <c r="D293" s="39" t="n">
        <f aca="false">MAX(B293,C293)</f>
        <v>11.0849238081096</v>
      </c>
    </row>
    <row r="294" customFormat="false" ht="13" hidden="false" customHeight="false" outlineLevel="0" collapsed="false">
      <c r="A294" s="16" t="n">
        <v>277</v>
      </c>
      <c r="B294" s="38" t="n">
        <v>21.6823373053102</v>
      </c>
      <c r="C294" s="38" t="n">
        <v>0</v>
      </c>
      <c r="D294" s="39" t="n">
        <f aca="false">MAX(B294,C294)</f>
        <v>21.6823373053102</v>
      </c>
    </row>
    <row r="295" customFormat="false" ht="13" hidden="false" customHeight="false" outlineLevel="0" collapsed="false">
      <c r="A295" s="16" t="n">
        <v>278</v>
      </c>
      <c r="B295" s="38" t="n">
        <v>23.6009674239449</v>
      </c>
      <c r="C295" s="38" t="n">
        <v>0</v>
      </c>
      <c r="D295" s="39" t="n">
        <f aca="false">MAX(B295,C295)</f>
        <v>23.6009674239449</v>
      </c>
    </row>
    <row r="296" customFormat="false" ht="13" hidden="false" customHeight="false" outlineLevel="0" collapsed="false">
      <c r="A296" s="16" t="n">
        <v>279</v>
      </c>
      <c r="B296" s="38" t="n">
        <v>0</v>
      </c>
      <c r="C296" s="38" t="n">
        <v>12.3977036517144</v>
      </c>
      <c r="D296" s="39" t="n">
        <f aca="false">MAX(B296,C296)</f>
        <v>12.3977036517144</v>
      </c>
    </row>
    <row r="297" customFormat="false" ht="13" hidden="false" customHeight="false" outlineLevel="0" collapsed="false">
      <c r="A297" s="16" t="n">
        <v>280</v>
      </c>
      <c r="B297" s="38" t="n">
        <v>20.706401757805</v>
      </c>
      <c r="C297" s="38" t="n">
        <v>0</v>
      </c>
      <c r="D297" s="39" t="n">
        <f aca="false">MAX(B297,C297)</f>
        <v>20.706401757805</v>
      </c>
    </row>
    <row r="298" customFormat="false" ht="13" hidden="false" customHeight="false" outlineLevel="0" collapsed="false">
      <c r="A298" s="16" t="n">
        <v>281</v>
      </c>
      <c r="B298" s="38" t="n">
        <v>0</v>
      </c>
      <c r="C298" s="38" t="n">
        <v>8.29756295075487</v>
      </c>
      <c r="D298" s="39" t="n">
        <f aca="false">MAX(B298,C298)</f>
        <v>8.29756295075487</v>
      </c>
    </row>
    <row r="299" customFormat="false" ht="13" hidden="false" customHeight="false" outlineLevel="0" collapsed="false">
      <c r="A299" s="16" t="n">
        <v>282</v>
      </c>
      <c r="B299" s="38" t="n">
        <v>0</v>
      </c>
      <c r="C299" s="38" t="n">
        <v>9.60887304767874</v>
      </c>
      <c r="D299" s="39" t="n">
        <f aca="false">MAX(B299,C299)</f>
        <v>9.60887304767874</v>
      </c>
    </row>
    <row r="300" customFormat="false" ht="13" hidden="false" customHeight="false" outlineLevel="0" collapsed="false">
      <c r="A300" s="16" t="n">
        <v>283</v>
      </c>
      <c r="B300" s="38" t="n">
        <v>19.5484543156882</v>
      </c>
      <c r="C300" s="38" t="n">
        <v>0</v>
      </c>
      <c r="D300" s="39" t="n">
        <f aca="false">MAX(B300,C300)</f>
        <v>19.5484543156882</v>
      </c>
    </row>
    <row r="301" customFormat="false" ht="13" hidden="false" customHeight="false" outlineLevel="0" collapsed="false">
      <c r="A301" s="16" t="n">
        <v>284</v>
      </c>
      <c r="B301" s="38" t="n">
        <v>0</v>
      </c>
      <c r="C301" s="38" t="n">
        <v>8.77671785506993</v>
      </c>
      <c r="D301" s="39" t="n">
        <f aca="false">MAX(B301,C301)</f>
        <v>8.77671785506993</v>
      </c>
    </row>
    <row r="302" customFormat="false" ht="13" hidden="false" customHeight="false" outlineLevel="0" collapsed="false">
      <c r="A302" s="16" t="n">
        <v>285</v>
      </c>
      <c r="B302" s="38" t="n">
        <v>0</v>
      </c>
      <c r="C302" s="38" t="n">
        <v>9.88621258258917</v>
      </c>
      <c r="D302" s="39" t="n">
        <f aca="false">MAX(B302,C302)</f>
        <v>9.88621258258917</v>
      </c>
    </row>
    <row r="303" customFormat="false" ht="13" hidden="false" customHeight="false" outlineLevel="0" collapsed="false">
      <c r="A303" s="16" t="n">
        <v>286</v>
      </c>
      <c r="B303" s="38" t="n">
        <v>18.4835487222235</v>
      </c>
      <c r="C303" s="38" t="n">
        <v>0</v>
      </c>
      <c r="D303" s="39" t="n">
        <f aca="false">MAX(B303,C303)</f>
        <v>18.4835487222235</v>
      </c>
    </row>
    <row r="304" customFormat="false" ht="13" hidden="false" customHeight="false" outlineLevel="0" collapsed="false">
      <c r="A304" s="16" t="n">
        <v>287</v>
      </c>
      <c r="B304" s="38" t="n">
        <v>0</v>
      </c>
      <c r="C304" s="38" t="n">
        <v>10.7022725455808</v>
      </c>
      <c r="D304" s="39" t="n">
        <f aca="false">MAX(B304,C304)</f>
        <v>10.7022725455808</v>
      </c>
    </row>
    <row r="305" customFormat="false" ht="13" hidden="false" customHeight="false" outlineLevel="0" collapsed="false">
      <c r="A305" s="16" t="n">
        <v>288</v>
      </c>
      <c r="B305" s="38" t="n">
        <v>0</v>
      </c>
      <c r="C305" s="38" t="n">
        <v>12.5809156378578</v>
      </c>
      <c r="D305" s="39" t="n">
        <f aca="false">MAX(B305,C305)</f>
        <v>12.5809156378578</v>
      </c>
    </row>
    <row r="306" customFormat="false" ht="13" hidden="false" customHeight="false" outlineLevel="0" collapsed="false">
      <c r="A306" s="16" t="n">
        <v>289</v>
      </c>
      <c r="B306" s="38" t="n">
        <v>0</v>
      </c>
      <c r="C306" s="38" t="n">
        <v>10.5260146508663</v>
      </c>
      <c r="D306" s="39" t="n">
        <f aca="false">MAX(B306,C306)</f>
        <v>10.5260146508663</v>
      </c>
    </row>
    <row r="307" customFormat="false" ht="13" hidden="false" customHeight="false" outlineLevel="0" collapsed="false">
      <c r="A307" s="16" t="n">
        <v>290</v>
      </c>
      <c r="B307" s="38" t="n">
        <v>0</v>
      </c>
      <c r="C307" s="38" t="n">
        <v>11.2911711071416</v>
      </c>
      <c r="D307" s="39" t="n">
        <f aca="false">MAX(B307,C307)</f>
        <v>11.2911711071416</v>
      </c>
    </row>
    <row r="308" customFormat="false" ht="13" hidden="false" customHeight="false" outlineLevel="0" collapsed="false">
      <c r="A308" s="16" t="n">
        <v>291</v>
      </c>
      <c r="B308" s="38" t="n">
        <v>0</v>
      </c>
      <c r="C308" s="38" t="n">
        <v>11.6579551859311</v>
      </c>
      <c r="D308" s="39" t="n">
        <f aca="false">MAX(B308,C308)</f>
        <v>11.6579551859311</v>
      </c>
    </row>
    <row r="309" customFormat="false" ht="13" hidden="false" customHeight="false" outlineLevel="0" collapsed="false">
      <c r="A309" s="16" t="n">
        <v>292</v>
      </c>
      <c r="B309" s="38" t="n">
        <v>0</v>
      </c>
      <c r="C309" s="38" t="n">
        <v>13.3525225738883</v>
      </c>
      <c r="D309" s="39" t="n">
        <f aca="false">MAX(B309,C309)</f>
        <v>13.3525225738883</v>
      </c>
    </row>
    <row r="310" customFormat="false" ht="13" hidden="false" customHeight="false" outlineLevel="0" collapsed="false">
      <c r="A310" s="16" t="n">
        <v>293</v>
      </c>
      <c r="B310" s="38" t="n">
        <v>0</v>
      </c>
      <c r="C310" s="38" t="n">
        <v>14.1338425263862</v>
      </c>
      <c r="D310" s="39" t="n">
        <f aca="false">MAX(B310,C310)</f>
        <v>14.1338425263862</v>
      </c>
    </row>
    <row r="311" customFormat="false" ht="13" hidden="false" customHeight="false" outlineLevel="0" collapsed="false">
      <c r="A311" s="16" t="n">
        <v>294</v>
      </c>
      <c r="B311" s="38" t="n">
        <v>10.4261932699305</v>
      </c>
      <c r="C311" s="38" t="n">
        <v>0</v>
      </c>
      <c r="D311" s="39" t="n">
        <f aca="false">MAX(B311,C311)</f>
        <v>10.4261932699305</v>
      </c>
    </row>
    <row r="312" customFormat="false" ht="13" hidden="false" customHeight="false" outlineLevel="0" collapsed="false">
      <c r="A312" s="16" t="n">
        <v>295</v>
      </c>
      <c r="B312" s="38" t="n">
        <v>0</v>
      </c>
      <c r="C312" s="38" t="n">
        <v>15.2436122784812</v>
      </c>
      <c r="D312" s="39" t="n">
        <f aca="false">MAX(B312,C312)</f>
        <v>15.2436122784812</v>
      </c>
    </row>
    <row r="313" customFormat="false" ht="13" hidden="false" customHeight="false" outlineLevel="0" collapsed="false">
      <c r="A313" s="16" t="n">
        <v>296</v>
      </c>
      <c r="B313" s="38" t="n">
        <v>0</v>
      </c>
      <c r="C313" s="38" t="n">
        <v>16.4902619998301</v>
      </c>
      <c r="D313" s="39" t="n">
        <f aca="false">MAX(B313,C313)</f>
        <v>16.4902619998301</v>
      </c>
    </row>
    <row r="314" customFormat="false" ht="13" hidden="false" customHeight="false" outlineLevel="0" collapsed="false">
      <c r="A314" s="16" t="n">
        <v>297</v>
      </c>
      <c r="B314" s="38" t="n">
        <v>11.2666916069828</v>
      </c>
      <c r="C314" s="38" t="n">
        <v>0</v>
      </c>
      <c r="D314" s="39" t="n">
        <f aca="false">MAX(B314,C314)</f>
        <v>11.2666916069828</v>
      </c>
    </row>
    <row r="315" customFormat="false" ht="13" hidden="false" customHeight="false" outlineLevel="0" collapsed="false">
      <c r="A315" s="16" t="n">
        <v>298</v>
      </c>
      <c r="B315" s="38" t="n">
        <v>12.9676620228327</v>
      </c>
      <c r="C315" s="38" t="n">
        <v>0</v>
      </c>
      <c r="D315" s="39" t="n">
        <f aca="false">MAX(B315,C315)</f>
        <v>12.9676620228327</v>
      </c>
    </row>
    <row r="316" customFormat="false" ht="13" hidden="false" customHeight="false" outlineLevel="0" collapsed="false">
      <c r="A316" s="16" t="n">
        <v>299</v>
      </c>
      <c r="B316" s="38" t="n">
        <v>14.0200326797351</v>
      </c>
      <c r="C316" s="38" t="n">
        <v>0</v>
      </c>
      <c r="D316" s="39" t="n">
        <f aca="false">MAX(B316,C316)</f>
        <v>14.0200326797351</v>
      </c>
    </row>
    <row r="317" customFormat="false" ht="13" hidden="false" customHeight="false" outlineLevel="0" collapsed="false">
      <c r="A317" s="16" t="n">
        <v>300</v>
      </c>
      <c r="B317" s="38" t="n">
        <v>0</v>
      </c>
      <c r="C317" s="38" t="n">
        <v>16.6424695109986</v>
      </c>
      <c r="D317" s="39" t="n">
        <f aca="false">MAX(B317,C317)</f>
        <v>16.6424695109986</v>
      </c>
    </row>
    <row r="318" customFormat="false" ht="13" hidden="false" customHeight="false" outlineLevel="0" collapsed="false">
      <c r="A318" s="16" t="n">
        <v>301</v>
      </c>
      <c r="B318" s="38" t="n">
        <v>0</v>
      </c>
      <c r="C318" s="38" t="n">
        <v>17.6610204467121</v>
      </c>
      <c r="D318" s="39" t="n">
        <f aca="false">MAX(B318,C318)</f>
        <v>17.6610204467121</v>
      </c>
    </row>
    <row r="319" customFormat="false" ht="13" hidden="false" customHeight="false" outlineLevel="0" collapsed="false">
      <c r="A319" s="16" t="n">
        <v>302</v>
      </c>
      <c r="B319" s="38" t="n">
        <v>10.4378041659796</v>
      </c>
      <c r="C319" s="38" t="n">
        <v>0</v>
      </c>
      <c r="D319" s="39" t="n">
        <f aca="false">MAX(B319,C319)</f>
        <v>10.4378041659796</v>
      </c>
    </row>
    <row r="320" customFormat="false" ht="13" hidden="false" customHeight="false" outlineLevel="0" collapsed="false">
      <c r="A320" s="16" t="n">
        <v>303</v>
      </c>
      <c r="B320" s="38" t="n">
        <v>0</v>
      </c>
      <c r="C320" s="38" t="n">
        <v>11.9550453926836</v>
      </c>
      <c r="D320" s="39" t="n">
        <f aca="false">MAX(B320,C320)</f>
        <v>11.9550453926836</v>
      </c>
    </row>
    <row r="321" customFormat="false" ht="13" hidden="false" customHeight="false" outlineLevel="0" collapsed="false">
      <c r="A321" s="16" t="n">
        <v>304</v>
      </c>
      <c r="B321" s="38" t="n">
        <v>0</v>
      </c>
      <c r="C321" s="38" t="n">
        <v>13.8710426963366</v>
      </c>
      <c r="D321" s="39" t="n">
        <f aca="false">MAX(B321,C321)</f>
        <v>13.8710426963366</v>
      </c>
    </row>
    <row r="322" customFormat="false" ht="13" hidden="false" customHeight="false" outlineLevel="0" collapsed="false">
      <c r="A322" s="16" t="n">
        <v>305</v>
      </c>
      <c r="B322" s="38" t="n">
        <v>0</v>
      </c>
      <c r="C322" s="38" t="n">
        <v>15.0699039293311</v>
      </c>
      <c r="D322" s="39" t="n">
        <f aca="false">MAX(B322,C322)</f>
        <v>15.0699039293311</v>
      </c>
    </row>
    <row r="323" customFormat="false" ht="13" hidden="false" customHeight="false" outlineLevel="0" collapsed="false">
      <c r="A323" s="16" t="n">
        <v>306</v>
      </c>
      <c r="B323" s="38" t="n">
        <v>7.82823735672031</v>
      </c>
      <c r="C323" s="38" t="n">
        <v>0</v>
      </c>
      <c r="D323" s="39" t="n">
        <f aca="false">MAX(B323,C323)</f>
        <v>7.82823735672031</v>
      </c>
    </row>
    <row r="324" customFormat="false" ht="13" hidden="false" customHeight="false" outlineLevel="0" collapsed="false">
      <c r="A324" s="16" t="n">
        <v>307</v>
      </c>
      <c r="B324" s="38" t="n">
        <v>0</v>
      </c>
      <c r="C324" s="38" t="n">
        <v>15.718021426384</v>
      </c>
      <c r="D324" s="39" t="n">
        <f aca="false">MAX(B324,C324)</f>
        <v>15.718021426384</v>
      </c>
    </row>
    <row r="325" customFormat="false" ht="13" hidden="false" customHeight="false" outlineLevel="0" collapsed="false">
      <c r="A325" s="16" t="n">
        <v>308</v>
      </c>
      <c r="B325" s="38" t="n">
        <v>0</v>
      </c>
      <c r="C325" s="38" t="n">
        <v>16.5860483935413</v>
      </c>
      <c r="D325" s="39" t="n">
        <f aca="false">MAX(B325,C325)</f>
        <v>16.5860483935413</v>
      </c>
    </row>
    <row r="326" customFormat="false" ht="13" hidden="false" customHeight="false" outlineLevel="0" collapsed="false">
      <c r="A326" s="16" t="n">
        <v>309</v>
      </c>
      <c r="B326" s="38" t="n">
        <v>5.09440810437195</v>
      </c>
      <c r="C326" s="38" t="n">
        <v>0</v>
      </c>
      <c r="D326" s="39" t="n">
        <f aca="false">MAX(B326,C326)</f>
        <v>5.09440810437195</v>
      </c>
    </row>
    <row r="327" customFormat="false" ht="13" hidden="false" customHeight="false" outlineLevel="0" collapsed="false">
      <c r="A327" s="16" t="n">
        <v>310</v>
      </c>
      <c r="B327" s="38" t="n">
        <v>6.40743416488692</v>
      </c>
      <c r="C327" s="38" t="n">
        <v>0</v>
      </c>
      <c r="D327" s="39" t="n">
        <f aca="false">MAX(B327,C327)</f>
        <v>6.40743416488692</v>
      </c>
    </row>
    <row r="328" customFormat="false" ht="13" hidden="false" customHeight="false" outlineLevel="0" collapsed="false">
      <c r="A328" s="16" t="n">
        <v>311</v>
      </c>
      <c r="B328" s="38" t="n">
        <v>6.51744611726144</v>
      </c>
      <c r="C328" s="38" t="n">
        <v>0</v>
      </c>
      <c r="D328" s="39" t="n">
        <f aca="false">MAX(B328,C328)</f>
        <v>6.51744611726144</v>
      </c>
    </row>
    <row r="329" customFormat="false" ht="13" hidden="false" customHeight="false" outlineLevel="0" collapsed="false">
      <c r="A329" s="16" t="n">
        <v>312</v>
      </c>
      <c r="B329" s="38" t="n">
        <v>5.19428780710837</v>
      </c>
      <c r="C329" s="38" t="n">
        <v>0</v>
      </c>
      <c r="D329" s="39" t="n">
        <f aca="false">MAX(B329,C329)</f>
        <v>5.19428780710837</v>
      </c>
    </row>
    <row r="330" customFormat="false" ht="13" hidden="false" customHeight="false" outlineLevel="0" collapsed="false">
      <c r="A330" s="16" t="n">
        <v>313</v>
      </c>
      <c r="B330" s="38" t="n">
        <v>7.23199060696118</v>
      </c>
      <c r="C330" s="38" t="n">
        <v>0</v>
      </c>
      <c r="D330" s="39" t="n">
        <f aca="false">MAX(B330,C330)</f>
        <v>7.23199060696118</v>
      </c>
    </row>
    <row r="331" customFormat="false" ht="13" hidden="false" customHeight="false" outlineLevel="0" collapsed="false">
      <c r="A331" s="16" t="n">
        <v>314</v>
      </c>
      <c r="B331" s="38" t="n">
        <v>0</v>
      </c>
      <c r="C331" s="38" t="n">
        <v>9.75334569010613</v>
      </c>
      <c r="D331" s="39" t="n">
        <f aca="false">MAX(B331,C331)</f>
        <v>9.75334569010613</v>
      </c>
    </row>
    <row r="332" customFormat="false" ht="13" hidden="false" customHeight="false" outlineLevel="0" collapsed="false">
      <c r="A332" s="16" t="n">
        <v>315</v>
      </c>
      <c r="B332" s="38" t="n">
        <v>4.78615208372344</v>
      </c>
      <c r="C332" s="38" t="n">
        <v>0</v>
      </c>
      <c r="D332" s="39" t="n">
        <f aca="false">MAX(B332,C332)</f>
        <v>4.78615208372344</v>
      </c>
    </row>
    <row r="333" customFormat="false" ht="13" hidden="false" customHeight="false" outlineLevel="0" collapsed="false">
      <c r="A333" s="16" t="n">
        <v>316</v>
      </c>
      <c r="B333" s="38" t="n">
        <v>6.5194246666822</v>
      </c>
      <c r="C333" s="38" t="n">
        <v>0</v>
      </c>
      <c r="D333" s="39" t="n">
        <f aca="false">MAX(B333,C333)</f>
        <v>6.5194246666822</v>
      </c>
    </row>
    <row r="334" customFormat="false" ht="13" hidden="false" customHeight="false" outlineLevel="0" collapsed="false">
      <c r="A334" s="16" t="n">
        <v>317</v>
      </c>
      <c r="B334" s="38" t="n">
        <v>0</v>
      </c>
      <c r="C334" s="38" t="n">
        <v>4.73880488367428</v>
      </c>
      <c r="D334" s="39" t="n">
        <f aca="false">MAX(B334,C334)</f>
        <v>4.73880488367428</v>
      </c>
    </row>
    <row r="335" customFormat="false" ht="13" hidden="false" customHeight="false" outlineLevel="0" collapsed="false">
      <c r="A335" s="16" t="n">
        <v>318</v>
      </c>
      <c r="B335" s="38" t="n">
        <v>4.23379450520059</v>
      </c>
      <c r="C335" s="38" t="n">
        <v>0</v>
      </c>
      <c r="D335" s="39" t="n">
        <f aca="false">MAX(B335,C335)</f>
        <v>4.23379450520059</v>
      </c>
    </row>
    <row r="336" customFormat="false" ht="13" hidden="false" customHeight="false" outlineLevel="0" collapsed="false">
      <c r="A336" s="16" t="n">
        <v>319</v>
      </c>
      <c r="B336" s="38" t="n">
        <v>4.5403120267444</v>
      </c>
      <c r="C336" s="38" t="n">
        <v>0</v>
      </c>
      <c r="D336" s="39" t="n">
        <f aca="false">MAX(B336,C336)</f>
        <v>4.5403120267444</v>
      </c>
    </row>
    <row r="337" customFormat="false" ht="13" hidden="false" customHeight="false" outlineLevel="0" collapsed="false">
      <c r="A337" s="16" t="n">
        <v>320</v>
      </c>
      <c r="B337" s="38" t="n">
        <v>0</v>
      </c>
      <c r="C337" s="38" t="n">
        <v>3.11268115095675</v>
      </c>
      <c r="D337" s="39" t="n">
        <f aca="false">MAX(B337,C337)</f>
        <v>3.11268115095675</v>
      </c>
    </row>
    <row r="338" customFormat="false" ht="13" hidden="false" customHeight="false" outlineLevel="0" collapsed="false">
      <c r="A338" s="16" t="n">
        <v>321</v>
      </c>
      <c r="B338" s="38" t="n">
        <v>0</v>
      </c>
      <c r="C338" s="38" t="n">
        <v>3.12151408698935</v>
      </c>
      <c r="D338" s="39" t="n">
        <f aca="false">MAX(B338,C338)</f>
        <v>3.12151408698935</v>
      </c>
    </row>
    <row r="339" customFormat="false" ht="13" hidden="false" customHeight="false" outlineLevel="0" collapsed="false">
      <c r="A339" s="16" t="n">
        <v>322</v>
      </c>
      <c r="B339" s="38" t="n">
        <v>2.15239222131595</v>
      </c>
      <c r="C339" s="38" t="n">
        <v>0</v>
      </c>
      <c r="D339" s="39" t="n">
        <f aca="false">MAX(B339,C339)</f>
        <v>2.15239222131595</v>
      </c>
    </row>
    <row r="340" customFormat="false" ht="13" hidden="false" customHeight="false" outlineLevel="0" collapsed="false">
      <c r="A340" s="16" t="n">
        <v>323</v>
      </c>
      <c r="B340" s="38" t="n">
        <v>0</v>
      </c>
      <c r="C340" s="38" t="n">
        <v>1.96309070068628</v>
      </c>
      <c r="D340" s="39" t="n">
        <f aca="false">MAX(B340,C340)</f>
        <v>1.96309070068628</v>
      </c>
    </row>
    <row r="341" customFormat="false" ht="13" hidden="false" customHeight="false" outlineLevel="0" collapsed="false">
      <c r="A341" s="16" t="n">
        <v>324</v>
      </c>
      <c r="B341" s="38" t="n">
        <v>4.03023143450457</v>
      </c>
      <c r="C341" s="38" t="n">
        <v>0</v>
      </c>
      <c r="D341" s="39" t="n">
        <f aca="false">MAX(B341,C341)</f>
        <v>4.03023143450457</v>
      </c>
    </row>
    <row r="342" customFormat="false" ht="13" hidden="false" customHeight="false" outlineLevel="0" collapsed="false">
      <c r="A342" s="16" t="n">
        <v>325</v>
      </c>
      <c r="B342" s="38" t="n">
        <v>0</v>
      </c>
      <c r="C342" s="38" t="n">
        <v>2.65615897045478</v>
      </c>
      <c r="D342" s="39" t="n">
        <f aca="false">MAX(B342,C342)</f>
        <v>2.65615897045478</v>
      </c>
    </row>
    <row r="343" customFormat="false" ht="13" hidden="false" customHeight="false" outlineLevel="0" collapsed="false">
      <c r="A343" s="16" t="n">
        <v>326</v>
      </c>
      <c r="B343" s="38" t="n">
        <v>0</v>
      </c>
      <c r="C343" s="38" t="n">
        <v>4.07195841280526</v>
      </c>
      <c r="D343" s="39" t="n">
        <f aca="false">MAX(B343,C343)</f>
        <v>4.07195841280526</v>
      </c>
    </row>
    <row r="344" customFormat="false" ht="13" hidden="false" customHeight="false" outlineLevel="0" collapsed="false">
      <c r="A344" s="16" t="n">
        <v>327</v>
      </c>
      <c r="B344" s="38" t="n">
        <v>3.33818731923105</v>
      </c>
      <c r="C344" s="38" t="n">
        <v>0</v>
      </c>
      <c r="D344" s="39" t="n">
        <f aca="false">MAX(B344,C344)</f>
        <v>3.33818731923105</v>
      </c>
    </row>
    <row r="345" customFormat="false" ht="13" hidden="false" customHeight="false" outlineLevel="0" collapsed="false">
      <c r="A345" s="16" t="n">
        <v>328</v>
      </c>
      <c r="B345" s="38" t="n">
        <v>0</v>
      </c>
      <c r="C345" s="38" t="n">
        <v>3.75040919693015</v>
      </c>
      <c r="D345" s="39" t="n">
        <f aca="false">MAX(B345,C345)</f>
        <v>3.75040919693015</v>
      </c>
    </row>
    <row r="346" customFormat="false" ht="13" hidden="false" customHeight="false" outlineLevel="0" collapsed="false">
      <c r="A346" s="16" t="n">
        <v>329</v>
      </c>
      <c r="B346" s="38" t="n">
        <v>0</v>
      </c>
      <c r="C346" s="38" t="n">
        <v>2.70723424769557</v>
      </c>
      <c r="D346" s="39" t="n">
        <f aca="false">MAX(B346,C346)</f>
        <v>2.70723424769557</v>
      </c>
    </row>
    <row r="347" customFormat="false" ht="13" hidden="false" customHeight="false" outlineLevel="0" collapsed="false">
      <c r="A347" s="16" t="n">
        <v>330</v>
      </c>
      <c r="B347" s="38" t="n">
        <v>2.18936315111796</v>
      </c>
      <c r="C347" s="38" t="n">
        <v>0</v>
      </c>
      <c r="D347" s="39" t="n">
        <f aca="false">MAX(B347,C347)</f>
        <v>2.18936315111796</v>
      </c>
    </row>
    <row r="348" customFormat="false" ht="13" hidden="false" customHeight="false" outlineLevel="0" collapsed="false">
      <c r="A348" s="16" t="n">
        <v>331</v>
      </c>
      <c r="B348" s="38" t="n">
        <v>0</v>
      </c>
      <c r="C348" s="38" t="n">
        <v>2.04056191676682</v>
      </c>
      <c r="D348" s="39" t="n">
        <f aca="false">MAX(B348,C348)</f>
        <v>2.04056191676682</v>
      </c>
    </row>
    <row r="349" customFormat="false" ht="13" hidden="false" customHeight="false" outlineLevel="0" collapsed="false">
      <c r="A349" s="16" t="n">
        <v>332</v>
      </c>
      <c r="B349" s="38" t="n">
        <v>0</v>
      </c>
      <c r="C349" s="38" t="n">
        <v>3.8443260797809</v>
      </c>
      <c r="D349" s="39" t="n">
        <f aca="false">MAX(B349,C349)</f>
        <v>3.8443260797809</v>
      </c>
    </row>
    <row r="350" customFormat="false" ht="13" hidden="false" customHeight="false" outlineLevel="0" collapsed="false">
      <c r="A350" s="16" t="n">
        <v>333</v>
      </c>
      <c r="B350" s="38" t="n">
        <v>2.88131978650341</v>
      </c>
      <c r="C350" s="38" t="n">
        <v>0</v>
      </c>
      <c r="D350" s="39" t="n">
        <f aca="false">MAX(B350,C350)</f>
        <v>2.88131978650341</v>
      </c>
    </row>
    <row r="351" customFormat="false" ht="13" hidden="false" customHeight="false" outlineLevel="0" collapsed="false">
      <c r="A351" s="16" t="n">
        <v>334</v>
      </c>
      <c r="B351" s="38" t="n">
        <v>3.92493247466382</v>
      </c>
      <c r="C351" s="38" t="n">
        <v>0</v>
      </c>
      <c r="D351" s="39" t="n">
        <f aca="false">MAX(B351,C351)</f>
        <v>3.92493247466382</v>
      </c>
    </row>
    <row r="352" customFormat="false" ht="13" hidden="false" customHeight="false" outlineLevel="0" collapsed="false">
      <c r="A352" s="16" t="n">
        <v>335</v>
      </c>
      <c r="B352" s="38" t="n">
        <v>5.45741552973385</v>
      </c>
      <c r="C352" s="38" t="n">
        <v>0</v>
      </c>
      <c r="D352" s="39" t="n">
        <f aca="false">MAX(B352,C352)</f>
        <v>5.45741552973385</v>
      </c>
    </row>
    <row r="353" customFormat="false" ht="13" hidden="false" customHeight="false" outlineLevel="0" collapsed="false">
      <c r="A353" s="16" t="n">
        <v>336</v>
      </c>
      <c r="B353" s="38" t="n">
        <v>0</v>
      </c>
      <c r="C353" s="38" t="n">
        <v>2.71078310294661</v>
      </c>
      <c r="D353" s="39" t="n">
        <f aca="false">MAX(B353,C353)</f>
        <v>2.71078310294661</v>
      </c>
    </row>
    <row r="354" customFormat="false" ht="13" hidden="false" customHeight="false" outlineLevel="0" collapsed="false">
      <c r="A354" s="16" t="n">
        <v>337</v>
      </c>
      <c r="B354" s="38" t="n">
        <v>0</v>
      </c>
      <c r="C354" s="38" t="n">
        <v>4.61572574393716</v>
      </c>
      <c r="D354" s="39" t="n">
        <f aca="false">MAX(B354,C354)</f>
        <v>4.61572574393716</v>
      </c>
    </row>
    <row r="355" customFormat="false" ht="13" hidden="false" customHeight="false" outlineLevel="0" collapsed="false">
      <c r="A355" s="16" t="n">
        <v>338</v>
      </c>
      <c r="B355" s="38" t="n">
        <v>5.5782189857448</v>
      </c>
      <c r="C355" s="38" t="n">
        <v>0</v>
      </c>
      <c r="D355" s="39" t="n">
        <f aca="false">MAX(B355,C355)</f>
        <v>5.5782189857448</v>
      </c>
    </row>
    <row r="356" customFormat="false" ht="13" hidden="false" customHeight="false" outlineLevel="0" collapsed="false">
      <c r="A356" s="16" t="n">
        <v>339</v>
      </c>
      <c r="B356" s="38" t="n">
        <v>7.02240592012134</v>
      </c>
      <c r="C356" s="38" t="n">
        <v>0</v>
      </c>
      <c r="D356" s="39" t="n">
        <f aca="false">MAX(B356,C356)</f>
        <v>7.02240592012134</v>
      </c>
    </row>
    <row r="357" customFormat="false" ht="13" hidden="false" customHeight="false" outlineLevel="0" collapsed="false">
      <c r="A357" s="16" t="n">
        <v>340</v>
      </c>
      <c r="B357" s="38" t="n">
        <v>0</v>
      </c>
      <c r="C357" s="38" t="n">
        <v>3.10460526880229</v>
      </c>
      <c r="D357" s="39" t="n">
        <f aca="false">MAX(B357,C357)</f>
        <v>3.10460526880229</v>
      </c>
    </row>
    <row r="358" customFormat="false" ht="13" hidden="false" customHeight="false" outlineLevel="0" collapsed="false">
      <c r="A358" s="16" t="n">
        <v>341</v>
      </c>
      <c r="B358" s="38" t="n">
        <v>5.11946284029318</v>
      </c>
      <c r="C358" s="38" t="n">
        <v>0</v>
      </c>
      <c r="D358" s="39" t="n">
        <f aca="false">MAX(B358,C358)</f>
        <v>5.11946284029318</v>
      </c>
    </row>
    <row r="359" customFormat="false" ht="13" hidden="false" customHeight="false" outlineLevel="0" collapsed="false">
      <c r="A359" s="16" t="n">
        <v>342</v>
      </c>
      <c r="B359" s="38" t="n">
        <v>3.85030577644994</v>
      </c>
      <c r="C359" s="38" t="n">
        <v>0</v>
      </c>
      <c r="D359" s="39" t="n">
        <f aca="false">MAX(B359,C359)</f>
        <v>3.85030577644994</v>
      </c>
    </row>
    <row r="360" customFormat="false" ht="13" hidden="false" customHeight="false" outlineLevel="0" collapsed="false">
      <c r="A360" s="16" t="n">
        <v>343</v>
      </c>
      <c r="B360" s="38" t="n">
        <v>0</v>
      </c>
      <c r="C360" s="38" t="n">
        <v>2.01894182509204</v>
      </c>
      <c r="D360" s="39" t="n">
        <f aca="false">MAX(B360,C360)</f>
        <v>2.01894182509204</v>
      </c>
    </row>
    <row r="361" customFormat="false" ht="13" hidden="false" customHeight="false" outlineLevel="0" collapsed="false">
      <c r="A361" s="16" t="n">
        <v>344</v>
      </c>
      <c r="B361" s="38" t="n">
        <v>0</v>
      </c>
      <c r="C361" s="38" t="n">
        <v>3.16928852204171</v>
      </c>
      <c r="D361" s="39" t="n">
        <f aca="false">MAX(B361,C361)</f>
        <v>3.16928852204171</v>
      </c>
    </row>
    <row r="362" customFormat="false" ht="13" hidden="false" customHeight="false" outlineLevel="0" collapsed="false">
      <c r="A362" s="16" t="n">
        <v>345</v>
      </c>
      <c r="B362" s="38" t="n">
        <v>0</v>
      </c>
      <c r="C362" s="38" t="n">
        <v>3.85953574515594</v>
      </c>
      <c r="D362" s="39" t="n">
        <f aca="false">MAX(B362,C362)</f>
        <v>3.85953574515594</v>
      </c>
    </row>
    <row r="363" customFormat="false" ht="13" hidden="false" customHeight="false" outlineLevel="0" collapsed="false">
      <c r="A363" s="16" t="n">
        <v>346</v>
      </c>
      <c r="B363" s="38" t="n">
        <v>3.41248658991572</v>
      </c>
      <c r="C363" s="38" t="n">
        <v>0</v>
      </c>
      <c r="D363" s="39" t="n">
        <f aca="false">MAX(B363,C363)</f>
        <v>3.41248658991572</v>
      </c>
    </row>
    <row r="364" customFormat="false" ht="13" hidden="false" customHeight="false" outlineLevel="0" collapsed="false">
      <c r="A364" s="16" t="n">
        <v>347</v>
      </c>
      <c r="B364" s="38" t="n">
        <v>2.39680318786873</v>
      </c>
      <c r="C364" s="38" t="n">
        <v>0</v>
      </c>
      <c r="D364" s="39" t="n">
        <f aca="false">MAX(B364,C364)</f>
        <v>2.39680318786873</v>
      </c>
    </row>
    <row r="365" customFormat="false" ht="13" hidden="false" customHeight="false" outlineLevel="0" collapsed="false">
      <c r="A365" s="16" t="n">
        <v>348</v>
      </c>
      <c r="B365" s="38" t="n">
        <v>0</v>
      </c>
      <c r="C365" s="38" t="n">
        <v>2.14951188734585</v>
      </c>
      <c r="D365" s="39" t="n">
        <f aca="false">MAX(B365,C365)</f>
        <v>2.14951188734585</v>
      </c>
    </row>
    <row r="366" customFormat="false" ht="13" hidden="false" customHeight="false" outlineLevel="0" collapsed="false">
      <c r="A366" s="16" t="n">
        <v>349</v>
      </c>
      <c r="B366" s="38" t="n">
        <v>1.98291741393541</v>
      </c>
      <c r="C366" s="38" t="n">
        <v>0</v>
      </c>
      <c r="D366" s="39" t="n">
        <f aca="false">MAX(B366,C366)</f>
        <v>1.98291741393541</v>
      </c>
    </row>
    <row r="367" customFormat="false" ht="13" hidden="false" customHeight="false" outlineLevel="0" collapsed="false">
      <c r="A367" s="16" t="n">
        <v>350</v>
      </c>
      <c r="B367" s="38" t="n">
        <v>0</v>
      </c>
      <c r="C367" s="38" t="n">
        <v>2.23836900513379</v>
      </c>
      <c r="D367" s="39" t="n">
        <f aca="false">MAX(B367,C367)</f>
        <v>2.23836900513379</v>
      </c>
    </row>
    <row r="368" customFormat="false" ht="13" hidden="false" customHeight="false" outlineLevel="0" collapsed="false">
      <c r="A368" s="16" t="n">
        <v>351</v>
      </c>
      <c r="B368" s="38" t="n">
        <v>0</v>
      </c>
      <c r="C368" s="38" t="n">
        <v>3.86842157735788</v>
      </c>
      <c r="D368" s="39" t="n">
        <f aca="false">MAX(B368,C368)</f>
        <v>3.86842157735788</v>
      </c>
    </row>
    <row r="369" customFormat="false" ht="13" hidden="false" customHeight="false" outlineLevel="0" collapsed="false">
      <c r="A369" s="16" t="n">
        <v>352</v>
      </c>
      <c r="B369" s="38" t="n">
        <v>1.83758575967022</v>
      </c>
      <c r="C369" s="38" t="n">
        <v>0</v>
      </c>
      <c r="D369" s="39" t="n">
        <f aca="false">MAX(B369,C369)</f>
        <v>1.83758575967022</v>
      </c>
    </row>
    <row r="370" customFormat="false" ht="13" hidden="false" customHeight="false" outlineLevel="0" collapsed="false">
      <c r="A370" s="16" t="n">
        <v>353</v>
      </c>
      <c r="B370" s="38" t="n">
        <v>0</v>
      </c>
      <c r="C370" s="38" t="n">
        <v>2.18075206565436</v>
      </c>
      <c r="D370" s="39" t="n">
        <f aca="false">MAX(B370,C370)</f>
        <v>2.18075206565436</v>
      </c>
    </row>
    <row r="371" customFormat="false" ht="13" hidden="false" customHeight="false" outlineLevel="0" collapsed="false">
      <c r="A371" s="16" t="n">
        <v>354</v>
      </c>
      <c r="B371" s="38" t="n">
        <v>0</v>
      </c>
      <c r="C371" s="38" t="n">
        <v>2.40579758002053</v>
      </c>
      <c r="D371" s="39" t="n">
        <f aca="false">MAX(B371,C371)</f>
        <v>2.40579758002053</v>
      </c>
    </row>
    <row r="372" customFormat="false" ht="13" hidden="false" customHeight="false" outlineLevel="0" collapsed="false">
      <c r="A372" s="16" t="n">
        <v>355</v>
      </c>
      <c r="B372" s="38" t="n">
        <v>0</v>
      </c>
      <c r="C372" s="38" t="n">
        <v>4.2164083047968</v>
      </c>
      <c r="D372" s="39" t="n">
        <f aca="false">MAX(B372,C372)</f>
        <v>4.2164083047968</v>
      </c>
    </row>
    <row r="373" customFormat="false" ht="13" hidden="false" customHeight="false" outlineLevel="0" collapsed="false">
      <c r="A373" s="16" t="n">
        <v>356</v>
      </c>
      <c r="B373" s="38" t="n">
        <v>2.03540922122056</v>
      </c>
      <c r="C373" s="38" t="n">
        <v>0</v>
      </c>
      <c r="D373" s="39" t="n">
        <f aca="false">MAX(B373,C373)</f>
        <v>2.03540922122056</v>
      </c>
    </row>
    <row r="374" customFormat="false" ht="13" hidden="false" customHeight="false" outlineLevel="0" collapsed="false">
      <c r="A374" s="16" t="n">
        <v>357</v>
      </c>
      <c r="B374" s="38" t="n">
        <v>1.85962510713398</v>
      </c>
      <c r="C374" s="38" t="n">
        <v>0</v>
      </c>
      <c r="D374" s="39" t="n">
        <f aca="false">MAX(B374,C374)</f>
        <v>1.85962510713398</v>
      </c>
    </row>
    <row r="375" customFormat="false" ht="13" hidden="false" customHeight="false" outlineLevel="0" collapsed="false">
      <c r="A375" s="16" t="n">
        <v>358</v>
      </c>
      <c r="B375" s="38" t="n">
        <v>2.99723310543686</v>
      </c>
      <c r="C375" s="38" t="n">
        <v>0</v>
      </c>
      <c r="D375" s="39" t="n">
        <f aca="false">MAX(B375,C375)</f>
        <v>2.99723310543686</v>
      </c>
    </row>
    <row r="376" customFormat="false" ht="13" hidden="false" customHeight="false" outlineLevel="0" collapsed="false">
      <c r="A376" s="16" t="n">
        <v>359</v>
      </c>
      <c r="B376" s="38" t="n">
        <v>4.88088891382421</v>
      </c>
      <c r="C376" s="38" t="n">
        <v>0</v>
      </c>
      <c r="D376" s="39" t="n">
        <f aca="false">MAX(B376,C376)</f>
        <v>4.88088891382421</v>
      </c>
    </row>
    <row r="377" customFormat="false" ht="13" hidden="false" customHeight="false" outlineLevel="0" collapsed="false">
      <c r="A377" s="16" t="n">
        <v>360</v>
      </c>
      <c r="B377" s="38" t="n">
        <v>6.33842882886682</v>
      </c>
      <c r="C377" s="38" t="n">
        <v>0</v>
      </c>
      <c r="D377" s="39" t="n">
        <f aca="false">MAX(B377,C377)</f>
        <v>6.33842882886682</v>
      </c>
    </row>
    <row r="378" customFormat="false" ht="13" hidden="false" customHeight="false" outlineLevel="0" collapsed="false">
      <c r="A378" s="16" t="n">
        <v>361</v>
      </c>
      <c r="B378" s="38" t="n">
        <v>8.26280608011325</v>
      </c>
      <c r="C378" s="38" t="n">
        <v>0</v>
      </c>
      <c r="D378" s="39" t="n">
        <f aca="false">MAX(B378,C378)</f>
        <v>8.26280608011325</v>
      </c>
    </row>
    <row r="379" customFormat="false" ht="13" hidden="false" customHeight="false" outlineLevel="0" collapsed="false">
      <c r="A379" s="16" t="n">
        <v>362</v>
      </c>
      <c r="B379" s="38" t="n">
        <v>9.88425570360522</v>
      </c>
      <c r="C379" s="38" t="n">
        <v>0</v>
      </c>
      <c r="D379" s="39" t="n">
        <f aca="false">MAX(B379,C379)</f>
        <v>9.88425570360522</v>
      </c>
    </row>
    <row r="380" customFormat="false" ht="13" hidden="false" customHeight="false" outlineLevel="0" collapsed="false">
      <c r="A380" s="16" t="n">
        <v>363</v>
      </c>
      <c r="B380" s="38" t="n">
        <v>0</v>
      </c>
      <c r="C380" s="38" t="n">
        <v>1.89609639192622</v>
      </c>
      <c r="D380" s="39" t="n">
        <f aca="false">MAX(B380,C380)</f>
        <v>1.89609639192622</v>
      </c>
    </row>
    <row r="381" customFormat="false" ht="13" hidden="false" customHeight="false" outlineLevel="0" collapsed="false">
      <c r="A381" s="16" t="n">
        <v>364</v>
      </c>
      <c r="B381" s="38" t="n">
        <v>0</v>
      </c>
      <c r="C381" s="38" t="n">
        <v>3.32635543623945</v>
      </c>
      <c r="D381" s="39" t="n">
        <f aca="false">MAX(B381,C381)</f>
        <v>3.32635543623945</v>
      </c>
    </row>
    <row r="382" customFormat="false" ht="13" hidden="false" customHeight="false" outlineLevel="0" collapsed="false">
      <c r="A382" s="16" t="n">
        <v>365</v>
      </c>
      <c r="B382" s="38" t="n">
        <v>7.3693938952747</v>
      </c>
      <c r="C382" s="38" t="n">
        <v>0</v>
      </c>
      <c r="D382" s="39" t="n">
        <f aca="false">MAX(B382,C382)</f>
        <v>7.3693938952747</v>
      </c>
    </row>
    <row r="383" customFormat="false" ht="13" hidden="false" customHeight="false" outlineLevel="0" collapsed="false">
      <c r="A383" s="16" t="n">
        <v>366</v>
      </c>
      <c r="B383" s="38" t="n">
        <v>0</v>
      </c>
      <c r="C383" s="38" t="n">
        <v>4.96647658851492</v>
      </c>
      <c r="D383" s="39" t="n">
        <f aca="false">MAX(B383,C383)</f>
        <v>4.96647658851492</v>
      </c>
    </row>
    <row r="384" customFormat="false" ht="13" hidden="false" customHeight="false" outlineLevel="0" collapsed="false">
      <c r="A384" s="16" t="n">
        <v>367</v>
      </c>
      <c r="B384" s="38" t="n">
        <v>8.72949580511033</v>
      </c>
      <c r="C384" s="38" t="n">
        <v>0</v>
      </c>
      <c r="D384" s="39" t="n">
        <f aca="false">MAX(B384,C384)</f>
        <v>8.72949580511033</v>
      </c>
    </row>
    <row r="385" customFormat="false" ht="13" hidden="false" customHeight="false" outlineLevel="0" collapsed="false">
      <c r="A385" s="16" t="n">
        <v>368</v>
      </c>
      <c r="B385" s="38" t="n">
        <v>9.28292853876593</v>
      </c>
      <c r="C385" s="38" t="n">
        <v>0</v>
      </c>
      <c r="D385" s="39" t="n">
        <f aca="false">MAX(B385,C385)</f>
        <v>9.28292853876593</v>
      </c>
    </row>
    <row r="386" customFormat="false" ht="13" hidden="false" customHeight="false" outlineLevel="0" collapsed="false">
      <c r="A386" s="16" t="n">
        <v>369</v>
      </c>
      <c r="B386" s="38" t="n">
        <v>8.04019817851679</v>
      </c>
      <c r="C386" s="38" t="n">
        <v>0</v>
      </c>
      <c r="D386" s="39" t="n">
        <f aca="false">MAX(B386,C386)</f>
        <v>8.04019817851679</v>
      </c>
    </row>
    <row r="387" customFormat="false" ht="13" hidden="false" customHeight="false" outlineLevel="0" collapsed="false">
      <c r="A387" s="16" t="n">
        <v>370</v>
      </c>
      <c r="B387" s="38" t="n">
        <v>9.7937666979409</v>
      </c>
      <c r="C387" s="38" t="n">
        <v>0</v>
      </c>
      <c r="D387" s="39" t="n">
        <f aca="false">MAX(B387,C387)</f>
        <v>9.7937666979409</v>
      </c>
    </row>
    <row r="388" customFormat="false" ht="13" hidden="false" customHeight="false" outlineLevel="0" collapsed="false">
      <c r="A388" s="16" t="n">
        <v>371</v>
      </c>
      <c r="B388" s="38" t="n">
        <v>10.7572887846463</v>
      </c>
      <c r="C388" s="38" t="n">
        <v>0</v>
      </c>
      <c r="D388" s="39" t="n">
        <f aca="false">MAX(B388,C388)</f>
        <v>10.7572887846463</v>
      </c>
    </row>
    <row r="389" customFormat="false" ht="13" hidden="false" customHeight="false" outlineLevel="0" collapsed="false">
      <c r="A389" s="16" t="n">
        <v>372</v>
      </c>
      <c r="B389" s="38" t="n">
        <v>12.1470804319412</v>
      </c>
      <c r="C389" s="38" t="n">
        <v>0</v>
      </c>
      <c r="D389" s="39" t="n">
        <f aca="false">MAX(B389,C389)</f>
        <v>12.1470804319412</v>
      </c>
    </row>
    <row r="390" customFormat="false" ht="13" hidden="false" customHeight="false" outlineLevel="0" collapsed="false">
      <c r="A390" s="16" t="n">
        <v>373</v>
      </c>
      <c r="B390" s="38" t="n">
        <v>14.1751207888665</v>
      </c>
      <c r="C390" s="38" t="n">
        <v>0</v>
      </c>
      <c r="D390" s="39" t="n">
        <f aca="false">MAX(B390,C390)</f>
        <v>14.1751207888665</v>
      </c>
    </row>
    <row r="391" customFormat="false" ht="13" hidden="false" customHeight="false" outlineLevel="0" collapsed="false">
      <c r="A391" s="16" t="n">
        <v>374</v>
      </c>
      <c r="B391" s="38" t="n">
        <v>0</v>
      </c>
      <c r="C391" s="38" t="n">
        <v>2.03571016252045</v>
      </c>
      <c r="D391" s="39" t="n">
        <f aca="false">MAX(B391,C391)</f>
        <v>2.03571016252045</v>
      </c>
    </row>
    <row r="392" customFormat="false" ht="13" hidden="false" customHeight="false" outlineLevel="0" collapsed="false">
      <c r="A392" s="16" t="n">
        <v>375</v>
      </c>
      <c r="B392" s="38" t="n">
        <v>0</v>
      </c>
      <c r="C392" s="38" t="n">
        <v>3.99641593084453</v>
      </c>
      <c r="D392" s="39" t="n">
        <f aca="false">MAX(B392,C392)</f>
        <v>3.99641593084453</v>
      </c>
    </row>
    <row r="393" customFormat="false" ht="13" hidden="false" customHeight="false" outlineLevel="0" collapsed="false">
      <c r="A393" s="16" t="n">
        <v>376</v>
      </c>
      <c r="B393" s="38" t="n">
        <v>0</v>
      </c>
      <c r="C393" s="38" t="n">
        <v>5.94214859708836</v>
      </c>
      <c r="D393" s="39" t="n">
        <f aca="false">MAX(B393,C393)</f>
        <v>5.94214859708836</v>
      </c>
    </row>
    <row r="394" customFormat="false" ht="13" hidden="false" customHeight="false" outlineLevel="0" collapsed="false">
      <c r="A394" s="16" t="n">
        <v>377</v>
      </c>
      <c r="B394" s="38" t="n">
        <v>0</v>
      </c>
      <c r="C394" s="38" t="n">
        <v>7.28770889940455</v>
      </c>
      <c r="D394" s="39" t="n">
        <f aca="false">MAX(B394,C394)</f>
        <v>7.28770889940455</v>
      </c>
    </row>
    <row r="395" customFormat="false" ht="13" hidden="false" customHeight="false" outlineLevel="0" collapsed="false">
      <c r="A395" s="16" t="n">
        <v>378</v>
      </c>
      <c r="B395" s="38" t="n">
        <v>12.2769327857662</v>
      </c>
      <c r="C395" s="38" t="n">
        <v>0</v>
      </c>
      <c r="D395" s="39" t="n">
        <f aca="false">MAX(B395,C395)</f>
        <v>12.2769327857662</v>
      </c>
    </row>
    <row r="396" customFormat="false" ht="13" hidden="false" customHeight="false" outlineLevel="0" collapsed="false">
      <c r="A396" s="16" t="n">
        <v>379</v>
      </c>
      <c r="B396" s="38" t="n">
        <v>0</v>
      </c>
      <c r="C396" s="38" t="n">
        <v>1.95887848206576</v>
      </c>
      <c r="D396" s="39" t="n">
        <f aca="false">MAX(B396,C396)</f>
        <v>1.95887848206576</v>
      </c>
    </row>
    <row r="397" customFormat="false" ht="13" hidden="false" customHeight="false" outlineLevel="0" collapsed="false">
      <c r="A397" s="16" t="n">
        <v>380</v>
      </c>
      <c r="B397" s="38" t="n">
        <v>5.57957517585777</v>
      </c>
      <c r="C397" s="38" t="n">
        <v>0</v>
      </c>
      <c r="D397" s="39" t="n">
        <f aca="false">MAX(B397,C397)</f>
        <v>5.57957517585777</v>
      </c>
    </row>
    <row r="398" customFormat="false" ht="13" hidden="false" customHeight="false" outlineLevel="0" collapsed="false">
      <c r="A398" s="16" t="n">
        <v>381</v>
      </c>
      <c r="B398" s="38" t="n">
        <v>0</v>
      </c>
      <c r="C398" s="38" t="n">
        <v>1.95611536561955</v>
      </c>
      <c r="D398" s="39" t="n">
        <f aca="false">MAX(B398,C398)</f>
        <v>1.95611536561955</v>
      </c>
    </row>
    <row r="399" customFormat="false" ht="13" hidden="false" customHeight="false" outlineLevel="0" collapsed="false">
      <c r="A399" s="16" t="n">
        <v>382</v>
      </c>
      <c r="B399" s="38" t="n">
        <v>0</v>
      </c>
      <c r="C399" s="38" t="n">
        <v>3.14982371513912</v>
      </c>
      <c r="D399" s="39" t="n">
        <f aca="false">MAX(B399,C399)</f>
        <v>3.14982371513912</v>
      </c>
    </row>
    <row r="400" customFormat="false" ht="13" hidden="false" customHeight="false" outlineLevel="0" collapsed="false">
      <c r="A400" s="16" t="n">
        <v>383</v>
      </c>
      <c r="B400" s="38" t="n">
        <v>4.14258489987765</v>
      </c>
      <c r="C400" s="38" t="n">
        <v>0</v>
      </c>
      <c r="D400" s="39" t="n">
        <f aca="false">MAX(B400,C400)</f>
        <v>4.14258489987765</v>
      </c>
    </row>
    <row r="401" customFormat="false" ht="13" hidden="false" customHeight="false" outlineLevel="0" collapsed="false">
      <c r="A401" s="16" t="n">
        <v>384</v>
      </c>
      <c r="B401" s="38" t="n">
        <v>3.90937003709132</v>
      </c>
      <c r="C401" s="38" t="n">
        <v>0</v>
      </c>
      <c r="D401" s="39" t="n">
        <f aca="false">MAX(B401,C401)</f>
        <v>3.90937003709132</v>
      </c>
    </row>
    <row r="402" customFormat="false" ht="13" hidden="false" customHeight="false" outlineLevel="0" collapsed="false">
      <c r="A402" s="16" t="n">
        <v>385</v>
      </c>
      <c r="B402" s="38" t="n">
        <v>4.35547006427686</v>
      </c>
      <c r="C402" s="38" t="n">
        <v>0</v>
      </c>
      <c r="D402" s="39" t="n">
        <f aca="false">MAX(B402,C402)</f>
        <v>4.35547006427686</v>
      </c>
    </row>
    <row r="403" customFormat="false" ht="13" hidden="false" customHeight="false" outlineLevel="0" collapsed="false">
      <c r="A403" s="16" t="n">
        <v>386</v>
      </c>
      <c r="B403" s="38" t="n">
        <v>5.17056807865646</v>
      </c>
      <c r="C403" s="38" t="n">
        <v>0</v>
      </c>
      <c r="D403" s="39" t="n">
        <f aca="false">MAX(B403,C403)</f>
        <v>5.17056807865646</v>
      </c>
    </row>
    <row r="404" customFormat="false" ht="13" hidden="false" customHeight="false" outlineLevel="0" collapsed="false">
      <c r="A404" s="16" t="n">
        <v>387</v>
      </c>
      <c r="B404" s="38" t="n">
        <v>3.84638762489215</v>
      </c>
      <c r="C404" s="38" t="n">
        <v>0</v>
      </c>
      <c r="D404" s="39" t="n">
        <f aca="false">MAX(B404,C404)</f>
        <v>3.84638762489215</v>
      </c>
    </row>
    <row r="405" customFormat="false" ht="13" hidden="false" customHeight="false" outlineLevel="0" collapsed="false">
      <c r="A405" s="16" t="n">
        <v>388</v>
      </c>
      <c r="B405" s="38" t="n">
        <v>5.21485665062761</v>
      </c>
      <c r="C405" s="38" t="n">
        <v>0</v>
      </c>
      <c r="D405" s="39" t="n">
        <f aca="false">MAX(B405,C405)</f>
        <v>5.21485665062761</v>
      </c>
    </row>
    <row r="406" customFormat="false" ht="13" hidden="false" customHeight="false" outlineLevel="0" collapsed="false">
      <c r="A406" s="16" t="n">
        <v>389</v>
      </c>
      <c r="B406" s="38" t="n">
        <v>0</v>
      </c>
      <c r="C406" s="38" t="n">
        <v>2.08257607692303</v>
      </c>
      <c r="D406" s="39" t="n">
        <f aca="false">MAX(B406,C406)</f>
        <v>2.08257607692303</v>
      </c>
    </row>
    <row r="407" customFormat="false" ht="13" hidden="false" customHeight="false" outlineLevel="0" collapsed="false">
      <c r="A407" s="16" t="n">
        <v>390</v>
      </c>
      <c r="B407" s="38" t="n">
        <v>0</v>
      </c>
      <c r="C407" s="38" t="n">
        <v>3.66338988219223</v>
      </c>
      <c r="D407" s="39" t="n">
        <f aca="false">MAX(B407,C407)</f>
        <v>3.66338988219223</v>
      </c>
    </row>
    <row r="408" customFormat="false" ht="13" hidden="false" customHeight="false" outlineLevel="0" collapsed="false">
      <c r="A408" s="16" t="n">
        <v>391</v>
      </c>
      <c r="B408" s="38" t="n">
        <v>6.10347165022068</v>
      </c>
      <c r="C408" s="38" t="n">
        <v>0</v>
      </c>
      <c r="D408" s="39" t="n">
        <f aca="false">MAX(B408,C408)</f>
        <v>6.10347165022068</v>
      </c>
    </row>
    <row r="409" customFormat="false" ht="13" hidden="false" customHeight="false" outlineLevel="0" collapsed="false">
      <c r="A409" s="16" t="n">
        <v>392</v>
      </c>
      <c r="B409" s="38" t="n">
        <v>7.83478506297422</v>
      </c>
      <c r="C409" s="38" t="n">
        <v>0</v>
      </c>
      <c r="D409" s="39" t="n">
        <f aca="false">MAX(B409,C409)</f>
        <v>7.83478506297422</v>
      </c>
    </row>
    <row r="410" customFormat="false" ht="13" hidden="false" customHeight="false" outlineLevel="0" collapsed="false">
      <c r="A410" s="16" t="n">
        <v>393</v>
      </c>
      <c r="B410" s="38" t="n">
        <v>5.97637237109336</v>
      </c>
      <c r="C410" s="38" t="n">
        <v>0</v>
      </c>
      <c r="D410" s="39" t="n">
        <f aca="false">MAX(B410,C410)</f>
        <v>5.97637237109336</v>
      </c>
    </row>
    <row r="411" customFormat="false" ht="13" hidden="false" customHeight="false" outlineLevel="0" collapsed="false">
      <c r="A411" s="16" t="n">
        <v>394</v>
      </c>
      <c r="B411" s="38" t="n">
        <v>7.31288047116254</v>
      </c>
      <c r="C411" s="38" t="n">
        <v>0</v>
      </c>
      <c r="D411" s="39" t="n">
        <f aca="false">MAX(B411,C411)</f>
        <v>7.31288047116254</v>
      </c>
    </row>
    <row r="412" customFormat="false" ht="13" hidden="false" customHeight="false" outlineLevel="0" collapsed="false">
      <c r="A412" s="16" t="n">
        <v>395</v>
      </c>
      <c r="B412" s="38" t="n">
        <v>8.00477167309987</v>
      </c>
      <c r="C412" s="38" t="n">
        <v>0</v>
      </c>
      <c r="D412" s="39" t="n">
        <f aca="false">MAX(B412,C412)</f>
        <v>8.00477167309987</v>
      </c>
    </row>
    <row r="413" customFormat="false" ht="13" hidden="false" customHeight="false" outlineLevel="0" collapsed="false">
      <c r="A413" s="16" t="n">
        <v>396</v>
      </c>
      <c r="B413" s="38" t="n">
        <v>0</v>
      </c>
      <c r="C413" s="38" t="n">
        <v>1.9045777773822</v>
      </c>
      <c r="D413" s="39" t="n">
        <f aca="false">MAX(B413,C413)</f>
        <v>1.9045777773822</v>
      </c>
    </row>
    <row r="414" customFormat="false" ht="13" hidden="false" customHeight="false" outlineLevel="0" collapsed="false">
      <c r="A414" s="16" t="n">
        <v>397</v>
      </c>
      <c r="B414" s="38" t="n">
        <v>7.97209039977395</v>
      </c>
      <c r="C414" s="38" t="n">
        <v>0</v>
      </c>
      <c r="D414" s="39" t="n">
        <f aca="false">MAX(B414,C414)</f>
        <v>7.97209039977395</v>
      </c>
    </row>
    <row r="415" customFormat="false" ht="13" hidden="false" customHeight="false" outlineLevel="0" collapsed="false">
      <c r="A415" s="16" t="n">
        <v>398</v>
      </c>
      <c r="B415" s="38" t="n">
        <v>7.39421684778978</v>
      </c>
      <c r="C415" s="38" t="n">
        <v>0</v>
      </c>
      <c r="D415" s="39" t="n">
        <f aca="false">MAX(B415,C415)</f>
        <v>7.39421684778978</v>
      </c>
    </row>
    <row r="416" customFormat="false" ht="13" hidden="false" customHeight="false" outlineLevel="0" collapsed="false">
      <c r="A416" s="16" t="n">
        <v>399</v>
      </c>
      <c r="B416" s="38" t="n">
        <v>0</v>
      </c>
      <c r="C416" s="38" t="n">
        <v>2.0229293254165</v>
      </c>
      <c r="D416" s="39" t="n">
        <f aca="false">MAX(B416,C416)</f>
        <v>2.0229293254165</v>
      </c>
    </row>
    <row r="417" customFormat="false" ht="13" hidden="false" customHeight="false" outlineLevel="0" collapsed="false">
      <c r="A417" s="16" t="n">
        <v>400</v>
      </c>
      <c r="B417" s="38" t="n">
        <v>5.85040580207703</v>
      </c>
      <c r="C417" s="38" t="n">
        <v>0</v>
      </c>
      <c r="D417" s="39" t="n">
        <f aca="false">MAX(B417,C417)</f>
        <v>5.85040580207703</v>
      </c>
    </row>
    <row r="418" customFormat="false" ht="13" hidden="false" customHeight="false" outlineLevel="0" collapsed="false">
      <c r="A418" s="16" t="n">
        <v>401</v>
      </c>
      <c r="B418" s="38" t="n">
        <v>7.26496282994691</v>
      </c>
      <c r="C418" s="38" t="n">
        <v>0</v>
      </c>
      <c r="D418" s="39" t="n">
        <f aca="false">MAX(B418,C418)</f>
        <v>7.26496282994691</v>
      </c>
    </row>
    <row r="419" customFormat="false" ht="13" hidden="false" customHeight="false" outlineLevel="0" collapsed="false">
      <c r="A419" s="16" t="n">
        <v>402</v>
      </c>
      <c r="B419" s="38" t="n">
        <v>0</v>
      </c>
      <c r="C419" s="38" t="n">
        <v>2.23886730494246</v>
      </c>
      <c r="D419" s="39" t="n">
        <f aca="false">MAX(B419,C419)</f>
        <v>2.23886730494246</v>
      </c>
    </row>
    <row r="420" customFormat="false" ht="13" hidden="false" customHeight="false" outlineLevel="0" collapsed="false">
      <c r="A420" s="16" t="n">
        <v>403</v>
      </c>
      <c r="B420" s="38" t="n">
        <v>0</v>
      </c>
      <c r="C420" s="38" t="n">
        <v>4.26206374952307</v>
      </c>
      <c r="D420" s="39" t="n">
        <f aca="false">MAX(B420,C420)</f>
        <v>4.26206374952307</v>
      </c>
    </row>
    <row r="421" customFormat="false" ht="13" hidden="false" customHeight="false" outlineLevel="0" collapsed="false">
      <c r="A421" s="16" t="n">
        <v>404</v>
      </c>
      <c r="B421" s="38" t="n">
        <v>6.94225977430796</v>
      </c>
      <c r="C421" s="38" t="n">
        <v>0</v>
      </c>
      <c r="D421" s="39" t="n">
        <f aca="false">MAX(B421,C421)</f>
        <v>6.94225977430796</v>
      </c>
    </row>
    <row r="422" customFormat="false" ht="13" hidden="false" customHeight="false" outlineLevel="0" collapsed="false">
      <c r="A422" s="16" t="n">
        <v>405</v>
      </c>
      <c r="B422" s="38" t="n">
        <v>0</v>
      </c>
      <c r="C422" s="38" t="n">
        <v>2.17042220953499</v>
      </c>
      <c r="D422" s="39" t="n">
        <f aca="false">MAX(B422,C422)</f>
        <v>2.17042220953499</v>
      </c>
    </row>
    <row r="423" customFormat="false" ht="13" hidden="false" customHeight="false" outlineLevel="0" collapsed="false">
      <c r="A423" s="16" t="n">
        <v>406</v>
      </c>
      <c r="B423" s="38" t="n">
        <v>0</v>
      </c>
      <c r="C423" s="38" t="n">
        <v>3.889716107769</v>
      </c>
      <c r="D423" s="39" t="n">
        <f aca="false">MAX(B423,C423)</f>
        <v>3.889716107769</v>
      </c>
    </row>
    <row r="424" customFormat="false" ht="13" hidden="false" customHeight="false" outlineLevel="0" collapsed="false">
      <c r="A424" s="16" t="n">
        <v>407</v>
      </c>
      <c r="B424" s="38" t="n">
        <v>0</v>
      </c>
      <c r="C424" s="38" t="n">
        <v>4.04371562388252</v>
      </c>
      <c r="D424" s="39" t="n">
        <f aca="false">MAX(B424,C424)</f>
        <v>4.04371562388252</v>
      </c>
    </row>
    <row r="425" customFormat="false" ht="13" hidden="false" customHeight="false" outlineLevel="0" collapsed="false">
      <c r="A425" s="16" t="n">
        <v>408</v>
      </c>
      <c r="B425" s="38" t="n">
        <v>0</v>
      </c>
      <c r="C425" s="38" t="n">
        <v>6.0927517025155</v>
      </c>
      <c r="D425" s="39" t="n">
        <f aca="false">MAX(B425,C425)</f>
        <v>6.0927517025155</v>
      </c>
    </row>
    <row r="426" customFormat="false" ht="13" hidden="false" customHeight="false" outlineLevel="0" collapsed="false">
      <c r="A426" s="16" t="n">
        <v>409</v>
      </c>
      <c r="B426" s="38" t="n">
        <v>0</v>
      </c>
      <c r="C426" s="38" t="n">
        <v>7.38231951713408</v>
      </c>
      <c r="D426" s="39" t="n">
        <f aca="false">MAX(B426,C426)</f>
        <v>7.38231951713408</v>
      </c>
    </row>
    <row r="427" customFormat="false" ht="13" hidden="false" customHeight="false" outlineLevel="0" collapsed="false">
      <c r="A427" s="16" t="n">
        <v>410</v>
      </c>
      <c r="B427" s="38" t="n">
        <v>1.93616546651595</v>
      </c>
      <c r="C427" s="38" t="n">
        <v>0</v>
      </c>
      <c r="D427" s="39" t="n">
        <f aca="false">MAX(B427,C427)</f>
        <v>1.93616546651595</v>
      </c>
    </row>
    <row r="428" customFormat="false" ht="13" hidden="false" customHeight="false" outlineLevel="0" collapsed="false">
      <c r="A428" s="16" t="n">
        <v>411</v>
      </c>
      <c r="B428" s="38" t="n">
        <v>3.94972872707245</v>
      </c>
      <c r="C428" s="38" t="n">
        <v>0</v>
      </c>
      <c r="D428" s="39" t="n">
        <f aca="false">MAX(B428,C428)</f>
        <v>3.94972872707245</v>
      </c>
    </row>
    <row r="429" customFormat="false" ht="13" hidden="false" customHeight="false" outlineLevel="0" collapsed="false">
      <c r="A429" s="16" t="n">
        <v>412</v>
      </c>
      <c r="B429" s="38" t="n">
        <v>0</v>
      </c>
      <c r="C429" s="38" t="n">
        <v>8.74418356254307</v>
      </c>
      <c r="D429" s="39" t="n">
        <f aca="false">MAX(B429,C429)</f>
        <v>8.74418356254307</v>
      </c>
    </row>
    <row r="430" customFormat="false" ht="13" hidden="false" customHeight="false" outlineLevel="0" collapsed="false">
      <c r="A430" s="16" t="n">
        <v>413</v>
      </c>
      <c r="B430" s="38" t="n">
        <v>5.11609343319134</v>
      </c>
      <c r="C430" s="38" t="n">
        <v>0</v>
      </c>
      <c r="D430" s="39" t="n">
        <f aca="false">MAX(B430,C430)</f>
        <v>5.11609343319134</v>
      </c>
    </row>
    <row r="431" customFormat="false" ht="13" hidden="false" customHeight="false" outlineLevel="0" collapsed="false">
      <c r="A431" s="16" t="n">
        <v>414</v>
      </c>
      <c r="B431" s="38" t="n">
        <v>0</v>
      </c>
      <c r="C431" s="38" t="n">
        <v>10.2035295565389</v>
      </c>
      <c r="D431" s="39" t="n">
        <f aca="false">MAX(B431,C431)</f>
        <v>10.2035295565389</v>
      </c>
    </row>
    <row r="432" customFormat="false" ht="13" hidden="false" customHeight="false" outlineLevel="0" collapsed="false">
      <c r="A432" s="16" t="n">
        <v>415</v>
      </c>
      <c r="B432" s="38" t="n">
        <v>0</v>
      </c>
      <c r="C432" s="38" t="n">
        <v>12.0661111031825</v>
      </c>
      <c r="D432" s="39" t="n">
        <f aca="false">MAX(B432,C432)</f>
        <v>12.0661111031825</v>
      </c>
    </row>
    <row r="433" customFormat="false" ht="13" hidden="false" customHeight="false" outlineLevel="0" collapsed="false">
      <c r="A433" s="16" t="n">
        <v>416</v>
      </c>
      <c r="B433" s="38" t="n">
        <v>6.44140447293376</v>
      </c>
      <c r="C433" s="38" t="n">
        <v>0</v>
      </c>
      <c r="D433" s="39" t="n">
        <f aca="false">MAX(B433,C433)</f>
        <v>6.44140447293376</v>
      </c>
    </row>
    <row r="434" customFormat="false" ht="13" hidden="false" customHeight="false" outlineLevel="0" collapsed="false">
      <c r="A434" s="16" t="n">
        <v>417</v>
      </c>
      <c r="B434" s="38" t="n">
        <v>7.95909707135718</v>
      </c>
      <c r="C434" s="38" t="n">
        <v>0</v>
      </c>
      <c r="D434" s="39" t="n">
        <f aca="false">MAX(B434,C434)</f>
        <v>7.95909707135718</v>
      </c>
    </row>
    <row r="435" customFormat="false" ht="13" hidden="false" customHeight="false" outlineLevel="0" collapsed="false">
      <c r="A435" s="16" t="n">
        <v>418</v>
      </c>
      <c r="B435" s="38" t="n">
        <v>9.38730302578648</v>
      </c>
      <c r="C435" s="38" t="n">
        <v>0</v>
      </c>
      <c r="D435" s="39" t="n">
        <f aca="false">MAX(B435,C435)</f>
        <v>9.38730302578648</v>
      </c>
    </row>
    <row r="436" customFormat="false" ht="13" hidden="false" customHeight="false" outlineLevel="0" collapsed="false">
      <c r="A436" s="16" t="n">
        <v>419</v>
      </c>
      <c r="B436" s="38" t="n">
        <v>11.2840525083694</v>
      </c>
      <c r="C436" s="38" t="n">
        <v>0</v>
      </c>
      <c r="D436" s="39" t="n">
        <f aca="false">MAX(B436,C436)</f>
        <v>11.2840525083694</v>
      </c>
    </row>
    <row r="437" customFormat="false" ht="13" hidden="false" customHeight="false" outlineLevel="0" collapsed="false">
      <c r="A437" s="16" t="n">
        <v>420</v>
      </c>
      <c r="B437" s="38" t="n">
        <v>0</v>
      </c>
      <c r="C437" s="38" t="n">
        <v>10.1226076793931</v>
      </c>
      <c r="D437" s="39" t="n">
        <f aca="false">MAX(B437,C437)</f>
        <v>10.1226076793931</v>
      </c>
    </row>
    <row r="438" customFormat="false" ht="13" hidden="false" customHeight="false" outlineLevel="0" collapsed="false">
      <c r="A438" s="16" t="n">
        <v>421</v>
      </c>
      <c r="B438" s="38" t="n">
        <v>0</v>
      </c>
      <c r="C438" s="38" t="n">
        <v>11.8786858679355</v>
      </c>
      <c r="D438" s="39" t="n">
        <f aca="false">MAX(B438,C438)</f>
        <v>11.8786858679355</v>
      </c>
    </row>
    <row r="439" customFormat="false" ht="13" hidden="false" customHeight="false" outlineLevel="0" collapsed="false">
      <c r="A439" s="16" t="n">
        <v>422</v>
      </c>
      <c r="B439" s="38" t="n">
        <v>9.53562169508774</v>
      </c>
      <c r="C439" s="38" t="n">
        <v>0</v>
      </c>
      <c r="D439" s="39" t="n">
        <f aca="false">MAX(B439,C439)</f>
        <v>9.53562169508774</v>
      </c>
    </row>
    <row r="440" customFormat="false" ht="13" hidden="false" customHeight="false" outlineLevel="0" collapsed="false">
      <c r="A440" s="16" t="n">
        <v>423</v>
      </c>
      <c r="B440" s="38" t="n">
        <v>10.1845221363066</v>
      </c>
      <c r="C440" s="38" t="n">
        <v>0</v>
      </c>
      <c r="D440" s="39" t="n">
        <f aca="false">MAX(B440,C440)</f>
        <v>10.1845221363066</v>
      </c>
    </row>
    <row r="441" customFormat="false" ht="13" hidden="false" customHeight="false" outlineLevel="0" collapsed="false">
      <c r="A441" s="16" t="n">
        <v>424</v>
      </c>
      <c r="B441" s="38" t="n">
        <v>12.3141847166904</v>
      </c>
      <c r="C441" s="38" t="n">
        <v>0</v>
      </c>
      <c r="D441" s="39" t="n">
        <f aca="false">MAX(B441,C441)</f>
        <v>12.3141847166904</v>
      </c>
    </row>
    <row r="442" customFormat="false" ht="13" hidden="false" customHeight="false" outlineLevel="0" collapsed="false">
      <c r="A442" s="16" t="n">
        <v>425</v>
      </c>
      <c r="B442" s="38" t="n">
        <v>13.3058382433886</v>
      </c>
      <c r="C442" s="38" t="n">
        <v>0</v>
      </c>
      <c r="D442" s="39" t="n">
        <f aca="false">MAX(B442,C442)</f>
        <v>13.3058382433886</v>
      </c>
    </row>
    <row r="443" customFormat="false" ht="13" hidden="false" customHeight="false" outlineLevel="0" collapsed="false">
      <c r="A443" s="16" t="n">
        <v>426</v>
      </c>
      <c r="B443" s="38" t="n">
        <v>0</v>
      </c>
      <c r="C443" s="38" t="n">
        <v>7.71546441652583</v>
      </c>
      <c r="D443" s="39" t="n">
        <f aca="false">MAX(B443,C443)</f>
        <v>7.71546441652583</v>
      </c>
    </row>
    <row r="444" customFormat="false" ht="13" hidden="false" customHeight="false" outlineLevel="0" collapsed="false">
      <c r="A444" s="16" t="n">
        <v>427</v>
      </c>
      <c r="B444" s="38" t="n">
        <v>13.0579922379479</v>
      </c>
      <c r="C444" s="38" t="n">
        <v>0</v>
      </c>
      <c r="D444" s="39" t="n">
        <f aca="false">MAX(B444,C444)</f>
        <v>13.0579922379479</v>
      </c>
    </row>
    <row r="445" customFormat="false" ht="13" hidden="false" customHeight="false" outlineLevel="0" collapsed="false">
      <c r="A445" s="16" t="n">
        <v>428</v>
      </c>
      <c r="B445" s="38" t="n">
        <v>14.961364976677</v>
      </c>
      <c r="C445" s="38" t="n">
        <v>0</v>
      </c>
      <c r="D445" s="39" t="n">
        <f aca="false">MAX(B445,C445)</f>
        <v>14.961364976677</v>
      </c>
    </row>
    <row r="446" customFormat="false" ht="13" hidden="false" customHeight="false" outlineLevel="0" collapsed="false">
      <c r="A446" s="16" t="n">
        <v>429</v>
      </c>
      <c r="B446" s="38" t="n">
        <v>16.616446864774</v>
      </c>
      <c r="C446" s="38" t="n">
        <v>0</v>
      </c>
      <c r="D446" s="39" t="n">
        <f aca="false">MAX(B446,C446)</f>
        <v>16.616446864774</v>
      </c>
    </row>
    <row r="447" customFormat="false" ht="13" hidden="false" customHeight="false" outlineLevel="0" collapsed="false">
      <c r="A447" s="16" t="n">
        <v>430</v>
      </c>
      <c r="B447" s="38" t="n">
        <v>0</v>
      </c>
      <c r="C447" s="38" t="n">
        <v>8.53943603159451</v>
      </c>
      <c r="D447" s="39" t="n">
        <f aca="false">MAX(B447,C447)</f>
        <v>8.53943603159451</v>
      </c>
    </row>
    <row r="448" customFormat="false" ht="13" hidden="false" customHeight="false" outlineLevel="0" collapsed="false">
      <c r="A448" s="16" t="n">
        <v>431</v>
      </c>
      <c r="B448" s="38" t="n">
        <v>0</v>
      </c>
      <c r="C448" s="38" t="n">
        <v>10.2593736136237</v>
      </c>
      <c r="D448" s="39" t="n">
        <f aca="false">MAX(B448,C448)</f>
        <v>10.2593736136237</v>
      </c>
    </row>
    <row r="449" customFormat="false" ht="13" hidden="false" customHeight="false" outlineLevel="0" collapsed="false">
      <c r="A449" s="16" t="n">
        <v>432</v>
      </c>
      <c r="B449" s="38" t="n">
        <v>11.5204183939471</v>
      </c>
      <c r="C449" s="38" t="n">
        <v>0</v>
      </c>
      <c r="D449" s="39" t="n">
        <f aca="false">MAX(B449,C449)</f>
        <v>11.5204183939471</v>
      </c>
    </row>
    <row r="450" customFormat="false" ht="13" hidden="false" customHeight="false" outlineLevel="0" collapsed="false">
      <c r="A450" s="16" t="n">
        <v>433</v>
      </c>
      <c r="B450" s="38" t="n">
        <v>0</v>
      </c>
      <c r="C450" s="38" t="n">
        <v>4.41019111880053</v>
      </c>
      <c r="D450" s="39" t="n">
        <f aca="false">MAX(B450,C450)</f>
        <v>4.41019111880053</v>
      </c>
    </row>
    <row r="451" customFormat="false" ht="13" hidden="false" customHeight="false" outlineLevel="0" collapsed="false">
      <c r="A451" s="16" t="n">
        <v>434</v>
      </c>
      <c r="B451" s="38" t="n">
        <v>0</v>
      </c>
      <c r="C451" s="38" t="n">
        <v>6.0371859282381</v>
      </c>
      <c r="D451" s="39" t="n">
        <f aca="false">MAX(B451,C451)</f>
        <v>6.0371859282381</v>
      </c>
    </row>
    <row r="452" customFormat="false" ht="13" hidden="false" customHeight="false" outlineLevel="0" collapsed="false">
      <c r="A452" s="16" t="n">
        <v>435</v>
      </c>
      <c r="B452" s="38" t="n">
        <v>11.3942277006349</v>
      </c>
      <c r="C452" s="38" t="n">
        <v>0</v>
      </c>
      <c r="D452" s="39" t="n">
        <f aca="false">MAX(B452,C452)</f>
        <v>11.3942277006349</v>
      </c>
    </row>
    <row r="453" customFormat="false" ht="13" hidden="false" customHeight="false" outlineLevel="0" collapsed="false">
      <c r="A453" s="16" t="n">
        <v>436</v>
      </c>
      <c r="B453" s="38" t="n">
        <v>13.1340336467536</v>
      </c>
      <c r="C453" s="38" t="n">
        <v>0</v>
      </c>
      <c r="D453" s="39" t="n">
        <f aca="false">MAX(B453,C453)</f>
        <v>13.1340336467536</v>
      </c>
    </row>
    <row r="454" customFormat="false" ht="13" hidden="false" customHeight="false" outlineLevel="0" collapsed="false">
      <c r="A454" s="16" t="n">
        <v>437</v>
      </c>
      <c r="B454" s="38" t="n">
        <v>14.1184949597685</v>
      </c>
      <c r="C454" s="38" t="n">
        <v>0</v>
      </c>
      <c r="D454" s="39" t="n">
        <f aca="false">MAX(B454,C454)</f>
        <v>14.1184949597685</v>
      </c>
    </row>
    <row r="455" customFormat="false" ht="13" hidden="false" customHeight="false" outlineLevel="0" collapsed="false">
      <c r="A455" s="16" t="n">
        <v>438</v>
      </c>
      <c r="B455" s="38" t="n">
        <v>15.6403198834426</v>
      </c>
      <c r="C455" s="38" t="n">
        <v>0</v>
      </c>
      <c r="D455" s="39" t="n">
        <f aca="false">MAX(B455,C455)</f>
        <v>15.6403198834426</v>
      </c>
    </row>
    <row r="456" customFormat="false" ht="13" hidden="false" customHeight="false" outlineLevel="0" collapsed="false">
      <c r="A456" s="16" t="n">
        <v>439</v>
      </c>
      <c r="B456" s="38" t="n">
        <v>16.3056636948668</v>
      </c>
      <c r="C456" s="38" t="n">
        <v>0</v>
      </c>
      <c r="D456" s="39" t="n">
        <f aca="false">MAX(B456,C456)</f>
        <v>16.3056636948668</v>
      </c>
    </row>
    <row r="457" customFormat="false" ht="13" hidden="false" customHeight="false" outlineLevel="0" collapsed="false">
      <c r="A457" s="16" t="n">
        <v>440</v>
      </c>
      <c r="B457" s="38" t="n">
        <v>0</v>
      </c>
      <c r="C457" s="38" t="n">
        <v>4.42445316698559</v>
      </c>
      <c r="D457" s="39" t="n">
        <f aca="false">MAX(B457,C457)</f>
        <v>4.42445316698559</v>
      </c>
    </row>
    <row r="458" customFormat="false" ht="13" hidden="false" customHeight="false" outlineLevel="0" collapsed="false">
      <c r="A458" s="16" t="n">
        <v>441</v>
      </c>
      <c r="B458" s="38" t="n">
        <v>16.9539477521787</v>
      </c>
      <c r="C458" s="38" t="n">
        <v>0</v>
      </c>
      <c r="D458" s="39" t="n">
        <f aca="false">MAX(B458,C458)</f>
        <v>16.9539477521787</v>
      </c>
    </row>
    <row r="459" customFormat="false" ht="13" hidden="false" customHeight="false" outlineLevel="0" collapsed="false">
      <c r="A459" s="16" t="n">
        <v>442</v>
      </c>
      <c r="B459" s="38" t="n">
        <v>0</v>
      </c>
      <c r="C459" s="38" t="n">
        <v>4.47714201787551</v>
      </c>
      <c r="D459" s="39" t="n">
        <f aca="false">MAX(B459,C459)</f>
        <v>4.47714201787551</v>
      </c>
    </row>
    <row r="460" customFormat="false" ht="13" hidden="false" customHeight="false" outlineLevel="0" collapsed="false">
      <c r="A460" s="16" t="n">
        <v>443</v>
      </c>
      <c r="B460" s="38" t="n">
        <v>0</v>
      </c>
      <c r="C460" s="38" t="n">
        <v>5.71110242250592</v>
      </c>
      <c r="D460" s="39" t="n">
        <f aca="false">MAX(B460,C460)</f>
        <v>5.71110242250592</v>
      </c>
    </row>
    <row r="461" customFormat="false" ht="13" hidden="false" customHeight="false" outlineLevel="0" collapsed="false">
      <c r="A461" s="16" t="n">
        <v>444</v>
      </c>
      <c r="B461" s="38" t="n">
        <v>17.3213846977395</v>
      </c>
      <c r="C461" s="38" t="n">
        <v>0</v>
      </c>
      <c r="D461" s="39" t="n">
        <f aca="false">MAX(B461,C461)</f>
        <v>17.3213846977395</v>
      </c>
    </row>
    <row r="462" customFormat="false" ht="13" hidden="false" customHeight="false" outlineLevel="0" collapsed="false">
      <c r="A462" s="16" t="n">
        <v>445</v>
      </c>
      <c r="B462" s="38" t="n">
        <v>0</v>
      </c>
      <c r="C462" s="38" t="n">
        <v>6.87233138933118</v>
      </c>
      <c r="D462" s="39" t="n">
        <f aca="false">MAX(B462,C462)</f>
        <v>6.87233138933118</v>
      </c>
    </row>
    <row r="463" customFormat="false" ht="13" hidden="false" customHeight="false" outlineLevel="0" collapsed="false">
      <c r="A463" s="16" t="n">
        <v>446</v>
      </c>
      <c r="B463" s="38" t="n">
        <v>18.3595927567414</v>
      </c>
      <c r="C463" s="38" t="n">
        <v>0</v>
      </c>
      <c r="D463" s="39" t="n">
        <f aca="false">MAX(B463,C463)</f>
        <v>18.3595927567414</v>
      </c>
    </row>
    <row r="464" customFormat="false" ht="13" hidden="false" customHeight="false" outlineLevel="0" collapsed="false">
      <c r="A464" s="16" t="n">
        <v>447</v>
      </c>
      <c r="B464" s="38" t="n">
        <v>0</v>
      </c>
      <c r="C464" s="38" t="n">
        <v>6.20742816836463</v>
      </c>
      <c r="D464" s="39" t="n">
        <f aca="false">MAX(B464,C464)</f>
        <v>6.20742816836463</v>
      </c>
    </row>
    <row r="465" customFormat="false" ht="13" hidden="false" customHeight="false" outlineLevel="0" collapsed="false">
      <c r="A465" s="16" t="n">
        <v>448</v>
      </c>
      <c r="B465" s="38" t="n">
        <v>0</v>
      </c>
      <c r="C465" s="38" t="n">
        <v>8.1702086548317</v>
      </c>
      <c r="D465" s="39" t="n">
        <f aca="false">MAX(B465,C465)</f>
        <v>8.1702086548317</v>
      </c>
    </row>
    <row r="466" customFormat="false" ht="13" hidden="false" customHeight="false" outlineLevel="0" collapsed="false">
      <c r="A466" s="16" t="n">
        <v>449</v>
      </c>
      <c r="B466" s="38" t="n">
        <v>0</v>
      </c>
      <c r="C466" s="38" t="n">
        <v>8.84805644060475</v>
      </c>
      <c r="D466" s="39" t="n">
        <f aca="false">MAX(B466,C466)</f>
        <v>8.84805644060475</v>
      </c>
    </row>
    <row r="467" customFormat="false" ht="13" hidden="false" customHeight="false" outlineLevel="0" collapsed="false">
      <c r="A467" s="16" t="n">
        <v>450</v>
      </c>
      <c r="B467" s="38" t="n">
        <v>0</v>
      </c>
      <c r="C467" s="38" t="n">
        <v>9.82317411621949</v>
      </c>
      <c r="D467" s="39" t="n">
        <f aca="false">MAX(B467,C467)</f>
        <v>9.82317411621949</v>
      </c>
    </row>
    <row r="468" customFormat="false" ht="13" hidden="false" customHeight="false" outlineLevel="0" collapsed="false">
      <c r="A468" s="16" t="n">
        <v>451</v>
      </c>
      <c r="B468" s="38" t="n">
        <v>14.8588032083738</v>
      </c>
      <c r="C468" s="38" t="n">
        <v>0</v>
      </c>
      <c r="D468" s="39" t="n">
        <f aca="false">MAX(B468,C468)</f>
        <v>14.8588032083738</v>
      </c>
    </row>
    <row r="469" customFormat="false" ht="13" hidden="false" customHeight="false" outlineLevel="0" collapsed="false">
      <c r="A469" s="16" t="n">
        <v>452</v>
      </c>
      <c r="B469" s="38" t="n">
        <v>0</v>
      </c>
      <c r="C469" s="38" t="n">
        <v>8.57896504122942</v>
      </c>
      <c r="D469" s="39" t="n">
        <f aca="false">MAX(B469,C469)</f>
        <v>8.57896504122942</v>
      </c>
    </row>
    <row r="470" customFormat="false" ht="13" hidden="false" customHeight="false" outlineLevel="0" collapsed="false">
      <c r="A470" s="16" t="n">
        <v>453</v>
      </c>
      <c r="B470" s="38" t="n">
        <v>14.2682105625296</v>
      </c>
      <c r="C470" s="38" t="n">
        <v>0</v>
      </c>
      <c r="D470" s="39" t="n">
        <f aca="false">MAX(B470,C470)</f>
        <v>14.2682105625296</v>
      </c>
    </row>
    <row r="471" customFormat="false" ht="13" hidden="false" customHeight="false" outlineLevel="0" collapsed="false">
      <c r="A471" s="16" t="n">
        <v>454</v>
      </c>
      <c r="B471" s="38" t="n">
        <v>0</v>
      </c>
      <c r="C471" s="38" t="n">
        <v>7.51770316503064</v>
      </c>
      <c r="D471" s="39" t="n">
        <f aca="false">MAX(B471,C471)</f>
        <v>7.51770316503064</v>
      </c>
    </row>
    <row r="472" customFormat="false" ht="13" hidden="false" customHeight="false" outlineLevel="0" collapsed="false">
      <c r="A472" s="16" t="n">
        <v>455</v>
      </c>
      <c r="B472" s="38" t="n">
        <v>12.6656347171646</v>
      </c>
      <c r="C472" s="38" t="n">
        <v>0</v>
      </c>
      <c r="D472" s="39" t="n">
        <f aca="false">MAX(B472,C472)</f>
        <v>12.6656347171646</v>
      </c>
    </row>
    <row r="473" customFormat="false" ht="13" hidden="false" customHeight="false" outlineLevel="0" collapsed="false">
      <c r="A473" s="16" t="n">
        <v>456</v>
      </c>
      <c r="B473" s="38" t="n">
        <v>13.5070309481013</v>
      </c>
      <c r="C473" s="38" t="n">
        <v>0</v>
      </c>
      <c r="D473" s="39" t="n">
        <f aca="false">MAX(B473,C473)</f>
        <v>13.5070309481013</v>
      </c>
    </row>
    <row r="474" customFormat="false" ht="13" hidden="false" customHeight="false" outlineLevel="0" collapsed="false">
      <c r="A474" s="16" t="n">
        <v>457</v>
      </c>
      <c r="B474" s="38" t="n">
        <v>0</v>
      </c>
      <c r="C474" s="38" t="n">
        <v>6.26249950820119</v>
      </c>
      <c r="D474" s="39" t="n">
        <f aca="false">MAX(B474,C474)</f>
        <v>6.26249950820119</v>
      </c>
    </row>
    <row r="475" customFormat="false" ht="13" hidden="false" customHeight="false" outlineLevel="0" collapsed="false">
      <c r="A475" s="16" t="n">
        <v>458</v>
      </c>
      <c r="B475" s="38" t="n">
        <v>0</v>
      </c>
      <c r="C475" s="38" t="n">
        <v>8.28188781601637</v>
      </c>
      <c r="D475" s="39" t="n">
        <f aca="false">MAX(B475,C475)</f>
        <v>8.28188781601637</v>
      </c>
    </row>
    <row r="476" customFormat="false" ht="13" hidden="false" customHeight="false" outlineLevel="0" collapsed="false">
      <c r="A476" s="16" t="n">
        <v>459</v>
      </c>
      <c r="B476" s="38" t="n">
        <v>12.0002145301829</v>
      </c>
      <c r="C476" s="38" t="n">
        <v>0</v>
      </c>
      <c r="D476" s="39" t="n">
        <f aca="false">MAX(B476,C476)</f>
        <v>12.0002145301829</v>
      </c>
    </row>
    <row r="477" customFormat="false" ht="13" hidden="false" customHeight="false" outlineLevel="0" collapsed="false">
      <c r="A477" s="16" t="n">
        <v>460</v>
      </c>
      <c r="B477" s="38" t="n">
        <v>0</v>
      </c>
      <c r="C477" s="38" t="n">
        <v>5.12205068366143</v>
      </c>
      <c r="D477" s="39" t="n">
        <f aca="false">MAX(B477,C477)</f>
        <v>5.12205068366143</v>
      </c>
    </row>
    <row r="478" customFormat="false" ht="13" hidden="false" customHeight="false" outlineLevel="0" collapsed="false">
      <c r="A478" s="16" t="n">
        <v>461</v>
      </c>
      <c r="B478" s="38" t="n">
        <v>0</v>
      </c>
      <c r="C478" s="38" t="n">
        <v>6.7744287551738</v>
      </c>
      <c r="D478" s="39" t="n">
        <f aca="false">MAX(B478,C478)</f>
        <v>6.7744287551738</v>
      </c>
    </row>
    <row r="479" customFormat="false" ht="13" hidden="false" customHeight="false" outlineLevel="0" collapsed="false">
      <c r="A479" s="16" t="n">
        <v>462</v>
      </c>
      <c r="B479" s="38" t="n">
        <v>10.705542649935</v>
      </c>
      <c r="C479" s="38" t="n">
        <v>0</v>
      </c>
      <c r="D479" s="39" t="n">
        <f aca="false">MAX(B479,C479)</f>
        <v>10.705542649935</v>
      </c>
    </row>
    <row r="480" customFormat="false" ht="13" hidden="false" customHeight="false" outlineLevel="0" collapsed="false">
      <c r="A480" s="16" t="n">
        <v>463</v>
      </c>
      <c r="B480" s="38" t="n">
        <v>12.5139839362759</v>
      </c>
      <c r="C480" s="38" t="n">
        <v>0</v>
      </c>
      <c r="D480" s="39" t="n">
        <f aca="false">MAX(B480,C480)</f>
        <v>12.5139839362759</v>
      </c>
    </row>
    <row r="481" customFormat="false" ht="13" hidden="false" customHeight="false" outlineLevel="0" collapsed="false">
      <c r="A481" s="16" t="n">
        <v>464</v>
      </c>
      <c r="B481" s="38" t="n">
        <v>14.3906496749702</v>
      </c>
      <c r="C481" s="38" t="n">
        <v>0</v>
      </c>
      <c r="D481" s="39" t="n">
        <f aca="false">MAX(B481,C481)</f>
        <v>14.3906496749702</v>
      </c>
    </row>
    <row r="482" customFormat="false" ht="13" hidden="false" customHeight="false" outlineLevel="0" collapsed="false">
      <c r="A482" s="16" t="n">
        <v>465</v>
      </c>
      <c r="B482" s="38" t="n">
        <v>0</v>
      </c>
      <c r="C482" s="38" t="n">
        <v>7.72394054285849</v>
      </c>
      <c r="D482" s="39" t="n">
        <f aca="false">MAX(B482,C482)</f>
        <v>7.72394054285849</v>
      </c>
    </row>
    <row r="483" customFormat="false" ht="13" hidden="false" customHeight="false" outlineLevel="0" collapsed="false">
      <c r="A483" s="16" t="n">
        <v>466</v>
      </c>
      <c r="B483" s="38" t="n">
        <v>13.2864177713307</v>
      </c>
      <c r="C483" s="38" t="n">
        <v>0</v>
      </c>
      <c r="D483" s="39" t="n">
        <f aca="false">MAX(B483,C483)</f>
        <v>13.2864177713307</v>
      </c>
    </row>
    <row r="484" customFormat="false" ht="13" hidden="false" customHeight="false" outlineLevel="0" collapsed="false">
      <c r="A484" s="16" t="n">
        <v>467</v>
      </c>
      <c r="B484" s="38" t="n">
        <v>13.4006110485253</v>
      </c>
      <c r="C484" s="38" t="n">
        <v>0</v>
      </c>
      <c r="D484" s="39" t="n">
        <f aca="false">MAX(B484,C484)</f>
        <v>13.4006110485253</v>
      </c>
    </row>
    <row r="485" customFormat="false" ht="13" hidden="false" customHeight="false" outlineLevel="0" collapsed="false">
      <c r="A485" s="16" t="n">
        <v>468</v>
      </c>
      <c r="B485" s="38" t="n">
        <v>0</v>
      </c>
      <c r="C485" s="38" t="n">
        <v>3.11955060925516</v>
      </c>
      <c r="D485" s="39" t="n">
        <f aca="false">MAX(B485,C485)</f>
        <v>3.11955060925516</v>
      </c>
    </row>
    <row r="486" customFormat="false" ht="13" hidden="false" customHeight="false" outlineLevel="0" collapsed="false">
      <c r="A486" s="16" t="n">
        <v>469</v>
      </c>
      <c r="B486" s="38" t="n">
        <v>12.5371903908355</v>
      </c>
      <c r="C486" s="38" t="n">
        <v>0</v>
      </c>
      <c r="D486" s="39" t="n">
        <f aca="false">MAX(B486,C486)</f>
        <v>12.5371903908355</v>
      </c>
    </row>
    <row r="487" customFormat="false" ht="13" hidden="false" customHeight="false" outlineLevel="0" collapsed="false">
      <c r="A487" s="16" t="n">
        <v>470</v>
      </c>
      <c r="B487" s="38" t="n">
        <v>0</v>
      </c>
      <c r="C487" s="38" t="n">
        <v>3.71997036350217</v>
      </c>
      <c r="D487" s="39" t="n">
        <f aca="false">MAX(B487,C487)</f>
        <v>3.71997036350217</v>
      </c>
    </row>
    <row r="488" customFormat="false" ht="13" hidden="false" customHeight="false" outlineLevel="0" collapsed="false">
      <c r="A488" s="16" t="n">
        <v>471</v>
      </c>
      <c r="B488" s="38" t="n">
        <v>0</v>
      </c>
      <c r="C488" s="38" t="n">
        <v>3.95512396831924</v>
      </c>
      <c r="D488" s="39" t="n">
        <f aca="false">MAX(B488,C488)</f>
        <v>3.95512396831924</v>
      </c>
    </row>
    <row r="489" customFormat="false" ht="13" hidden="false" customHeight="false" outlineLevel="0" collapsed="false">
      <c r="A489" s="16" t="n">
        <v>472</v>
      </c>
      <c r="B489" s="38" t="n">
        <v>0</v>
      </c>
      <c r="C489" s="38" t="n">
        <v>5.29464403446332</v>
      </c>
      <c r="D489" s="39" t="n">
        <f aca="false">MAX(B489,C489)</f>
        <v>5.29464403446332</v>
      </c>
    </row>
    <row r="490" customFormat="false" ht="13" hidden="false" customHeight="false" outlineLevel="0" collapsed="false">
      <c r="A490" s="16" t="n">
        <v>473</v>
      </c>
      <c r="B490" s="38" t="n">
        <v>11.8595284585267</v>
      </c>
      <c r="C490" s="38" t="n">
        <v>0</v>
      </c>
      <c r="D490" s="39" t="n">
        <f aca="false">MAX(B490,C490)</f>
        <v>11.8595284585267</v>
      </c>
    </row>
    <row r="491" customFormat="false" ht="13" hidden="false" customHeight="false" outlineLevel="0" collapsed="false">
      <c r="A491" s="16" t="n">
        <v>474</v>
      </c>
      <c r="B491" s="38" t="n">
        <v>13.6647407754599</v>
      </c>
      <c r="C491" s="38" t="n">
        <v>0</v>
      </c>
      <c r="D491" s="39" t="n">
        <f aca="false">MAX(B491,C491)</f>
        <v>13.6647407754599</v>
      </c>
    </row>
    <row r="492" customFormat="false" ht="13" hidden="false" customHeight="false" outlineLevel="0" collapsed="false">
      <c r="A492" s="16" t="n">
        <v>475</v>
      </c>
      <c r="B492" s="38" t="n">
        <v>15.1955078465564</v>
      </c>
      <c r="C492" s="38" t="n">
        <v>0</v>
      </c>
      <c r="D492" s="39" t="n">
        <f aca="false">MAX(B492,C492)</f>
        <v>15.1955078465564</v>
      </c>
    </row>
    <row r="493" customFormat="false" ht="13" hidden="false" customHeight="false" outlineLevel="0" collapsed="false">
      <c r="A493" s="16" t="n">
        <v>476</v>
      </c>
      <c r="B493" s="38" t="n">
        <v>15.7902279783165</v>
      </c>
      <c r="C493" s="38" t="n">
        <v>0</v>
      </c>
      <c r="D493" s="39" t="n">
        <f aca="false">MAX(B493,C493)</f>
        <v>15.7902279783165</v>
      </c>
    </row>
    <row r="494" customFormat="false" ht="13" hidden="false" customHeight="false" outlineLevel="0" collapsed="false">
      <c r="A494" s="16" t="n">
        <v>477</v>
      </c>
      <c r="B494" s="38" t="n">
        <v>0</v>
      </c>
      <c r="C494" s="38" t="n">
        <v>5.20576095412048</v>
      </c>
      <c r="D494" s="39" t="n">
        <f aca="false">MAX(B494,C494)</f>
        <v>5.20576095412048</v>
      </c>
    </row>
    <row r="495" customFormat="false" ht="13" hidden="false" customHeight="false" outlineLevel="0" collapsed="false">
      <c r="A495" s="16" t="n">
        <v>478</v>
      </c>
      <c r="B495" s="38" t="n">
        <v>17.6527123840756</v>
      </c>
      <c r="C495" s="38" t="n">
        <v>0</v>
      </c>
      <c r="D495" s="39" t="n">
        <f aca="false">MAX(B495,C495)</f>
        <v>17.6527123840756</v>
      </c>
    </row>
    <row r="496" customFormat="false" ht="13" hidden="false" customHeight="false" outlineLevel="0" collapsed="false">
      <c r="A496" s="16" t="n">
        <v>479</v>
      </c>
      <c r="B496" s="38" t="n">
        <v>16.2872174579941</v>
      </c>
      <c r="C496" s="38" t="n">
        <v>0</v>
      </c>
      <c r="D496" s="39" t="n">
        <f aca="false">MAX(B496,C496)</f>
        <v>16.2872174579941</v>
      </c>
    </row>
    <row r="497" customFormat="false" ht="13" hidden="false" customHeight="false" outlineLevel="0" collapsed="false">
      <c r="A497" s="16" t="n">
        <v>480</v>
      </c>
      <c r="B497" s="38" t="n">
        <v>0</v>
      </c>
      <c r="C497" s="38" t="n">
        <v>2.32972635685144</v>
      </c>
      <c r="D497" s="39" t="n">
        <f aca="false">MAX(B497,C497)</f>
        <v>2.32972635685144</v>
      </c>
    </row>
    <row r="498" customFormat="false" ht="13" hidden="false" customHeight="false" outlineLevel="0" collapsed="false">
      <c r="A498" s="16" t="n">
        <v>481</v>
      </c>
      <c r="B498" s="38" t="n">
        <v>0</v>
      </c>
      <c r="C498" s="38" t="n">
        <v>4.14013257402212</v>
      </c>
      <c r="D498" s="39" t="n">
        <f aca="false">MAX(B498,C498)</f>
        <v>4.14013257402212</v>
      </c>
    </row>
    <row r="499" customFormat="false" ht="13" hidden="false" customHeight="false" outlineLevel="0" collapsed="false">
      <c r="A499" s="16" t="n">
        <v>482</v>
      </c>
      <c r="B499" s="38" t="n">
        <v>15.4414356487571</v>
      </c>
      <c r="C499" s="38" t="n">
        <v>0</v>
      </c>
      <c r="D499" s="39" t="n">
        <f aca="false">MAX(B499,C499)</f>
        <v>15.4414356487571</v>
      </c>
    </row>
    <row r="500" customFormat="false" ht="13" hidden="false" customHeight="false" outlineLevel="0" collapsed="false">
      <c r="A500" s="16" t="n">
        <v>483</v>
      </c>
      <c r="B500" s="38" t="n">
        <v>0</v>
      </c>
      <c r="C500" s="38" t="n">
        <v>5.27429206501506</v>
      </c>
      <c r="D500" s="39" t="n">
        <f aca="false">MAX(B500,C500)</f>
        <v>5.27429206501506</v>
      </c>
    </row>
    <row r="501" customFormat="false" ht="13" hidden="false" customHeight="false" outlineLevel="0" collapsed="false">
      <c r="A501" s="16" t="n">
        <v>484</v>
      </c>
      <c r="B501" s="38" t="n">
        <v>0</v>
      </c>
      <c r="C501" s="38" t="n">
        <v>6.77165748773302</v>
      </c>
      <c r="D501" s="39" t="n">
        <f aca="false">MAX(B501,C501)</f>
        <v>6.77165748773302</v>
      </c>
    </row>
    <row r="502" customFormat="false" ht="13" hidden="false" customHeight="false" outlineLevel="0" collapsed="false">
      <c r="A502" s="16" t="n">
        <v>485</v>
      </c>
      <c r="B502" s="38" t="n">
        <v>15.8699526639699</v>
      </c>
      <c r="C502" s="38" t="n">
        <v>0</v>
      </c>
      <c r="D502" s="39" t="n">
        <f aca="false">MAX(B502,C502)</f>
        <v>15.8699526639699</v>
      </c>
    </row>
    <row r="503" customFormat="false" ht="13" hidden="false" customHeight="false" outlineLevel="0" collapsed="false">
      <c r="A503" s="16" t="n">
        <v>486</v>
      </c>
      <c r="B503" s="38" t="n">
        <v>0</v>
      </c>
      <c r="C503" s="38" t="n">
        <v>5.70125028690813</v>
      </c>
      <c r="D503" s="39" t="n">
        <f aca="false">MAX(B503,C503)</f>
        <v>5.70125028690813</v>
      </c>
    </row>
    <row r="504" customFormat="false" ht="13" hidden="false" customHeight="false" outlineLevel="0" collapsed="false">
      <c r="A504" s="16" t="n">
        <v>487</v>
      </c>
      <c r="B504" s="38" t="n">
        <v>15.4721841648936</v>
      </c>
      <c r="C504" s="38" t="n">
        <v>0</v>
      </c>
      <c r="D504" s="39" t="n">
        <f aca="false">MAX(B504,C504)</f>
        <v>15.4721841648936</v>
      </c>
    </row>
    <row r="505" customFormat="false" ht="13" hidden="false" customHeight="false" outlineLevel="0" collapsed="false">
      <c r="A505" s="16" t="n">
        <v>488</v>
      </c>
      <c r="B505" s="38" t="n">
        <v>0</v>
      </c>
      <c r="C505" s="38" t="n">
        <v>5.91062168644601</v>
      </c>
      <c r="D505" s="39" t="n">
        <f aca="false">MAX(B505,C505)</f>
        <v>5.91062168644601</v>
      </c>
    </row>
    <row r="506" customFormat="false" ht="13" hidden="false" customHeight="false" outlineLevel="0" collapsed="false">
      <c r="A506" s="16" t="n">
        <v>489</v>
      </c>
      <c r="B506" s="38" t="n">
        <v>0</v>
      </c>
      <c r="C506" s="38" t="n">
        <v>7.82266501075242</v>
      </c>
      <c r="D506" s="39" t="n">
        <f aca="false">MAX(B506,C506)</f>
        <v>7.82266501075242</v>
      </c>
    </row>
    <row r="507" customFormat="false" ht="13" hidden="false" customHeight="false" outlineLevel="0" collapsed="false">
      <c r="A507" s="16" t="n">
        <v>490</v>
      </c>
      <c r="B507" s="38" t="n">
        <v>0</v>
      </c>
      <c r="C507" s="38" t="n">
        <v>9.65659577309521</v>
      </c>
      <c r="D507" s="39" t="n">
        <f aca="false">MAX(B507,C507)</f>
        <v>9.65659577309521</v>
      </c>
    </row>
    <row r="508" customFormat="false" ht="13" hidden="false" customHeight="false" outlineLevel="0" collapsed="false">
      <c r="A508" s="16" t="n">
        <v>491</v>
      </c>
      <c r="B508" s="38" t="n">
        <v>15.3740441733542</v>
      </c>
      <c r="C508" s="38" t="n">
        <v>0</v>
      </c>
      <c r="D508" s="39" t="n">
        <f aca="false">MAX(B508,C508)</f>
        <v>15.3740441733542</v>
      </c>
    </row>
    <row r="509" customFormat="false" ht="13" hidden="false" customHeight="false" outlineLevel="0" collapsed="false">
      <c r="A509" s="16" t="n">
        <v>492</v>
      </c>
      <c r="B509" s="38" t="n">
        <v>0</v>
      </c>
      <c r="C509" s="38" t="n">
        <v>7.93376851409232</v>
      </c>
      <c r="D509" s="39" t="n">
        <f aca="false">MAX(B509,C509)</f>
        <v>7.93376851409232</v>
      </c>
    </row>
    <row r="510" customFormat="false" ht="13" hidden="false" customHeight="false" outlineLevel="0" collapsed="false">
      <c r="A510" s="16" t="n">
        <v>493</v>
      </c>
      <c r="B510" s="38" t="n">
        <v>0</v>
      </c>
      <c r="C510" s="38" t="n">
        <v>7.92057187245598</v>
      </c>
      <c r="D510" s="39" t="n">
        <f aca="false">MAX(B510,C510)</f>
        <v>7.92057187245598</v>
      </c>
    </row>
    <row r="511" customFormat="false" ht="13" hidden="false" customHeight="false" outlineLevel="0" collapsed="false">
      <c r="A511" s="16" t="n">
        <v>494</v>
      </c>
      <c r="B511" s="38" t="n">
        <v>11.7984735664503</v>
      </c>
      <c r="C511" s="38" t="n">
        <v>0</v>
      </c>
      <c r="D511" s="39" t="n">
        <f aca="false">MAX(B511,C511)</f>
        <v>11.7984735664503</v>
      </c>
    </row>
    <row r="512" customFormat="false" ht="13" hidden="false" customHeight="false" outlineLevel="0" collapsed="false">
      <c r="A512" s="16" t="n">
        <v>495</v>
      </c>
      <c r="B512" s="38" t="n">
        <v>12.8175589448978</v>
      </c>
      <c r="C512" s="38" t="n">
        <v>0</v>
      </c>
      <c r="D512" s="39" t="n">
        <f aca="false">MAX(B512,C512)</f>
        <v>12.8175589448978</v>
      </c>
    </row>
    <row r="513" customFormat="false" ht="13" hidden="false" customHeight="false" outlineLevel="0" collapsed="false">
      <c r="A513" s="16" t="n">
        <v>496</v>
      </c>
      <c r="B513" s="38" t="n">
        <v>13.4525284213538</v>
      </c>
      <c r="C513" s="38" t="n">
        <v>0</v>
      </c>
      <c r="D513" s="39" t="n">
        <f aca="false">MAX(B513,C513)</f>
        <v>13.4525284213538</v>
      </c>
    </row>
    <row r="514" customFormat="false" ht="13" hidden="false" customHeight="false" outlineLevel="0" collapsed="false">
      <c r="A514" s="16" t="n">
        <v>497</v>
      </c>
      <c r="B514" s="38" t="n">
        <v>14.6166842133393</v>
      </c>
      <c r="C514" s="38" t="n">
        <v>0</v>
      </c>
      <c r="D514" s="39" t="n">
        <f aca="false">MAX(B514,C514)</f>
        <v>14.6166842133393</v>
      </c>
    </row>
    <row r="515" customFormat="false" ht="13" hidden="false" customHeight="false" outlineLevel="0" collapsed="false">
      <c r="A515" s="16" t="n">
        <v>498</v>
      </c>
      <c r="B515" s="38" t="n">
        <v>0</v>
      </c>
      <c r="C515" s="38" t="n">
        <v>6.2023837380583</v>
      </c>
      <c r="D515" s="39" t="n">
        <f aca="false">MAX(B515,C515)</f>
        <v>6.2023837380583</v>
      </c>
    </row>
    <row r="516" customFormat="false" ht="13" hidden="false" customHeight="false" outlineLevel="0" collapsed="false">
      <c r="A516" s="16" t="n">
        <v>499</v>
      </c>
      <c r="B516" s="38" t="n">
        <v>13.817262942092</v>
      </c>
      <c r="C516" s="38" t="n">
        <v>0</v>
      </c>
      <c r="D516" s="39" t="n">
        <f aca="false">MAX(B516,C516)</f>
        <v>13.817262942092</v>
      </c>
    </row>
    <row r="517" customFormat="false" ht="13" hidden="false" customHeight="false" outlineLevel="0" collapsed="false">
      <c r="A517" s="16" t="n">
        <v>500</v>
      </c>
      <c r="B517" s="38" t="n">
        <v>14.0168992845969</v>
      </c>
      <c r="C517" s="38" t="n">
        <v>0</v>
      </c>
      <c r="D517" s="39" t="n">
        <f aca="false">MAX(B517,C517)</f>
        <v>14.0168992845969</v>
      </c>
    </row>
    <row r="518" customFormat="false" ht="13" hidden="false" customHeight="false" outlineLevel="0" collapsed="false">
      <c r="A518" s="16" t="n">
        <v>501</v>
      </c>
      <c r="B518" s="38" t="n">
        <v>0</v>
      </c>
      <c r="C518" s="38" t="n">
        <v>3.44810664643683</v>
      </c>
      <c r="D518" s="39" t="n">
        <f aca="false">MAX(B518,C518)</f>
        <v>3.44810664643683</v>
      </c>
    </row>
    <row r="519" customFormat="false" ht="13" hidden="false" customHeight="false" outlineLevel="0" collapsed="false">
      <c r="A519" s="16" t="n">
        <v>502</v>
      </c>
      <c r="B519" s="38" t="n">
        <v>15.4845783937575</v>
      </c>
      <c r="C519" s="38" t="n">
        <v>0</v>
      </c>
      <c r="D519" s="39" t="n">
        <f aca="false">MAX(B519,C519)</f>
        <v>15.4845783937575</v>
      </c>
    </row>
    <row r="520" customFormat="false" ht="13" hidden="false" customHeight="false" outlineLevel="0" collapsed="false">
      <c r="A520" s="16" t="n">
        <v>503</v>
      </c>
      <c r="B520" s="38" t="n">
        <v>0</v>
      </c>
      <c r="C520" s="38" t="n">
        <v>4.42268396959514</v>
      </c>
      <c r="D520" s="39" t="n">
        <f aca="false">MAX(B520,C520)</f>
        <v>4.42268396959514</v>
      </c>
    </row>
    <row r="521" customFormat="false" ht="13" hidden="false" customHeight="false" outlineLevel="0" collapsed="false">
      <c r="A521" s="16" t="n">
        <v>504</v>
      </c>
      <c r="B521" s="38" t="n">
        <v>16.5850020318302</v>
      </c>
      <c r="C521" s="38" t="n">
        <v>0</v>
      </c>
      <c r="D521" s="39" t="n">
        <f aca="false">MAX(B521,C521)</f>
        <v>16.5850020318302</v>
      </c>
    </row>
    <row r="522" customFormat="false" ht="13" hidden="false" customHeight="false" outlineLevel="0" collapsed="false">
      <c r="A522" s="16" t="n">
        <v>505</v>
      </c>
      <c r="B522" s="38" t="n">
        <v>18.0862204070326</v>
      </c>
      <c r="C522" s="38" t="n">
        <v>0</v>
      </c>
      <c r="D522" s="39" t="n">
        <f aca="false">MAX(B522,C522)</f>
        <v>18.0862204070326</v>
      </c>
    </row>
    <row r="523" customFormat="false" ht="13" hidden="false" customHeight="false" outlineLevel="0" collapsed="false">
      <c r="A523" s="16" t="n">
        <v>506</v>
      </c>
      <c r="B523" s="38" t="n">
        <v>19.6160992968647</v>
      </c>
      <c r="C523" s="38" t="n">
        <v>0</v>
      </c>
      <c r="D523" s="39" t="n">
        <f aca="false">MAX(B523,C523)</f>
        <v>19.6160992968647</v>
      </c>
    </row>
    <row r="524" customFormat="false" ht="13" hidden="false" customHeight="false" outlineLevel="0" collapsed="false">
      <c r="A524" s="16" t="n">
        <v>507</v>
      </c>
      <c r="B524" s="38" t="n">
        <v>21.0490867358114</v>
      </c>
      <c r="C524" s="38" t="n">
        <v>0</v>
      </c>
      <c r="D524" s="39" t="n">
        <f aca="false">MAX(B524,C524)</f>
        <v>21.0490867358114</v>
      </c>
    </row>
    <row r="525" customFormat="false" ht="13" hidden="false" customHeight="false" outlineLevel="0" collapsed="false">
      <c r="A525" s="16" t="n">
        <v>508</v>
      </c>
      <c r="B525" s="38" t="n">
        <v>22.6590649409924</v>
      </c>
      <c r="C525" s="38" t="n">
        <v>0</v>
      </c>
      <c r="D525" s="39" t="n">
        <f aca="false">MAX(B525,C525)</f>
        <v>22.6590649409924</v>
      </c>
    </row>
    <row r="526" customFormat="false" ht="13" hidden="false" customHeight="false" outlineLevel="0" collapsed="false">
      <c r="A526" s="16" t="n">
        <v>509</v>
      </c>
      <c r="B526" s="38" t="n">
        <v>0</v>
      </c>
      <c r="C526" s="38" t="n">
        <v>3.50389294823094</v>
      </c>
      <c r="D526" s="39" t="n">
        <f aca="false">MAX(B526,C526)</f>
        <v>3.50389294823094</v>
      </c>
    </row>
    <row r="527" customFormat="false" ht="13" hidden="false" customHeight="false" outlineLevel="0" collapsed="false">
      <c r="A527" s="16" t="n">
        <v>510</v>
      </c>
      <c r="B527" s="38" t="n">
        <v>24.2295564646748</v>
      </c>
      <c r="C527" s="38" t="n">
        <v>0</v>
      </c>
      <c r="D527" s="39" t="n">
        <f aca="false">MAX(B527,C527)</f>
        <v>24.2295564646748</v>
      </c>
    </row>
    <row r="528" customFormat="false" ht="13" hidden="false" customHeight="false" outlineLevel="0" collapsed="false">
      <c r="A528" s="16" t="n">
        <v>511</v>
      </c>
      <c r="B528" s="38" t="n">
        <v>0</v>
      </c>
      <c r="C528" s="38" t="n">
        <v>4.84961777774811</v>
      </c>
      <c r="D528" s="39" t="n">
        <f aca="false">MAX(B528,C528)</f>
        <v>4.84961777774811</v>
      </c>
    </row>
    <row r="529" customFormat="false" ht="13" hidden="false" customHeight="false" outlineLevel="0" collapsed="false">
      <c r="A529" s="16" t="n">
        <v>512</v>
      </c>
      <c r="B529" s="38" t="n">
        <v>0</v>
      </c>
      <c r="C529" s="38" t="n">
        <v>6.07021091386969</v>
      </c>
      <c r="D529" s="39" t="n">
        <f aca="false">MAX(B529,C529)</f>
        <v>6.07021091386969</v>
      </c>
    </row>
    <row r="530" customFormat="false" ht="13" hidden="false" customHeight="false" outlineLevel="0" collapsed="false">
      <c r="A530" s="16" t="n">
        <v>513</v>
      </c>
      <c r="B530" s="38" t="n">
        <v>23.4923284604848</v>
      </c>
      <c r="C530" s="38" t="n">
        <v>0</v>
      </c>
      <c r="D530" s="39" t="n">
        <f aca="false">MAX(B530,C530)</f>
        <v>23.4923284604848</v>
      </c>
    </row>
    <row r="531" customFormat="false" ht="13" hidden="false" customHeight="false" outlineLevel="0" collapsed="false">
      <c r="A531" s="16" t="n">
        <v>514</v>
      </c>
      <c r="B531" s="38" t="n">
        <v>0</v>
      </c>
      <c r="C531" s="38" t="n">
        <v>5.73152160919142</v>
      </c>
      <c r="D531" s="39" t="n">
        <f aca="false">MAX(B531,C531)</f>
        <v>5.73152160919142</v>
      </c>
    </row>
    <row r="532" customFormat="false" ht="13" hidden="false" customHeight="false" outlineLevel="0" collapsed="false">
      <c r="A532" s="16" t="n">
        <v>515</v>
      </c>
      <c r="B532" s="38" t="n">
        <v>0</v>
      </c>
      <c r="C532" s="38" t="n">
        <v>7.67412988234992</v>
      </c>
      <c r="D532" s="39" t="n">
        <f aca="false">MAX(B532,C532)</f>
        <v>7.67412988234992</v>
      </c>
    </row>
    <row r="533" customFormat="false" ht="13" hidden="false" customHeight="false" outlineLevel="0" collapsed="false">
      <c r="A533" s="16" t="n">
        <v>516</v>
      </c>
      <c r="B533" s="38" t="n">
        <v>0</v>
      </c>
      <c r="C533" s="38" t="n">
        <v>7.95713466127825</v>
      </c>
      <c r="D533" s="39" t="n">
        <f aca="false">MAX(B533,C533)</f>
        <v>7.95713466127825</v>
      </c>
    </row>
    <row r="534" customFormat="false" ht="13" hidden="false" customHeight="false" outlineLevel="0" collapsed="false">
      <c r="A534" s="16" t="n">
        <v>517</v>
      </c>
      <c r="B534" s="38" t="n">
        <v>0</v>
      </c>
      <c r="C534" s="38" t="n">
        <v>6.57008454154925</v>
      </c>
      <c r="D534" s="39" t="n">
        <f aca="false">MAX(B534,C534)</f>
        <v>6.57008454154925</v>
      </c>
    </row>
    <row r="535" customFormat="false" ht="13" hidden="false" customHeight="false" outlineLevel="0" collapsed="false">
      <c r="A535" s="16" t="n">
        <v>518</v>
      </c>
      <c r="B535" s="38" t="n">
        <v>0</v>
      </c>
      <c r="C535" s="38" t="n">
        <v>6.94700609288407</v>
      </c>
      <c r="D535" s="39" t="n">
        <f aca="false">MAX(B535,C535)</f>
        <v>6.94700609288407</v>
      </c>
    </row>
    <row r="536" customFormat="false" ht="13" hidden="false" customHeight="false" outlineLevel="0" collapsed="false">
      <c r="A536" s="16" t="n">
        <v>519</v>
      </c>
      <c r="B536" s="38" t="n">
        <v>17.2212991410629</v>
      </c>
      <c r="C536" s="38" t="n">
        <v>0</v>
      </c>
      <c r="D536" s="39" t="n">
        <f aca="false">MAX(B536,C536)</f>
        <v>17.2212991410629</v>
      </c>
    </row>
    <row r="537" customFormat="false" ht="13" hidden="false" customHeight="false" outlineLevel="0" collapsed="false">
      <c r="A537" s="16" t="n">
        <v>520</v>
      </c>
      <c r="B537" s="38" t="n">
        <v>15.706314262457</v>
      </c>
      <c r="C537" s="38" t="n">
        <v>0</v>
      </c>
      <c r="D537" s="39" t="n">
        <f aca="false">MAX(B537,C537)</f>
        <v>15.706314262457</v>
      </c>
    </row>
    <row r="538" customFormat="false" ht="13" hidden="false" customHeight="false" outlineLevel="0" collapsed="false">
      <c r="A538" s="16" t="n">
        <v>521</v>
      </c>
      <c r="B538" s="38" t="n">
        <v>0</v>
      </c>
      <c r="C538" s="38" t="n">
        <v>3.97835224867663</v>
      </c>
      <c r="D538" s="39" t="n">
        <f aca="false">MAX(B538,C538)</f>
        <v>3.97835224867663</v>
      </c>
    </row>
    <row r="539" customFormat="false" ht="13" hidden="false" customHeight="false" outlineLevel="0" collapsed="false">
      <c r="A539" s="16" t="n">
        <v>522</v>
      </c>
      <c r="B539" s="38" t="n">
        <v>0</v>
      </c>
      <c r="C539" s="38" t="n">
        <v>4.15258965313399</v>
      </c>
      <c r="D539" s="39" t="n">
        <f aca="false">MAX(B539,C539)</f>
        <v>4.15258965313399</v>
      </c>
    </row>
    <row r="540" customFormat="false" ht="13" hidden="false" customHeight="false" outlineLevel="0" collapsed="false">
      <c r="A540" s="16" t="n">
        <v>523</v>
      </c>
      <c r="B540" s="38" t="n">
        <v>14.6165515555037</v>
      </c>
      <c r="C540" s="38" t="n">
        <v>0</v>
      </c>
      <c r="D540" s="39" t="n">
        <f aca="false">MAX(B540,C540)</f>
        <v>14.6165515555037</v>
      </c>
    </row>
    <row r="541" customFormat="false" ht="13" hidden="false" customHeight="false" outlineLevel="0" collapsed="false">
      <c r="A541" s="16" t="n">
        <v>524</v>
      </c>
      <c r="B541" s="38" t="n">
        <v>14.8997976040271</v>
      </c>
      <c r="C541" s="38" t="n">
        <v>0</v>
      </c>
      <c r="D541" s="39" t="n">
        <f aca="false">MAX(B541,C541)</f>
        <v>14.8997976040271</v>
      </c>
    </row>
    <row r="542" customFormat="false" ht="13" hidden="false" customHeight="false" outlineLevel="0" collapsed="false">
      <c r="A542" s="16" t="n">
        <v>525</v>
      </c>
      <c r="B542" s="38" t="n">
        <v>15.3730247640395</v>
      </c>
      <c r="C542" s="38" t="n">
        <v>0</v>
      </c>
      <c r="D542" s="39" t="n">
        <f aca="false">MAX(B542,C542)</f>
        <v>15.3730247640395</v>
      </c>
    </row>
    <row r="543" customFormat="false" ht="13" hidden="false" customHeight="false" outlineLevel="0" collapsed="false">
      <c r="A543" s="16" t="n">
        <v>526</v>
      </c>
      <c r="B543" s="38" t="n">
        <v>16.4560751904718</v>
      </c>
      <c r="C543" s="38" t="n">
        <v>0</v>
      </c>
      <c r="D543" s="39" t="n">
        <f aca="false">MAX(B543,C543)</f>
        <v>16.4560751904718</v>
      </c>
    </row>
    <row r="544" customFormat="false" ht="13" hidden="false" customHeight="false" outlineLevel="0" collapsed="false">
      <c r="A544" s="16" t="n">
        <v>527</v>
      </c>
      <c r="B544" s="38" t="n">
        <v>0</v>
      </c>
      <c r="C544" s="38" t="n">
        <v>1.76118438765707</v>
      </c>
      <c r="D544" s="39" t="n">
        <f aca="false">MAX(B544,C544)</f>
        <v>1.76118438765707</v>
      </c>
    </row>
    <row r="545" customFormat="false" ht="13" hidden="false" customHeight="false" outlineLevel="0" collapsed="false">
      <c r="A545" s="16" t="n">
        <v>528</v>
      </c>
      <c r="B545" s="38" t="n">
        <v>0</v>
      </c>
      <c r="C545" s="38" t="n">
        <v>2.16624824371502</v>
      </c>
      <c r="D545" s="39" t="n">
        <f aca="false">MAX(B545,C545)</f>
        <v>2.16624824371502</v>
      </c>
    </row>
    <row r="546" customFormat="false" ht="13" hidden="false" customHeight="false" outlineLevel="0" collapsed="false">
      <c r="A546" s="16" t="n">
        <v>529</v>
      </c>
      <c r="B546" s="38" t="n">
        <v>0</v>
      </c>
      <c r="C546" s="38" t="n">
        <v>2.03149079381615</v>
      </c>
      <c r="D546" s="39" t="n">
        <f aca="false">MAX(B546,C546)</f>
        <v>2.03149079381615</v>
      </c>
    </row>
    <row r="547" customFormat="false" ht="13" hidden="false" customHeight="false" outlineLevel="0" collapsed="false">
      <c r="A547" s="16" t="n">
        <v>530</v>
      </c>
      <c r="B547" s="38" t="n">
        <v>0</v>
      </c>
      <c r="C547" s="38" t="n">
        <v>2.86252151567373</v>
      </c>
      <c r="D547" s="39" t="n">
        <f aca="false">MAX(B547,C547)</f>
        <v>2.86252151567373</v>
      </c>
    </row>
    <row r="548" customFormat="false" ht="13" hidden="false" customHeight="false" outlineLevel="0" collapsed="false">
      <c r="A548" s="16" t="n">
        <v>531</v>
      </c>
      <c r="B548" s="38" t="n">
        <v>13.0843140891154</v>
      </c>
      <c r="C548" s="38" t="n">
        <v>0</v>
      </c>
      <c r="D548" s="39" t="n">
        <f aca="false">MAX(B548,C548)</f>
        <v>13.0843140891154</v>
      </c>
    </row>
    <row r="549" customFormat="false" ht="13" hidden="false" customHeight="false" outlineLevel="0" collapsed="false">
      <c r="A549" s="16" t="n">
        <v>532</v>
      </c>
      <c r="B549" s="38" t="n">
        <v>14.7604572058375</v>
      </c>
      <c r="C549" s="38" t="n">
        <v>0</v>
      </c>
      <c r="D549" s="39" t="n">
        <f aca="false">MAX(B549,C549)</f>
        <v>14.7604572058375</v>
      </c>
    </row>
    <row r="550" customFormat="false" ht="13" hidden="false" customHeight="false" outlineLevel="0" collapsed="false">
      <c r="A550" s="16" t="n">
        <v>533</v>
      </c>
      <c r="B550" s="38" t="n">
        <v>0</v>
      </c>
      <c r="C550" s="38" t="n">
        <v>4.22240149300001</v>
      </c>
      <c r="D550" s="39" t="n">
        <f aca="false">MAX(B550,C550)</f>
        <v>4.22240149300001</v>
      </c>
    </row>
    <row r="551" customFormat="false" ht="13" hidden="false" customHeight="false" outlineLevel="0" collapsed="false">
      <c r="A551" s="16" t="n">
        <v>534</v>
      </c>
      <c r="B551" s="38" t="n">
        <v>14.3373814675697</v>
      </c>
      <c r="C551" s="38" t="n">
        <v>0</v>
      </c>
      <c r="D551" s="39" t="n">
        <f aca="false">MAX(B551,C551)</f>
        <v>14.3373814675697</v>
      </c>
    </row>
    <row r="552" customFormat="false" ht="13" hidden="false" customHeight="false" outlineLevel="0" collapsed="false">
      <c r="A552" s="16" t="n">
        <v>535</v>
      </c>
      <c r="B552" s="38" t="n">
        <v>0</v>
      </c>
      <c r="C552" s="38" t="n">
        <v>4.11975225188951</v>
      </c>
      <c r="D552" s="39" t="n">
        <f aca="false">MAX(B552,C552)</f>
        <v>4.11975225188951</v>
      </c>
    </row>
    <row r="553" customFormat="false" ht="13" hidden="false" customHeight="false" outlineLevel="0" collapsed="false">
      <c r="A553" s="16" t="n">
        <v>536</v>
      </c>
      <c r="B553" s="38" t="n">
        <v>0</v>
      </c>
      <c r="C553" s="38" t="n">
        <v>5.97782939873832</v>
      </c>
      <c r="D553" s="39" t="n">
        <f aca="false">MAX(B553,C553)</f>
        <v>5.97782939873832</v>
      </c>
    </row>
    <row r="554" customFormat="false" ht="13" hidden="false" customHeight="false" outlineLevel="0" collapsed="false">
      <c r="A554" s="16" t="n">
        <v>537</v>
      </c>
      <c r="B554" s="38" t="n">
        <v>0</v>
      </c>
      <c r="C554" s="38" t="n">
        <v>7.8006615202936</v>
      </c>
      <c r="D554" s="39" t="n">
        <f aca="false">MAX(B554,C554)</f>
        <v>7.8006615202936</v>
      </c>
    </row>
    <row r="555" customFormat="false" ht="13" hidden="false" customHeight="false" outlineLevel="0" collapsed="false">
      <c r="A555" s="16" t="n">
        <v>538</v>
      </c>
      <c r="B555" s="38" t="n">
        <v>14.2131369757309</v>
      </c>
      <c r="C555" s="38" t="n">
        <v>0</v>
      </c>
      <c r="D555" s="39" t="n">
        <f aca="false">MAX(B555,C555)</f>
        <v>14.2131369757309</v>
      </c>
    </row>
    <row r="556" customFormat="false" ht="13" hidden="false" customHeight="false" outlineLevel="0" collapsed="false">
      <c r="A556" s="16" t="n">
        <v>539</v>
      </c>
      <c r="B556" s="38" t="n">
        <v>0</v>
      </c>
      <c r="C556" s="38" t="n">
        <v>8.62258810021694</v>
      </c>
      <c r="D556" s="39" t="n">
        <f aca="false">MAX(B556,C556)</f>
        <v>8.62258810021694</v>
      </c>
    </row>
    <row r="557" customFormat="false" ht="13" hidden="false" customHeight="false" outlineLevel="0" collapsed="false">
      <c r="A557" s="16" t="n">
        <v>540</v>
      </c>
      <c r="B557" s="38" t="n">
        <v>0</v>
      </c>
      <c r="C557" s="38" t="n">
        <v>9.98963777791801</v>
      </c>
      <c r="D557" s="39" t="n">
        <f aca="false">MAX(B557,C557)</f>
        <v>9.98963777791801</v>
      </c>
    </row>
    <row r="558" customFormat="false" ht="13" hidden="false" customHeight="false" outlineLevel="0" collapsed="false">
      <c r="A558" s="16" t="n">
        <v>541</v>
      </c>
      <c r="B558" s="38" t="n">
        <v>0</v>
      </c>
      <c r="C558" s="38" t="n">
        <v>11.4106182463951</v>
      </c>
      <c r="D558" s="39" t="n">
        <f aca="false">MAX(B558,C558)</f>
        <v>11.4106182463951</v>
      </c>
    </row>
    <row r="559" customFormat="false" ht="13" hidden="false" customHeight="false" outlineLevel="0" collapsed="false">
      <c r="A559" s="16" t="n">
        <v>542</v>
      </c>
      <c r="B559" s="38" t="n">
        <v>0</v>
      </c>
      <c r="C559" s="38" t="n">
        <v>12.6800905797749</v>
      </c>
      <c r="D559" s="39" t="n">
        <f aca="false">MAX(B559,C559)</f>
        <v>12.6800905797749</v>
      </c>
    </row>
    <row r="560" customFormat="false" ht="13" hidden="false" customHeight="false" outlineLevel="0" collapsed="false">
      <c r="A560" s="16" t="n">
        <v>543</v>
      </c>
      <c r="B560" s="38" t="n">
        <v>0</v>
      </c>
      <c r="C560" s="38" t="n">
        <v>14.8154581974558</v>
      </c>
      <c r="D560" s="39" t="n">
        <f aca="false">MAX(B560,C560)</f>
        <v>14.8154581974558</v>
      </c>
    </row>
    <row r="561" customFormat="false" ht="13" hidden="false" customHeight="false" outlineLevel="0" collapsed="false">
      <c r="A561" s="16" t="n">
        <v>544</v>
      </c>
      <c r="B561" s="38" t="n">
        <v>13.1019755051817</v>
      </c>
      <c r="C561" s="38" t="n">
        <v>0</v>
      </c>
      <c r="D561" s="39" t="n">
        <f aca="false">MAX(B561,C561)</f>
        <v>13.1019755051817</v>
      </c>
    </row>
    <row r="562" customFormat="false" ht="13" hidden="false" customHeight="false" outlineLevel="0" collapsed="false">
      <c r="A562" s="16" t="n">
        <v>545</v>
      </c>
      <c r="B562" s="38" t="n">
        <v>14.7170362700622</v>
      </c>
      <c r="C562" s="38" t="n">
        <v>0</v>
      </c>
      <c r="D562" s="39" t="n">
        <f aca="false">MAX(B562,C562)</f>
        <v>14.7170362700622</v>
      </c>
    </row>
    <row r="563" customFormat="false" ht="13" hidden="false" customHeight="false" outlineLevel="0" collapsed="false">
      <c r="A563" s="16" t="n">
        <v>546</v>
      </c>
      <c r="B563" s="38" t="n">
        <v>16.4491960223216</v>
      </c>
      <c r="C563" s="38" t="n">
        <v>0</v>
      </c>
      <c r="D563" s="39" t="n">
        <f aca="false">MAX(B563,C563)</f>
        <v>16.4491960223216</v>
      </c>
    </row>
    <row r="564" customFormat="false" ht="13" hidden="false" customHeight="false" outlineLevel="0" collapsed="false">
      <c r="A564" s="16" t="n">
        <v>547</v>
      </c>
      <c r="B564" s="38" t="n">
        <v>18.112691455714</v>
      </c>
      <c r="C564" s="38" t="n">
        <v>0</v>
      </c>
      <c r="D564" s="39" t="n">
        <f aca="false">MAX(B564,C564)</f>
        <v>18.112691455714</v>
      </c>
    </row>
    <row r="565" customFormat="false" ht="13" hidden="false" customHeight="false" outlineLevel="0" collapsed="false">
      <c r="A565" s="16" t="n">
        <v>548</v>
      </c>
      <c r="B565" s="38" t="n">
        <v>19.7706514925542</v>
      </c>
      <c r="C565" s="38" t="n">
        <v>0</v>
      </c>
      <c r="D565" s="39" t="n">
        <f aca="false">MAX(B565,C565)</f>
        <v>19.7706514925542</v>
      </c>
    </row>
    <row r="566" customFormat="false" ht="13" hidden="false" customHeight="false" outlineLevel="0" collapsed="false">
      <c r="A566" s="16" t="n">
        <v>549</v>
      </c>
      <c r="B566" s="38" t="n">
        <v>20.8759758400013</v>
      </c>
      <c r="C566" s="38" t="n">
        <v>0</v>
      </c>
      <c r="D566" s="39" t="n">
        <f aca="false">MAX(B566,C566)</f>
        <v>20.8759758400013</v>
      </c>
    </row>
    <row r="567" customFormat="false" ht="13" hidden="false" customHeight="false" outlineLevel="0" collapsed="false">
      <c r="A567" s="16" t="n">
        <v>550</v>
      </c>
      <c r="B567" s="38" t="n">
        <v>0</v>
      </c>
      <c r="C567" s="38" t="n">
        <v>13.691211111372</v>
      </c>
      <c r="D567" s="39" t="n">
        <f aca="false">MAX(B567,C567)</f>
        <v>13.691211111372</v>
      </c>
    </row>
    <row r="568" customFormat="false" ht="13" hidden="false" customHeight="false" outlineLevel="0" collapsed="false">
      <c r="A568" s="16" t="n">
        <v>551</v>
      </c>
      <c r="B568" s="38" t="n">
        <v>0</v>
      </c>
      <c r="C568" s="38" t="n">
        <v>13.6145536755387</v>
      </c>
      <c r="D568" s="39" t="n">
        <f aca="false">MAX(B568,C568)</f>
        <v>13.6145536755387</v>
      </c>
    </row>
    <row r="569" customFormat="false" ht="13" hidden="false" customHeight="false" outlineLevel="0" collapsed="false">
      <c r="A569" s="16" t="n">
        <v>552</v>
      </c>
      <c r="B569" s="38" t="n">
        <v>0</v>
      </c>
      <c r="C569" s="38" t="n">
        <v>15.1444028751337</v>
      </c>
      <c r="D569" s="39" t="n">
        <f aca="false">MAX(B569,C569)</f>
        <v>15.1444028751337</v>
      </c>
    </row>
    <row r="570" customFormat="false" ht="13" hidden="false" customHeight="false" outlineLevel="0" collapsed="false">
      <c r="A570" s="16" t="n">
        <v>553</v>
      </c>
      <c r="B570" s="38" t="n">
        <v>0</v>
      </c>
      <c r="C570" s="38" t="n">
        <v>16.8377812034605</v>
      </c>
      <c r="D570" s="39" t="n">
        <f aca="false">MAX(B570,C570)</f>
        <v>16.8377812034605</v>
      </c>
    </row>
    <row r="571" customFormat="false" ht="13" hidden="false" customHeight="false" outlineLevel="0" collapsed="false">
      <c r="A571" s="16" t="n">
        <v>554</v>
      </c>
      <c r="B571" s="38" t="n">
        <v>0</v>
      </c>
      <c r="C571" s="38" t="n">
        <v>17.2843556372092</v>
      </c>
      <c r="D571" s="39" t="n">
        <f aca="false">MAX(B571,C571)</f>
        <v>17.2843556372092</v>
      </c>
    </row>
    <row r="572" customFormat="false" ht="13" hidden="false" customHeight="false" outlineLevel="0" collapsed="false">
      <c r="A572" s="16" t="n">
        <v>555</v>
      </c>
      <c r="B572" s="38" t="n">
        <v>18.4744895433353</v>
      </c>
      <c r="C572" s="38" t="n">
        <v>0</v>
      </c>
      <c r="D572" s="39" t="n">
        <f aca="false">MAX(B572,C572)</f>
        <v>18.4744895433353</v>
      </c>
    </row>
    <row r="573" customFormat="false" ht="13" hidden="false" customHeight="false" outlineLevel="0" collapsed="false">
      <c r="A573" s="16" t="n">
        <v>556</v>
      </c>
      <c r="B573" s="38" t="n">
        <v>19.293966830887</v>
      </c>
      <c r="C573" s="38" t="n">
        <v>0</v>
      </c>
      <c r="D573" s="39" t="n">
        <f aca="false">MAX(B573,C573)</f>
        <v>19.293966830887</v>
      </c>
    </row>
    <row r="574" customFormat="false" ht="13" hidden="false" customHeight="false" outlineLevel="0" collapsed="false">
      <c r="A574" s="16" t="n">
        <v>557</v>
      </c>
      <c r="B574" s="38" t="n">
        <v>0</v>
      </c>
      <c r="C574" s="38" t="n">
        <v>14.203452406168</v>
      </c>
      <c r="D574" s="39" t="n">
        <f aca="false">MAX(B574,C574)</f>
        <v>14.203452406168</v>
      </c>
    </row>
    <row r="575" customFormat="false" ht="13" hidden="false" customHeight="false" outlineLevel="0" collapsed="false">
      <c r="A575" s="16" t="n">
        <v>558</v>
      </c>
      <c r="B575" s="38" t="n">
        <v>0</v>
      </c>
      <c r="C575" s="38" t="n">
        <v>16.0513786504803</v>
      </c>
      <c r="D575" s="39" t="n">
        <f aca="false">MAX(B575,C575)</f>
        <v>16.0513786504803</v>
      </c>
    </row>
    <row r="576" customFormat="false" ht="13" hidden="false" customHeight="false" outlineLevel="0" collapsed="false">
      <c r="A576" s="16" t="n">
        <v>559</v>
      </c>
      <c r="B576" s="38" t="n">
        <v>16.160332040657</v>
      </c>
      <c r="C576" s="38" t="n">
        <v>0</v>
      </c>
      <c r="D576" s="39" t="n">
        <f aca="false">MAX(B576,C576)</f>
        <v>16.160332040657</v>
      </c>
    </row>
    <row r="577" customFormat="false" ht="13" hidden="false" customHeight="false" outlineLevel="0" collapsed="false">
      <c r="A577" s="16" t="n">
        <v>560</v>
      </c>
      <c r="B577" s="38" t="n">
        <v>17.8557377621098</v>
      </c>
      <c r="C577" s="38" t="n">
        <v>0</v>
      </c>
      <c r="D577" s="39" t="n">
        <f aca="false">MAX(B577,C577)</f>
        <v>17.8557377621098</v>
      </c>
    </row>
    <row r="578" customFormat="false" ht="13" hidden="false" customHeight="false" outlineLevel="0" collapsed="false">
      <c r="A578" s="16" t="n">
        <v>561</v>
      </c>
      <c r="B578" s="38" t="n">
        <v>19.1024922347633</v>
      </c>
      <c r="C578" s="38" t="n">
        <v>0</v>
      </c>
      <c r="D578" s="39" t="n">
        <f aca="false">MAX(B578,C578)</f>
        <v>19.1024922347633</v>
      </c>
    </row>
    <row r="579" customFormat="false" ht="13" hidden="false" customHeight="false" outlineLevel="0" collapsed="false">
      <c r="A579" s="16" t="n">
        <v>562</v>
      </c>
      <c r="B579" s="38" t="n">
        <v>20.8168188380744</v>
      </c>
      <c r="C579" s="38" t="n">
        <v>0</v>
      </c>
      <c r="D579" s="39" t="n">
        <f aca="false">MAX(B579,C579)</f>
        <v>20.8168188380744</v>
      </c>
    </row>
    <row r="580" customFormat="false" ht="13" hidden="false" customHeight="false" outlineLevel="0" collapsed="false">
      <c r="A580" s="16" t="n">
        <v>563</v>
      </c>
      <c r="B580" s="38" t="n">
        <v>22.2376920787117</v>
      </c>
      <c r="C580" s="38" t="n">
        <v>0</v>
      </c>
      <c r="D580" s="39" t="n">
        <f aca="false">MAX(B580,C580)</f>
        <v>22.2376920787117</v>
      </c>
    </row>
    <row r="581" customFormat="false" ht="13" hidden="false" customHeight="false" outlineLevel="0" collapsed="false">
      <c r="A581" s="16" t="n">
        <v>564</v>
      </c>
      <c r="B581" s="38" t="n">
        <v>0</v>
      </c>
      <c r="C581" s="38" t="n">
        <v>14.033990606295</v>
      </c>
      <c r="D581" s="39" t="n">
        <f aca="false">MAX(B581,C581)</f>
        <v>14.033990606295</v>
      </c>
    </row>
    <row r="582" customFormat="false" ht="13" hidden="false" customHeight="false" outlineLevel="0" collapsed="false">
      <c r="A582" s="16" t="n">
        <v>565</v>
      </c>
      <c r="B582" s="38" t="n">
        <v>0</v>
      </c>
      <c r="C582" s="38" t="n">
        <v>14.5350927803772</v>
      </c>
      <c r="D582" s="39" t="n">
        <f aca="false">MAX(B582,C582)</f>
        <v>14.5350927803772</v>
      </c>
    </row>
    <row r="583" customFormat="false" ht="13" hidden="false" customHeight="false" outlineLevel="0" collapsed="false">
      <c r="A583" s="16" t="n">
        <v>566</v>
      </c>
      <c r="B583" s="38" t="n">
        <v>0</v>
      </c>
      <c r="C583" s="38" t="n">
        <v>16.2338716491811</v>
      </c>
      <c r="D583" s="39" t="n">
        <f aca="false">MAX(B583,C583)</f>
        <v>16.2338716491811</v>
      </c>
    </row>
    <row r="584" customFormat="false" ht="13" hidden="false" customHeight="false" outlineLevel="0" collapsed="false">
      <c r="A584" s="16" t="n">
        <v>567</v>
      </c>
      <c r="B584" s="38" t="n">
        <v>0</v>
      </c>
      <c r="C584" s="38" t="n">
        <v>17.9986671962573</v>
      </c>
      <c r="D584" s="39" t="n">
        <f aca="false">MAX(B584,C584)</f>
        <v>17.9986671962573</v>
      </c>
    </row>
    <row r="585" customFormat="false" ht="13" hidden="false" customHeight="false" outlineLevel="0" collapsed="false">
      <c r="A585" s="16" t="n">
        <v>568</v>
      </c>
      <c r="B585" s="38" t="n">
        <v>20.7733963232798</v>
      </c>
      <c r="C585" s="38" t="n">
        <v>0</v>
      </c>
      <c r="D585" s="39" t="n">
        <f aca="false">MAX(B585,C585)</f>
        <v>20.7733963232798</v>
      </c>
    </row>
    <row r="586" customFormat="false" ht="13" hidden="false" customHeight="false" outlineLevel="0" collapsed="false">
      <c r="A586" s="16" t="n">
        <v>569</v>
      </c>
      <c r="B586" s="38" t="n">
        <v>21.369353869947</v>
      </c>
      <c r="C586" s="38" t="n">
        <v>0</v>
      </c>
      <c r="D586" s="39" t="n">
        <f aca="false">MAX(B586,C586)</f>
        <v>21.369353869947</v>
      </c>
    </row>
    <row r="587" customFormat="false" ht="13" hidden="false" customHeight="false" outlineLevel="0" collapsed="false">
      <c r="A587" s="16" t="n">
        <v>570</v>
      </c>
      <c r="B587" s="38" t="n">
        <v>0</v>
      </c>
      <c r="C587" s="38" t="n">
        <v>17.4996731665108</v>
      </c>
      <c r="D587" s="39" t="n">
        <f aca="false">MAX(B587,C587)</f>
        <v>17.4996731665108</v>
      </c>
    </row>
    <row r="588" customFormat="false" ht="13" hidden="false" customHeight="false" outlineLevel="0" collapsed="false">
      <c r="A588" s="16" t="n">
        <v>571</v>
      </c>
      <c r="B588" s="38" t="n">
        <v>0</v>
      </c>
      <c r="C588" s="38" t="n">
        <v>15.7150302823005</v>
      </c>
      <c r="D588" s="39" t="n">
        <f aca="false">MAX(B588,C588)</f>
        <v>15.7150302823005</v>
      </c>
    </row>
    <row r="589" customFormat="false" ht="13" hidden="false" customHeight="false" outlineLevel="0" collapsed="false">
      <c r="A589" s="16" t="n">
        <v>572</v>
      </c>
      <c r="B589" s="38" t="n">
        <v>0</v>
      </c>
      <c r="C589" s="38" t="n">
        <v>17.7153085149059</v>
      </c>
      <c r="D589" s="39" t="n">
        <f aca="false">MAX(B589,C589)</f>
        <v>17.7153085149059</v>
      </c>
    </row>
    <row r="590" customFormat="false" ht="13" hidden="false" customHeight="false" outlineLevel="0" collapsed="false">
      <c r="A590" s="16" t="n">
        <v>573</v>
      </c>
      <c r="B590" s="38" t="n">
        <v>14.4486369795741</v>
      </c>
      <c r="C590" s="38" t="n">
        <v>0</v>
      </c>
      <c r="D590" s="39" t="n">
        <f aca="false">MAX(B590,C590)</f>
        <v>14.4486369795741</v>
      </c>
    </row>
    <row r="591" customFormat="false" ht="13" hidden="false" customHeight="false" outlineLevel="0" collapsed="false">
      <c r="A591" s="16" t="n">
        <v>574</v>
      </c>
      <c r="B591" s="38" t="n">
        <v>16.3536307452875</v>
      </c>
      <c r="C591" s="38" t="n">
        <v>0</v>
      </c>
      <c r="D591" s="39" t="n">
        <f aca="false">MAX(B591,C591)</f>
        <v>16.3536307452875</v>
      </c>
    </row>
    <row r="592" customFormat="false" ht="13" hidden="false" customHeight="false" outlineLevel="0" collapsed="false">
      <c r="A592" s="16" t="n">
        <v>575</v>
      </c>
      <c r="B592" s="38" t="n">
        <v>17.2715223301781</v>
      </c>
      <c r="C592" s="38" t="n">
        <v>0</v>
      </c>
      <c r="D592" s="39" t="n">
        <f aca="false">MAX(B592,C592)</f>
        <v>17.2715223301781</v>
      </c>
    </row>
    <row r="593" customFormat="false" ht="13" hidden="false" customHeight="false" outlineLevel="0" collapsed="false">
      <c r="A593" s="16" t="n">
        <v>576</v>
      </c>
      <c r="B593" s="38" t="n">
        <v>18.9321041380664</v>
      </c>
      <c r="C593" s="38" t="n">
        <v>0</v>
      </c>
      <c r="D593" s="39" t="n">
        <f aca="false">MAX(B593,C593)</f>
        <v>18.9321041380664</v>
      </c>
    </row>
    <row r="594" customFormat="false" ht="13" hidden="false" customHeight="false" outlineLevel="0" collapsed="false">
      <c r="A594" s="16" t="n">
        <v>577</v>
      </c>
      <c r="B594" s="38" t="n">
        <v>20.0804258642224</v>
      </c>
      <c r="C594" s="38" t="n">
        <v>0</v>
      </c>
      <c r="D594" s="39" t="n">
        <f aca="false">MAX(B594,C594)</f>
        <v>20.0804258642224</v>
      </c>
    </row>
    <row r="595" customFormat="false" ht="13" hidden="false" customHeight="false" outlineLevel="0" collapsed="false">
      <c r="A595" s="16" t="n">
        <v>578</v>
      </c>
      <c r="B595" s="38" t="n">
        <v>20.9244295588962</v>
      </c>
      <c r="C595" s="38" t="n">
        <v>0</v>
      </c>
      <c r="D595" s="39" t="n">
        <f aca="false">MAX(B595,C595)</f>
        <v>20.9244295588962</v>
      </c>
    </row>
    <row r="596" customFormat="false" ht="13" hidden="false" customHeight="false" outlineLevel="0" collapsed="false">
      <c r="A596" s="16" t="n">
        <v>579</v>
      </c>
      <c r="B596" s="38" t="n">
        <v>22.4178014051854</v>
      </c>
      <c r="C596" s="38" t="n">
        <v>0</v>
      </c>
      <c r="D596" s="39" t="n">
        <f aca="false">MAX(B596,C596)</f>
        <v>22.4178014051854</v>
      </c>
    </row>
    <row r="597" customFormat="false" ht="13" hidden="false" customHeight="false" outlineLevel="0" collapsed="false">
      <c r="A597" s="16" t="n">
        <v>580</v>
      </c>
      <c r="B597" s="38" t="n">
        <v>24.3434460948565</v>
      </c>
      <c r="C597" s="38" t="n">
        <v>0</v>
      </c>
      <c r="D597" s="39" t="n">
        <f aca="false">MAX(B597,C597)</f>
        <v>24.3434460948565</v>
      </c>
    </row>
    <row r="598" customFormat="false" ht="13" hidden="false" customHeight="false" outlineLevel="0" collapsed="false">
      <c r="A598" s="16" t="n">
        <v>581</v>
      </c>
      <c r="B598" s="38" t="n">
        <v>0</v>
      </c>
      <c r="C598" s="38" t="n">
        <v>10.9862630036012</v>
      </c>
      <c r="D598" s="39" t="n">
        <f aca="false">MAX(B598,C598)</f>
        <v>10.9862630036012</v>
      </c>
    </row>
    <row r="599" customFormat="false" ht="13" hidden="false" customHeight="false" outlineLevel="0" collapsed="false">
      <c r="A599" s="16" t="n">
        <v>582</v>
      </c>
      <c r="B599" s="38" t="n">
        <v>0</v>
      </c>
      <c r="C599" s="38" t="n">
        <v>12.5335627571066</v>
      </c>
      <c r="D599" s="39" t="n">
        <f aca="false">MAX(B599,C599)</f>
        <v>12.5335627571066</v>
      </c>
    </row>
    <row r="600" customFormat="false" ht="13" hidden="false" customHeight="false" outlineLevel="0" collapsed="false">
      <c r="A600" s="16" t="n">
        <v>583</v>
      </c>
      <c r="B600" s="38" t="n">
        <v>25.4011850306789</v>
      </c>
      <c r="C600" s="38" t="n">
        <v>0</v>
      </c>
      <c r="D600" s="39" t="n">
        <f aca="false">MAX(B600,C600)</f>
        <v>25.4011850306789</v>
      </c>
    </row>
    <row r="601" customFormat="false" ht="13" hidden="false" customHeight="false" outlineLevel="0" collapsed="false">
      <c r="A601" s="16" t="n">
        <v>584</v>
      </c>
      <c r="B601" s="38" t="n">
        <v>27.3146073245953</v>
      </c>
      <c r="C601" s="38" t="n">
        <v>0</v>
      </c>
      <c r="D601" s="39" t="n">
        <f aca="false">MAX(B601,C601)</f>
        <v>27.3146073245953</v>
      </c>
    </row>
    <row r="602" customFormat="false" ht="13" hidden="false" customHeight="false" outlineLevel="0" collapsed="false">
      <c r="A602" s="16" t="n">
        <v>585</v>
      </c>
      <c r="B602" s="38" t="n">
        <v>28.6322768762179</v>
      </c>
      <c r="C602" s="38" t="n">
        <v>0</v>
      </c>
      <c r="D602" s="39" t="n">
        <f aca="false">MAX(B602,C602)</f>
        <v>28.6322768762179</v>
      </c>
    </row>
    <row r="603" customFormat="false" ht="13" hidden="false" customHeight="false" outlineLevel="0" collapsed="false">
      <c r="A603" s="16" t="n">
        <v>586</v>
      </c>
      <c r="B603" s="38" t="n">
        <v>29.8764535599261</v>
      </c>
      <c r="C603" s="38" t="n">
        <v>0</v>
      </c>
      <c r="D603" s="39" t="n">
        <f aca="false">MAX(B603,C603)</f>
        <v>29.8764535599261</v>
      </c>
    </row>
    <row r="604" customFormat="false" ht="13" hidden="false" customHeight="false" outlineLevel="0" collapsed="false">
      <c r="A604" s="16" t="n">
        <v>587</v>
      </c>
      <c r="B604" s="38" t="n">
        <v>29.667600381029</v>
      </c>
      <c r="C604" s="38" t="n">
        <v>0</v>
      </c>
      <c r="D604" s="39" t="n">
        <f aca="false">MAX(B604,C604)</f>
        <v>29.667600381029</v>
      </c>
    </row>
    <row r="605" customFormat="false" ht="13" hidden="false" customHeight="false" outlineLevel="0" collapsed="false">
      <c r="A605" s="16" t="n">
        <v>588</v>
      </c>
      <c r="B605" s="38" t="n">
        <v>0</v>
      </c>
      <c r="C605" s="38" t="n">
        <v>10.0026699119406</v>
      </c>
      <c r="D605" s="39" t="n">
        <f aca="false">MAX(B605,C605)</f>
        <v>10.0026699119406</v>
      </c>
    </row>
    <row r="606" customFormat="false" ht="13" hidden="false" customHeight="false" outlineLevel="0" collapsed="false">
      <c r="A606" s="16" t="n">
        <v>589</v>
      </c>
      <c r="B606" s="38" t="n">
        <v>30.513958539649</v>
      </c>
      <c r="C606" s="38" t="n">
        <v>0</v>
      </c>
      <c r="D606" s="39" t="n">
        <f aca="false">MAX(B606,C606)</f>
        <v>30.513958539649</v>
      </c>
    </row>
    <row r="607" customFormat="false" ht="13" hidden="false" customHeight="false" outlineLevel="0" collapsed="false">
      <c r="A607" s="16" t="n">
        <v>590</v>
      </c>
      <c r="B607" s="38" t="n">
        <v>30.3025417966393</v>
      </c>
      <c r="C607" s="38" t="n">
        <v>0</v>
      </c>
      <c r="D607" s="39" t="n">
        <f aca="false">MAX(B607,C607)</f>
        <v>30.3025417966393</v>
      </c>
    </row>
    <row r="608" customFormat="false" ht="13" hidden="false" customHeight="false" outlineLevel="0" collapsed="false">
      <c r="A608" s="16" t="n">
        <v>591</v>
      </c>
      <c r="B608" s="38" t="n">
        <v>0</v>
      </c>
      <c r="C608" s="38" t="n">
        <v>7.57184968103422</v>
      </c>
      <c r="D608" s="39" t="n">
        <f aca="false">MAX(B608,C608)</f>
        <v>7.57184968103422</v>
      </c>
    </row>
    <row r="609" customFormat="false" ht="13" hidden="false" customHeight="false" outlineLevel="0" collapsed="false">
      <c r="A609" s="16" t="n">
        <v>592</v>
      </c>
      <c r="B609" s="38" t="n">
        <v>29.7401034558013</v>
      </c>
      <c r="C609" s="38" t="n">
        <v>0</v>
      </c>
      <c r="D609" s="39" t="n">
        <f aca="false">MAX(B609,C609)</f>
        <v>29.7401034558013</v>
      </c>
    </row>
    <row r="610" customFormat="false" ht="13" hidden="false" customHeight="false" outlineLevel="0" collapsed="false">
      <c r="A610" s="16" t="n">
        <v>593</v>
      </c>
      <c r="B610" s="38" t="n">
        <v>0</v>
      </c>
      <c r="C610" s="38" t="n">
        <v>7.26041688164685</v>
      </c>
      <c r="D610" s="39" t="n">
        <f aca="false">MAX(B610,C610)</f>
        <v>7.26041688164685</v>
      </c>
    </row>
    <row r="611" customFormat="false" ht="13" hidden="false" customHeight="false" outlineLevel="0" collapsed="false">
      <c r="A611" s="16" t="n">
        <v>594</v>
      </c>
      <c r="B611" s="38" t="n">
        <v>0</v>
      </c>
      <c r="C611" s="38" t="n">
        <v>8.287143811178</v>
      </c>
      <c r="D611" s="39" t="n">
        <f aca="false">MAX(B611,C611)</f>
        <v>8.287143811178</v>
      </c>
    </row>
    <row r="612" customFormat="false" ht="13" hidden="false" customHeight="false" outlineLevel="0" collapsed="false">
      <c r="A612" s="16" t="n">
        <v>595</v>
      </c>
      <c r="B612" s="38" t="n">
        <v>0</v>
      </c>
      <c r="C612" s="38" t="n">
        <v>8.58141929530336</v>
      </c>
      <c r="D612" s="39" t="n">
        <f aca="false">MAX(B612,C612)</f>
        <v>8.58141929530336</v>
      </c>
    </row>
    <row r="613" customFormat="false" ht="13" hidden="false" customHeight="false" outlineLevel="0" collapsed="false">
      <c r="A613" s="16" t="n">
        <v>596</v>
      </c>
      <c r="B613" s="38" t="n">
        <v>27.8172491539564</v>
      </c>
      <c r="C613" s="38" t="n">
        <v>0</v>
      </c>
      <c r="D613" s="39" t="n">
        <f aca="false">MAX(B613,C613)</f>
        <v>27.8172491539564</v>
      </c>
    </row>
    <row r="614" customFormat="false" ht="13" hidden="false" customHeight="false" outlineLevel="0" collapsed="false">
      <c r="A614" s="16" t="n">
        <v>597</v>
      </c>
      <c r="B614" s="38" t="n">
        <v>0</v>
      </c>
      <c r="C614" s="38" t="n">
        <v>10.2500762916444</v>
      </c>
      <c r="D614" s="39" t="n">
        <f aca="false">MAX(B614,C614)</f>
        <v>10.2500762916444</v>
      </c>
    </row>
    <row r="615" customFormat="false" ht="13" hidden="false" customHeight="false" outlineLevel="0" collapsed="false">
      <c r="A615" s="16" t="n">
        <v>598</v>
      </c>
      <c r="B615" s="38" t="n">
        <v>29.5241508048459</v>
      </c>
      <c r="C615" s="38" t="n">
        <v>0</v>
      </c>
      <c r="D615" s="39" t="n">
        <f aca="false">MAX(B615,C615)</f>
        <v>29.5241508048459</v>
      </c>
    </row>
    <row r="616" customFormat="false" ht="13" hidden="false" customHeight="false" outlineLevel="0" collapsed="false">
      <c r="A616" s="16" t="n">
        <v>599</v>
      </c>
      <c r="B616" s="38" t="n">
        <v>31.0286384065203</v>
      </c>
      <c r="C616" s="38" t="n">
        <v>0</v>
      </c>
      <c r="D616" s="39" t="n">
        <f aca="false">MAX(B616,C616)</f>
        <v>31.0286384065203</v>
      </c>
    </row>
    <row r="617" customFormat="false" ht="13" hidden="false" customHeight="false" outlineLevel="0" collapsed="false">
      <c r="A617" s="16" t="n">
        <v>600</v>
      </c>
      <c r="B617" s="38" t="n">
        <v>0</v>
      </c>
      <c r="C617" s="38" t="n">
        <v>7.96369096773526</v>
      </c>
      <c r="D617" s="39" t="n">
        <f aca="false">MAX(B617,C617)</f>
        <v>7.96369096773526</v>
      </c>
    </row>
    <row r="618" customFormat="false" ht="13" hidden="false" customHeight="false" outlineLevel="0" collapsed="false">
      <c r="A618" s="16" t="n">
        <v>601</v>
      </c>
      <c r="B618" s="38" t="n">
        <v>0</v>
      </c>
      <c r="C618" s="38" t="n">
        <v>8.8854963906216</v>
      </c>
      <c r="D618" s="39" t="n">
        <f aca="false">MAX(B618,C618)</f>
        <v>8.8854963906216</v>
      </c>
    </row>
    <row r="619" customFormat="false" ht="13" hidden="false" customHeight="false" outlineLevel="0" collapsed="false">
      <c r="A619" s="16" t="n">
        <v>602</v>
      </c>
      <c r="B619" s="38" t="n">
        <v>26.8134749648299</v>
      </c>
      <c r="C619" s="38" t="n">
        <v>0</v>
      </c>
      <c r="D619" s="39" t="n">
        <f aca="false">MAX(B619,C619)</f>
        <v>26.8134749648299</v>
      </c>
    </row>
    <row r="620" customFormat="false" ht="13" hidden="false" customHeight="false" outlineLevel="0" collapsed="false">
      <c r="A620" s="16" t="n">
        <v>603</v>
      </c>
      <c r="B620" s="38" t="n">
        <v>0</v>
      </c>
      <c r="C620" s="38" t="n">
        <v>7.54914068009907</v>
      </c>
      <c r="D620" s="39" t="n">
        <f aca="false">MAX(B620,C620)</f>
        <v>7.54914068009907</v>
      </c>
    </row>
    <row r="621" customFormat="false" ht="13" hidden="false" customHeight="false" outlineLevel="0" collapsed="false">
      <c r="A621" s="16" t="n">
        <v>604</v>
      </c>
      <c r="B621" s="38" t="n">
        <v>0</v>
      </c>
      <c r="C621" s="38" t="n">
        <v>4.85155690344641</v>
      </c>
      <c r="D621" s="39" t="n">
        <f aca="false">MAX(B621,C621)</f>
        <v>4.85155690344641</v>
      </c>
    </row>
    <row r="622" customFormat="false" ht="13" hidden="false" customHeight="false" outlineLevel="0" collapsed="false">
      <c r="A622" s="16" t="n">
        <v>605</v>
      </c>
      <c r="B622" s="38" t="n">
        <v>0</v>
      </c>
      <c r="C622" s="38" t="n">
        <v>6.04225334698685</v>
      </c>
      <c r="D622" s="39" t="n">
        <f aca="false">MAX(B622,C622)</f>
        <v>6.04225334698685</v>
      </c>
    </row>
    <row r="623" customFormat="false" ht="13" hidden="false" customHeight="false" outlineLevel="0" collapsed="false">
      <c r="A623" s="16" t="n">
        <v>606</v>
      </c>
      <c r="B623" s="38" t="n">
        <v>20.769101679592</v>
      </c>
      <c r="C623" s="38" t="n">
        <v>0</v>
      </c>
      <c r="D623" s="39" t="n">
        <f aca="false">MAX(B623,C623)</f>
        <v>20.769101679592</v>
      </c>
    </row>
    <row r="624" customFormat="false" ht="13" hidden="false" customHeight="false" outlineLevel="0" collapsed="false">
      <c r="A624" s="16" t="n">
        <v>607</v>
      </c>
      <c r="B624" s="38" t="n">
        <v>22.8172486405142</v>
      </c>
      <c r="C624" s="38" t="n">
        <v>0</v>
      </c>
      <c r="D624" s="39" t="n">
        <f aca="false">MAX(B624,C624)</f>
        <v>22.8172486405142</v>
      </c>
    </row>
    <row r="625" customFormat="false" ht="13" hidden="false" customHeight="false" outlineLevel="0" collapsed="false">
      <c r="A625" s="16" t="n">
        <v>608</v>
      </c>
      <c r="B625" s="38" t="n">
        <v>0</v>
      </c>
      <c r="C625" s="38" t="n">
        <v>6.84787576030305</v>
      </c>
      <c r="D625" s="39" t="n">
        <f aca="false">MAX(B625,C625)</f>
        <v>6.84787576030305</v>
      </c>
    </row>
    <row r="626" customFormat="false" ht="13" hidden="false" customHeight="false" outlineLevel="0" collapsed="false">
      <c r="A626" s="16" t="n">
        <v>609</v>
      </c>
      <c r="B626" s="38" t="n">
        <v>0</v>
      </c>
      <c r="C626" s="38" t="n">
        <v>8.05080106710136</v>
      </c>
      <c r="D626" s="39" t="n">
        <f aca="false">MAX(B626,C626)</f>
        <v>8.05080106710136</v>
      </c>
    </row>
    <row r="627" customFormat="false" ht="13" hidden="false" customHeight="false" outlineLevel="0" collapsed="false">
      <c r="A627" s="16" t="n">
        <v>610</v>
      </c>
      <c r="B627" s="38" t="n">
        <v>0</v>
      </c>
      <c r="C627" s="38" t="n">
        <v>8.7496604164329</v>
      </c>
      <c r="D627" s="39" t="n">
        <f aca="false">MAX(B627,C627)</f>
        <v>8.7496604164329</v>
      </c>
    </row>
    <row r="628" customFormat="false" ht="13" hidden="false" customHeight="false" outlineLevel="0" collapsed="false">
      <c r="A628" s="16" t="n">
        <v>611</v>
      </c>
      <c r="B628" s="38" t="n">
        <v>16.8495637147298</v>
      </c>
      <c r="C628" s="38" t="n">
        <v>0</v>
      </c>
      <c r="D628" s="39" t="n">
        <f aca="false">MAX(B628,C628)</f>
        <v>16.8495637147298</v>
      </c>
    </row>
    <row r="629" customFormat="false" ht="13" hidden="false" customHeight="false" outlineLevel="0" collapsed="false">
      <c r="A629" s="16" t="n">
        <v>612</v>
      </c>
      <c r="B629" s="38" t="n">
        <v>18.5687457245843</v>
      </c>
      <c r="C629" s="38" t="n">
        <v>0</v>
      </c>
      <c r="D629" s="39" t="n">
        <f aca="false">MAX(B629,C629)</f>
        <v>18.5687457245843</v>
      </c>
    </row>
    <row r="630" customFormat="false" ht="13" hidden="false" customHeight="false" outlineLevel="0" collapsed="false">
      <c r="A630" s="16" t="n">
        <v>613</v>
      </c>
      <c r="B630" s="38" t="n">
        <v>19.021524571705</v>
      </c>
      <c r="C630" s="38" t="n">
        <v>0</v>
      </c>
      <c r="D630" s="39" t="n">
        <f aca="false">MAX(B630,C630)</f>
        <v>19.021524571705</v>
      </c>
    </row>
    <row r="631" customFormat="false" ht="13" hidden="false" customHeight="false" outlineLevel="0" collapsed="false">
      <c r="A631" s="16" t="n">
        <v>614</v>
      </c>
      <c r="B631" s="38" t="n">
        <v>20.245847144096</v>
      </c>
      <c r="C631" s="38" t="n">
        <v>0</v>
      </c>
      <c r="D631" s="39" t="n">
        <f aca="false">MAX(B631,C631)</f>
        <v>20.245847144096</v>
      </c>
    </row>
    <row r="632" customFormat="false" ht="13" hidden="false" customHeight="false" outlineLevel="0" collapsed="false">
      <c r="A632" s="16" t="n">
        <v>615</v>
      </c>
      <c r="B632" s="38" t="n">
        <v>21.2648804509812</v>
      </c>
      <c r="C632" s="38" t="n">
        <v>0</v>
      </c>
      <c r="D632" s="39" t="n">
        <f aca="false">MAX(B632,C632)</f>
        <v>21.2648804509812</v>
      </c>
    </row>
    <row r="633" customFormat="false" ht="13" hidden="false" customHeight="false" outlineLevel="0" collapsed="false">
      <c r="A633" s="16" t="n">
        <v>616</v>
      </c>
      <c r="B633" s="38" t="n">
        <v>0</v>
      </c>
      <c r="C633" s="38" t="n">
        <v>1.88362735873352</v>
      </c>
      <c r="D633" s="39" t="n">
        <f aca="false">MAX(B633,C633)</f>
        <v>1.88362735873352</v>
      </c>
    </row>
    <row r="634" customFormat="false" ht="13" hidden="false" customHeight="false" outlineLevel="0" collapsed="false">
      <c r="A634" s="16" t="n">
        <v>617</v>
      </c>
      <c r="B634" s="38" t="n">
        <v>0</v>
      </c>
      <c r="C634" s="38" t="n">
        <v>1.79020950438735</v>
      </c>
      <c r="D634" s="39" t="n">
        <f aca="false">MAX(B634,C634)</f>
        <v>1.79020950438735</v>
      </c>
    </row>
    <row r="635" customFormat="false" ht="13" hidden="false" customHeight="false" outlineLevel="0" collapsed="false">
      <c r="A635" s="16" t="n">
        <v>618</v>
      </c>
      <c r="B635" s="38" t="n">
        <v>0</v>
      </c>
      <c r="C635" s="38" t="n">
        <v>2.68798387478171</v>
      </c>
      <c r="D635" s="39" t="n">
        <f aca="false">MAX(B635,C635)</f>
        <v>2.68798387478171</v>
      </c>
    </row>
    <row r="636" customFormat="false" ht="13" hidden="false" customHeight="false" outlineLevel="0" collapsed="false">
      <c r="A636" s="16" t="n">
        <v>619</v>
      </c>
      <c r="B636" s="38" t="n">
        <v>16.6727545961742</v>
      </c>
      <c r="C636" s="38" t="n">
        <v>0</v>
      </c>
      <c r="D636" s="39" t="n">
        <f aca="false">MAX(B636,C636)</f>
        <v>16.6727545961742</v>
      </c>
    </row>
    <row r="637" customFormat="false" ht="13" hidden="false" customHeight="false" outlineLevel="0" collapsed="false">
      <c r="A637" s="16" t="n">
        <v>620</v>
      </c>
      <c r="B637" s="38" t="n">
        <v>18.6929437478628</v>
      </c>
      <c r="C637" s="38" t="n">
        <v>0</v>
      </c>
      <c r="D637" s="39" t="n">
        <f aca="false">MAX(B637,C637)</f>
        <v>18.6929437478628</v>
      </c>
    </row>
    <row r="638" customFormat="false" ht="13" hidden="false" customHeight="false" outlineLevel="0" collapsed="false">
      <c r="A638" s="16" t="n">
        <v>621</v>
      </c>
      <c r="B638" s="38" t="n">
        <v>0</v>
      </c>
      <c r="C638" s="38" t="n">
        <v>3.72735714271346</v>
      </c>
      <c r="D638" s="39" t="n">
        <f aca="false">MAX(B638,C638)</f>
        <v>3.72735714271346</v>
      </c>
    </row>
    <row r="639" customFormat="false" ht="13" hidden="false" customHeight="false" outlineLevel="0" collapsed="false">
      <c r="A639" s="16" t="n">
        <v>622</v>
      </c>
      <c r="B639" s="38" t="n">
        <v>19.3572983508942</v>
      </c>
      <c r="C639" s="38" t="n">
        <v>0</v>
      </c>
      <c r="D639" s="39" t="n">
        <f aca="false">MAX(B639,C639)</f>
        <v>19.3572983508942</v>
      </c>
    </row>
    <row r="640" customFormat="false" ht="13" hidden="false" customHeight="false" outlineLevel="0" collapsed="false">
      <c r="A640" s="16" t="n">
        <v>623</v>
      </c>
      <c r="B640" s="38" t="n">
        <v>0</v>
      </c>
      <c r="C640" s="38" t="n">
        <v>5.42140599896015</v>
      </c>
      <c r="D640" s="39" t="n">
        <f aca="false">MAX(B640,C640)</f>
        <v>5.42140599896015</v>
      </c>
    </row>
    <row r="641" customFormat="false" ht="13" hidden="false" customHeight="false" outlineLevel="0" collapsed="false">
      <c r="A641" s="16" t="n">
        <v>624</v>
      </c>
      <c r="B641" s="38" t="n">
        <v>0</v>
      </c>
      <c r="C641" s="38" t="n">
        <v>6.9493984411522</v>
      </c>
      <c r="D641" s="39" t="n">
        <f aca="false">MAX(B641,C641)</f>
        <v>6.9493984411522</v>
      </c>
    </row>
    <row r="642" customFormat="false" ht="13" hidden="false" customHeight="false" outlineLevel="0" collapsed="false">
      <c r="A642" s="16" t="n">
        <v>625</v>
      </c>
      <c r="B642" s="38" t="n">
        <v>18.093346810739</v>
      </c>
      <c r="C642" s="38" t="n">
        <v>0</v>
      </c>
      <c r="D642" s="39" t="n">
        <f aca="false">MAX(B642,C642)</f>
        <v>18.093346810739</v>
      </c>
    </row>
    <row r="643" customFormat="false" ht="13" hidden="false" customHeight="false" outlineLevel="0" collapsed="false">
      <c r="A643" s="16" t="n">
        <v>626</v>
      </c>
      <c r="B643" s="38" t="n">
        <v>19.7071118097671</v>
      </c>
      <c r="C643" s="38" t="n">
        <v>0</v>
      </c>
      <c r="D643" s="39" t="n">
        <f aca="false">MAX(B643,C643)</f>
        <v>19.7071118097671</v>
      </c>
    </row>
    <row r="644" customFormat="false" ht="13" hidden="false" customHeight="false" outlineLevel="0" collapsed="false">
      <c r="A644" s="16" t="n">
        <v>627</v>
      </c>
      <c r="B644" s="38" t="n">
        <v>18.2650311302285</v>
      </c>
      <c r="C644" s="38" t="n">
        <v>0</v>
      </c>
      <c r="D644" s="39" t="n">
        <f aca="false">MAX(B644,C644)</f>
        <v>18.2650311302285</v>
      </c>
    </row>
    <row r="645" customFormat="false" ht="13" hidden="false" customHeight="false" outlineLevel="0" collapsed="false">
      <c r="A645" s="16" t="n">
        <v>628</v>
      </c>
      <c r="B645" s="38" t="n">
        <v>0</v>
      </c>
      <c r="C645" s="38" t="n">
        <v>2.17746800613531</v>
      </c>
      <c r="D645" s="39" t="n">
        <f aca="false">MAX(B645,C645)</f>
        <v>2.17746800613531</v>
      </c>
    </row>
    <row r="646" customFormat="false" ht="13" hidden="false" customHeight="false" outlineLevel="0" collapsed="false">
      <c r="A646" s="16" t="n">
        <v>629</v>
      </c>
      <c r="B646" s="38" t="n">
        <v>0</v>
      </c>
      <c r="C646" s="38" t="n">
        <v>3.85314834719679</v>
      </c>
      <c r="D646" s="39" t="n">
        <f aca="false">MAX(B646,C646)</f>
        <v>3.85314834719679</v>
      </c>
    </row>
    <row r="647" customFormat="false" ht="13" hidden="false" customHeight="false" outlineLevel="0" collapsed="false">
      <c r="A647" s="16" t="n">
        <v>630</v>
      </c>
      <c r="B647" s="38" t="n">
        <v>0</v>
      </c>
      <c r="C647" s="38" t="n">
        <v>3.04197109684947</v>
      </c>
      <c r="D647" s="39" t="n">
        <f aca="false">MAX(B647,C647)</f>
        <v>3.04197109684947</v>
      </c>
    </row>
    <row r="648" customFormat="false" ht="13" hidden="false" customHeight="false" outlineLevel="0" collapsed="false">
      <c r="A648" s="16" t="n">
        <v>631</v>
      </c>
      <c r="B648" s="38" t="n">
        <v>15.8047658712807</v>
      </c>
      <c r="C648" s="38" t="n">
        <v>0</v>
      </c>
      <c r="D648" s="39" t="n">
        <f aca="false">MAX(B648,C648)</f>
        <v>15.8047658712807</v>
      </c>
    </row>
    <row r="649" customFormat="false" ht="13" hidden="false" customHeight="false" outlineLevel="0" collapsed="false">
      <c r="A649" s="16" t="n">
        <v>632</v>
      </c>
      <c r="B649" s="38" t="n">
        <v>17.2482740565176</v>
      </c>
      <c r="C649" s="38" t="n">
        <v>0</v>
      </c>
      <c r="D649" s="39" t="n">
        <f aca="false">MAX(B649,C649)</f>
        <v>17.2482740565176</v>
      </c>
    </row>
    <row r="650" customFormat="false" ht="13" hidden="false" customHeight="false" outlineLevel="0" collapsed="false">
      <c r="A650" s="16" t="n">
        <v>633</v>
      </c>
      <c r="B650" s="38" t="n">
        <v>0</v>
      </c>
      <c r="C650" s="38" t="n">
        <v>3.89086133769342</v>
      </c>
      <c r="D650" s="39" t="n">
        <f aca="false">MAX(B650,C650)</f>
        <v>3.89086133769342</v>
      </c>
    </row>
    <row r="651" customFormat="false" ht="13" hidden="false" customHeight="false" outlineLevel="0" collapsed="false">
      <c r="A651" s="16" t="n">
        <v>634</v>
      </c>
      <c r="B651" s="38" t="n">
        <v>17.918890763892</v>
      </c>
      <c r="C651" s="38" t="n">
        <v>0</v>
      </c>
      <c r="D651" s="39" t="n">
        <f aca="false">MAX(B651,C651)</f>
        <v>17.918890763892</v>
      </c>
    </row>
    <row r="652" customFormat="false" ht="13" hidden="false" customHeight="false" outlineLevel="0" collapsed="false">
      <c r="A652" s="16" t="n">
        <v>635</v>
      </c>
      <c r="B652" s="38" t="n">
        <v>0</v>
      </c>
      <c r="C652" s="38" t="n">
        <v>4.5129329836675</v>
      </c>
      <c r="D652" s="39" t="n">
        <f aca="false">MAX(B652,C652)</f>
        <v>4.5129329836675</v>
      </c>
    </row>
    <row r="653" customFormat="false" ht="13" hidden="false" customHeight="false" outlineLevel="0" collapsed="false">
      <c r="A653" s="16" t="n">
        <v>636</v>
      </c>
      <c r="B653" s="38" t="n">
        <v>0</v>
      </c>
      <c r="C653" s="38" t="n">
        <v>5.74492750356831</v>
      </c>
      <c r="D653" s="39" t="n">
        <f aca="false">MAX(B653,C653)</f>
        <v>5.74492750356831</v>
      </c>
    </row>
    <row r="654" customFormat="false" ht="13" hidden="false" customHeight="false" outlineLevel="0" collapsed="false">
      <c r="A654" s="16" t="n">
        <v>637</v>
      </c>
      <c r="B654" s="38" t="n">
        <v>0</v>
      </c>
      <c r="C654" s="38" t="n">
        <v>7.79637324791042</v>
      </c>
      <c r="D654" s="39" t="n">
        <f aca="false">MAX(B654,C654)</f>
        <v>7.79637324791042</v>
      </c>
    </row>
    <row r="655" customFormat="false" ht="13" hidden="false" customHeight="false" outlineLevel="0" collapsed="false">
      <c r="A655" s="16" t="n">
        <v>638</v>
      </c>
      <c r="B655" s="38" t="n">
        <v>17.6486411762821</v>
      </c>
      <c r="C655" s="38" t="n">
        <v>0</v>
      </c>
      <c r="D655" s="39" t="n">
        <f aca="false">MAX(B655,C655)</f>
        <v>17.6486411762821</v>
      </c>
    </row>
    <row r="656" customFormat="false" ht="13" hidden="false" customHeight="false" outlineLevel="0" collapsed="false">
      <c r="A656" s="16" t="n">
        <v>639</v>
      </c>
      <c r="B656" s="38" t="n">
        <v>0</v>
      </c>
      <c r="C656" s="38" t="n">
        <v>8.03860774762859</v>
      </c>
      <c r="D656" s="39" t="n">
        <f aca="false">MAX(B656,C656)</f>
        <v>8.03860774762859</v>
      </c>
    </row>
    <row r="657" customFormat="false" ht="13" hidden="false" customHeight="false" outlineLevel="0" collapsed="false">
      <c r="A657" s="16" t="n">
        <v>640</v>
      </c>
      <c r="B657" s="38" t="n">
        <v>18.9635818331138</v>
      </c>
      <c r="C657" s="38" t="n">
        <v>0</v>
      </c>
      <c r="D657" s="39" t="n">
        <f aca="false">MAX(B657,C657)</f>
        <v>18.9635818331138</v>
      </c>
    </row>
    <row r="658" customFormat="false" ht="13" hidden="false" customHeight="false" outlineLevel="0" collapsed="false">
      <c r="A658" s="16" t="n">
        <v>641</v>
      </c>
      <c r="B658" s="38" t="n">
        <v>0</v>
      </c>
      <c r="C658" s="38" t="n">
        <v>7.28440939183508</v>
      </c>
      <c r="D658" s="39" t="n">
        <f aca="false">MAX(B658,C658)</f>
        <v>7.28440939183508</v>
      </c>
    </row>
    <row r="659" customFormat="false" ht="13" hidden="false" customHeight="false" outlineLevel="0" collapsed="false">
      <c r="A659" s="16" t="n">
        <v>642</v>
      </c>
      <c r="B659" s="38" t="n">
        <v>18.3243600500704</v>
      </c>
      <c r="C659" s="38" t="n">
        <v>0</v>
      </c>
      <c r="D659" s="39" t="n">
        <f aca="false">MAX(B659,C659)</f>
        <v>18.3243600500704</v>
      </c>
    </row>
    <row r="660" customFormat="false" ht="13" hidden="false" customHeight="false" outlineLevel="0" collapsed="false">
      <c r="A660" s="16" t="n">
        <v>643</v>
      </c>
      <c r="B660" s="38" t="n">
        <v>0</v>
      </c>
      <c r="C660" s="38" t="n">
        <v>8.60980928137155</v>
      </c>
      <c r="D660" s="39" t="n">
        <f aca="false">MAX(B660,C660)</f>
        <v>8.60980928137155</v>
      </c>
    </row>
    <row r="661" customFormat="false" ht="13" hidden="false" customHeight="false" outlineLevel="0" collapsed="false">
      <c r="A661" s="16" t="n">
        <v>644</v>
      </c>
      <c r="B661" s="38" t="n">
        <v>18.5705296311666</v>
      </c>
      <c r="C661" s="38" t="n">
        <v>0</v>
      </c>
      <c r="D661" s="39" t="n">
        <f aca="false">MAX(B661,C661)</f>
        <v>18.5705296311666</v>
      </c>
    </row>
    <row r="662" customFormat="false" ht="13" hidden="false" customHeight="false" outlineLevel="0" collapsed="false">
      <c r="A662" s="16" t="n">
        <v>645</v>
      </c>
      <c r="B662" s="38" t="n">
        <v>0</v>
      </c>
      <c r="C662" s="38" t="n">
        <v>9.23705867583874</v>
      </c>
      <c r="D662" s="39" t="n">
        <f aca="false">MAX(B662,C662)</f>
        <v>9.23705867583874</v>
      </c>
    </row>
    <row r="663" customFormat="false" ht="13" hidden="false" customHeight="false" outlineLevel="0" collapsed="false">
      <c r="A663" s="16" t="n">
        <v>646</v>
      </c>
      <c r="B663" s="38" t="n">
        <v>20.6803622728486</v>
      </c>
      <c r="C663" s="38" t="n">
        <v>0</v>
      </c>
      <c r="D663" s="39" t="n">
        <f aca="false">MAX(B663,C663)</f>
        <v>20.6803622728486</v>
      </c>
    </row>
    <row r="664" customFormat="false" ht="13" hidden="false" customHeight="false" outlineLevel="0" collapsed="false">
      <c r="A664" s="16" t="n">
        <v>647</v>
      </c>
      <c r="B664" s="38" t="n">
        <v>22.1134359351873</v>
      </c>
      <c r="C664" s="38" t="n">
        <v>0</v>
      </c>
      <c r="D664" s="39" t="n">
        <f aca="false">MAX(B664,C664)</f>
        <v>22.1134359351873</v>
      </c>
    </row>
    <row r="665" customFormat="false" ht="13" hidden="false" customHeight="false" outlineLevel="0" collapsed="false">
      <c r="A665" s="16" t="n">
        <v>648</v>
      </c>
      <c r="B665" s="38" t="n">
        <v>0</v>
      </c>
      <c r="C665" s="38" t="n">
        <v>9.60812236146069</v>
      </c>
      <c r="D665" s="39" t="n">
        <f aca="false">MAX(B665,C665)</f>
        <v>9.60812236146069</v>
      </c>
    </row>
    <row r="666" customFormat="false" ht="13" hidden="false" customHeight="false" outlineLevel="0" collapsed="false">
      <c r="A666" s="16" t="n">
        <v>649</v>
      </c>
      <c r="B666" s="38" t="n">
        <v>22.5240503729514</v>
      </c>
      <c r="C666" s="38" t="n">
        <v>0</v>
      </c>
      <c r="D666" s="39" t="n">
        <f aca="false">MAX(B666,C666)</f>
        <v>22.5240503729514</v>
      </c>
    </row>
    <row r="667" customFormat="false" ht="13" hidden="false" customHeight="false" outlineLevel="0" collapsed="false">
      <c r="A667" s="16" t="n">
        <v>650</v>
      </c>
      <c r="B667" s="38" t="n">
        <v>24.5414794835168</v>
      </c>
      <c r="C667" s="38" t="n">
        <v>0</v>
      </c>
      <c r="D667" s="39" t="n">
        <f aca="false">MAX(B667,C667)</f>
        <v>24.5414794835168</v>
      </c>
    </row>
    <row r="668" customFormat="false" ht="13" hidden="false" customHeight="false" outlineLevel="0" collapsed="false">
      <c r="A668" s="16" t="n">
        <v>651</v>
      </c>
      <c r="B668" s="38" t="n">
        <v>0</v>
      </c>
      <c r="C668" s="38" t="n">
        <v>9.74453040875835</v>
      </c>
      <c r="D668" s="39" t="n">
        <f aca="false">MAX(B668,C668)</f>
        <v>9.74453040875835</v>
      </c>
    </row>
    <row r="669" customFormat="false" ht="13" hidden="false" customHeight="false" outlineLevel="0" collapsed="false">
      <c r="A669" s="16" t="n">
        <v>652</v>
      </c>
      <c r="B669" s="38" t="n">
        <v>23.4022268030818</v>
      </c>
      <c r="C669" s="38" t="n">
        <v>0</v>
      </c>
      <c r="D669" s="39" t="n">
        <f aca="false">MAX(B669,C669)</f>
        <v>23.4022268030818</v>
      </c>
    </row>
    <row r="670" customFormat="false" ht="13" hidden="false" customHeight="false" outlineLevel="0" collapsed="false">
      <c r="A670" s="16" t="n">
        <v>653</v>
      </c>
      <c r="B670" s="38" t="n">
        <v>24.4921399083706</v>
      </c>
      <c r="C670" s="38" t="n">
        <v>0</v>
      </c>
      <c r="D670" s="39" t="n">
        <f aca="false">MAX(B670,C670)</f>
        <v>24.4921399083706</v>
      </c>
    </row>
    <row r="671" customFormat="false" ht="13" hidden="false" customHeight="false" outlineLevel="0" collapsed="false">
      <c r="A671" s="16" t="n">
        <v>654</v>
      </c>
      <c r="B671" s="38" t="n">
        <v>26.4999772627591</v>
      </c>
      <c r="C671" s="38" t="n">
        <v>0</v>
      </c>
      <c r="D671" s="39" t="n">
        <f aca="false">MAX(B671,C671)</f>
        <v>26.4999772627591</v>
      </c>
    </row>
    <row r="672" customFormat="false" ht="13" hidden="false" customHeight="false" outlineLevel="0" collapsed="false">
      <c r="A672" s="16" t="n">
        <v>655</v>
      </c>
      <c r="B672" s="38" t="n">
        <v>27.5184638236893</v>
      </c>
      <c r="C672" s="38" t="n">
        <v>0</v>
      </c>
      <c r="D672" s="39" t="n">
        <f aca="false">MAX(B672,C672)</f>
        <v>27.5184638236893</v>
      </c>
    </row>
    <row r="673" customFormat="false" ht="13" hidden="false" customHeight="false" outlineLevel="0" collapsed="false">
      <c r="A673" s="16" t="n">
        <v>656</v>
      </c>
      <c r="B673" s="38" t="n">
        <v>0</v>
      </c>
      <c r="C673" s="38" t="n">
        <v>6.53867701615911</v>
      </c>
      <c r="D673" s="39" t="n">
        <f aca="false">MAX(B673,C673)</f>
        <v>6.53867701615911</v>
      </c>
    </row>
    <row r="674" customFormat="false" ht="13" hidden="false" customHeight="false" outlineLevel="0" collapsed="false">
      <c r="A674" s="16" t="n">
        <v>657</v>
      </c>
      <c r="B674" s="38" t="n">
        <v>0</v>
      </c>
      <c r="C674" s="38" t="n">
        <v>6.74980509864815</v>
      </c>
      <c r="D674" s="39" t="n">
        <f aca="false">MAX(B674,C674)</f>
        <v>6.74980509864815</v>
      </c>
    </row>
    <row r="675" customFormat="false" ht="13" hidden="false" customHeight="false" outlineLevel="0" collapsed="false">
      <c r="A675" s="16" t="n">
        <v>658</v>
      </c>
      <c r="B675" s="38" t="n">
        <v>26.6969235846344</v>
      </c>
      <c r="C675" s="38" t="n">
        <v>0</v>
      </c>
      <c r="D675" s="39" t="n">
        <f aca="false">MAX(B675,C675)</f>
        <v>26.6969235846344</v>
      </c>
    </row>
    <row r="676" customFormat="false" ht="13" hidden="false" customHeight="false" outlineLevel="0" collapsed="false">
      <c r="A676" s="16" t="n">
        <v>659</v>
      </c>
      <c r="B676" s="38" t="n">
        <v>0</v>
      </c>
      <c r="C676" s="38" t="n">
        <v>7.78590546406713</v>
      </c>
      <c r="D676" s="39" t="n">
        <f aca="false">MAX(B676,C676)</f>
        <v>7.78590546406713</v>
      </c>
    </row>
    <row r="677" customFormat="false" ht="13" hidden="false" customHeight="false" outlineLevel="0" collapsed="false">
      <c r="A677" s="16" t="n">
        <v>660</v>
      </c>
      <c r="B677" s="38" t="n">
        <v>0</v>
      </c>
      <c r="C677" s="38" t="n">
        <v>8.84935135767489</v>
      </c>
      <c r="D677" s="39" t="n">
        <f aca="false">MAX(B677,C677)</f>
        <v>8.84935135767489</v>
      </c>
    </row>
    <row r="678" customFormat="false" ht="13" hidden="false" customHeight="false" outlineLevel="0" collapsed="false">
      <c r="A678" s="16" t="n">
        <v>661</v>
      </c>
      <c r="B678" s="38" t="n">
        <v>26.0589283355648</v>
      </c>
      <c r="C678" s="38" t="n">
        <v>0</v>
      </c>
      <c r="D678" s="39" t="n">
        <f aca="false">MAX(B678,C678)</f>
        <v>26.0589283355648</v>
      </c>
    </row>
    <row r="679" customFormat="false" ht="13" hidden="false" customHeight="false" outlineLevel="0" collapsed="false">
      <c r="A679" s="16" t="n">
        <v>662</v>
      </c>
      <c r="B679" s="38" t="n">
        <v>27.7909230492876</v>
      </c>
      <c r="C679" s="38" t="n">
        <v>0</v>
      </c>
      <c r="D679" s="39" t="n">
        <f aca="false">MAX(B679,C679)</f>
        <v>27.7909230492876</v>
      </c>
    </row>
    <row r="680" customFormat="false" ht="13" hidden="false" customHeight="false" outlineLevel="0" collapsed="false">
      <c r="A680" s="16" t="n">
        <v>663</v>
      </c>
      <c r="B680" s="38" t="n">
        <v>0</v>
      </c>
      <c r="C680" s="38" t="n">
        <v>8.86794860333555</v>
      </c>
      <c r="D680" s="39" t="n">
        <f aca="false">MAX(B680,C680)</f>
        <v>8.86794860333555</v>
      </c>
    </row>
    <row r="681" customFormat="false" ht="13" hidden="false" customHeight="false" outlineLevel="0" collapsed="false">
      <c r="A681" s="16" t="n">
        <v>664</v>
      </c>
      <c r="B681" s="38" t="n">
        <v>26.4474118068481</v>
      </c>
      <c r="C681" s="38" t="n">
        <v>0</v>
      </c>
      <c r="D681" s="39" t="n">
        <f aca="false">MAX(B681,C681)</f>
        <v>26.4474118068481</v>
      </c>
    </row>
    <row r="682" customFormat="false" ht="13" hidden="false" customHeight="false" outlineLevel="0" collapsed="false">
      <c r="A682" s="16" t="n">
        <v>665</v>
      </c>
      <c r="B682" s="38" t="n">
        <v>25.2407374095095</v>
      </c>
      <c r="C682" s="38" t="n">
        <v>0</v>
      </c>
      <c r="D682" s="39" t="n">
        <f aca="false">MAX(B682,C682)</f>
        <v>25.2407374095095</v>
      </c>
    </row>
    <row r="683" customFormat="false" ht="13" hidden="false" customHeight="false" outlineLevel="0" collapsed="false">
      <c r="A683" s="16" t="n">
        <v>666</v>
      </c>
      <c r="B683" s="38" t="n">
        <v>24.4194680392712</v>
      </c>
      <c r="C683" s="38" t="n">
        <v>0</v>
      </c>
      <c r="D683" s="39" t="n">
        <f aca="false">MAX(B683,C683)</f>
        <v>24.4194680392712</v>
      </c>
    </row>
    <row r="684" customFormat="false" ht="13" hidden="false" customHeight="false" outlineLevel="0" collapsed="false">
      <c r="A684" s="16" t="n">
        <v>667</v>
      </c>
      <c r="B684" s="38" t="n">
        <v>26.4113129043707</v>
      </c>
      <c r="C684" s="38" t="n">
        <v>0</v>
      </c>
      <c r="D684" s="39" t="n">
        <f aca="false">MAX(B684,C684)</f>
        <v>26.4113129043707</v>
      </c>
    </row>
    <row r="685" customFormat="false" ht="13" hidden="false" customHeight="false" outlineLevel="0" collapsed="false">
      <c r="A685" s="16" t="n">
        <v>668</v>
      </c>
      <c r="B685" s="38" t="n">
        <v>25.8823392405918</v>
      </c>
      <c r="C685" s="38" t="n">
        <v>0</v>
      </c>
      <c r="D685" s="39" t="n">
        <f aca="false">MAX(B685,C685)</f>
        <v>25.8823392405918</v>
      </c>
    </row>
    <row r="686" customFormat="false" ht="13" hidden="false" customHeight="false" outlineLevel="0" collapsed="false">
      <c r="A686" s="16" t="n">
        <v>669</v>
      </c>
      <c r="B686" s="38" t="n">
        <v>26.4330178541763</v>
      </c>
      <c r="C686" s="38" t="n">
        <v>0</v>
      </c>
      <c r="D686" s="39" t="n">
        <f aca="false">MAX(B686,C686)</f>
        <v>26.4330178541763</v>
      </c>
    </row>
    <row r="687" customFormat="false" ht="13" hidden="false" customHeight="false" outlineLevel="0" collapsed="false">
      <c r="A687" s="16" t="n">
        <v>670</v>
      </c>
      <c r="B687" s="38" t="n">
        <v>28.3528962695401</v>
      </c>
      <c r="C687" s="38" t="n">
        <v>0</v>
      </c>
      <c r="D687" s="39" t="n">
        <f aca="false">MAX(B687,C687)</f>
        <v>28.3528962695401</v>
      </c>
    </row>
    <row r="688" customFormat="false" ht="13" hidden="false" customHeight="false" outlineLevel="0" collapsed="false">
      <c r="A688" s="16" t="n">
        <v>671</v>
      </c>
      <c r="B688" s="38" t="n">
        <v>30.0851550083506</v>
      </c>
      <c r="C688" s="38" t="n">
        <v>0</v>
      </c>
      <c r="D688" s="39" t="n">
        <f aca="false">MAX(B688,C688)</f>
        <v>30.0851550083506</v>
      </c>
    </row>
    <row r="689" customFormat="false" ht="13" hidden="false" customHeight="false" outlineLevel="0" collapsed="false">
      <c r="A689" s="16" t="n">
        <v>672</v>
      </c>
      <c r="B689" s="38" t="n">
        <v>31.2742696094391</v>
      </c>
      <c r="C689" s="38" t="n">
        <v>0</v>
      </c>
      <c r="D689" s="39" t="n">
        <f aca="false">MAX(B689,C689)</f>
        <v>31.2742696094391</v>
      </c>
    </row>
    <row r="690" customFormat="false" ht="13" hidden="false" customHeight="false" outlineLevel="0" collapsed="false">
      <c r="A690" s="16" t="n">
        <v>673</v>
      </c>
      <c r="B690" s="38" t="n">
        <v>32.9918914750109</v>
      </c>
      <c r="C690" s="38" t="n">
        <v>0</v>
      </c>
      <c r="D690" s="39" t="n">
        <f aca="false">MAX(B690,C690)</f>
        <v>32.9918914750109</v>
      </c>
    </row>
    <row r="691" customFormat="false" ht="13" hidden="false" customHeight="false" outlineLevel="0" collapsed="false">
      <c r="A691" s="16" t="n">
        <v>674</v>
      </c>
      <c r="B691" s="38" t="n">
        <v>34.8154992834706</v>
      </c>
      <c r="C691" s="38" t="n">
        <v>0</v>
      </c>
      <c r="D691" s="39" t="n">
        <f aca="false">MAX(B691,C691)</f>
        <v>34.8154992834706</v>
      </c>
    </row>
    <row r="692" customFormat="false" ht="13" hidden="false" customHeight="false" outlineLevel="0" collapsed="false">
      <c r="A692" s="16" t="n">
        <v>675</v>
      </c>
      <c r="B692" s="38" t="n">
        <v>0</v>
      </c>
      <c r="C692" s="38" t="n">
        <v>1.9852091272046</v>
      </c>
      <c r="D692" s="39" t="n">
        <f aca="false">MAX(B692,C692)</f>
        <v>1.9852091272046</v>
      </c>
    </row>
    <row r="693" customFormat="false" ht="13" hidden="false" customHeight="false" outlineLevel="0" collapsed="false">
      <c r="A693" s="16" t="n">
        <v>676</v>
      </c>
      <c r="B693" s="38" t="n">
        <v>0</v>
      </c>
      <c r="C693" s="38" t="n">
        <v>1.91998392686446</v>
      </c>
      <c r="D693" s="39" t="n">
        <f aca="false">MAX(B693,C693)</f>
        <v>1.91998392686446</v>
      </c>
    </row>
    <row r="694" customFormat="false" ht="13" hidden="false" customHeight="false" outlineLevel="0" collapsed="false">
      <c r="A694" s="16" t="n">
        <v>677</v>
      </c>
      <c r="B694" s="38" t="n">
        <v>30.8057995410378</v>
      </c>
      <c r="C694" s="38" t="n">
        <v>0</v>
      </c>
      <c r="D694" s="39" t="n">
        <f aca="false">MAX(B694,C694)</f>
        <v>30.8057995410378</v>
      </c>
    </row>
    <row r="695" customFormat="false" ht="13" hidden="false" customHeight="false" outlineLevel="0" collapsed="false">
      <c r="A695" s="16" t="n">
        <v>678</v>
      </c>
      <c r="B695" s="38" t="n">
        <v>31.9891952515344</v>
      </c>
      <c r="C695" s="38" t="n">
        <v>0</v>
      </c>
      <c r="D695" s="39" t="n">
        <f aca="false">MAX(B695,C695)</f>
        <v>31.9891952515344</v>
      </c>
    </row>
    <row r="696" customFormat="false" ht="13" hidden="false" customHeight="false" outlineLevel="0" collapsed="false">
      <c r="A696" s="16" t="n">
        <v>679</v>
      </c>
      <c r="B696" s="38" t="n">
        <v>0</v>
      </c>
      <c r="C696" s="38" t="n">
        <v>1.79609386852644</v>
      </c>
      <c r="D696" s="39" t="n">
        <f aca="false">MAX(B696,C696)</f>
        <v>1.79609386852644</v>
      </c>
    </row>
    <row r="697" customFormat="false" ht="13" hidden="false" customHeight="false" outlineLevel="0" collapsed="false">
      <c r="A697" s="16" t="n">
        <v>680</v>
      </c>
      <c r="B697" s="38" t="n">
        <v>29.117708430673</v>
      </c>
      <c r="C697" s="38" t="n">
        <v>0</v>
      </c>
      <c r="D697" s="39" t="n">
        <f aca="false">MAX(B697,C697)</f>
        <v>29.117708430673</v>
      </c>
    </row>
    <row r="698" customFormat="false" ht="13" hidden="false" customHeight="false" outlineLevel="0" collapsed="false">
      <c r="A698" s="16" t="n">
        <v>681</v>
      </c>
      <c r="B698" s="38" t="n">
        <v>30.5734933564743</v>
      </c>
      <c r="C698" s="38" t="n">
        <v>0</v>
      </c>
      <c r="D698" s="39" t="n">
        <f aca="false">MAX(B698,C698)</f>
        <v>30.5734933564743</v>
      </c>
    </row>
    <row r="699" customFormat="false" ht="13" hidden="false" customHeight="false" outlineLevel="0" collapsed="false">
      <c r="A699" s="16" t="n">
        <v>682</v>
      </c>
      <c r="B699" s="38" t="n">
        <v>0</v>
      </c>
      <c r="C699" s="38" t="n">
        <v>2.21487669994576</v>
      </c>
      <c r="D699" s="39" t="n">
        <f aca="false">MAX(B699,C699)</f>
        <v>2.21487669994576</v>
      </c>
    </row>
    <row r="700" customFormat="false" ht="13" hidden="false" customHeight="false" outlineLevel="0" collapsed="false">
      <c r="A700" s="16" t="n">
        <v>683</v>
      </c>
      <c r="B700" s="38" t="n">
        <v>0</v>
      </c>
      <c r="C700" s="38" t="n">
        <v>3.05963524534525</v>
      </c>
      <c r="D700" s="39" t="n">
        <f aca="false">MAX(B700,C700)</f>
        <v>3.05963524534525</v>
      </c>
    </row>
    <row r="701" customFormat="false" ht="13" hidden="false" customHeight="false" outlineLevel="0" collapsed="false">
      <c r="A701" s="16" t="n">
        <v>684</v>
      </c>
      <c r="B701" s="38" t="n">
        <v>0</v>
      </c>
      <c r="C701" s="38" t="n">
        <v>4.8189717772533</v>
      </c>
      <c r="D701" s="39" t="n">
        <f aca="false">MAX(B701,C701)</f>
        <v>4.8189717772533</v>
      </c>
    </row>
    <row r="702" customFormat="false" ht="13" hidden="false" customHeight="false" outlineLevel="0" collapsed="false">
      <c r="A702" s="16" t="n">
        <v>685</v>
      </c>
      <c r="B702" s="38" t="n">
        <v>0</v>
      </c>
      <c r="C702" s="38" t="n">
        <v>6.33979013550356</v>
      </c>
      <c r="D702" s="39" t="n">
        <f aca="false">MAX(B702,C702)</f>
        <v>6.33979013550356</v>
      </c>
    </row>
    <row r="703" customFormat="false" ht="13" hidden="false" customHeight="false" outlineLevel="0" collapsed="false">
      <c r="A703" s="16" t="n">
        <v>686</v>
      </c>
      <c r="B703" s="38" t="n">
        <v>29.4271371038956</v>
      </c>
      <c r="C703" s="38" t="n">
        <v>0</v>
      </c>
      <c r="D703" s="39" t="n">
        <f aca="false">MAX(B703,C703)</f>
        <v>29.4271371038956</v>
      </c>
    </row>
    <row r="704" customFormat="false" ht="13" hidden="false" customHeight="false" outlineLevel="0" collapsed="false">
      <c r="A704" s="16" t="n">
        <v>687</v>
      </c>
      <c r="B704" s="38" t="n">
        <v>0</v>
      </c>
      <c r="C704" s="38" t="n">
        <v>7.39787507751169</v>
      </c>
      <c r="D704" s="39" t="n">
        <f aca="false">MAX(B704,C704)</f>
        <v>7.39787507751169</v>
      </c>
    </row>
    <row r="705" customFormat="false" ht="13" hidden="false" customHeight="false" outlineLevel="0" collapsed="false">
      <c r="A705" s="16" t="n">
        <v>688</v>
      </c>
      <c r="B705" s="38" t="n">
        <v>29.8916945377409</v>
      </c>
      <c r="C705" s="38" t="n">
        <v>0</v>
      </c>
      <c r="D705" s="39" t="n">
        <f aca="false">MAX(B705,C705)</f>
        <v>29.8916945377409</v>
      </c>
    </row>
    <row r="706" customFormat="false" ht="13" hidden="false" customHeight="false" outlineLevel="0" collapsed="false">
      <c r="A706" s="16" t="n">
        <v>689</v>
      </c>
      <c r="B706" s="38" t="n">
        <v>0</v>
      </c>
      <c r="C706" s="38" t="n">
        <v>7.76502608115777</v>
      </c>
      <c r="D706" s="39" t="n">
        <f aca="false">MAX(B706,C706)</f>
        <v>7.76502608115777</v>
      </c>
    </row>
    <row r="707" customFormat="false" ht="13" hidden="false" customHeight="false" outlineLevel="0" collapsed="false">
      <c r="A707" s="16" t="n">
        <v>690</v>
      </c>
      <c r="B707" s="38" t="n">
        <v>28.0527983869284</v>
      </c>
      <c r="C707" s="38" t="n">
        <v>0</v>
      </c>
      <c r="D707" s="39" t="n">
        <f aca="false">MAX(B707,C707)</f>
        <v>28.0527983869284</v>
      </c>
    </row>
    <row r="708" customFormat="false" ht="13" hidden="false" customHeight="false" outlineLevel="0" collapsed="false">
      <c r="A708" s="16" t="n">
        <v>691</v>
      </c>
      <c r="B708" s="38" t="n">
        <v>28.931637265979</v>
      </c>
      <c r="C708" s="38" t="n">
        <v>0</v>
      </c>
      <c r="D708" s="39" t="n">
        <f aca="false">MAX(B708,C708)</f>
        <v>28.931637265979</v>
      </c>
    </row>
    <row r="709" customFormat="false" ht="13" hidden="false" customHeight="false" outlineLevel="0" collapsed="false">
      <c r="A709" s="16" t="n">
        <v>692</v>
      </c>
      <c r="B709" s="38" t="n">
        <v>0</v>
      </c>
      <c r="C709" s="38" t="n">
        <v>2.31446183422031</v>
      </c>
      <c r="D709" s="39" t="n">
        <f aca="false">MAX(B709,C709)</f>
        <v>2.31446183422031</v>
      </c>
    </row>
    <row r="710" customFormat="false" ht="13" hidden="false" customHeight="false" outlineLevel="0" collapsed="false">
      <c r="A710" s="16" t="n">
        <v>693</v>
      </c>
      <c r="B710" s="38" t="n">
        <v>26.3709817304468</v>
      </c>
      <c r="C710" s="38" t="n">
        <v>0</v>
      </c>
      <c r="D710" s="39" t="n">
        <f aca="false">MAX(B710,C710)</f>
        <v>26.3709817304468</v>
      </c>
    </row>
    <row r="711" customFormat="false" ht="13" hidden="false" customHeight="false" outlineLevel="0" collapsed="false">
      <c r="A711" s="16" t="n">
        <v>694</v>
      </c>
      <c r="B711" s="38" t="n">
        <v>0</v>
      </c>
      <c r="C711" s="38" t="n">
        <v>1.83532860777996</v>
      </c>
      <c r="D711" s="39" t="n">
        <f aca="false">MAX(B711,C711)</f>
        <v>1.83532860777996</v>
      </c>
    </row>
    <row r="712" customFormat="false" ht="13" hidden="false" customHeight="false" outlineLevel="0" collapsed="false">
      <c r="A712" s="16" t="n">
        <v>695</v>
      </c>
      <c r="B712" s="38" t="n">
        <v>26.1552507090777</v>
      </c>
      <c r="C712" s="38" t="n">
        <v>0</v>
      </c>
      <c r="D712" s="39" t="n">
        <f aca="false">MAX(B712,C712)</f>
        <v>26.1552507090777</v>
      </c>
    </row>
    <row r="713" customFormat="false" ht="13" hidden="false" customHeight="false" outlineLevel="0" collapsed="false">
      <c r="A713" s="16" t="n">
        <v>696</v>
      </c>
      <c r="B713" s="38" t="n">
        <v>0</v>
      </c>
      <c r="C713" s="38" t="n">
        <v>2.23702237507473</v>
      </c>
      <c r="D713" s="39" t="n">
        <f aca="false">MAX(B713,C713)</f>
        <v>2.23702237507473</v>
      </c>
    </row>
    <row r="714" customFormat="false" ht="13" hidden="false" customHeight="false" outlineLevel="0" collapsed="false">
      <c r="A714" s="16" t="n">
        <v>697</v>
      </c>
      <c r="B714" s="38" t="n">
        <v>0</v>
      </c>
      <c r="C714" s="38" t="n">
        <v>2.57921861646116</v>
      </c>
      <c r="D714" s="39" t="n">
        <f aca="false">MAX(B714,C714)</f>
        <v>2.57921861646116</v>
      </c>
    </row>
    <row r="715" customFormat="false" ht="13" hidden="false" customHeight="false" outlineLevel="0" collapsed="false">
      <c r="A715" s="16" t="n">
        <v>698</v>
      </c>
      <c r="B715" s="38" t="n">
        <v>0</v>
      </c>
      <c r="C715" s="38" t="n">
        <v>4.11257741150178</v>
      </c>
      <c r="D715" s="39" t="n">
        <f aca="false">MAX(B715,C715)</f>
        <v>4.11257741150178</v>
      </c>
    </row>
    <row r="716" customFormat="false" ht="13" hidden="false" customHeight="false" outlineLevel="0" collapsed="false">
      <c r="A716" s="16" t="n">
        <v>699</v>
      </c>
      <c r="B716" s="38" t="n">
        <v>23.8928778059056</v>
      </c>
      <c r="C716" s="38" t="n">
        <v>0</v>
      </c>
      <c r="D716" s="39" t="n">
        <f aca="false">MAX(B716,C716)</f>
        <v>23.8928778059056</v>
      </c>
    </row>
    <row r="717" customFormat="false" ht="13" hidden="false" customHeight="false" outlineLevel="0" collapsed="false">
      <c r="A717" s="16" t="n">
        <v>700</v>
      </c>
      <c r="B717" s="38" t="n">
        <v>0</v>
      </c>
      <c r="C717" s="38" t="n">
        <v>3.45251138110075</v>
      </c>
      <c r="D717" s="39" t="n">
        <f aca="false">MAX(B717,C717)</f>
        <v>3.45251138110075</v>
      </c>
    </row>
    <row r="718" customFormat="false" ht="13" hidden="false" customHeight="false" outlineLevel="0" collapsed="false">
      <c r="A718" s="16" t="n">
        <v>701</v>
      </c>
      <c r="B718" s="38" t="n">
        <v>23.9096451064075</v>
      </c>
      <c r="C718" s="38" t="n">
        <v>0</v>
      </c>
      <c r="D718" s="39" t="n">
        <f aca="false">MAX(B718,C718)</f>
        <v>23.9096451064075</v>
      </c>
    </row>
    <row r="719" customFormat="false" ht="13" hidden="false" customHeight="false" outlineLevel="0" collapsed="false">
      <c r="A719" s="16" t="n">
        <v>702</v>
      </c>
      <c r="B719" s="38" t="n">
        <v>24.8046457201172</v>
      </c>
      <c r="C719" s="38" t="n">
        <v>0</v>
      </c>
      <c r="D719" s="39" t="n">
        <f aca="false">MAX(B719,C719)</f>
        <v>24.8046457201172</v>
      </c>
    </row>
    <row r="720" customFormat="false" ht="13" hidden="false" customHeight="false" outlineLevel="0" collapsed="false">
      <c r="A720" s="16" t="n">
        <v>703</v>
      </c>
      <c r="B720" s="38" t="n">
        <v>24.7990486915567</v>
      </c>
      <c r="C720" s="38" t="n">
        <v>0</v>
      </c>
      <c r="D720" s="39" t="n">
        <f aca="false">MAX(B720,C720)</f>
        <v>24.7990486915567</v>
      </c>
    </row>
    <row r="721" customFormat="false" ht="13" hidden="false" customHeight="false" outlineLevel="0" collapsed="false">
      <c r="A721" s="16" t="n">
        <v>704</v>
      </c>
      <c r="B721" s="38" t="n">
        <v>25.7338210678325</v>
      </c>
      <c r="C721" s="38" t="n">
        <v>0</v>
      </c>
      <c r="D721" s="39" t="n">
        <f aca="false">MAX(B721,C721)</f>
        <v>25.7338210678325</v>
      </c>
    </row>
    <row r="722" customFormat="false" ht="13" hidden="false" customHeight="false" outlineLevel="0" collapsed="false">
      <c r="A722" s="16" t="n">
        <v>705</v>
      </c>
      <c r="B722" s="38" t="n">
        <v>27.2319287535138</v>
      </c>
      <c r="C722" s="38" t="n">
        <v>0</v>
      </c>
      <c r="D722" s="39" t="n">
        <f aca="false">MAX(B722,C722)</f>
        <v>27.2319287535138</v>
      </c>
    </row>
    <row r="723" customFormat="false" ht="13" hidden="false" customHeight="false" outlineLevel="0" collapsed="false">
      <c r="A723" s="16" t="n">
        <v>706</v>
      </c>
      <c r="B723" s="38" t="n">
        <v>0</v>
      </c>
      <c r="C723" s="38" t="n">
        <v>2.04271246385633</v>
      </c>
      <c r="D723" s="39" t="n">
        <f aca="false">MAX(B723,C723)</f>
        <v>2.04271246385633</v>
      </c>
    </row>
    <row r="724" customFormat="false" ht="13" hidden="false" customHeight="false" outlineLevel="0" collapsed="false">
      <c r="A724" s="16" t="n">
        <v>707</v>
      </c>
      <c r="B724" s="38" t="n">
        <v>0</v>
      </c>
      <c r="C724" s="38" t="n">
        <v>3.01129364140843</v>
      </c>
      <c r="D724" s="39" t="n">
        <f aca="false">MAX(B724,C724)</f>
        <v>3.01129364140843</v>
      </c>
    </row>
    <row r="725" customFormat="false" ht="13" hidden="false" customHeight="false" outlineLevel="0" collapsed="false">
      <c r="A725" s="16" t="n">
        <v>708</v>
      </c>
      <c r="B725" s="38" t="n">
        <v>0</v>
      </c>
      <c r="C725" s="38" t="n">
        <v>4.93226975664015</v>
      </c>
      <c r="D725" s="39" t="n">
        <f aca="false">MAX(B725,C725)</f>
        <v>4.93226975664015</v>
      </c>
    </row>
    <row r="726" customFormat="false" ht="13" hidden="false" customHeight="false" outlineLevel="0" collapsed="false">
      <c r="A726" s="16" t="n">
        <v>709</v>
      </c>
      <c r="B726" s="38" t="n">
        <v>0</v>
      </c>
      <c r="C726" s="38" t="n">
        <v>6.28217761176256</v>
      </c>
      <c r="D726" s="39" t="n">
        <f aca="false">MAX(B726,C726)</f>
        <v>6.28217761176256</v>
      </c>
    </row>
    <row r="727" customFormat="false" ht="13" hidden="false" customHeight="false" outlineLevel="0" collapsed="false">
      <c r="A727" s="16" t="n">
        <v>710</v>
      </c>
      <c r="B727" s="38" t="n">
        <v>0</v>
      </c>
      <c r="C727" s="38" t="n">
        <v>7.00666590641868</v>
      </c>
      <c r="D727" s="39" t="n">
        <f aca="false">MAX(B727,C727)</f>
        <v>7.00666590641868</v>
      </c>
    </row>
    <row r="728" customFormat="false" ht="13" hidden="false" customHeight="false" outlineLevel="0" collapsed="false">
      <c r="A728" s="16" t="n">
        <v>711</v>
      </c>
      <c r="B728" s="38" t="n">
        <v>25.3243623490779</v>
      </c>
      <c r="C728" s="38" t="n">
        <v>0</v>
      </c>
      <c r="D728" s="39" t="n">
        <f aca="false">MAX(B728,C728)</f>
        <v>25.3243623490779</v>
      </c>
    </row>
    <row r="729" customFormat="false" ht="13" hidden="false" customHeight="false" outlineLevel="0" collapsed="false">
      <c r="A729" s="16" t="n">
        <v>712</v>
      </c>
      <c r="B729" s="38" t="n">
        <v>25.8089970105837</v>
      </c>
      <c r="C729" s="38" t="n">
        <v>0</v>
      </c>
      <c r="D729" s="39" t="n">
        <f aca="false">MAX(B729,C729)</f>
        <v>25.8089970105837</v>
      </c>
    </row>
    <row r="730" customFormat="false" ht="13" hidden="false" customHeight="false" outlineLevel="0" collapsed="false">
      <c r="A730" s="16" t="n">
        <v>713</v>
      </c>
      <c r="B730" s="38" t="n">
        <v>27.9179434296206</v>
      </c>
      <c r="C730" s="38" t="n">
        <v>0</v>
      </c>
      <c r="D730" s="39" t="n">
        <f aca="false">MAX(B730,C730)</f>
        <v>27.9179434296206</v>
      </c>
    </row>
    <row r="731" customFormat="false" ht="13" hidden="false" customHeight="false" outlineLevel="0" collapsed="false">
      <c r="A731" s="16" t="n">
        <v>714</v>
      </c>
      <c r="B731" s="38" t="n">
        <v>0</v>
      </c>
      <c r="C731" s="38" t="n">
        <v>6.97156573095163</v>
      </c>
      <c r="D731" s="39" t="n">
        <f aca="false">MAX(B731,C731)</f>
        <v>6.97156573095163</v>
      </c>
    </row>
    <row r="732" customFormat="false" ht="13" hidden="false" customHeight="false" outlineLevel="0" collapsed="false">
      <c r="A732" s="16" t="n">
        <v>715</v>
      </c>
      <c r="B732" s="38" t="n">
        <v>26.5792795172554</v>
      </c>
      <c r="C732" s="38" t="n">
        <v>0</v>
      </c>
      <c r="D732" s="39" t="n">
        <f aca="false">MAX(B732,C732)</f>
        <v>26.5792795172554</v>
      </c>
    </row>
    <row r="733" customFormat="false" ht="13" hidden="false" customHeight="false" outlineLevel="0" collapsed="false">
      <c r="A733" s="16" t="n">
        <v>716</v>
      </c>
      <c r="B733" s="38" t="n">
        <v>0</v>
      </c>
      <c r="C733" s="38" t="n">
        <v>5.82438981197481</v>
      </c>
      <c r="D733" s="39" t="n">
        <f aca="false">MAX(B733,C733)</f>
        <v>5.82438981197481</v>
      </c>
    </row>
    <row r="734" customFormat="false" ht="13" hidden="false" customHeight="false" outlineLevel="0" collapsed="false">
      <c r="A734" s="16" t="n">
        <v>717</v>
      </c>
      <c r="B734" s="38" t="n">
        <v>25.8440866554738</v>
      </c>
      <c r="C734" s="38" t="n">
        <v>0</v>
      </c>
      <c r="D734" s="39" t="n">
        <f aca="false">MAX(B734,C734)</f>
        <v>25.8440866554738</v>
      </c>
    </row>
    <row r="735" customFormat="false" ht="13" hidden="false" customHeight="false" outlineLevel="0" collapsed="false">
      <c r="A735" s="16" t="n">
        <v>718</v>
      </c>
      <c r="B735" s="38" t="n">
        <v>0</v>
      </c>
      <c r="C735" s="38" t="n">
        <v>3.39236388383188</v>
      </c>
      <c r="D735" s="39" t="n">
        <f aca="false">MAX(B735,C735)</f>
        <v>3.39236388383188</v>
      </c>
    </row>
    <row r="736" customFormat="false" ht="13" hidden="false" customHeight="false" outlineLevel="0" collapsed="false">
      <c r="A736" s="16" t="n">
        <v>719</v>
      </c>
      <c r="B736" s="38" t="n">
        <v>25.8055432461416</v>
      </c>
      <c r="C736" s="38" t="n">
        <v>0</v>
      </c>
      <c r="D736" s="39" t="n">
        <f aca="false">MAX(B736,C736)</f>
        <v>25.8055432461416</v>
      </c>
    </row>
    <row r="737" customFormat="false" ht="13" hidden="false" customHeight="false" outlineLevel="0" collapsed="false">
      <c r="A737" s="16" t="n">
        <v>720</v>
      </c>
      <c r="B737" s="38" t="n">
        <v>0</v>
      </c>
      <c r="C737" s="38" t="n">
        <v>4.86660922466388</v>
      </c>
      <c r="D737" s="39" t="n">
        <f aca="false">MAX(B737,C737)</f>
        <v>4.86660922466388</v>
      </c>
    </row>
    <row r="738" customFormat="false" ht="13" hidden="false" customHeight="false" outlineLevel="0" collapsed="false">
      <c r="A738" s="16" t="n">
        <v>721</v>
      </c>
      <c r="B738" s="38" t="n">
        <v>27.1934994112613</v>
      </c>
      <c r="C738" s="38" t="n">
        <v>0</v>
      </c>
      <c r="D738" s="39" t="n">
        <f aca="false">MAX(B738,C738)</f>
        <v>27.1934994112613</v>
      </c>
    </row>
    <row r="739" customFormat="false" ht="13" hidden="false" customHeight="false" outlineLevel="0" collapsed="false">
      <c r="A739" s="16" t="n">
        <v>722</v>
      </c>
      <c r="B739" s="38" t="n">
        <v>0</v>
      </c>
      <c r="C739" s="38" t="n">
        <v>4.1227133369606</v>
      </c>
      <c r="D739" s="39" t="n">
        <f aca="false">MAX(B739,C739)</f>
        <v>4.1227133369606</v>
      </c>
    </row>
    <row r="740" customFormat="false" ht="13" hidden="false" customHeight="false" outlineLevel="0" collapsed="false">
      <c r="A740" s="16" t="n">
        <v>723</v>
      </c>
      <c r="B740" s="38" t="n">
        <v>26.6597148481169</v>
      </c>
      <c r="C740" s="38" t="n">
        <v>0</v>
      </c>
      <c r="D740" s="39" t="n">
        <f aca="false">MAX(B740,C740)</f>
        <v>26.6597148481169</v>
      </c>
    </row>
    <row r="741" customFormat="false" ht="13" hidden="false" customHeight="false" outlineLevel="0" collapsed="false">
      <c r="A741" s="16" t="n">
        <v>724</v>
      </c>
      <c r="B741" s="38" t="n">
        <v>0</v>
      </c>
      <c r="C741" s="38" t="n">
        <v>5.76662790059834</v>
      </c>
      <c r="D741" s="39" t="n">
        <f aca="false">MAX(B741,C741)</f>
        <v>5.76662790059834</v>
      </c>
    </row>
    <row r="742" customFormat="false" ht="13" hidden="false" customHeight="false" outlineLevel="0" collapsed="false">
      <c r="A742" s="16" t="n">
        <v>725</v>
      </c>
      <c r="B742" s="38" t="n">
        <v>28.1296241404415</v>
      </c>
      <c r="C742" s="38" t="n">
        <v>0</v>
      </c>
      <c r="D742" s="39" t="n">
        <f aca="false">MAX(B742,C742)</f>
        <v>28.1296241404415</v>
      </c>
    </row>
    <row r="743" customFormat="false" ht="13" hidden="false" customHeight="false" outlineLevel="0" collapsed="false">
      <c r="A743" s="16" t="n">
        <v>726</v>
      </c>
      <c r="B743" s="38" t="n">
        <v>30.253742084787</v>
      </c>
      <c r="C743" s="38" t="n">
        <v>0</v>
      </c>
      <c r="D743" s="39" t="n">
        <f aca="false">MAX(B743,C743)</f>
        <v>30.253742084787</v>
      </c>
    </row>
    <row r="744" customFormat="false" ht="13" hidden="false" customHeight="false" outlineLevel="0" collapsed="false">
      <c r="A744" s="16" t="n">
        <v>727</v>
      </c>
      <c r="B744" s="38" t="n">
        <v>0</v>
      </c>
      <c r="C744" s="38" t="n">
        <v>7.00544407172845</v>
      </c>
      <c r="D744" s="39" t="n">
        <f aca="false">MAX(B744,C744)</f>
        <v>7.00544407172845</v>
      </c>
    </row>
    <row r="745" customFormat="false" ht="13" hidden="false" customHeight="false" outlineLevel="0" collapsed="false">
      <c r="A745" s="16" t="n">
        <v>728</v>
      </c>
      <c r="B745" s="38" t="n">
        <v>0</v>
      </c>
      <c r="C745" s="38" t="n">
        <v>9.00976962931247</v>
      </c>
      <c r="D745" s="39" t="n">
        <f aca="false">MAX(B745,C745)</f>
        <v>9.00976962931247</v>
      </c>
    </row>
    <row r="746" customFormat="false" ht="13" hidden="false" customHeight="false" outlineLevel="0" collapsed="false">
      <c r="A746" s="16" t="n">
        <v>729</v>
      </c>
      <c r="B746" s="38" t="n">
        <v>0</v>
      </c>
      <c r="C746" s="38" t="n">
        <v>10.8878494885994</v>
      </c>
      <c r="D746" s="39" t="n">
        <f aca="false">MAX(B746,C746)</f>
        <v>10.8878494885994</v>
      </c>
    </row>
    <row r="747" customFormat="false" ht="13" hidden="false" customHeight="false" outlineLevel="0" collapsed="false">
      <c r="A747" s="16" t="n">
        <v>730</v>
      </c>
      <c r="B747" s="38" t="n">
        <v>30.0805724356303</v>
      </c>
      <c r="C747" s="38" t="n">
        <v>0</v>
      </c>
      <c r="D747" s="39" t="n">
        <f aca="false">MAX(B747,C747)</f>
        <v>30.0805724356303</v>
      </c>
    </row>
    <row r="748" customFormat="false" ht="13" hidden="false" customHeight="false" outlineLevel="0" collapsed="false">
      <c r="A748" s="16" t="n">
        <v>731</v>
      </c>
      <c r="B748" s="38" t="n">
        <v>0</v>
      </c>
      <c r="C748" s="38" t="n">
        <v>9.02617020688035</v>
      </c>
      <c r="D748" s="39" t="n">
        <f aca="false">MAX(B748,C748)</f>
        <v>9.02617020688035</v>
      </c>
    </row>
    <row r="749" customFormat="false" ht="13" hidden="false" customHeight="false" outlineLevel="0" collapsed="false">
      <c r="A749" s="16" t="n">
        <v>732</v>
      </c>
      <c r="B749" s="38" t="n">
        <v>28.3406369853624</v>
      </c>
      <c r="C749" s="38" t="n">
        <v>0</v>
      </c>
      <c r="D749" s="39" t="n">
        <f aca="false">MAX(B749,C749)</f>
        <v>28.3406369853624</v>
      </c>
    </row>
    <row r="750" customFormat="false" ht="13" hidden="false" customHeight="false" outlineLevel="0" collapsed="false">
      <c r="A750" s="16" t="n">
        <v>733</v>
      </c>
      <c r="B750" s="38" t="n">
        <v>28.1596100958296</v>
      </c>
      <c r="C750" s="38" t="n">
        <v>0</v>
      </c>
      <c r="D750" s="39" t="n">
        <f aca="false">MAX(B750,C750)</f>
        <v>28.1596100958296</v>
      </c>
    </row>
    <row r="751" customFormat="false" ht="13" hidden="false" customHeight="false" outlineLevel="0" collapsed="false">
      <c r="A751" s="16" t="n">
        <v>734</v>
      </c>
      <c r="B751" s="38" t="n">
        <v>0</v>
      </c>
      <c r="C751" s="38" t="n">
        <v>6.64420813751838</v>
      </c>
      <c r="D751" s="39" t="n">
        <f aca="false">MAX(B751,C751)</f>
        <v>6.64420813751838</v>
      </c>
    </row>
    <row r="752" customFormat="false" ht="13" hidden="false" customHeight="false" outlineLevel="0" collapsed="false">
      <c r="A752" s="16" t="n">
        <v>735</v>
      </c>
      <c r="B752" s="38" t="n">
        <v>28.8055089517941</v>
      </c>
      <c r="C752" s="38" t="n">
        <v>0</v>
      </c>
      <c r="D752" s="39" t="n">
        <f aca="false">MAX(B752,C752)</f>
        <v>28.8055089517941</v>
      </c>
    </row>
    <row r="753" customFormat="false" ht="13" hidden="false" customHeight="false" outlineLevel="0" collapsed="false">
      <c r="A753" s="16" t="n">
        <v>736</v>
      </c>
      <c r="B753" s="38" t="n">
        <v>0</v>
      </c>
      <c r="C753" s="38" t="n">
        <v>7.38385316111442</v>
      </c>
      <c r="D753" s="39" t="n">
        <f aca="false">MAX(B753,C753)</f>
        <v>7.38385316111442</v>
      </c>
    </row>
    <row r="754" customFormat="false" ht="13" hidden="false" customHeight="false" outlineLevel="0" collapsed="false">
      <c r="A754" s="16" t="n">
        <v>737</v>
      </c>
      <c r="B754" s="38" t="n">
        <v>0</v>
      </c>
      <c r="C754" s="38" t="n">
        <v>8.70922847462589</v>
      </c>
      <c r="D754" s="39" t="n">
        <f aca="false">MAX(B754,C754)</f>
        <v>8.70922847462589</v>
      </c>
    </row>
    <row r="755" customFormat="false" ht="13" hidden="false" customHeight="false" outlineLevel="0" collapsed="false">
      <c r="A755" s="16" t="n">
        <v>738</v>
      </c>
      <c r="B755" s="38" t="n">
        <v>27.6460453864521</v>
      </c>
      <c r="C755" s="38" t="n">
        <v>0</v>
      </c>
      <c r="D755" s="39" t="n">
        <f aca="false">MAX(B755,C755)</f>
        <v>27.6460453864521</v>
      </c>
    </row>
    <row r="756" customFormat="false" ht="13" hidden="false" customHeight="false" outlineLevel="0" collapsed="false">
      <c r="A756" s="16" t="n">
        <v>739</v>
      </c>
      <c r="B756" s="38" t="n">
        <v>29.5241257720431</v>
      </c>
      <c r="C756" s="38" t="n">
        <v>0</v>
      </c>
      <c r="D756" s="39" t="n">
        <f aca="false">MAX(B756,C756)</f>
        <v>29.5241257720431</v>
      </c>
    </row>
    <row r="757" customFormat="false" ht="13" hidden="false" customHeight="false" outlineLevel="0" collapsed="false">
      <c r="A757" s="16" t="n">
        <v>740</v>
      </c>
      <c r="B757" s="38" t="n">
        <v>30.6525975420728</v>
      </c>
      <c r="C757" s="38" t="n">
        <v>0</v>
      </c>
      <c r="D757" s="39" t="n">
        <f aca="false">MAX(B757,C757)</f>
        <v>30.6525975420728</v>
      </c>
    </row>
    <row r="758" customFormat="false" ht="13" hidden="false" customHeight="false" outlineLevel="0" collapsed="false">
      <c r="A758" s="16" t="n">
        <v>741</v>
      </c>
      <c r="B758" s="38" t="n">
        <v>0</v>
      </c>
      <c r="C758" s="38" t="n">
        <v>6.96141568584483</v>
      </c>
      <c r="D758" s="39" t="n">
        <f aca="false">MAX(B758,C758)</f>
        <v>6.96141568584483</v>
      </c>
    </row>
    <row r="759" customFormat="false" ht="13" hidden="false" customHeight="false" outlineLevel="0" collapsed="false">
      <c r="A759" s="16" t="n">
        <v>742</v>
      </c>
      <c r="B759" s="38" t="n">
        <v>0</v>
      </c>
      <c r="C759" s="38" t="n">
        <v>8.1067884475035</v>
      </c>
      <c r="D759" s="39" t="n">
        <f aca="false">MAX(B759,C759)</f>
        <v>8.1067884475035</v>
      </c>
    </row>
    <row r="760" customFormat="false" ht="13" hidden="false" customHeight="false" outlineLevel="0" collapsed="false">
      <c r="A760" s="16" t="n">
        <v>743</v>
      </c>
      <c r="B760" s="38" t="n">
        <v>0</v>
      </c>
      <c r="C760" s="38" t="n">
        <v>8.15093672255148</v>
      </c>
      <c r="D760" s="39" t="n">
        <f aca="false">MAX(B760,C760)</f>
        <v>8.15093672255148</v>
      </c>
    </row>
    <row r="761" customFormat="false" ht="13" hidden="false" customHeight="false" outlineLevel="0" collapsed="false">
      <c r="A761" s="16" t="n">
        <v>744</v>
      </c>
      <c r="B761" s="38" t="n">
        <v>27.3242867644259</v>
      </c>
      <c r="C761" s="38" t="n">
        <v>0</v>
      </c>
      <c r="D761" s="39" t="n">
        <f aca="false">MAX(B761,C761)</f>
        <v>27.3242867644259</v>
      </c>
    </row>
    <row r="762" customFormat="false" ht="13" hidden="false" customHeight="false" outlineLevel="0" collapsed="false">
      <c r="A762" s="16" t="n">
        <v>745</v>
      </c>
      <c r="B762" s="38" t="n">
        <v>28.7124590847368</v>
      </c>
      <c r="C762" s="38" t="n">
        <v>0</v>
      </c>
      <c r="D762" s="39" t="n">
        <f aca="false">MAX(B762,C762)</f>
        <v>28.7124590847368</v>
      </c>
    </row>
    <row r="763" customFormat="false" ht="13" hidden="false" customHeight="false" outlineLevel="0" collapsed="false">
      <c r="A763" s="16" t="n">
        <v>746</v>
      </c>
      <c r="B763" s="38" t="n">
        <v>0</v>
      </c>
      <c r="C763" s="38" t="n">
        <v>7.31049178223668</v>
      </c>
      <c r="D763" s="39" t="n">
        <f aca="false">MAX(B763,C763)</f>
        <v>7.31049178223668</v>
      </c>
    </row>
    <row r="764" customFormat="false" ht="13" hidden="false" customHeight="false" outlineLevel="0" collapsed="false">
      <c r="A764" s="16" t="n">
        <v>747</v>
      </c>
      <c r="B764" s="38" t="n">
        <v>0</v>
      </c>
      <c r="C764" s="38" t="n">
        <v>9.39943451240094</v>
      </c>
      <c r="D764" s="39" t="n">
        <f aca="false">MAX(B764,C764)</f>
        <v>9.39943451240094</v>
      </c>
    </row>
    <row r="765" customFormat="false" ht="13" hidden="false" customHeight="false" outlineLevel="0" collapsed="false">
      <c r="A765" s="16" t="n">
        <v>748</v>
      </c>
      <c r="B765" s="38" t="n">
        <v>0</v>
      </c>
      <c r="C765" s="38" t="n">
        <v>10.315906244861</v>
      </c>
      <c r="D765" s="39" t="n">
        <f aca="false">MAX(B765,C765)</f>
        <v>10.315906244861</v>
      </c>
    </row>
    <row r="766" customFormat="false" ht="13" hidden="false" customHeight="false" outlineLevel="0" collapsed="false">
      <c r="A766" s="16" t="n">
        <v>749</v>
      </c>
      <c r="B766" s="38" t="n">
        <v>0</v>
      </c>
      <c r="C766" s="38" t="n">
        <v>12.3108919982253</v>
      </c>
      <c r="D766" s="39" t="n">
        <f aca="false">MAX(B766,C766)</f>
        <v>12.3108919982253</v>
      </c>
    </row>
    <row r="767" customFormat="false" ht="13" hidden="false" customHeight="false" outlineLevel="0" collapsed="false">
      <c r="A767" s="16" t="n">
        <v>750</v>
      </c>
      <c r="B767" s="38" t="n">
        <v>0</v>
      </c>
      <c r="C767" s="38" t="n">
        <v>13.1711403973449</v>
      </c>
      <c r="D767" s="39" t="n">
        <f aca="false">MAX(B767,C767)</f>
        <v>13.1711403973449</v>
      </c>
    </row>
    <row r="768" customFormat="false" ht="13" hidden="false" customHeight="false" outlineLevel="0" collapsed="false">
      <c r="A768" s="16" t="n">
        <v>751</v>
      </c>
      <c r="B768" s="38" t="n">
        <v>27.1399381225526</v>
      </c>
      <c r="C768" s="38" t="n">
        <v>0</v>
      </c>
      <c r="D768" s="39" t="n">
        <f aca="false">MAX(B768,C768)</f>
        <v>27.1399381225526</v>
      </c>
    </row>
    <row r="769" customFormat="false" ht="13" hidden="false" customHeight="false" outlineLevel="0" collapsed="false">
      <c r="A769" s="16" t="n">
        <v>752</v>
      </c>
      <c r="B769" s="38" t="n">
        <v>27.6974939711212</v>
      </c>
      <c r="C769" s="38" t="n">
        <v>0</v>
      </c>
      <c r="D769" s="39" t="n">
        <f aca="false">MAX(B769,C769)</f>
        <v>27.6974939711212</v>
      </c>
    </row>
    <row r="770" customFormat="false" ht="13" hidden="false" customHeight="false" outlineLevel="0" collapsed="false">
      <c r="A770" s="16" t="n">
        <v>753</v>
      </c>
      <c r="B770" s="38" t="n">
        <v>0</v>
      </c>
      <c r="C770" s="38" t="n">
        <v>12.9577725959521</v>
      </c>
      <c r="D770" s="39" t="n">
        <f aca="false">MAX(B770,C770)</f>
        <v>12.9577725959521</v>
      </c>
    </row>
    <row r="771" customFormat="false" ht="13" hidden="false" customHeight="false" outlineLevel="0" collapsed="false">
      <c r="A771" s="16" t="n">
        <v>754</v>
      </c>
      <c r="B771" s="38" t="n">
        <v>0</v>
      </c>
      <c r="C771" s="38" t="n">
        <v>14.1788288185659</v>
      </c>
      <c r="D771" s="39" t="n">
        <f aca="false">MAX(B771,C771)</f>
        <v>14.1788288185659</v>
      </c>
    </row>
    <row r="772" customFormat="false" ht="13" hidden="false" customHeight="false" outlineLevel="0" collapsed="false">
      <c r="A772" s="16" t="n">
        <v>755</v>
      </c>
      <c r="B772" s="38" t="n">
        <v>0</v>
      </c>
      <c r="C772" s="38" t="n">
        <v>14.0247776908332</v>
      </c>
      <c r="D772" s="39" t="n">
        <f aca="false">MAX(B772,C772)</f>
        <v>14.0247776908332</v>
      </c>
    </row>
    <row r="773" customFormat="false" ht="13" hidden="false" customHeight="false" outlineLevel="0" collapsed="false">
      <c r="A773" s="16" t="n">
        <v>756</v>
      </c>
      <c r="B773" s="38" t="n">
        <v>26.6162542700579</v>
      </c>
      <c r="C773" s="38" t="n">
        <v>0</v>
      </c>
      <c r="D773" s="39" t="n">
        <f aca="false">MAX(B773,C773)</f>
        <v>26.6162542700579</v>
      </c>
    </row>
    <row r="774" customFormat="false" ht="13" hidden="false" customHeight="false" outlineLevel="0" collapsed="false">
      <c r="A774" s="16" t="n">
        <v>757</v>
      </c>
      <c r="B774" s="38" t="n">
        <v>26.4005899494608</v>
      </c>
      <c r="C774" s="38" t="n">
        <v>0</v>
      </c>
      <c r="D774" s="39" t="n">
        <f aca="false">MAX(B774,C774)</f>
        <v>26.4005899494608</v>
      </c>
    </row>
    <row r="775" customFormat="false" ht="13" hidden="false" customHeight="false" outlineLevel="0" collapsed="false">
      <c r="A775" s="16" t="n">
        <v>758</v>
      </c>
      <c r="B775" s="38" t="n">
        <v>0</v>
      </c>
      <c r="C775" s="38" t="n">
        <v>13.4848282149954</v>
      </c>
      <c r="D775" s="39" t="n">
        <f aca="false">MAX(B775,C775)</f>
        <v>13.4848282149954</v>
      </c>
    </row>
    <row r="776" customFormat="false" ht="13" hidden="false" customHeight="false" outlineLevel="0" collapsed="false">
      <c r="A776" s="16" t="n">
        <v>759</v>
      </c>
      <c r="B776" s="38" t="n">
        <v>27.1565098151282</v>
      </c>
      <c r="C776" s="38" t="n">
        <v>0</v>
      </c>
      <c r="D776" s="39" t="n">
        <f aca="false">MAX(B776,C776)</f>
        <v>27.1565098151282</v>
      </c>
    </row>
    <row r="777" customFormat="false" ht="13" hidden="false" customHeight="false" outlineLevel="0" collapsed="false">
      <c r="A777" s="16" t="n">
        <v>760</v>
      </c>
      <c r="B777" s="38" t="n">
        <v>0</v>
      </c>
      <c r="C777" s="38" t="n">
        <v>14.7966409364916</v>
      </c>
      <c r="D777" s="39" t="n">
        <f aca="false">MAX(B777,C777)</f>
        <v>14.7966409364916</v>
      </c>
    </row>
    <row r="778" customFormat="false" ht="13" hidden="false" customHeight="false" outlineLevel="0" collapsed="false">
      <c r="A778" s="16" t="n">
        <v>761</v>
      </c>
      <c r="B778" s="38" t="n">
        <v>27.2927342799984</v>
      </c>
      <c r="C778" s="38" t="n">
        <v>0</v>
      </c>
      <c r="D778" s="39" t="n">
        <f aca="false">MAX(B778,C778)</f>
        <v>27.2927342799984</v>
      </c>
    </row>
    <row r="779" customFormat="false" ht="13" hidden="false" customHeight="false" outlineLevel="0" collapsed="false">
      <c r="A779" s="16" t="n">
        <v>762</v>
      </c>
      <c r="B779" s="38" t="n">
        <v>0</v>
      </c>
      <c r="C779" s="38" t="n">
        <v>15.0879986771859</v>
      </c>
      <c r="D779" s="39" t="n">
        <f aca="false">MAX(B779,C779)</f>
        <v>15.0879986771859</v>
      </c>
    </row>
    <row r="780" customFormat="false" ht="13" hidden="false" customHeight="false" outlineLevel="0" collapsed="false">
      <c r="A780" s="16" t="n">
        <v>763</v>
      </c>
      <c r="B780" s="38" t="n">
        <v>28.1594703136227</v>
      </c>
      <c r="C780" s="38" t="n">
        <v>0</v>
      </c>
      <c r="D780" s="39" t="n">
        <f aca="false">MAX(B780,C780)</f>
        <v>28.1594703136227</v>
      </c>
    </row>
    <row r="781" customFormat="false" ht="13" hidden="false" customHeight="false" outlineLevel="0" collapsed="false">
      <c r="A781" s="16" t="n">
        <v>764</v>
      </c>
      <c r="B781" s="38" t="n">
        <v>0</v>
      </c>
      <c r="C781" s="38" t="n">
        <v>15.5338913484394</v>
      </c>
      <c r="D781" s="39" t="n">
        <f aca="false">MAX(B781,C781)</f>
        <v>15.5338913484394</v>
      </c>
    </row>
    <row r="782" customFormat="false" ht="13" hidden="false" customHeight="false" outlineLevel="0" collapsed="false">
      <c r="A782" s="16" t="n">
        <v>765</v>
      </c>
      <c r="B782" s="38" t="n">
        <v>29.2086369120419</v>
      </c>
      <c r="C782" s="38" t="n">
        <v>0</v>
      </c>
      <c r="D782" s="39" t="n">
        <f aca="false">MAX(B782,C782)</f>
        <v>29.2086369120419</v>
      </c>
    </row>
    <row r="783" customFormat="false" ht="13" hidden="false" customHeight="false" outlineLevel="0" collapsed="false">
      <c r="A783" s="16" t="n">
        <v>766</v>
      </c>
      <c r="B783" s="38" t="n">
        <v>31.0888705007226</v>
      </c>
      <c r="C783" s="38" t="n">
        <v>0</v>
      </c>
      <c r="D783" s="39" t="n">
        <f aca="false">MAX(B783,C783)</f>
        <v>31.0888705007226</v>
      </c>
    </row>
    <row r="784" customFormat="false" ht="13" hidden="false" customHeight="false" outlineLevel="0" collapsed="false">
      <c r="A784" s="16" t="n">
        <v>767</v>
      </c>
      <c r="B784" s="38" t="n">
        <v>32.7467330130663</v>
      </c>
      <c r="C784" s="38" t="n">
        <v>0</v>
      </c>
      <c r="D784" s="39" t="n">
        <f aca="false">MAX(B784,C784)</f>
        <v>32.7467330130663</v>
      </c>
    </row>
    <row r="785" customFormat="false" ht="13" hidden="false" customHeight="false" outlineLevel="0" collapsed="false">
      <c r="A785" s="16" t="n">
        <v>768</v>
      </c>
      <c r="B785" s="38" t="n">
        <v>0</v>
      </c>
      <c r="C785" s="38" t="n">
        <v>16.028571198855</v>
      </c>
      <c r="D785" s="39" t="n">
        <f aca="false">MAX(B785,C785)</f>
        <v>16.028571198855</v>
      </c>
    </row>
    <row r="786" customFormat="false" ht="13" hidden="false" customHeight="false" outlineLevel="0" collapsed="false">
      <c r="A786" s="16" t="n">
        <v>769</v>
      </c>
      <c r="B786" s="38" t="n">
        <v>0</v>
      </c>
      <c r="C786" s="38" t="n">
        <v>16.3106505049873</v>
      </c>
      <c r="D786" s="39" t="n">
        <f aca="false">MAX(B786,C786)</f>
        <v>16.3106505049873</v>
      </c>
    </row>
    <row r="787" customFormat="false" ht="13" hidden="false" customHeight="false" outlineLevel="0" collapsed="false">
      <c r="A787" s="16" t="n">
        <v>770</v>
      </c>
      <c r="B787" s="38" t="n">
        <v>0</v>
      </c>
      <c r="C787" s="38" t="n">
        <v>18.1378785675844</v>
      </c>
      <c r="D787" s="39" t="n">
        <f aca="false">MAX(B787,C787)</f>
        <v>18.1378785675844</v>
      </c>
    </row>
    <row r="788" customFormat="false" ht="13" hidden="false" customHeight="false" outlineLevel="0" collapsed="false">
      <c r="A788" s="16" t="n">
        <v>771</v>
      </c>
      <c r="B788" s="38" t="n">
        <v>28.8054875868863</v>
      </c>
      <c r="C788" s="38" t="n">
        <v>0</v>
      </c>
      <c r="D788" s="39" t="n">
        <f aca="false">MAX(B788,C788)</f>
        <v>28.8054875868863</v>
      </c>
    </row>
    <row r="789" customFormat="false" ht="13" hidden="false" customHeight="false" outlineLevel="0" collapsed="false">
      <c r="A789" s="16" t="n">
        <v>772</v>
      </c>
      <c r="B789" s="38" t="n">
        <v>28.7104330742759</v>
      </c>
      <c r="C789" s="38" t="n">
        <v>0</v>
      </c>
      <c r="D789" s="39" t="n">
        <f aca="false">MAX(B789,C789)</f>
        <v>28.7104330742759</v>
      </c>
    </row>
    <row r="790" customFormat="false" ht="13" hidden="false" customHeight="false" outlineLevel="0" collapsed="false">
      <c r="A790" s="16" t="n">
        <v>773</v>
      </c>
      <c r="B790" s="38" t="n">
        <v>0</v>
      </c>
      <c r="C790" s="38" t="n">
        <v>15.0043148956219</v>
      </c>
      <c r="D790" s="39" t="n">
        <f aca="false">MAX(B790,C790)</f>
        <v>15.0043148956219</v>
      </c>
    </row>
    <row r="791" customFormat="false" ht="13" hidden="false" customHeight="false" outlineLevel="0" collapsed="false">
      <c r="A791" s="16" t="n">
        <v>774</v>
      </c>
      <c r="B791" s="38" t="n">
        <v>0</v>
      </c>
      <c r="C791" s="38" t="n">
        <v>15.8059576259974</v>
      </c>
      <c r="D791" s="39" t="n">
        <f aca="false">MAX(B791,C791)</f>
        <v>15.8059576259974</v>
      </c>
    </row>
    <row r="792" customFormat="false" ht="13" hidden="false" customHeight="false" outlineLevel="0" collapsed="false">
      <c r="A792" s="16" t="n">
        <v>775</v>
      </c>
      <c r="B792" s="38" t="n">
        <v>0</v>
      </c>
      <c r="C792" s="38" t="n">
        <v>16.6335944039537</v>
      </c>
      <c r="D792" s="39" t="n">
        <f aca="false">MAX(B792,C792)</f>
        <v>16.6335944039537</v>
      </c>
    </row>
    <row r="793" customFormat="false" ht="13" hidden="false" customHeight="false" outlineLevel="0" collapsed="false">
      <c r="A793" s="16" t="n">
        <v>776</v>
      </c>
      <c r="B793" s="38" t="n">
        <v>27.2203959965426</v>
      </c>
      <c r="C793" s="38" t="n">
        <v>0</v>
      </c>
      <c r="D793" s="39" t="n">
        <f aca="false">MAX(B793,C793)</f>
        <v>27.2203959965426</v>
      </c>
    </row>
    <row r="794" customFormat="false" ht="13" hidden="false" customHeight="false" outlineLevel="0" collapsed="false">
      <c r="A794" s="16" t="n">
        <v>777</v>
      </c>
      <c r="B794" s="38" t="n">
        <v>29.1097561915061</v>
      </c>
      <c r="C794" s="38" t="n">
        <v>0</v>
      </c>
      <c r="D794" s="39" t="n">
        <f aca="false">MAX(B794,C794)</f>
        <v>29.1097561915061</v>
      </c>
    </row>
    <row r="795" customFormat="false" ht="13" hidden="false" customHeight="false" outlineLevel="0" collapsed="false">
      <c r="A795" s="16" t="n">
        <v>778</v>
      </c>
      <c r="B795" s="38" t="n">
        <v>0</v>
      </c>
      <c r="C795" s="38" t="n">
        <v>16.2226720156311</v>
      </c>
      <c r="D795" s="39" t="n">
        <f aca="false">MAX(B795,C795)</f>
        <v>16.2226720156311</v>
      </c>
    </row>
    <row r="796" customFormat="false" ht="13" hidden="false" customHeight="false" outlineLevel="0" collapsed="false">
      <c r="A796" s="16" t="n">
        <v>779</v>
      </c>
      <c r="B796" s="38" t="n">
        <v>0</v>
      </c>
      <c r="C796" s="38" t="n">
        <v>16.7837911172154</v>
      </c>
      <c r="D796" s="39" t="n">
        <f aca="false">MAX(B796,C796)</f>
        <v>16.7837911172154</v>
      </c>
    </row>
    <row r="797" customFormat="false" ht="13" hidden="false" customHeight="false" outlineLevel="0" collapsed="false">
      <c r="A797" s="16" t="n">
        <v>780</v>
      </c>
      <c r="B797" s="38" t="n">
        <v>0</v>
      </c>
      <c r="C797" s="38" t="n">
        <v>18.6029638325581</v>
      </c>
      <c r="D797" s="39" t="n">
        <f aca="false">MAX(B797,C797)</f>
        <v>18.6029638325581</v>
      </c>
    </row>
    <row r="798" customFormat="false" ht="13" hidden="false" customHeight="false" outlineLevel="0" collapsed="false">
      <c r="A798" s="16" t="n">
        <v>781</v>
      </c>
      <c r="B798" s="38" t="n">
        <v>27.9334734944102</v>
      </c>
      <c r="C798" s="38" t="n">
        <v>0</v>
      </c>
      <c r="D798" s="39" t="n">
        <f aca="false">MAX(B798,C798)</f>
        <v>27.9334734944102</v>
      </c>
    </row>
    <row r="799" customFormat="false" ht="13" hidden="false" customHeight="false" outlineLevel="0" collapsed="false">
      <c r="A799" s="16" t="n">
        <v>782</v>
      </c>
      <c r="B799" s="38" t="n">
        <v>0</v>
      </c>
      <c r="C799" s="38" t="n">
        <v>19.5393376552094</v>
      </c>
      <c r="D799" s="39" t="n">
        <f aca="false">MAX(B799,C799)</f>
        <v>19.5393376552094</v>
      </c>
    </row>
    <row r="800" customFormat="false" ht="13" hidden="false" customHeight="false" outlineLevel="0" collapsed="false">
      <c r="A800" s="16" t="n">
        <v>783</v>
      </c>
      <c r="B800" s="38" t="n">
        <v>0</v>
      </c>
      <c r="C800" s="38" t="n">
        <v>20.9649391556426</v>
      </c>
      <c r="D800" s="39" t="n">
        <f aca="false">MAX(B800,C800)</f>
        <v>20.9649391556426</v>
      </c>
    </row>
    <row r="801" customFormat="false" ht="13" hidden="false" customHeight="false" outlineLevel="0" collapsed="false">
      <c r="A801" s="16" t="n">
        <v>784</v>
      </c>
      <c r="B801" s="38" t="n">
        <v>28.4639528099353</v>
      </c>
      <c r="C801" s="38" t="n">
        <v>0</v>
      </c>
      <c r="D801" s="39" t="n">
        <f aca="false">MAX(B801,C801)</f>
        <v>28.4639528099353</v>
      </c>
    </row>
    <row r="802" customFormat="false" ht="13" hidden="false" customHeight="false" outlineLevel="0" collapsed="false">
      <c r="A802" s="16" t="n">
        <v>785</v>
      </c>
      <c r="B802" s="38" t="n">
        <v>29.3133448459778</v>
      </c>
      <c r="C802" s="38" t="n">
        <v>0</v>
      </c>
      <c r="D802" s="39" t="n">
        <f aca="false">MAX(B802,C802)</f>
        <v>29.3133448459778</v>
      </c>
    </row>
    <row r="803" customFormat="false" ht="13" hidden="false" customHeight="false" outlineLevel="0" collapsed="false">
      <c r="A803" s="16" t="n">
        <v>786</v>
      </c>
      <c r="B803" s="38" t="n">
        <v>0</v>
      </c>
      <c r="C803" s="38" t="n">
        <v>18.2138823679729</v>
      </c>
      <c r="D803" s="39" t="n">
        <f aca="false">MAX(B803,C803)</f>
        <v>18.2138823679729</v>
      </c>
    </row>
    <row r="804" customFormat="false" ht="13" hidden="false" customHeight="false" outlineLevel="0" collapsed="false">
      <c r="A804" s="16" t="n">
        <v>787</v>
      </c>
      <c r="B804" s="38" t="n">
        <v>27.8212276125569</v>
      </c>
      <c r="C804" s="38" t="n">
        <v>0</v>
      </c>
      <c r="D804" s="39" t="n">
        <f aca="false">MAX(B804,C804)</f>
        <v>27.8212276125569</v>
      </c>
    </row>
    <row r="805" customFormat="false" ht="13" hidden="false" customHeight="false" outlineLevel="0" collapsed="false">
      <c r="A805" s="16" t="n">
        <v>788</v>
      </c>
      <c r="B805" s="38" t="n">
        <v>0</v>
      </c>
      <c r="C805" s="38" t="n">
        <v>16.0600795750536</v>
      </c>
      <c r="D805" s="39" t="n">
        <f aca="false">MAX(B805,C805)</f>
        <v>16.0600795750536</v>
      </c>
    </row>
    <row r="806" customFormat="false" ht="13" hidden="false" customHeight="false" outlineLevel="0" collapsed="false">
      <c r="A806" s="16" t="n">
        <v>789</v>
      </c>
      <c r="B806" s="38" t="n">
        <v>26.1988377907169</v>
      </c>
      <c r="C806" s="38" t="n">
        <v>0</v>
      </c>
      <c r="D806" s="39" t="n">
        <f aca="false">MAX(B806,C806)</f>
        <v>26.1988377907169</v>
      </c>
    </row>
    <row r="807" customFormat="false" ht="13" hidden="false" customHeight="false" outlineLevel="0" collapsed="false">
      <c r="A807" s="16" t="n">
        <v>790</v>
      </c>
      <c r="B807" s="38" t="n">
        <v>0</v>
      </c>
      <c r="C807" s="38" t="n">
        <v>16.1125039002741</v>
      </c>
      <c r="D807" s="39" t="n">
        <f aca="false">MAX(B807,C807)</f>
        <v>16.1125039002741</v>
      </c>
    </row>
    <row r="808" customFormat="false" ht="13" hidden="false" customHeight="false" outlineLevel="0" collapsed="false">
      <c r="A808" s="16" t="n">
        <v>791</v>
      </c>
      <c r="B808" s="38" t="n">
        <v>0</v>
      </c>
      <c r="C808" s="38" t="n">
        <v>16.4847949579402</v>
      </c>
      <c r="D808" s="39" t="n">
        <f aca="false">MAX(B808,C808)</f>
        <v>16.4847949579402</v>
      </c>
    </row>
    <row r="809" customFormat="false" ht="13" hidden="false" customHeight="false" outlineLevel="0" collapsed="false">
      <c r="A809" s="16" t="n">
        <v>792</v>
      </c>
      <c r="B809" s="38" t="n">
        <v>23.1284145303318</v>
      </c>
      <c r="C809" s="38" t="n">
        <v>0</v>
      </c>
      <c r="D809" s="39" t="n">
        <f aca="false">MAX(B809,C809)</f>
        <v>23.1284145303318</v>
      </c>
    </row>
    <row r="810" customFormat="false" ht="13" hidden="false" customHeight="false" outlineLevel="0" collapsed="false">
      <c r="A810" s="16" t="n">
        <v>793</v>
      </c>
      <c r="B810" s="38" t="n">
        <v>24.7011255414868</v>
      </c>
      <c r="C810" s="38" t="n">
        <v>0</v>
      </c>
      <c r="D810" s="39" t="n">
        <f aca="false">MAX(B810,C810)</f>
        <v>24.7011255414868</v>
      </c>
    </row>
    <row r="811" customFormat="false" ht="13" hidden="false" customHeight="false" outlineLevel="0" collapsed="false">
      <c r="A811" s="16" t="n">
        <v>794</v>
      </c>
      <c r="B811" s="38" t="n">
        <v>25.8747375549589</v>
      </c>
      <c r="C811" s="38" t="n">
        <v>0</v>
      </c>
      <c r="D811" s="39" t="n">
        <f aca="false">MAX(B811,C811)</f>
        <v>25.8747375549589</v>
      </c>
    </row>
    <row r="812" customFormat="false" ht="13" hidden="false" customHeight="false" outlineLevel="0" collapsed="false">
      <c r="A812" s="16" t="n">
        <v>795</v>
      </c>
      <c r="B812" s="38" t="n">
        <v>0</v>
      </c>
      <c r="C812" s="38" t="n">
        <v>14.3825896205982</v>
      </c>
      <c r="D812" s="39" t="n">
        <f aca="false">MAX(B812,C812)</f>
        <v>14.3825896205982</v>
      </c>
    </row>
    <row r="813" customFormat="false" ht="13" hidden="false" customHeight="false" outlineLevel="0" collapsed="false">
      <c r="A813" s="16" t="n">
        <v>796</v>
      </c>
      <c r="B813" s="38" t="n">
        <v>0</v>
      </c>
      <c r="C813" s="38" t="n">
        <v>15.4887604151085</v>
      </c>
      <c r="D813" s="39" t="n">
        <f aca="false">MAX(B813,C813)</f>
        <v>15.4887604151085</v>
      </c>
    </row>
    <row r="814" customFormat="false" ht="13" hidden="false" customHeight="false" outlineLevel="0" collapsed="false">
      <c r="A814" s="16" t="n">
        <v>797</v>
      </c>
      <c r="B814" s="38" t="n">
        <v>0</v>
      </c>
      <c r="C814" s="38" t="n">
        <v>15.5062614943821</v>
      </c>
      <c r="D814" s="39" t="n">
        <f aca="false">MAX(B814,C814)</f>
        <v>15.5062614943821</v>
      </c>
    </row>
    <row r="815" customFormat="false" ht="13" hidden="false" customHeight="false" outlineLevel="0" collapsed="false">
      <c r="A815" s="16" t="n">
        <v>798</v>
      </c>
      <c r="B815" s="38" t="n">
        <v>0</v>
      </c>
      <c r="C815" s="38" t="n">
        <v>17.3745482084291</v>
      </c>
      <c r="D815" s="39" t="n">
        <f aca="false">MAX(B815,C815)</f>
        <v>17.3745482084291</v>
      </c>
    </row>
    <row r="816" customFormat="false" ht="13" hidden="false" customHeight="false" outlineLevel="0" collapsed="false">
      <c r="A816" s="16" t="n">
        <v>799</v>
      </c>
      <c r="B816" s="38" t="n">
        <v>22.3458309888558</v>
      </c>
      <c r="C816" s="38" t="n">
        <v>0</v>
      </c>
      <c r="D816" s="39" t="n">
        <f aca="false">MAX(B816,C816)</f>
        <v>22.3458309888558</v>
      </c>
    </row>
    <row r="817" customFormat="false" ht="13" hidden="false" customHeight="false" outlineLevel="0" collapsed="false">
      <c r="A817" s="16" t="n">
        <v>800</v>
      </c>
      <c r="B817" s="38" t="n">
        <v>22.7618590036584</v>
      </c>
      <c r="C817" s="38" t="n">
        <v>0</v>
      </c>
      <c r="D817" s="39" t="n">
        <f aca="false">MAX(B817,C817)</f>
        <v>22.7618590036584</v>
      </c>
    </row>
    <row r="818" customFormat="false" ht="13" hidden="false" customHeight="false" outlineLevel="0" collapsed="false">
      <c r="A818" s="16" t="n">
        <v>801</v>
      </c>
      <c r="B818" s="38" t="n">
        <v>0</v>
      </c>
      <c r="C818" s="38" t="n">
        <v>15.1284547800794</v>
      </c>
      <c r="D818" s="39" t="n">
        <f aca="false">MAX(B818,C818)</f>
        <v>15.1284547800794</v>
      </c>
    </row>
    <row r="819" customFormat="false" ht="13" hidden="false" customHeight="false" outlineLevel="0" collapsed="false">
      <c r="A819" s="16" t="n">
        <v>802</v>
      </c>
      <c r="B819" s="38" t="n">
        <v>0</v>
      </c>
      <c r="C819" s="38" t="n">
        <v>16.3057357077569</v>
      </c>
      <c r="D819" s="39" t="n">
        <f aca="false">MAX(B819,C819)</f>
        <v>16.3057357077569</v>
      </c>
    </row>
    <row r="820" customFormat="false" ht="13" hidden="false" customHeight="false" outlineLevel="0" collapsed="false">
      <c r="A820" s="16" t="n">
        <v>803</v>
      </c>
      <c r="B820" s="38" t="n">
        <v>0</v>
      </c>
      <c r="C820" s="38" t="n">
        <v>16.4830393641787</v>
      </c>
      <c r="D820" s="39" t="n">
        <f aca="false">MAX(B820,C820)</f>
        <v>16.4830393641787</v>
      </c>
    </row>
    <row r="821" customFormat="false" ht="13" hidden="false" customHeight="false" outlineLevel="0" collapsed="false">
      <c r="A821" s="16" t="n">
        <v>804</v>
      </c>
      <c r="B821" s="38" t="n">
        <v>0</v>
      </c>
      <c r="C821" s="38" t="n">
        <v>17.9608584249497</v>
      </c>
      <c r="D821" s="39" t="n">
        <f aca="false">MAX(B821,C821)</f>
        <v>17.9608584249497</v>
      </c>
    </row>
    <row r="822" customFormat="false" ht="13" hidden="false" customHeight="false" outlineLevel="0" collapsed="false">
      <c r="A822" s="16" t="n">
        <v>805</v>
      </c>
      <c r="B822" s="38" t="n">
        <v>0</v>
      </c>
      <c r="C822" s="38" t="n">
        <v>19.8437044863284</v>
      </c>
      <c r="D822" s="39" t="n">
        <f aca="false">MAX(B822,C822)</f>
        <v>19.8437044863284</v>
      </c>
    </row>
    <row r="823" customFormat="false" ht="13" hidden="false" customHeight="false" outlineLevel="0" collapsed="false">
      <c r="A823" s="16" t="n">
        <v>806</v>
      </c>
      <c r="B823" s="38" t="n">
        <v>20.0532150369332</v>
      </c>
      <c r="C823" s="38" t="n">
        <v>0</v>
      </c>
      <c r="D823" s="39" t="n">
        <f aca="false">MAX(B823,C823)</f>
        <v>20.0532150369332</v>
      </c>
    </row>
    <row r="824" customFormat="false" ht="13" hidden="false" customHeight="false" outlineLevel="0" collapsed="false">
      <c r="A824" s="16" t="n">
        <v>807</v>
      </c>
      <c r="B824" s="38" t="n">
        <v>0</v>
      </c>
      <c r="C824" s="38" t="n">
        <v>20.1716644833682</v>
      </c>
      <c r="D824" s="39" t="n">
        <f aca="false">MAX(B824,C824)</f>
        <v>20.1716644833682</v>
      </c>
    </row>
    <row r="825" customFormat="false" ht="13" hidden="false" customHeight="false" outlineLevel="0" collapsed="false">
      <c r="A825" s="16" t="n">
        <v>808</v>
      </c>
      <c r="B825" s="38" t="n">
        <v>0</v>
      </c>
      <c r="C825" s="38" t="n">
        <v>21.0036436308867</v>
      </c>
      <c r="D825" s="39" t="n">
        <f aca="false">MAX(B825,C825)</f>
        <v>21.0036436308867</v>
      </c>
    </row>
    <row r="826" customFormat="false" ht="13" hidden="false" customHeight="false" outlineLevel="0" collapsed="false">
      <c r="A826" s="16" t="n">
        <v>809</v>
      </c>
      <c r="B826" s="38" t="n">
        <v>0</v>
      </c>
      <c r="C826" s="38" t="n">
        <v>22.8158893377548</v>
      </c>
      <c r="D826" s="39" t="n">
        <f aca="false">MAX(B826,C826)</f>
        <v>22.8158893377548</v>
      </c>
    </row>
    <row r="827" customFormat="false" ht="13" hidden="false" customHeight="false" outlineLevel="0" collapsed="false">
      <c r="A827" s="16" t="n">
        <v>810</v>
      </c>
      <c r="B827" s="38" t="n">
        <v>18.5097663638145</v>
      </c>
      <c r="C827" s="38" t="n">
        <v>0</v>
      </c>
      <c r="D827" s="39" t="n">
        <f aca="false">MAX(B827,C827)</f>
        <v>18.5097663638145</v>
      </c>
    </row>
    <row r="828" customFormat="false" ht="13" hidden="false" customHeight="false" outlineLevel="0" collapsed="false">
      <c r="A828" s="16" t="n">
        <v>811</v>
      </c>
      <c r="B828" s="38" t="n">
        <v>19.2248490181541</v>
      </c>
      <c r="C828" s="38" t="n">
        <v>0</v>
      </c>
      <c r="D828" s="39" t="n">
        <f aca="false">MAX(B828,C828)</f>
        <v>19.2248490181541</v>
      </c>
    </row>
    <row r="829" customFormat="false" ht="13" hidden="false" customHeight="false" outlineLevel="0" collapsed="false">
      <c r="A829" s="16" t="n">
        <v>812</v>
      </c>
      <c r="B829" s="38" t="n">
        <v>20.8533768491973</v>
      </c>
      <c r="C829" s="38" t="n">
        <v>0</v>
      </c>
      <c r="D829" s="39" t="n">
        <f aca="false">MAX(B829,C829)</f>
        <v>20.8533768491973</v>
      </c>
    </row>
    <row r="830" customFormat="false" ht="13" hidden="false" customHeight="false" outlineLevel="0" collapsed="false">
      <c r="A830" s="16" t="n">
        <v>813</v>
      </c>
      <c r="B830" s="38" t="n">
        <v>0</v>
      </c>
      <c r="C830" s="38" t="n">
        <v>21.9302173290452</v>
      </c>
      <c r="D830" s="39" t="n">
        <f aca="false">MAX(B830,C830)</f>
        <v>21.9302173290452</v>
      </c>
    </row>
    <row r="831" customFormat="false" ht="13" hidden="false" customHeight="false" outlineLevel="0" collapsed="false">
      <c r="A831" s="16" t="n">
        <v>814</v>
      </c>
      <c r="B831" s="38" t="n">
        <v>0</v>
      </c>
      <c r="C831" s="38" t="n">
        <v>22.0226543137678</v>
      </c>
      <c r="D831" s="39" t="n">
        <f aca="false">MAX(B831,C831)</f>
        <v>22.0226543137678</v>
      </c>
    </row>
    <row r="832" customFormat="false" ht="13" hidden="false" customHeight="false" outlineLevel="0" collapsed="false">
      <c r="A832" s="16" t="n">
        <v>815</v>
      </c>
      <c r="B832" s="38" t="n">
        <v>0</v>
      </c>
      <c r="C832" s="38" t="n">
        <v>20.4890506799657</v>
      </c>
      <c r="D832" s="39" t="n">
        <f aca="false">MAX(B832,C832)</f>
        <v>20.4890506799657</v>
      </c>
    </row>
    <row r="833" customFormat="false" ht="13" hidden="false" customHeight="false" outlineLevel="0" collapsed="false">
      <c r="A833" s="16" t="n">
        <v>816</v>
      </c>
      <c r="B833" s="38" t="n">
        <v>14.3448668617967</v>
      </c>
      <c r="C833" s="38" t="n">
        <v>0</v>
      </c>
      <c r="D833" s="39" t="n">
        <f aca="false">MAX(B833,C833)</f>
        <v>14.3448668617967</v>
      </c>
    </row>
    <row r="834" customFormat="false" ht="13" hidden="false" customHeight="false" outlineLevel="0" collapsed="false">
      <c r="A834" s="16" t="n">
        <v>817</v>
      </c>
      <c r="B834" s="38" t="n">
        <v>0</v>
      </c>
      <c r="C834" s="38" t="n">
        <v>19.3201190309433</v>
      </c>
      <c r="D834" s="39" t="n">
        <f aca="false">MAX(B834,C834)</f>
        <v>19.3201190309433</v>
      </c>
    </row>
    <row r="835" customFormat="false" ht="13" hidden="false" customHeight="false" outlineLevel="0" collapsed="false">
      <c r="A835" s="16" t="n">
        <v>818</v>
      </c>
      <c r="B835" s="38" t="n">
        <v>0</v>
      </c>
      <c r="C835" s="38" t="n">
        <v>20.1513517531372</v>
      </c>
      <c r="D835" s="39" t="n">
        <f aca="false">MAX(B835,C835)</f>
        <v>20.1513517531372</v>
      </c>
    </row>
    <row r="836" customFormat="false" ht="13" hidden="false" customHeight="false" outlineLevel="0" collapsed="false">
      <c r="A836" s="16" t="n">
        <v>819</v>
      </c>
      <c r="B836" s="38" t="n">
        <v>0</v>
      </c>
      <c r="C836" s="38" t="n">
        <v>21.7985239350605</v>
      </c>
      <c r="D836" s="39" t="n">
        <f aca="false">MAX(B836,C836)</f>
        <v>21.7985239350605</v>
      </c>
    </row>
    <row r="837" customFormat="false" ht="13" hidden="false" customHeight="false" outlineLevel="0" collapsed="false">
      <c r="A837" s="16" t="n">
        <v>820</v>
      </c>
      <c r="B837" s="38" t="n">
        <v>0</v>
      </c>
      <c r="C837" s="38" t="n">
        <v>23.6358645198626</v>
      </c>
      <c r="D837" s="39" t="n">
        <f aca="false">MAX(B837,C837)</f>
        <v>23.6358645198626</v>
      </c>
    </row>
    <row r="838" customFormat="false" ht="13" hidden="false" customHeight="false" outlineLevel="0" collapsed="false">
      <c r="A838" s="16" t="n">
        <v>821</v>
      </c>
      <c r="B838" s="38" t="n">
        <v>0</v>
      </c>
      <c r="C838" s="38" t="n">
        <v>24.2517077228529</v>
      </c>
      <c r="D838" s="39" t="n">
        <f aca="false">MAX(B838,C838)</f>
        <v>24.2517077228529</v>
      </c>
    </row>
    <row r="839" customFormat="false" ht="13" hidden="false" customHeight="false" outlineLevel="0" collapsed="false">
      <c r="A839" s="16" t="n">
        <v>822</v>
      </c>
      <c r="B839" s="38" t="n">
        <v>0</v>
      </c>
      <c r="C839" s="38" t="n">
        <v>24.7025855033213</v>
      </c>
      <c r="D839" s="39" t="n">
        <f aca="false">MAX(B839,C839)</f>
        <v>24.7025855033213</v>
      </c>
    </row>
    <row r="840" customFormat="false" ht="13" hidden="false" customHeight="false" outlineLevel="0" collapsed="false">
      <c r="A840" s="16" t="n">
        <v>823</v>
      </c>
      <c r="B840" s="38" t="n">
        <v>9.41905319689124</v>
      </c>
      <c r="C840" s="38" t="n">
        <v>0</v>
      </c>
      <c r="D840" s="39" t="n">
        <f aca="false">MAX(B840,C840)</f>
        <v>9.41905319689124</v>
      </c>
    </row>
    <row r="841" customFormat="false" ht="13" hidden="false" customHeight="false" outlineLevel="0" collapsed="false">
      <c r="A841" s="16" t="n">
        <v>824</v>
      </c>
      <c r="B841" s="38" t="n">
        <v>0</v>
      </c>
      <c r="C841" s="38" t="n">
        <v>23.6504296891142</v>
      </c>
      <c r="D841" s="39" t="n">
        <f aca="false">MAX(B841,C841)</f>
        <v>23.6504296891142</v>
      </c>
    </row>
    <row r="842" customFormat="false" ht="13" hidden="false" customHeight="false" outlineLevel="0" collapsed="false">
      <c r="A842" s="16" t="n">
        <v>825</v>
      </c>
      <c r="B842" s="38" t="n">
        <v>0</v>
      </c>
      <c r="C842" s="38" t="n">
        <v>24.6089347022388</v>
      </c>
      <c r="D842" s="39" t="n">
        <f aca="false">MAX(B842,C842)</f>
        <v>24.6089347022388</v>
      </c>
    </row>
    <row r="843" customFormat="false" ht="13" hidden="false" customHeight="false" outlineLevel="0" collapsed="false">
      <c r="A843" s="16" t="n">
        <v>826</v>
      </c>
      <c r="B843" s="38" t="n">
        <v>0</v>
      </c>
      <c r="C843" s="38" t="n">
        <v>24.3532300327259</v>
      </c>
      <c r="D843" s="39" t="n">
        <f aca="false">MAX(B843,C843)</f>
        <v>24.3532300327259</v>
      </c>
    </row>
    <row r="844" customFormat="false" ht="13" hidden="false" customHeight="false" outlineLevel="0" collapsed="false">
      <c r="A844" s="16" t="n">
        <v>827</v>
      </c>
      <c r="B844" s="38" t="n">
        <v>4.99543045831183</v>
      </c>
      <c r="C844" s="38" t="n">
        <v>0</v>
      </c>
      <c r="D844" s="39" t="n">
        <f aca="false">MAX(B844,C844)</f>
        <v>4.99543045831183</v>
      </c>
    </row>
    <row r="845" customFormat="false" ht="13" hidden="false" customHeight="false" outlineLevel="0" collapsed="false">
      <c r="A845" s="16" t="n">
        <v>828</v>
      </c>
      <c r="B845" s="38" t="n">
        <v>4.31763827880752</v>
      </c>
      <c r="C845" s="38" t="n">
        <v>0</v>
      </c>
      <c r="D845" s="39" t="n">
        <f aca="false">MAX(B845,C845)</f>
        <v>4.31763827880752</v>
      </c>
    </row>
    <row r="846" customFormat="false" ht="13" hidden="false" customHeight="false" outlineLevel="0" collapsed="false">
      <c r="A846" s="16" t="n">
        <v>829</v>
      </c>
      <c r="B846" s="38" t="n">
        <v>4.9154754046134</v>
      </c>
      <c r="C846" s="38" t="n">
        <v>0</v>
      </c>
      <c r="D846" s="39" t="n">
        <f aca="false">MAX(B846,C846)</f>
        <v>4.9154754046134</v>
      </c>
    </row>
    <row r="847" customFormat="false" ht="13" hidden="false" customHeight="false" outlineLevel="0" collapsed="false">
      <c r="A847" s="16" t="n">
        <v>830</v>
      </c>
      <c r="B847" s="38" t="n">
        <v>1.8423481039199</v>
      </c>
      <c r="C847" s="38" t="n">
        <v>0</v>
      </c>
      <c r="D847" s="39" t="n">
        <f aca="false">MAX(B847,C847)</f>
        <v>1.8423481039199</v>
      </c>
    </row>
    <row r="848" customFormat="false" ht="13" hidden="false" customHeight="false" outlineLevel="0" collapsed="false">
      <c r="A848" s="16" t="n">
        <v>831</v>
      </c>
      <c r="B848" s="38" t="n">
        <v>2.75032231639113</v>
      </c>
      <c r="C848" s="38" t="n">
        <v>0</v>
      </c>
      <c r="D848" s="39" t="n">
        <f aca="false">MAX(B848,C848)</f>
        <v>2.75032231639113</v>
      </c>
    </row>
    <row r="849" customFormat="false" ht="13" hidden="false" customHeight="false" outlineLevel="0" collapsed="false">
      <c r="A849" s="16" t="n">
        <v>832</v>
      </c>
      <c r="B849" s="38" t="n">
        <v>0</v>
      </c>
      <c r="C849" s="38" t="n">
        <v>13.1620544110476</v>
      </c>
      <c r="D849" s="39" t="n">
        <f aca="false">MAX(B849,C849)</f>
        <v>13.1620544110476</v>
      </c>
    </row>
    <row r="850" customFormat="false" ht="13" hidden="false" customHeight="false" outlineLevel="0" collapsed="false">
      <c r="A850" s="16" t="n">
        <v>833</v>
      </c>
      <c r="B850" s="38" t="n">
        <v>0</v>
      </c>
      <c r="C850" s="38" t="n">
        <v>15.0795144178834</v>
      </c>
      <c r="D850" s="39" t="n">
        <f aca="false">MAX(B850,C850)</f>
        <v>15.0795144178834</v>
      </c>
    </row>
    <row r="851" customFormat="false" ht="13" hidden="false" customHeight="false" outlineLevel="0" collapsed="false">
      <c r="A851" s="16" t="n">
        <v>834</v>
      </c>
      <c r="B851" s="38" t="n">
        <v>0</v>
      </c>
      <c r="C851" s="38" t="n">
        <v>15.3793974443839</v>
      </c>
      <c r="D851" s="39" t="n">
        <f aca="false">MAX(B851,C851)</f>
        <v>15.3793974443839</v>
      </c>
    </row>
    <row r="852" customFormat="false" ht="13" hidden="false" customHeight="false" outlineLevel="0" collapsed="false">
      <c r="A852" s="16" t="n">
        <v>835</v>
      </c>
      <c r="B852" s="38" t="n">
        <v>2.53824074517559</v>
      </c>
      <c r="C852" s="38" t="n">
        <v>0</v>
      </c>
      <c r="D852" s="39" t="n">
        <f aca="false">MAX(B852,C852)</f>
        <v>2.53824074517559</v>
      </c>
    </row>
    <row r="853" customFormat="false" ht="13" hidden="false" customHeight="false" outlineLevel="0" collapsed="false">
      <c r="A853" s="16" t="n">
        <v>836</v>
      </c>
      <c r="B853" s="38" t="n">
        <v>4.43424498143429</v>
      </c>
      <c r="C853" s="38" t="n">
        <v>0</v>
      </c>
      <c r="D853" s="39" t="n">
        <f aca="false">MAX(B853,C853)</f>
        <v>4.43424498143429</v>
      </c>
    </row>
    <row r="854" customFormat="false" ht="13" hidden="false" customHeight="false" outlineLevel="0" collapsed="false">
      <c r="A854" s="16" t="n">
        <v>837</v>
      </c>
      <c r="B854" s="38" t="n">
        <v>0</v>
      </c>
      <c r="C854" s="38" t="n">
        <v>15.7248912093814</v>
      </c>
      <c r="D854" s="39" t="n">
        <f aca="false">MAX(B854,C854)</f>
        <v>15.7248912093814</v>
      </c>
    </row>
    <row r="855" customFormat="false" ht="13" hidden="false" customHeight="false" outlineLevel="0" collapsed="false">
      <c r="A855" s="16" t="n">
        <v>838</v>
      </c>
      <c r="B855" s="38" t="n">
        <v>2.39241499595448</v>
      </c>
      <c r="C855" s="38" t="n">
        <v>0</v>
      </c>
      <c r="D855" s="39" t="n">
        <f aca="false">MAX(B855,C855)</f>
        <v>2.39241499595448</v>
      </c>
    </row>
    <row r="856" customFormat="false" ht="13" hidden="false" customHeight="false" outlineLevel="0" collapsed="false">
      <c r="A856" s="16" t="n">
        <v>839</v>
      </c>
      <c r="B856" s="38" t="n">
        <v>2.11909569502222</v>
      </c>
      <c r="C856" s="38" t="n">
        <v>0</v>
      </c>
      <c r="D856" s="39" t="n">
        <f aca="false">MAX(B856,C856)</f>
        <v>2.11909569502222</v>
      </c>
    </row>
    <row r="857" customFormat="false" ht="13" hidden="false" customHeight="false" outlineLevel="0" collapsed="false">
      <c r="A857" s="16" t="n">
        <v>840</v>
      </c>
      <c r="B857" s="38" t="n">
        <v>0</v>
      </c>
      <c r="C857" s="38" t="n">
        <v>12.5162260880885</v>
      </c>
      <c r="D857" s="39" t="n">
        <f aca="false">MAX(B857,C857)</f>
        <v>12.5162260880885</v>
      </c>
    </row>
    <row r="858" customFormat="false" ht="13" hidden="false" customHeight="false" outlineLevel="0" collapsed="false">
      <c r="A858" s="16" t="n">
        <v>841</v>
      </c>
      <c r="B858" s="38" t="n">
        <v>0</v>
      </c>
      <c r="C858" s="38" t="n">
        <v>14.3290738657012</v>
      </c>
      <c r="D858" s="39" t="n">
        <f aca="false">MAX(B858,C858)</f>
        <v>14.3290738657012</v>
      </c>
    </row>
    <row r="859" customFormat="false" ht="13" hidden="false" customHeight="false" outlineLevel="0" collapsed="false">
      <c r="A859" s="16" t="n">
        <v>842</v>
      </c>
      <c r="B859" s="38" t="n">
        <v>0</v>
      </c>
      <c r="C859" s="38" t="n">
        <v>14.9396556663112</v>
      </c>
      <c r="D859" s="39" t="n">
        <f aca="false">MAX(B859,C859)</f>
        <v>14.9396556663112</v>
      </c>
    </row>
    <row r="860" customFormat="false" ht="13" hidden="false" customHeight="false" outlineLevel="0" collapsed="false">
      <c r="A860" s="16" t="n">
        <v>843</v>
      </c>
      <c r="B860" s="38" t="n">
        <v>0</v>
      </c>
      <c r="C860" s="38" t="n">
        <v>14.4205327780803</v>
      </c>
      <c r="D860" s="39" t="n">
        <f aca="false">MAX(B860,C860)</f>
        <v>14.4205327780803</v>
      </c>
    </row>
    <row r="861" customFormat="false" ht="13" hidden="false" customHeight="false" outlineLevel="0" collapsed="false">
      <c r="A861" s="16" t="n">
        <v>844</v>
      </c>
      <c r="B861" s="38" t="n">
        <v>1.78077854884805</v>
      </c>
      <c r="C861" s="38" t="n">
        <v>0</v>
      </c>
      <c r="D861" s="39" t="n">
        <f aca="false">MAX(B861,C861)</f>
        <v>1.78077854884805</v>
      </c>
    </row>
    <row r="862" customFormat="false" ht="13" hidden="false" customHeight="false" outlineLevel="0" collapsed="false">
      <c r="A862" s="16" t="n">
        <v>845</v>
      </c>
      <c r="B862" s="38" t="n">
        <v>2.32100939476095</v>
      </c>
      <c r="C862" s="38" t="n">
        <v>0</v>
      </c>
      <c r="D862" s="39" t="n">
        <f aca="false">MAX(B862,C862)</f>
        <v>2.32100939476095</v>
      </c>
    </row>
    <row r="863" customFormat="false" ht="13" hidden="false" customHeight="false" outlineLevel="0" collapsed="false">
      <c r="A863" s="16" t="n">
        <v>846</v>
      </c>
      <c r="B863" s="38" t="n">
        <v>4.1430083880183</v>
      </c>
      <c r="C863" s="38" t="n">
        <v>0</v>
      </c>
      <c r="D863" s="39" t="n">
        <f aca="false">MAX(B863,C863)</f>
        <v>4.1430083880183</v>
      </c>
    </row>
    <row r="864" customFormat="false" ht="13" hidden="false" customHeight="false" outlineLevel="0" collapsed="false">
      <c r="A864" s="16" t="n">
        <v>847</v>
      </c>
      <c r="B864" s="38" t="n">
        <v>0</v>
      </c>
      <c r="C864" s="38" t="n">
        <v>11.3367795100255</v>
      </c>
      <c r="D864" s="39" t="n">
        <f aca="false">MAX(B864,C864)</f>
        <v>11.3367795100255</v>
      </c>
    </row>
    <row r="865" customFormat="false" ht="13" hidden="false" customHeight="false" outlineLevel="0" collapsed="false">
      <c r="A865" s="16" t="n">
        <v>848</v>
      </c>
      <c r="B865" s="38" t="n">
        <v>0</v>
      </c>
      <c r="C865" s="38" t="n">
        <v>12.4662020942822</v>
      </c>
      <c r="D865" s="39" t="n">
        <f aca="false">MAX(B865,C865)</f>
        <v>12.4662020942822</v>
      </c>
    </row>
    <row r="866" customFormat="false" ht="13" hidden="false" customHeight="false" outlineLevel="0" collapsed="false">
      <c r="A866" s="16" t="n">
        <v>849</v>
      </c>
      <c r="B866" s="38" t="n">
        <v>3.77324345743477</v>
      </c>
      <c r="C866" s="38" t="n">
        <v>0</v>
      </c>
      <c r="D866" s="39" t="n">
        <f aca="false">MAX(B866,C866)</f>
        <v>3.77324345743477</v>
      </c>
    </row>
    <row r="867" customFormat="false" ht="13" hidden="false" customHeight="false" outlineLevel="0" collapsed="false">
      <c r="A867" s="16" t="n">
        <v>850</v>
      </c>
      <c r="B867" s="38" t="n">
        <v>0</v>
      </c>
      <c r="C867" s="38" t="n">
        <v>12.8133769365339</v>
      </c>
      <c r="D867" s="39" t="n">
        <f aca="false">MAX(B867,C867)</f>
        <v>12.8133769365339</v>
      </c>
    </row>
    <row r="868" customFormat="false" ht="13" hidden="false" customHeight="false" outlineLevel="0" collapsed="false">
      <c r="A868" s="16" t="n">
        <v>851</v>
      </c>
      <c r="B868" s="38" t="n">
        <v>0</v>
      </c>
      <c r="C868" s="38" t="n">
        <v>14.5237767160605</v>
      </c>
      <c r="D868" s="39" t="n">
        <f aca="false">MAX(B868,C868)</f>
        <v>14.5237767160605</v>
      </c>
    </row>
    <row r="869" customFormat="false" ht="13" hidden="false" customHeight="false" outlineLevel="0" collapsed="false">
      <c r="A869" s="16" t="n">
        <v>852</v>
      </c>
      <c r="B869" s="38" t="n">
        <v>2.86381659934</v>
      </c>
      <c r="C869" s="38" t="n">
        <v>0</v>
      </c>
      <c r="D869" s="39" t="n">
        <f aca="false">MAX(B869,C869)</f>
        <v>2.86381659934</v>
      </c>
    </row>
    <row r="870" customFormat="false" ht="13" hidden="false" customHeight="false" outlineLevel="0" collapsed="false">
      <c r="A870" s="16" t="n">
        <v>853</v>
      </c>
      <c r="B870" s="38" t="n">
        <v>4.85346678039059</v>
      </c>
      <c r="C870" s="38" t="n">
        <v>0</v>
      </c>
      <c r="D870" s="39" t="n">
        <f aca="false">MAX(B870,C870)</f>
        <v>4.85346678039059</v>
      </c>
    </row>
    <row r="871" customFormat="false" ht="13" hidden="false" customHeight="false" outlineLevel="0" collapsed="false">
      <c r="A871" s="16" t="n">
        <v>854</v>
      </c>
      <c r="B871" s="38" t="n">
        <v>0</v>
      </c>
      <c r="C871" s="38" t="n">
        <v>13.9711462108438</v>
      </c>
      <c r="D871" s="39" t="n">
        <f aca="false">MAX(B871,C871)</f>
        <v>13.9711462108438</v>
      </c>
    </row>
    <row r="872" customFormat="false" ht="13" hidden="false" customHeight="false" outlineLevel="0" collapsed="false">
      <c r="A872" s="16" t="n">
        <v>855</v>
      </c>
      <c r="B872" s="38" t="n">
        <v>0</v>
      </c>
      <c r="C872" s="38" t="n">
        <v>15.2080979988961</v>
      </c>
      <c r="D872" s="39" t="n">
        <f aca="false">MAX(B872,C872)</f>
        <v>15.2080979988961</v>
      </c>
    </row>
    <row r="873" customFormat="false" ht="13" hidden="false" customHeight="false" outlineLevel="0" collapsed="false">
      <c r="A873" s="16" t="n">
        <v>856</v>
      </c>
      <c r="B873" s="38" t="n">
        <v>5.3487586118905</v>
      </c>
      <c r="C873" s="38" t="n">
        <v>0</v>
      </c>
      <c r="D873" s="39" t="n">
        <f aca="false">MAX(B873,C873)</f>
        <v>5.3487586118905</v>
      </c>
    </row>
    <row r="874" customFormat="false" ht="13" hidden="false" customHeight="false" outlineLevel="0" collapsed="false">
      <c r="A874" s="16" t="n">
        <v>857</v>
      </c>
      <c r="B874" s="38" t="n">
        <v>7.28417497218891</v>
      </c>
      <c r="C874" s="38" t="n">
        <v>0</v>
      </c>
      <c r="D874" s="39" t="n">
        <f aca="false">MAX(B874,C874)</f>
        <v>7.28417497218891</v>
      </c>
    </row>
    <row r="875" customFormat="false" ht="13" hidden="false" customHeight="false" outlineLevel="0" collapsed="false">
      <c r="A875" s="16" t="n">
        <v>858</v>
      </c>
      <c r="B875" s="38" t="n">
        <v>8.86689251150847</v>
      </c>
      <c r="C875" s="38" t="n">
        <v>0</v>
      </c>
      <c r="D875" s="39" t="n">
        <f aca="false">MAX(B875,C875)</f>
        <v>8.86689251150847</v>
      </c>
    </row>
    <row r="876" customFormat="false" ht="13" hidden="false" customHeight="false" outlineLevel="0" collapsed="false">
      <c r="A876" s="16" t="n">
        <v>859</v>
      </c>
      <c r="B876" s="38" t="n">
        <v>0</v>
      </c>
      <c r="C876" s="38" t="n">
        <v>15.9247360523987</v>
      </c>
      <c r="D876" s="39" t="n">
        <f aca="false">MAX(B876,C876)</f>
        <v>15.9247360523987</v>
      </c>
    </row>
    <row r="877" customFormat="false" ht="13" hidden="false" customHeight="false" outlineLevel="0" collapsed="false">
      <c r="A877" s="16" t="n">
        <v>860</v>
      </c>
      <c r="B877" s="38" t="n">
        <v>8.37098156406216</v>
      </c>
      <c r="C877" s="38" t="n">
        <v>0</v>
      </c>
      <c r="D877" s="39" t="n">
        <f aca="false">MAX(B877,C877)</f>
        <v>8.37098156406216</v>
      </c>
    </row>
    <row r="878" customFormat="false" ht="13" hidden="false" customHeight="false" outlineLevel="0" collapsed="false">
      <c r="A878" s="16" t="n">
        <v>861</v>
      </c>
      <c r="B878" s="38" t="n">
        <v>7.119327131928</v>
      </c>
      <c r="C878" s="38" t="n">
        <v>0</v>
      </c>
      <c r="D878" s="39" t="n">
        <f aca="false">MAX(B878,C878)</f>
        <v>7.119327131928</v>
      </c>
    </row>
    <row r="879" customFormat="false" ht="13" hidden="false" customHeight="false" outlineLevel="0" collapsed="false">
      <c r="A879" s="16" t="n">
        <v>862</v>
      </c>
      <c r="B879" s="38" t="n">
        <v>0</v>
      </c>
      <c r="C879" s="38" t="n">
        <v>12.181127876659</v>
      </c>
      <c r="D879" s="39" t="n">
        <f aca="false">MAX(B879,C879)</f>
        <v>12.181127876659</v>
      </c>
    </row>
    <row r="880" customFormat="false" ht="13" hidden="false" customHeight="false" outlineLevel="0" collapsed="false">
      <c r="A880" s="16" t="n">
        <v>863</v>
      </c>
      <c r="B880" s="38" t="n">
        <v>0</v>
      </c>
      <c r="C880" s="38" t="n">
        <v>12.2950842934697</v>
      </c>
      <c r="D880" s="39" t="n">
        <f aca="false">MAX(B880,C880)</f>
        <v>12.2950842934697</v>
      </c>
    </row>
    <row r="881" customFormat="false" ht="13" hidden="false" customHeight="false" outlineLevel="0" collapsed="false">
      <c r="A881" s="16" t="n">
        <v>864</v>
      </c>
      <c r="B881" s="38" t="n">
        <v>0</v>
      </c>
      <c r="C881" s="38" t="n">
        <v>12.8734288022217</v>
      </c>
      <c r="D881" s="39" t="n">
        <f aca="false">MAX(B881,C881)</f>
        <v>12.8734288022217</v>
      </c>
    </row>
    <row r="882" customFormat="false" ht="13" hidden="false" customHeight="false" outlineLevel="0" collapsed="false">
      <c r="A882" s="16" t="n">
        <v>865</v>
      </c>
      <c r="B882" s="38" t="n">
        <v>4.73218295089407</v>
      </c>
      <c r="C882" s="38" t="n">
        <v>0</v>
      </c>
      <c r="D882" s="39" t="n">
        <f aca="false">MAX(B882,C882)</f>
        <v>4.73218295089407</v>
      </c>
    </row>
    <row r="883" customFormat="false" ht="13" hidden="false" customHeight="false" outlineLevel="0" collapsed="false">
      <c r="A883" s="16" t="n">
        <v>866</v>
      </c>
      <c r="B883" s="38" t="n">
        <v>0</v>
      </c>
      <c r="C883" s="38" t="n">
        <v>13.9591131643605</v>
      </c>
      <c r="D883" s="39" t="n">
        <f aca="false">MAX(B883,C883)</f>
        <v>13.9591131643605</v>
      </c>
    </row>
    <row r="884" customFormat="false" ht="13" hidden="false" customHeight="false" outlineLevel="0" collapsed="false">
      <c r="A884" s="16" t="n">
        <v>867</v>
      </c>
      <c r="B884" s="38" t="n">
        <v>6.30059241839888</v>
      </c>
      <c r="C884" s="38" t="n">
        <v>0</v>
      </c>
      <c r="D884" s="39" t="n">
        <f aca="false">MAX(B884,C884)</f>
        <v>6.30059241839888</v>
      </c>
    </row>
    <row r="885" customFormat="false" ht="13" hidden="false" customHeight="false" outlineLevel="0" collapsed="false">
      <c r="A885" s="16" t="n">
        <v>868</v>
      </c>
      <c r="B885" s="38" t="n">
        <v>0</v>
      </c>
      <c r="C885" s="38" t="n">
        <v>13.9418851192358</v>
      </c>
      <c r="D885" s="39" t="n">
        <f aca="false">MAX(B885,C885)</f>
        <v>13.9418851192358</v>
      </c>
    </row>
    <row r="886" customFormat="false" ht="13" hidden="false" customHeight="false" outlineLevel="0" collapsed="false">
      <c r="A886" s="16" t="n">
        <v>869</v>
      </c>
      <c r="B886" s="38" t="n">
        <v>0</v>
      </c>
      <c r="C886" s="38" t="n">
        <v>14.5764016937048</v>
      </c>
      <c r="D886" s="39" t="n">
        <f aca="false">MAX(B886,C886)</f>
        <v>14.5764016937048</v>
      </c>
    </row>
    <row r="887" customFormat="false" ht="13" hidden="false" customHeight="false" outlineLevel="0" collapsed="false">
      <c r="A887" s="16" t="n">
        <v>870</v>
      </c>
      <c r="B887" s="38" t="n">
        <v>0</v>
      </c>
      <c r="C887" s="38" t="n">
        <v>15.7353996549787</v>
      </c>
      <c r="D887" s="39" t="n">
        <f aca="false">MAX(B887,C887)</f>
        <v>15.7353996549787</v>
      </c>
    </row>
    <row r="888" customFormat="false" ht="13" hidden="false" customHeight="false" outlineLevel="0" collapsed="false">
      <c r="A888" s="16" t="n">
        <v>871</v>
      </c>
      <c r="B888" s="38" t="n">
        <v>0</v>
      </c>
      <c r="C888" s="38" t="n">
        <v>17.8481764321269</v>
      </c>
      <c r="D888" s="39" t="n">
        <f aca="false">MAX(B888,C888)</f>
        <v>17.8481764321269</v>
      </c>
    </row>
    <row r="889" customFormat="false" ht="13" hidden="false" customHeight="false" outlineLevel="0" collapsed="false">
      <c r="A889" s="16" t="n">
        <v>872</v>
      </c>
      <c r="B889" s="38" t="n">
        <v>0</v>
      </c>
      <c r="C889" s="38" t="n">
        <v>18.2051780402257</v>
      </c>
      <c r="D889" s="39" t="n">
        <f aca="false">MAX(B889,C889)</f>
        <v>18.2051780402257</v>
      </c>
    </row>
    <row r="890" customFormat="false" ht="13" hidden="false" customHeight="false" outlineLevel="0" collapsed="false">
      <c r="A890" s="16" t="n">
        <v>873</v>
      </c>
      <c r="B890" s="38" t="n">
        <v>2.88895515649836</v>
      </c>
      <c r="C890" s="38" t="n">
        <v>0</v>
      </c>
      <c r="D890" s="39" t="n">
        <f aca="false">MAX(B890,C890)</f>
        <v>2.88895515649836</v>
      </c>
    </row>
    <row r="891" customFormat="false" ht="13" hidden="false" customHeight="false" outlineLevel="0" collapsed="false">
      <c r="A891" s="16" t="n">
        <v>874</v>
      </c>
      <c r="B891" s="38" t="n">
        <v>4.22688353222895</v>
      </c>
      <c r="C891" s="38" t="n">
        <v>0</v>
      </c>
      <c r="D891" s="39" t="n">
        <f aca="false">MAX(B891,C891)</f>
        <v>4.22688353222895</v>
      </c>
    </row>
    <row r="892" customFormat="false" ht="13" hidden="false" customHeight="false" outlineLevel="0" collapsed="false">
      <c r="A892" s="16" t="n">
        <v>875</v>
      </c>
      <c r="B892" s="38" t="n">
        <v>0</v>
      </c>
      <c r="C892" s="38" t="n">
        <v>19.2206403267274</v>
      </c>
      <c r="D892" s="39" t="n">
        <f aca="false">MAX(B892,C892)</f>
        <v>19.2206403267274</v>
      </c>
    </row>
    <row r="893" customFormat="false" ht="13" hidden="false" customHeight="false" outlineLevel="0" collapsed="false">
      <c r="A893" s="16" t="n">
        <v>876</v>
      </c>
      <c r="B893" s="38" t="n">
        <v>0</v>
      </c>
      <c r="C893" s="38" t="n">
        <v>20.6469709947762</v>
      </c>
      <c r="D893" s="39" t="n">
        <f aca="false">MAX(B893,C893)</f>
        <v>20.6469709947762</v>
      </c>
    </row>
    <row r="894" customFormat="false" ht="13" hidden="false" customHeight="false" outlineLevel="0" collapsed="false">
      <c r="A894" s="16" t="n">
        <v>877</v>
      </c>
      <c r="B894" s="38" t="n">
        <v>0</v>
      </c>
      <c r="C894" s="38" t="n">
        <v>20.8361161644871</v>
      </c>
      <c r="D894" s="39" t="n">
        <f aca="false">MAX(B894,C894)</f>
        <v>20.8361161644871</v>
      </c>
    </row>
    <row r="895" customFormat="false" ht="13" hidden="false" customHeight="false" outlineLevel="0" collapsed="false">
      <c r="A895" s="16" t="n">
        <v>878</v>
      </c>
      <c r="B895" s="38" t="n">
        <v>3.40879882569823</v>
      </c>
      <c r="C895" s="38" t="n">
        <v>0</v>
      </c>
      <c r="D895" s="39" t="n">
        <f aca="false">MAX(B895,C895)</f>
        <v>3.40879882569823</v>
      </c>
    </row>
    <row r="896" customFormat="false" ht="13" hidden="false" customHeight="false" outlineLevel="0" collapsed="false">
      <c r="A896" s="16" t="n">
        <v>879</v>
      </c>
      <c r="B896" s="38" t="n">
        <v>5.00361841930896</v>
      </c>
      <c r="C896" s="38" t="n">
        <v>0</v>
      </c>
      <c r="D896" s="39" t="n">
        <f aca="false">MAX(B896,C896)</f>
        <v>5.00361841930896</v>
      </c>
    </row>
    <row r="897" customFormat="false" ht="13" hidden="false" customHeight="false" outlineLevel="0" collapsed="false">
      <c r="A897" s="16" t="n">
        <v>880</v>
      </c>
      <c r="B897" s="38" t="n">
        <v>6.9160125001597</v>
      </c>
      <c r="C897" s="38" t="n">
        <v>0</v>
      </c>
      <c r="D897" s="39" t="n">
        <f aca="false">MAX(B897,C897)</f>
        <v>6.9160125001597</v>
      </c>
    </row>
    <row r="898" customFormat="false" ht="13" hidden="false" customHeight="false" outlineLevel="0" collapsed="false">
      <c r="A898" s="16" t="n">
        <v>881</v>
      </c>
      <c r="B898" s="38" t="n">
        <v>0</v>
      </c>
      <c r="C898" s="38" t="n">
        <v>20.141415910422</v>
      </c>
      <c r="D898" s="39" t="n">
        <f aca="false">MAX(B898,C898)</f>
        <v>20.141415910422</v>
      </c>
    </row>
    <row r="899" customFormat="false" ht="13" hidden="false" customHeight="false" outlineLevel="0" collapsed="false">
      <c r="A899" s="16" t="n">
        <v>882</v>
      </c>
      <c r="B899" s="38" t="n">
        <v>0</v>
      </c>
      <c r="C899" s="38" t="n">
        <v>21.7849099914863</v>
      </c>
      <c r="D899" s="39" t="n">
        <f aca="false">MAX(B899,C899)</f>
        <v>21.7849099914863</v>
      </c>
    </row>
    <row r="900" customFormat="false" ht="13" hidden="false" customHeight="false" outlineLevel="0" collapsed="false">
      <c r="A900" s="16" t="n">
        <v>883</v>
      </c>
      <c r="B900" s="38" t="n">
        <v>0</v>
      </c>
      <c r="C900" s="38" t="n">
        <v>23.6944889629638</v>
      </c>
      <c r="D900" s="39" t="n">
        <f aca="false">MAX(B900,C900)</f>
        <v>23.6944889629638</v>
      </c>
    </row>
    <row r="901" customFormat="false" ht="13" hidden="false" customHeight="false" outlineLevel="0" collapsed="false">
      <c r="A901" s="16" t="n">
        <v>884</v>
      </c>
      <c r="B901" s="38" t="n">
        <v>0</v>
      </c>
      <c r="C901" s="38" t="n">
        <v>25.4617670572355</v>
      </c>
      <c r="D901" s="39" t="n">
        <f aca="false">MAX(B901,C901)</f>
        <v>25.4617670572355</v>
      </c>
    </row>
    <row r="902" customFormat="false" ht="13" hidden="false" customHeight="false" outlineLevel="0" collapsed="false">
      <c r="A902" s="16" t="n">
        <v>885</v>
      </c>
      <c r="B902" s="38" t="n">
        <v>4.33930651996582</v>
      </c>
      <c r="C902" s="38" t="n">
        <v>0</v>
      </c>
      <c r="D902" s="39" t="n">
        <f aca="false">MAX(B902,C902)</f>
        <v>4.33930651996582</v>
      </c>
    </row>
    <row r="903" customFormat="false" ht="13" hidden="false" customHeight="false" outlineLevel="0" collapsed="false">
      <c r="A903" s="16" t="n">
        <v>886</v>
      </c>
      <c r="B903" s="38" t="n">
        <v>0</v>
      </c>
      <c r="C903" s="38" t="n">
        <v>25.2537298090725</v>
      </c>
      <c r="D903" s="39" t="n">
        <f aca="false">MAX(B903,C903)</f>
        <v>25.2537298090725</v>
      </c>
    </row>
    <row r="904" customFormat="false" ht="13" hidden="false" customHeight="false" outlineLevel="0" collapsed="false">
      <c r="A904" s="16" t="n">
        <v>887</v>
      </c>
      <c r="B904" s="38" t="n">
        <v>0</v>
      </c>
      <c r="C904" s="38" t="n">
        <v>26.841820337995</v>
      </c>
      <c r="D904" s="39" t="n">
        <f aca="false">MAX(B904,C904)</f>
        <v>26.841820337995</v>
      </c>
    </row>
    <row r="905" customFormat="false" ht="13" hidden="false" customHeight="false" outlineLevel="0" collapsed="false">
      <c r="A905" s="16" t="n">
        <v>888</v>
      </c>
      <c r="B905" s="38" t="n">
        <v>0</v>
      </c>
      <c r="C905" s="38" t="n">
        <v>27.074063587462</v>
      </c>
      <c r="D905" s="39" t="n">
        <f aca="false">MAX(B905,C905)</f>
        <v>27.074063587462</v>
      </c>
    </row>
    <row r="906" customFormat="false" ht="13" hidden="false" customHeight="false" outlineLevel="0" collapsed="false">
      <c r="A906" s="16" t="n">
        <v>889</v>
      </c>
      <c r="B906" s="38" t="n">
        <v>0</v>
      </c>
      <c r="C906" s="38" t="n">
        <v>27.9606521317515</v>
      </c>
      <c r="D906" s="39" t="n">
        <f aca="false">MAX(B906,C906)</f>
        <v>27.9606521317515</v>
      </c>
    </row>
    <row r="907" customFormat="false" ht="13" hidden="false" customHeight="false" outlineLevel="0" collapsed="false">
      <c r="A907" s="16" t="n">
        <v>890</v>
      </c>
      <c r="B907" s="38" t="n">
        <v>0</v>
      </c>
      <c r="C907" s="38" t="n">
        <v>29.3033772875364</v>
      </c>
      <c r="D907" s="39" t="n">
        <f aca="false">MAX(B907,C907)</f>
        <v>29.3033772875364</v>
      </c>
    </row>
    <row r="908" customFormat="false" ht="13" hidden="false" customHeight="false" outlineLevel="0" collapsed="false">
      <c r="A908" s="16" t="n">
        <v>891</v>
      </c>
      <c r="B908" s="38" t="n">
        <v>2.04024090725898</v>
      </c>
      <c r="C908" s="38" t="n">
        <v>0</v>
      </c>
      <c r="D908" s="39" t="n">
        <f aca="false">MAX(B908,C908)</f>
        <v>2.04024090725898</v>
      </c>
    </row>
    <row r="909" customFormat="false" ht="13" hidden="false" customHeight="false" outlineLevel="0" collapsed="false">
      <c r="A909" s="16" t="n">
        <v>892</v>
      </c>
      <c r="B909" s="38" t="n">
        <v>0</v>
      </c>
      <c r="C909" s="38" t="n">
        <v>29.2555368058239</v>
      </c>
      <c r="D909" s="39" t="n">
        <f aca="false">MAX(B909,C909)</f>
        <v>29.2555368058239</v>
      </c>
    </row>
    <row r="910" customFormat="false" ht="13" hidden="false" customHeight="false" outlineLevel="0" collapsed="false">
      <c r="A910" s="16" t="n">
        <v>893</v>
      </c>
      <c r="B910" s="38" t="n">
        <v>2.66126027371763</v>
      </c>
      <c r="C910" s="38" t="n">
        <v>0</v>
      </c>
      <c r="D910" s="39" t="n">
        <f aca="false">MAX(B910,C910)</f>
        <v>2.66126027371763</v>
      </c>
    </row>
    <row r="911" customFormat="false" ht="13" hidden="false" customHeight="false" outlineLevel="0" collapsed="false">
      <c r="A911" s="16" t="n">
        <v>894</v>
      </c>
      <c r="B911" s="38" t="n">
        <v>2.57672155020384</v>
      </c>
      <c r="C911" s="38" t="n">
        <v>0</v>
      </c>
      <c r="D911" s="39" t="n">
        <f aca="false">MAX(B911,C911)</f>
        <v>2.57672155020384</v>
      </c>
    </row>
    <row r="912" customFormat="false" ht="13" hidden="false" customHeight="false" outlineLevel="0" collapsed="false">
      <c r="A912" s="16" t="n">
        <v>895</v>
      </c>
      <c r="B912" s="38" t="n">
        <v>0</v>
      </c>
      <c r="C912" s="38" t="n">
        <v>27.0093714778229</v>
      </c>
      <c r="D912" s="39" t="n">
        <f aca="false">MAX(B912,C912)</f>
        <v>27.0093714778229</v>
      </c>
    </row>
    <row r="913" customFormat="false" ht="13" hidden="false" customHeight="false" outlineLevel="0" collapsed="false">
      <c r="A913" s="16" t="n">
        <v>896</v>
      </c>
      <c r="B913" s="38" t="n">
        <v>0</v>
      </c>
      <c r="C913" s="38" t="n">
        <v>24.7810786919081</v>
      </c>
      <c r="D913" s="39" t="n">
        <f aca="false">MAX(B913,C913)</f>
        <v>24.7810786919081</v>
      </c>
    </row>
    <row r="914" customFormat="false" ht="13" hidden="false" customHeight="false" outlineLevel="0" collapsed="false">
      <c r="A914" s="16" t="n">
        <v>897</v>
      </c>
      <c r="B914" s="38" t="n">
        <v>1.77004627500355</v>
      </c>
      <c r="C914" s="38" t="n">
        <v>0</v>
      </c>
      <c r="D914" s="39" t="n">
        <f aca="false">MAX(B914,C914)</f>
        <v>1.77004627500355</v>
      </c>
    </row>
    <row r="915" customFormat="false" ht="13" hidden="false" customHeight="false" outlineLevel="0" collapsed="false">
      <c r="A915" s="16" t="n">
        <v>898</v>
      </c>
      <c r="B915" s="38" t="n">
        <v>0</v>
      </c>
      <c r="C915" s="38" t="n">
        <v>26.0097937924593</v>
      </c>
      <c r="D915" s="39" t="n">
        <f aca="false">MAX(B915,C915)</f>
        <v>26.0097937924593</v>
      </c>
    </row>
    <row r="916" customFormat="false" ht="13" hidden="false" customHeight="false" outlineLevel="0" collapsed="false">
      <c r="A916" s="16" t="n">
        <v>899</v>
      </c>
      <c r="B916" s="38" t="n">
        <v>0</v>
      </c>
      <c r="C916" s="38" t="n">
        <v>27.3872237101594</v>
      </c>
      <c r="D916" s="39" t="n">
        <f aca="false">MAX(B916,C916)</f>
        <v>27.3872237101594</v>
      </c>
    </row>
    <row r="917" customFormat="false" ht="13" hidden="false" customHeight="false" outlineLevel="0" collapsed="false">
      <c r="A917" s="16" t="n">
        <v>900</v>
      </c>
      <c r="B917" s="38" t="n">
        <v>2.23013030987704</v>
      </c>
      <c r="C917" s="38" t="n">
        <v>0</v>
      </c>
      <c r="D917" s="39" t="n">
        <f aca="false">MAX(B917,C917)</f>
        <v>2.23013030987704</v>
      </c>
    </row>
    <row r="918" customFormat="false" ht="13" hidden="false" customHeight="false" outlineLevel="0" collapsed="false">
      <c r="A918" s="16" t="n">
        <v>901</v>
      </c>
      <c r="B918" s="38" t="n">
        <v>4.0170348242815</v>
      </c>
      <c r="C918" s="38" t="n">
        <v>0</v>
      </c>
      <c r="D918" s="39" t="n">
        <f aca="false">MAX(B918,C918)</f>
        <v>4.0170348242815</v>
      </c>
    </row>
    <row r="919" customFormat="false" ht="13" hidden="false" customHeight="false" outlineLevel="0" collapsed="false">
      <c r="A919" s="16" t="n">
        <v>902</v>
      </c>
      <c r="B919" s="38" t="n">
        <v>5.70849702219698</v>
      </c>
      <c r="C919" s="38" t="n">
        <v>0</v>
      </c>
      <c r="D919" s="39" t="n">
        <f aca="false">MAX(B919,C919)</f>
        <v>5.70849702219698</v>
      </c>
    </row>
    <row r="920" customFormat="false" ht="13" hidden="false" customHeight="false" outlineLevel="0" collapsed="false">
      <c r="A920" s="16" t="n">
        <v>903</v>
      </c>
      <c r="B920" s="38" t="n">
        <v>7.8191093858344</v>
      </c>
      <c r="C920" s="38" t="n">
        <v>0</v>
      </c>
      <c r="D920" s="39" t="n">
        <f aca="false">MAX(B920,C920)</f>
        <v>7.8191093858344</v>
      </c>
    </row>
    <row r="921" customFormat="false" ht="13" hidden="false" customHeight="false" outlineLevel="0" collapsed="false">
      <c r="A921" s="16" t="n">
        <v>904</v>
      </c>
      <c r="B921" s="38" t="n">
        <v>9.77440007809832</v>
      </c>
      <c r="C921" s="38" t="n">
        <v>0</v>
      </c>
      <c r="D921" s="39" t="n">
        <f aca="false">MAX(B921,C921)</f>
        <v>9.77440007809832</v>
      </c>
    </row>
    <row r="922" customFormat="false" ht="13" hidden="false" customHeight="false" outlineLevel="0" collapsed="false">
      <c r="A922" s="16" t="n">
        <v>905</v>
      </c>
      <c r="B922" s="38" t="n">
        <v>0</v>
      </c>
      <c r="C922" s="38" t="n">
        <v>26.6527003810209</v>
      </c>
      <c r="D922" s="39" t="n">
        <f aca="false">MAX(B922,C922)</f>
        <v>26.6527003810209</v>
      </c>
    </row>
    <row r="923" customFormat="false" ht="13" hidden="false" customHeight="false" outlineLevel="0" collapsed="false">
      <c r="A923" s="16" t="n">
        <v>906</v>
      </c>
      <c r="B923" s="38" t="n">
        <v>10.8895639996593</v>
      </c>
      <c r="C923" s="38" t="n">
        <v>0</v>
      </c>
      <c r="D923" s="39" t="n">
        <f aca="false">MAX(B923,C923)</f>
        <v>10.8895639996593</v>
      </c>
    </row>
    <row r="924" customFormat="false" ht="13" hidden="false" customHeight="false" outlineLevel="0" collapsed="false">
      <c r="A924" s="16" t="n">
        <v>907</v>
      </c>
      <c r="B924" s="38" t="n">
        <v>11.0436019737185</v>
      </c>
      <c r="C924" s="38" t="n">
        <v>0</v>
      </c>
      <c r="D924" s="39" t="n">
        <f aca="false">MAX(B924,C924)</f>
        <v>11.0436019737185</v>
      </c>
    </row>
    <row r="925" customFormat="false" ht="13" hidden="false" customHeight="false" outlineLevel="0" collapsed="false">
      <c r="A925" s="16" t="n">
        <v>908</v>
      </c>
      <c r="B925" s="38" t="n">
        <v>11.3241095236615</v>
      </c>
      <c r="C925" s="38" t="n">
        <v>0</v>
      </c>
      <c r="D925" s="39" t="n">
        <f aca="false">MAX(B925,C925)</f>
        <v>11.3241095236615</v>
      </c>
    </row>
    <row r="926" customFormat="false" ht="13" hidden="false" customHeight="false" outlineLevel="0" collapsed="false">
      <c r="A926" s="16" t="n">
        <v>909</v>
      </c>
      <c r="B926" s="38" t="n">
        <v>0</v>
      </c>
      <c r="C926" s="38" t="n">
        <v>23.7800388414296</v>
      </c>
      <c r="D926" s="39" t="n">
        <f aca="false">MAX(B926,C926)</f>
        <v>23.7800388414296</v>
      </c>
    </row>
    <row r="927" customFormat="false" ht="13" hidden="false" customHeight="false" outlineLevel="0" collapsed="false">
      <c r="A927" s="16" t="n">
        <v>910</v>
      </c>
      <c r="B927" s="38" t="n">
        <v>11.2333204185808</v>
      </c>
      <c r="C927" s="38" t="n">
        <v>0</v>
      </c>
      <c r="D927" s="39" t="n">
        <f aca="false">MAX(B927,C927)</f>
        <v>11.2333204185808</v>
      </c>
    </row>
    <row r="928" customFormat="false" ht="13" hidden="false" customHeight="false" outlineLevel="0" collapsed="false">
      <c r="A928" s="16" t="n">
        <v>911</v>
      </c>
      <c r="B928" s="38" t="n">
        <v>0</v>
      </c>
      <c r="C928" s="38" t="n">
        <v>25.1940569226258</v>
      </c>
      <c r="D928" s="39" t="n">
        <f aca="false">MAX(B928,C928)</f>
        <v>25.1940569226258</v>
      </c>
    </row>
    <row r="929" customFormat="false" ht="13" hidden="false" customHeight="false" outlineLevel="0" collapsed="false">
      <c r="A929" s="16" t="n">
        <v>912</v>
      </c>
      <c r="B929" s="38" t="n">
        <v>0</v>
      </c>
      <c r="C929" s="38" t="n">
        <v>27.0821343900876</v>
      </c>
      <c r="D929" s="39" t="n">
        <f aca="false">MAX(B929,C929)</f>
        <v>27.0821343900876</v>
      </c>
    </row>
    <row r="930" customFormat="false" ht="13" hidden="false" customHeight="false" outlineLevel="0" collapsed="false">
      <c r="A930" s="16" t="n">
        <v>913</v>
      </c>
      <c r="B930" s="38" t="n">
        <v>0</v>
      </c>
      <c r="C930" s="38" t="n">
        <v>27.1031121905259</v>
      </c>
      <c r="D930" s="39" t="n">
        <f aca="false">MAX(B930,C930)</f>
        <v>27.1031121905259</v>
      </c>
    </row>
    <row r="931" customFormat="false" ht="13" hidden="false" customHeight="false" outlineLevel="0" collapsed="false">
      <c r="A931" s="16" t="n">
        <v>914</v>
      </c>
      <c r="B931" s="38" t="n">
        <v>0</v>
      </c>
      <c r="C931" s="38" t="n">
        <v>29.058582783145</v>
      </c>
      <c r="D931" s="39" t="n">
        <f aca="false">MAX(B931,C931)</f>
        <v>29.058582783145</v>
      </c>
    </row>
    <row r="932" customFormat="false" ht="13" hidden="false" customHeight="false" outlineLevel="0" collapsed="false">
      <c r="A932" s="16" t="n">
        <v>915</v>
      </c>
      <c r="B932" s="38" t="n">
        <v>9.43599532948736</v>
      </c>
      <c r="C932" s="38" t="n">
        <v>0</v>
      </c>
      <c r="D932" s="39" t="n">
        <f aca="false">MAX(B932,C932)</f>
        <v>9.43599532948736</v>
      </c>
    </row>
    <row r="933" customFormat="false" ht="13" hidden="false" customHeight="false" outlineLevel="0" collapsed="false">
      <c r="A933" s="16" t="n">
        <v>916</v>
      </c>
      <c r="B933" s="38" t="n">
        <v>0</v>
      </c>
      <c r="C933" s="38" t="n">
        <v>27.5625967108462</v>
      </c>
      <c r="D933" s="39" t="n">
        <f aca="false">MAX(B933,C933)</f>
        <v>27.5625967108462</v>
      </c>
    </row>
    <row r="934" customFormat="false" ht="13" hidden="false" customHeight="false" outlineLevel="0" collapsed="false">
      <c r="A934" s="16" t="n">
        <v>917</v>
      </c>
      <c r="B934" s="38" t="n">
        <v>8.32321657995647</v>
      </c>
      <c r="C934" s="38" t="n">
        <v>0</v>
      </c>
      <c r="D934" s="39" t="n">
        <f aca="false">MAX(B934,C934)</f>
        <v>8.32321657995647</v>
      </c>
    </row>
    <row r="935" customFormat="false" ht="13" hidden="false" customHeight="false" outlineLevel="0" collapsed="false">
      <c r="A935" s="16" t="n">
        <v>918</v>
      </c>
      <c r="B935" s="38" t="n">
        <v>0</v>
      </c>
      <c r="C935" s="38" t="n">
        <v>28.2032601722548</v>
      </c>
      <c r="D935" s="39" t="n">
        <f aca="false">MAX(B935,C935)</f>
        <v>28.2032601722548</v>
      </c>
    </row>
    <row r="936" customFormat="false" ht="13" hidden="false" customHeight="false" outlineLevel="0" collapsed="false">
      <c r="A936" s="16" t="n">
        <v>919</v>
      </c>
      <c r="B936" s="38" t="n">
        <v>0</v>
      </c>
      <c r="C936" s="38" t="n">
        <v>30.0068616875867</v>
      </c>
      <c r="D936" s="39" t="n">
        <f aca="false">MAX(B936,C936)</f>
        <v>30.0068616875867</v>
      </c>
    </row>
    <row r="937" customFormat="false" ht="13" hidden="false" customHeight="false" outlineLevel="0" collapsed="false">
      <c r="A937" s="16" t="n">
        <v>920</v>
      </c>
      <c r="B937" s="38" t="n">
        <v>0</v>
      </c>
      <c r="C937" s="38" t="n">
        <v>30.6646154956217</v>
      </c>
      <c r="D937" s="39" t="n">
        <f aca="false">MAX(B937,C937)</f>
        <v>30.6646154956217</v>
      </c>
    </row>
    <row r="938" customFormat="false" ht="13" hidden="false" customHeight="false" outlineLevel="0" collapsed="false">
      <c r="A938" s="16" t="n">
        <v>921</v>
      </c>
      <c r="B938" s="38" t="n">
        <v>7.92572962339102</v>
      </c>
      <c r="C938" s="38" t="n">
        <v>0</v>
      </c>
      <c r="D938" s="39" t="n">
        <f aca="false">MAX(B938,C938)</f>
        <v>7.92572962339102</v>
      </c>
    </row>
    <row r="939" customFormat="false" ht="13" hidden="false" customHeight="false" outlineLevel="0" collapsed="false">
      <c r="A939" s="16" t="n">
        <v>922</v>
      </c>
      <c r="B939" s="38" t="n">
        <v>0</v>
      </c>
      <c r="C939" s="38" t="n">
        <v>29.9209708761961</v>
      </c>
      <c r="D939" s="39" t="n">
        <f aca="false">MAX(B939,C939)</f>
        <v>29.9209708761961</v>
      </c>
    </row>
    <row r="940" customFormat="false" ht="13" hidden="false" customHeight="false" outlineLevel="0" collapsed="false">
      <c r="A940" s="16" t="n">
        <v>923</v>
      </c>
      <c r="B940" s="38" t="n">
        <v>5.89189569499422</v>
      </c>
      <c r="C940" s="38" t="n">
        <v>0</v>
      </c>
      <c r="D940" s="39" t="n">
        <f aca="false">MAX(B940,C940)</f>
        <v>5.89189569499422</v>
      </c>
    </row>
    <row r="941" customFormat="false" ht="13" hidden="false" customHeight="false" outlineLevel="0" collapsed="false">
      <c r="A941" s="16" t="n">
        <v>924</v>
      </c>
      <c r="B941" s="38" t="n">
        <v>7.81632347463699</v>
      </c>
      <c r="C941" s="38" t="n">
        <v>0</v>
      </c>
      <c r="D941" s="39" t="n">
        <f aca="false">MAX(B941,C941)</f>
        <v>7.81632347463699</v>
      </c>
    </row>
    <row r="942" customFormat="false" ht="13" hidden="false" customHeight="false" outlineLevel="0" collapsed="false">
      <c r="A942" s="16" t="n">
        <v>925</v>
      </c>
      <c r="B942" s="38" t="n">
        <v>7.52313562907489</v>
      </c>
      <c r="C942" s="38" t="n">
        <v>0</v>
      </c>
      <c r="D942" s="39" t="n">
        <f aca="false">MAX(B942,C942)</f>
        <v>7.52313562907489</v>
      </c>
    </row>
    <row r="943" customFormat="false" ht="13" hidden="false" customHeight="false" outlineLevel="0" collapsed="false">
      <c r="A943" s="16" t="n">
        <v>926</v>
      </c>
      <c r="B943" s="38" t="n">
        <v>9.74503031815164</v>
      </c>
      <c r="C943" s="38" t="n">
        <v>0</v>
      </c>
      <c r="D943" s="39" t="n">
        <f aca="false">MAX(B943,C943)</f>
        <v>9.74503031815164</v>
      </c>
    </row>
    <row r="944" customFormat="false" ht="13" hidden="false" customHeight="false" outlineLevel="0" collapsed="false">
      <c r="A944" s="16" t="n">
        <v>927</v>
      </c>
      <c r="B944" s="38" t="n">
        <v>0</v>
      </c>
      <c r="C944" s="38" t="n">
        <v>26.708695061556</v>
      </c>
      <c r="D944" s="39" t="n">
        <f aca="false">MAX(B944,C944)</f>
        <v>26.708695061556</v>
      </c>
    </row>
    <row r="945" customFormat="false" ht="13" hidden="false" customHeight="false" outlineLevel="0" collapsed="false">
      <c r="A945" s="16" t="n">
        <v>928</v>
      </c>
      <c r="B945" s="38" t="n">
        <v>10.0544553823721</v>
      </c>
      <c r="C945" s="38" t="n">
        <v>0</v>
      </c>
      <c r="D945" s="39" t="n">
        <f aca="false">MAX(B945,C945)</f>
        <v>10.0544553823721</v>
      </c>
    </row>
    <row r="946" customFormat="false" ht="13" hidden="false" customHeight="false" outlineLevel="0" collapsed="false">
      <c r="A946" s="16" t="n">
        <v>929</v>
      </c>
      <c r="B946" s="38" t="n">
        <v>9.66980505038657</v>
      </c>
      <c r="C946" s="38" t="n">
        <v>0</v>
      </c>
      <c r="D946" s="39" t="n">
        <f aca="false">MAX(B946,C946)</f>
        <v>9.66980505038657</v>
      </c>
    </row>
    <row r="947" customFormat="false" ht="13" hidden="false" customHeight="false" outlineLevel="0" collapsed="false">
      <c r="A947" s="16" t="n">
        <v>930</v>
      </c>
      <c r="B947" s="38" t="n">
        <v>0</v>
      </c>
      <c r="C947" s="38" t="n">
        <v>25.2936403559728</v>
      </c>
      <c r="D947" s="39" t="n">
        <f aca="false">MAX(B947,C947)</f>
        <v>25.2936403559728</v>
      </c>
    </row>
    <row r="948" customFormat="false" ht="13" hidden="false" customHeight="false" outlineLevel="0" collapsed="false">
      <c r="A948" s="16" t="n">
        <v>931</v>
      </c>
      <c r="B948" s="38" t="n">
        <v>10.785624242248</v>
      </c>
      <c r="C948" s="38" t="n">
        <v>0</v>
      </c>
      <c r="D948" s="39" t="n">
        <f aca="false">MAX(B948,C948)</f>
        <v>10.785624242248</v>
      </c>
    </row>
    <row r="949" customFormat="false" ht="13" hidden="false" customHeight="false" outlineLevel="0" collapsed="false">
      <c r="A949" s="16" t="n">
        <v>932</v>
      </c>
      <c r="B949" s="38" t="n">
        <v>11.8948263007301</v>
      </c>
      <c r="C949" s="38" t="n">
        <v>0</v>
      </c>
      <c r="D949" s="39" t="n">
        <f aca="false">MAX(B949,C949)</f>
        <v>11.8948263007301</v>
      </c>
    </row>
    <row r="950" customFormat="false" ht="13" hidden="false" customHeight="false" outlineLevel="0" collapsed="false">
      <c r="A950" s="16" t="n">
        <v>933</v>
      </c>
      <c r="B950" s="38" t="n">
        <v>12.3759154203357</v>
      </c>
      <c r="C950" s="38" t="n">
        <v>0</v>
      </c>
      <c r="D950" s="39" t="n">
        <f aca="false">MAX(B950,C950)</f>
        <v>12.3759154203357</v>
      </c>
    </row>
    <row r="951" customFormat="false" ht="13" hidden="false" customHeight="false" outlineLevel="0" collapsed="false">
      <c r="A951" s="16" t="n">
        <v>934</v>
      </c>
      <c r="B951" s="38" t="n">
        <v>0</v>
      </c>
      <c r="C951" s="38" t="n">
        <v>24.1470777731761</v>
      </c>
      <c r="D951" s="39" t="n">
        <f aca="false">MAX(B951,C951)</f>
        <v>24.1470777731761</v>
      </c>
    </row>
    <row r="952" customFormat="false" ht="13" hidden="false" customHeight="false" outlineLevel="0" collapsed="false">
      <c r="A952" s="16" t="n">
        <v>935</v>
      </c>
      <c r="B952" s="38" t="n">
        <v>0</v>
      </c>
      <c r="C952" s="38" t="n">
        <v>24.3715629167697</v>
      </c>
      <c r="D952" s="39" t="n">
        <f aca="false">MAX(B952,C952)</f>
        <v>24.3715629167697</v>
      </c>
    </row>
    <row r="953" customFormat="false" ht="13" hidden="false" customHeight="false" outlineLevel="0" collapsed="false">
      <c r="A953" s="16" t="n">
        <v>936</v>
      </c>
      <c r="B953" s="38" t="n">
        <v>10.9972845740676</v>
      </c>
      <c r="C953" s="38" t="n">
        <v>0</v>
      </c>
      <c r="D953" s="39" t="n">
        <f aca="false">MAX(B953,C953)</f>
        <v>10.9972845740676</v>
      </c>
    </row>
    <row r="954" customFormat="false" ht="13" hidden="false" customHeight="false" outlineLevel="0" collapsed="false">
      <c r="A954" s="16" t="n">
        <v>937</v>
      </c>
      <c r="B954" s="38" t="n">
        <v>0</v>
      </c>
      <c r="C954" s="38" t="n">
        <v>24.373742144066</v>
      </c>
      <c r="D954" s="39" t="n">
        <f aca="false">MAX(B954,C954)</f>
        <v>24.373742144066</v>
      </c>
    </row>
    <row r="955" customFormat="false" ht="13" hidden="false" customHeight="false" outlineLevel="0" collapsed="false">
      <c r="A955" s="16" t="n">
        <v>938</v>
      </c>
      <c r="B955" s="38" t="n">
        <v>0</v>
      </c>
      <c r="C955" s="38" t="n">
        <v>25.7230246268773</v>
      </c>
      <c r="D955" s="39" t="n">
        <f aca="false">MAX(B955,C955)</f>
        <v>25.7230246268773</v>
      </c>
    </row>
    <row r="956" customFormat="false" ht="13" hidden="false" customHeight="false" outlineLevel="0" collapsed="false">
      <c r="A956" s="16" t="n">
        <v>939</v>
      </c>
      <c r="B956" s="38" t="n">
        <v>0</v>
      </c>
      <c r="C956" s="38" t="n">
        <v>24.9633925016185</v>
      </c>
      <c r="D956" s="39" t="n">
        <f aca="false">MAX(B956,C956)</f>
        <v>24.9633925016185</v>
      </c>
    </row>
    <row r="957" customFormat="false" ht="13" hidden="false" customHeight="false" outlineLevel="0" collapsed="false">
      <c r="A957" s="16" t="n">
        <v>940</v>
      </c>
      <c r="B957" s="38" t="n">
        <v>0</v>
      </c>
      <c r="C957" s="38" t="n">
        <v>26.2530811606185</v>
      </c>
      <c r="D957" s="39" t="n">
        <f aca="false">MAX(B957,C957)</f>
        <v>26.2530811606185</v>
      </c>
    </row>
    <row r="958" customFormat="false" ht="13" hidden="false" customHeight="false" outlineLevel="0" collapsed="false">
      <c r="A958" s="16" t="n">
        <v>941</v>
      </c>
      <c r="B958" s="38" t="n">
        <v>0</v>
      </c>
      <c r="C958" s="38" t="n">
        <v>27.58425872045</v>
      </c>
      <c r="D958" s="39" t="n">
        <f aca="false">MAX(B958,C958)</f>
        <v>27.58425872045</v>
      </c>
    </row>
    <row r="959" customFormat="false" ht="13" hidden="false" customHeight="false" outlineLevel="0" collapsed="false">
      <c r="A959" s="16" t="n">
        <v>942</v>
      </c>
      <c r="B959" s="38" t="n">
        <v>0</v>
      </c>
      <c r="C959" s="38" t="n">
        <v>29.3922744240315</v>
      </c>
      <c r="D959" s="39" t="n">
        <f aca="false">MAX(B959,C959)</f>
        <v>29.3922744240315</v>
      </c>
    </row>
    <row r="960" customFormat="false" ht="13" hidden="false" customHeight="false" outlineLevel="0" collapsed="false">
      <c r="A960" s="16" t="n">
        <v>943</v>
      </c>
      <c r="B960" s="38" t="n">
        <v>5.96851624184592</v>
      </c>
      <c r="C960" s="38" t="n">
        <v>0</v>
      </c>
      <c r="D960" s="39" t="n">
        <f aca="false">MAX(B960,C960)</f>
        <v>5.96851624184592</v>
      </c>
    </row>
    <row r="961" customFormat="false" ht="13" hidden="false" customHeight="false" outlineLevel="0" collapsed="false">
      <c r="A961" s="16" t="n">
        <v>944</v>
      </c>
      <c r="B961" s="38" t="n">
        <v>6.71007524837</v>
      </c>
      <c r="C961" s="38" t="n">
        <v>0</v>
      </c>
      <c r="D961" s="39" t="n">
        <f aca="false">MAX(B961,C961)</f>
        <v>6.71007524837</v>
      </c>
    </row>
    <row r="962" customFormat="false" ht="13" hidden="false" customHeight="false" outlineLevel="0" collapsed="false">
      <c r="A962" s="16" t="n">
        <v>945</v>
      </c>
      <c r="B962" s="38" t="n">
        <v>0</v>
      </c>
      <c r="C962" s="38" t="n">
        <v>28.4437589356642</v>
      </c>
      <c r="D962" s="39" t="n">
        <f aca="false">MAX(B962,C962)</f>
        <v>28.4437589356642</v>
      </c>
    </row>
    <row r="963" customFormat="false" ht="13" hidden="false" customHeight="false" outlineLevel="0" collapsed="false">
      <c r="A963" s="16" t="n">
        <v>946</v>
      </c>
      <c r="B963" s="38" t="n">
        <v>0</v>
      </c>
      <c r="C963" s="38" t="n">
        <v>29.4323304890776</v>
      </c>
      <c r="D963" s="39" t="n">
        <f aca="false">MAX(B963,C963)</f>
        <v>29.4323304890776</v>
      </c>
    </row>
    <row r="964" customFormat="false" ht="13" hidden="false" customHeight="false" outlineLevel="0" collapsed="false">
      <c r="A964" s="16" t="n">
        <v>947</v>
      </c>
      <c r="B964" s="38" t="n">
        <v>0</v>
      </c>
      <c r="C964" s="38" t="n">
        <v>30.9695226400185</v>
      </c>
      <c r="D964" s="39" t="n">
        <f aca="false">MAX(B964,C964)</f>
        <v>30.9695226400185</v>
      </c>
    </row>
    <row r="965" customFormat="false" ht="13" hidden="false" customHeight="false" outlineLevel="0" collapsed="false">
      <c r="A965" s="16" t="n">
        <v>948</v>
      </c>
      <c r="B965" s="38" t="n">
        <v>0</v>
      </c>
      <c r="C965" s="38" t="n">
        <v>30.1272143757884</v>
      </c>
      <c r="D965" s="39" t="n">
        <f aca="false">MAX(B965,C965)</f>
        <v>30.1272143757884</v>
      </c>
    </row>
    <row r="966" customFormat="false" ht="13" hidden="false" customHeight="false" outlineLevel="0" collapsed="false">
      <c r="A966" s="16" t="n">
        <v>949</v>
      </c>
      <c r="B966" s="38" t="n">
        <v>2.08717577836251</v>
      </c>
      <c r="C966" s="38" t="n">
        <v>0</v>
      </c>
      <c r="D966" s="39" t="n">
        <f aca="false">MAX(B966,C966)</f>
        <v>2.08717577836251</v>
      </c>
    </row>
    <row r="967" customFormat="false" ht="13" hidden="false" customHeight="false" outlineLevel="0" collapsed="false">
      <c r="A967" s="16" t="n">
        <v>950</v>
      </c>
      <c r="B967" s="38" t="n">
        <v>0</v>
      </c>
      <c r="C967" s="38" t="n">
        <v>28.6274458805669</v>
      </c>
      <c r="D967" s="39" t="n">
        <f aca="false">MAX(B967,C967)</f>
        <v>28.6274458805669</v>
      </c>
    </row>
    <row r="968" customFormat="false" ht="13" hidden="false" customHeight="false" outlineLevel="0" collapsed="false">
      <c r="A968" s="16" t="n">
        <v>951</v>
      </c>
      <c r="B968" s="38" t="n">
        <v>0</v>
      </c>
      <c r="C968" s="38" t="n">
        <v>30.3641193726562</v>
      </c>
      <c r="D968" s="39" t="n">
        <f aca="false">MAX(B968,C968)</f>
        <v>30.3641193726562</v>
      </c>
    </row>
    <row r="969" customFormat="false" ht="13" hidden="false" customHeight="false" outlineLevel="0" collapsed="false">
      <c r="A969" s="16" t="n">
        <v>952</v>
      </c>
      <c r="B969" s="38" t="n">
        <v>2.05363119535218</v>
      </c>
      <c r="C969" s="38" t="n">
        <v>0</v>
      </c>
      <c r="D969" s="39" t="n">
        <f aca="false">MAX(B969,C969)</f>
        <v>2.05363119535218</v>
      </c>
    </row>
    <row r="970" customFormat="false" ht="13" hidden="false" customHeight="false" outlineLevel="0" collapsed="false">
      <c r="A970" s="16" t="n">
        <v>953</v>
      </c>
      <c r="B970" s="38" t="n">
        <v>0</v>
      </c>
      <c r="C970" s="38" t="n">
        <v>31.6240946961431</v>
      </c>
      <c r="D970" s="39" t="n">
        <f aca="false">MAX(B970,C970)</f>
        <v>31.6240946961431</v>
      </c>
    </row>
    <row r="971" customFormat="false" ht="13" hidden="false" customHeight="false" outlineLevel="0" collapsed="false">
      <c r="A971" s="16" t="n">
        <v>954</v>
      </c>
      <c r="B971" s="38" t="n">
        <v>0</v>
      </c>
      <c r="C971" s="38" t="n">
        <v>31.4337126337795</v>
      </c>
      <c r="D971" s="39" t="n">
        <f aca="false">MAX(B971,C971)</f>
        <v>31.4337126337795</v>
      </c>
    </row>
    <row r="972" customFormat="false" ht="13" hidden="false" customHeight="false" outlineLevel="0" collapsed="false">
      <c r="A972" s="16" t="n">
        <v>955</v>
      </c>
      <c r="B972" s="38" t="n">
        <v>2.07572444922607</v>
      </c>
      <c r="C972" s="38" t="n">
        <v>0</v>
      </c>
      <c r="D972" s="39" t="n">
        <f aca="false">MAX(B972,C972)</f>
        <v>2.07572444922607</v>
      </c>
    </row>
    <row r="973" customFormat="false" ht="13" hidden="false" customHeight="false" outlineLevel="0" collapsed="false">
      <c r="A973" s="16" t="n">
        <v>956</v>
      </c>
      <c r="B973" s="38" t="n">
        <v>0</v>
      </c>
      <c r="C973" s="38" t="n">
        <v>31.5976422493322</v>
      </c>
      <c r="D973" s="39" t="n">
        <f aca="false">MAX(B973,C973)</f>
        <v>31.5976422493322</v>
      </c>
    </row>
    <row r="974" customFormat="false" ht="13" hidden="false" customHeight="false" outlineLevel="0" collapsed="false">
      <c r="A974" s="16" t="n">
        <v>957</v>
      </c>
      <c r="B974" s="38" t="n">
        <v>0</v>
      </c>
      <c r="C974" s="38" t="n">
        <v>29.7731250490541</v>
      </c>
      <c r="D974" s="39" t="n">
        <f aca="false">MAX(B974,C974)</f>
        <v>29.7731250490541</v>
      </c>
    </row>
    <row r="975" customFormat="false" ht="13" hidden="false" customHeight="false" outlineLevel="0" collapsed="false">
      <c r="A975" s="16" t="n">
        <v>958</v>
      </c>
      <c r="B975" s="38" t="n">
        <v>1.79547934939728</v>
      </c>
      <c r="C975" s="38" t="n">
        <v>0</v>
      </c>
      <c r="D975" s="39" t="n">
        <f aca="false">MAX(B975,C975)</f>
        <v>1.79547934939728</v>
      </c>
    </row>
    <row r="976" customFormat="false" ht="13" hidden="false" customHeight="false" outlineLevel="0" collapsed="false">
      <c r="A976" s="16" t="n">
        <v>959</v>
      </c>
      <c r="B976" s="38" t="n">
        <v>2.00835393071566</v>
      </c>
      <c r="C976" s="38" t="n">
        <v>0</v>
      </c>
      <c r="D976" s="39" t="n">
        <f aca="false">MAX(B976,C976)</f>
        <v>2.00835393071566</v>
      </c>
    </row>
    <row r="977" customFormat="false" ht="13" hidden="false" customHeight="false" outlineLevel="0" collapsed="false">
      <c r="A977" s="16" t="n">
        <v>960</v>
      </c>
      <c r="B977" s="38" t="n">
        <v>0</v>
      </c>
      <c r="C977" s="38" t="n">
        <v>26.5987211508416</v>
      </c>
      <c r="D977" s="39" t="n">
        <f aca="false">MAX(B977,C977)</f>
        <v>26.5987211508416</v>
      </c>
    </row>
    <row r="978" customFormat="false" ht="13" hidden="false" customHeight="false" outlineLevel="0" collapsed="false">
      <c r="A978" s="16" t="n">
        <v>961</v>
      </c>
      <c r="B978" s="38" t="n">
        <v>0</v>
      </c>
      <c r="C978" s="38" t="n">
        <v>26.6582600418797</v>
      </c>
      <c r="D978" s="39" t="n">
        <f aca="false">MAX(B978,C978)</f>
        <v>26.6582600418797</v>
      </c>
    </row>
    <row r="979" customFormat="false" ht="13" hidden="false" customHeight="false" outlineLevel="0" collapsed="false">
      <c r="A979" s="16" t="n">
        <v>962</v>
      </c>
      <c r="B979" s="38" t="n">
        <v>2.14961705846781</v>
      </c>
      <c r="C979" s="38" t="n">
        <v>0</v>
      </c>
      <c r="D979" s="39" t="n">
        <f aca="false">MAX(B979,C979)</f>
        <v>2.14961705846781</v>
      </c>
    </row>
    <row r="980" customFormat="false" ht="13" hidden="false" customHeight="false" outlineLevel="0" collapsed="false">
      <c r="A980" s="16" t="n">
        <v>963</v>
      </c>
      <c r="B980" s="38" t="n">
        <v>0</v>
      </c>
      <c r="C980" s="38" t="n">
        <v>27.2725088691662</v>
      </c>
      <c r="D980" s="39" t="n">
        <f aca="false">MAX(B980,C980)</f>
        <v>27.2725088691662</v>
      </c>
    </row>
    <row r="981" customFormat="false" ht="13" hidden="false" customHeight="false" outlineLevel="0" collapsed="false">
      <c r="A981" s="16" t="n">
        <v>964</v>
      </c>
      <c r="B981" s="38" t="n">
        <v>2.29792500240046</v>
      </c>
      <c r="C981" s="38" t="n">
        <v>0</v>
      </c>
      <c r="D981" s="39" t="n">
        <f aca="false">MAX(B981,C981)</f>
        <v>2.29792500240046</v>
      </c>
    </row>
    <row r="982" customFormat="false" ht="13" hidden="false" customHeight="false" outlineLevel="0" collapsed="false">
      <c r="A982" s="16" t="n">
        <v>965</v>
      </c>
      <c r="B982" s="38" t="n">
        <v>0</v>
      </c>
      <c r="C982" s="38" t="n">
        <v>26.9557003077986</v>
      </c>
      <c r="D982" s="39" t="n">
        <f aca="false">MAX(B982,C982)</f>
        <v>26.9557003077986</v>
      </c>
    </row>
    <row r="983" customFormat="false" ht="13" hidden="false" customHeight="false" outlineLevel="0" collapsed="false">
      <c r="A983" s="16" t="n">
        <v>966</v>
      </c>
      <c r="B983" s="38" t="n">
        <v>2.31857711828684</v>
      </c>
      <c r="C983" s="38" t="n">
        <v>0</v>
      </c>
      <c r="D983" s="39" t="n">
        <f aca="false">MAX(B983,C983)</f>
        <v>2.31857711828684</v>
      </c>
    </row>
    <row r="984" customFormat="false" ht="13" hidden="false" customHeight="false" outlineLevel="0" collapsed="false">
      <c r="A984" s="16" t="n">
        <v>967</v>
      </c>
      <c r="B984" s="38" t="n">
        <v>4.39398732999769</v>
      </c>
      <c r="C984" s="38" t="n">
        <v>0</v>
      </c>
      <c r="D984" s="39" t="n">
        <f aca="false">MAX(B984,C984)</f>
        <v>4.39398732999769</v>
      </c>
    </row>
    <row r="985" customFormat="false" ht="13" hidden="false" customHeight="false" outlineLevel="0" collapsed="false">
      <c r="A985" s="16" t="n">
        <v>968</v>
      </c>
      <c r="B985" s="38" t="n">
        <v>6.15422319866059</v>
      </c>
      <c r="C985" s="38" t="n">
        <v>0</v>
      </c>
      <c r="D985" s="39" t="n">
        <f aca="false">MAX(B985,C985)</f>
        <v>6.15422319866059</v>
      </c>
    </row>
    <row r="986" customFormat="false" ht="13" hidden="false" customHeight="false" outlineLevel="0" collapsed="false">
      <c r="A986" s="16" t="n">
        <v>969</v>
      </c>
      <c r="B986" s="38" t="n">
        <v>4.98400988869867</v>
      </c>
      <c r="C986" s="38" t="n">
        <v>0</v>
      </c>
      <c r="D986" s="39" t="n">
        <f aca="false">MAX(B986,C986)</f>
        <v>4.98400988869867</v>
      </c>
    </row>
    <row r="987" customFormat="false" ht="13" hidden="false" customHeight="false" outlineLevel="0" collapsed="false">
      <c r="A987" s="16" t="n">
        <v>970</v>
      </c>
      <c r="B987" s="38" t="n">
        <v>0</v>
      </c>
      <c r="C987" s="38" t="n">
        <v>24.6211039914078</v>
      </c>
      <c r="D987" s="39" t="n">
        <f aca="false">MAX(B987,C987)</f>
        <v>24.6211039914078</v>
      </c>
    </row>
    <row r="988" customFormat="false" ht="13" hidden="false" customHeight="false" outlineLevel="0" collapsed="false">
      <c r="A988" s="16" t="n">
        <v>971</v>
      </c>
      <c r="B988" s="38" t="n">
        <v>5.62651104812915</v>
      </c>
      <c r="C988" s="38" t="n">
        <v>0</v>
      </c>
      <c r="D988" s="39" t="n">
        <f aca="false">MAX(B988,C988)</f>
        <v>5.62651104812915</v>
      </c>
    </row>
    <row r="989" customFormat="false" ht="13" hidden="false" customHeight="false" outlineLevel="0" collapsed="false">
      <c r="A989" s="16" t="n">
        <v>972</v>
      </c>
      <c r="B989" s="38" t="n">
        <v>7.3856564624266</v>
      </c>
      <c r="C989" s="38" t="n">
        <v>0</v>
      </c>
      <c r="D989" s="39" t="n">
        <f aca="false">MAX(B989,C989)</f>
        <v>7.3856564624266</v>
      </c>
    </row>
    <row r="990" customFormat="false" ht="13" hidden="false" customHeight="false" outlineLevel="0" collapsed="false">
      <c r="A990" s="16" t="n">
        <v>973</v>
      </c>
      <c r="B990" s="38" t="n">
        <v>8.1302178170713</v>
      </c>
      <c r="C990" s="38" t="n">
        <v>0</v>
      </c>
      <c r="D990" s="39" t="n">
        <f aca="false">MAX(B990,C990)</f>
        <v>8.1302178170713</v>
      </c>
    </row>
    <row r="991" customFormat="false" ht="13" hidden="false" customHeight="false" outlineLevel="0" collapsed="false">
      <c r="A991" s="16" t="n">
        <v>974</v>
      </c>
      <c r="B991" s="38" t="n">
        <v>0</v>
      </c>
      <c r="C991" s="38" t="n">
        <v>21.0871271181206</v>
      </c>
      <c r="D991" s="39" t="n">
        <f aca="false">MAX(B991,C991)</f>
        <v>21.0871271181206</v>
      </c>
    </row>
    <row r="992" customFormat="false" ht="13" hidden="false" customHeight="false" outlineLevel="0" collapsed="false">
      <c r="A992" s="16" t="n">
        <v>975</v>
      </c>
      <c r="B992" s="38" t="n">
        <v>0</v>
      </c>
      <c r="C992" s="38" t="n">
        <v>19.846644680704</v>
      </c>
      <c r="D992" s="39" t="n">
        <f aca="false">MAX(B992,C992)</f>
        <v>19.846644680704</v>
      </c>
    </row>
    <row r="993" customFormat="false" ht="13" hidden="false" customHeight="false" outlineLevel="0" collapsed="false">
      <c r="A993" s="16" t="n">
        <v>976</v>
      </c>
      <c r="B993" s="38" t="n">
        <v>3.1762932566769</v>
      </c>
      <c r="C993" s="38" t="n">
        <v>0</v>
      </c>
      <c r="D993" s="39" t="n">
        <f aca="false">MAX(B993,C993)</f>
        <v>3.1762932566769</v>
      </c>
    </row>
    <row r="994" customFormat="false" ht="13" hidden="false" customHeight="false" outlineLevel="0" collapsed="false">
      <c r="A994" s="16" t="n">
        <v>977</v>
      </c>
      <c r="B994" s="38" t="n">
        <v>4.23571730121898</v>
      </c>
      <c r="C994" s="38" t="n">
        <v>0</v>
      </c>
      <c r="D994" s="39" t="n">
        <f aca="false">MAX(B994,C994)</f>
        <v>4.23571730121898</v>
      </c>
    </row>
    <row r="995" customFormat="false" ht="13" hidden="false" customHeight="false" outlineLevel="0" collapsed="false">
      <c r="A995" s="16" t="n">
        <v>978</v>
      </c>
      <c r="B995" s="38" t="n">
        <v>0</v>
      </c>
      <c r="C995" s="38" t="n">
        <v>20.7085801551798</v>
      </c>
      <c r="D995" s="39" t="n">
        <f aca="false">MAX(B995,C995)</f>
        <v>20.7085801551798</v>
      </c>
    </row>
    <row r="996" customFormat="false" ht="13" hidden="false" customHeight="false" outlineLevel="0" collapsed="false">
      <c r="A996" s="16" t="n">
        <v>979</v>
      </c>
      <c r="B996" s="38" t="n">
        <v>5.92770443437007</v>
      </c>
      <c r="C996" s="38" t="n">
        <v>0</v>
      </c>
      <c r="D996" s="39" t="n">
        <f aca="false">MAX(B996,C996)</f>
        <v>5.92770443437007</v>
      </c>
    </row>
    <row r="997" customFormat="false" ht="13" hidden="false" customHeight="false" outlineLevel="0" collapsed="false">
      <c r="A997" s="16" t="n">
        <v>980</v>
      </c>
      <c r="B997" s="38" t="n">
        <v>6.18358263869709</v>
      </c>
      <c r="C997" s="38" t="n">
        <v>0</v>
      </c>
      <c r="D997" s="39" t="n">
        <f aca="false">MAX(B997,C997)</f>
        <v>6.18358263869709</v>
      </c>
    </row>
    <row r="998" customFormat="false" ht="13" hidden="false" customHeight="false" outlineLevel="0" collapsed="false">
      <c r="A998" s="16" t="n">
        <v>981</v>
      </c>
      <c r="B998" s="38" t="n">
        <v>0</v>
      </c>
      <c r="C998" s="38" t="n">
        <v>20.1823323081126</v>
      </c>
      <c r="D998" s="39" t="n">
        <f aca="false">MAX(B998,C998)</f>
        <v>20.1823323081126</v>
      </c>
    </row>
    <row r="999" customFormat="false" ht="13" hidden="false" customHeight="false" outlineLevel="0" collapsed="false">
      <c r="A999" s="16" t="n">
        <v>982</v>
      </c>
      <c r="B999" s="38" t="n">
        <v>0</v>
      </c>
      <c r="C999" s="38" t="n">
        <v>21.6887522385289</v>
      </c>
      <c r="D999" s="39" t="n">
        <f aca="false">MAX(B999,C999)</f>
        <v>21.6887522385289</v>
      </c>
    </row>
    <row r="1000" customFormat="false" ht="13" hidden="false" customHeight="false" outlineLevel="0" collapsed="false">
      <c r="A1000" s="16" t="n">
        <v>983</v>
      </c>
      <c r="B1000" s="38" t="n">
        <v>0</v>
      </c>
      <c r="C1000" s="38" t="n">
        <v>23.3111005300175</v>
      </c>
      <c r="D1000" s="39" t="n">
        <f aca="false">MAX(B1000,C1000)</f>
        <v>23.3111005300175</v>
      </c>
    </row>
    <row r="1001" customFormat="false" ht="13" hidden="false" customHeight="false" outlineLevel="0" collapsed="false">
      <c r="A1001" s="16" t="n">
        <v>984</v>
      </c>
      <c r="B1001" s="38" t="n">
        <v>6.0115614083395</v>
      </c>
      <c r="C1001" s="38" t="n">
        <v>0</v>
      </c>
      <c r="D1001" s="39" t="n">
        <f aca="false">MAX(B1001,C1001)</f>
        <v>6.0115614083395</v>
      </c>
    </row>
    <row r="1002" customFormat="false" ht="13" hidden="false" customHeight="false" outlineLevel="0" collapsed="false">
      <c r="A1002" s="16" t="n">
        <v>985</v>
      </c>
      <c r="B1002" s="38" t="n">
        <v>0</v>
      </c>
      <c r="C1002" s="38" t="n">
        <v>24.5666612321029</v>
      </c>
      <c r="D1002" s="39" t="n">
        <f aca="false">MAX(B1002,C1002)</f>
        <v>24.5666612321029</v>
      </c>
    </row>
    <row r="1003" customFormat="false" ht="13" hidden="false" customHeight="false" outlineLevel="0" collapsed="false">
      <c r="A1003" s="16" t="n">
        <v>986</v>
      </c>
      <c r="B1003" s="38" t="n">
        <v>0</v>
      </c>
      <c r="C1003" s="38" t="n">
        <v>26.078397333102</v>
      </c>
      <c r="D1003" s="39" t="n">
        <f aca="false">MAX(B1003,C1003)</f>
        <v>26.078397333102</v>
      </c>
    </row>
    <row r="1004" customFormat="false" ht="13" hidden="false" customHeight="false" outlineLevel="0" collapsed="false">
      <c r="A1004" s="16" t="n">
        <v>987</v>
      </c>
      <c r="B1004" s="38" t="n">
        <v>0</v>
      </c>
      <c r="C1004" s="38" t="n">
        <v>26.0753396894916</v>
      </c>
      <c r="D1004" s="39" t="n">
        <f aca="false">MAX(B1004,C1004)</f>
        <v>26.0753396894916</v>
      </c>
    </row>
    <row r="1005" customFormat="false" ht="13" hidden="false" customHeight="false" outlineLevel="0" collapsed="false">
      <c r="A1005" s="16" t="n">
        <v>988</v>
      </c>
      <c r="B1005" s="38" t="n">
        <v>0</v>
      </c>
      <c r="C1005" s="38" t="n">
        <v>27.4492929939088</v>
      </c>
      <c r="D1005" s="39" t="n">
        <f aca="false">MAX(B1005,C1005)</f>
        <v>27.4492929939088</v>
      </c>
    </row>
    <row r="1006" customFormat="false" ht="13" hidden="false" customHeight="false" outlineLevel="0" collapsed="false">
      <c r="A1006" s="16" t="n">
        <v>989</v>
      </c>
      <c r="B1006" s="38" t="n">
        <v>0</v>
      </c>
      <c r="C1006" s="38" t="n">
        <v>27.9428977991563</v>
      </c>
      <c r="D1006" s="39" t="n">
        <f aca="false">MAX(B1006,C1006)</f>
        <v>27.9428977991563</v>
      </c>
    </row>
    <row r="1007" customFormat="false" ht="13" hidden="false" customHeight="false" outlineLevel="0" collapsed="false">
      <c r="A1007" s="16" t="n">
        <v>990</v>
      </c>
      <c r="B1007" s="38" t="n">
        <v>3.32198265497391</v>
      </c>
      <c r="C1007" s="38" t="n">
        <v>0</v>
      </c>
      <c r="D1007" s="39" t="n">
        <f aca="false">MAX(B1007,C1007)</f>
        <v>3.32198265497391</v>
      </c>
    </row>
    <row r="1008" customFormat="false" ht="13" hidden="false" customHeight="false" outlineLevel="0" collapsed="false">
      <c r="A1008" s="16" t="n">
        <v>991</v>
      </c>
      <c r="B1008" s="38" t="n">
        <v>4.91764418727098</v>
      </c>
      <c r="C1008" s="38" t="n">
        <v>0</v>
      </c>
      <c r="D1008" s="39" t="n">
        <f aca="false">MAX(B1008,C1008)</f>
        <v>4.91764418727098</v>
      </c>
    </row>
    <row r="1009" customFormat="false" ht="13" hidden="false" customHeight="false" outlineLevel="0" collapsed="false">
      <c r="A1009" s="16" t="n">
        <v>992</v>
      </c>
      <c r="B1009" s="38" t="n">
        <v>0</v>
      </c>
      <c r="C1009" s="38" t="n">
        <v>26.952316010455</v>
      </c>
      <c r="D1009" s="39" t="n">
        <f aca="false">MAX(B1009,C1009)</f>
        <v>26.952316010455</v>
      </c>
    </row>
    <row r="1010" customFormat="false" ht="13" hidden="false" customHeight="false" outlineLevel="0" collapsed="false">
      <c r="A1010" s="16" t="n">
        <v>993</v>
      </c>
      <c r="B1010" s="38" t="n">
        <v>0</v>
      </c>
      <c r="C1010" s="38" t="n">
        <v>27.4870484427008</v>
      </c>
      <c r="D1010" s="39" t="n">
        <f aca="false">MAX(B1010,C1010)</f>
        <v>27.4870484427008</v>
      </c>
    </row>
    <row r="1011" customFormat="false" ht="13" hidden="false" customHeight="false" outlineLevel="0" collapsed="false">
      <c r="A1011" s="16" t="n">
        <v>994</v>
      </c>
      <c r="B1011" s="38" t="n">
        <v>0</v>
      </c>
      <c r="C1011" s="38" t="n">
        <v>28.1669647546867</v>
      </c>
      <c r="D1011" s="39" t="n">
        <f aca="false">MAX(B1011,C1011)</f>
        <v>28.1669647546867</v>
      </c>
    </row>
    <row r="1012" customFormat="false" ht="13" hidden="false" customHeight="false" outlineLevel="0" collapsed="false">
      <c r="A1012" s="16" t="n">
        <v>995</v>
      </c>
      <c r="B1012" s="38" t="n">
        <v>1.86807443827774</v>
      </c>
      <c r="C1012" s="38" t="n">
        <v>0</v>
      </c>
      <c r="D1012" s="39" t="n">
        <f aca="false">MAX(B1012,C1012)</f>
        <v>1.86807443827774</v>
      </c>
    </row>
    <row r="1013" customFormat="false" ht="13" hidden="false" customHeight="false" outlineLevel="0" collapsed="false">
      <c r="A1013" s="16" t="n">
        <v>996</v>
      </c>
      <c r="B1013" s="38" t="n">
        <v>0</v>
      </c>
      <c r="C1013" s="38" t="n">
        <v>27.0392354176388</v>
      </c>
      <c r="D1013" s="39" t="n">
        <f aca="false">MAX(B1013,C1013)</f>
        <v>27.0392354176388</v>
      </c>
    </row>
    <row r="1014" customFormat="false" ht="13" hidden="false" customHeight="false" outlineLevel="0" collapsed="false">
      <c r="A1014" s="16" t="n">
        <v>997</v>
      </c>
      <c r="B1014" s="38" t="n">
        <v>0</v>
      </c>
      <c r="C1014" s="38" t="n">
        <v>28.1293798792085</v>
      </c>
      <c r="D1014" s="39" t="n">
        <f aca="false">MAX(B1014,C1014)</f>
        <v>28.1293798792085</v>
      </c>
    </row>
    <row r="1015" customFormat="false" ht="13" hidden="false" customHeight="false" outlineLevel="0" collapsed="false">
      <c r="A1015" s="16" t="n">
        <v>998</v>
      </c>
      <c r="B1015" s="38" t="n">
        <v>1.96472182573143</v>
      </c>
      <c r="C1015" s="38" t="n">
        <v>0</v>
      </c>
      <c r="D1015" s="39" t="n">
        <f aca="false">MAX(B1015,C1015)</f>
        <v>1.96472182573143</v>
      </c>
    </row>
    <row r="1016" customFormat="false" ht="13" hidden="false" customHeight="false" outlineLevel="0" collapsed="false">
      <c r="A1016" s="16" t="n">
        <v>999</v>
      </c>
      <c r="B1016" s="38" t="n">
        <v>2.23541871911471</v>
      </c>
      <c r="C1016" s="38" t="n">
        <v>0</v>
      </c>
      <c r="D1016" s="39" t="n">
        <f aca="false">MAX(B1016,C1016)</f>
        <v>2.23541871911471</v>
      </c>
    </row>
    <row r="1017" customFormat="false" ht="13" hidden="false" customHeight="false" outlineLevel="0" collapsed="false">
      <c r="A1017" s="16" t="n">
        <v>1000</v>
      </c>
      <c r="B1017" s="38" t="n">
        <v>0</v>
      </c>
      <c r="C1017" s="38" t="n">
        <v>27.3337957764236</v>
      </c>
      <c r="D1017" s="39" t="n">
        <f aca="false">MAX(B1017,C1017)</f>
        <v>27.3337957764236</v>
      </c>
    </row>
    <row r="1019" customFormat="false" ht="13" hidden="false" customHeight="false" outlineLevel="0" collapsed="false">
      <c r="A1019" s="43" t="s">
        <v>79</v>
      </c>
      <c r="B1019" s="43" t="n">
        <v>6527.81603039473</v>
      </c>
      <c r="C1019" s="43" t="n">
        <v>6295.67173640515</v>
      </c>
    </row>
    <row r="1020" customFormat="false" ht="13" hidden="false" customHeight="false" outlineLevel="0" collapsed="false">
      <c r="A1020" s="2" t="s">
        <v>80</v>
      </c>
    </row>
    <row r="1022" customFormat="false" ht="13" hidden="false" customHeight="false" outlineLevel="0" collapsed="false">
      <c r="A1022" s="2" t="s">
        <v>81</v>
      </c>
      <c r="B1022" s="43" t="n">
        <v>305689.60352334</v>
      </c>
      <c r="C1022" s="43" t="n">
        <v>236547.511051798</v>
      </c>
    </row>
    <row r="1023" customFormat="false" ht="13" hidden="false" customHeight="false" outlineLevel="0" collapsed="false">
      <c r="A1023" s="2" t="s">
        <v>82</v>
      </c>
    </row>
    <row r="1025" customFormat="false" ht="13" hidden="false" customHeight="false" outlineLevel="0" collapsed="false">
      <c r="A1025" s="15"/>
    </row>
    <row r="1026" customFormat="false" ht="13" hidden="false" customHeight="false" outlineLevel="0" collapsed="false">
      <c r="A1026" s="47" t="s">
        <v>83</v>
      </c>
      <c r="B1026" s="21"/>
      <c r="C1026" s="21"/>
    </row>
    <row r="1027" customFormat="false" ht="14" hidden="false" customHeight="false" outlineLevel="0" collapsed="false">
      <c r="A1027" s="34"/>
      <c r="B1027" s="34"/>
      <c r="C1027" s="34"/>
    </row>
    <row r="1028" customFormat="false" ht="13" hidden="false" customHeight="false" outlineLevel="0" collapsed="false">
      <c r="A1028" s="15" t="s">
        <v>85</v>
      </c>
      <c r="B1028" s="51" t="s">
        <v>22</v>
      </c>
      <c r="C1028" s="52"/>
    </row>
    <row r="1029" customFormat="false" ht="13" hidden="false" customHeight="false" outlineLevel="0" collapsed="false">
      <c r="A1029" s="15" t="s">
        <v>87</v>
      </c>
      <c r="B1029" s="51"/>
      <c r="C1029" s="52"/>
    </row>
    <row r="1030" customFormat="false" ht="13" hidden="false" customHeight="false" outlineLevel="0" collapsed="false">
      <c r="A1030" s="15" t="s">
        <v>88</v>
      </c>
      <c r="B1030" s="51"/>
      <c r="C1030" s="52"/>
    </row>
    <row r="1031" customFormat="false" ht="13" hidden="false" customHeight="false" outlineLevel="0" collapsed="false">
      <c r="A1031" s="15" t="s">
        <v>89</v>
      </c>
      <c r="B1031" s="54" t="s">
        <v>22</v>
      </c>
      <c r="C1031" s="52"/>
    </row>
    <row r="1032" customFormat="false" ht="13" hidden="false" customHeight="false" outlineLevel="0" collapsed="false">
      <c r="A1032" s="55" t="s">
        <v>91</v>
      </c>
      <c r="B1032" s="56"/>
      <c r="C1032" s="56"/>
    </row>
    <row r="1033" customFormat="false" ht="13" hidden="false" customHeight="false" outlineLevel="0" collapsed="false">
      <c r="A1033" s="58" t="s">
        <v>92</v>
      </c>
      <c r="B1033" s="32"/>
      <c r="C1033" s="3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B1" s="2" t="s">
        <v>96</v>
      </c>
      <c r="C1" s="2" t="n">
        <v>3</v>
      </c>
      <c r="D1" s="2" t="s">
        <v>97</v>
      </c>
      <c r="E1" s="2" t="n">
        <v>9.96578428466202</v>
      </c>
    </row>
    <row r="3" customFormat="false" ht="13" hidden="false" customHeight="false" outlineLevel="0" collapsed="false">
      <c r="B3" s="2" t="s">
        <v>2</v>
      </c>
      <c r="C3" s="2" t="s">
        <v>98</v>
      </c>
      <c r="D3" s="2" t="s">
        <v>10</v>
      </c>
      <c r="E3" s="2" t="s">
        <v>99</v>
      </c>
      <c r="F3" s="2" t="s">
        <v>100</v>
      </c>
    </row>
    <row r="4" customFormat="false" ht="13" hidden="false" customHeight="false" outlineLevel="0" collapsed="false">
      <c r="A4" s="2" t="s">
        <v>101</v>
      </c>
      <c r="B4" s="2" t="n">
        <v>2.9050975648833</v>
      </c>
      <c r="C4" s="2" t="n">
        <v>9.65052521917471</v>
      </c>
      <c r="D4" s="2" t="n">
        <v>0.387076567773767</v>
      </c>
      <c r="E4" s="2" t="n">
        <f aca="false">1-B4/Hmax</f>
        <v>0.0316341450388991</v>
      </c>
      <c r="F4" s="2" t="n">
        <f aca="false">1-C4/$E$1</f>
        <v>0.0316341450388921</v>
      </c>
      <c r="H4" s="2" t="s">
        <v>102</v>
      </c>
    </row>
    <row r="5" customFormat="false" ht="13" hidden="false" customHeight="false" outlineLevel="0" collapsed="false">
      <c r="A5" s="2" t="s">
        <v>103</v>
      </c>
      <c r="B5" s="2" t="n">
        <v>2.88789500726094</v>
      </c>
      <c r="C5" s="2" t="n">
        <v>9.59337955970506</v>
      </c>
      <c r="D5" s="2" t="n">
        <v>0.421825625396549</v>
      </c>
      <c r="E5" s="2" t="n">
        <f aca="false">1-B5/Hmax</f>
        <v>0.0373683309130203</v>
      </c>
      <c r="F5" s="2" t="n">
        <f aca="false">1-C5/$E$1</f>
        <v>0.0373683309130135</v>
      </c>
      <c r="H5" s="2" t="s">
        <v>104</v>
      </c>
    </row>
    <row r="7" customFormat="false" ht="13" hidden="false" customHeight="false" outlineLevel="0" collapsed="false">
      <c r="B7" s="2" t="s">
        <v>105</v>
      </c>
    </row>
    <row r="8" customFormat="false" ht="13" hidden="false" customHeight="false" outlineLevel="0" collapsed="false">
      <c r="B8" s="2" t="s">
        <v>106</v>
      </c>
    </row>
    <row r="9" customFormat="false" ht="13" hidden="false" customHeight="false" outlineLevel="0" collapsed="false">
      <c r="B9" s="2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5"/>
  <sheetViews>
    <sheetView showFormulas="false" showGridLines="true" showRowColHeaders="true" showZeros="true" rightToLeft="false" tabSelected="false" showOutlineSymbols="true" defaultGridColor="true" view="normal" topLeftCell="C977" colorId="64" zoomScale="100" zoomScaleNormal="100" zoomScalePageLayoutView="100" workbookViewId="0">
      <selection pane="topLeft" activeCell="K1002" activeCellId="0" sqref="K1002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108</v>
      </c>
      <c r="C1" s="1"/>
      <c r="D1" s="1" t="s">
        <v>2</v>
      </c>
      <c r="E1" s="1"/>
      <c r="F1" s="1"/>
      <c r="G1" s="1" t="s">
        <v>3</v>
      </c>
      <c r="H1" s="1" t="s">
        <v>4</v>
      </c>
      <c r="L1" s="3" t="n">
        <v>0.05</v>
      </c>
      <c r="N1" s="2" t="s">
        <v>6</v>
      </c>
      <c r="O1" s="2" t="s">
        <v>7</v>
      </c>
      <c r="P1" s="2" t="s">
        <v>8</v>
      </c>
      <c r="Q1" s="2" t="s">
        <v>9</v>
      </c>
      <c r="S1" s="2" t="s">
        <v>10</v>
      </c>
      <c r="U1" s="2" t="s">
        <v>11</v>
      </c>
      <c r="V1" s="2" t="s">
        <v>9</v>
      </c>
      <c r="W1" s="2" t="s">
        <v>12</v>
      </c>
      <c r="X1" s="2" t="s">
        <v>13</v>
      </c>
    </row>
    <row r="2" customFormat="false" ht="13" hidden="false" customHeight="false" outlineLevel="0" collapsed="false">
      <c r="A2" s="4" t="n">
        <v>1000</v>
      </c>
      <c r="B2" s="5" t="n">
        <v>34.8154992834706</v>
      </c>
      <c r="C2" s="5" t="n">
        <f aca="false">B2</f>
        <v>34.8154992834706</v>
      </c>
      <c r="D2" s="5" t="n">
        <f aca="false">C2*LOG(C2)</f>
        <v>53.677583815086</v>
      </c>
      <c r="E2" s="5"/>
      <c r="F2" s="5"/>
      <c r="G2" s="4" t="n">
        <v>1</v>
      </c>
      <c r="H2" s="6" t="n">
        <v>1</v>
      </c>
      <c r="J2" s="2" t="n">
        <f aca="false">B2/$B$1003</f>
        <v>0.00271497894462131</v>
      </c>
      <c r="K2" s="5" t="n">
        <f aca="false">J2*LOG(J2,2)</f>
        <v>-0.0231447699980119</v>
      </c>
      <c r="N2" s="2" t="n">
        <v>0.00749861274389555</v>
      </c>
      <c r="O2" s="2" t="n">
        <v>0.05</v>
      </c>
      <c r="P2" s="2" t="n">
        <f aca="false">N2</f>
        <v>0.00749861274389555</v>
      </c>
      <c r="Q2" s="2" t="n">
        <v>0.05</v>
      </c>
      <c r="S2" s="2" t="n">
        <f aca="false">Q2-P2</f>
        <v>0.0425013872561045</v>
      </c>
      <c r="U2" s="2" t="n">
        <f aca="false">0.05-N2</f>
        <v>0.0425013872561045</v>
      </c>
      <c r="V2" s="2" t="n">
        <v>0</v>
      </c>
      <c r="W2" s="2" t="n">
        <f aca="false">N2*LOG(N2)</f>
        <v>-0.0159346951122766</v>
      </c>
      <c r="X2" s="2" t="n">
        <f aca="false">0.05*LOG(0.05)</f>
        <v>-0.0650514997831991</v>
      </c>
    </row>
    <row r="3" customFormat="false" ht="13" hidden="false" customHeight="false" outlineLevel="0" collapsed="false">
      <c r="A3" s="4" t="n">
        <v>999</v>
      </c>
      <c r="B3" s="5" t="n">
        <v>32.9918914750109</v>
      </c>
      <c r="C3" s="5" t="n">
        <f aca="false">B3</f>
        <v>32.9918914750109</v>
      </c>
      <c r="D3" s="5" t="n">
        <f aca="false">C3*LOG(C3)</f>
        <v>50.0951260527562</v>
      </c>
      <c r="E3" s="5"/>
      <c r="F3" s="5"/>
      <c r="G3" s="4" t="n">
        <v>2</v>
      </c>
      <c r="H3" s="6" t="n">
        <v>0.998</v>
      </c>
      <c r="J3" s="2" t="n">
        <f aca="false">B3/$B$1003</f>
        <v>0.00257277053442724</v>
      </c>
      <c r="K3" s="5" t="n">
        <f aca="false">J3*LOG(J3,2)</f>
        <v>-0.0221321594602423</v>
      </c>
      <c r="N3" s="2" t="n">
        <v>0.00881979045298404</v>
      </c>
      <c r="O3" s="2" t="n">
        <f aca="false">O2+0.05</f>
        <v>0.1</v>
      </c>
      <c r="P3" s="2" t="n">
        <f aca="false">P2+N3</f>
        <v>0.0163184031968796</v>
      </c>
      <c r="Q3" s="2" t="n">
        <f aca="false">Q2+0.05</f>
        <v>0.1</v>
      </c>
      <c r="S3" s="2" t="n">
        <f aca="false">Q3-P3</f>
        <v>0.0836815968031204</v>
      </c>
      <c r="U3" s="2" t="n">
        <f aca="false">0.05-N3</f>
        <v>0.041180209547016</v>
      </c>
      <c r="V3" s="2" t="n">
        <v>0</v>
      </c>
      <c r="W3" s="2" t="n">
        <f aca="false">N3*LOG(N3)</f>
        <v>-0.0181206275622418</v>
      </c>
      <c r="X3" s="2" t="n">
        <f aca="false">0.05*LOG(0.05)</f>
        <v>-0.0650514997831991</v>
      </c>
    </row>
    <row r="4" customFormat="false" ht="13" hidden="false" customHeight="false" outlineLevel="0" collapsed="false">
      <c r="A4" s="4" t="n">
        <v>998</v>
      </c>
      <c r="B4" s="5" t="n">
        <v>32.7467330130663</v>
      </c>
      <c r="C4" s="5" t="n">
        <f aca="false">B4</f>
        <v>32.7467330130663</v>
      </c>
      <c r="D4" s="5" t="n">
        <f aca="false">C4*LOG(C4)</f>
        <v>49.6168012775753</v>
      </c>
      <c r="E4" s="5"/>
      <c r="F4" s="5"/>
      <c r="G4" s="4" t="n">
        <v>3</v>
      </c>
      <c r="H4" s="6" t="n">
        <v>0.997</v>
      </c>
      <c r="J4" s="2" t="n">
        <f aca="false">B4/$B$1003</f>
        <v>0.00255365261062969</v>
      </c>
      <c r="K4" s="5" t="n">
        <f aca="false">J4*LOG(J4,2)</f>
        <v>-0.0219951768593138</v>
      </c>
      <c r="N4" s="2" t="n">
        <v>0.0122550712731516</v>
      </c>
      <c r="O4" s="2" t="n">
        <f aca="false">O3+0.05</f>
        <v>0.15</v>
      </c>
      <c r="P4" s="2" t="n">
        <f aca="false">P3+N4</f>
        <v>0.0285734744700312</v>
      </c>
      <c r="Q4" s="2" t="n">
        <f aca="false">Q3+0.05</f>
        <v>0.15</v>
      </c>
      <c r="S4" s="2" t="n">
        <f aca="false">Q4-P4</f>
        <v>0.121426525529969</v>
      </c>
      <c r="U4" s="2" t="n">
        <f aca="false">0.05-N4</f>
        <v>0.0377449287268484</v>
      </c>
      <c r="V4" s="2" t="n">
        <v>0</v>
      </c>
      <c r="W4" s="2" t="n">
        <f aca="false">N4*LOG(N4)</f>
        <v>-0.0234278256157763</v>
      </c>
      <c r="X4" s="2" t="n">
        <f aca="false">0.05*LOG(0.05)</f>
        <v>-0.0650514997831991</v>
      </c>
    </row>
    <row r="5" customFormat="false" ht="13" hidden="false" customHeight="false" outlineLevel="0" collapsed="false">
      <c r="A5" s="4" t="n">
        <v>997</v>
      </c>
      <c r="B5" s="5" t="n">
        <v>31.9891952515344</v>
      </c>
      <c r="C5" s="5" t="n">
        <f aca="false">B5</f>
        <v>31.9891952515344</v>
      </c>
      <c r="D5" s="5" t="n">
        <f aca="false">C5*LOG(C5)</f>
        <v>48.1438448889683</v>
      </c>
      <c r="E5" s="5"/>
      <c r="F5" s="5"/>
      <c r="G5" s="4" t="n">
        <v>4</v>
      </c>
      <c r="H5" s="6" t="n">
        <v>0.996</v>
      </c>
      <c r="J5" s="2" t="n">
        <f aca="false">B5/$B$1003</f>
        <v>0.0024945783731595</v>
      </c>
      <c r="K5" s="5" t="n">
        <f aca="false">J5*LOG(J5,2)</f>
        <v>-0.0215705899784052</v>
      </c>
      <c r="N5" s="2" t="n">
        <v>0.0159418838762358</v>
      </c>
      <c r="O5" s="2" t="n">
        <f aca="false">O4+0.05</f>
        <v>0.2</v>
      </c>
      <c r="P5" s="2" t="n">
        <f aca="false">P4+N5</f>
        <v>0.0445153583462671</v>
      </c>
      <c r="Q5" s="2" t="n">
        <f aca="false">Q4+0.05</f>
        <v>0.2</v>
      </c>
      <c r="S5" s="2" t="n">
        <f aca="false">Q5-P5</f>
        <v>0.155484641653733</v>
      </c>
      <c r="U5" s="2" t="n">
        <f aca="false">0.05-N5</f>
        <v>0.0340581161237642</v>
      </c>
      <c r="V5" s="2" t="n">
        <v>0</v>
      </c>
      <c r="W5" s="2" t="n">
        <f aca="false">N5*LOG(N5)</f>
        <v>-0.0286549043102062</v>
      </c>
      <c r="X5" s="2" t="n">
        <f aca="false">0.05*LOG(0.05)</f>
        <v>-0.0650514997831991</v>
      </c>
    </row>
    <row r="6" customFormat="false" ht="13" hidden="false" customHeight="false" outlineLevel="0" collapsed="false">
      <c r="A6" s="4" t="n">
        <v>996</v>
      </c>
      <c r="B6" s="5" t="n">
        <v>31.6240946961431</v>
      </c>
      <c r="C6" s="5" t="n">
        <f aca="false">B6</f>
        <v>31.6240946961431</v>
      </c>
      <c r="D6" s="5" t="n">
        <f aca="false">C6*LOG(C6)</f>
        <v>47.4367144972949</v>
      </c>
      <c r="E6" s="5"/>
      <c r="F6" s="5"/>
      <c r="G6" s="4" t="n">
        <v>5</v>
      </c>
      <c r="H6" s="6" t="n">
        <v>0.995</v>
      </c>
      <c r="J6" s="2" t="n">
        <f aca="false">B6/$B$1003</f>
        <v>0.00246610713647017</v>
      </c>
      <c r="K6" s="5" t="n">
        <f aca="false">J6*LOG(J6,2)</f>
        <v>-0.0213652395419577</v>
      </c>
      <c r="N6" s="2" t="n">
        <v>0.0199295591907302</v>
      </c>
      <c r="O6" s="2" t="n">
        <f aca="false">O5+0.05</f>
        <v>0.25</v>
      </c>
      <c r="P6" s="2" t="n">
        <f aca="false">P5+N6</f>
        <v>0.0644449175369973</v>
      </c>
      <c r="Q6" s="2" t="n">
        <f aca="false">Q5+0.05</f>
        <v>0.25</v>
      </c>
      <c r="S6" s="2" t="n">
        <f aca="false">Q6-P6</f>
        <v>0.185555082463003</v>
      </c>
      <c r="U6" s="2" t="n">
        <f aca="false">0.05-N6</f>
        <v>0.0300704408092698</v>
      </c>
      <c r="V6" s="2" t="n">
        <v>0</v>
      </c>
      <c r="W6" s="2" t="n">
        <f aca="false">N6*LOG(N6)</f>
        <v>-0.0338902613828696</v>
      </c>
      <c r="X6" s="2" t="n">
        <f aca="false">0.05*LOG(0.05)</f>
        <v>-0.0650514997831991</v>
      </c>
    </row>
    <row r="7" customFormat="false" ht="13" hidden="false" customHeight="false" outlineLevel="0" collapsed="false">
      <c r="A7" s="4" t="n">
        <v>995</v>
      </c>
      <c r="B7" s="5" t="n">
        <v>31.5976422493322</v>
      </c>
      <c r="C7" s="5" t="n">
        <f aca="false">B7</f>
        <v>31.5976422493322</v>
      </c>
      <c r="D7" s="5" t="n">
        <f aca="false">C7*LOG(C7)</f>
        <v>47.3855520026173</v>
      </c>
      <c r="E7" s="5"/>
      <c r="F7" s="5"/>
      <c r="G7" s="4" t="n">
        <v>6</v>
      </c>
      <c r="H7" s="6" t="n">
        <v>0.994</v>
      </c>
      <c r="J7" s="2" t="n">
        <f aca="false">B7/$B$1003</f>
        <v>0.00246404432428585</v>
      </c>
      <c r="K7" s="5" t="n">
        <f aca="false">J7*LOG(J7,2)</f>
        <v>-0.0213503430318155</v>
      </c>
      <c r="N7" s="2" t="n">
        <v>0.0239341398957463</v>
      </c>
      <c r="O7" s="2" t="n">
        <f aca="false">O6+0.05</f>
        <v>0.3</v>
      </c>
      <c r="P7" s="2" t="n">
        <f aca="false">P6+N7</f>
        <v>0.0883790574327436</v>
      </c>
      <c r="Q7" s="2" t="n">
        <f aca="false">Q6+0.05</f>
        <v>0.3</v>
      </c>
      <c r="S7" s="2" t="n">
        <f aca="false">Q7-P7</f>
        <v>0.211620942567256</v>
      </c>
      <c r="U7" s="2" t="n">
        <f aca="false">0.05-N7</f>
        <v>0.0260658601042537</v>
      </c>
      <c r="V7" s="2" t="n">
        <v>0</v>
      </c>
      <c r="W7" s="2" t="n">
        <f aca="false">N7*LOG(N7)</f>
        <v>-0.0387968141410162</v>
      </c>
      <c r="X7" s="2" t="n">
        <f aca="false">0.05*LOG(0.05)</f>
        <v>-0.0650514997831991</v>
      </c>
    </row>
    <row r="8" customFormat="false" ht="13" hidden="false" customHeight="false" outlineLevel="0" collapsed="false">
      <c r="A8" s="4" t="n">
        <v>994</v>
      </c>
      <c r="B8" s="5" t="n">
        <v>31.4337126337795</v>
      </c>
      <c r="C8" s="5" t="n">
        <f aca="false">B8</f>
        <v>31.4337126337795</v>
      </c>
      <c r="D8" s="5" t="n">
        <f aca="false">C8*LOG(C8)</f>
        <v>47.0687054583011</v>
      </c>
      <c r="E8" s="5"/>
      <c r="F8" s="5"/>
      <c r="G8" s="4" t="n">
        <v>7</v>
      </c>
      <c r="H8" s="6" t="n">
        <v>0.993</v>
      </c>
      <c r="J8" s="2" t="n">
        <f aca="false">B8/$B$1003</f>
        <v>0.00245126078064048</v>
      </c>
      <c r="K8" s="5" t="n">
        <f aca="false">J8*LOG(J8,2)</f>
        <v>-0.0212579715755954</v>
      </c>
      <c r="N8" s="2" t="n">
        <v>0.0282902632558461</v>
      </c>
      <c r="O8" s="2" t="n">
        <f aca="false">O7+0.05</f>
        <v>0.35</v>
      </c>
      <c r="P8" s="2" t="n">
        <f aca="false">P7+N8</f>
        <v>0.11666932068859</v>
      </c>
      <c r="Q8" s="2" t="n">
        <f aca="false">Q7+0.05</f>
        <v>0.35</v>
      </c>
      <c r="S8" s="2" t="n">
        <f aca="false">Q8-P8</f>
        <v>0.23333067931141</v>
      </c>
      <c r="U8" s="2" t="n">
        <f aca="false">0.05-N8</f>
        <v>0.0217097367441539</v>
      </c>
      <c r="V8" s="2" t="n">
        <v>0</v>
      </c>
      <c r="W8" s="2" t="n">
        <f aca="false">N8*LOG(N8)</f>
        <v>-0.043803597202027</v>
      </c>
      <c r="X8" s="2" t="n">
        <f aca="false">0.05*LOG(0.05)</f>
        <v>-0.0650514997831991</v>
      </c>
    </row>
    <row r="9" customFormat="false" ht="13" hidden="false" customHeight="false" outlineLevel="0" collapsed="false">
      <c r="A9" s="4" t="n">
        <v>993</v>
      </c>
      <c r="B9" s="5" t="n">
        <v>31.2742696094391</v>
      </c>
      <c r="C9" s="5" t="n">
        <f aca="false">B9</f>
        <v>31.2742696094391</v>
      </c>
      <c r="D9" s="5" t="n">
        <f aca="false">C9*LOG(C9)</f>
        <v>46.7608868529854</v>
      </c>
      <c r="E9" s="5"/>
      <c r="F9" s="5"/>
      <c r="G9" s="4" t="n">
        <v>8</v>
      </c>
      <c r="H9" s="6" t="n">
        <v>0.992</v>
      </c>
      <c r="J9" s="2" t="n">
        <f aca="false">B9/$B$1003</f>
        <v>0.00243882710992313</v>
      </c>
      <c r="K9" s="5" t="n">
        <f aca="false">J9*LOG(J9,2)</f>
        <v>-0.0211680359705418</v>
      </c>
      <c r="N9" s="2" t="n">
        <v>0.0318684774353787</v>
      </c>
      <c r="O9" s="2" t="n">
        <f aca="false">O8+0.05</f>
        <v>0.4</v>
      </c>
      <c r="P9" s="2" t="n">
        <f aca="false">P8+N9</f>
        <v>0.148537798123968</v>
      </c>
      <c r="Q9" s="2" t="n">
        <f aca="false">Q8+0.05</f>
        <v>0.4</v>
      </c>
      <c r="S9" s="2" t="n">
        <f aca="false">Q9-P9</f>
        <v>0.251462201876032</v>
      </c>
      <c r="U9" s="2" t="n">
        <f aca="false">0.05-N9</f>
        <v>0.0181315225646213</v>
      </c>
      <c r="V9" s="2" t="n">
        <v>0</v>
      </c>
      <c r="W9" s="2" t="n">
        <f aca="false">N9*LOG(N9)</f>
        <v>-0.0476955961651884</v>
      </c>
      <c r="X9" s="2" t="n">
        <f aca="false">0.05*LOG(0.05)</f>
        <v>-0.0650514997831991</v>
      </c>
    </row>
    <row r="10" customFormat="false" ht="13" hidden="false" customHeight="false" outlineLevel="0" collapsed="false">
      <c r="A10" s="4" t="n">
        <v>992</v>
      </c>
      <c r="B10" s="5" t="n">
        <v>31.0888705007226</v>
      </c>
      <c r="C10" s="5" t="n">
        <f aca="false">B10</f>
        <v>31.0888705007226</v>
      </c>
      <c r="D10" s="5" t="n">
        <f aca="false">C10*LOG(C10)</f>
        <v>46.403401807903</v>
      </c>
      <c r="E10" s="5"/>
      <c r="F10" s="5"/>
      <c r="G10" s="4" t="n">
        <v>9</v>
      </c>
      <c r="H10" s="6" t="n">
        <v>0.991</v>
      </c>
      <c r="J10" s="2" t="n">
        <f aca="false">B10/$B$1003</f>
        <v>0.0024243693343095</v>
      </c>
      <c r="K10" s="5" t="n">
        <f aca="false">J10*LOG(J10,2)</f>
        <v>-0.0210633445209507</v>
      </c>
      <c r="N10" s="2" t="n">
        <v>0.0364275901085351</v>
      </c>
      <c r="O10" s="2" t="n">
        <f aca="false">O9+0.05</f>
        <v>0.45</v>
      </c>
      <c r="P10" s="2" t="n">
        <f aca="false">P9+N10</f>
        <v>0.184965388232504</v>
      </c>
      <c r="Q10" s="2" t="n">
        <f aca="false">Q9+0.05</f>
        <v>0.45</v>
      </c>
      <c r="S10" s="2" t="n">
        <f aca="false">Q10-P10</f>
        <v>0.265034611767496</v>
      </c>
      <c r="U10" s="2" t="n">
        <f aca="false">0.05-N10</f>
        <v>0.0135724098914649</v>
      </c>
      <c r="V10" s="2" t="n">
        <v>0</v>
      </c>
      <c r="W10" s="2" t="n">
        <f aca="false">N10*LOG(N10)</f>
        <v>-0.0524036222323392</v>
      </c>
      <c r="X10" s="2" t="n">
        <f aca="false">0.05*LOG(0.05)</f>
        <v>-0.0650514997831991</v>
      </c>
    </row>
    <row r="11" customFormat="false" ht="13" hidden="false" customHeight="false" outlineLevel="0" collapsed="false">
      <c r="A11" s="4" t="n">
        <v>991</v>
      </c>
      <c r="B11" s="5" t="n">
        <v>31.0286384065203</v>
      </c>
      <c r="C11" s="5" t="n">
        <f aca="false">B11</f>
        <v>31.0286384065203</v>
      </c>
      <c r="D11" s="5" t="n">
        <f aca="false">C11*LOG(C11)</f>
        <v>46.287365976477</v>
      </c>
      <c r="E11" s="5"/>
      <c r="F11" s="5"/>
      <c r="G11" s="4" t="n">
        <v>10</v>
      </c>
      <c r="H11" s="6" t="n">
        <v>0.99</v>
      </c>
      <c r="J11" s="2" t="n">
        <f aca="false">B11/$B$1003</f>
        <v>0.002419672320884</v>
      </c>
      <c r="K11" s="5" t="n">
        <f aca="false">J11*LOG(J11,2)</f>
        <v>-0.0210293058367587</v>
      </c>
      <c r="N11" s="2" t="n">
        <v>0.042513123673459</v>
      </c>
      <c r="O11" s="2" t="n">
        <f aca="false">O10+0.05</f>
        <v>0.5</v>
      </c>
      <c r="P11" s="2" t="n">
        <f aca="false">P10+N11</f>
        <v>0.227478511905963</v>
      </c>
      <c r="Q11" s="2" t="n">
        <f aca="false">Q10+0.05</f>
        <v>0.5</v>
      </c>
      <c r="S11" s="2" t="n">
        <f aca="false">Q11-P11</f>
        <v>0.272521488094037</v>
      </c>
      <c r="U11" s="2" t="n">
        <f aca="false">0.05-N11</f>
        <v>0.00748687632654102</v>
      </c>
      <c r="V11" s="2" t="n">
        <v>0</v>
      </c>
      <c r="W11" s="2" t="n">
        <f aca="false">N11*LOG(N11)</f>
        <v>-0.0583057706297946</v>
      </c>
      <c r="X11" s="2" t="n">
        <f aca="false">0.05*LOG(0.05)</f>
        <v>-0.0650514997831991</v>
      </c>
    </row>
    <row r="12" customFormat="false" ht="13" hidden="false" customHeight="false" outlineLevel="0" collapsed="false">
      <c r="A12" s="4" t="n">
        <v>990</v>
      </c>
      <c r="B12" s="5" t="n">
        <v>30.9695226400185</v>
      </c>
      <c r="C12" s="5" t="n">
        <f aca="false">B12</f>
        <v>30.9695226400185</v>
      </c>
      <c r="D12" s="5" t="n">
        <f aca="false">C12*LOG(C12)</f>
        <v>46.1735301010253</v>
      </c>
      <c r="E12" s="5"/>
      <c r="F12" s="5"/>
      <c r="G12" s="4" t="n">
        <v>11</v>
      </c>
      <c r="H12" s="6" t="n">
        <v>0.989</v>
      </c>
      <c r="J12" s="2" t="n">
        <f aca="false">B12/$B$1003</f>
        <v>0.00241506236081878</v>
      </c>
      <c r="K12" s="5" t="n">
        <f aca="false">J12*LOG(J12,2)</f>
        <v>-0.0209958852271312</v>
      </c>
      <c r="N12" s="2" t="n">
        <v>0.0489636701288917</v>
      </c>
      <c r="O12" s="2" t="n">
        <f aca="false">O11+0.05</f>
        <v>0.55</v>
      </c>
      <c r="P12" s="2" t="n">
        <f aca="false">P11+N12</f>
        <v>0.276442182034854</v>
      </c>
      <c r="Q12" s="2" t="n">
        <f aca="false">Q11+0.05</f>
        <v>0.55</v>
      </c>
      <c r="S12" s="2" t="n">
        <f aca="false">Q12-P12</f>
        <v>0.273557817965146</v>
      </c>
      <c r="U12" s="2" t="n">
        <f aca="false">0.05-N12</f>
        <v>0.00103632987110827</v>
      </c>
      <c r="V12" s="2" t="n">
        <v>0</v>
      </c>
      <c r="W12" s="2" t="n">
        <f aca="false">N12*LOG(N12)</f>
        <v>-0.0641485790830594</v>
      </c>
      <c r="X12" s="2" t="n">
        <f aca="false">0.05*LOG(0.05)</f>
        <v>-0.0650514997831991</v>
      </c>
    </row>
    <row r="13" customFormat="false" ht="13" hidden="false" customHeight="false" outlineLevel="0" collapsed="false">
      <c r="A13" s="4" t="n">
        <v>989</v>
      </c>
      <c r="B13" s="5" t="n">
        <v>30.8057995410378</v>
      </c>
      <c r="C13" s="5" t="n">
        <f aca="false">B13</f>
        <v>30.8057995410378</v>
      </c>
      <c r="D13" s="5" t="n">
        <f aca="false">C13*LOG(C13)</f>
        <v>45.8585139249687</v>
      </c>
      <c r="E13" s="5"/>
      <c r="F13" s="5"/>
      <c r="G13" s="4" t="n">
        <v>12</v>
      </c>
      <c r="H13" s="6" t="n">
        <v>0.988</v>
      </c>
      <c r="J13" s="2" t="n">
        <f aca="false">B13/$B$1003</f>
        <v>0.00240229492172904</v>
      </c>
      <c r="K13" s="5" t="n">
        <f aca="false">J13*LOG(J13,2)</f>
        <v>-0.0209032593843371</v>
      </c>
      <c r="N13" s="2" t="n">
        <v>0.0540209245392295</v>
      </c>
      <c r="O13" s="2" t="n">
        <f aca="false">O12+0.05</f>
        <v>0.6</v>
      </c>
      <c r="P13" s="2" t="n">
        <f aca="false">P12+N13</f>
        <v>0.330463106574084</v>
      </c>
      <c r="Q13" s="2" t="n">
        <f aca="false">Q12+0.05</f>
        <v>0.6</v>
      </c>
      <c r="S13" s="2" t="n">
        <f aca="false">Q13-P13</f>
        <v>0.269536893425916</v>
      </c>
      <c r="U13" s="2" t="n">
        <f aca="false">0.05-N13</f>
        <v>-0.0040209245392295</v>
      </c>
      <c r="V13" s="2" t="n">
        <v>0</v>
      </c>
      <c r="W13" s="2" t="n">
        <f aca="false">N13*LOG(N13)</f>
        <v>-0.0684681718737162</v>
      </c>
      <c r="X13" s="2" t="n">
        <f aca="false">0.05*LOG(0.05)</f>
        <v>-0.0650514997831991</v>
      </c>
    </row>
    <row r="14" customFormat="false" ht="13" hidden="false" customHeight="false" outlineLevel="0" collapsed="false">
      <c r="A14" s="4" t="n">
        <v>988</v>
      </c>
      <c r="B14" s="5" t="n">
        <v>30.6646154956217</v>
      </c>
      <c r="C14" s="5" t="n">
        <f aca="false">B14</f>
        <v>30.6646154956217</v>
      </c>
      <c r="D14" s="5" t="n">
        <f aca="false">C14*LOG(C14)</f>
        <v>45.5871680372925</v>
      </c>
      <c r="E14" s="5"/>
      <c r="F14" s="5"/>
      <c r="G14" s="4" t="n">
        <v>13</v>
      </c>
      <c r="H14" s="6" t="n">
        <v>0.987</v>
      </c>
      <c r="J14" s="2" t="n">
        <f aca="false">B14/$B$1003</f>
        <v>0.00239128512096472</v>
      </c>
      <c r="K14" s="5" t="n">
        <f aca="false">J14*LOG(J14,2)</f>
        <v>-0.0208233063544274</v>
      </c>
      <c r="N14" s="2" t="n">
        <v>0.058272424626927</v>
      </c>
      <c r="O14" s="2" t="n">
        <f aca="false">O13+0.05</f>
        <v>0.65</v>
      </c>
      <c r="P14" s="2" t="n">
        <f aca="false">P13+N14</f>
        <v>0.388735531201011</v>
      </c>
      <c r="Q14" s="2" t="n">
        <f aca="false">Q13+0.05</f>
        <v>0.65</v>
      </c>
      <c r="S14" s="2" t="n">
        <f aca="false">Q14-P14</f>
        <v>0.261264468798989</v>
      </c>
      <c r="U14" s="2" t="n">
        <f aca="false">0.05-N14</f>
        <v>-0.00827242462692695</v>
      </c>
      <c r="V14" s="2" t="n">
        <v>0</v>
      </c>
      <c r="W14" s="2" t="n">
        <f aca="false">N14*LOG(N14)</f>
        <v>-0.0719394591071363</v>
      </c>
      <c r="X14" s="2" t="n">
        <f aca="false">0.05*LOG(0.05)</f>
        <v>-0.0650514997831991</v>
      </c>
    </row>
    <row r="15" customFormat="false" ht="13" hidden="false" customHeight="false" outlineLevel="0" collapsed="false">
      <c r="A15" s="4" t="n">
        <v>987</v>
      </c>
      <c r="B15" s="5" t="n">
        <v>30.6525975420728</v>
      </c>
      <c r="C15" s="5" t="n">
        <f aca="false">B15</f>
        <v>30.6525975420728</v>
      </c>
      <c r="D15" s="5" t="n">
        <f aca="false">C15*LOG(C15)</f>
        <v>45.5640833885853</v>
      </c>
      <c r="E15" s="5"/>
      <c r="F15" s="5"/>
      <c r="G15" s="4" t="n">
        <v>14</v>
      </c>
      <c r="H15" s="6" t="n">
        <v>0.986</v>
      </c>
      <c r="J15" s="2" t="n">
        <f aca="false">B15/$B$1003</f>
        <v>0.00239034793805728</v>
      </c>
      <c r="K15" s="5" t="n">
        <f aca="false">J15*LOG(J15,2)</f>
        <v>-0.0208164971715743</v>
      </c>
      <c r="N15" s="2" t="n">
        <v>0.0630059232857297</v>
      </c>
      <c r="O15" s="2" t="n">
        <f aca="false">O14+0.05</f>
        <v>0.7</v>
      </c>
      <c r="P15" s="2" t="n">
        <f aca="false">P14+N15</f>
        <v>0.45174145448674</v>
      </c>
      <c r="Q15" s="2" t="n">
        <f aca="false">Q14+0.05</f>
        <v>0.7</v>
      </c>
      <c r="S15" s="2" t="n">
        <f aca="false">Q15-P15</f>
        <v>0.24825854551326</v>
      </c>
      <c r="U15" s="2" t="n">
        <f aca="false">0.05-N15</f>
        <v>-0.0130059232857297</v>
      </c>
      <c r="V15" s="2" t="n">
        <v>0</v>
      </c>
      <c r="W15" s="2" t="n">
        <f aca="false">N15*LOG(N15)</f>
        <v>-0.0756460846621792</v>
      </c>
      <c r="X15" s="2" t="n">
        <f aca="false">0.05*LOG(0.05)</f>
        <v>-0.0650514997831991</v>
      </c>
    </row>
    <row r="16" customFormat="false" ht="13" hidden="false" customHeight="false" outlineLevel="0" collapsed="false">
      <c r="A16" s="4" t="n">
        <v>986</v>
      </c>
      <c r="B16" s="5" t="n">
        <v>30.5734933564743</v>
      </c>
      <c r="C16" s="5" t="n">
        <f aca="false">B16</f>
        <v>30.5734933564743</v>
      </c>
      <c r="D16" s="5" t="n">
        <f aca="false">C16*LOG(C16)</f>
        <v>45.4121874604156</v>
      </c>
      <c r="E16" s="5"/>
      <c r="F16" s="5"/>
      <c r="G16" s="4" t="n">
        <v>15</v>
      </c>
      <c r="H16" s="6" t="n">
        <v>0.985</v>
      </c>
      <c r="J16" s="2" t="n">
        <f aca="false">B16/$B$1003</f>
        <v>0.00238417924300044</v>
      </c>
      <c r="K16" s="5" t="n">
        <f aca="false">J16*LOG(J16,2)</f>
        <v>-0.020771664750504</v>
      </c>
      <c r="N16" s="2" t="n">
        <v>0.0676403584035103</v>
      </c>
      <c r="O16" s="2" t="n">
        <f aca="false">O15+0.05</f>
        <v>0.75</v>
      </c>
      <c r="P16" s="2" t="n">
        <f aca="false">P15+N16</f>
        <v>0.519381812890251</v>
      </c>
      <c r="Q16" s="2" t="n">
        <f aca="false">Q15+0.05</f>
        <v>0.75</v>
      </c>
      <c r="S16" s="2" t="n">
        <f aca="false">Q16-P16</f>
        <v>0.230618187109749</v>
      </c>
      <c r="U16" s="2" t="n">
        <f aca="false">0.05-N16</f>
        <v>-0.0176403584035103</v>
      </c>
      <c r="V16" s="2" t="n">
        <v>0</v>
      </c>
      <c r="W16" s="2" t="n">
        <f aca="false">N16*LOG(N16)</f>
        <v>-0.0791252921747227</v>
      </c>
      <c r="X16" s="2" t="n">
        <f aca="false">0.05*LOG(0.05)</f>
        <v>-0.0650514997831991</v>
      </c>
    </row>
    <row r="17" customFormat="false" ht="13" hidden="false" customHeight="false" outlineLevel="0" collapsed="false">
      <c r="A17" s="4" t="n">
        <v>985</v>
      </c>
      <c r="B17" s="5" t="n">
        <v>30.513958539649</v>
      </c>
      <c r="C17" s="5" t="n">
        <f aca="false">B17</f>
        <v>30.513958539649</v>
      </c>
      <c r="D17" s="5" t="n">
        <f aca="false">C17*LOG(C17)</f>
        <v>45.2979272619542</v>
      </c>
      <c r="E17" s="5"/>
      <c r="F17" s="5"/>
      <c r="G17" s="4" t="n">
        <v>16</v>
      </c>
      <c r="H17" s="6" t="n">
        <v>0.984</v>
      </c>
      <c r="J17" s="2" t="n">
        <f aca="false">B17/$B$1003</f>
        <v>0.00237953660459286</v>
      </c>
      <c r="K17" s="5" t="n">
        <f aca="false">J17*LOG(J17,2)</f>
        <v>-0.0207379081168364</v>
      </c>
      <c r="N17" s="2" t="n">
        <v>0.0736328877873635</v>
      </c>
      <c r="O17" s="2" t="n">
        <f aca="false">O16+0.05</f>
        <v>0.8</v>
      </c>
      <c r="P17" s="2" t="n">
        <f aca="false">P16+N17</f>
        <v>0.593014700677614</v>
      </c>
      <c r="Q17" s="2" t="n">
        <f aca="false">Q16+0.05</f>
        <v>0.8</v>
      </c>
      <c r="S17" s="2" t="n">
        <f aca="false">Q17-P17</f>
        <v>0.206985299322386</v>
      </c>
      <c r="U17" s="2" t="n">
        <f aca="false">0.05-N17</f>
        <v>-0.0236328877873635</v>
      </c>
      <c r="V17" s="2" t="n">
        <v>0</v>
      </c>
      <c r="W17" s="2" t="n">
        <f aca="false">N17*LOG(N17)</f>
        <v>-0.0834207725710206</v>
      </c>
      <c r="X17" s="2" t="n">
        <f aca="false">0.05*LOG(0.05)</f>
        <v>-0.0650514997831991</v>
      </c>
    </row>
    <row r="18" customFormat="false" ht="13" hidden="false" customHeight="false" outlineLevel="0" collapsed="false">
      <c r="A18" s="4" t="n">
        <v>984</v>
      </c>
      <c r="B18" s="5" t="n">
        <v>30.3641193726562</v>
      </c>
      <c r="C18" s="5" t="n">
        <f aca="false">B18</f>
        <v>30.3641193726562</v>
      </c>
      <c r="D18" s="5" t="n">
        <f aca="false">C18*LOG(C18)</f>
        <v>45.0105769484508</v>
      </c>
      <c r="E18" s="5"/>
      <c r="F18" s="5"/>
      <c r="G18" s="4" t="n">
        <v>17</v>
      </c>
      <c r="H18" s="6" t="n">
        <v>0.983</v>
      </c>
      <c r="J18" s="2" t="n">
        <f aca="false">B18/$B$1003</f>
        <v>0.00236785186096323</v>
      </c>
      <c r="K18" s="5" t="n">
        <f aca="false">J18*LOG(J18,2)</f>
        <v>-0.0206528904293739</v>
      </c>
      <c r="N18" s="2" t="n">
        <v>0.0841960864270148</v>
      </c>
      <c r="O18" s="2" t="n">
        <f aca="false">O17+0.05</f>
        <v>0.85</v>
      </c>
      <c r="P18" s="2" t="n">
        <f aca="false">P17+N18</f>
        <v>0.677210787104629</v>
      </c>
      <c r="Q18" s="2" t="n">
        <f aca="false">Q17+0.05</f>
        <v>0.85</v>
      </c>
      <c r="S18" s="2" t="n">
        <f aca="false">Q18-P18</f>
        <v>0.172789212895371</v>
      </c>
      <c r="U18" s="2" t="n">
        <f aca="false">0.05-N18</f>
        <v>-0.0341960864270148</v>
      </c>
      <c r="V18" s="2" t="n">
        <v>0</v>
      </c>
      <c r="W18" s="2" t="n">
        <f aca="false">N18*LOG(N18)</f>
        <v>-0.0904862156298154</v>
      </c>
      <c r="X18" s="2" t="n">
        <f aca="false">0.05*LOG(0.05)</f>
        <v>-0.0650514997831991</v>
      </c>
    </row>
    <row r="19" customFormat="false" ht="13" hidden="false" customHeight="false" outlineLevel="0" collapsed="false">
      <c r="A19" s="4" t="n">
        <v>983</v>
      </c>
      <c r="B19" s="5" t="n">
        <v>30.3025417966393</v>
      </c>
      <c r="C19" s="5" t="n">
        <f aca="false">B19</f>
        <v>30.3025417966393</v>
      </c>
      <c r="D19" s="5" t="n">
        <f aca="false">C19*LOG(C19)</f>
        <v>44.8925811040688</v>
      </c>
      <c r="E19" s="5"/>
      <c r="F19" s="5"/>
      <c r="G19" s="4" t="n">
        <v>18</v>
      </c>
      <c r="H19" s="6" t="n">
        <v>0.982</v>
      </c>
      <c r="J19" s="2" t="n">
        <f aca="false">B19/$B$1003</f>
        <v>0.00236304992430319</v>
      </c>
      <c r="K19" s="5" t="n">
        <f aca="false">J19*LOG(J19,2)</f>
        <v>-0.020617927652053</v>
      </c>
      <c r="N19" s="2" t="n">
        <v>0.0985277016720753</v>
      </c>
      <c r="O19" s="2" t="n">
        <f aca="false">O18+0.05</f>
        <v>0.9</v>
      </c>
      <c r="P19" s="2" t="n">
        <f aca="false">P18+N19</f>
        <v>0.775738488776704</v>
      </c>
      <c r="Q19" s="2" t="n">
        <f aca="false">Q18+0.05</f>
        <v>0.9</v>
      </c>
      <c r="S19" s="2" t="n">
        <f aca="false">Q19-P19</f>
        <v>0.124261511223296</v>
      </c>
      <c r="U19" s="2" t="n">
        <f aca="false">0.05-N19</f>
        <v>-0.0485277016720753</v>
      </c>
      <c r="V19" s="2" t="n">
        <v>0</v>
      </c>
      <c r="W19" s="2" t="n">
        <f aca="false">N19*LOG(N19)</f>
        <v>-0.0991623824205616</v>
      </c>
      <c r="X19" s="2" t="n">
        <f aca="false">0.05*LOG(0.05)</f>
        <v>-0.0650514997831991</v>
      </c>
    </row>
    <row r="20" customFormat="false" ht="13" hidden="false" customHeight="false" outlineLevel="0" collapsed="false">
      <c r="A20" s="4" t="n">
        <v>982</v>
      </c>
      <c r="B20" s="5" t="n">
        <v>30.253742084787</v>
      </c>
      <c r="C20" s="5" t="n">
        <f aca="false">B20</f>
        <v>30.253742084787</v>
      </c>
      <c r="D20" s="5" t="n">
        <f aca="false">C20*LOG(C20)</f>
        <v>44.7991089816066</v>
      </c>
      <c r="E20" s="5"/>
      <c r="F20" s="5"/>
      <c r="G20" s="4" t="n">
        <v>19</v>
      </c>
      <c r="H20" s="6" t="n">
        <v>0.981</v>
      </c>
      <c r="J20" s="2" t="n">
        <f aca="false">B20/$B$1003</f>
        <v>0.00235924442982776</v>
      </c>
      <c r="K20" s="5" t="n">
        <f aca="false">J20*LOG(J20,2)</f>
        <v>-0.0205902099470565</v>
      </c>
      <c r="N20" s="2" t="n">
        <v>0.106925210948788</v>
      </c>
      <c r="O20" s="2" t="n">
        <f aca="false">O19+0.05</f>
        <v>0.95</v>
      </c>
      <c r="P20" s="2" t="n">
        <f aca="false">P19+N20</f>
        <v>0.882663699725492</v>
      </c>
      <c r="Q20" s="2" t="n">
        <f aca="false">Q19+0.05</f>
        <v>0.95</v>
      </c>
      <c r="S20" s="2" t="n">
        <f aca="false">Q20-P20</f>
        <v>0.0673363002745081</v>
      </c>
      <c r="U20" s="2" t="n">
        <f aca="false">0.05-N20</f>
        <v>-0.0569252109487878</v>
      </c>
      <c r="V20" s="2" t="n">
        <v>0</v>
      </c>
      <c r="W20" s="2" t="n">
        <f aca="false">N20*LOG(N20)</f>
        <v>-0.103815813439601</v>
      </c>
      <c r="X20" s="2" t="n">
        <f aca="false">0.05*LOG(0.05)</f>
        <v>-0.0650514997831991</v>
      </c>
    </row>
    <row r="21" customFormat="false" ht="13" hidden="false" customHeight="false" outlineLevel="0" collapsed="false">
      <c r="A21" s="4" t="n">
        <v>981</v>
      </c>
      <c r="B21" s="5" t="n">
        <v>30.1272143757884</v>
      </c>
      <c r="C21" s="5" t="n">
        <f aca="false">B21</f>
        <v>30.1272143757884</v>
      </c>
      <c r="D21" s="5" t="n">
        <f aca="false">C21*LOG(C21)</f>
        <v>44.5569141762304</v>
      </c>
      <c r="E21" s="5"/>
      <c r="F21" s="5"/>
      <c r="G21" s="4" t="n">
        <v>20</v>
      </c>
      <c r="H21" s="6" t="n">
        <v>0.98</v>
      </c>
      <c r="J21" s="2" t="n">
        <f aca="false">B21/$B$1003</f>
        <v>0.00234937755809212</v>
      </c>
      <c r="K21" s="5" t="n">
        <f aca="false">J21*LOG(J21,2)</f>
        <v>-0.0205183023033462</v>
      </c>
      <c r="N21" s="2" t="n">
        <v>0.11733630027451</v>
      </c>
      <c r="O21" s="2" t="n">
        <f aca="false">O20+0.05</f>
        <v>1</v>
      </c>
      <c r="P21" s="2" t="n">
        <f aca="false">P20+N21</f>
        <v>1</v>
      </c>
      <c r="Q21" s="2" t="n">
        <f aca="false">Q20+0.05</f>
        <v>1</v>
      </c>
    </row>
    <row r="22" customFormat="false" ht="13" hidden="false" customHeight="false" outlineLevel="0" collapsed="false">
      <c r="A22" s="4" t="n">
        <v>980</v>
      </c>
      <c r="B22" s="5" t="n">
        <v>30.0851550083506</v>
      </c>
      <c r="C22" s="5" t="n">
        <f aca="false">B22</f>
        <v>30.0851550083506</v>
      </c>
      <c r="D22" s="5" t="n">
        <f aca="false">C22*LOG(C22)</f>
        <v>44.4764567022179</v>
      </c>
      <c r="E22" s="5"/>
      <c r="F22" s="5"/>
      <c r="G22" s="4" t="n">
        <v>21</v>
      </c>
      <c r="H22" s="6" t="n">
        <v>0.979</v>
      </c>
      <c r="J22" s="2" t="n">
        <f aca="false">B22/$B$1003</f>
        <v>0.00234609768851197</v>
      </c>
      <c r="K22" s="5" t="n">
        <f aca="false">J22*LOG(J22,2)</f>
        <v>-0.0204943860907292</v>
      </c>
      <c r="N22" s="2" t="n">
        <v>1</v>
      </c>
    </row>
    <row r="23" customFormat="false" ht="13" hidden="false" customHeight="false" outlineLevel="0" collapsed="false">
      <c r="A23" s="4" t="n">
        <v>979</v>
      </c>
      <c r="B23" s="5" t="n">
        <v>30.0805724356303</v>
      </c>
      <c r="C23" s="5" t="n">
        <f aca="false">B23</f>
        <v>30.0805724356303</v>
      </c>
      <c r="D23" s="5" t="n">
        <f aca="false">C23*LOG(C23)</f>
        <v>44.4676920110452</v>
      </c>
      <c r="E23" s="5"/>
      <c r="F23" s="5"/>
      <c r="G23" s="4" t="n">
        <v>22</v>
      </c>
      <c r="H23" s="6" t="n">
        <v>0.978</v>
      </c>
      <c r="J23" s="2" t="n">
        <f aca="false">B23/$B$1003</f>
        <v>0.00234574033076315</v>
      </c>
      <c r="K23" s="5" t="n">
        <f aca="false">J23*LOG(J23,2)</f>
        <v>-0.0204917799035242</v>
      </c>
      <c r="N23" s="7" t="n">
        <f aca="false">AVERAGE(N2:N21)</f>
        <v>0.0500000000000001</v>
      </c>
      <c r="P23" s="2" t="s">
        <v>14</v>
      </c>
      <c r="Q23" s="2" t="n">
        <f aca="false">SUM(Q2:Q20)</f>
        <v>9.5</v>
      </c>
      <c r="R23" s="2" t="s">
        <v>15</v>
      </c>
      <c r="S23" s="2" t="n">
        <f aca="false">SUM(S2:S20)</f>
        <v>3.67722739385078</v>
      </c>
      <c r="T23" s="2" t="s">
        <v>16</v>
      </c>
      <c r="W23" s="2" t="n">
        <f aca="false">-SUM(W2:W20)</f>
        <v>1.09724648531555</v>
      </c>
      <c r="X23" s="2" t="n">
        <f aca="false">-SUM(X2:X20)</f>
        <v>1.23597849588078</v>
      </c>
    </row>
    <row r="24" customFormat="false" ht="13" hidden="false" customHeight="false" outlineLevel="0" collapsed="false">
      <c r="A24" s="4" t="n">
        <v>978</v>
      </c>
      <c r="B24" s="5" t="n">
        <v>30.0068616875867</v>
      </c>
      <c r="C24" s="5" t="n">
        <f aca="false">B24</f>
        <v>30.0068616875867</v>
      </c>
      <c r="D24" s="5" t="n">
        <f aca="false">C24*LOG(C24)</f>
        <v>44.3267535199933</v>
      </c>
      <c r="E24" s="5"/>
      <c r="F24" s="5"/>
      <c r="G24" s="4" t="n">
        <v>23</v>
      </c>
      <c r="H24" s="6" t="n">
        <v>0.977</v>
      </c>
      <c r="J24" s="2" t="n">
        <f aca="false">B24/$B$1003</f>
        <v>0.00233999222623932</v>
      </c>
      <c r="K24" s="5" t="n">
        <f aca="false">J24*LOG(J24,2)</f>
        <v>-0.0204498485444661</v>
      </c>
    </row>
    <row r="25" customFormat="false" ht="13" hidden="false" customHeight="false" outlineLevel="0" collapsed="false">
      <c r="A25" s="4" t="n">
        <v>977</v>
      </c>
      <c r="B25" s="5" t="n">
        <v>29.9209708761961</v>
      </c>
      <c r="C25" s="5" t="n">
        <f aca="false">B25</f>
        <v>29.9209708761961</v>
      </c>
      <c r="D25" s="5" t="n">
        <f aca="false">C25*LOG(C25)</f>
        <v>44.1626253776261</v>
      </c>
      <c r="E25" s="5"/>
      <c r="F25" s="5"/>
      <c r="G25" s="4" t="n">
        <v>24</v>
      </c>
      <c r="H25" s="6" t="n">
        <v>0.976</v>
      </c>
      <c r="J25" s="2" t="n">
        <f aca="false">B25/$B$1003</f>
        <v>0.00233329429717723</v>
      </c>
      <c r="K25" s="5" t="n">
        <f aca="false">J25*LOG(J25,2)</f>
        <v>-0.0204009626894812</v>
      </c>
      <c r="Q25" s="2" t="s">
        <v>17</v>
      </c>
      <c r="R25" s="2" t="n">
        <f aca="false">S23/Q23</f>
        <v>0.387076567773767</v>
      </c>
    </row>
    <row r="26" customFormat="false" ht="13" hidden="false" customHeight="false" outlineLevel="0" collapsed="false">
      <c r="A26" s="4" t="n">
        <v>976</v>
      </c>
      <c r="B26" s="5" t="n">
        <v>29.8916945377409</v>
      </c>
      <c r="C26" s="5" t="n">
        <f aca="false">B26</f>
        <v>29.8916945377409</v>
      </c>
      <c r="D26" s="5" t="n">
        <f aca="false">C26*LOG(C26)</f>
        <v>44.1067058841255</v>
      </c>
      <c r="E26" s="5"/>
      <c r="F26" s="5"/>
      <c r="G26" s="4" t="n">
        <v>25</v>
      </c>
      <c r="H26" s="6" t="n">
        <v>0.975</v>
      </c>
      <c r="J26" s="2" t="n">
        <f aca="false">B26/$B$1003</f>
        <v>0.00233101127254403</v>
      </c>
      <c r="K26" s="5" t="n">
        <f aca="false">J26*LOG(J26,2)</f>
        <v>-0.0203842933517933</v>
      </c>
    </row>
    <row r="27" customFormat="false" ht="13" hidden="false" customHeight="false" outlineLevel="0" collapsed="false">
      <c r="A27" s="4" t="n">
        <v>975</v>
      </c>
      <c r="B27" s="5" t="n">
        <v>29.8764535599261</v>
      </c>
      <c r="C27" s="5" t="n">
        <f aca="false">B27</f>
        <v>29.8764535599261</v>
      </c>
      <c r="D27" s="5" t="n">
        <f aca="false">C27*LOG(C27)</f>
        <v>44.0775996663156</v>
      </c>
      <c r="E27" s="5"/>
      <c r="F27" s="5"/>
      <c r="G27" s="4" t="n">
        <v>26</v>
      </c>
      <c r="H27" s="6" t="n">
        <v>0.974</v>
      </c>
      <c r="J27" s="2" t="n">
        <f aca="false">B27/$B$1003</f>
        <v>0.00232982275206567</v>
      </c>
      <c r="K27" s="5" t="n">
        <f aca="false">J27*LOG(J27,2)</f>
        <v>-0.0203756141796678</v>
      </c>
    </row>
    <row r="28" customFormat="false" ht="13" hidden="false" customHeight="false" outlineLevel="0" collapsed="false">
      <c r="A28" s="4" t="n">
        <v>974</v>
      </c>
      <c r="B28" s="5" t="n">
        <v>29.7731250490541</v>
      </c>
      <c r="C28" s="5" t="n">
        <f aca="false">B28</f>
        <v>29.7731250490541</v>
      </c>
      <c r="D28" s="5" t="n">
        <f aca="false">C28*LOG(C28)</f>
        <v>43.8803588013778</v>
      </c>
      <c r="E28" s="5"/>
      <c r="F28" s="5"/>
      <c r="G28" s="4" t="n">
        <v>27</v>
      </c>
      <c r="H28" s="6" t="n">
        <v>0.973</v>
      </c>
      <c r="J28" s="2" t="n">
        <f aca="false">B28/$B$1003</f>
        <v>0.00232176499798573</v>
      </c>
      <c r="K28" s="5" t="n">
        <f aca="false">J28*LOG(J28,2)</f>
        <v>-0.0203167493311534</v>
      </c>
    </row>
    <row r="29" customFormat="false" ht="13" hidden="false" customHeight="false" outlineLevel="0" collapsed="false">
      <c r="A29" s="4" t="n">
        <v>973</v>
      </c>
      <c r="B29" s="5" t="n">
        <v>29.7401034558013</v>
      </c>
      <c r="C29" s="5" t="n">
        <f aca="false">B29</f>
        <v>29.7401034558013</v>
      </c>
      <c r="D29" s="5" t="n">
        <f aca="false">C29*LOG(C29)</f>
        <v>43.8173576309216</v>
      </c>
      <c r="E29" s="5"/>
      <c r="F29" s="5"/>
      <c r="G29" s="4" t="n">
        <v>28</v>
      </c>
      <c r="H29" s="6" t="n">
        <v>0.972</v>
      </c>
      <c r="J29" s="2" t="n">
        <f aca="false">B29/$B$1003</f>
        <v>0.0023191899112501</v>
      </c>
      <c r="K29" s="5" t="n">
        <f aca="false">J29*LOG(J29,2)</f>
        <v>-0.0202979288780657</v>
      </c>
    </row>
    <row r="30" customFormat="false" ht="13" hidden="false" customHeight="false" outlineLevel="0" collapsed="false">
      <c r="A30" s="4" t="n">
        <v>972</v>
      </c>
      <c r="B30" s="5" t="n">
        <v>29.667600381029</v>
      </c>
      <c r="C30" s="5" t="n">
        <f aca="false">B30</f>
        <v>29.667600381029</v>
      </c>
      <c r="D30" s="5" t="n">
        <f aca="false">C30*LOG(C30)</f>
        <v>43.6790864989713</v>
      </c>
      <c r="E30" s="5"/>
      <c r="F30" s="5"/>
      <c r="G30" s="4" t="n">
        <v>29</v>
      </c>
      <c r="H30" s="6" t="n">
        <v>0.971</v>
      </c>
      <c r="J30" s="2" t="n">
        <f aca="false">B30/$B$1003</f>
        <v>0.00231353598338814</v>
      </c>
      <c r="K30" s="5" t="n">
        <f aca="false">J30*LOG(J30,2)</f>
        <v>-0.0202565917208039</v>
      </c>
    </row>
    <row r="31" customFormat="false" ht="13" hidden="false" customHeight="false" outlineLevel="0" collapsed="false">
      <c r="A31" s="4" t="n">
        <v>971</v>
      </c>
      <c r="B31" s="5" t="n">
        <v>29.5241508048459</v>
      </c>
      <c r="C31" s="5" t="n">
        <f aca="false">B31</f>
        <v>29.5241508048459</v>
      </c>
      <c r="D31" s="5" t="n">
        <f aca="false">C31*LOG(C31)</f>
        <v>43.4057397094712</v>
      </c>
      <c r="E31" s="5"/>
      <c r="F31" s="5"/>
      <c r="G31" s="4" t="n">
        <v>30</v>
      </c>
      <c r="H31" s="6" t="n">
        <v>0.97</v>
      </c>
      <c r="J31" s="2" t="n">
        <f aca="false">B31/$B$1003</f>
        <v>0.00230234951221962</v>
      </c>
      <c r="K31" s="5" t="n">
        <f aca="false">J31*LOG(J31,2)</f>
        <v>-0.0201747460922095</v>
      </c>
    </row>
    <row r="32" customFormat="false" ht="13" hidden="false" customHeight="false" outlineLevel="0" collapsed="false">
      <c r="A32" s="4" t="n">
        <v>970</v>
      </c>
      <c r="B32" s="5" t="n">
        <v>29.5241257720431</v>
      </c>
      <c r="C32" s="5" t="n">
        <f aca="false">B32</f>
        <v>29.5241257720431</v>
      </c>
      <c r="D32" s="5" t="n">
        <f aca="false">C32*LOG(C32)</f>
        <v>43.4056920352064</v>
      </c>
      <c r="E32" s="5"/>
      <c r="F32" s="5"/>
      <c r="G32" s="4" t="n">
        <v>31</v>
      </c>
      <c r="H32" s="6" t="n">
        <v>0.969</v>
      </c>
      <c r="J32" s="2" t="n">
        <f aca="false">B32/$B$1003</f>
        <v>0.00230234756011398</v>
      </c>
      <c r="K32" s="5" t="n">
        <f aca="false">J32*LOG(J32,2)</f>
        <v>-0.0201747318028294</v>
      </c>
    </row>
    <row r="33" customFormat="false" ht="13" hidden="false" customHeight="false" outlineLevel="0" collapsed="false">
      <c r="A33" s="4" t="n">
        <v>969</v>
      </c>
      <c r="B33" s="5" t="n">
        <v>29.4323304890776</v>
      </c>
      <c r="C33" s="5" t="n">
        <f aca="false">B33</f>
        <v>29.4323304890776</v>
      </c>
      <c r="D33" s="5" t="n">
        <f aca="false">C33*LOG(C33)</f>
        <v>43.2309325718737</v>
      </c>
      <c r="E33" s="5"/>
      <c r="F33" s="5"/>
      <c r="G33" s="4" t="n">
        <v>32</v>
      </c>
      <c r="H33" s="6" t="n">
        <v>0.968</v>
      </c>
      <c r="J33" s="2" t="n">
        <f aca="false">B33/$B$1003</f>
        <v>0.00229518918911267</v>
      </c>
      <c r="K33" s="5" t="n">
        <f aca="false">J33*LOG(J33,2)</f>
        <v>-0.0201223165730938</v>
      </c>
    </row>
    <row r="34" customFormat="false" ht="13" hidden="false" customHeight="false" outlineLevel="0" collapsed="false">
      <c r="A34" s="4" t="n">
        <v>968</v>
      </c>
      <c r="B34" s="5" t="n">
        <v>29.4271371038956</v>
      </c>
      <c r="C34" s="5" t="n">
        <f aca="false">B34</f>
        <v>29.4271371038956</v>
      </c>
      <c r="D34" s="5" t="n">
        <f aca="false">C34*LOG(C34)</f>
        <v>43.2210491401684</v>
      </c>
      <c r="E34" s="5"/>
      <c r="F34" s="5"/>
      <c r="G34" s="4" t="n">
        <v>33</v>
      </c>
      <c r="H34" s="6" t="n">
        <v>0.967</v>
      </c>
      <c r="J34" s="2" t="n">
        <f aca="false">B34/$B$1003</f>
        <v>0.00229478419904472</v>
      </c>
      <c r="K34" s="5" t="n">
        <f aca="false">J34*LOG(J34,2)</f>
        <v>-0.0201193501814423</v>
      </c>
    </row>
    <row r="35" customFormat="false" ht="13" hidden="false" customHeight="false" outlineLevel="0" collapsed="false">
      <c r="A35" s="4" t="n">
        <v>967</v>
      </c>
      <c r="B35" s="5" t="n">
        <v>29.3922744240315</v>
      </c>
      <c r="C35" s="5" t="n">
        <f aca="false">B35</f>
        <v>29.3922744240315</v>
      </c>
      <c r="D35" s="5" t="n">
        <f aca="false">C35*LOG(C35)</f>
        <v>43.1547129511217</v>
      </c>
      <c r="E35" s="5"/>
      <c r="F35" s="5"/>
      <c r="G35" s="4" t="n">
        <v>34</v>
      </c>
      <c r="H35" s="6" t="n">
        <v>0.966</v>
      </c>
      <c r="J35" s="2" t="n">
        <f aca="false">B35/$B$1003</f>
        <v>0.00229206554086856</v>
      </c>
      <c r="K35" s="5" t="n">
        <f aca="false">J35*LOG(J35,2)</f>
        <v>-0.0200994344180351</v>
      </c>
    </row>
    <row r="36" customFormat="false" ht="13" hidden="false" customHeight="false" outlineLevel="0" collapsed="false">
      <c r="A36" s="4" t="n">
        <v>966</v>
      </c>
      <c r="B36" s="5" t="n">
        <v>29.3133448459778</v>
      </c>
      <c r="C36" s="5" t="n">
        <f aca="false">B36</f>
        <v>29.3133448459778</v>
      </c>
      <c r="D36" s="5" t="n">
        <f aca="false">C36*LOG(C36)</f>
        <v>43.0045933114258</v>
      </c>
      <c r="E36" s="5"/>
      <c r="F36" s="5"/>
      <c r="G36" s="4" t="n">
        <v>35</v>
      </c>
      <c r="H36" s="6" t="n">
        <v>0.965</v>
      </c>
      <c r="J36" s="2" t="n">
        <f aca="false">B36/$B$1003</f>
        <v>0.00228591046204063</v>
      </c>
      <c r="K36" s="5" t="n">
        <f aca="false">J36*LOG(J36,2)</f>
        <v>-0.020054327662821</v>
      </c>
    </row>
    <row r="37" customFormat="false" ht="13" hidden="false" customHeight="false" outlineLevel="0" collapsed="false">
      <c r="A37" s="4" t="n">
        <v>965</v>
      </c>
      <c r="B37" s="5" t="n">
        <v>29.3033772875364</v>
      </c>
      <c r="C37" s="5" t="n">
        <f aca="false">B37</f>
        <v>29.3033772875364</v>
      </c>
      <c r="D37" s="5" t="n">
        <f aca="false">C37*LOG(C37)</f>
        <v>42.985642131977</v>
      </c>
      <c r="E37" s="5"/>
      <c r="F37" s="5"/>
      <c r="G37" s="4" t="n">
        <v>36</v>
      </c>
      <c r="H37" s="6" t="n">
        <v>0.964</v>
      </c>
      <c r="J37" s="2" t="n">
        <f aca="false">B37/$B$1003</f>
        <v>0.0022851331728489</v>
      </c>
      <c r="K37" s="5" t="n">
        <f aca="false">J37*LOG(J37,2)</f>
        <v>-0.0200486296933644</v>
      </c>
    </row>
    <row r="38" customFormat="false" ht="13" hidden="false" customHeight="false" outlineLevel="0" collapsed="false">
      <c r="A38" s="4" t="n">
        <v>964</v>
      </c>
      <c r="B38" s="5" t="n">
        <v>29.2555368058239</v>
      </c>
      <c r="C38" s="5" t="n">
        <f aca="false">B38</f>
        <v>29.2555368058239</v>
      </c>
      <c r="D38" s="5" t="n">
        <f aca="false">C38*LOG(C38)</f>
        <v>42.8947041957794</v>
      </c>
      <c r="E38" s="5"/>
      <c r="F38" s="5"/>
      <c r="G38" s="4" t="n">
        <v>37</v>
      </c>
      <c r="H38" s="6" t="n">
        <v>0.963</v>
      </c>
      <c r="J38" s="2" t="n">
        <f aca="false">B38/$B$1003</f>
        <v>0.00228140248096675</v>
      </c>
      <c r="K38" s="5" t="n">
        <f aca="false">J38*LOG(J38,2)</f>
        <v>-0.0200212763003771</v>
      </c>
    </row>
    <row r="39" customFormat="false" ht="13" hidden="false" customHeight="false" outlineLevel="0" collapsed="false">
      <c r="A39" s="4" t="n">
        <v>963</v>
      </c>
      <c r="B39" s="5" t="n">
        <v>29.2086369120419</v>
      </c>
      <c r="C39" s="5" t="n">
        <f aca="false">B39</f>
        <v>29.2086369120419</v>
      </c>
      <c r="D39" s="5" t="n">
        <f aca="false">C39*LOG(C39)</f>
        <v>42.805587163014</v>
      </c>
      <c r="E39" s="5"/>
      <c r="F39" s="5"/>
      <c r="G39" s="4" t="n">
        <v>38</v>
      </c>
      <c r="H39" s="6" t="n">
        <v>0.962</v>
      </c>
      <c r="J39" s="2" t="n">
        <f aca="false">B39/$B$1003</f>
        <v>0.00227774513792288</v>
      </c>
      <c r="K39" s="5" t="n">
        <f aca="false">J39*LOG(J39,2)</f>
        <v>-0.0199944521568472</v>
      </c>
    </row>
    <row r="40" customFormat="false" ht="13" hidden="false" customHeight="false" outlineLevel="0" collapsed="false">
      <c r="A40" s="4" t="n">
        <v>962</v>
      </c>
      <c r="B40" s="5" t="n">
        <v>29.117708430673</v>
      </c>
      <c r="C40" s="5" t="n">
        <f aca="false">B40</f>
        <v>29.117708430673</v>
      </c>
      <c r="D40" s="5" t="n">
        <f aca="false">C40*LOG(C40)</f>
        <v>42.6329022402783</v>
      </c>
      <c r="E40" s="5"/>
      <c r="F40" s="5"/>
      <c r="G40" s="4" t="n">
        <v>39</v>
      </c>
      <c r="H40" s="6" t="n">
        <v>0.961</v>
      </c>
      <c r="J40" s="2" t="n">
        <f aca="false">B40/$B$1003</f>
        <v>0.00227065436176101</v>
      </c>
      <c r="K40" s="5" t="n">
        <f aca="false">J40*LOG(J40,2)</f>
        <v>-0.019942421949839</v>
      </c>
    </row>
    <row r="41" customFormat="false" ht="13" hidden="false" customHeight="false" outlineLevel="0" collapsed="false">
      <c r="A41" s="4" t="n">
        <v>961</v>
      </c>
      <c r="B41" s="5" t="n">
        <v>29.1097561915061</v>
      </c>
      <c r="C41" s="5" t="n">
        <f aca="false">B41</f>
        <v>29.1097561915061</v>
      </c>
      <c r="D41" s="5" t="n">
        <f aca="false">C41*LOG(C41)</f>
        <v>42.6178057701586</v>
      </c>
      <c r="E41" s="5"/>
      <c r="F41" s="5"/>
      <c r="G41" s="4" t="n">
        <v>40</v>
      </c>
      <c r="H41" s="6" t="n">
        <v>0.96</v>
      </c>
      <c r="J41" s="2" t="n">
        <f aca="false">B41/$B$1003</f>
        <v>0.00227003423100473</v>
      </c>
      <c r="K41" s="5" t="n">
        <f aca="false">J41*LOG(J41,2)</f>
        <v>-0.0199378700796114</v>
      </c>
    </row>
    <row r="42" customFormat="false" ht="13" hidden="false" customHeight="false" outlineLevel="0" collapsed="false">
      <c r="A42" s="4" t="n">
        <v>960</v>
      </c>
      <c r="B42" s="5" t="n">
        <v>29.058582783145</v>
      </c>
      <c r="C42" s="5" t="n">
        <f aca="false">B42</f>
        <v>29.058582783145</v>
      </c>
      <c r="D42" s="5" t="n">
        <f aca="false">C42*LOG(C42)</f>
        <v>42.5206811438422</v>
      </c>
      <c r="E42" s="5"/>
      <c r="F42" s="5"/>
      <c r="G42" s="4" t="n">
        <v>41</v>
      </c>
      <c r="H42" s="6" t="n">
        <v>0.959</v>
      </c>
      <c r="J42" s="2" t="n">
        <f aca="false">B42/$B$1003</f>
        <v>0.00226604363115454</v>
      </c>
      <c r="K42" s="5" t="n">
        <f aca="false">J42*LOG(J42,2)</f>
        <v>-0.0199085725160635</v>
      </c>
    </row>
    <row r="43" customFormat="false" ht="13" hidden="false" customHeight="false" outlineLevel="0" collapsed="false">
      <c r="A43" s="4" t="n">
        <v>959</v>
      </c>
      <c r="B43" s="5" t="n">
        <v>28.931637265979</v>
      </c>
      <c r="C43" s="5" t="n">
        <f aca="false">B43</f>
        <v>28.931637265979</v>
      </c>
      <c r="D43" s="5" t="n">
        <f aca="false">C43*LOG(C43)</f>
        <v>42.2799138772105</v>
      </c>
      <c r="E43" s="5"/>
      <c r="F43" s="5"/>
      <c r="G43" s="4" t="n">
        <v>42</v>
      </c>
      <c r="H43" s="6" t="n">
        <v>0.958</v>
      </c>
      <c r="J43" s="2" t="n">
        <f aca="false">B43/$B$1003</f>
        <v>0.00225614417794224</v>
      </c>
      <c r="K43" s="5" t="n">
        <f aca="false">J43*LOG(J43,2)</f>
        <v>-0.0198358504448853</v>
      </c>
    </row>
    <row r="44" customFormat="false" ht="13" hidden="false" customHeight="false" outlineLevel="0" collapsed="false">
      <c r="A44" s="4" t="n">
        <v>958</v>
      </c>
      <c r="B44" s="5" t="n">
        <v>28.8055089517941</v>
      </c>
      <c r="C44" s="5" t="n">
        <f aca="false">B44</f>
        <v>28.8055089517941</v>
      </c>
      <c r="D44" s="5" t="n">
        <f aca="false">C44*LOG(C44)</f>
        <v>42.0409361065033</v>
      </c>
      <c r="E44" s="5"/>
      <c r="F44" s="5"/>
      <c r="G44" s="4" t="n">
        <v>43</v>
      </c>
      <c r="H44" s="6" t="n">
        <v>0.957</v>
      </c>
      <c r="J44" s="2" t="n">
        <f aca="false">B44/$B$1003</f>
        <v>0.00224630845177486</v>
      </c>
      <c r="K44" s="5" t="n">
        <f aca="false">J44*LOG(J44,2)</f>
        <v>-0.0197635344554747</v>
      </c>
    </row>
    <row r="45" customFormat="false" ht="13" hidden="false" customHeight="false" outlineLevel="0" collapsed="false">
      <c r="A45" s="4" t="n">
        <v>957</v>
      </c>
      <c r="B45" s="5" t="n">
        <v>28.8054875868863</v>
      </c>
      <c r="C45" s="5" t="n">
        <f aca="false">B45</f>
        <v>28.8054875868863</v>
      </c>
      <c r="D45" s="5" t="n">
        <f aca="false">C45*LOG(C45)</f>
        <v>42.0408956462846</v>
      </c>
      <c r="E45" s="5"/>
      <c r="F45" s="5"/>
      <c r="G45" s="4" t="n">
        <v>44</v>
      </c>
      <c r="H45" s="6" t="n">
        <v>0.956</v>
      </c>
      <c r="J45" s="2" t="n">
        <f aca="false">B45/$B$1003</f>
        <v>0.00224630678569866</v>
      </c>
      <c r="K45" s="5" t="n">
        <f aca="false">J45*LOG(J45,2)</f>
        <v>-0.019763522200595</v>
      </c>
    </row>
    <row r="46" customFormat="false" ht="13" hidden="false" customHeight="false" outlineLevel="0" collapsed="false">
      <c r="A46" s="4" t="n">
        <v>956</v>
      </c>
      <c r="B46" s="5" t="n">
        <v>28.7124590847368</v>
      </c>
      <c r="C46" s="5" t="n">
        <f aca="false">B46</f>
        <v>28.7124590847368</v>
      </c>
      <c r="D46" s="5" t="n">
        <f aca="false">C46*LOG(C46)</f>
        <v>41.8647863964116</v>
      </c>
      <c r="E46" s="5"/>
      <c r="F46" s="5"/>
      <c r="G46" s="4" t="n">
        <v>45</v>
      </c>
      <c r="H46" s="6" t="n">
        <v>0.955</v>
      </c>
      <c r="J46" s="2" t="n">
        <f aca="false">B46/$B$1003</f>
        <v>0.00223905224591656</v>
      </c>
      <c r="K46" s="5" t="n">
        <f aca="false">J46*LOG(J46,2)</f>
        <v>-0.0197101442660693</v>
      </c>
    </row>
    <row r="47" customFormat="false" ht="13" hidden="false" customHeight="false" outlineLevel="0" collapsed="false">
      <c r="A47" s="4" t="n">
        <v>955</v>
      </c>
      <c r="B47" s="5" t="n">
        <v>28.7104330742759</v>
      </c>
      <c r="C47" s="5" t="n">
        <f aca="false">B47</f>
        <v>28.7104330742759</v>
      </c>
      <c r="D47" s="5" t="n">
        <f aca="false">C47*LOG(C47)</f>
        <v>41.8609524764306</v>
      </c>
      <c r="E47" s="5"/>
      <c r="F47" s="5"/>
      <c r="G47" s="4" t="n">
        <v>46</v>
      </c>
      <c r="H47" s="6" t="n">
        <v>0.954</v>
      </c>
      <c r="J47" s="2" t="n">
        <f aca="false">B47/$B$1003</f>
        <v>0.00223889425376203</v>
      </c>
      <c r="K47" s="5" t="n">
        <f aca="false">J47*LOG(J47,2)</f>
        <v>-0.0197089814040054</v>
      </c>
    </row>
    <row r="48" customFormat="false" ht="13" hidden="false" customHeight="false" outlineLevel="0" collapsed="false">
      <c r="A48" s="4" t="n">
        <v>954</v>
      </c>
      <c r="B48" s="5" t="n">
        <v>28.6322768762179</v>
      </c>
      <c r="C48" s="5" t="n">
        <f aca="false">B48</f>
        <v>28.6322768762179</v>
      </c>
      <c r="D48" s="5" t="n">
        <f aca="false">C48*LOG(C48)</f>
        <v>41.7131010698357</v>
      </c>
      <c r="E48" s="5"/>
      <c r="F48" s="5"/>
      <c r="G48" s="4" t="n">
        <v>47</v>
      </c>
      <c r="H48" s="6" t="n">
        <v>0.953</v>
      </c>
      <c r="J48" s="2" t="n">
        <f aca="false">B48/$B$1003</f>
        <v>0.00223279948457916</v>
      </c>
      <c r="K48" s="5" t="n">
        <f aca="false">J48*LOG(J48,2)</f>
        <v>-0.0196641100780084</v>
      </c>
    </row>
    <row r="49" customFormat="false" ht="13" hidden="false" customHeight="false" outlineLevel="0" collapsed="false">
      <c r="A49" s="4" t="n">
        <v>953</v>
      </c>
      <c r="B49" s="5" t="n">
        <v>28.6274458805669</v>
      </c>
      <c r="C49" s="5" t="n">
        <f aca="false">B49</f>
        <v>28.6274458805669</v>
      </c>
      <c r="D49" s="5" t="n">
        <f aca="false">C49*LOG(C49)</f>
        <v>41.7039651076468</v>
      </c>
      <c r="E49" s="5"/>
      <c r="F49" s="5"/>
      <c r="G49" s="4" t="n">
        <v>48</v>
      </c>
      <c r="H49" s="6" t="n">
        <v>0.952</v>
      </c>
      <c r="J49" s="2" t="n">
        <f aca="false">B49/$B$1003</f>
        <v>0.00223242275433706</v>
      </c>
      <c r="K49" s="5" t="n">
        <f aca="false">J49*LOG(J49,2)</f>
        <v>-0.0196613357019135</v>
      </c>
    </row>
    <row r="50" customFormat="false" ht="13" hidden="false" customHeight="false" outlineLevel="0" collapsed="false">
      <c r="A50" s="4" t="n">
        <v>952</v>
      </c>
      <c r="B50" s="5" t="n">
        <v>28.4639528099353</v>
      </c>
      <c r="C50" s="5" t="n">
        <f aca="false">B50</f>
        <v>28.4639528099353</v>
      </c>
      <c r="D50" s="5" t="n">
        <f aca="false">C50*LOG(C50)</f>
        <v>41.3949902498924</v>
      </c>
      <c r="E50" s="5"/>
      <c r="F50" s="5"/>
      <c r="G50" s="4" t="n">
        <v>49</v>
      </c>
      <c r="H50" s="6" t="n">
        <v>0.951</v>
      </c>
      <c r="J50" s="2" t="n">
        <f aca="false">B50/$B$1003</f>
        <v>0.0022196732532961</v>
      </c>
      <c r="K50" s="5" t="n">
        <f aca="false">J50*LOG(J50,2)</f>
        <v>-0.0195673896455245</v>
      </c>
    </row>
    <row r="51" customFormat="false" ht="13" hidden="false" customHeight="false" outlineLevel="0" collapsed="false">
      <c r="A51" s="4" t="n">
        <v>951</v>
      </c>
      <c r="B51" s="5" t="n">
        <v>28.4437589356642</v>
      </c>
      <c r="C51" s="5" t="n">
        <f aca="false">B51</f>
        <v>28.4437589356642</v>
      </c>
      <c r="D51" s="5" t="n">
        <f aca="false">C51*LOG(C51)</f>
        <v>41.356855418814</v>
      </c>
      <c r="E51" s="5"/>
      <c r="F51" s="5"/>
      <c r="G51" s="4" t="n">
        <v>50</v>
      </c>
      <c r="H51" s="6" t="n">
        <v>0.95</v>
      </c>
      <c r="J51" s="2" t="n">
        <f aca="false">B51/$B$1003</f>
        <v>0.00221809849651866</v>
      </c>
      <c r="K51" s="5" t="n">
        <f aca="false">J51*LOG(J51,2)</f>
        <v>-0.0195557785641194</v>
      </c>
      <c r="L51" s="2" t="n">
        <f aca="false">SUM(J2:J51)</f>
        <v>0.11733630027451</v>
      </c>
    </row>
    <row r="52" customFormat="false" ht="13" hidden="false" customHeight="false" outlineLevel="0" collapsed="false">
      <c r="A52" s="4" t="n">
        <v>950</v>
      </c>
      <c r="B52" s="5" t="n">
        <v>28.3528962695401</v>
      </c>
      <c r="C52" s="5" t="n">
        <f aca="false">B52</f>
        <v>28.3528962695401</v>
      </c>
      <c r="D52" s="5" t="n">
        <f aca="false">C52*LOG(C52)</f>
        <v>41.1853442258605</v>
      </c>
      <c r="E52" s="5"/>
      <c r="F52" s="5"/>
      <c r="G52" s="4" t="n">
        <v>51</v>
      </c>
      <c r="H52" s="6" t="n">
        <v>0.949</v>
      </c>
      <c r="J52" s="2" t="n">
        <f aca="false">B52/$B$1003</f>
        <v>0.00221101285275493</v>
      </c>
      <c r="K52" s="5" t="n">
        <f aca="false">J52*LOG(J52,2)</f>
        <v>-0.0195035143413594</v>
      </c>
    </row>
    <row r="53" customFormat="false" ht="13" hidden="false" customHeight="false" outlineLevel="0" collapsed="false">
      <c r="A53" s="4" t="n">
        <v>949</v>
      </c>
      <c r="B53" s="5" t="n">
        <v>28.3406369853624</v>
      </c>
      <c r="C53" s="5" t="n">
        <f aca="false">B53</f>
        <v>28.3406369853624</v>
      </c>
      <c r="D53" s="5" t="n">
        <f aca="false">C53*LOG(C53)</f>
        <v>41.1622134329093</v>
      </c>
      <c r="E53" s="5"/>
      <c r="F53" s="5"/>
      <c r="G53" s="4" t="n">
        <v>52</v>
      </c>
      <c r="H53" s="6" t="n">
        <v>0.948</v>
      </c>
      <c r="J53" s="2" t="n">
        <f aca="false">B53/$B$1003</f>
        <v>0.0022100568504254</v>
      </c>
      <c r="K53" s="5" t="n">
        <f aca="false">J53*LOG(J53,2)</f>
        <v>-0.0194964602929218</v>
      </c>
    </row>
    <row r="54" customFormat="false" ht="13" hidden="false" customHeight="false" outlineLevel="0" collapsed="false">
      <c r="A54" s="4" t="n">
        <v>948</v>
      </c>
      <c r="B54" s="5" t="n">
        <v>28.2032601722548</v>
      </c>
      <c r="C54" s="5" t="n">
        <f aca="false">B54</f>
        <v>28.2032601722548</v>
      </c>
      <c r="D54" s="5" t="n">
        <f aca="false">C54*LOG(C54)</f>
        <v>40.9031688731725</v>
      </c>
      <c r="E54" s="5"/>
      <c r="F54" s="5"/>
      <c r="G54" s="4" t="n">
        <v>53</v>
      </c>
      <c r="H54" s="6" t="n">
        <v>0.947</v>
      </c>
      <c r="J54" s="2" t="n">
        <f aca="false">B54/$B$1003</f>
        <v>0.00219934394488786</v>
      </c>
      <c r="K54" s="5" t="n">
        <f aca="false">J54*LOG(J54,2)</f>
        <v>-0.0194173721816004</v>
      </c>
    </row>
    <row r="55" customFormat="false" ht="13" hidden="false" customHeight="false" outlineLevel="0" collapsed="false">
      <c r="A55" s="4" t="n">
        <v>947</v>
      </c>
      <c r="B55" s="5" t="n">
        <v>28.1669647546867</v>
      </c>
      <c r="C55" s="5" t="n">
        <f aca="false">B55</f>
        <v>28.1669647546867</v>
      </c>
      <c r="D55" s="5" t="n">
        <f aca="false">C55*LOG(C55)</f>
        <v>40.8347769015841</v>
      </c>
      <c r="E55" s="5"/>
      <c r="F55" s="5"/>
      <c r="G55" s="4" t="n">
        <v>54</v>
      </c>
      <c r="H55" s="6" t="n">
        <v>0.946</v>
      </c>
      <c r="J55" s="2" t="n">
        <f aca="false">B55/$B$1003</f>
        <v>0.00219651355909671</v>
      </c>
      <c r="K55" s="5" t="n">
        <f aca="false">J55*LOG(J55,2)</f>
        <v>-0.019396464278217</v>
      </c>
    </row>
    <row r="56" customFormat="false" ht="13" hidden="false" customHeight="false" outlineLevel="0" collapsed="false">
      <c r="A56" s="4" t="n">
        <v>946</v>
      </c>
      <c r="B56" s="5" t="n">
        <v>28.1596100958296</v>
      </c>
      <c r="C56" s="5" t="n">
        <f aca="false">B56</f>
        <v>28.1596100958296</v>
      </c>
      <c r="D56" s="5" t="n">
        <f aca="false">C56*LOG(C56)</f>
        <v>40.820920887364</v>
      </c>
      <c r="E56" s="5"/>
      <c r="F56" s="5"/>
      <c r="G56" s="4" t="n">
        <v>55</v>
      </c>
      <c r="H56" s="6" t="n">
        <v>0.945</v>
      </c>
      <c r="J56" s="2" t="n">
        <f aca="false">B56/$B$1003</f>
        <v>0.00219594002879116</v>
      </c>
      <c r="K56" s="5" t="n">
        <f aca="false">J56*LOG(J56,2)</f>
        <v>-0.0193922270006429</v>
      </c>
    </row>
    <row r="57" customFormat="false" ht="13" hidden="false" customHeight="false" outlineLevel="0" collapsed="false">
      <c r="A57" s="4" t="n">
        <v>945</v>
      </c>
      <c r="B57" s="5" t="n">
        <v>28.1594703136227</v>
      </c>
      <c r="C57" s="5" t="n">
        <f aca="false">B57</f>
        <v>28.1594703136227</v>
      </c>
      <c r="D57" s="5" t="n">
        <f aca="false">C57*LOG(C57)</f>
        <v>40.820657548863</v>
      </c>
      <c r="E57" s="5"/>
      <c r="F57" s="5"/>
      <c r="G57" s="4" t="n">
        <v>56</v>
      </c>
      <c r="H57" s="6" t="n">
        <v>0.944</v>
      </c>
      <c r="J57" s="2" t="n">
        <f aca="false">B57/$B$1003</f>
        <v>0.00219592912830844</v>
      </c>
      <c r="K57" s="5" t="n">
        <f aca="false">J57*LOG(J57,2)</f>
        <v>-0.0193921464651059</v>
      </c>
    </row>
    <row r="58" customFormat="false" ht="13" hidden="false" customHeight="false" outlineLevel="0" collapsed="false">
      <c r="A58" s="4" t="n">
        <v>944</v>
      </c>
      <c r="B58" s="5" t="n">
        <v>28.1296241404415</v>
      </c>
      <c r="C58" s="5" t="n">
        <f aca="false">B58</f>
        <v>28.1296241404415</v>
      </c>
      <c r="D58" s="5" t="n">
        <f aca="false">C58*LOG(C58)</f>
        <v>40.7644366488696</v>
      </c>
      <c r="E58" s="5"/>
      <c r="F58" s="5"/>
      <c r="G58" s="4" t="n">
        <v>57</v>
      </c>
      <c r="H58" s="6" t="n">
        <v>0.943</v>
      </c>
      <c r="J58" s="2" t="n">
        <f aca="false">B58/$B$1003</f>
        <v>0.00219360166687797</v>
      </c>
      <c r="K58" s="5" t="n">
        <f aca="false">J58*LOG(J58,2)</f>
        <v>-0.0193749488000523</v>
      </c>
    </row>
    <row r="59" customFormat="false" ht="13" hidden="false" customHeight="false" outlineLevel="0" collapsed="false">
      <c r="A59" s="4" t="n">
        <v>943</v>
      </c>
      <c r="B59" s="5" t="n">
        <v>28.1293798792085</v>
      </c>
      <c r="C59" s="5" t="n">
        <f aca="false">B59</f>
        <v>28.1293798792085</v>
      </c>
      <c r="D59" s="5" t="n">
        <f aca="false">C59*LOG(C59)</f>
        <v>40.7639765934564</v>
      </c>
      <c r="E59" s="5"/>
      <c r="F59" s="5"/>
      <c r="G59" s="4" t="n">
        <v>58</v>
      </c>
      <c r="H59" s="6" t="n">
        <v>0.942</v>
      </c>
      <c r="J59" s="2" t="n">
        <f aca="false">B59/$B$1003</f>
        <v>0.0021935826189218</v>
      </c>
      <c r="K59" s="5" t="n">
        <f aca="false">J59*LOG(J59,2)</f>
        <v>-0.0193748080395813</v>
      </c>
    </row>
    <row r="60" customFormat="false" ht="13" hidden="false" customHeight="false" outlineLevel="0" collapsed="false">
      <c r="A60" s="4" t="n">
        <v>942</v>
      </c>
      <c r="B60" s="5" t="n">
        <v>28.0527983869284</v>
      </c>
      <c r="C60" s="5" t="n">
        <f aca="false">B60</f>
        <v>28.0527983869284</v>
      </c>
      <c r="D60" s="5" t="n">
        <f aca="false">C60*LOG(C60)</f>
        <v>40.6197841408871</v>
      </c>
      <c r="E60" s="5"/>
      <c r="F60" s="5"/>
      <c r="G60" s="4" t="n">
        <v>59</v>
      </c>
      <c r="H60" s="6" t="n">
        <v>0.941</v>
      </c>
      <c r="J60" s="2" t="n">
        <f aca="false">B60/$B$1003</f>
        <v>0.00218761064829472</v>
      </c>
      <c r="K60" s="5" t="n">
        <f aca="false">J60*LOG(J60,2)</f>
        <v>-0.0193306646311445</v>
      </c>
    </row>
    <row r="61" customFormat="false" ht="13" hidden="false" customHeight="false" outlineLevel="0" collapsed="false">
      <c r="A61" s="4" t="n">
        <v>941</v>
      </c>
      <c r="B61" s="5" t="n">
        <v>27.9606521317515</v>
      </c>
      <c r="C61" s="5" t="n">
        <f aca="false">B61</f>
        <v>27.9606521317515</v>
      </c>
      <c r="D61" s="5" t="n">
        <f aca="false">C61*LOG(C61)</f>
        <v>40.4464057447195</v>
      </c>
      <c r="E61" s="5"/>
      <c r="F61" s="5"/>
      <c r="G61" s="4" t="n">
        <v>60</v>
      </c>
      <c r="H61" s="6" t="n">
        <v>0.94</v>
      </c>
      <c r="J61" s="2" t="n">
        <f aca="false">B61/$B$1003</f>
        <v>0.00218042490781189</v>
      </c>
      <c r="K61" s="5" t="n">
        <f aca="false">J61*LOG(J61,2)</f>
        <v>-0.0192775181379142</v>
      </c>
    </row>
    <row r="62" customFormat="false" ht="13" hidden="false" customHeight="false" outlineLevel="0" collapsed="false">
      <c r="A62" s="4" t="n">
        <v>940</v>
      </c>
      <c r="B62" s="5" t="n">
        <v>27.9428977991563</v>
      </c>
      <c r="C62" s="5" t="n">
        <f aca="false">B62</f>
        <v>27.9428977991563</v>
      </c>
      <c r="D62" s="5" t="n">
        <f aca="false">C62*LOG(C62)</f>
        <v>40.4130151027724</v>
      </c>
      <c r="E62" s="5"/>
      <c r="F62" s="5"/>
      <c r="G62" s="4" t="n">
        <v>61</v>
      </c>
      <c r="H62" s="6" t="n">
        <v>0.939</v>
      </c>
      <c r="J62" s="2" t="n">
        <f aca="false">B62/$B$1003</f>
        <v>0.00217904039114076</v>
      </c>
      <c r="K62" s="5" t="n">
        <f aca="false">J62*LOG(J62,2)</f>
        <v>-0.0192672741848036</v>
      </c>
    </row>
    <row r="63" customFormat="false" ht="13" hidden="false" customHeight="false" outlineLevel="0" collapsed="false">
      <c r="A63" s="4" t="n">
        <v>939</v>
      </c>
      <c r="B63" s="5" t="n">
        <v>27.9334734944102</v>
      </c>
      <c r="C63" s="5" t="n">
        <f aca="false">B63</f>
        <v>27.9334734944102</v>
      </c>
      <c r="D63" s="5" t="n">
        <f aca="false">C63*LOG(C63)</f>
        <v>40.3952927666954</v>
      </c>
      <c r="E63" s="5"/>
      <c r="F63" s="5"/>
      <c r="G63" s="4" t="n">
        <v>62</v>
      </c>
      <c r="H63" s="6" t="n">
        <v>0.938</v>
      </c>
      <c r="J63" s="2" t="n">
        <f aca="false">B63/$B$1003</f>
        <v>0.00217830546590689</v>
      </c>
      <c r="K63" s="5" t="n">
        <f aca="false">J63*LOG(J63,2)</f>
        <v>-0.0192618360029243</v>
      </c>
    </row>
    <row r="64" customFormat="false" ht="13" hidden="false" customHeight="false" outlineLevel="0" collapsed="false">
      <c r="A64" s="4" t="n">
        <v>938</v>
      </c>
      <c r="B64" s="5" t="n">
        <v>27.9179434296206</v>
      </c>
      <c r="C64" s="5" t="n">
        <f aca="false">B64</f>
        <v>27.9179434296206</v>
      </c>
      <c r="D64" s="5" t="n">
        <f aca="false">C64*LOG(C64)</f>
        <v>40.3660916064319</v>
      </c>
      <c r="E64" s="5"/>
      <c r="F64" s="5"/>
      <c r="G64" s="4" t="n">
        <v>63</v>
      </c>
      <c r="H64" s="6" t="n">
        <v>0.937</v>
      </c>
      <c r="J64" s="2" t="n">
        <f aca="false">B64/$B$1003</f>
        <v>0.00217709440187563</v>
      </c>
      <c r="K64" s="5" t="n">
        <f aca="false">J64*LOG(J64,2)</f>
        <v>-0.0192528737850489</v>
      </c>
    </row>
    <row r="65" customFormat="false" ht="13" hidden="false" customHeight="false" outlineLevel="0" collapsed="false">
      <c r="A65" s="4" t="n">
        <v>937</v>
      </c>
      <c r="B65" s="5" t="n">
        <v>27.8212276125569</v>
      </c>
      <c r="C65" s="5" t="n">
        <f aca="false">B65</f>
        <v>27.8212276125569</v>
      </c>
      <c r="D65" s="5" t="n">
        <f aca="false">C65*LOG(C65)</f>
        <v>40.184321503817</v>
      </c>
      <c r="E65" s="5"/>
      <c r="F65" s="5"/>
      <c r="G65" s="4" t="n">
        <v>64</v>
      </c>
      <c r="H65" s="6" t="n">
        <v>0.936</v>
      </c>
      <c r="J65" s="2" t="n">
        <f aca="false">B65/$B$1003</f>
        <v>0.00216955231825356</v>
      </c>
      <c r="K65" s="5" t="n">
        <f aca="false">J65*LOG(J65,2)</f>
        <v>-0.0191970383286869</v>
      </c>
    </row>
    <row r="66" customFormat="false" ht="13" hidden="false" customHeight="false" outlineLevel="0" collapsed="false">
      <c r="A66" s="4" t="n">
        <v>936</v>
      </c>
      <c r="B66" s="5" t="n">
        <v>27.8172491539564</v>
      </c>
      <c r="C66" s="5" t="n">
        <f aca="false">B66</f>
        <v>27.8172491539564</v>
      </c>
      <c r="D66" s="5" t="n">
        <f aca="false">C66*LOG(C66)</f>
        <v>40.1768474134756</v>
      </c>
      <c r="E66" s="5"/>
      <c r="F66" s="5"/>
      <c r="G66" s="4" t="n">
        <v>65</v>
      </c>
      <c r="H66" s="6" t="n">
        <v>0.935</v>
      </c>
      <c r="J66" s="2" t="n">
        <f aca="false">B66/$B$1003</f>
        <v>0.00216924207047442</v>
      </c>
      <c r="K66" s="5" t="n">
        <f aca="false">J66*LOG(J66,2)</f>
        <v>-0.0191947406972275</v>
      </c>
    </row>
    <row r="67" customFormat="false" ht="13" hidden="false" customHeight="false" outlineLevel="0" collapsed="false">
      <c r="A67" s="4" t="n">
        <v>935</v>
      </c>
      <c r="B67" s="5" t="n">
        <v>27.7909230492876</v>
      </c>
      <c r="C67" s="5" t="n">
        <f aca="false">B67</f>
        <v>27.7909230492876</v>
      </c>
      <c r="D67" s="5" t="n">
        <f aca="false">C67*LOG(C67)</f>
        <v>40.1273963771072</v>
      </c>
      <c r="E67" s="5"/>
      <c r="F67" s="5"/>
      <c r="G67" s="4" t="n">
        <v>66</v>
      </c>
      <c r="H67" s="6" t="n">
        <v>0.934</v>
      </c>
      <c r="J67" s="2" t="n">
        <f aca="false">B67/$B$1003</f>
        <v>0.00216718911069097</v>
      </c>
      <c r="K67" s="5" t="n">
        <f aca="false">J67*LOG(J67,2)</f>
        <v>-0.0191795352841305</v>
      </c>
    </row>
    <row r="68" customFormat="false" ht="13" hidden="false" customHeight="false" outlineLevel="0" collapsed="false">
      <c r="A68" s="4" t="n">
        <v>934</v>
      </c>
      <c r="B68" s="5" t="n">
        <v>27.6974939711212</v>
      </c>
      <c r="C68" s="5" t="n">
        <f aca="false">B68</f>
        <v>27.6974939711212</v>
      </c>
      <c r="D68" s="5" t="n">
        <f aca="false">C68*LOG(C68)</f>
        <v>39.9519864018466</v>
      </c>
      <c r="E68" s="5"/>
      <c r="F68" s="5"/>
      <c r="G68" s="4" t="n">
        <v>67</v>
      </c>
      <c r="H68" s="6" t="n">
        <v>0.933</v>
      </c>
      <c r="J68" s="2" t="n">
        <f aca="false">B68/$B$1003</f>
        <v>0.00215990333322813</v>
      </c>
      <c r="K68" s="5" t="n">
        <f aca="false">J68*LOG(J68,2)</f>
        <v>-0.0191255499172766</v>
      </c>
    </row>
    <row r="69" customFormat="false" ht="13" hidden="false" customHeight="false" outlineLevel="0" collapsed="false">
      <c r="A69" s="4" t="n">
        <v>933</v>
      </c>
      <c r="B69" s="5" t="n">
        <v>27.6460453864521</v>
      </c>
      <c r="C69" s="5" t="n">
        <f aca="false">B69</f>
        <v>27.6460453864521</v>
      </c>
      <c r="D69" s="5" t="n">
        <f aca="false">C69*LOG(C69)</f>
        <v>39.8554518093339</v>
      </c>
      <c r="E69" s="5"/>
      <c r="F69" s="5"/>
      <c r="G69" s="4" t="n">
        <v>68</v>
      </c>
      <c r="H69" s="6" t="n">
        <v>0.932</v>
      </c>
      <c r="J69" s="2" t="n">
        <f aca="false">B69/$B$1003</f>
        <v>0.00215589127460534</v>
      </c>
      <c r="K69" s="5" t="n">
        <f aca="false">J69*LOG(J69,2)</f>
        <v>-0.0190958066681432</v>
      </c>
    </row>
    <row r="70" customFormat="false" ht="13" hidden="false" customHeight="false" outlineLevel="0" collapsed="false">
      <c r="A70" s="4" t="n">
        <v>932</v>
      </c>
      <c r="B70" s="5" t="n">
        <v>27.58425872045</v>
      </c>
      <c r="C70" s="5" t="n">
        <f aca="false">B70</f>
        <v>27.58425872045</v>
      </c>
      <c r="D70" s="5" t="n">
        <f aca="false">C70*LOG(C70)</f>
        <v>39.7395745113663</v>
      </c>
      <c r="E70" s="5"/>
      <c r="F70" s="5"/>
      <c r="G70" s="4" t="n">
        <v>69</v>
      </c>
      <c r="H70" s="6" t="n">
        <v>0.931</v>
      </c>
      <c r="J70" s="2" t="n">
        <f aca="false">B70/$B$1003</f>
        <v>0.00215107303271001</v>
      </c>
      <c r="K70" s="5" t="n">
        <f aca="false">J70*LOG(J70,2)</f>
        <v>-0.0190600725713697</v>
      </c>
    </row>
    <row r="71" customFormat="false" ht="13" hidden="false" customHeight="false" outlineLevel="0" collapsed="false">
      <c r="A71" s="4" t="n">
        <v>931</v>
      </c>
      <c r="B71" s="5" t="n">
        <v>27.5625967108462</v>
      </c>
      <c r="C71" s="5" t="n">
        <f aca="false">B71</f>
        <v>27.5625967108462</v>
      </c>
      <c r="D71" s="5" t="n">
        <f aca="false">C71*LOG(C71)</f>
        <v>39.6989628957451</v>
      </c>
      <c r="E71" s="5"/>
      <c r="F71" s="5"/>
      <c r="G71" s="4" t="n">
        <v>70</v>
      </c>
      <c r="H71" s="6" t="n">
        <v>0.93</v>
      </c>
      <c r="J71" s="2" t="n">
        <f aca="false">B71/$B$1003</f>
        <v>0.00214938378794309</v>
      </c>
      <c r="K71" s="5" t="n">
        <f aca="false">J71*LOG(J71,2)</f>
        <v>-0.019047540741221</v>
      </c>
    </row>
    <row r="72" customFormat="false" ht="13" hidden="false" customHeight="false" outlineLevel="0" collapsed="false">
      <c r="A72" s="4" t="n">
        <v>930</v>
      </c>
      <c r="B72" s="5" t="n">
        <v>27.5184638236893</v>
      </c>
      <c r="C72" s="5" t="n">
        <f aca="false">B72</f>
        <v>27.5184638236893</v>
      </c>
      <c r="D72" s="5" t="n">
        <f aca="false">C72*LOG(C72)</f>
        <v>39.6162460934994</v>
      </c>
      <c r="E72" s="5"/>
      <c r="F72" s="5"/>
      <c r="G72" s="4" t="n">
        <v>71</v>
      </c>
      <c r="H72" s="6" t="n">
        <v>0.929</v>
      </c>
      <c r="J72" s="2" t="n">
        <f aca="false">B72/$B$1003</f>
        <v>0.00214594222134597</v>
      </c>
      <c r="K72" s="5" t="n">
        <f aca="false">J72*LOG(J72,2)</f>
        <v>-0.0190220032096979</v>
      </c>
    </row>
    <row r="73" customFormat="false" ht="13" hidden="false" customHeight="false" outlineLevel="0" collapsed="false">
      <c r="A73" s="4" t="n">
        <v>929</v>
      </c>
      <c r="B73" s="5" t="n">
        <v>27.4870484427008</v>
      </c>
      <c r="C73" s="5" t="n">
        <f aca="false">B73</f>
        <v>27.4870484427008</v>
      </c>
      <c r="D73" s="5" t="n">
        <f aca="false">C73*LOG(C73)</f>
        <v>39.557384015358</v>
      </c>
      <c r="E73" s="5"/>
      <c r="F73" s="5"/>
      <c r="G73" s="4" t="n">
        <v>72</v>
      </c>
      <c r="H73" s="6" t="n">
        <v>0.928</v>
      </c>
      <c r="J73" s="2" t="n">
        <f aca="false">B73/$B$1003</f>
        <v>0.00214349239010194</v>
      </c>
      <c r="K73" s="5" t="n">
        <f aca="false">J73*LOG(J73,2)</f>
        <v>-0.0190038198227894</v>
      </c>
    </row>
    <row r="74" customFormat="false" ht="13" hidden="false" customHeight="false" outlineLevel="0" collapsed="false">
      <c r="A74" s="4" t="n">
        <v>928</v>
      </c>
      <c r="B74" s="5" t="n">
        <v>27.4492929939088</v>
      </c>
      <c r="C74" s="5" t="n">
        <f aca="false">B74</f>
        <v>27.4492929939088</v>
      </c>
      <c r="D74" s="5" t="n">
        <f aca="false">C74*LOG(C74)</f>
        <v>39.4866633710858</v>
      </c>
      <c r="E74" s="5"/>
      <c r="F74" s="5"/>
      <c r="G74" s="4" t="n">
        <v>73</v>
      </c>
      <c r="H74" s="6" t="n">
        <v>0.927</v>
      </c>
      <c r="J74" s="2" t="n">
        <f aca="false">B74/$B$1003</f>
        <v>0.00214054814829514</v>
      </c>
      <c r="K74" s="5" t="n">
        <f aca="false">J74*LOG(J74,2)</f>
        <v>-0.0189819614264756</v>
      </c>
    </row>
    <row r="75" customFormat="false" ht="13" hidden="false" customHeight="false" outlineLevel="0" collapsed="false">
      <c r="A75" s="4" t="n">
        <v>927</v>
      </c>
      <c r="B75" s="5" t="n">
        <v>27.3872237101594</v>
      </c>
      <c r="C75" s="5" t="n">
        <f aca="false">B75</f>
        <v>27.3872237101594</v>
      </c>
      <c r="D75" s="5" t="n">
        <f aca="false">C75*LOG(C75)</f>
        <v>39.3704489250333</v>
      </c>
      <c r="E75" s="5"/>
      <c r="F75" s="5"/>
      <c r="G75" s="4" t="n">
        <v>74</v>
      </c>
      <c r="H75" s="6" t="n">
        <v>0.926</v>
      </c>
      <c r="J75" s="2" t="n">
        <f aca="false">B75/$B$1003</f>
        <v>0.00213570786732961</v>
      </c>
      <c r="K75" s="5" t="n">
        <f aca="false">J75*LOG(J75,2)</f>
        <v>-0.0189460139118124</v>
      </c>
    </row>
    <row r="76" customFormat="false" ht="13" hidden="false" customHeight="false" outlineLevel="0" collapsed="false">
      <c r="A76" s="4" t="n">
        <v>926</v>
      </c>
      <c r="B76" s="5" t="n">
        <v>27.3337957764236</v>
      </c>
      <c r="C76" s="5" t="n">
        <f aca="false">B76</f>
        <v>27.3337957764236</v>
      </c>
      <c r="D76" s="5" t="n">
        <f aca="false">C76*LOG(C76)</f>
        <v>39.27046289623</v>
      </c>
      <c r="E76" s="5"/>
      <c r="F76" s="5"/>
      <c r="G76" s="4" t="n">
        <v>75</v>
      </c>
      <c r="H76" s="6" t="n">
        <v>0.925</v>
      </c>
      <c r="J76" s="2" t="n">
        <f aca="false">B76/$B$1003</f>
        <v>0.00213154145529667</v>
      </c>
      <c r="K76" s="5" t="n">
        <f aca="false">J76*LOG(J76,2)</f>
        <v>-0.0189150583742373</v>
      </c>
    </row>
    <row r="77" customFormat="false" ht="13" hidden="false" customHeight="false" outlineLevel="0" collapsed="false">
      <c r="A77" s="4" t="n">
        <v>925</v>
      </c>
      <c r="B77" s="5" t="n">
        <v>27.3242867644259</v>
      </c>
      <c r="C77" s="5" t="n">
        <f aca="false">B77</f>
        <v>27.3242867644259</v>
      </c>
      <c r="D77" s="5" t="n">
        <f aca="false">C77*LOG(C77)</f>
        <v>39.2526723061895</v>
      </c>
      <c r="E77" s="5"/>
      <c r="F77" s="5"/>
      <c r="G77" s="4" t="n">
        <v>76</v>
      </c>
      <c r="H77" s="6" t="n">
        <v>0.924</v>
      </c>
      <c r="J77" s="2" t="n">
        <f aca="false">B77/$B$1003</f>
        <v>0.00213079992442998</v>
      </c>
      <c r="K77" s="5" t="n">
        <f aca="false">J77*LOG(J77,2)</f>
        <v>-0.018909547729791</v>
      </c>
    </row>
    <row r="78" customFormat="false" ht="13" hidden="false" customHeight="false" outlineLevel="0" collapsed="false">
      <c r="A78" s="4" t="n">
        <v>924</v>
      </c>
      <c r="B78" s="5" t="n">
        <v>27.3146073245953</v>
      </c>
      <c r="C78" s="5" t="n">
        <f aca="false">B78</f>
        <v>27.3146073245953</v>
      </c>
      <c r="D78" s="5" t="n">
        <f aca="false">C78*LOG(C78)</f>
        <v>39.2345643355341</v>
      </c>
      <c r="E78" s="5"/>
      <c r="F78" s="5"/>
      <c r="G78" s="4" t="n">
        <v>77</v>
      </c>
      <c r="H78" s="6" t="n">
        <v>0.923</v>
      </c>
      <c r="J78" s="2" t="n">
        <f aca="false">B78/$B$1003</f>
        <v>0.00213004510327628</v>
      </c>
      <c r="K78" s="5" t="n">
        <f aca="false">J78*LOG(J78,2)</f>
        <v>-0.0189039379369657</v>
      </c>
    </row>
    <row r="79" customFormat="false" ht="13" hidden="false" customHeight="false" outlineLevel="0" collapsed="false">
      <c r="A79" s="4" t="n">
        <v>923</v>
      </c>
      <c r="B79" s="5" t="n">
        <v>27.2927342799984</v>
      </c>
      <c r="C79" s="5" t="n">
        <f aca="false">B79</f>
        <v>27.2927342799984</v>
      </c>
      <c r="D79" s="5" t="n">
        <f aca="false">C79*LOG(C79)</f>
        <v>39.193650466379</v>
      </c>
      <c r="E79" s="5"/>
      <c r="F79" s="5"/>
      <c r="G79" s="4" t="n">
        <v>78</v>
      </c>
      <c r="H79" s="6" t="n">
        <v>0.922</v>
      </c>
      <c r="J79" s="2" t="n">
        <f aca="false">B79/$B$1003</f>
        <v>0.00212833940159865</v>
      </c>
      <c r="K79" s="5" t="n">
        <f aca="false">J79*LOG(J79,2)</f>
        <v>-0.0188912598264299</v>
      </c>
    </row>
    <row r="80" customFormat="false" ht="13" hidden="false" customHeight="false" outlineLevel="0" collapsed="false">
      <c r="A80" s="4" t="n">
        <v>922</v>
      </c>
      <c r="B80" s="5" t="n">
        <v>27.2725088691662</v>
      </c>
      <c r="C80" s="5" t="n">
        <f aca="false">B80</f>
        <v>27.2725088691662</v>
      </c>
      <c r="D80" s="5" t="n">
        <f aca="false">C80*LOG(C80)</f>
        <v>39.1558252959981</v>
      </c>
      <c r="E80" s="5"/>
      <c r="F80" s="5"/>
      <c r="G80" s="4" t="n">
        <v>79</v>
      </c>
      <c r="H80" s="6" t="n">
        <v>0.921</v>
      </c>
      <c r="J80" s="2" t="n">
        <f aca="false">B80/$B$1003</f>
        <v>0.00212676218554012</v>
      </c>
      <c r="K80" s="5" t="n">
        <f aca="false">J80*LOG(J80,2)</f>
        <v>-0.0188795349667523</v>
      </c>
    </row>
    <row r="81" customFormat="false" ht="13" hidden="false" customHeight="false" outlineLevel="0" collapsed="false">
      <c r="A81" s="4" t="n">
        <v>921</v>
      </c>
      <c r="B81" s="5" t="n">
        <v>27.2319287535138</v>
      </c>
      <c r="C81" s="5" t="n">
        <f aca="false">B81</f>
        <v>27.2319287535138</v>
      </c>
      <c r="D81" s="5" t="n">
        <f aca="false">C81*LOG(C81)</f>
        <v>39.0799528035413</v>
      </c>
      <c r="E81" s="5"/>
      <c r="F81" s="5"/>
      <c r="G81" s="4" t="n">
        <v>80</v>
      </c>
      <c r="H81" s="6" t="n">
        <v>0.92</v>
      </c>
      <c r="J81" s="2" t="n">
        <f aca="false">B81/$B$1003</f>
        <v>0.00212359767083161</v>
      </c>
      <c r="K81" s="5" t="n">
        <f aca="false">J81*LOG(J81,2)</f>
        <v>-0.0188560052037609</v>
      </c>
    </row>
    <row r="82" customFormat="false" ht="13" hidden="false" customHeight="false" outlineLevel="0" collapsed="false">
      <c r="A82" s="4" t="n">
        <v>920</v>
      </c>
      <c r="B82" s="5" t="n">
        <v>27.2203959965426</v>
      </c>
      <c r="C82" s="5" t="n">
        <f aca="false">B82</f>
        <v>27.2203959965426</v>
      </c>
      <c r="D82" s="5" t="n">
        <f aca="false">C82*LOG(C82)</f>
        <v>39.0583948411075</v>
      </c>
      <c r="E82" s="5"/>
      <c r="F82" s="5"/>
      <c r="G82" s="4" t="n">
        <v>81</v>
      </c>
      <c r="H82" s="6" t="n">
        <v>0.919</v>
      </c>
      <c r="J82" s="2" t="n">
        <f aca="false">B82/$B$1003</f>
        <v>0.00212269832447741</v>
      </c>
      <c r="K82" s="5" t="n">
        <f aca="false">J82*LOG(J82,2)</f>
        <v>-0.0188493168689662</v>
      </c>
    </row>
    <row r="83" customFormat="false" ht="13" hidden="false" customHeight="false" outlineLevel="0" collapsed="false">
      <c r="A83" s="4" t="n">
        <v>919</v>
      </c>
      <c r="B83" s="5" t="n">
        <v>27.1934994112613</v>
      </c>
      <c r="C83" s="5" t="n">
        <f aca="false">B83</f>
        <v>27.1934994112613</v>
      </c>
      <c r="D83" s="5" t="n">
        <f aca="false">C83*LOG(C83)</f>
        <v>39.0081258148341</v>
      </c>
      <c r="E83" s="5"/>
      <c r="F83" s="5"/>
      <c r="G83" s="4" t="n">
        <v>82</v>
      </c>
      <c r="H83" s="6" t="n">
        <v>0.918</v>
      </c>
      <c r="J83" s="2" t="n">
        <f aca="false">B83/$B$1003</f>
        <v>0.00212060087752924</v>
      </c>
      <c r="K83" s="5" t="n">
        <f aca="false">J83*LOG(J83,2)</f>
        <v>-0.0188337162622415</v>
      </c>
    </row>
    <row r="84" customFormat="false" ht="13" hidden="false" customHeight="false" outlineLevel="0" collapsed="false">
      <c r="A84" s="4" t="n">
        <v>918</v>
      </c>
      <c r="B84" s="5" t="n">
        <v>27.1565098151282</v>
      </c>
      <c r="C84" s="5" t="n">
        <f aca="false">B84</f>
        <v>27.1565098151282</v>
      </c>
      <c r="D84" s="5" t="n">
        <f aca="false">C84*LOG(C84)</f>
        <v>38.9390120833158</v>
      </c>
      <c r="E84" s="5"/>
      <c r="F84" s="5"/>
      <c r="G84" s="4" t="n">
        <v>83</v>
      </c>
      <c r="H84" s="6" t="n">
        <v>0.917</v>
      </c>
      <c r="J84" s="2" t="n">
        <f aca="false">B84/$B$1003</f>
        <v>0.00211771635837145</v>
      </c>
      <c r="K84" s="5" t="n">
        <f aca="false">J84*LOG(J84,2)</f>
        <v>-0.0188122565999234</v>
      </c>
    </row>
    <row r="85" customFormat="false" ht="13" hidden="false" customHeight="false" outlineLevel="0" collapsed="false">
      <c r="A85" s="4" t="n">
        <v>917</v>
      </c>
      <c r="B85" s="5" t="n">
        <v>27.1399381225526</v>
      </c>
      <c r="C85" s="5" t="n">
        <f aca="false">B85</f>
        <v>27.1399381225526</v>
      </c>
      <c r="D85" s="5" t="n">
        <f aca="false">C85*LOG(C85)</f>
        <v>38.9080555666848</v>
      </c>
      <c r="E85" s="5"/>
      <c r="F85" s="5"/>
      <c r="G85" s="4" t="n">
        <v>84</v>
      </c>
      <c r="H85" s="6" t="n">
        <v>0.916</v>
      </c>
      <c r="J85" s="2" t="n">
        <f aca="false">B85/$B$1003</f>
        <v>0.00211642406622153</v>
      </c>
      <c r="K85" s="5" t="n">
        <f aca="false">J85*LOG(J85,2)</f>
        <v>-0.0188026406279971</v>
      </c>
    </row>
    <row r="86" customFormat="false" ht="13" hidden="false" customHeight="false" outlineLevel="0" collapsed="false">
      <c r="A86" s="4" t="n">
        <v>916</v>
      </c>
      <c r="B86" s="5" t="n">
        <v>27.1031121905259</v>
      </c>
      <c r="C86" s="5" t="n">
        <f aca="false">B86</f>
        <v>27.1031121905259</v>
      </c>
      <c r="D86" s="5" t="n">
        <f aca="false">C86*LOG(C86)</f>
        <v>38.8392791409263</v>
      </c>
      <c r="E86" s="5"/>
      <c r="F86" s="5"/>
      <c r="G86" s="4" t="n">
        <v>85</v>
      </c>
      <c r="H86" s="6" t="n">
        <v>0.915</v>
      </c>
      <c r="J86" s="2" t="n">
        <f aca="false">B86/$B$1003</f>
        <v>0.00211355230990246</v>
      </c>
      <c r="K86" s="5" t="n">
        <f aca="false">J86*LOG(J86,2)</f>
        <v>-0.0187812677546201</v>
      </c>
    </row>
    <row r="87" customFormat="false" ht="13" hidden="false" customHeight="false" outlineLevel="0" collapsed="false">
      <c r="A87" s="4" t="n">
        <v>915</v>
      </c>
      <c r="B87" s="5" t="n">
        <v>27.0821343900876</v>
      </c>
      <c r="C87" s="5" t="n">
        <f aca="false">B87</f>
        <v>27.0821343900876</v>
      </c>
      <c r="D87" s="5" t="n">
        <f aca="false">C87*LOG(C87)</f>
        <v>38.8001105346205</v>
      </c>
      <c r="E87" s="5"/>
      <c r="F87" s="5"/>
      <c r="G87" s="4" t="n">
        <v>86</v>
      </c>
      <c r="H87" s="6" t="n">
        <v>0.914</v>
      </c>
      <c r="J87" s="2" t="n">
        <f aca="false">B87/$B$1003</f>
        <v>0.00211191642106943</v>
      </c>
      <c r="K87" s="5" t="n">
        <f aca="false">J87*LOG(J87,2)</f>
        <v>-0.0187690902343141</v>
      </c>
    </row>
    <row r="88" customFormat="false" ht="13" hidden="false" customHeight="false" outlineLevel="0" collapsed="false">
      <c r="A88" s="4" t="n">
        <v>914</v>
      </c>
      <c r="B88" s="5" t="n">
        <v>27.074063587462</v>
      </c>
      <c r="C88" s="5" t="n">
        <f aca="false">B88</f>
        <v>27.074063587462</v>
      </c>
      <c r="D88" s="5" t="n">
        <f aca="false">C88*LOG(C88)</f>
        <v>38.7850430510882</v>
      </c>
      <c r="E88" s="5"/>
      <c r="F88" s="5"/>
      <c r="G88" s="4" t="n">
        <v>87</v>
      </c>
      <c r="H88" s="6" t="n">
        <v>0.913</v>
      </c>
      <c r="J88" s="2" t="n">
        <f aca="false">B88/$B$1003</f>
        <v>0.00211128704450883</v>
      </c>
      <c r="K88" s="5" t="n">
        <f aca="false">J88*LOG(J88,2)</f>
        <v>-0.0187644046822241</v>
      </c>
    </row>
    <row r="89" customFormat="false" ht="13" hidden="false" customHeight="false" outlineLevel="0" collapsed="false">
      <c r="A89" s="4" t="n">
        <v>913</v>
      </c>
      <c r="B89" s="5" t="n">
        <v>27.0392354176388</v>
      </c>
      <c r="C89" s="5" t="n">
        <f aca="false">B89</f>
        <v>27.0392354176388</v>
      </c>
      <c r="D89" s="5" t="n">
        <f aca="false">C89*LOG(C89)</f>
        <v>38.7200338875099</v>
      </c>
      <c r="E89" s="5"/>
      <c r="F89" s="5"/>
      <c r="G89" s="4" t="n">
        <v>88</v>
      </c>
      <c r="H89" s="6" t="n">
        <v>0.912</v>
      </c>
      <c r="J89" s="2" t="n">
        <f aca="false">B89/$B$1003</f>
        <v>0.00210857107749139</v>
      </c>
      <c r="K89" s="5" t="n">
        <f aca="false">J89*LOG(J89,2)</f>
        <v>-0.0187441818773983</v>
      </c>
    </row>
    <row r="90" customFormat="false" ht="13" hidden="false" customHeight="false" outlineLevel="0" collapsed="false">
      <c r="A90" s="4" t="n">
        <v>912</v>
      </c>
      <c r="B90" s="5" t="n">
        <v>27.0093714778229</v>
      </c>
      <c r="C90" s="5" t="n">
        <f aca="false">B90</f>
        <v>27.0093714778229</v>
      </c>
      <c r="D90" s="5" t="n">
        <f aca="false">C90*LOG(C90)</f>
        <v>38.6643063134176</v>
      </c>
      <c r="E90" s="5"/>
      <c r="F90" s="5"/>
      <c r="G90" s="4" t="n">
        <v>89</v>
      </c>
      <c r="H90" s="6" t="n">
        <v>0.911</v>
      </c>
      <c r="J90" s="2" t="n">
        <f aca="false">B90/$B$1003</f>
        <v>0.00210624223058492</v>
      </c>
      <c r="K90" s="5" t="n">
        <f aca="false">J90*LOG(J90,2)</f>
        <v>-0.0187268375092322</v>
      </c>
    </row>
    <row r="91" customFormat="false" ht="13" hidden="false" customHeight="false" outlineLevel="0" collapsed="false">
      <c r="A91" s="4" t="n">
        <v>911</v>
      </c>
      <c r="B91" s="5" t="n">
        <v>26.9557003077986</v>
      </c>
      <c r="C91" s="5" t="n">
        <f aca="false">B91</f>
        <v>26.9557003077986</v>
      </c>
      <c r="D91" s="5" t="n">
        <f aca="false">C91*LOG(C91)</f>
        <v>38.5641893379657</v>
      </c>
      <c r="E91" s="5"/>
      <c r="F91" s="5"/>
      <c r="G91" s="4" t="n">
        <v>90</v>
      </c>
      <c r="H91" s="6" t="n">
        <v>0.91</v>
      </c>
      <c r="J91" s="2" t="n">
        <f aca="false">B91/$B$1003</f>
        <v>0.00210205685052292</v>
      </c>
      <c r="K91" s="5" t="n">
        <f aca="false">J91*LOG(J91,2)</f>
        <v>-0.018695657046194</v>
      </c>
    </row>
    <row r="92" customFormat="false" ht="13" hidden="false" customHeight="false" outlineLevel="0" collapsed="false">
      <c r="A92" s="4" t="n">
        <v>910</v>
      </c>
      <c r="B92" s="5" t="n">
        <v>26.952316010455</v>
      </c>
      <c r="C92" s="5" t="n">
        <f aca="false">B92</f>
        <v>26.952316010455</v>
      </c>
      <c r="D92" s="5" t="n">
        <f aca="false">C92*LOG(C92)</f>
        <v>38.5578779014836</v>
      </c>
      <c r="E92" s="5"/>
      <c r="F92" s="5"/>
      <c r="G92" s="4" t="n">
        <v>91</v>
      </c>
      <c r="H92" s="6" t="n">
        <v>0.909</v>
      </c>
      <c r="J92" s="2" t="n">
        <f aca="false">B92/$B$1003</f>
        <v>0.00210179293657025</v>
      </c>
      <c r="K92" s="5" t="n">
        <f aca="false">J92*LOG(J92,2)</f>
        <v>-0.0186936905235402</v>
      </c>
    </row>
    <row r="93" customFormat="false" ht="13" hidden="false" customHeight="false" outlineLevel="0" collapsed="false">
      <c r="A93" s="4" t="n">
        <v>909</v>
      </c>
      <c r="B93" s="5" t="n">
        <v>26.841820337995</v>
      </c>
      <c r="C93" s="5" t="n">
        <f aca="false">B93</f>
        <v>26.841820337995</v>
      </c>
      <c r="D93" s="5" t="n">
        <f aca="false">C93*LOG(C93)</f>
        <v>38.3519140652251</v>
      </c>
      <c r="E93" s="5"/>
      <c r="F93" s="5"/>
      <c r="G93" s="4" t="n">
        <v>92</v>
      </c>
      <c r="H93" s="6" t="n">
        <v>0.908</v>
      </c>
      <c r="J93" s="2" t="n">
        <f aca="false">B93/$B$1003</f>
        <v>0.00209317627357892</v>
      </c>
      <c r="K93" s="5" t="n">
        <f aca="false">J93*LOG(J93,2)</f>
        <v>-0.0186294582121231</v>
      </c>
    </row>
    <row r="94" customFormat="false" ht="13" hidden="false" customHeight="false" outlineLevel="0" collapsed="false">
      <c r="A94" s="4" t="n">
        <v>908</v>
      </c>
      <c r="B94" s="5" t="n">
        <v>26.8134749648299</v>
      </c>
      <c r="C94" s="5" t="n">
        <f aca="false">B94</f>
        <v>26.8134749648299</v>
      </c>
      <c r="D94" s="5" t="n">
        <f aca="false">C94*LOG(C94)</f>
        <v>38.2991101199268</v>
      </c>
      <c r="E94" s="5"/>
      <c r="F94" s="5"/>
      <c r="G94" s="4" t="n">
        <v>93</v>
      </c>
      <c r="H94" s="6" t="n">
        <v>0.907</v>
      </c>
      <c r="J94" s="2" t="n">
        <f aca="false">B94/$B$1003</f>
        <v>0.00209096584739218</v>
      </c>
      <c r="K94" s="5" t="n">
        <f aca="false">J94*LOG(J94,2)</f>
        <v>-0.0186129725055796</v>
      </c>
    </row>
    <row r="95" customFormat="false" ht="13" hidden="false" customHeight="false" outlineLevel="0" collapsed="false">
      <c r="A95" s="4" t="n">
        <v>907</v>
      </c>
      <c r="B95" s="5" t="n">
        <v>26.708695061556</v>
      </c>
      <c r="C95" s="5" t="n">
        <f aca="false">B95</f>
        <v>26.708695061556</v>
      </c>
      <c r="D95" s="5" t="n">
        <f aca="false">C95*LOG(C95)</f>
        <v>38.1040311137261</v>
      </c>
      <c r="E95" s="5"/>
      <c r="F95" s="5"/>
      <c r="G95" s="4" t="n">
        <v>94</v>
      </c>
      <c r="H95" s="6" t="n">
        <v>0.906</v>
      </c>
      <c r="J95" s="2" t="n">
        <f aca="false">B95/$B$1003</f>
        <v>0.00208279491096838</v>
      </c>
      <c r="K95" s="5" t="n">
        <f aca="false">J95*LOG(J95,2)</f>
        <v>-0.0185520030839762</v>
      </c>
    </row>
    <row r="96" customFormat="false" ht="13" hidden="false" customHeight="false" outlineLevel="0" collapsed="false">
      <c r="A96" s="4" t="n">
        <v>906</v>
      </c>
      <c r="B96" s="5" t="n">
        <v>26.6969235846344</v>
      </c>
      <c r="C96" s="5" t="n">
        <f aca="false">B96</f>
        <v>26.6969235846344</v>
      </c>
      <c r="D96" s="5" t="n">
        <f aca="false">C96*LOG(C96)</f>
        <v>38.0821261440282</v>
      </c>
      <c r="E96" s="5"/>
      <c r="F96" s="5"/>
      <c r="G96" s="4" t="n">
        <v>95</v>
      </c>
      <c r="H96" s="6" t="n">
        <v>0.905</v>
      </c>
      <c r="J96" s="2" t="n">
        <f aca="false">B96/$B$1003</f>
        <v>0.00208187694877778</v>
      </c>
      <c r="K96" s="5" t="n">
        <f aca="false">J96*LOG(J96,2)</f>
        <v>-0.0185451506004788</v>
      </c>
    </row>
    <row r="97" customFormat="false" ht="13" hidden="false" customHeight="false" outlineLevel="0" collapsed="false">
      <c r="A97" s="4" t="n">
        <v>905</v>
      </c>
      <c r="B97" s="5" t="n">
        <v>26.6597148481169</v>
      </c>
      <c r="C97" s="5" t="n">
        <f aca="false">B97</f>
        <v>26.6597148481169</v>
      </c>
      <c r="D97" s="5" t="n">
        <f aca="false">C97*LOG(C97)</f>
        <v>38.0129010418428</v>
      </c>
      <c r="E97" s="5"/>
      <c r="F97" s="5"/>
      <c r="G97" s="4" t="n">
        <v>96</v>
      </c>
      <c r="H97" s="6" t="n">
        <v>0.904</v>
      </c>
      <c r="J97" s="2" t="n">
        <f aca="false">B97/$B$1003</f>
        <v>0.00207897534063542</v>
      </c>
      <c r="K97" s="5" t="n">
        <f aca="false">J97*LOG(J97,2)</f>
        <v>-0.0185234865839169</v>
      </c>
    </row>
    <row r="98" customFormat="false" ht="13" hidden="false" customHeight="false" outlineLevel="0" collapsed="false">
      <c r="A98" s="4" t="n">
        <v>904</v>
      </c>
      <c r="B98" s="5" t="n">
        <v>26.6582600418797</v>
      </c>
      <c r="C98" s="5" t="n">
        <f aca="false">B98</f>
        <v>26.6582600418797</v>
      </c>
      <c r="D98" s="5" t="n">
        <f aca="false">C98*LOG(C98)</f>
        <v>38.0101949012862</v>
      </c>
      <c r="E98" s="5"/>
      <c r="F98" s="5"/>
      <c r="G98" s="4" t="n">
        <v>97</v>
      </c>
      <c r="H98" s="6" t="n">
        <v>0.903</v>
      </c>
      <c r="J98" s="2" t="n">
        <f aca="false">B98/$B$1003</f>
        <v>0.00207886189207418</v>
      </c>
      <c r="K98" s="5" t="n">
        <f aca="false">J98*LOG(J98,2)</f>
        <v>-0.0185226394344716</v>
      </c>
    </row>
    <row r="99" customFormat="false" ht="13" hidden="false" customHeight="false" outlineLevel="0" collapsed="false">
      <c r="A99" s="4" t="n">
        <v>903</v>
      </c>
      <c r="B99" s="5" t="n">
        <v>26.6527003810209</v>
      </c>
      <c r="C99" s="5" t="n">
        <f aca="false">B99</f>
        <v>26.6527003810209</v>
      </c>
      <c r="D99" s="5" t="n">
        <f aca="false">C99*LOG(C99)</f>
        <v>37.9998534818004</v>
      </c>
      <c r="E99" s="5"/>
      <c r="F99" s="5"/>
      <c r="G99" s="4" t="n">
        <v>98</v>
      </c>
      <c r="H99" s="6" t="n">
        <v>0.902</v>
      </c>
      <c r="J99" s="2" t="n">
        <f aca="false">B99/$B$1003</f>
        <v>0.00207842833913134</v>
      </c>
      <c r="K99" s="5" t="n">
        <f aca="false">J99*LOG(J99,2)</f>
        <v>-0.0185194019013796</v>
      </c>
    </row>
    <row r="100" customFormat="false" ht="13" hidden="false" customHeight="false" outlineLevel="0" collapsed="false">
      <c r="A100" s="4" t="n">
        <v>902</v>
      </c>
      <c r="B100" s="5" t="n">
        <v>26.6162542700579</v>
      </c>
      <c r="C100" s="5" t="n">
        <f aca="false">B100</f>
        <v>26.6162542700579</v>
      </c>
      <c r="D100" s="5" t="n">
        <f aca="false">C100*LOG(C100)</f>
        <v>37.9320732414518</v>
      </c>
      <c r="E100" s="5"/>
      <c r="F100" s="5"/>
      <c r="G100" s="4" t="n">
        <v>99</v>
      </c>
      <c r="H100" s="6" t="n">
        <v>0.901</v>
      </c>
      <c r="J100" s="2" t="n">
        <f aca="false">B100/$B$1003</f>
        <v>0.00207558620198224</v>
      </c>
      <c r="K100" s="5" t="n">
        <f aca="false">J100*LOG(J100,2)</f>
        <v>-0.0184981751639285</v>
      </c>
    </row>
    <row r="101" customFormat="false" ht="13" hidden="false" customHeight="false" outlineLevel="0" collapsed="false">
      <c r="A101" s="4" t="n">
        <v>901</v>
      </c>
      <c r="B101" s="5" t="n">
        <v>26.5987211508416</v>
      </c>
      <c r="C101" s="5" t="n">
        <f aca="false">B101</f>
        <v>26.5987211508416</v>
      </c>
      <c r="D101" s="5" t="n">
        <f aca="false">C101*LOG(C101)</f>
        <v>37.899473941923</v>
      </c>
      <c r="E101" s="5"/>
      <c r="F101" s="5"/>
      <c r="G101" s="4" t="n">
        <v>100</v>
      </c>
      <c r="H101" s="6" t="n">
        <v>0.9</v>
      </c>
      <c r="J101" s="2" t="n">
        <f aca="false">B101/$B$1003</f>
        <v>0.00207421893595173</v>
      </c>
      <c r="K101" s="5" t="n">
        <f aca="false">J101*LOG(J101,2)</f>
        <v>-0.0184879616242288</v>
      </c>
      <c r="L101" s="2" t="n">
        <f aca="false">SUM(J52:J101)</f>
        <v>0.106925210948788</v>
      </c>
    </row>
    <row r="102" customFormat="false" ht="13" hidden="false" customHeight="false" outlineLevel="0" collapsed="false">
      <c r="A102" s="4" t="n">
        <v>900</v>
      </c>
      <c r="B102" s="5" t="n">
        <v>26.5792795172554</v>
      </c>
      <c r="C102" s="5" t="n">
        <f aca="false">B102</f>
        <v>26.5792795172554</v>
      </c>
      <c r="D102" s="5" t="n">
        <f aca="false">C102*LOG(C102)</f>
        <v>37.8633320134875</v>
      </c>
      <c r="E102" s="5"/>
      <c r="F102" s="5"/>
      <c r="G102" s="4" t="n">
        <v>101</v>
      </c>
      <c r="H102" s="6" t="n">
        <v>0.899</v>
      </c>
      <c r="J102" s="2" t="n">
        <f aca="false">B102/$B$1003</f>
        <v>0.00207270284033564</v>
      </c>
      <c r="K102" s="5" t="n">
        <f aca="false">J102*LOG(J102,2)</f>
        <v>-0.0184766348004382</v>
      </c>
    </row>
    <row r="103" customFormat="false" ht="13" hidden="false" customHeight="false" outlineLevel="0" collapsed="false">
      <c r="A103" s="4" t="n">
        <v>899</v>
      </c>
      <c r="B103" s="5" t="n">
        <v>26.4999772627591</v>
      </c>
      <c r="C103" s="5" t="n">
        <f aca="false">B103</f>
        <v>26.4999772627591</v>
      </c>
      <c r="D103" s="5" t="n">
        <f aca="false">C103*LOG(C103)</f>
        <v>37.7159734239871</v>
      </c>
      <c r="E103" s="5"/>
      <c r="F103" s="5"/>
      <c r="G103" s="4" t="n">
        <v>102</v>
      </c>
      <c r="H103" s="6" t="n">
        <v>0.898</v>
      </c>
      <c r="J103" s="2" t="n">
        <f aca="false">B103/$B$1003</f>
        <v>0.0020665186994889</v>
      </c>
      <c r="K103" s="5" t="n">
        <f aca="false">J103*LOG(J103,2)</f>
        <v>-0.0184304161995272</v>
      </c>
    </row>
    <row r="104" customFormat="false" ht="13" hidden="false" customHeight="false" outlineLevel="0" collapsed="false">
      <c r="A104" s="4" t="n">
        <v>898</v>
      </c>
      <c r="B104" s="5" t="n">
        <v>26.4474118068481</v>
      </c>
      <c r="C104" s="5" t="n">
        <f aca="false">B104</f>
        <v>26.4474118068481</v>
      </c>
      <c r="D104" s="5" t="n">
        <f aca="false">C104*LOG(C104)</f>
        <v>37.6183536446164</v>
      </c>
      <c r="E104" s="5"/>
      <c r="F104" s="5"/>
      <c r="G104" s="4" t="n">
        <v>103</v>
      </c>
      <c r="H104" s="6" t="n">
        <v>0.897</v>
      </c>
      <c r="J104" s="2" t="n">
        <f aca="false">B104/$B$1003</f>
        <v>0.00206241954511944</v>
      </c>
      <c r="K104" s="5" t="n">
        <f aca="false">J104*LOG(J104,2)</f>
        <v>-0.0183997655161519</v>
      </c>
    </row>
    <row r="105" customFormat="false" ht="13" hidden="false" customHeight="false" outlineLevel="0" collapsed="false">
      <c r="A105" s="4" t="n">
        <v>897</v>
      </c>
      <c r="B105" s="5" t="n">
        <v>26.4330178541763</v>
      </c>
      <c r="C105" s="5" t="n">
        <f aca="false">B105</f>
        <v>26.4330178541763</v>
      </c>
      <c r="D105" s="5" t="n">
        <f aca="false">C105*LOG(C105)</f>
        <v>37.5916304156733</v>
      </c>
      <c r="E105" s="5"/>
      <c r="F105" s="5"/>
      <c r="G105" s="4" t="n">
        <v>104</v>
      </c>
      <c r="H105" s="6" t="n">
        <v>0.896</v>
      </c>
      <c r="J105" s="2" t="n">
        <f aca="false">B105/$B$1003</f>
        <v>0.00206129707727501</v>
      </c>
      <c r="K105" s="5" t="n">
        <f aca="false">J105*LOG(J105,2)</f>
        <v>-0.0183913704174339</v>
      </c>
    </row>
    <row r="106" customFormat="false" ht="13" hidden="false" customHeight="false" outlineLevel="0" collapsed="false">
      <c r="A106" s="4" t="n">
        <v>896</v>
      </c>
      <c r="B106" s="5" t="n">
        <v>26.4113129043707</v>
      </c>
      <c r="C106" s="5" t="n">
        <f aca="false">B106</f>
        <v>26.4113129043707</v>
      </c>
      <c r="D106" s="5" t="n">
        <f aca="false">C106*LOG(C106)</f>
        <v>37.5513403231188</v>
      </c>
      <c r="E106" s="5"/>
      <c r="F106" s="5"/>
      <c r="G106" s="4" t="n">
        <v>105</v>
      </c>
      <c r="H106" s="6" t="n">
        <v>0.895</v>
      </c>
      <c r="J106" s="2" t="n">
        <f aca="false">B106/$B$1003</f>
        <v>0.00205960448394935</v>
      </c>
      <c r="K106" s="5" t="n">
        <f aca="false">J106*LOG(J106,2)</f>
        <v>-0.0183787096005345</v>
      </c>
    </row>
    <row r="107" customFormat="false" ht="13" hidden="false" customHeight="false" outlineLevel="0" collapsed="false">
      <c r="A107" s="4" t="n">
        <v>895</v>
      </c>
      <c r="B107" s="5" t="n">
        <v>26.4005899494608</v>
      </c>
      <c r="C107" s="5" t="n">
        <f aca="false">B107</f>
        <v>26.4005899494608</v>
      </c>
      <c r="D107" s="5" t="n">
        <f aca="false">C107*LOG(C107)</f>
        <v>37.5314385584918</v>
      </c>
      <c r="E107" s="5"/>
      <c r="F107" s="5"/>
      <c r="G107" s="4" t="n">
        <v>106</v>
      </c>
      <c r="H107" s="6" t="n">
        <v>0.894</v>
      </c>
      <c r="J107" s="2" t="n">
        <f aca="false">B107/$B$1003</f>
        <v>0.00205876828750227</v>
      </c>
      <c r="K107" s="5" t="n">
        <f aca="false">J107*LOG(J107,2)</f>
        <v>-0.0183724540025103</v>
      </c>
    </row>
    <row r="108" customFormat="false" ht="13" hidden="false" customHeight="false" outlineLevel="0" collapsed="false">
      <c r="A108" s="4" t="n">
        <v>894</v>
      </c>
      <c r="B108" s="5" t="n">
        <v>26.3709817304468</v>
      </c>
      <c r="C108" s="5" t="n">
        <f aca="false">B108</f>
        <v>26.3709817304468</v>
      </c>
      <c r="D108" s="5" t="n">
        <f aca="false">C108*LOG(C108)</f>
        <v>37.4764956377877</v>
      </c>
      <c r="E108" s="5"/>
      <c r="F108" s="5"/>
      <c r="G108" s="4" t="n">
        <v>107</v>
      </c>
      <c r="H108" s="6" t="n">
        <v>0.893</v>
      </c>
      <c r="J108" s="2" t="n">
        <f aca="false">B108/$B$1003</f>
        <v>0.00205645938219098</v>
      </c>
      <c r="K108" s="5" t="n">
        <f aca="false">J108*LOG(J108,2)</f>
        <v>-0.0183551785026646</v>
      </c>
    </row>
    <row r="109" customFormat="false" ht="13" hidden="false" customHeight="false" outlineLevel="0" collapsed="false">
      <c r="A109" s="4" t="n">
        <v>893</v>
      </c>
      <c r="B109" s="5" t="n">
        <v>26.2530811606185</v>
      </c>
      <c r="C109" s="5" t="n">
        <f aca="false">B109</f>
        <v>26.2530811606185</v>
      </c>
      <c r="D109" s="5" t="n">
        <f aca="false">C109*LOG(C109)</f>
        <v>37.2578551031472</v>
      </c>
      <c r="E109" s="5"/>
      <c r="F109" s="5"/>
      <c r="G109" s="4" t="n">
        <v>108</v>
      </c>
      <c r="H109" s="6" t="n">
        <v>0.892</v>
      </c>
      <c r="J109" s="2" t="n">
        <f aca="false">B109/$B$1003</f>
        <v>0.00204726527119931</v>
      </c>
      <c r="K109" s="5" t="n">
        <f aca="false">J109*LOG(J109,2)</f>
        <v>-0.0182863499487492</v>
      </c>
    </row>
    <row r="110" customFormat="false" ht="13" hidden="false" customHeight="false" outlineLevel="0" collapsed="false">
      <c r="A110" s="4" t="n">
        <v>892</v>
      </c>
      <c r="B110" s="5" t="n">
        <v>26.1988377907169</v>
      </c>
      <c r="C110" s="5" t="n">
        <f aca="false">B110</f>
        <v>26.1988377907169</v>
      </c>
      <c r="D110" s="5" t="n">
        <f aca="false">C110*LOG(C110)</f>
        <v>37.1573407397669</v>
      </c>
      <c r="E110" s="5"/>
      <c r="F110" s="5"/>
      <c r="G110" s="4" t="n">
        <v>109</v>
      </c>
      <c r="H110" s="6" t="n">
        <v>0.891</v>
      </c>
      <c r="J110" s="2" t="n">
        <f aca="false">B110/$B$1003</f>
        <v>0.00204303526990106</v>
      </c>
      <c r="K110" s="5" t="n">
        <f aca="false">J110*LOG(J110,2)</f>
        <v>-0.0182546635054162</v>
      </c>
    </row>
    <row r="111" customFormat="false" ht="13" hidden="false" customHeight="false" outlineLevel="0" collapsed="false">
      <c r="A111" s="4" t="n">
        <v>891</v>
      </c>
      <c r="B111" s="5" t="n">
        <v>26.1552507090777</v>
      </c>
      <c r="C111" s="5" t="n">
        <f aca="false">B111</f>
        <v>26.1552507090777</v>
      </c>
      <c r="D111" s="5" t="n">
        <f aca="false">C111*LOG(C111)</f>
        <v>37.0766080916545</v>
      </c>
      <c r="E111" s="5"/>
      <c r="F111" s="5"/>
      <c r="G111" s="4" t="n">
        <v>110</v>
      </c>
      <c r="H111" s="6" t="n">
        <v>0.89</v>
      </c>
      <c r="J111" s="2" t="n">
        <f aca="false">B111/$B$1003</f>
        <v>0.00203963626625776</v>
      </c>
      <c r="K111" s="5" t="n">
        <f aca="false">J111*LOG(J111,2)</f>
        <v>-0.0182291928136049</v>
      </c>
    </row>
    <row r="112" customFormat="false" ht="13" hidden="false" customHeight="false" outlineLevel="0" collapsed="false">
      <c r="A112" s="4" t="n">
        <v>890</v>
      </c>
      <c r="B112" s="5" t="n">
        <v>26.078397333102</v>
      </c>
      <c r="C112" s="5" t="n">
        <f aca="false">B112</f>
        <v>26.078397333102</v>
      </c>
      <c r="D112" s="5" t="n">
        <f aca="false">C112*LOG(C112)</f>
        <v>36.934335993231</v>
      </c>
      <c r="E112" s="5"/>
      <c r="F112" s="5"/>
      <c r="G112" s="4" t="n">
        <v>111</v>
      </c>
      <c r="H112" s="6" t="n">
        <v>0.889</v>
      </c>
      <c r="J112" s="2" t="n">
        <f aca="false">B112/$B$1003</f>
        <v>0.00203364309362225</v>
      </c>
      <c r="K112" s="5" t="n">
        <f aca="false">J112*LOG(J112,2)</f>
        <v>-0.0181842626036583</v>
      </c>
    </row>
    <row r="113" customFormat="false" ht="13" hidden="false" customHeight="false" outlineLevel="0" collapsed="false">
      <c r="A113" s="4" t="n">
        <v>889</v>
      </c>
      <c r="B113" s="5" t="n">
        <v>26.0753396894916</v>
      </c>
      <c r="C113" s="5" t="n">
        <f aca="false">B113</f>
        <v>26.0753396894916</v>
      </c>
      <c r="D113" s="5" t="n">
        <f aca="false">C113*LOG(C113)</f>
        <v>36.9286776710961</v>
      </c>
      <c r="E113" s="5"/>
      <c r="F113" s="5"/>
      <c r="G113" s="4" t="n">
        <v>112</v>
      </c>
      <c r="H113" s="6" t="n">
        <v>0.888</v>
      </c>
      <c r="J113" s="2" t="n">
        <f aca="false">B113/$B$1003</f>
        <v>0.00203340465274984</v>
      </c>
      <c r="K113" s="5" t="n">
        <f aca="false">J113*LOG(J113,2)</f>
        <v>-0.0181824745099674</v>
      </c>
    </row>
    <row r="114" customFormat="false" ht="13" hidden="false" customHeight="false" outlineLevel="0" collapsed="false">
      <c r="A114" s="4" t="n">
        <v>888</v>
      </c>
      <c r="B114" s="5" t="n">
        <v>26.0589283355648</v>
      </c>
      <c r="C114" s="5" t="n">
        <f aca="false">B114</f>
        <v>26.0589283355648</v>
      </c>
      <c r="D114" s="5" t="n">
        <f aca="false">C114*LOG(C114)</f>
        <v>36.8983103026747</v>
      </c>
      <c r="E114" s="5"/>
      <c r="F114" s="5"/>
      <c r="G114" s="4" t="n">
        <v>113</v>
      </c>
      <c r="H114" s="6" t="n">
        <v>0.887</v>
      </c>
      <c r="J114" s="2" t="n">
        <f aca="false">B114/$B$1003</f>
        <v>0.00203212486411315</v>
      </c>
      <c r="K114" s="5" t="n">
        <f aca="false">J114*LOG(J114,2)</f>
        <v>-0.0181728765482392</v>
      </c>
    </row>
    <row r="115" customFormat="false" ht="13" hidden="false" customHeight="false" outlineLevel="0" collapsed="false">
      <c r="A115" s="4" t="n">
        <v>887</v>
      </c>
      <c r="B115" s="5" t="n">
        <v>26.0097937924593</v>
      </c>
      <c r="C115" s="5" t="n">
        <f aca="false">B115</f>
        <v>26.0097937924593</v>
      </c>
      <c r="D115" s="5" t="n">
        <f aca="false">C115*LOG(C115)</f>
        <v>36.8074191935608</v>
      </c>
      <c r="E115" s="5"/>
      <c r="F115" s="5"/>
      <c r="G115" s="4" t="n">
        <v>114</v>
      </c>
      <c r="H115" s="6" t="n">
        <v>0.886</v>
      </c>
      <c r="J115" s="2" t="n">
        <f aca="false">B115/$B$1003</f>
        <v>0.00202829325885886</v>
      </c>
      <c r="K115" s="5" t="n">
        <f aca="false">J115*LOG(J115,2)</f>
        <v>-0.0181441339102407</v>
      </c>
    </row>
    <row r="116" customFormat="false" ht="13" hidden="false" customHeight="false" outlineLevel="0" collapsed="false">
      <c r="A116" s="4" t="n">
        <v>886</v>
      </c>
      <c r="B116" s="5" t="n">
        <v>25.8823392405918</v>
      </c>
      <c r="C116" s="5" t="n">
        <f aca="false">B116</f>
        <v>25.8823392405918</v>
      </c>
      <c r="D116" s="5" t="n">
        <f aca="false">C116*LOG(C116)</f>
        <v>36.5718365878464</v>
      </c>
      <c r="E116" s="5"/>
      <c r="F116" s="5"/>
      <c r="G116" s="4" t="n">
        <v>115</v>
      </c>
      <c r="H116" s="6" t="n">
        <v>0.885</v>
      </c>
      <c r="J116" s="2" t="n">
        <f aca="false">B116/$B$1003</f>
        <v>0.00201835411015102</v>
      </c>
      <c r="K116" s="5" t="n">
        <f aca="false">J116*LOG(J116,2)</f>
        <v>-0.0180695270465779</v>
      </c>
    </row>
    <row r="117" customFormat="false" ht="13" hidden="false" customHeight="false" outlineLevel="0" collapsed="false">
      <c r="A117" s="4" t="n">
        <v>885</v>
      </c>
      <c r="B117" s="5" t="n">
        <v>25.8747375549589</v>
      </c>
      <c r="C117" s="5" t="n">
        <f aca="false">B117</f>
        <v>25.8747375549589</v>
      </c>
      <c r="D117" s="5" t="n">
        <f aca="false">C117*LOG(C117)</f>
        <v>36.5577944939823</v>
      </c>
      <c r="E117" s="5"/>
      <c r="F117" s="5"/>
      <c r="G117" s="4" t="n">
        <v>116</v>
      </c>
      <c r="H117" s="6" t="n">
        <v>0.884</v>
      </c>
      <c r="J117" s="2" t="n">
        <f aca="false">B117/$B$1003</f>
        <v>0.002017761316227</v>
      </c>
      <c r="K117" s="5" t="n">
        <f aca="false">J117*LOG(J117,2)</f>
        <v>-0.0180650750919972</v>
      </c>
    </row>
    <row r="118" customFormat="false" ht="13" hidden="false" customHeight="false" outlineLevel="0" collapsed="false">
      <c r="A118" s="4" t="n">
        <v>884</v>
      </c>
      <c r="B118" s="5" t="n">
        <v>25.8440866554738</v>
      </c>
      <c r="C118" s="5" t="n">
        <f aca="false">B118</f>
        <v>25.8440866554738</v>
      </c>
      <c r="D118" s="5" t="n">
        <f aca="false">C118*LOG(C118)</f>
        <v>36.501184946081</v>
      </c>
      <c r="E118" s="5"/>
      <c r="F118" s="5"/>
      <c r="G118" s="4" t="n">
        <v>117</v>
      </c>
      <c r="H118" s="6" t="n">
        <v>0.883</v>
      </c>
      <c r="J118" s="2" t="n">
        <f aca="false">B118/$B$1003</f>
        <v>0.00201537110070666</v>
      </c>
      <c r="K118" s="5" t="n">
        <f aca="false">J118*LOG(J118,2)</f>
        <v>-0.0180471217325375</v>
      </c>
    </row>
    <row r="119" customFormat="false" ht="13" hidden="false" customHeight="false" outlineLevel="0" collapsed="false">
      <c r="A119" s="4" t="n">
        <v>883</v>
      </c>
      <c r="B119" s="5" t="n">
        <v>25.8089970105837</v>
      </c>
      <c r="C119" s="5" t="n">
        <f aca="false">B119</f>
        <v>25.8089970105837</v>
      </c>
      <c r="D119" s="5" t="n">
        <f aca="false">C119*LOG(C119)</f>
        <v>36.4363968045454</v>
      </c>
      <c r="E119" s="5"/>
      <c r="F119" s="5"/>
      <c r="G119" s="4" t="n">
        <v>118</v>
      </c>
      <c r="H119" s="6" t="n">
        <v>0.882</v>
      </c>
      <c r="J119" s="2" t="n">
        <f aca="false">B119/$B$1003</f>
        <v>0.00201263474336548</v>
      </c>
      <c r="K119" s="5" t="n">
        <f aca="false">J119*LOG(J119,2)</f>
        <v>-0.0180265634153147</v>
      </c>
    </row>
    <row r="120" customFormat="false" ht="13" hidden="false" customHeight="false" outlineLevel="0" collapsed="false">
      <c r="A120" s="4" t="n">
        <v>882</v>
      </c>
      <c r="B120" s="5" t="n">
        <v>25.8055432461416</v>
      </c>
      <c r="C120" s="5" t="n">
        <f aca="false">B120</f>
        <v>25.8055432461416</v>
      </c>
      <c r="D120" s="5" t="n">
        <f aca="false">C120*LOG(C120)</f>
        <v>36.430021029153</v>
      </c>
      <c r="E120" s="5"/>
      <c r="F120" s="5"/>
      <c r="G120" s="4" t="n">
        <v>119</v>
      </c>
      <c r="H120" s="6" t="n">
        <v>0.881</v>
      </c>
      <c r="J120" s="2" t="n">
        <f aca="false">B120/$B$1003</f>
        <v>0.00201236541223616</v>
      </c>
      <c r="K120" s="5" t="n">
        <f aca="false">J120*LOG(J120,2)</f>
        <v>-0.0180245396341666</v>
      </c>
    </row>
    <row r="121" customFormat="false" ht="13" hidden="false" customHeight="false" outlineLevel="0" collapsed="false">
      <c r="A121" s="4" t="n">
        <v>881</v>
      </c>
      <c r="B121" s="5" t="n">
        <v>25.7338210678325</v>
      </c>
      <c r="C121" s="5" t="n">
        <f aca="false">B121</f>
        <v>25.7338210678325</v>
      </c>
      <c r="D121" s="5" t="n">
        <f aca="false">C121*LOG(C121)</f>
        <v>36.2976646771784</v>
      </c>
      <c r="E121" s="5"/>
      <c r="F121" s="5"/>
      <c r="G121" s="4" t="n">
        <v>120</v>
      </c>
      <c r="H121" s="6" t="n">
        <v>0.88</v>
      </c>
      <c r="J121" s="2" t="n">
        <f aca="false">B121/$B$1003</f>
        <v>0.00200677238016772</v>
      </c>
      <c r="K121" s="5" t="n">
        <f aca="false">J121*LOG(J121,2)</f>
        <v>-0.0179825012660089</v>
      </c>
    </row>
    <row r="122" customFormat="false" ht="13" hidden="false" customHeight="false" outlineLevel="0" collapsed="false">
      <c r="A122" s="4" t="n">
        <v>880</v>
      </c>
      <c r="B122" s="5" t="n">
        <v>25.7230246268773</v>
      </c>
      <c r="C122" s="5" t="n">
        <f aca="false">B122</f>
        <v>25.7230246268773</v>
      </c>
      <c r="D122" s="5" t="n">
        <f aca="false">C122*LOG(C122)</f>
        <v>36.2777484000258</v>
      </c>
      <c r="E122" s="5"/>
      <c r="F122" s="5"/>
      <c r="G122" s="4" t="n">
        <v>121</v>
      </c>
      <c r="H122" s="6" t="n">
        <v>0.879</v>
      </c>
      <c r="J122" s="2" t="n">
        <f aca="false">B122/$B$1003</f>
        <v>0.00200593045313885</v>
      </c>
      <c r="K122" s="5" t="n">
        <f aca="false">J122*LOG(J122,2)</f>
        <v>-0.017976171225068</v>
      </c>
    </row>
    <row r="123" customFormat="false" ht="13" hidden="false" customHeight="false" outlineLevel="0" collapsed="false">
      <c r="A123" s="4" t="n">
        <v>879</v>
      </c>
      <c r="B123" s="5" t="n">
        <v>25.4617670572355</v>
      </c>
      <c r="C123" s="5" t="n">
        <f aca="false">B123</f>
        <v>25.4617670572355</v>
      </c>
      <c r="D123" s="5" t="n">
        <f aca="false">C123*LOG(C123)</f>
        <v>35.7964065287213</v>
      </c>
      <c r="E123" s="5"/>
      <c r="F123" s="5"/>
      <c r="G123" s="4" t="n">
        <v>122</v>
      </c>
      <c r="H123" s="6" t="n">
        <v>0.878</v>
      </c>
      <c r="J123" s="2" t="n">
        <f aca="false">B123/$B$1003</f>
        <v>0.00198555709026029</v>
      </c>
      <c r="K123" s="5" t="n">
        <f aca="false">J123*LOG(J123,2)</f>
        <v>-0.0178228378529562</v>
      </c>
    </row>
    <row r="124" customFormat="false" ht="13" hidden="false" customHeight="false" outlineLevel="0" collapsed="false">
      <c r="A124" s="4" t="n">
        <v>878</v>
      </c>
      <c r="B124" s="5" t="n">
        <v>25.4011850306789</v>
      </c>
      <c r="C124" s="5" t="n">
        <f aca="false">B124</f>
        <v>25.4011850306789</v>
      </c>
      <c r="D124" s="5" t="n">
        <f aca="false">C124*LOG(C124)</f>
        <v>35.6849558374894</v>
      </c>
      <c r="E124" s="5"/>
      <c r="F124" s="5"/>
      <c r="G124" s="4" t="n">
        <v>123</v>
      </c>
      <c r="H124" s="6" t="n">
        <v>0.877</v>
      </c>
      <c r="J124" s="2" t="n">
        <f aca="false">B124/$B$1003</f>
        <v>0.00198083278844331</v>
      </c>
      <c r="K124" s="5" t="n">
        <f aca="false">J124*LOG(J124,2)</f>
        <v>-0.0177872389958499</v>
      </c>
    </row>
    <row r="125" customFormat="false" ht="13" hidden="false" customHeight="false" outlineLevel="0" collapsed="false">
      <c r="A125" s="4" t="n">
        <v>877</v>
      </c>
      <c r="B125" s="5" t="n">
        <v>25.3243623490779</v>
      </c>
      <c r="C125" s="5" t="n">
        <f aca="false">B125</f>
        <v>25.3243623490779</v>
      </c>
      <c r="D125" s="5" t="n">
        <f aca="false">C125*LOG(C125)</f>
        <v>35.5437180239744</v>
      </c>
      <c r="E125" s="5"/>
      <c r="F125" s="5"/>
      <c r="G125" s="4" t="n">
        <v>124</v>
      </c>
      <c r="H125" s="6" t="n">
        <v>0.876</v>
      </c>
      <c r="J125" s="2" t="n">
        <f aca="false">B125/$B$1003</f>
        <v>0.00197484200941361</v>
      </c>
      <c r="K125" s="5" t="n">
        <f aca="false">J125*LOG(J125,2)</f>
        <v>-0.0177420735184524</v>
      </c>
    </row>
    <row r="126" customFormat="false" ht="13" hidden="false" customHeight="false" outlineLevel="0" collapsed="false">
      <c r="A126" s="4" t="n">
        <v>876</v>
      </c>
      <c r="B126" s="5" t="n">
        <v>25.2936403559728</v>
      </c>
      <c r="C126" s="5" t="n">
        <f aca="false">B126</f>
        <v>25.2936403559728</v>
      </c>
      <c r="D126" s="5" t="n">
        <f aca="false">C126*LOG(C126)</f>
        <v>35.4872642275633</v>
      </c>
      <c r="E126" s="5"/>
      <c r="F126" s="5"/>
      <c r="G126" s="4" t="n">
        <v>125</v>
      </c>
      <c r="H126" s="6" t="n">
        <v>0.875</v>
      </c>
      <c r="J126" s="2" t="n">
        <f aca="false">B126/$B$1003</f>
        <v>0.00197244624987738</v>
      </c>
      <c r="K126" s="5" t="n">
        <f aca="false">J126*LOG(J126,2)</f>
        <v>-0.0177240041551066</v>
      </c>
    </row>
    <row r="127" customFormat="false" ht="13" hidden="false" customHeight="false" outlineLevel="0" collapsed="false">
      <c r="A127" s="4" t="n">
        <v>875</v>
      </c>
      <c r="B127" s="5" t="n">
        <v>25.2537298090725</v>
      </c>
      <c r="C127" s="5" t="n">
        <f aca="false">B127</f>
        <v>25.2537298090725</v>
      </c>
      <c r="D127" s="5" t="n">
        <f aca="false">C127*LOG(C127)</f>
        <v>35.413950029337</v>
      </c>
      <c r="E127" s="5"/>
      <c r="F127" s="5"/>
      <c r="G127" s="4" t="n">
        <v>126</v>
      </c>
      <c r="H127" s="6" t="n">
        <v>0.874</v>
      </c>
      <c r="J127" s="2" t="n">
        <f aca="false">B127/$B$1003</f>
        <v>0.00196933394941544</v>
      </c>
      <c r="K127" s="5" t="n">
        <f aca="false">J127*LOG(J127,2)</f>
        <v>-0.0177005242070511</v>
      </c>
    </row>
    <row r="128" customFormat="false" ht="13" hidden="false" customHeight="false" outlineLevel="0" collapsed="false">
      <c r="A128" s="4" t="n">
        <v>874</v>
      </c>
      <c r="B128" s="5" t="n">
        <v>25.2407374095095</v>
      </c>
      <c r="C128" s="5" t="n">
        <f aca="false">B128</f>
        <v>25.2407374095095</v>
      </c>
      <c r="D128" s="5" t="n">
        <f aca="false">C128*LOG(C128)</f>
        <v>35.3900893800191</v>
      </c>
      <c r="E128" s="5"/>
      <c r="F128" s="5"/>
      <c r="G128" s="4" t="n">
        <v>127</v>
      </c>
      <c r="H128" s="6" t="n">
        <v>0.873</v>
      </c>
      <c r="J128" s="2" t="n">
        <f aca="false">B128/$B$1003</f>
        <v>0.00196832077735185</v>
      </c>
      <c r="K128" s="5" t="n">
        <f aca="false">J128*LOG(J128,2)</f>
        <v>-0.0176928790612719</v>
      </c>
    </row>
    <row r="129" customFormat="false" ht="13" hidden="false" customHeight="false" outlineLevel="0" collapsed="false">
      <c r="A129" s="4" t="n">
        <v>873</v>
      </c>
      <c r="B129" s="5" t="n">
        <v>25.1940569226258</v>
      </c>
      <c r="C129" s="5" t="n">
        <f aca="false">B129</f>
        <v>25.1940569226258</v>
      </c>
      <c r="D129" s="5" t="n">
        <f aca="false">C129*LOG(C129)</f>
        <v>35.3043842545159</v>
      </c>
      <c r="E129" s="5"/>
      <c r="F129" s="5"/>
      <c r="G129" s="4" t="n">
        <v>128</v>
      </c>
      <c r="H129" s="6" t="n">
        <v>0.872</v>
      </c>
      <c r="J129" s="2" t="n">
        <f aca="false">B129/$B$1003</f>
        <v>0.00196468054407581</v>
      </c>
      <c r="K129" s="5" t="n">
        <f aca="false">J129*LOG(J129,2)</f>
        <v>-0.0176654045506758</v>
      </c>
    </row>
    <row r="130" customFormat="false" ht="13" hidden="false" customHeight="false" outlineLevel="0" collapsed="false">
      <c r="A130" s="4" t="n">
        <v>872</v>
      </c>
      <c r="B130" s="5" t="n">
        <v>24.9633925016185</v>
      </c>
      <c r="C130" s="5" t="n">
        <f aca="false">B130</f>
        <v>24.9633925016185</v>
      </c>
      <c r="D130" s="5" t="n">
        <f aca="false">C130*LOG(C130)</f>
        <v>34.8814383413767</v>
      </c>
      <c r="E130" s="5"/>
      <c r="F130" s="5"/>
      <c r="G130" s="4" t="n">
        <v>129</v>
      </c>
      <c r="H130" s="6" t="n">
        <v>0.871</v>
      </c>
      <c r="J130" s="2" t="n">
        <f aca="false">B130/$B$1003</f>
        <v>0.00194669289319626</v>
      </c>
      <c r="K130" s="5" t="n">
        <f aca="false">J130*LOG(J130,2)</f>
        <v>-0.0175295003106363</v>
      </c>
    </row>
    <row r="131" customFormat="false" ht="13" hidden="false" customHeight="false" outlineLevel="0" collapsed="false">
      <c r="A131" s="4" t="n">
        <v>871</v>
      </c>
      <c r="B131" s="5" t="n">
        <v>24.8046457201172</v>
      </c>
      <c r="C131" s="5" t="n">
        <f aca="false">B131</f>
        <v>24.8046457201172</v>
      </c>
      <c r="D131" s="5" t="n">
        <f aca="false">C131*LOG(C131)</f>
        <v>34.5908977162926</v>
      </c>
      <c r="E131" s="5"/>
      <c r="F131" s="5"/>
      <c r="G131" s="4" t="n">
        <v>130</v>
      </c>
      <c r="H131" s="6" t="n">
        <v>0.87</v>
      </c>
      <c r="J131" s="2" t="n">
        <f aca="false">B131/$B$1003</f>
        <v>0.00193431351682158</v>
      </c>
      <c r="K131" s="5" t="n">
        <f aca="false">J131*LOG(J131,2)</f>
        <v>-0.0174358297677741</v>
      </c>
    </row>
    <row r="132" customFormat="false" ht="13" hidden="false" customHeight="false" outlineLevel="0" collapsed="false">
      <c r="A132" s="4" t="n">
        <v>870</v>
      </c>
      <c r="B132" s="5" t="n">
        <v>24.7990486915567</v>
      </c>
      <c r="C132" s="5" t="n">
        <f aca="false">B132</f>
        <v>24.7990486915567</v>
      </c>
      <c r="D132" s="5" t="n">
        <f aca="false">C132*LOG(C132)</f>
        <v>34.580661990749</v>
      </c>
      <c r="E132" s="5"/>
      <c r="F132" s="5"/>
      <c r="G132" s="4" t="n">
        <v>131</v>
      </c>
      <c r="H132" s="6" t="n">
        <v>0.869</v>
      </c>
      <c r="J132" s="2" t="n">
        <f aca="false">B132/$B$1003</f>
        <v>0.00193387704987419</v>
      </c>
      <c r="K132" s="5" t="n">
        <f aca="false">J132*LOG(J132,2)</f>
        <v>-0.0174325250886706</v>
      </c>
    </row>
    <row r="133" customFormat="false" ht="13" hidden="false" customHeight="false" outlineLevel="0" collapsed="false">
      <c r="A133" s="4" t="n">
        <v>869</v>
      </c>
      <c r="B133" s="5" t="n">
        <v>24.7810786919081</v>
      </c>
      <c r="C133" s="5" t="n">
        <f aca="false">B133</f>
        <v>24.7810786919081</v>
      </c>
      <c r="D133" s="5" t="n">
        <f aca="false">C133*LOG(C133)</f>
        <v>34.5478025504855</v>
      </c>
      <c r="E133" s="5"/>
      <c r="F133" s="5"/>
      <c r="G133" s="4" t="n">
        <v>132</v>
      </c>
      <c r="H133" s="6" t="n">
        <v>0.868</v>
      </c>
      <c r="J133" s="2" t="n">
        <f aca="false">B133/$B$1003</f>
        <v>0.00193247571507547</v>
      </c>
      <c r="K133" s="5" t="n">
        <f aca="false">J133*LOG(J133,2)</f>
        <v>-0.0174219140190189</v>
      </c>
    </row>
    <row r="134" customFormat="false" ht="13" hidden="false" customHeight="false" outlineLevel="0" collapsed="false">
      <c r="A134" s="4" t="n">
        <v>868</v>
      </c>
      <c r="B134" s="5" t="n">
        <v>24.7025855033213</v>
      </c>
      <c r="C134" s="5" t="n">
        <f aca="false">B134</f>
        <v>24.7025855033213</v>
      </c>
      <c r="D134" s="5" t="n">
        <f aca="false">C134*LOG(C134)</f>
        <v>34.4043384967042</v>
      </c>
      <c r="E134" s="5"/>
      <c r="F134" s="5"/>
      <c r="G134" s="4" t="n">
        <v>133</v>
      </c>
      <c r="H134" s="6" t="n">
        <v>0.867</v>
      </c>
      <c r="J134" s="2" t="n">
        <f aca="false">B134/$B$1003</f>
        <v>0.00192635466672932</v>
      </c>
      <c r="K134" s="5" t="n">
        <f aca="false">J134*LOG(J134,2)</f>
        <v>-0.0173755475294175</v>
      </c>
    </row>
    <row r="135" customFormat="false" ht="13" hidden="false" customHeight="false" outlineLevel="0" collapsed="false">
      <c r="A135" s="4" t="n">
        <v>867</v>
      </c>
      <c r="B135" s="5" t="n">
        <v>24.7011255414868</v>
      </c>
      <c r="C135" s="5" t="n">
        <f aca="false">B135</f>
        <v>24.7011255414868</v>
      </c>
      <c r="D135" s="5" t="n">
        <f aca="false">C135*LOG(C135)</f>
        <v>34.4016711113072</v>
      </c>
      <c r="E135" s="5"/>
      <c r="F135" s="5"/>
      <c r="G135" s="4" t="n">
        <v>134</v>
      </c>
      <c r="H135" s="6" t="n">
        <v>0.866</v>
      </c>
      <c r="J135" s="2" t="n">
        <f aca="false">B135/$B$1003</f>
        <v>0.00192624081612479</v>
      </c>
      <c r="K135" s="5" t="n">
        <f aca="false">J135*LOG(J135,2)</f>
        <v>-0.0173746848539531</v>
      </c>
    </row>
    <row r="136" customFormat="false" ht="13" hidden="false" customHeight="false" outlineLevel="0" collapsed="false">
      <c r="A136" s="4" t="n">
        <v>866</v>
      </c>
      <c r="B136" s="5" t="n">
        <v>24.6211039914078</v>
      </c>
      <c r="C136" s="5" t="n">
        <f aca="false">B136</f>
        <v>24.6211039914078</v>
      </c>
      <c r="D136" s="5" t="n">
        <f aca="false">C136*LOG(C136)</f>
        <v>34.2555271945938</v>
      </c>
      <c r="E136" s="5"/>
      <c r="F136" s="5"/>
      <c r="G136" s="4" t="n">
        <v>135</v>
      </c>
      <c r="H136" s="6" t="n">
        <v>0.865</v>
      </c>
      <c r="J136" s="2" t="n">
        <f aca="false">B136/$B$1003</f>
        <v>0.00192000058323853</v>
      </c>
      <c r="K136" s="5" t="n">
        <f aca="false">J136*LOG(J136,2)</f>
        <v>-0.0173273861316385</v>
      </c>
    </row>
    <row r="137" customFormat="false" ht="13" hidden="false" customHeight="false" outlineLevel="0" collapsed="false">
      <c r="A137" s="4" t="n">
        <v>865</v>
      </c>
      <c r="B137" s="5" t="n">
        <v>24.6089347022388</v>
      </c>
      <c r="C137" s="5" t="n">
        <f aca="false">B137</f>
        <v>24.6089347022388</v>
      </c>
      <c r="D137" s="5" t="n">
        <f aca="false">C137*LOG(C137)</f>
        <v>34.2333122222127</v>
      </c>
      <c r="E137" s="5"/>
      <c r="F137" s="5"/>
      <c r="G137" s="4" t="n">
        <v>136</v>
      </c>
      <c r="H137" s="6" t="n">
        <v>0.864</v>
      </c>
      <c r="J137" s="2" t="n">
        <f aca="false">B137/$B$1003</f>
        <v>0.00191905159889118</v>
      </c>
      <c r="K137" s="5" t="n">
        <f aca="false">J137*LOG(J137,2)</f>
        <v>-0.0173201906105274</v>
      </c>
    </row>
    <row r="138" customFormat="false" ht="13" hidden="false" customHeight="false" outlineLevel="0" collapsed="false">
      <c r="A138" s="4" t="n">
        <v>864</v>
      </c>
      <c r="B138" s="5" t="n">
        <v>24.5666612321029</v>
      </c>
      <c r="C138" s="5" t="n">
        <f aca="false">B138</f>
        <v>24.5666612321029</v>
      </c>
      <c r="D138" s="5" t="n">
        <f aca="false">C138*LOG(C138)</f>
        <v>34.1561625446649</v>
      </c>
      <c r="E138" s="5"/>
      <c r="F138" s="5"/>
      <c r="G138" s="4" t="n">
        <v>137</v>
      </c>
      <c r="H138" s="6" t="n">
        <v>0.863</v>
      </c>
      <c r="J138" s="2" t="n">
        <f aca="false">B138/$B$1003</f>
        <v>0.00191575503317485</v>
      </c>
      <c r="K138" s="5" t="n">
        <f aca="false">J138*LOG(J138,2)</f>
        <v>-0.0172951896684698</v>
      </c>
    </row>
    <row r="139" customFormat="false" ht="13" hidden="false" customHeight="false" outlineLevel="0" collapsed="false">
      <c r="A139" s="4" t="n">
        <v>863</v>
      </c>
      <c r="B139" s="5" t="n">
        <v>24.5414794835168</v>
      </c>
      <c r="C139" s="5" t="n">
        <f aca="false">B139</f>
        <v>24.5414794835168</v>
      </c>
      <c r="D139" s="5" t="n">
        <f aca="false">C139*LOG(C139)</f>
        <v>34.1102205103101</v>
      </c>
      <c r="E139" s="5"/>
      <c r="F139" s="5"/>
      <c r="G139" s="4" t="n">
        <v>138</v>
      </c>
      <c r="H139" s="6" t="n">
        <v>0.862</v>
      </c>
      <c r="J139" s="2" t="n">
        <f aca="false">B139/$B$1003</f>
        <v>0.0019137913124583</v>
      </c>
      <c r="K139" s="5" t="n">
        <f aca="false">J139*LOG(J139,2)</f>
        <v>-0.0172802930484422</v>
      </c>
    </row>
    <row r="140" customFormat="false" ht="13" hidden="false" customHeight="false" outlineLevel="0" collapsed="false">
      <c r="A140" s="4" t="n">
        <v>862</v>
      </c>
      <c r="B140" s="5" t="n">
        <v>24.4921399083706</v>
      </c>
      <c r="C140" s="5" t="n">
        <f aca="false">B140</f>
        <v>24.4921399083706</v>
      </c>
      <c r="D140" s="5" t="n">
        <f aca="false">C140*LOG(C140)</f>
        <v>34.020237047431</v>
      </c>
      <c r="E140" s="5"/>
      <c r="F140" s="5"/>
      <c r="G140" s="4" t="n">
        <v>139</v>
      </c>
      <c r="H140" s="6" t="n">
        <v>0.861</v>
      </c>
      <c r="J140" s="2" t="n">
        <f aca="false">B140/$B$1003</f>
        <v>0.00190994371841497</v>
      </c>
      <c r="K140" s="5" t="n">
        <f aca="false">J140*LOG(J140,2)</f>
        <v>-0.0172510970934056</v>
      </c>
    </row>
    <row r="141" customFormat="false" ht="13" hidden="false" customHeight="false" outlineLevel="0" collapsed="false">
      <c r="A141" s="4" t="n">
        <v>861</v>
      </c>
      <c r="B141" s="5" t="n">
        <v>24.4194680392712</v>
      </c>
      <c r="C141" s="5" t="n">
        <f aca="false">B141</f>
        <v>24.4194680392712</v>
      </c>
      <c r="D141" s="5" t="n">
        <f aca="false">C141*LOG(C141)</f>
        <v>33.8877797563633</v>
      </c>
      <c r="E141" s="5"/>
      <c r="F141" s="5"/>
      <c r="G141" s="4" t="n">
        <v>140</v>
      </c>
      <c r="H141" s="6" t="n">
        <v>0.86</v>
      </c>
      <c r="J141" s="2" t="n">
        <f aca="false">B141/$B$1003</f>
        <v>0.00190427662764989</v>
      </c>
      <c r="K141" s="5" t="n">
        <f aca="false">J141*LOG(J141,2)</f>
        <v>-0.0172080742314644</v>
      </c>
    </row>
    <row r="142" customFormat="false" ht="13" hidden="false" customHeight="false" outlineLevel="0" collapsed="false">
      <c r="A142" s="4" t="n">
        <v>860</v>
      </c>
      <c r="B142" s="5" t="n">
        <v>24.373742144066</v>
      </c>
      <c r="C142" s="5" t="n">
        <f aca="false">B142</f>
        <v>24.373742144066</v>
      </c>
      <c r="D142" s="5" t="n">
        <f aca="false">C142*LOG(C142)</f>
        <v>33.8044843767111</v>
      </c>
      <c r="E142" s="5"/>
      <c r="F142" s="5"/>
      <c r="G142" s="4" t="n">
        <v>141</v>
      </c>
      <c r="H142" s="6" t="n">
        <v>0.859</v>
      </c>
      <c r="J142" s="2" t="n">
        <f aca="false">B142/$B$1003</f>
        <v>0.00190071083525107</v>
      </c>
      <c r="K142" s="5" t="n">
        <f aca="false">J142*LOG(J142,2)</f>
        <v>-0.0171809913330429</v>
      </c>
    </row>
    <row r="143" customFormat="false" ht="13" hidden="false" customHeight="false" outlineLevel="0" collapsed="false">
      <c r="A143" s="4" t="n">
        <v>859</v>
      </c>
      <c r="B143" s="5" t="n">
        <v>24.3715629167697</v>
      </c>
      <c r="C143" s="5" t="n">
        <f aca="false">B143</f>
        <v>24.3715629167697</v>
      </c>
      <c r="D143" s="5" t="n">
        <f aca="false">C143*LOG(C143)</f>
        <v>33.8005155738893</v>
      </c>
      <c r="E143" s="5"/>
      <c r="F143" s="5"/>
      <c r="G143" s="4" t="n">
        <v>142</v>
      </c>
      <c r="H143" s="6" t="n">
        <v>0.858</v>
      </c>
      <c r="J143" s="2" t="n">
        <f aca="false">B143/$B$1003</f>
        <v>0.00190054089495589</v>
      </c>
      <c r="K143" s="5" t="n">
        <f aca="false">J143*LOG(J143,2)</f>
        <v>-0.0171797003621024</v>
      </c>
    </row>
    <row r="144" customFormat="false" ht="13" hidden="false" customHeight="false" outlineLevel="0" collapsed="false">
      <c r="A144" s="4" t="n">
        <v>858</v>
      </c>
      <c r="B144" s="5" t="n">
        <v>24.3532300327259</v>
      </c>
      <c r="C144" s="5" t="n">
        <f aca="false">B144</f>
        <v>24.3532300327259</v>
      </c>
      <c r="D144" s="5" t="n">
        <f aca="false">C144*LOG(C144)</f>
        <v>33.7671311266166</v>
      </c>
      <c r="E144" s="5"/>
      <c r="F144" s="5"/>
      <c r="G144" s="4" t="n">
        <v>143</v>
      </c>
      <c r="H144" s="6" t="n">
        <v>0.857</v>
      </c>
      <c r="J144" s="2" t="n">
        <f aca="false">B144/$B$1003</f>
        <v>0.00189911126174087</v>
      </c>
      <c r="K144" s="5" t="n">
        <f aca="false">J144*LOG(J144,2)</f>
        <v>-0.0171688391212948</v>
      </c>
    </row>
    <row r="145" customFormat="false" ht="13" hidden="false" customHeight="false" outlineLevel="0" collapsed="false">
      <c r="A145" s="4" t="n">
        <v>857</v>
      </c>
      <c r="B145" s="5" t="n">
        <v>24.3434460948565</v>
      </c>
      <c r="C145" s="5" t="n">
        <f aca="false">B145</f>
        <v>24.3434460948565</v>
      </c>
      <c r="D145" s="5" t="n">
        <f aca="false">C145*LOG(C145)</f>
        <v>33.7493168867024</v>
      </c>
      <c r="E145" s="5"/>
      <c r="F145" s="5"/>
      <c r="G145" s="4" t="n">
        <v>144</v>
      </c>
      <c r="H145" s="6" t="n">
        <v>0.856</v>
      </c>
      <c r="J145" s="2" t="n">
        <f aca="false">B145/$B$1003</f>
        <v>0.00189834829163108</v>
      </c>
      <c r="K145" s="5" t="n">
        <f aca="false">J145*LOG(J145,2)</f>
        <v>-0.0171630420327006</v>
      </c>
    </row>
    <row r="146" customFormat="false" ht="13" hidden="false" customHeight="false" outlineLevel="0" collapsed="false">
      <c r="A146" s="4" t="n">
        <v>856</v>
      </c>
      <c r="B146" s="5" t="n">
        <v>24.2517077228529</v>
      </c>
      <c r="C146" s="5" t="n">
        <f aca="false">B146</f>
        <v>24.2517077228529</v>
      </c>
      <c r="D146" s="5" t="n">
        <f aca="false">C146*LOG(C146)</f>
        <v>33.5823661508667</v>
      </c>
      <c r="E146" s="5"/>
      <c r="F146" s="5"/>
      <c r="G146" s="4" t="n">
        <v>145</v>
      </c>
      <c r="H146" s="6" t="n">
        <v>0.855</v>
      </c>
      <c r="J146" s="2" t="n">
        <f aca="false">B146/$B$1003</f>
        <v>0.00189119435865497</v>
      </c>
      <c r="K146" s="5" t="n">
        <f aca="false">J146*LOG(J146,2)</f>
        <v>-0.0171086645134372</v>
      </c>
    </row>
    <row r="147" customFormat="false" ht="13" hidden="false" customHeight="false" outlineLevel="0" collapsed="false">
      <c r="A147" s="4" t="n">
        <v>855</v>
      </c>
      <c r="B147" s="5" t="n">
        <v>24.2295564646748</v>
      </c>
      <c r="C147" s="5" t="n">
        <f aca="false">B147</f>
        <v>24.2295564646748</v>
      </c>
      <c r="D147" s="5" t="n">
        <f aca="false">C147*LOG(C147)</f>
        <v>33.5420765917289</v>
      </c>
      <c r="E147" s="5"/>
      <c r="F147" s="5"/>
      <c r="G147" s="4" t="n">
        <v>146</v>
      </c>
      <c r="H147" s="6" t="n">
        <v>0.854</v>
      </c>
      <c r="J147" s="2" t="n">
        <f aca="false">B147/$B$1003</f>
        <v>0.00188946696135239</v>
      </c>
      <c r="K147" s="5" t="n">
        <f aca="false">J147*LOG(J147,2)</f>
        <v>-0.0170955286058473</v>
      </c>
    </row>
    <row r="148" customFormat="false" ht="13" hidden="false" customHeight="false" outlineLevel="0" collapsed="false">
      <c r="A148" s="4" t="n">
        <v>854</v>
      </c>
      <c r="B148" s="5" t="n">
        <v>24.1470777731761</v>
      </c>
      <c r="C148" s="5" t="n">
        <f aca="false">B148</f>
        <v>24.1470777731761</v>
      </c>
      <c r="D148" s="5" t="n">
        <f aca="false">C148*LOG(C148)</f>
        <v>33.392138584618</v>
      </c>
      <c r="E148" s="5"/>
      <c r="F148" s="5"/>
      <c r="G148" s="4" t="n">
        <v>147</v>
      </c>
      <c r="H148" s="6" t="n">
        <v>0.853</v>
      </c>
      <c r="J148" s="2" t="n">
        <f aca="false">B148/$B$1003</f>
        <v>0.00188303511589827</v>
      </c>
      <c r="K148" s="5" t="n">
        <f aca="false">J148*LOG(J148,2)</f>
        <v>-0.0170465979025974</v>
      </c>
    </row>
    <row r="149" customFormat="false" ht="13" hidden="false" customHeight="false" outlineLevel="0" collapsed="false">
      <c r="A149" s="4" t="n">
        <v>853</v>
      </c>
      <c r="B149" s="5" t="n">
        <v>23.9096451064075</v>
      </c>
      <c r="C149" s="5" t="n">
        <f aca="false">B149</f>
        <v>23.9096451064075</v>
      </c>
      <c r="D149" s="5" t="n">
        <f aca="false">C149*LOG(C149)</f>
        <v>32.9611942886849</v>
      </c>
      <c r="E149" s="5"/>
      <c r="F149" s="5"/>
      <c r="G149" s="4" t="n">
        <v>148</v>
      </c>
      <c r="H149" s="6" t="n">
        <v>0.852</v>
      </c>
      <c r="J149" s="2" t="n">
        <f aca="false">B149/$B$1003</f>
        <v>0.00186451966432329</v>
      </c>
      <c r="K149" s="5" t="n">
        <f aca="false">J149*LOG(J149,2)</f>
        <v>-0.0169055630130972</v>
      </c>
    </row>
    <row r="150" customFormat="false" ht="13" hidden="false" customHeight="false" outlineLevel="0" collapsed="false">
      <c r="A150" s="4" t="n">
        <v>852</v>
      </c>
      <c r="B150" s="5" t="n">
        <v>23.8928778059056</v>
      </c>
      <c r="C150" s="5" t="n">
        <f aca="false">B150</f>
        <v>23.8928778059056</v>
      </c>
      <c r="D150" s="5" t="n">
        <f aca="false">C150*LOG(C150)</f>
        <v>32.9307999465982</v>
      </c>
      <c r="E150" s="5"/>
      <c r="F150" s="5"/>
      <c r="G150" s="4" t="n">
        <v>149</v>
      </c>
      <c r="H150" s="6" t="n">
        <v>0.851</v>
      </c>
      <c r="J150" s="2" t="n">
        <f aca="false">B150/$B$1003</f>
        <v>0.00186321211829472</v>
      </c>
      <c r="K150" s="5" t="n">
        <f aca="false">J150*LOG(J150,2)</f>
        <v>-0.0168955932476263</v>
      </c>
    </row>
    <row r="151" customFormat="false" ht="13" hidden="false" customHeight="false" outlineLevel="0" collapsed="false">
      <c r="A151" s="4" t="n">
        <v>851</v>
      </c>
      <c r="B151" s="5" t="n">
        <v>23.7800388414296</v>
      </c>
      <c r="C151" s="5" t="n">
        <f aca="false">B151</f>
        <v>23.7800388414296</v>
      </c>
      <c r="D151" s="5" t="n">
        <f aca="false">C151*LOG(C151)</f>
        <v>32.72638812239</v>
      </c>
      <c r="E151" s="5"/>
      <c r="F151" s="5"/>
      <c r="G151" s="4" t="n">
        <v>150</v>
      </c>
      <c r="H151" s="6" t="n">
        <v>0.85</v>
      </c>
      <c r="J151" s="2" t="n">
        <f aca="false">B151/$B$1003</f>
        <v>0.00185441272092888</v>
      </c>
      <c r="K151" s="5" t="n">
        <f aca="false">J151*LOG(J151,2)</f>
        <v>-0.0168284652022136</v>
      </c>
      <c r="L151" s="2" t="n">
        <f aca="false">SUM(J102:J151)</f>
        <v>0.0985277016720751</v>
      </c>
    </row>
    <row r="152" customFormat="false" ht="13" hidden="false" customHeight="false" outlineLevel="0" collapsed="false">
      <c r="A152" s="4" t="n">
        <v>850</v>
      </c>
      <c r="B152" s="5" t="n">
        <v>23.6944889629638</v>
      </c>
      <c r="C152" s="5" t="n">
        <f aca="false">B152</f>
        <v>23.6944889629638</v>
      </c>
      <c r="D152" s="5" t="n">
        <f aca="false">C152*LOG(C152)</f>
        <v>32.5715663767103</v>
      </c>
      <c r="E152" s="5"/>
      <c r="F152" s="5"/>
      <c r="G152" s="4" t="n">
        <v>151</v>
      </c>
      <c r="H152" s="6" t="n">
        <v>0.849</v>
      </c>
      <c r="J152" s="2" t="n">
        <f aca="false">B152/$B$1003</f>
        <v>0.00184774137846562</v>
      </c>
      <c r="K152" s="5" t="n">
        <f aca="false">J152*LOG(J152,2)</f>
        <v>-0.016777531336612</v>
      </c>
    </row>
    <row r="153" customFormat="false" ht="13" hidden="false" customHeight="false" outlineLevel="0" collapsed="false">
      <c r="A153" s="4" t="n">
        <v>849</v>
      </c>
      <c r="B153" s="5" t="n">
        <v>23.6504296891142</v>
      </c>
      <c r="C153" s="5" t="n">
        <f aca="false">B153</f>
        <v>23.6504296891142</v>
      </c>
      <c r="D153" s="5" t="n">
        <f aca="false">C153*LOG(C153)</f>
        <v>32.4918835145903</v>
      </c>
      <c r="E153" s="5"/>
      <c r="F153" s="5"/>
      <c r="G153" s="4" t="n">
        <v>152</v>
      </c>
      <c r="H153" s="6" t="n">
        <v>0.848</v>
      </c>
      <c r="J153" s="2" t="n">
        <f aca="false">B153/$B$1003</f>
        <v>0.0018443055523744</v>
      </c>
      <c r="K153" s="5" t="n">
        <f aca="false">J153*LOG(J153,2)</f>
        <v>-0.0167512861998702</v>
      </c>
    </row>
    <row r="154" customFormat="false" ht="13" hidden="false" customHeight="false" outlineLevel="0" collapsed="false">
      <c r="A154" s="4" t="n">
        <v>848</v>
      </c>
      <c r="B154" s="5" t="n">
        <v>23.6358645198626</v>
      </c>
      <c r="C154" s="5" t="n">
        <f aca="false">B154</f>
        <v>23.6358645198626</v>
      </c>
      <c r="D154" s="5" t="n">
        <f aca="false">C154*LOG(C154)</f>
        <v>32.4655496920879</v>
      </c>
      <c r="E154" s="5"/>
      <c r="F154" s="5"/>
      <c r="G154" s="4" t="n">
        <v>153</v>
      </c>
      <c r="H154" s="6" t="n">
        <v>0.847</v>
      </c>
      <c r="J154" s="2" t="n">
        <f aca="false">B154/$B$1003</f>
        <v>0.00184316973273497</v>
      </c>
      <c r="K154" s="5" t="n">
        <f aca="false">J154*LOG(J154,2)</f>
        <v>-0.0167426080200199</v>
      </c>
    </row>
    <row r="155" customFormat="false" ht="13" hidden="false" customHeight="false" outlineLevel="0" collapsed="false">
      <c r="A155" s="4" t="n">
        <v>847</v>
      </c>
      <c r="B155" s="5" t="n">
        <v>23.6009674239449</v>
      </c>
      <c r="C155" s="5" t="n">
        <f aca="false">B155</f>
        <v>23.6009674239449</v>
      </c>
      <c r="D155" s="5" t="n">
        <f aca="false">C155*LOG(C155)</f>
        <v>32.4024716135327</v>
      </c>
      <c r="E155" s="5"/>
      <c r="F155" s="5"/>
      <c r="G155" s="4" t="n">
        <v>154</v>
      </c>
      <c r="H155" s="6" t="n">
        <v>0.846</v>
      </c>
      <c r="J155" s="2" t="n">
        <f aca="false">B155/$B$1003</f>
        <v>0.0018404483907294</v>
      </c>
      <c r="K155" s="5" t="n">
        <f aca="false">J155*LOG(J155,2)</f>
        <v>-0.0167218116172971</v>
      </c>
    </row>
    <row r="156" customFormat="false" ht="13" hidden="false" customHeight="false" outlineLevel="0" collapsed="false">
      <c r="A156" s="4" t="n">
        <v>846</v>
      </c>
      <c r="B156" s="5" t="n">
        <v>23.4923284604848</v>
      </c>
      <c r="C156" s="5" t="n">
        <f aca="false">B156</f>
        <v>23.4923284604848</v>
      </c>
      <c r="D156" s="5" t="n">
        <f aca="false">C156*LOG(C156)</f>
        <v>32.2062453986979</v>
      </c>
      <c r="E156" s="5"/>
      <c r="F156" s="5"/>
      <c r="G156" s="4" t="n">
        <v>155</v>
      </c>
      <c r="H156" s="6" t="n">
        <v>0.845</v>
      </c>
      <c r="J156" s="2" t="n">
        <f aca="false">B156/$B$1003</f>
        <v>0.00183197651744221</v>
      </c>
      <c r="K156" s="5" t="n">
        <f aca="false">J156*LOG(J156,2)</f>
        <v>-0.0166570326451794</v>
      </c>
    </row>
    <row r="157" customFormat="false" ht="13" hidden="false" customHeight="false" outlineLevel="0" collapsed="false">
      <c r="A157" s="4" t="n">
        <v>845</v>
      </c>
      <c r="B157" s="5" t="n">
        <v>23.4022268030818</v>
      </c>
      <c r="C157" s="5" t="n">
        <f aca="false">B157</f>
        <v>23.4022268030818</v>
      </c>
      <c r="D157" s="5" t="n">
        <f aca="false">C157*LOG(C157)</f>
        <v>32.0436671717928</v>
      </c>
      <c r="E157" s="5"/>
      <c r="F157" s="5"/>
      <c r="G157" s="4" t="n">
        <v>156</v>
      </c>
      <c r="H157" s="6" t="n">
        <v>0.844</v>
      </c>
      <c r="J157" s="2" t="n">
        <f aca="false">B157/$B$1003</f>
        <v>0.00182495021858799</v>
      </c>
      <c r="K157" s="5" t="n">
        <f aca="false">J157*LOG(J157,2)</f>
        <v>-0.0166032641854364</v>
      </c>
    </row>
    <row r="158" customFormat="false" ht="13" hidden="false" customHeight="false" outlineLevel="0" collapsed="false">
      <c r="A158" s="4" t="n">
        <v>844</v>
      </c>
      <c r="B158" s="5" t="n">
        <v>23.3111005300175</v>
      </c>
      <c r="C158" s="5" t="n">
        <f aca="false">B158</f>
        <v>23.3111005300175</v>
      </c>
      <c r="D158" s="5" t="n">
        <f aca="false">C158*LOG(C158)</f>
        <v>31.8793933824832</v>
      </c>
      <c r="E158" s="5"/>
      <c r="F158" s="5"/>
      <c r="G158" s="4" t="n">
        <v>157</v>
      </c>
      <c r="H158" s="6" t="n">
        <v>0.843</v>
      </c>
      <c r="J158" s="2" t="n">
        <f aca="false">B158/$B$1003</f>
        <v>0.00181784401825299</v>
      </c>
      <c r="K158" s="5" t="n">
        <f aca="false">J158*LOG(J158,2)</f>
        <v>-0.0165488445859648</v>
      </c>
    </row>
    <row r="159" customFormat="false" ht="13" hidden="false" customHeight="false" outlineLevel="0" collapsed="false">
      <c r="A159" s="4" t="n">
        <v>843</v>
      </c>
      <c r="B159" s="5" t="n">
        <v>23.1284145303318</v>
      </c>
      <c r="C159" s="5" t="n">
        <f aca="false">B159</f>
        <v>23.1284145303318</v>
      </c>
      <c r="D159" s="5" t="n">
        <f aca="false">C159*LOG(C159)</f>
        <v>31.5505309897681</v>
      </c>
      <c r="E159" s="5"/>
      <c r="F159" s="5"/>
      <c r="G159" s="4" t="n">
        <v>158</v>
      </c>
      <c r="H159" s="6" t="n">
        <v>0.842</v>
      </c>
      <c r="J159" s="2" t="n">
        <f aca="false">B159/$B$1003</f>
        <v>0.00180359781604904</v>
      </c>
      <c r="K159" s="5" t="n">
        <f aca="false">J159*LOG(J159,2)</f>
        <v>-0.0164396256670318</v>
      </c>
    </row>
    <row r="160" customFormat="false" ht="13" hidden="false" customHeight="false" outlineLevel="0" collapsed="false">
      <c r="A160" s="4" t="n">
        <v>842</v>
      </c>
      <c r="B160" s="5" t="n">
        <v>22.8172486405142</v>
      </c>
      <c r="C160" s="5" t="n">
        <f aca="false">B160</f>
        <v>22.8172486405142</v>
      </c>
      <c r="D160" s="5" t="n">
        <f aca="false">C160*LOG(C160)</f>
        <v>30.9918308638485</v>
      </c>
      <c r="E160" s="5"/>
      <c r="F160" s="5"/>
      <c r="G160" s="4" t="n">
        <v>159</v>
      </c>
      <c r="H160" s="6" t="n">
        <v>0.841</v>
      </c>
      <c r="J160" s="2" t="n">
        <f aca="false">B160/$B$1003</f>
        <v>0.0017793325073065</v>
      </c>
      <c r="K160" s="5" t="n">
        <f aca="false">J160*LOG(J160,2)</f>
        <v>-0.0162532205289805</v>
      </c>
    </row>
    <row r="161" customFormat="false" ht="13" hidden="false" customHeight="false" outlineLevel="0" collapsed="false">
      <c r="A161" s="4" t="n">
        <v>841</v>
      </c>
      <c r="B161" s="5" t="n">
        <v>22.8158893377548</v>
      </c>
      <c r="C161" s="5" t="n">
        <f aca="false">B161</f>
        <v>22.8158893377548</v>
      </c>
      <c r="D161" s="5" t="n">
        <f aca="false">C161*LOG(C161)</f>
        <v>30.9893942527278</v>
      </c>
      <c r="E161" s="5"/>
      <c r="F161" s="5"/>
      <c r="G161" s="4" t="n">
        <v>160</v>
      </c>
      <c r="H161" s="6" t="n">
        <v>0.84</v>
      </c>
      <c r="J161" s="2" t="n">
        <f aca="false">B161/$B$1003</f>
        <v>0.00177922650628836</v>
      </c>
      <c r="K161" s="5" t="n">
        <f aca="false">J161*LOG(J161,2)</f>
        <v>-0.0162524051907644</v>
      </c>
    </row>
    <row r="162" customFormat="false" ht="13" hidden="false" customHeight="false" outlineLevel="0" collapsed="false">
      <c r="A162" s="4" t="n">
        <v>840</v>
      </c>
      <c r="B162" s="5" t="n">
        <v>22.7618590036584</v>
      </c>
      <c r="C162" s="5" t="n">
        <f aca="false">B162</f>
        <v>22.7618590036584</v>
      </c>
      <c r="D162" s="5" t="n">
        <f aca="false">C162*LOG(C162)</f>
        <v>30.89257096197</v>
      </c>
      <c r="E162" s="5"/>
      <c r="F162" s="5"/>
      <c r="G162" s="4" t="n">
        <v>161</v>
      </c>
      <c r="H162" s="6" t="n">
        <v>0.839</v>
      </c>
      <c r="J162" s="2" t="n">
        <f aca="false">B162/$B$1003</f>
        <v>0.00177501311792795</v>
      </c>
      <c r="K162" s="5" t="n">
        <f aca="false">J162*LOG(J162,2)</f>
        <v>-0.0162199892825099</v>
      </c>
    </row>
    <row r="163" customFormat="false" ht="13" hidden="false" customHeight="false" outlineLevel="0" collapsed="false">
      <c r="A163" s="4" t="n">
        <v>839</v>
      </c>
      <c r="B163" s="5" t="n">
        <v>22.6590649409924</v>
      </c>
      <c r="C163" s="5" t="n">
        <f aca="false">B163</f>
        <v>22.6590649409924</v>
      </c>
      <c r="D163" s="5" t="n">
        <f aca="false">C163*LOG(C163)</f>
        <v>30.7085161286795</v>
      </c>
      <c r="E163" s="5"/>
      <c r="F163" s="5"/>
      <c r="G163" s="4" t="n">
        <v>162</v>
      </c>
      <c r="H163" s="6" t="n">
        <v>0.838</v>
      </c>
      <c r="J163" s="2" t="n">
        <f aca="false">B163/$B$1003</f>
        <v>0.00176699704113704</v>
      </c>
      <c r="K163" s="5" t="n">
        <f aca="false">J163*LOG(J163,2)</f>
        <v>-0.0161582773379766</v>
      </c>
    </row>
    <row r="164" customFormat="false" ht="13" hidden="false" customHeight="false" outlineLevel="0" collapsed="false">
      <c r="A164" s="4" t="n">
        <v>838</v>
      </c>
      <c r="B164" s="5" t="n">
        <v>22.5240503729514</v>
      </c>
      <c r="C164" s="5" t="n">
        <f aca="false">B164</f>
        <v>22.5240503729514</v>
      </c>
      <c r="D164" s="5" t="n">
        <f aca="false">C164*LOG(C164)</f>
        <v>30.4670776759661</v>
      </c>
      <c r="E164" s="5"/>
      <c r="F164" s="5"/>
      <c r="G164" s="4" t="n">
        <v>163</v>
      </c>
      <c r="H164" s="6" t="n">
        <v>0.837</v>
      </c>
      <c r="J164" s="2" t="n">
        <f aca="false">B164/$B$1003</f>
        <v>0.00175646834796898</v>
      </c>
      <c r="K164" s="5" t="n">
        <f aca="false">J164*LOG(J164,2)</f>
        <v>-0.0160771422140031</v>
      </c>
    </row>
    <row r="165" customFormat="false" ht="13" hidden="false" customHeight="false" outlineLevel="0" collapsed="false">
      <c r="A165" s="4" t="n">
        <v>837</v>
      </c>
      <c r="B165" s="5" t="n">
        <v>22.4178014051854</v>
      </c>
      <c r="C165" s="5" t="n">
        <f aca="false">B165</f>
        <v>22.4178014051854</v>
      </c>
      <c r="D165" s="5" t="n">
        <f aca="false">C165*LOG(C165)</f>
        <v>30.2773260459442</v>
      </c>
      <c r="E165" s="5"/>
      <c r="F165" s="5"/>
      <c r="G165" s="4" t="n">
        <v>164</v>
      </c>
      <c r="H165" s="6" t="n">
        <v>0.836</v>
      </c>
      <c r="J165" s="2" t="n">
        <f aca="false">B165/$B$1003</f>
        <v>0.00174818285109807</v>
      </c>
      <c r="K165" s="5" t="n">
        <f aca="false">J165*LOG(J165,2)</f>
        <v>-0.0160132293848441</v>
      </c>
    </row>
    <row r="166" customFormat="false" ht="13" hidden="false" customHeight="false" outlineLevel="0" collapsed="false">
      <c r="A166" s="4" t="n">
        <v>836</v>
      </c>
      <c r="B166" s="5" t="n">
        <v>22.3458309888558</v>
      </c>
      <c r="C166" s="5" t="n">
        <f aca="false">B166</f>
        <v>22.3458309888558</v>
      </c>
      <c r="D166" s="5" t="n">
        <f aca="false">C166*LOG(C166)</f>
        <v>30.1489171762021</v>
      </c>
      <c r="E166" s="5"/>
      <c r="F166" s="5"/>
      <c r="G166" s="4" t="n">
        <v>165</v>
      </c>
      <c r="H166" s="6" t="n">
        <v>0.835</v>
      </c>
      <c r="J166" s="2" t="n">
        <f aca="false">B166/$B$1003</f>
        <v>0.00174257046095598</v>
      </c>
      <c r="K166" s="5" t="n">
        <f aca="false">J166*LOG(J166,2)</f>
        <v>-0.0159699042503364</v>
      </c>
    </row>
    <row r="167" customFormat="false" ht="13" hidden="false" customHeight="false" outlineLevel="0" collapsed="false">
      <c r="A167" s="4" t="n">
        <v>835</v>
      </c>
      <c r="B167" s="5" t="n">
        <v>22.2376920787117</v>
      </c>
      <c r="C167" s="5" t="n">
        <f aca="false">B167</f>
        <v>22.2376920787117</v>
      </c>
      <c r="D167" s="5" t="n">
        <f aca="false">C167*LOG(C167)</f>
        <v>29.9561662254037</v>
      </c>
      <c r="E167" s="5"/>
      <c r="F167" s="5"/>
      <c r="G167" s="4" t="n">
        <v>166</v>
      </c>
      <c r="H167" s="6" t="n">
        <v>0.834</v>
      </c>
      <c r="J167" s="2" t="n">
        <f aca="false">B167/$B$1003</f>
        <v>0.00173413758277879</v>
      </c>
      <c r="K167" s="5" t="n">
        <f aca="false">J167*LOG(J167,2)</f>
        <v>-0.0159047571569082</v>
      </c>
    </row>
    <row r="168" customFormat="false" ht="13" hidden="false" customHeight="false" outlineLevel="0" collapsed="false">
      <c r="A168" s="4" t="n">
        <v>834</v>
      </c>
      <c r="B168" s="5" t="n">
        <v>22.1134359351873</v>
      </c>
      <c r="C168" s="5" t="n">
        <f aca="false">B168</f>
        <v>22.1134359351873</v>
      </c>
      <c r="D168" s="5" t="n">
        <f aca="false">C168*LOG(C168)</f>
        <v>29.7349693418205</v>
      </c>
      <c r="E168" s="5"/>
      <c r="F168" s="5"/>
      <c r="G168" s="4" t="n">
        <v>167</v>
      </c>
      <c r="H168" s="6" t="n">
        <v>0.833</v>
      </c>
      <c r="J168" s="2" t="n">
        <f aca="false">B168/$B$1003</f>
        <v>0.00172444785204531</v>
      </c>
      <c r="K168" s="5" t="n">
        <f aca="false">J168*LOG(J168,2)</f>
        <v>-0.0158298273505585</v>
      </c>
    </row>
    <row r="169" customFormat="false" ht="13" hidden="false" customHeight="false" outlineLevel="0" collapsed="false">
      <c r="A169" s="4" t="n">
        <v>833</v>
      </c>
      <c r="B169" s="5" t="n">
        <v>22.0226543137678</v>
      </c>
      <c r="C169" s="5" t="n">
        <f aca="false">B169</f>
        <v>22.0226543137678</v>
      </c>
      <c r="D169" s="5" t="n">
        <f aca="false">C169*LOG(C169)</f>
        <v>29.5735543500616</v>
      </c>
      <c r="E169" s="5"/>
      <c r="F169" s="5"/>
      <c r="G169" s="4" t="n">
        <v>168</v>
      </c>
      <c r="H169" s="6" t="n">
        <v>0.832</v>
      </c>
      <c r="J169" s="2" t="n">
        <f aca="false">B169/$B$1003</f>
        <v>0.001717368528302</v>
      </c>
      <c r="K169" s="5" t="n">
        <f aca="false">J169*LOG(J169,2)</f>
        <v>-0.015775033950219</v>
      </c>
    </row>
    <row r="170" customFormat="false" ht="13" hidden="false" customHeight="false" outlineLevel="0" collapsed="false">
      <c r="A170" s="4" t="n">
        <v>832</v>
      </c>
      <c r="B170" s="5" t="n">
        <v>21.9302173290452</v>
      </c>
      <c r="C170" s="5" t="n">
        <f aca="false">B170</f>
        <v>21.9302173290452</v>
      </c>
      <c r="D170" s="5" t="n">
        <f aca="false">C170*LOG(C170)</f>
        <v>29.4093630246062</v>
      </c>
      <c r="E170" s="5"/>
      <c r="F170" s="5"/>
      <c r="G170" s="4" t="n">
        <v>169</v>
      </c>
      <c r="H170" s="6" t="n">
        <v>0.831</v>
      </c>
      <c r="J170" s="2" t="n">
        <f aca="false">B170/$B$1003</f>
        <v>0.00171016011617547</v>
      </c>
      <c r="K170" s="5" t="n">
        <f aca="false">J170*LOG(J170,2)</f>
        <v>-0.0157191981551391</v>
      </c>
    </row>
    <row r="171" customFormat="false" ht="13" hidden="false" customHeight="false" outlineLevel="0" collapsed="false">
      <c r="A171" s="4" t="n">
        <v>831</v>
      </c>
      <c r="B171" s="5" t="n">
        <v>21.7985239350605</v>
      </c>
      <c r="C171" s="5" t="n">
        <f aca="false">B171</f>
        <v>21.7985239350605</v>
      </c>
      <c r="D171" s="5" t="n">
        <f aca="false">C171*LOG(C171)</f>
        <v>29.175734886722</v>
      </c>
      <c r="E171" s="5"/>
      <c r="F171" s="5"/>
      <c r="G171" s="4" t="n">
        <v>170</v>
      </c>
      <c r="H171" s="6" t="n">
        <v>0.83</v>
      </c>
      <c r="J171" s="2" t="n">
        <f aca="false">B171/$B$1003</f>
        <v>0.00169989041448592</v>
      </c>
      <c r="K171" s="5" t="n">
        <f aca="false">J171*LOG(J171,2)</f>
        <v>-0.0156395740944151</v>
      </c>
    </row>
    <row r="172" customFormat="false" ht="13" hidden="false" customHeight="false" outlineLevel="0" collapsed="false">
      <c r="A172" s="4" t="n">
        <v>830</v>
      </c>
      <c r="B172" s="5" t="n">
        <v>21.7849099914863</v>
      </c>
      <c r="C172" s="5" t="n">
        <f aca="false">B172</f>
        <v>21.7849099914863</v>
      </c>
      <c r="D172" s="5" t="n">
        <f aca="false">C172*LOG(C172)</f>
        <v>29.151603001967</v>
      </c>
      <c r="E172" s="5"/>
      <c r="F172" s="5"/>
      <c r="G172" s="4" t="n">
        <v>171</v>
      </c>
      <c r="H172" s="6" t="n">
        <v>0.829</v>
      </c>
      <c r="J172" s="2" t="n">
        <f aca="false">B172/$B$1003</f>
        <v>0.00169882877323653</v>
      </c>
      <c r="K172" s="5" t="n">
        <f aca="false">J172*LOG(J172,2)</f>
        <v>-0.0156313377774552</v>
      </c>
    </row>
    <row r="173" customFormat="false" ht="13" hidden="false" customHeight="false" outlineLevel="0" collapsed="false">
      <c r="A173" s="4" t="n">
        <v>829</v>
      </c>
      <c r="B173" s="5" t="n">
        <v>21.6887522385289</v>
      </c>
      <c r="C173" s="5" t="n">
        <f aca="false">B173</f>
        <v>21.6887522385289</v>
      </c>
      <c r="D173" s="5" t="n">
        <f aca="false">C173*LOG(C173)</f>
        <v>28.9812604696689</v>
      </c>
      <c r="E173" s="5"/>
      <c r="F173" s="5"/>
      <c r="G173" s="4" t="n">
        <v>172</v>
      </c>
      <c r="H173" s="6" t="n">
        <v>0.828</v>
      </c>
      <c r="J173" s="2" t="n">
        <f aca="false">B173/$B$1003</f>
        <v>0.00169133020851638</v>
      </c>
      <c r="K173" s="5" t="n">
        <f aca="false">J173*LOG(J173,2)</f>
        <v>-0.0155731358865463</v>
      </c>
    </row>
    <row r="174" customFormat="false" ht="13" hidden="false" customHeight="false" outlineLevel="0" collapsed="false">
      <c r="A174" s="4" t="n">
        <v>828</v>
      </c>
      <c r="B174" s="5" t="n">
        <v>21.6823373053102</v>
      </c>
      <c r="C174" s="5" t="n">
        <f aca="false">B174</f>
        <v>21.6823373053102</v>
      </c>
      <c r="D174" s="5" t="n">
        <f aca="false">C174*LOG(C174)</f>
        <v>28.9699030561016</v>
      </c>
      <c r="E174" s="5"/>
      <c r="F174" s="5"/>
      <c r="G174" s="4" t="n">
        <v>173</v>
      </c>
      <c r="H174" s="6" t="n">
        <v>0.827</v>
      </c>
      <c r="J174" s="2" t="n">
        <f aca="false">B174/$B$1003</f>
        <v>0.00169082995980594</v>
      </c>
      <c r="K174" s="5" t="n">
        <f aca="false">J174*LOG(J174,2)</f>
        <v>-0.0155692513831408</v>
      </c>
    </row>
    <row r="175" customFormat="false" ht="13" hidden="false" customHeight="false" outlineLevel="0" collapsed="false">
      <c r="A175" s="4" t="n">
        <v>827</v>
      </c>
      <c r="B175" s="5" t="n">
        <v>21.3878814368161</v>
      </c>
      <c r="C175" s="5" t="n">
        <f aca="false">B175</f>
        <v>21.3878814368161</v>
      </c>
      <c r="D175" s="5" t="n">
        <f aca="false">C175*LOG(C175)</f>
        <v>28.4494705116556</v>
      </c>
      <c r="E175" s="5"/>
      <c r="F175" s="5"/>
      <c r="G175" s="4" t="n">
        <v>174</v>
      </c>
      <c r="H175" s="6" t="n">
        <v>0.826</v>
      </c>
      <c r="J175" s="2" t="n">
        <f aca="false">B175/$B$1003</f>
        <v>0.00166786773035254</v>
      </c>
      <c r="K175" s="5" t="n">
        <f aca="false">J175*LOG(J175,2)</f>
        <v>-0.0153907154903294</v>
      </c>
    </row>
    <row r="176" customFormat="false" ht="13" hidden="false" customHeight="false" outlineLevel="0" collapsed="false">
      <c r="A176" s="4" t="n">
        <v>826</v>
      </c>
      <c r="B176" s="5" t="n">
        <v>21.369353869947</v>
      </c>
      <c r="C176" s="5" t="n">
        <f aca="false">B176</f>
        <v>21.369353869947</v>
      </c>
      <c r="D176" s="5" t="n">
        <f aca="false">C176*LOG(C176)</f>
        <v>28.4167828055053</v>
      </c>
      <c r="E176" s="5"/>
      <c r="F176" s="5"/>
      <c r="G176" s="4" t="n">
        <v>175</v>
      </c>
      <c r="H176" s="6" t="n">
        <v>0.825</v>
      </c>
      <c r="J176" s="2" t="n">
        <f aca="false">B176/$B$1003</f>
        <v>0.00166642291540001</v>
      </c>
      <c r="K176" s="5" t="n">
        <f aca="false">J176*LOG(J176,2)</f>
        <v>-0.0153794665809414</v>
      </c>
    </row>
    <row r="177" customFormat="false" ht="13" hidden="false" customHeight="false" outlineLevel="0" collapsed="false">
      <c r="A177" s="4" t="n">
        <v>825</v>
      </c>
      <c r="B177" s="5" t="n">
        <v>21.2648804509812</v>
      </c>
      <c r="C177" s="5" t="n">
        <f aca="false">B177</f>
        <v>21.2648804509812</v>
      </c>
      <c r="D177" s="5" t="n">
        <f aca="false">C177*LOG(C177)</f>
        <v>28.2325938151916</v>
      </c>
      <c r="E177" s="5"/>
      <c r="F177" s="5"/>
      <c r="G177" s="4" t="n">
        <v>176</v>
      </c>
      <c r="H177" s="6" t="n">
        <v>0.824</v>
      </c>
      <c r="J177" s="2" t="n">
        <f aca="false">B177/$B$1003</f>
        <v>0.00165827587920629</v>
      </c>
      <c r="K177" s="5" t="n">
        <f aca="false">J177*LOG(J177,2)</f>
        <v>-0.0153160022521905</v>
      </c>
    </row>
    <row r="178" customFormat="false" ht="13" hidden="false" customHeight="false" outlineLevel="0" collapsed="false">
      <c r="A178" s="4" t="n">
        <v>824</v>
      </c>
      <c r="B178" s="5" t="n">
        <v>21.0871271181206</v>
      </c>
      <c r="C178" s="5" t="n">
        <f aca="false">B178</f>
        <v>21.0871271181206</v>
      </c>
      <c r="D178" s="5" t="n">
        <f aca="false">C178*LOG(C178)</f>
        <v>27.9197235593288</v>
      </c>
      <c r="E178" s="5"/>
      <c r="F178" s="5"/>
      <c r="G178" s="4" t="n">
        <v>177</v>
      </c>
      <c r="H178" s="6" t="n">
        <v>0.823</v>
      </c>
      <c r="J178" s="2" t="n">
        <f aca="false">B178/$B$1003</f>
        <v>0.00164441433575625</v>
      </c>
      <c r="K178" s="5" t="n">
        <f aca="false">J178*LOG(J178,2)</f>
        <v>-0.0152078898118319</v>
      </c>
    </row>
    <row r="179" customFormat="false" ht="13" hidden="false" customHeight="false" outlineLevel="0" collapsed="false">
      <c r="A179" s="4" t="n">
        <v>823</v>
      </c>
      <c r="B179" s="5" t="n">
        <v>21.0490867358114</v>
      </c>
      <c r="C179" s="5" t="n">
        <f aca="false">B179</f>
        <v>21.0490867358114</v>
      </c>
      <c r="D179" s="5" t="n">
        <f aca="false">C179*LOG(C179)</f>
        <v>27.8528516128649</v>
      </c>
      <c r="E179" s="5"/>
      <c r="F179" s="5"/>
      <c r="G179" s="4" t="n">
        <v>178</v>
      </c>
      <c r="H179" s="6" t="n">
        <v>0.822</v>
      </c>
      <c r="J179" s="2" t="n">
        <f aca="false">B179/$B$1003</f>
        <v>0.00164144787429109</v>
      </c>
      <c r="K179" s="5" t="n">
        <f aca="false">J179*LOG(J179,2)</f>
        <v>-0.0151847311886819</v>
      </c>
    </row>
    <row r="180" customFormat="false" ht="13" hidden="false" customHeight="false" outlineLevel="0" collapsed="false">
      <c r="A180" s="4" t="n">
        <v>822</v>
      </c>
      <c r="B180" s="5" t="n">
        <v>21.0036436308867</v>
      </c>
      <c r="C180" s="5" t="n">
        <f aca="false">B180</f>
        <v>21.0036436308867</v>
      </c>
      <c r="D180" s="5" t="n">
        <f aca="false">C180*LOG(C180)</f>
        <v>27.7730054145327</v>
      </c>
      <c r="E180" s="5"/>
      <c r="F180" s="5"/>
      <c r="G180" s="4" t="n">
        <v>179</v>
      </c>
      <c r="H180" s="6" t="n">
        <v>0.821</v>
      </c>
      <c r="J180" s="2" t="n">
        <f aca="false">B180/$B$1003</f>
        <v>0.00163790413441695</v>
      </c>
      <c r="K180" s="5" t="n">
        <f aca="false">J180*LOG(J180,2)</f>
        <v>-0.0151570557186761</v>
      </c>
    </row>
    <row r="181" customFormat="false" ht="13" hidden="false" customHeight="false" outlineLevel="0" collapsed="false">
      <c r="A181" s="4" t="n">
        <v>821</v>
      </c>
      <c r="B181" s="5" t="n">
        <v>20.9649391556426</v>
      </c>
      <c r="C181" s="5" t="n">
        <f aca="false">B181</f>
        <v>20.9649391556426</v>
      </c>
      <c r="D181" s="5" t="n">
        <f aca="false">C181*LOG(C181)</f>
        <v>27.7050330513591</v>
      </c>
      <c r="E181" s="5"/>
      <c r="F181" s="5"/>
      <c r="G181" s="4" t="n">
        <v>180</v>
      </c>
      <c r="H181" s="6" t="n">
        <v>0.82</v>
      </c>
      <c r="J181" s="2" t="n">
        <f aca="false">B181/$B$1003</f>
        <v>0.00163488588571988</v>
      </c>
      <c r="K181" s="5" t="n">
        <f aca="false">J181*LOG(J181,2)</f>
        <v>-0.0151334754442663</v>
      </c>
    </row>
    <row r="182" customFormat="false" ht="13" hidden="false" customHeight="false" outlineLevel="0" collapsed="false">
      <c r="A182" s="4" t="n">
        <v>820</v>
      </c>
      <c r="B182" s="5" t="n">
        <v>20.9244295588962</v>
      </c>
      <c r="C182" s="5" t="n">
        <f aca="false">B182</f>
        <v>20.9244295588962</v>
      </c>
      <c r="D182" s="5" t="n">
        <f aca="false">C182*LOG(C182)</f>
        <v>27.6339237920581</v>
      </c>
      <c r="E182" s="5"/>
      <c r="F182" s="5"/>
      <c r="G182" s="4" t="n">
        <v>181</v>
      </c>
      <c r="H182" s="6" t="n">
        <v>0.819</v>
      </c>
      <c r="J182" s="2" t="n">
        <f aca="false">B182/$B$1003</f>
        <v>0.00163172687020997</v>
      </c>
      <c r="K182" s="5" t="n">
        <f aca="false">J182*LOG(J182,2)</f>
        <v>-0.0151087868092125</v>
      </c>
    </row>
    <row r="183" customFormat="false" ht="13" hidden="false" customHeight="false" outlineLevel="0" collapsed="false">
      <c r="A183" s="4" t="n">
        <v>819</v>
      </c>
      <c r="B183" s="5" t="n">
        <v>20.8759758400013</v>
      </c>
      <c r="C183" s="5" t="n">
        <f aca="false">B183</f>
        <v>20.8759758400013</v>
      </c>
      <c r="D183" s="5" t="n">
        <f aca="false">C183*LOG(C183)</f>
        <v>27.5489144128923</v>
      </c>
      <c r="E183" s="5"/>
      <c r="F183" s="5"/>
      <c r="G183" s="4" t="n">
        <v>182</v>
      </c>
      <c r="H183" s="6" t="n">
        <v>0.818</v>
      </c>
      <c r="J183" s="2" t="n">
        <f aca="false">B183/$B$1003</f>
        <v>0.00162794835692435</v>
      </c>
      <c r="K183" s="5" t="n">
        <f aca="false">J183*LOG(J183,2)</f>
        <v>-0.0150792450270326</v>
      </c>
    </row>
    <row r="184" customFormat="false" ht="13" hidden="false" customHeight="false" outlineLevel="0" collapsed="false">
      <c r="A184" s="4" t="n">
        <v>818</v>
      </c>
      <c r="B184" s="5" t="n">
        <v>20.8533768491973</v>
      </c>
      <c r="C184" s="5" t="n">
        <f aca="false">B184</f>
        <v>20.8533768491973</v>
      </c>
      <c r="D184" s="5" t="n">
        <f aca="false">C184*LOG(C184)</f>
        <v>27.5092824245729</v>
      </c>
      <c r="E184" s="5"/>
      <c r="F184" s="5"/>
      <c r="G184" s="4" t="n">
        <v>183</v>
      </c>
      <c r="H184" s="6" t="n">
        <v>0.817</v>
      </c>
      <c r="J184" s="2" t="n">
        <f aca="false">B184/$B$1003</f>
        <v>0.00162618604457883</v>
      </c>
      <c r="K184" s="5" t="n">
        <f aca="false">J184*LOG(J184,2)</f>
        <v>-0.0150654623073669</v>
      </c>
    </row>
    <row r="185" customFormat="false" ht="13" hidden="false" customHeight="false" outlineLevel="0" collapsed="false">
      <c r="A185" s="4" t="n">
        <v>817</v>
      </c>
      <c r="B185" s="5" t="n">
        <v>20.8361161644871</v>
      </c>
      <c r="C185" s="5" t="n">
        <f aca="false">B185</f>
        <v>20.8361161644871</v>
      </c>
      <c r="D185" s="5" t="n">
        <f aca="false">C185*LOG(C185)</f>
        <v>27.4790194199058</v>
      </c>
      <c r="E185" s="5"/>
      <c r="F185" s="5"/>
      <c r="G185" s="4" t="n">
        <v>184</v>
      </c>
      <c r="H185" s="6" t="n">
        <v>0.816</v>
      </c>
      <c r="J185" s="2" t="n">
        <f aca="false">B185/$B$1003</f>
        <v>0.00162484002350998</v>
      </c>
      <c r="K185" s="5" t="n">
        <f aca="false">J185*LOG(J185,2)</f>
        <v>-0.0150549334692218</v>
      </c>
    </row>
    <row r="186" customFormat="false" ht="13" hidden="false" customHeight="false" outlineLevel="0" collapsed="false">
      <c r="A186" s="4" t="n">
        <v>816</v>
      </c>
      <c r="B186" s="5" t="n">
        <v>20.8168188380744</v>
      </c>
      <c r="C186" s="5" t="n">
        <f aca="false">B186</f>
        <v>20.8168188380744</v>
      </c>
      <c r="D186" s="5" t="n">
        <f aca="false">C186*LOG(C186)</f>
        <v>27.4451929419327</v>
      </c>
      <c r="E186" s="5"/>
      <c r="F186" s="5"/>
      <c r="G186" s="4" t="n">
        <v>185</v>
      </c>
      <c r="H186" s="6" t="n">
        <v>0.815</v>
      </c>
      <c r="J186" s="2" t="n">
        <f aca="false">B186/$B$1003</f>
        <v>0.00162333518124214</v>
      </c>
      <c r="K186" s="5" t="n">
        <f aca="false">J186*LOG(J186,2)</f>
        <v>-0.0150431603961699</v>
      </c>
    </row>
    <row r="187" customFormat="false" ht="13" hidden="false" customHeight="false" outlineLevel="0" collapsed="false">
      <c r="A187" s="4" t="n">
        <v>815</v>
      </c>
      <c r="B187" s="5" t="n">
        <v>20.7733963232798</v>
      </c>
      <c r="C187" s="5" t="n">
        <f aca="false">B187</f>
        <v>20.7733963232798</v>
      </c>
      <c r="D187" s="5" t="n">
        <f aca="false">C187*LOG(C187)</f>
        <v>27.3691055983263</v>
      </c>
      <c r="E187" s="5"/>
      <c r="F187" s="5"/>
      <c r="G187" s="4" t="n">
        <v>186</v>
      </c>
      <c r="H187" s="6" t="n">
        <v>0.814</v>
      </c>
      <c r="J187" s="2" t="n">
        <f aca="false">B187/$B$1003</f>
        <v>0.00161994901083482</v>
      </c>
      <c r="K187" s="5" t="n">
        <f aca="false">J187*LOG(J187,2)</f>
        <v>-0.0150166614656951</v>
      </c>
    </row>
    <row r="188" customFormat="false" ht="13" hidden="false" customHeight="false" outlineLevel="0" collapsed="false">
      <c r="A188" s="4" t="n">
        <v>814</v>
      </c>
      <c r="B188" s="5" t="n">
        <v>20.769101679592</v>
      </c>
      <c r="C188" s="5" t="n">
        <f aca="false">B188</f>
        <v>20.769101679592</v>
      </c>
      <c r="D188" s="5" t="n">
        <f aca="false">C188*LOG(C188)</f>
        <v>27.3615824257838</v>
      </c>
      <c r="E188" s="5"/>
      <c r="F188" s="5"/>
      <c r="G188" s="4" t="n">
        <v>187</v>
      </c>
      <c r="H188" s="6" t="n">
        <v>0.813</v>
      </c>
      <c r="J188" s="2" t="n">
        <f aca="false">B188/$B$1003</f>
        <v>0.00161961410634036</v>
      </c>
      <c r="K188" s="5" t="n">
        <f aca="false">J188*LOG(J188,2)</f>
        <v>-0.0150140400711013</v>
      </c>
    </row>
    <row r="189" customFormat="false" ht="13" hidden="false" customHeight="false" outlineLevel="0" collapsed="false">
      <c r="A189" s="4" t="n">
        <v>813</v>
      </c>
      <c r="B189" s="5" t="n">
        <v>20.7085801551798</v>
      </c>
      <c r="C189" s="5" t="n">
        <f aca="false">B189</f>
        <v>20.7085801551798</v>
      </c>
      <c r="D189" s="5" t="n">
        <f aca="false">C189*LOG(C189)</f>
        <v>27.255604466955</v>
      </c>
      <c r="E189" s="5"/>
      <c r="F189" s="5"/>
      <c r="G189" s="4" t="n">
        <v>188</v>
      </c>
      <c r="H189" s="6" t="n">
        <v>0.812</v>
      </c>
      <c r="J189" s="2" t="n">
        <f aca="false">B189/$B$1003</f>
        <v>0.00161489452259583</v>
      </c>
      <c r="K189" s="5" t="n">
        <f aca="false">J189*LOG(J189,2)</f>
        <v>-0.0149770878863151</v>
      </c>
    </row>
    <row r="190" customFormat="false" ht="13" hidden="false" customHeight="false" outlineLevel="0" collapsed="false">
      <c r="A190" s="4" t="n">
        <v>812</v>
      </c>
      <c r="B190" s="5" t="n">
        <v>20.706401757805</v>
      </c>
      <c r="C190" s="5" t="n">
        <f aca="false">B190</f>
        <v>20.706401757805</v>
      </c>
      <c r="D190" s="5" t="n">
        <f aca="false">C190*LOG(C190)</f>
        <v>27.2517913523481</v>
      </c>
      <c r="E190" s="5"/>
      <c r="F190" s="5"/>
      <c r="G190" s="4" t="n">
        <v>189</v>
      </c>
      <c r="H190" s="6" t="n">
        <v>0.811</v>
      </c>
      <c r="J190" s="2" t="n">
        <f aca="false">B190/$B$1003</f>
        <v>0.00161472464701952</v>
      </c>
      <c r="K190" s="5" t="n">
        <f aca="false">J190*LOG(J190,2)</f>
        <v>-0.014975757467485</v>
      </c>
    </row>
    <row r="191" customFormat="false" ht="13" hidden="false" customHeight="false" outlineLevel="0" collapsed="false">
      <c r="A191" s="4" t="n">
        <v>811</v>
      </c>
      <c r="B191" s="5" t="n">
        <v>20.6803622728486</v>
      </c>
      <c r="C191" s="5" t="n">
        <f aca="false">B191</f>
        <v>20.6803622728486</v>
      </c>
      <c r="D191" s="5" t="n">
        <f aca="false">C191*LOG(C191)</f>
        <v>27.2062189745617</v>
      </c>
      <c r="E191" s="5"/>
      <c r="F191" s="5"/>
      <c r="G191" s="4" t="n">
        <v>190</v>
      </c>
      <c r="H191" s="6" t="n">
        <v>0.81</v>
      </c>
      <c r="J191" s="2" t="n">
        <f aca="false">B191/$B$1003</f>
        <v>0.00161269403838714</v>
      </c>
      <c r="K191" s="5" t="n">
        <f aca="false">J191*LOG(J191,2)</f>
        <v>-0.0149598523018041</v>
      </c>
    </row>
    <row r="192" customFormat="false" ht="13" hidden="false" customHeight="false" outlineLevel="0" collapsed="false">
      <c r="A192" s="4" t="n">
        <v>810</v>
      </c>
      <c r="B192" s="5" t="n">
        <v>20.6469709947762</v>
      </c>
      <c r="C192" s="5" t="n">
        <f aca="false">B192</f>
        <v>20.6469709947762</v>
      </c>
      <c r="D192" s="5" t="n">
        <f aca="false">C192*LOG(C192)</f>
        <v>27.1478008727547</v>
      </c>
      <c r="E192" s="5"/>
      <c r="F192" s="5"/>
      <c r="G192" s="4" t="n">
        <v>191</v>
      </c>
      <c r="H192" s="6" t="n">
        <v>0.809</v>
      </c>
      <c r="J192" s="2" t="n">
        <f aca="false">B192/$B$1003</f>
        <v>0.00161009012292517</v>
      </c>
      <c r="K192" s="5" t="n">
        <f aca="false">J192*LOG(J192,2)</f>
        <v>-0.0149394511922549</v>
      </c>
    </row>
    <row r="193" customFormat="false" ht="13" hidden="false" customHeight="false" outlineLevel="0" collapsed="false">
      <c r="A193" s="4" t="n">
        <v>809</v>
      </c>
      <c r="B193" s="5" t="n">
        <v>20.4890506799657</v>
      </c>
      <c r="C193" s="5" t="n">
        <f aca="false">B193</f>
        <v>20.4890506799657</v>
      </c>
      <c r="D193" s="5" t="n">
        <f aca="false">C193*LOG(C193)</f>
        <v>26.8718373796819</v>
      </c>
      <c r="E193" s="5"/>
      <c r="F193" s="5"/>
      <c r="G193" s="4" t="n">
        <v>192</v>
      </c>
      <c r="H193" s="6" t="n">
        <v>0.808</v>
      </c>
      <c r="J193" s="2" t="n">
        <f aca="false">B193/$B$1003</f>
        <v>0.00159777519599715</v>
      </c>
      <c r="K193" s="5" t="n">
        <f aca="false">J193*LOG(J193,2)</f>
        <v>-0.0148428839487091</v>
      </c>
    </row>
    <row r="194" customFormat="false" ht="13" hidden="false" customHeight="false" outlineLevel="0" collapsed="false">
      <c r="A194" s="4" t="n">
        <v>808</v>
      </c>
      <c r="B194" s="5" t="n">
        <v>20.245847144096</v>
      </c>
      <c r="C194" s="5" t="n">
        <f aca="false">B194</f>
        <v>20.245847144096</v>
      </c>
      <c r="D194" s="5" t="n">
        <f aca="false">C194*LOG(C194)</f>
        <v>26.4478780355588</v>
      </c>
      <c r="E194" s="5"/>
      <c r="F194" s="5"/>
      <c r="G194" s="4" t="n">
        <v>193</v>
      </c>
      <c r="H194" s="6" t="n">
        <v>0.807</v>
      </c>
      <c r="J194" s="2" t="n">
        <f aca="false">B194/$B$1003</f>
        <v>0.00157880972105832</v>
      </c>
      <c r="K194" s="5" t="n">
        <f aca="false">J194*LOG(J194,2)</f>
        <v>-0.0146938983611656</v>
      </c>
    </row>
    <row r="195" customFormat="false" ht="13" hidden="false" customHeight="false" outlineLevel="0" collapsed="false">
      <c r="A195" s="4" t="n">
        <v>807</v>
      </c>
      <c r="B195" s="5" t="n">
        <v>20.1823323081126</v>
      </c>
      <c r="C195" s="5" t="n">
        <f aca="false">B195</f>
        <v>20.1823323081126</v>
      </c>
      <c r="D195" s="5" t="n">
        <f aca="false">C195*LOG(C195)</f>
        <v>26.3373654924469</v>
      </c>
      <c r="E195" s="5"/>
      <c r="F195" s="5"/>
      <c r="G195" s="4" t="n">
        <v>194</v>
      </c>
      <c r="H195" s="6" t="n">
        <v>0.806</v>
      </c>
      <c r="J195" s="2" t="n">
        <f aca="false">B195/$B$1003</f>
        <v>0.00157385671317633</v>
      </c>
      <c r="K195" s="5" t="n">
        <f aca="false">J195*LOG(J195,2)</f>
        <v>-0.0146549354389624</v>
      </c>
    </row>
    <row r="196" customFormat="false" ht="13" hidden="false" customHeight="false" outlineLevel="0" collapsed="false">
      <c r="A196" s="4" t="n">
        <v>806</v>
      </c>
      <c r="B196" s="5" t="n">
        <v>20.1716644833682</v>
      </c>
      <c r="C196" s="5" t="n">
        <f aca="false">B196</f>
        <v>20.1716644833682</v>
      </c>
      <c r="D196" s="5" t="n">
        <f aca="false">C196*LOG(C196)</f>
        <v>26.3188125339875</v>
      </c>
      <c r="E196" s="5"/>
      <c r="F196" s="5"/>
      <c r="G196" s="4" t="n">
        <v>195</v>
      </c>
      <c r="H196" s="6" t="n">
        <v>0.805</v>
      </c>
      <c r="J196" s="2" t="n">
        <f aca="false">B196/$B$1003</f>
        <v>0.00157302481588456</v>
      </c>
      <c r="K196" s="5" t="n">
        <f aca="false">J196*LOG(J196,2)</f>
        <v>-0.0146483891007505</v>
      </c>
    </row>
    <row r="197" customFormat="false" ht="13" hidden="false" customHeight="false" outlineLevel="0" collapsed="false">
      <c r="A197" s="4" t="n">
        <v>805</v>
      </c>
      <c r="B197" s="5" t="n">
        <v>20.1513517531372</v>
      </c>
      <c r="C197" s="5" t="n">
        <f aca="false">B197</f>
        <v>20.1513517531372</v>
      </c>
      <c r="D197" s="5" t="n">
        <f aca="false">C197*LOG(C197)</f>
        <v>26.2834924036246</v>
      </c>
      <c r="E197" s="5"/>
      <c r="F197" s="5"/>
      <c r="G197" s="4" t="n">
        <v>196</v>
      </c>
      <c r="H197" s="6" t="n">
        <v>0.804</v>
      </c>
      <c r="J197" s="2" t="n">
        <f aca="false">B197/$B$1003</f>
        <v>0.00157144079049299</v>
      </c>
      <c r="K197" s="5" t="n">
        <f aca="false">J197*LOG(J197,2)</f>
        <v>-0.0146359223861846</v>
      </c>
    </row>
    <row r="198" customFormat="false" ht="13" hidden="false" customHeight="false" outlineLevel="0" collapsed="false">
      <c r="A198" s="4" t="n">
        <v>804</v>
      </c>
      <c r="B198" s="5" t="n">
        <v>20.141415910422</v>
      </c>
      <c r="C198" s="5" t="n">
        <f aca="false">B198</f>
        <v>20.141415910422</v>
      </c>
      <c r="D198" s="5" t="n">
        <f aca="false">C198*LOG(C198)</f>
        <v>26.2662190247097</v>
      </c>
      <c r="E198" s="5"/>
      <c r="F198" s="5"/>
      <c r="G198" s="4" t="n">
        <v>197</v>
      </c>
      <c r="H198" s="6" t="n">
        <v>0.803</v>
      </c>
      <c r="J198" s="2" t="n">
        <f aca="false">B198/$B$1003</f>
        <v>0.001570665974554</v>
      </c>
      <c r="K198" s="5" t="n">
        <f aca="false">J198*LOG(J198,2)</f>
        <v>-0.0146298235332762</v>
      </c>
    </row>
    <row r="199" customFormat="false" ht="13" hidden="false" customHeight="false" outlineLevel="0" collapsed="false">
      <c r="A199" s="4" t="n">
        <v>803</v>
      </c>
      <c r="B199" s="5" t="n">
        <v>20.0804258642224</v>
      </c>
      <c r="C199" s="5" t="n">
        <f aca="false">B199</f>
        <v>20.0804258642224</v>
      </c>
      <c r="D199" s="5" t="n">
        <f aca="false">C199*LOG(C199)</f>
        <v>26.1602350190343</v>
      </c>
      <c r="E199" s="5"/>
      <c r="F199" s="5"/>
      <c r="G199" s="4" t="n">
        <v>198</v>
      </c>
      <c r="H199" s="6" t="n">
        <v>0.802</v>
      </c>
      <c r="J199" s="2" t="n">
        <f aca="false">B199/$B$1003</f>
        <v>0.00156590985458815</v>
      </c>
      <c r="K199" s="5" t="n">
        <f aca="false">J199*LOG(J199,2)</f>
        <v>-0.0145923743233433</v>
      </c>
    </row>
    <row r="200" customFormat="false" ht="13" hidden="false" customHeight="false" outlineLevel="0" collapsed="false">
      <c r="A200" s="4" t="n">
        <v>802</v>
      </c>
      <c r="B200" s="5" t="n">
        <v>20.0532150369332</v>
      </c>
      <c r="C200" s="5" t="n">
        <f aca="false">B200</f>
        <v>20.0532150369332</v>
      </c>
      <c r="D200" s="5" t="n">
        <f aca="false">C200*LOG(C200)</f>
        <v>26.1129759885251</v>
      </c>
      <c r="E200" s="5"/>
      <c r="F200" s="5"/>
      <c r="G200" s="4" t="n">
        <v>199</v>
      </c>
      <c r="H200" s="6" t="n">
        <v>0.801</v>
      </c>
      <c r="J200" s="2" t="n">
        <f aca="false">B200/$B$1003</f>
        <v>0.00156378790244969</v>
      </c>
      <c r="K200" s="5" t="n">
        <f aca="false">J200*LOG(J200,2)</f>
        <v>-0.0145756595662677</v>
      </c>
    </row>
    <row r="201" customFormat="false" ht="13" hidden="false" customHeight="false" outlineLevel="0" collapsed="false">
      <c r="A201" s="4" t="n">
        <v>801</v>
      </c>
      <c r="B201" s="5" t="n">
        <v>19.9376495598334</v>
      </c>
      <c r="C201" s="5" t="n">
        <f aca="false">B201</f>
        <v>19.9376495598334</v>
      </c>
      <c r="D201" s="5" t="n">
        <f aca="false">C201*LOG(C201)</f>
        <v>25.9124439210374</v>
      </c>
      <c r="E201" s="5"/>
      <c r="F201" s="5"/>
      <c r="G201" s="4" t="n">
        <v>200</v>
      </c>
      <c r="H201" s="6" t="n">
        <v>0.8</v>
      </c>
      <c r="J201" s="2" t="n">
        <f aca="false">B201/$B$1003</f>
        <v>0.00155477588643646</v>
      </c>
      <c r="K201" s="5" t="n">
        <f aca="false">J201*LOG(J201,2)</f>
        <v>-0.0145046249681888</v>
      </c>
      <c r="L201" s="2" t="n">
        <f aca="false">SUM(J152:J201)</f>
        <v>0.0841960864270146</v>
      </c>
    </row>
    <row r="202" customFormat="false" ht="13" hidden="false" customHeight="false" outlineLevel="0" collapsed="false">
      <c r="A202" s="4" t="n">
        <v>800</v>
      </c>
      <c r="B202" s="5" t="n">
        <v>19.9203133128723</v>
      </c>
      <c r="C202" s="5" t="n">
        <f aca="false">B202</f>
        <v>19.9203133128723</v>
      </c>
      <c r="D202" s="5" t="n">
        <f aca="false">C202*LOG(C202)</f>
        <v>25.8823866902215</v>
      </c>
      <c r="E202" s="5"/>
      <c r="F202" s="5"/>
      <c r="G202" s="4" t="n">
        <v>201</v>
      </c>
      <c r="H202" s="6" t="n">
        <v>0.799</v>
      </c>
      <c r="J202" s="2" t="n">
        <f aca="false">B202/$B$1003</f>
        <v>0.00155342397287938</v>
      </c>
      <c r="K202" s="5" t="n">
        <f aca="false">J202*LOG(J202,2)</f>
        <v>-0.014493962412423</v>
      </c>
    </row>
    <row r="203" customFormat="false" ht="13" hidden="false" customHeight="false" outlineLevel="0" collapsed="false">
      <c r="A203" s="4" t="n">
        <v>799</v>
      </c>
      <c r="B203" s="5" t="n">
        <v>19.846644680704</v>
      </c>
      <c r="C203" s="5" t="n">
        <f aca="false">B203</f>
        <v>19.846644680704</v>
      </c>
      <c r="D203" s="5" t="n">
        <f aca="false">C203*LOG(C203)</f>
        <v>25.7547346709427</v>
      </c>
      <c r="E203" s="5"/>
      <c r="F203" s="5"/>
      <c r="G203" s="4" t="n">
        <v>202</v>
      </c>
      <c r="H203" s="6" t="n">
        <v>0.798</v>
      </c>
      <c r="J203" s="2" t="n">
        <f aca="false">B203/$B$1003</f>
        <v>0.00154767915263172</v>
      </c>
      <c r="K203" s="5" t="n">
        <f aca="false">J203*LOG(J203,2)</f>
        <v>-0.0144486340080118</v>
      </c>
    </row>
    <row r="204" customFormat="false" ht="13" hidden="false" customHeight="false" outlineLevel="0" collapsed="false">
      <c r="A204" s="4" t="n">
        <v>798</v>
      </c>
      <c r="B204" s="5" t="n">
        <v>19.8437044863284</v>
      </c>
      <c r="C204" s="5" t="n">
        <f aca="false">B204</f>
        <v>19.8437044863284</v>
      </c>
      <c r="D204" s="5" t="n">
        <f aca="false">C204*LOG(C204)</f>
        <v>25.7496424030422</v>
      </c>
      <c r="E204" s="5"/>
      <c r="F204" s="5"/>
      <c r="G204" s="4" t="n">
        <v>203</v>
      </c>
      <c r="H204" s="6" t="n">
        <v>0.797</v>
      </c>
      <c r="J204" s="2" t="n">
        <f aca="false">B204/$B$1003</f>
        <v>0.00154744987067434</v>
      </c>
      <c r="K204" s="5" t="n">
        <f aca="false">J204*LOG(J204,2)</f>
        <v>-0.014446824264957</v>
      </c>
    </row>
    <row r="205" customFormat="false" ht="13" hidden="false" customHeight="false" outlineLevel="0" collapsed="false">
      <c r="A205" s="4" t="n">
        <v>797</v>
      </c>
      <c r="B205" s="5" t="n">
        <v>19.7706514925542</v>
      </c>
      <c r="C205" s="5" t="n">
        <f aca="false">B205</f>
        <v>19.7706514925542</v>
      </c>
      <c r="D205" s="5" t="n">
        <f aca="false">C205*LOG(C205)</f>
        <v>25.6231791353097</v>
      </c>
      <c r="E205" s="5"/>
      <c r="F205" s="5"/>
      <c r="G205" s="4" t="n">
        <v>204</v>
      </c>
      <c r="H205" s="6" t="n">
        <v>0.796</v>
      </c>
      <c r="J205" s="2" t="n">
        <f aca="false">B205/$B$1003</f>
        <v>0.00154175305908121</v>
      </c>
      <c r="K205" s="5" t="n">
        <f aca="false">J205*LOG(J205,2)</f>
        <v>-0.0144018430642812</v>
      </c>
    </row>
    <row r="206" customFormat="false" ht="13" hidden="false" customHeight="false" outlineLevel="0" collapsed="false">
      <c r="A206" s="4" t="n">
        <v>796</v>
      </c>
      <c r="B206" s="5" t="n">
        <v>19.7071118097671</v>
      </c>
      <c r="C206" s="5" t="n">
        <f aca="false">B206</f>
        <v>19.7071118097671</v>
      </c>
      <c r="D206" s="5" t="n">
        <f aca="false">C206*LOG(C206)</f>
        <v>25.5132798301093</v>
      </c>
      <c r="E206" s="5"/>
      <c r="F206" s="5"/>
      <c r="G206" s="4" t="n">
        <v>205</v>
      </c>
      <c r="H206" s="6" t="n">
        <v>0.795</v>
      </c>
      <c r="J206" s="2" t="n">
        <f aca="false">B206/$B$1003</f>
        <v>0.00153679811359816</v>
      </c>
      <c r="K206" s="5" t="n">
        <f aca="false">J206*LOG(J206,2)</f>
        <v>-0.0143626948411502</v>
      </c>
    </row>
    <row r="207" customFormat="false" ht="13" hidden="false" customHeight="false" outlineLevel="0" collapsed="false">
      <c r="A207" s="4" t="n">
        <v>795</v>
      </c>
      <c r="B207" s="5" t="n">
        <v>19.7055705855501</v>
      </c>
      <c r="C207" s="5" t="n">
        <f aca="false">B207</f>
        <v>19.7055705855501</v>
      </c>
      <c r="D207" s="5" t="n">
        <f aca="false">C207*LOG(C207)</f>
        <v>25.5106152068212</v>
      </c>
      <c r="E207" s="5"/>
      <c r="F207" s="5"/>
      <c r="G207" s="4" t="n">
        <v>206</v>
      </c>
      <c r="H207" s="6" t="n">
        <v>0.794</v>
      </c>
      <c r="J207" s="2" t="n">
        <f aca="false">B207/$B$1003</f>
        <v>0.00153667792599826</v>
      </c>
      <c r="K207" s="5" t="n">
        <f aca="false">J207*LOG(J207,2)</f>
        <v>-0.0143617449723466</v>
      </c>
    </row>
    <row r="208" customFormat="false" ht="13" hidden="false" customHeight="false" outlineLevel="0" collapsed="false">
      <c r="A208" s="4" t="n">
        <v>794</v>
      </c>
      <c r="B208" s="5" t="n">
        <v>19.6861190805676</v>
      </c>
      <c r="C208" s="5" t="n">
        <f aca="false">B208</f>
        <v>19.6861190805676</v>
      </c>
      <c r="D208" s="5" t="n">
        <f aca="false">C208*LOG(C208)</f>
        <v>25.4769899916293</v>
      </c>
      <c r="E208" s="5"/>
      <c r="F208" s="5"/>
      <c r="G208" s="4" t="n">
        <v>207</v>
      </c>
      <c r="H208" s="6" t="n">
        <v>0.793</v>
      </c>
      <c r="J208" s="2" t="n">
        <f aca="false">B208/$B$1003</f>
        <v>0.00153516106059189</v>
      </c>
      <c r="K208" s="5" t="n">
        <f aca="false">J208*LOG(J208,2)</f>
        <v>-0.0143497556883419</v>
      </c>
    </row>
    <row r="209" customFormat="false" ht="13" hidden="false" customHeight="false" outlineLevel="0" collapsed="false">
      <c r="A209" s="4" t="n">
        <v>793</v>
      </c>
      <c r="B209" s="5" t="n">
        <v>19.6160992968647</v>
      </c>
      <c r="C209" s="5" t="n">
        <f aca="false">B209</f>
        <v>19.6160992968647</v>
      </c>
      <c r="D209" s="5" t="n">
        <f aca="false">C209*LOG(C209)</f>
        <v>25.3560181192313</v>
      </c>
      <c r="E209" s="5"/>
      <c r="F209" s="5"/>
      <c r="G209" s="4" t="n">
        <v>208</v>
      </c>
      <c r="H209" s="6" t="n">
        <v>0.792</v>
      </c>
      <c r="J209" s="2" t="n">
        <f aca="false">B209/$B$1003</f>
        <v>0.00152970078449726</v>
      </c>
      <c r="K209" s="5" t="n">
        <f aca="false">J209*LOG(J209,2)</f>
        <v>-0.0143065798221042</v>
      </c>
    </row>
    <row r="210" customFormat="false" ht="13" hidden="false" customHeight="false" outlineLevel="0" collapsed="false">
      <c r="A210" s="4" t="n">
        <v>792</v>
      </c>
      <c r="B210" s="5" t="n">
        <v>19.5484543156882</v>
      </c>
      <c r="C210" s="5" t="n">
        <f aca="false">B210</f>
        <v>19.5484543156882</v>
      </c>
      <c r="D210" s="5" t="n">
        <f aca="false">C210*LOG(C210)</f>
        <v>25.2392522309346</v>
      </c>
      <c r="E210" s="5"/>
      <c r="F210" s="5"/>
      <c r="G210" s="4" t="n">
        <v>209</v>
      </c>
      <c r="H210" s="6" t="n">
        <v>0.791</v>
      </c>
      <c r="J210" s="2" t="n">
        <f aca="false">B210/$B$1003</f>
        <v>0.00152442570002674</v>
      </c>
      <c r="K210" s="5" t="n">
        <f aca="false">J210*LOG(J210,2)</f>
        <v>-0.0142648416122069</v>
      </c>
    </row>
    <row r="211" customFormat="false" ht="13" hidden="false" customHeight="false" outlineLevel="0" collapsed="false">
      <c r="A211" s="4" t="n">
        <v>791</v>
      </c>
      <c r="B211" s="5" t="n">
        <v>19.5393376552094</v>
      </c>
      <c r="C211" s="5" t="n">
        <f aca="false">B211</f>
        <v>19.5393376552094</v>
      </c>
      <c r="D211" s="5" t="n">
        <f aca="false">C211*LOG(C211)</f>
        <v>25.2235232053696</v>
      </c>
      <c r="E211" s="5"/>
      <c r="F211" s="5"/>
      <c r="G211" s="4" t="n">
        <v>210</v>
      </c>
      <c r="H211" s="6" t="n">
        <v>0.79</v>
      </c>
      <c r="J211" s="2" t="n">
        <f aca="false">B211/$B$1003</f>
        <v>0.00152371476547877</v>
      </c>
      <c r="K211" s="5" t="n">
        <f aca="false">J211*LOG(J211,2)</f>
        <v>-0.0142592144516029</v>
      </c>
    </row>
    <row r="212" customFormat="false" ht="13" hidden="false" customHeight="false" outlineLevel="0" collapsed="false">
      <c r="A212" s="4" t="n">
        <v>790</v>
      </c>
      <c r="B212" s="5" t="n">
        <v>19.4991892996286</v>
      </c>
      <c r="C212" s="5" t="n">
        <f aca="false">B212</f>
        <v>19.4991892996286</v>
      </c>
      <c r="D212" s="5" t="n">
        <f aca="false">C212*LOG(C212)</f>
        <v>25.1542770146518</v>
      </c>
      <c r="E212" s="5"/>
      <c r="F212" s="5"/>
      <c r="G212" s="4" t="n">
        <v>211</v>
      </c>
      <c r="H212" s="6" t="n">
        <v>0.789</v>
      </c>
      <c r="J212" s="2" t="n">
        <f aca="false">B212/$B$1003</f>
        <v>0.001520583920243</v>
      </c>
      <c r="K212" s="5" t="n">
        <f aca="false">J212*LOG(J212,2)</f>
        <v>-0.0142344276137876</v>
      </c>
    </row>
    <row r="213" customFormat="false" ht="13" hidden="false" customHeight="false" outlineLevel="0" collapsed="false">
      <c r="A213" s="4" t="n">
        <v>789</v>
      </c>
      <c r="B213" s="5" t="n">
        <v>19.3572983508942</v>
      </c>
      <c r="C213" s="5" t="n">
        <f aca="false">B213</f>
        <v>19.3572983508942</v>
      </c>
      <c r="D213" s="5" t="n">
        <f aca="false">C213*LOG(C213)</f>
        <v>24.9098376374208</v>
      </c>
      <c r="E213" s="5"/>
      <c r="F213" s="5"/>
      <c r="G213" s="4" t="n">
        <v>212</v>
      </c>
      <c r="H213" s="6" t="n">
        <v>0.788</v>
      </c>
      <c r="J213" s="2" t="n">
        <f aca="false">B213/$B$1003</f>
        <v>0.00150951899381153</v>
      </c>
      <c r="K213" s="5" t="n">
        <f aca="false">J213*LOG(J213,2)</f>
        <v>-0.0141467521723404</v>
      </c>
    </row>
    <row r="214" customFormat="false" ht="13" hidden="false" customHeight="false" outlineLevel="0" collapsed="false">
      <c r="A214" s="4" t="n">
        <v>788</v>
      </c>
      <c r="B214" s="5" t="n">
        <v>19.3309319918464</v>
      </c>
      <c r="C214" s="5" t="n">
        <f aca="false">B214</f>
        <v>19.3309319918464</v>
      </c>
      <c r="D214" s="5" t="n">
        <f aca="false">C214*LOG(C214)</f>
        <v>24.864465264646</v>
      </c>
      <c r="E214" s="5"/>
      <c r="F214" s="5"/>
      <c r="G214" s="4" t="n">
        <v>213</v>
      </c>
      <c r="H214" s="6" t="n">
        <v>0.787</v>
      </c>
      <c r="J214" s="2" t="n">
        <f aca="false">B214/$B$1003</f>
        <v>0.00150746289491493</v>
      </c>
      <c r="K214" s="5" t="n">
        <f aca="false">J214*LOG(J214,2)</f>
        <v>-0.0141304473423869</v>
      </c>
    </row>
    <row r="215" customFormat="false" ht="13" hidden="false" customHeight="false" outlineLevel="0" collapsed="false">
      <c r="A215" s="4" t="n">
        <v>787</v>
      </c>
      <c r="B215" s="5" t="n">
        <v>19.3201190309433</v>
      </c>
      <c r="C215" s="5" t="n">
        <f aca="false">B215</f>
        <v>19.3201190309433</v>
      </c>
      <c r="D215" s="5" t="n">
        <f aca="false">C215*LOG(C215)</f>
        <v>24.8458623678573</v>
      </c>
      <c r="E215" s="5"/>
      <c r="F215" s="5"/>
      <c r="G215" s="4" t="n">
        <v>214</v>
      </c>
      <c r="H215" s="6" t="n">
        <v>0.786</v>
      </c>
      <c r="J215" s="2" t="n">
        <f aca="false">B215/$B$1003</f>
        <v>0.00150661967962907</v>
      </c>
      <c r="K215" s="5" t="n">
        <f aca="false">J215*LOG(J215,2)</f>
        <v>-0.0141237594896947</v>
      </c>
    </row>
    <row r="216" customFormat="false" ht="13" hidden="false" customHeight="false" outlineLevel="0" collapsed="false">
      <c r="A216" s="4" t="n">
        <v>786</v>
      </c>
      <c r="B216" s="5" t="n">
        <v>19.293966830887</v>
      </c>
      <c r="C216" s="5" t="n">
        <f aca="false">B216</f>
        <v>19.293966830887</v>
      </c>
      <c r="D216" s="5" t="n">
        <f aca="false">C216*LOG(C216)</f>
        <v>24.8008803167211</v>
      </c>
      <c r="E216" s="5"/>
      <c r="F216" s="5"/>
      <c r="G216" s="4" t="n">
        <v>215</v>
      </c>
      <c r="H216" s="6" t="n">
        <v>0.785</v>
      </c>
      <c r="J216" s="2" t="n">
        <f aca="false">B216/$B$1003</f>
        <v>0.00150458028125853</v>
      </c>
      <c r="K216" s="5" t="n">
        <f aca="false">J216*LOG(J216,2)</f>
        <v>-0.0141075814505584</v>
      </c>
    </row>
    <row r="217" customFormat="false" ht="13" hidden="false" customHeight="false" outlineLevel="0" collapsed="false">
      <c r="A217" s="4" t="n">
        <v>785</v>
      </c>
      <c r="B217" s="5" t="n">
        <v>19.2248490181541</v>
      </c>
      <c r="C217" s="5" t="n">
        <f aca="false">B217</f>
        <v>19.2248490181541</v>
      </c>
      <c r="D217" s="5" t="n">
        <f aca="false">C217*LOG(C217)</f>
        <v>24.6820711385663</v>
      </c>
      <c r="E217" s="5"/>
      <c r="F217" s="5"/>
      <c r="G217" s="4" t="n">
        <v>216</v>
      </c>
      <c r="H217" s="6" t="n">
        <v>0.784</v>
      </c>
      <c r="J217" s="2" t="n">
        <f aca="false">B217/$B$1003</f>
        <v>0.00149919034257805</v>
      </c>
      <c r="K217" s="5" t="n">
        <f aca="false">J217*LOG(J217,2)</f>
        <v>-0.0140648051973702</v>
      </c>
    </row>
    <row r="218" customFormat="false" ht="13" hidden="false" customHeight="false" outlineLevel="0" collapsed="false">
      <c r="A218" s="4" t="n">
        <v>784</v>
      </c>
      <c r="B218" s="5" t="n">
        <v>19.2206403267274</v>
      </c>
      <c r="C218" s="5" t="n">
        <f aca="false">B218</f>
        <v>19.2206403267274</v>
      </c>
      <c r="D218" s="5" t="n">
        <f aca="false">C218*LOG(C218)</f>
        <v>24.6748401442506</v>
      </c>
      <c r="E218" s="5"/>
      <c r="F218" s="5"/>
      <c r="G218" s="4" t="n">
        <v>217</v>
      </c>
      <c r="H218" s="6" t="n">
        <v>0.783</v>
      </c>
      <c r="J218" s="2" t="n">
        <f aca="false">B218/$B$1003</f>
        <v>0.00149886214080462</v>
      </c>
      <c r="K218" s="5" t="n">
        <f aca="false">J218*LOG(J218,2)</f>
        <v>-0.0140621995826148</v>
      </c>
    </row>
    <row r="219" customFormat="false" ht="13" hidden="false" customHeight="false" outlineLevel="0" collapsed="false">
      <c r="A219" s="4" t="n">
        <v>783</v>
      </c>
      <c r="B219" s="5" t="n">
        <v>19.1786814624552</v>
      </c>
      <c r="C219" s="5" t="n">
        <f aca="false">B219</f>
        <v>19.1786814624552</v>
      </c>
      <c r="D219" s="5" t="n">
        <f aca="false">C219*LOG(C219)</f>
        <v>24.6027721044249</v>
      </c>
      <c r="E219" s="5"/>
      <c r="F219" s="5"/>
      <c r="G219" s="4" t="n">
        <v>218</v>
      </c>
      <c r="H219" s="6" t="n">
        <v>0.782</v>
      </c>
      <c r="J219" s="2" t="n">
        <f aca="false">B219/$B$1003</f>
        <v>0.00149559010865273</v>
      </c>
      <c r="K219" s="5" t="n">
        <f aca="false">J219*LOG(J219,2)</f>
        <v>-0.0140362170381971</v>
      </c>
    </row>
    <row r="220" customFormat="false" ht="13" hidden="false" customHeight="false" outlineLevel="0" collapsed="false">
      <c r="A220" s="4" t="n">
        <v>782</v>
      </c>
      <c r="B220" s="5" t="n">
        <v>19.1024922347633</v>
      </c>
      <c r="C220" s="5" t="n">
        <f aca="false">B220</f>
        <v>19.1024922347633</v>
      </c>
      <c r="D220" s="5" t="n">
        <f aca="false">C220*LOG(C220)</f>
        <v>24.4720123847399</v>
      </c>
      <c r="E220" s="5"/>
      <c r="F220" s="5"/>
      <c r="G220" s="4" t="n">
        <v>219</v>
      </c>
      <c r="H220" s="6" t="n">
        <v>0.781</v>
      </c>
      <c r="J220" s="2" t="n">
        <f aca="false">B220/$B$1003</f>
        <v>0.00148964872756535</v>
      </c>
      <c r="K220" s="5" t="n">
        <f aca="false">J220*LOG(J220,2)</f>
        <v>-0.0139890113167338</v>
      </c>
    </row>
    <row r="221" customFormat="false" ht="13" hidden="false" customHeight="false" outlineLevel="0" collapsed="false">
      <c r="A221" s="4" t="n">
        <v>781</v>
      </c>
      <c r="B221" s="5" t="n">
        <v>19.1018545668031</v>
      </c>
      <c r="C221" s="5" t="n">
        <f aca="false">B221</f>
        <v>19.1018545668031</v>
      </c>
      <c r="D221" s="5" t="n">
        <f aca="false">C221*LOG(C221)</f>
        <v>24.4709185436185</v>
      </c>
      <c r="E221" s="5"/>
      <c r="F221" s="5"/>
      <c r="G221" s="4" t="n">
        <v>220</v>
      </c>
      <c r="H221" s="6" t="n">
        <v>0.78</v>
      </c>
      <c r="J221" s="2" t="n">
        <f aca="false">B221/$B$1003</f>
        <v>0.0014895990010033</v>
      </c>
      <c r="K221" s="5" t="n">
        <f aca="false">J221*LOG(J221,2)</f>
        <v>-0.0139886160829996</v>
      </c>
    </row>
    <row r="222" customFormat="false" ht="13" hidden="false" customHeight="false" outlineLevel="0" collapsed="false">
      <c r="A222" s="4" t="n">
        <v>780</v>
      </c>
      <c r="B222" s="5" t="n">
        <v>19.021524571705</v>
      </c>
      <c r="C222" s="5" t="n">
        <f aca="false">B222</f>
        <v>19.021524571705</v>
      </c>
      <c r="D222" s="5" t="n">
        <f aca="false">C222*LOG(C222)</f>
        <v>24.333196337445</v>
      </c>
      <c r="E222" s="5"/>
      <c r="F222" s="5"/>
      <c r="G222" s="4" t="n">
        <v>221</v>
      </c>
      <c r="H222" s="6" t="n">
        <v>0.779</v>
      </c>
      <c r="J222" s="2" t="n">
        <f aca="false">B222/$B$1003</f>
        <v>0.00148333471498697</v>
      </c>
      <c r="K222" s="5" t="n">
        <f aca="false">J222*LOG(J222,2)</f>
        <v>-0.0139388074731471</v>
      </c>
    </row>
    <row r="223" customFormat="false" ht="13" hidden="false" customHeight="false" outlineLevel="0" collapsed="false">
      <c r="A223" s="4" t="n">
        <v>779</v>
      </c>
      <c r="B223" s="5" t="n">
        <v>18.9635818331138</v>
      </c>
      <c r="C223" s="5" t="n">
        <f aca="false">B223</f>
        <v>18.9635818331138</v>
      </c>
      <c r="D223" s="5" t="n">
        <f aca="false">C223*LOG(C223)</f>
        <v>24.2339475146568</v>
      </c>
      <c r="E223" s="5"/>
      <c r="F223" s="5"/>
      <c r="G223" s="4" t="n">
        <v>222</v>
      </c>
      <c r="H223" s="6" t="n">
        <v>0.778</v>
      </c>
      <c r="J223" s="2" t="n">
        <f aca="false">B223/$B$1003</f>
        <v>0.0014788162298724</v>
      </c>
      <c r="K223" s="5" t="n">
        <f aca="false">J223*LOG(J223,2)</f>
        <v>-0.0139028563964578</v>
      </c>
    </row>
    <row r="224" customFormat="false" ht="13" hidden="false" customHeight="false" outlineLevel="0" collapsed="false">
      <c r="A224" s="4" t="n">
        <v>778</v>
      </c>
      <c r="B224" s="5" t="n">
        <v>18.9321041380664</v>
      </c>
      <c r="C224" s="5" t="n">
        <f aca="false">B224</f>
        <v>18.9321041380664</v>
      </c>
      <c r="D224" s="5" t="n">
        <f aca="false">C224*LOG(C224)</f>
        <v>24.1800622898945</v>
      </c>
      <c r="E224" s="5"/>
      <c r="F224" s="5"/>
      <c r="G224" s="4" t="n">
        <v>223</v>
      </c>
      <c r="H224" s="6" t="n">
        <v>0.777</v>
      </c>
      <c r="J224" s="2" t="n">
        <f aca="false">B224/$B$1003</f>
        <v>0.00147636153925937</v>
      </c>
      <c r="K224" s="5" t="n">
        <f aca="false">J224*LOG(J224,2)</f>
        <v>-0.0138833174409042</v>
      </c>
    </row>
    <row r="225" customFormat="false" ht="13" hidden="false" customHeight="false" outlineLevel="0" collapsed="false">
      <c r="A225" s="4" t="n">
        <v>777</v>
      </c>
      <c r="B225" s="5" t="n">
        <v>18.8669648022264</v>
      </c>
      <c r="C225" s="5" t="n">
        <f aca="false">B225</f>
        <v>18.8669648022264</v>
      </c>
      <c r="D225" s="5" t="n">
        <f aca="false">C225*LOG(C225)</f>
        <v>24.0686254724547</v>
      </c>
      <c r="E225" s="5"/>
      <c r="F225" s="5"/>
      <c r="G225" s="4" t="n">
        <v>224</v>
      </c>
      <c r="H225" s="6" t="n">
        <v>0.776</v>
      </c>
      <c r="J225" s="2" t="n">
        <f aca="false">B225/$B$1003</f>
        <v>0.00147128184978452</v>
      </c>
      <c r="K225" s="5" t="n">
        <f aca="false">J225*LOG(J225,2)</f>
        <v>-0.0138428651917299</v>
      </c>
    </row>
    <row r="226" customFormat="false" ht="13" hidden="false" customHeight="false" outlineLevel="0" collapsed="false">
      <c r="A226" s="4" t="n">
        <v>776</v>
      </c>
      <c r="B226" s="5" t="n">
        <v>18.8106548993194</v>
      </c>
      <c r="C226" s="5" t="n">
        <f aca="false">B226</f>
        <v>18.8106548993194</v>
      </c>
      <c r="D226" s="5" t="n">
        <f aca="false">C226*LOG(C226)</f>
        <v>23.9723722647693</v>
      </c>
      <c r="E226" s="5"/>
      <c r="F226" s="5"/>
      <c r="G226" s="4" t="n">
        <v>225</v>
      </c>
      <c r="H226" s="6" t="n">
        <v>0.775</v>
      </c>
      <c r="J226" s="2" t="n">
        <f aca="false">B226/$B$1003</f>
        <v>0.00146689069630654</v>
      </c>
      <c r="K226" s="5" t="n">
        <f aca="false">J226*LOG(J226,2)</f>
        <v>-0.0138078757314264</v>
      </c>
    </row>
    <row r="227" customFormat="false" ht="13" hidden="false" customHeight="false" outlineLevel="0" collapsed="false">
      <c r="A227" s="4" t="n">
        <v>775</v>
      </c>
      <c r="B227" s="5" t="n">
        <v>18.792634577969</v>
      </c>
      <c r="C227" s="5" t="n">
        <f aca="false">B227</f>
        <v>18.792634577969</v>
      </c>
      <c r="D227" s="5" t="n">
        <f aca="false">C227*LOG(C227)</f>
        <v>23.941584720402</v>
      </c>
      <c r="E227" s="5"/>
      <c r="F227" s="5"/>
      <c r="G227" s="4" t="n">
        <v>226</v>
      </c>
      <c r="H227" s="6" t="n">
        <v>0.774</v>
      </c>
      <c r="J227" s="2" t="n">
        <f aca="false">B227/$B$1003</f>
        <v>0.00146548543732566</v>
      </c>
      <c r="K227" s="5" t="n">
        <f aca="false">J227*LOG(J227,2)</f>
        <v>-0.0137966743852069</v>
      </c>
    </row>
    <row r="228" customFormat="false" ht="13" hidden="false" customHeight="false" outlineLevel="0" collapsed="false">
      <c r="A228" s="4" t="n">
        <v>774</v>
      </c>
      <c r="B228" s="5" t="n">
        <v>18.7545029941381</v>
      </c>
      <c r="C228" s="5" t="n">
        <f aca="false">B228</f>
        <v>18.7545029941381</v>
      </c>
      <c r="D228" s="5" t="n">
        <f aca="false">C228*LOG(C228)</f>
        <v>23.8764620287796</v>
      </c>
      <c r="E228" s="5"/>
      <c r="F228" s="5"/>
      <c r="G228" s="4" t="n">
        <v>227</v>
      </c>
      <c r="H228" s="6" t="n">
        <v>0.773</v>
      </c>
      <c r="J228" s="2" t="n">
        <f aca="false">B228/$B$1003</f>
        <v>0.00146251186379213</v>
      </c>
      <c r="K228" s="5" t="n">
        <f aca="false">J228*LOG(J228,2)</f>
        <v>-0.0137729655622519</v>
      </c>
    </row>
    <row r="229" customFormat="false" ht="13" hidden="false" customHeight="false" outlineLevel="0" collapsed="false">
      <c r="A229" s="4" t="n">
        <v>773</v>
      </c>
      <c r="B229" s="5" t="n">
        <v>18.7229510095632</v>
      </c>
      <c r="C229" s="5" t="n">
        <f aca="false">B229</f>
        <v>18.7229510095632</v>
      </c>
      <c r="D229" s="5" t="n">
        <f aca="false">C229*LOG(C229)</f>
        <v>23.8226017021012</v>
      </c>
      <c r="E229" s="5"/>
      <c r="F229" s="5"/>
      <c r="G229" s="4" t="n">
        <v>228</v>
      </c>
      <c r="H229" s="6" t="n">
        <v>0.772</v>
      </c>
      <c r="J229" s="2" t="n">
        <f aca="false">B229/$B$1003</f>
        <v>0.00146005137994027</v>
      </c>
      <c r="K229" s="5" t="n">
        <f aca="false">J229*LOG(J229,2)</f>
        <v>-0.0137533410994027</v>
      </c>
    </row>
    <row r="230" customFormat="false" ht="13" hidden="false" customHeight="false" outlineLevel="0" collapsed="false">
      <c r="A230" s="4" t="n">
        <v>772</v>
      </c>
      <c r="B230" s="5" t="n">
        <v>18.6929437478628</v>
      </c>
      <c r="C230" s="5" t="n">
        <f aca="false">B230</f>
        <v>18.6929437478628</v>
      </c>
      <c r="D230" s="5" t="n">
        <f aca="false">C230*LOG(C230)</f>
        <v>23.771399694062</v>
      </c>
      <c r="E230" s="5"/>
      <c r="F230" s="5"/>
      <c r="G230" s="4" t="n">
        <v>229</v>
      </c>
      <c r="H230" s="6" t="n">
        <v>0.771</v>
      </c>
      <c r="J230" s="2" t="n">
        <f aca="false">B230/$B$1003</f>
        <v>0.00145771135652026</v>
      </c>
      <c r="K230" s="5" t="n">
        <f aca="false">J230*LOG(J230,2)</f>
        <v>-0.0137346718617799</v>
      </c>
    </row>
    <row r="231" customFormat="false" ht="13" hidden="false" customHeight="false" outlineLevel="0" collapsed="false">
      <c r="A231" s="4" t="n">
        <v>771</v>
      </c>
      <c r="B231" s="5" t="n">
        <v>18.6108007860998</v>
      </c>
      <c r="C231" s="5" t="n">
        <f aca="false">B231</f>
        <v>18.6108007860998</v>
      </c>
      <c r="D231" s="5" t="n">
        <f aca="false">C231*LOG(C231)</f>
        <v>23.6313445836761</v>
      </c>
      <c r="E231" s="5"/>
      <c r="F231" s="5"/>
      <c r="G231" s="4" t="n">
        <v>230</v>
      </c>
      <c r="H231" s="6" t="n">
        <v>0.77</v>
      </c>
      <c r="J231" s="2" t="n">
        <f aca="false">B231/$B$1003</f>
        <v>0.00145130569191038</v>
      </c>
      <c r="K231" s="5" t="n">
        <f aca="false">J231*LOG(J231,2)</f>
        <v>-0.0136835382682866</v>
      </c>
    </row>
    <row r="232" customFormat="false" ht="13" hidden="false" customHeight="false" outlineLevel="0" collapsed="false">
      <c r="A232" s="4" t="n">
        <v>770</v>
      </c>
      <c r="B232" s="5" t="n">
        <v>18.6029638325581</v>
      </c>
      <c r="C232" s="5" t="n">
        <f aca="false">B232</f>
        <v>18.6029638325581</v>
      </c>
      <c r="D232" s="5" t="n">
        <f aca="false">C232*LOG(C232)</f>
        <v>23.6179906649231</v>
      </c>
      <c r="E232" s="5"/>
      <c r="F232" s="5"/>
      <c r="G232" s="4" t="n">
        <v>231</v>
      </c>
      <c r="H232" s="6" t="n">
        <v>0.769</v>
      </c>
      <c r="J232" s="2" t="n">
        <f aca="false">B232/$B$1003</f>
        <v>0.00145069455134674</v>
      </c>
      <c r="K232" s="5" t="n">
        <f aca="false">J232*LOG(J232,2)</f>
        <v>-0.0136786576743132</v>
      </c>
    </row>
    <row r="233" customFormat="false" ht="13" hidden="false" customHeight="false" outlineLevel="0" collapsed="false">
      <c r="A233" s="4" t="n">
        <v>769</v>
      </c>
      <c r="B233" s="5" t="n">
        <v>18.5705296311666</v>
      </c>
      <c r="C233" s="5" t="n">
        <f aca="false">B233</f>
        <v>18.5705296311666</v>
      </c>
      <c r="D233" s="5" t="n">
        <f aca="false">C233*LOG(C233)</f>
        <v>23.5627390739496</v>
      </c>
      <c r="E233" s="5"/>
      <c r="F233" s="5"/>
      <c r="G233" s="4" t="n">
        <v>232</v>
      </c>
      <c r="H233" s="6" t="n">
        <v>0.768</v>
      </c>
      <c r="J233" s="2" t="n">
        <f aca="false">B233/$B$1003</f>
        <v>0.00144816527054721</v>
      </c>
      <c r="K233" s="5" t="n">
        <f aca="false">J233*LOG(J233,2)</f>
        <v>-0.0136584547812483</v>
      </c>
    </row>
    <row r="234" customFormat="false" ht="13" hidden="false" customHeight="false" outlineLevel="0" collapsed="false">
      <c r="A234" s="4" t="n">
        <v>768</v>
      </c>
      <c r="B234" s="5" t="n">
        <v>18.5687457245843</v>
      </c>
      <c r="C234" s="5" t="n">
        <f aca="false">B234</f>
        <v>18.5687457245843</v>
      </c>
      <c r="D234" s="5" t="n">
        <f aca="false">C234*LOG(C234)</f>
        <v>23.5597009063746</v>
      </c>
      <c r="E234" s="5"/>
      <c r="F234" s="5"/>
      <c r="G234" s="4" t="n">
        <v>233</v>
      </c>
      <c r="H234" s="6" t="n">
        <v>0.767</v>
      </c>
      <c r="J234" s="2" t="n">
        <f aca="false">B234/$B$1003</f>
        <v>0.00144802615811425</v>
      </c>
      <c r="K234" s="5" t="n">
        <f aca="false">J234*LOG(J234,2)</f>
        <v>-0.0136573434214419</v>
      </c>
    </row>
    <row r="235" customFormat="false" ht="13" hidden="false" customHeight="false" outlineLevel="0" collapsed="false">
      <c r="A235" s="4" t="n">
        <v>767</v>
      </c>
      <c r="B235" s="5" t="n">
        <v>18.5679261110637</v>
      </c>
      <c r="C235" s="5" t="n">
        <f aca="false">B235</f>
        <v>18.5679261110637</v>
      </c>
      <c r="D235" s="5" t="n">
        <f aca="false">C235*LOG(C235)</f>
        <v>23.5583050492528</v>
      </c>
      <c r="E235" s="5"/>
      <c r="F235" s="5"/>
      <c r="G235" s="4" t="n">
        <v>234</v>
      </c>
      <c r="H235" s="6" t="n">
        <v>0.766</v>
      </c>
      <c r="J235" s="2" t="n">
        <f aca="false">B235/$B$1003</f>
        <v>0.00144796224309086</v>
      </c>
      <c r="K235" s="5" t="n">
        <f aca="false">J235*LOG(J235,2)</f>
        <v>-0.013656832802184</v>
      </c>
    </row>
    <row r="236" customFormat="false" ht="13" hidden="false" customHeight="false" outlineLevel="0" collapsed="false">
      <c r="A236" s="4" t="n">
        <v>766</v>
      </c>
      <c r="B236" s="5" t="n">
        <v>18.5097663638145</v>
      </c>
      <c r="C236" s="5" t="n">
        <f aca="false">B236</f>
        <v>18.5097663638145</v>
      </c>
      <c r="D236" s="5" t="n">
        <f aca="false">C236*LOG(C236)</f>
        <v>23.4592952328493</v>
      </c>
      <c r="E236" s="5"/>
      <c r="F236" s="5"/>
      <c r="G236" s="4" t="n">
        <v>235</v>
      </c>
      <c r="H236" s="6" t="n">
        <v>0.765</v>
      </c>
      <c r="J236" s="2" t="n">
        <f aca="false">B236/$B$1003</f>
        <v>0.00144342683522781</v>
      </c>
      <c r="K236" s="5" t="n">
        <f aca="false">J236*LOG(J236,2)</f>
        <v>-0.0136205888745183</v>
      </c>
    </row>
    <row r="237" customFormat="false" ht="13" hidden="false" customHeight="false" outlineLevel="0" collapsed="false">
      <c r="A237" s="4" t="n">
        <v>765</v>
      </c>
      <c r="B237" s="5" t="n">
        <v>18.4835487222235</v>
      </c>
      <c r="C237" s="5" t="n">
        <f aca="false">B237</f>
        <v>18.4835487222235</v>
      </c>
      <c r="D237" s="5" t="n">
        <f aca="false">C237*LOG(C237)</f>
        <v>23.4146888598862</v>
      </c>
      <c r="E237" s="5"/>
      <c r="F237" s="5"/>
      <c r="G237" s="4" t="n">
        <v>236</v>
      </c>
      <c r="H237" s="6" t="n">
        <v>0.764</v>
      </c>
      <c r="J237" s="2" t="n">
        <f aca="false">B237/$B$1003</f>
        <v>0.00144138233360175</v>
      </c>
      <c r="K237" s="5" t="n">
        <f aca="false">J237*LOG(J237,2)</f>
        <v>-0.0136042438742642</v>
      </c>
    </row>
    <row r="238" customFormat="false" ht="13" hidden="false" customHeight="false" outlineLevel="0" collapsed="false">
      <c r="A238" s="4" t="n">
        <v>764</v>
      </c>
      <c r="B238" s="5" t="n">
        <v>18.4744895433353</v>
      </c>
      <c r="C238" s="5" t="n">
        <f aca="false">B238</f>
        <v>18.4744895433353</v>
      </c>
      <c r="D238" s="5" t="n">
        <f aca="false">C238*LOG(C238)</f>
        <v>23.3992794376377</v>
      </c>
      <c r="E238" s="5"/>
      <c r="F238" s="5"/>
      <c r="G238" s="4" t="n">
        <v>237</v>
      </c>
      <c r="H238" s="6" t="n">
        <v>0.763</v>
      </c>
      <c r="J238" s="2" t="n">
        <f aca="false">B238/$B$1003</f>
        <v>0.0014406758815777</v>
      </c>
      <c r="K238" s="5" t="n">
        <f aca="false">J238*LOG(J238,2)</f>
        <v>-0.013598595091099</v>
      </c>
    </row>
    <row r="239" customFormat="false" ht="13" hidden="false" customHeight="false" outlineLevel="0" collapsed="false">
      <c r="A239" s="4" t="n">
        <v>763</v>
      </c>
      <c r="B239" s="5" t="n">
        <v>18.4027573622825</v>
      </c>
      <c r="C239" s="5" t="n">
        <f aca="false">B239</f>
        <v>18.4027573622825</v>
      </c>
      <c r="D239" s="5" t="n">
        <f aca="false">C239*LOG(C239)</f>
        <v>23.2773331012815</v>
      </c>
      <c r="E239" s="5"/>
      <c r="F239" s="5"/>
      <c r="G239" s="4" t="n">
        <v>238</v>
      </c>
      <c r="H239" s="6" t="n">
        <v>0.762</v>
      </c>
      <c r="J239" s="2" t="n">
        <f aca="false">B239/$B$1003</f>
        <v>0.00143508206947625</v>
      </c>
      <c r="K239" s="5" t="n">
        <f aca="false">J239*LOG(J239,2)</f>
        <v>-0.0135538493607607</v>
      </c>
    </row>
    <row r="240" customFormat="false" ht="13" hidden="false" customHeight="false" outlineLevel="0" collapsed="false">
      <c r="A240" s="4" t="n">
        <v>762</v>
      </c>
      <c r="B240" s="5" t="n">
        <v>18.3595927567414</v>
      </c>
      <c r="C240" s="5" t="n">
        <f aca="false">B240</f>
        <v>18.3595927567414</v>
      </c>
      <c r="D240" s="5" t="n">
        <f aca="false">C240*LOG(C240)</f>
        <v>23.2040107820796</v>
      </c>
      <c r="E240" s="5"/>
      <c r="F240" s="5"/>
      <c r="G240" s="4" t="n">
        <v>239</v>
      </c>
      <c r="H240" s="6" t="n">
        <v>0.761</v>
      </c>
      <c r="J240" s="2" t="n">
        <f aca="false">B240/$B$1003</f>
        <v>0.00143171601132373</v>
      </c>
      <c r="K240" s="5" t="n">
        <f aca="false">J240*LOG(J240,2)</f>
        <v>-0.013526908611847</v>
      </c>
    </row>
    <row r="241" customFormat="false" ht="13" hidden="false" customHeight="false" outlineLevel="0" collapsed="false">
      <c r="A241" s="4" t="n">
        <v>761</v>
      </c>
      <c r="B241" s="5" t="n">
        <v>18.3243600500704</v>
      </c>
      <c r="C241" s="5" t="n">
        <f aca="false">B241</f>
        <v>18.3243600500704</v>
      </c>
      <c r="D241" s="5" t="n">
        <f aca="false">C241*LOG(C241)</f>
        <v>23.1441947874354</v>
      </c>
      <c r="E241" s="5"/>
      <c r="F241" s="5"/>
      <c r="G241" s="4" t="n">
        <v>240</v>
      </c>
      <c r="H241" s="6" t="n">
        <v>0.76</v>
      </c>
      <c r="J241" s="2" t="n">
        <f aca="false">B241/$B$1003</f>
        <v>0.00142896849775241</v>
      </c>
      <c r="K241" s="5" t="n">
        <f aca="false">J241*LOG(J241,2)</f>
        <v>-0.0135049100150736</v>
      </c>
    </row>
    <row r="242" customFormat="false" ht="13" hidden="false" customHeight="false" outlineLevel="0" collapsed="false">
      <c r="A242" s="4" t="n">
        <v>760</v>
      </c>
      <c r="B242" s="5" t="n">
        <v>18.2650311302285</v>
      </c>
      <c r="C242" s="5" t="n">
        <f aca="false">B242</f>
        <v>18.2650311302285</v>
      </c>
      <c r="D242" s="5" t="n">
        <f aca="false">C242*LOG(C242)</f>
        <v>23.0435361863549</v>
      </c>
      <c r="E242" s="5"/>
      <c r="F242" s="5"/>
      <c r="G242" s="4" t="n">
        <v>241</v>
      </c>
      <c r="H242" s="6" t="n">
        <v>0.759</v>
      </c>
      <c r="J242" s="2" t="n">
        <f aca="false">B242/$B$1003</f>
        <v>0.00142434191558375</v>
      </c>
      <c r="K242" s="5" t="n">
        <f aca="false">J242*LOG(J242,2)</f>
        <v>-0.0134678489952798</v>
      </c>
    </row>
    <row r="243" customFormat="false" ht="13" hidden="false" customHeight="false" outlineLevel="0" collapsed="false">
      <c r="A243" s="4" t="n">
        <v>759</v>
      </c>
      <c r="B243" s="5" t="n">
        <v>18.2138823679729</v>
      </c>
      <c r="C243" s="5" t="n">
        <f aca="false">B243</f>
        <v>18.2138823679729</v>
      </c>
      <c r="D243" s="5" t="n">
        <f aca="false">C243*LOG(C243)</f>
        <v>22.9568233706067</v>
      </c>
      <c r="E243" s="5"/>
      <c r="F243" s="5"/>
      <c r="G243" s="4" t="n">
        <v>242</v>
      </c>
      <c r="H243" s="6" t="n">
        <v>0.758</v>
      </c>
      <c r="J243" s="2" t="n">
        <f aca="false">B243/$B$1003</f>
        <v>0.00142035323768381</v>
      </c>
      <c r="K243" s="5" t="n">
        <f aca="false">J243*LOG(J243,2)</f>
        <v>-0.0134358804771864</v>
      </c>
    </row>
    <row r="244" customFormat="false" ht="13" hidden="false" customHeight="false" outlineLevel="0" collapsed="false">
      <c r="A244" s="4" t="n">
        <v>758</v>
      </c>
      <c r="B244" s="5" t="n">
        <v>18.2051780402257</v>
      </c>
      <c r="C244" s="5" t="n">
        <f aca="false">B244</f>
        <v>18.2051780402257</v>
      </c>
      <c r="D244" s="5" t="n">
        <f aca="false">C244*LOG(C244)</f>
        <v>22.9420730758291</v>
      </c>
      <c r="E244" s="5"/>
      <c r="F244" s="5"/>
      <c r="G244" s="4" t="n">
        <v>243</v>
      </c>
      <c r="H244" s="6" t="n">
        <v>0.757</v>
      </c>
      <c r="J244" s="2" t="n">
        <f aca="false">B244/$B$1003</f>
        <v>0.0014196744576276</v>
      </c>
      <c r="K244" s="5" t="n">
        <f aca="false">J244*LOG(J244,2)</f>
        <v>-0.0134304385724045</v>
      </c>
    </row>
    <row r="245" customFormat="false" ht="13" hidden="false" customHeight="false" outlineLevel="0" collapsed="false">
      <c r="A245" s="4" t="n">
        <v>757</v>
      </c>
      <c r="B245" s="5" t="n">
        <v>18.1378785675844</v>
      </c>
      <c r="C245" s="5" t="n">
        <f aca="false">B245</f>
        <v>18.1378785675844</v>
      </c>
      <c r="D245" s="5" t="n">
        <f aca="false">C245*LOG(C245)</f>
        <v>22.8280889221675</v>
      </c>
      <c r="E245" s="5"/>
      <c r="F245" s="5"/>
      <c r="G245" s="4" t="n">
        <v>244</v>
      </c>
      <c r="H245" s="6" t="n">
        <v>0.756</v>
      </c>
      <c r="J245" s="2" t="n">
        <f aca="false">B245/$B$1003</f>
        <v>0.00141442631657072</v>
      </c>
      <c r="K245" s="5" t="n">
        <f aca="false">J245*LOG(J245,2)</f>
        <v>-0.0133883474366949</v>
      </c>
    </row>
    <row r="246" customFormat="false" ht="13" hidden="false" customHeight="false" outlineLevel="0" collapsed="false">
      <c r="A246" s="4" t="n">
        <v>756</v>
      </c>
      <c r="B246" s="5" t="n">
        <v>18.112691455714</v>
      </c>
      <c r="C246" s="5" t="n">
        <f aca="false">B246</f>
        <v>18.112691455714</v>
      </c>
      <c r="D246" s="5" t="n">
        <f aca="false">C246*LOG(C246)</f>
        <v>22.785457738207</v>
      </c>
      <c r="E246" s="5"/>
      <c r="F246" s="5"/>
      <c r="G246" s="4" t="n">
        <v>245</v>
      </c>
      <c r="H246" s="6" t="n">
        <v>0.755</v>
      </c>
      <c r="J246" s="2" t="n">
        <f aca="false">B246/$B$1003</f>
        <v>0.00141246217761504</v>
      </c>
      <c r="K246" s="5" t="n">
        <f aca="false">J246*LOG(J246,2)</f>
        <v>-0.0133725874324453</v>
      </c>
    </row>
    <row r="247" customFormat="false" ht="13" hidden="false" customHeight="false" outlineLevel="0" collapsed="false">
      <c r="A247" s="4" t="n">
        <v>755</v>
      </c>
      <c r="B247" s="5" t="n">
        <v>18.1106301276939</v>
      </c>
      <c r="C247" s="5" t="n">
        <f aca="false">B247</f>
        <v>18.1106301276939</v>
      </c>
      <c r="D247" s="5" t="n">
        <f aca="false">C247*LOG(C247)</f>
        <v>22.7819694501811</v>
      </c>
      <c r="E247" s="5"/>
      <c r="F247" s="5"/>
      <c r="G247" s="4" t="n">
        <v>246</v>
      </c>
      <c r="H247" s="6" t="n">
        <v>0.754</v>
      </c>
      <c r="J247" s="2" t="n">
        <f aca="false">B247/$B$1003</f>
        <v>0.00141230143132998</v>
      </c>
      <c r="K247" s="5" t="n">
        <f aca="false">J247*LOG(J247,2)</f>
        <v>-0.0133712974500815</v>
      </c>
    </row>
    <row r="248" customFormat="false" ht="13" hidden="false" customHeight="false" outlineLevel="0" collapsed="false">
      <c r="A248" s="4" t="n">
        <v>754</v>
      </c>
      <c r="B248" s="5" t="n">
        <v>18.093346810739</v>
      </c>
      <c r="C248" s="5" t="n">
        <f aca="false">B248</f>
        <v>18.093346810739</v>
      </c>
      <c r="D248" s="5" t="n">
        <f aca="false">C248*LOG(C248)</f>
        <v>22.7527257192763</v>
      </c>
      <c r="E248" s="5"/>
      <c r="F248" s="5"/>
      <c r="G248" s="4" t="n">
        <v>247</v>
      </c>
      <c r="H248" s="6" t="n">
        <v>0.753</v>
      </c>
      <c r="J248" s="2" t="n">
        <f aca="false">B248/$B$1003</f>
        <v>0.00141095364535559</v>
      </c>
      <c r="K248" s="5" t="n">
        <f aca="false">J248*LOG(J248,2)</f>
        <v>-0.0133604804839977</v>
      </c>
    </row>
    <row r="249" customFormat="false" ht="13" hidden="false" customHeight="false" outlineLevel="0" collapsed="false">
      <c r="A249" s="4" t="n">
        <v>753</v>
      </c>
      <c r="B249" s="5" t="n">
        <v>18.0931048541948</v>
      </c>
      <c r="C249" s="5" t="n">
        <f aca="false">B249</f>
        <v>18.0931048541948</v>
      </c>
      <c r="D249" s="5" t="n">
        <f aca="false">C249*LOG(C249)</f>
        <v>22.7523163746576</v>
      </c>
      <c r="E249" s="5"/>
      <c r="F249" s="5"/>
      <c r="G249" s="4" t="n">
        <v>248</v>
      </c>
      <c r="H249" s="6" t="n">
        <v>0.752</v>
      </c>
      <c r="J249" s="2" t="n">
        <f aca="false">B249/$B$1003</f>
        <v>0.00141093477712343</v>
      </c>
      <c r="K249" s="5" t="n">
        <f aca="false">J249*LOG(J249,2)</f>
        <v>-0.0133603290394851</v>
      </c>
    </row>
    <row r="250" customFormat="false" ht="13" hidden="false" customHeight="false" outlineLevel="0" collapsed="false">
      <c r="A250" s="4" t="n">
        <v>752</v>
      </c>
      <c r="B250" s="5" t="n">
        <v>18.0862204070326</v>
      </c>
      <c r="C250" s="5" t="n">
        <f aca="false">B250</f>
        <v>18.0862204070326</v>
      </c>
      <c r="D250" s="5" t="n">
        <f aca="false">C250*LOG(C250)</f>
        <v>22.740669783649</v>
      </c>
      <c r="E250" s="5"/>
      <c r="F250" s="5"/>
      <c r="G250" s="4" t="n">
        <v>249</v>
      </c>
      <c r="H250" s="6" t="n">
        <v>0.751</v>
      </c>
      <c r="J250" s="2" t="n">
        <f aca="false">B250/$B$1003</f>
        <v>0.00141039791482142</v>
      </c>
      <c r="K250" s="5" t="n">
        <f aca="false">J250*LOG(J250,2)</f>
        <v>-0.0133560198001597</v>
      </c>
    </row>
    <row r="251" customFormat="false" ht="13" hidden="false" customHeight="false" outlineLevel="0" collapsed="false">
      <c r="A251" s="4" t="n">
        <v>751</v>
      </c>
      <c r="B251" s="5" t="n">
        <v>18.0650987269017</v>
      </c>
      <c r="C251" s="5" t="n">
        <f aca="false">B251</f>
        <v>18.0650987269017</v>
      </c>
      <c r="D251" s="5" t="n">
        <f aca="false">C251*LOG(C251)</f>
        <v>22.7049448144407</v>
      </c>
      <c r="E251" s="5"/>
      <c r="F251" s="5"/>
      <c r="G251" s="4" t="n">
        <v>250</v>
      </c>
      <c r="H251" s="6" t="n">
        <v>0.75</v>
      </c>
      <c r="J251" s="2" t="n">
        <f aca="false">B251/$B$1003</f>
        <v>0.00140875080597593</v>
      </c>
      <c r="K251" s="5" t="n">
        <f aca="false">J251*LOG(J251,2)</f>
        <v>-0.0133427970907876</v>
      </c>
      <c r="L251" s="2" t="n">
        <f aca="false">SUM(J202:J251)</f>
        <v>0.0736328877873633</v>
      </c>
    </row>
    <row r="252" customFormat="false" ht="13" hidden="false" customHeight="false" outlineLevel="0" collapsed="false">
      <c r="A252" s="4" t="n">
        <v>750</v>
      </c>
      <c r="B252" s="5" t="n">
        <v>18.0627874703572</v>
      </c>
      <c r="C252" s="5" t="n">
        <f aca="false">B252</f>
        <v>18.0627874703572</v>
      </c>
      <c r="D252" s="5" t="n">
        <f aca="false">C252*LOG(C252)</f>
        <v>22.7010362322312</v>
      </c>
      <c r="E252" s="5"/>
      <c r="F252" s="5"/>
      <c r="G252" s="4" t="n">
        <v>251</v>
      </c>
      <c r="H252" s="6" t="n">
        <v>0.749</v>
      </c>
      <c r="J252" s="2" t="n">
        <f aca="false">B252/$B$1003</f>
        <v>0.0014085705697885</v>
      </c>
      <c r="K252" s="5" t="n">
        <f aca="false">J252*LOG(J252,2)</f>
        <v>-0.013341350016776</v>
      </c>
    </row>
    <row r="253" customFormat="false" ht="13" hidden="false" customHeight="false" outlineLevel="0" collapsed="false">
      <c r="A253" s="4" t="n">
        <v>749</v>
      </c>
      <c r="B253" s="5" t="n">
        <v>18.0440668194075</v>
      </c>
      <c r="C253" s="5" t="n">
        <f aca="false">B253</f>
        <v>18.0440668194075</v>
      </c>
      <c r="D253" s="5" t="n">
        <f aca="false">C253*LOG(C253)</f>
        <v>22.669382342441</v>
      </c>
      <c r="E253" s="5"/>
      <c r="F253" s="5"/>
      <c r="G253" s="4" t="n">
        <v>252</v>
      </c>
      <c r="H253" s="6" t="n">
        <v>0.748</v>
      </c>
      <c r="J253" s="2" t="n">
        <f aca="false">B253/$B$1003</f>
        <v>0.00140711069777161</v>
      </c>
      <c r="K253" s="5" t="n">
        <f aca="false">J253*LOG(J253,2)</f>
        <v>-0.0133296278207255</v>
      </c>
    </row>
    <row r="254" customFormat="false" ht="13" hidden="false" customHeight="false" outlineLevel="0" collapsed="false">
      <c r="A254" s="4" t="n">
        <v>748</v>
      </c>
      <c r="B254" s="5" t="n">
        <v>18.0328567124916</v>
      </c>
      <c r="C254" s="5" t="n">
        <f aca="false">B254</f>
        <v>18.0328567124916</v>
      </c>
      <c r="D254" s="5" t="n">
        <f aca="false">C254*LOG(C254)</f>
        <v>22.6504317242391</v>
      </c>
      <c r="E254" s="5"/>
      <c r="F254" s="5"/>
      <c r="G254" s="4" t="n">
        <v>253</v>
      </c>
      <c r="H254" s="6" t="n">
        <v>0.747</v>
      </c>
      <c r="J254" s="2" t="n">
        <f aca="false">B254/$B$1003</f>
        <v>0.00140623651228325</v>
      </c>
      <c r="K254" s="5" t="n">
        <f aca="false">J254*LOG(J254,2)</f>
        <v>-0.0133226074104608</v>
      </c>
    </row>
    <row r="255" customFormat="false" ht="13" hidden="false" customHeight="false" outlineLevel="0" collapsed="false">
      <c r="A255" s="4" t="n">
        <v>747</v>
      </c>
      <c r="B255" s="5" t="n">
        <v>17.9986671962573</v>
      </c>
      <c r="C255" s="5" t="n">
        <f aca="false">B255</f>
        <v>17.9986671962573</v>
      </c>
      <c r="D255" s="5" t="n">
        <f aca="false">C255*LOG(C255)</f>
        <v>22.5926532520858</v>
      </c>
      <c r="E255" s="5"/>
      <c r="F255" s="5"/>
      <c r="G255" s="4" t="n">
        <v>254</v>
      </c>
      <c r="H255" s="6" t="n">
        <v>0.746</v>
      </c>
      <c r="J255" s="2" t="n">
        <f aca="false">B255/$B$1003</f>
        <v>0.00140357034868907</v>
      </c>
      <c r="K255" s="5" t="n">
        <f aca="false">J255*LOG(J255,2)</f>
        <v>-0.0133011911354672</v>
      </c>
    </row>
    <row r="256" customFormat="false" ht="13" hidden="false" customHeight="false" outlineLevel="0" collapsed="false">
      <c r="A256" s="4" t="n">
        <v>746</v>
      </c>
      <c r="B256" s="5" t="n">
        <v>17.9608584249497</v>
      </c>
      <c r="C256" s="5" t="n">
        <f aca="false">B256</f>
        <v>17.9608584249497</v>
      </c>
      <c r="D256" s="5" t="n">
        <f aca="false">C256*LOG(C256)</f>
        <v>22.5287912746483</v>
      </c>
      <c r="E256" s="5"/>
      <c r="F256" s="5"/>
      <c r="G256" s="4" t="n">
        <v>255</v>
      </c>
      <c r="H256" s="6" t="n">
        <v>0.745</v>
      </c>
      <c r="J256" s="2" t="n">
        <f aca="false">B256/$B$1003</f>
        <v>0.00140062194869095</v>
      </c>
      <c r="K256" s="5" t="n">
        <f aca="false">J256*LOG(J256,2)</f>
        <v>-0.0132774992548279</v>
      </c>
    </row>
    <row r="257" customFormat="false" ht="13" hidden="false" customHeight="false" outlineLevel="0" collapsed="false">
      <c r="A257" s="4" t="n">
        <v>745</v>
      </c>
      <c r="B257" s="5" t="n">
        <v>17.918890763892</v>
      </c>
      <c r="C257" s="5" t="n">
        <f aca="false">B257</f>
        <v>17.918890763892</v>
      </c>
      <c r="D257" s="5" t="n">
        <f aca="false">C257*LOG(C257)</f>
        <v>22.4579450874618</v>
      </c>
      <c r="E257" s="5"/>
      <c r="F257" s="5"/>
      <c r="G257" s="4" t="n">
        <v>256</v>
      </c>
      <c r="H257" s="6" t="n">
        <v>0.744</v>
      </c>
      <c r="J257" s="2" t="n">
        <f aca="false">B257/$B$1003</f>
        <v>0.00139734923054898</v>
      </c>
      <c r="K257" s="5" t="n">
        <f aca="false">J257*LOG(J257,2)</f>
        <v>-0.0132511908277777</v>
      </c>
    </row>
    <row r="258" customFormat="false" ht="13" hidden="false" customHeight="false" outlineLevel="0" collapsed="false">
      <c r="A258" s="4" t="n">
        <v>744</v>
      </c>
      <c r="B258" s="5" t="n">
        <v>17.8883716831734</v>
      </c>
      <c r="C258" s="5" t="n">
        <f aca="false">B258</f>
        <v>17.8883716831734</v>
      </c>
      <c r="D258" s="5" t="n">
        <f aca="false">C258*LOG(C258)</f>
        <v>22.4064522094266</v>
      </c>
      <c r="E258" s="5"/>
      <c r="F258" s="5"/>
      <c r="G258" s="4" t="n">
        <v>257</v>
      </c>
      <c r="H258" s="6" t="n">
        <v>0.743</v>
      </c>
      <c r="J258" s="2" t="n">
        <f aca="false">B258/$B$1003</f>
        <v>0.00139496929450711</v>
      </c>
      <c r="K258" s="5" t="n">
        <f aca="false">J258*LOG(J258,2)</f>
        <v>-0.0132320522724712</v>
      </c>
    </row>
    <row r="259" customFormat="false" ht="13" hidden="false" customHeight="false" outlineLevel="0" collapsed="false">
      <c r="A259" s="4" t="n">
        <v>743</v>
      </c>
      <c r="B259" s="5" t="n">
        <v>17.8784377740819</v>
      </c>
      <c r="C259" s="5" t="n">
        <f aca="false">B259</f>
        <v>17.8784377740819</v>
      </c>
      <c r="D259" s="5" t="n">
        <f aca="false">C259*LOG(C259)</f>
        <v>22.3896962410978</v>
      </c>
      <c r="E259" s="5"/>
      <c r="F259" s="5"/>
      <c r="G259" s="4" t="n">
        <v>258</v>
      </c>
      <c r="H259" s="6" t="n">
        <v>0.742</v>
      </c>
      <c r="J259" s="2" t="n">
        <f aca="false">B259/$B$1003</f>
        <v>0.00139419462935578</v>
      </c>
      <c r="K259" s="5" t="n">
        <f aca="false">J259*LOG(J259,2)</f>
        <v>-0.0132258214419297</v>
      </c>
    </row>
    <row r="260" customFormat="false" ht="13" hidden="false" customHeight="false" outlineLevel="0" collapsed="false">
      <c r="A260" s="4" t="n">
        <v>742</v>
      </c>
      <c r="B260" s="5" t="n">
        <v>17.8557377621098</v>
      </c>
      <c r="C260" s="5" t="n">
        <f aca="false">B260</f>
        <v>17.8557377621098</v>
      </c>
      <c r="D260" s="5" t="n">
        <f aca="false">C260*LOG(C260)</f>
        <v>22.3514161162357</v>
      </c>
      <c r="E260" s="5"/>
      <c r="F260" s="5"/>
      <c r="G260" s="4" t="n">
        <v>259</v>
      </c>
      <c r="H260" s="6" t="n">
        <v>0.741</v>
      </c>
      <c r="J260" s="2" t="n">
        <f aca="false">B260/$B$1003</f>
        <v>0.00139242443918717</v>
      </c>
      <c r="K260" s="5" t="n">
        <f aca="false">J260*LOG(J260,2)</f>
        <v>-0.0132115810169356</v>
      </c>
    </row>
    <row r="261" customFormat="false" ht="13" hidden="false" customHeight="false" outlineLevel="0" collapsed="false">
      <c r="A261" s="4" t="n">
        <v>741</v>
      </c>
      <c r="B261" s="5" t="n">
        <v>17.8533743263068</v>
      </c>
      <c r="C261" s="5" t="n">
        <f aca="false">B261</f>
        <v>17.8533743263068</v>
      </c>
      <c r="D261" s="5" t="n">
        <f aca="false">C261*LOG(C261)</f>
        <v>22.3474312605738</v>
      </c>
      <c r="E261" s="5"/>
      <c r="F261" s="5"/>
      <c r="G261" s="4" t="n">
        <v>260</v>
      </c>
      <c r="H261" s="6" t="n">
        <v>0.74</v>
      </c>
      <c r="J261" s="2" t="n">
        <f aca="false">B261/$B$1003</f>
        <v>0.00139224013396179</v>
      </c>
      <c r="K261" s="5" t="n">
        <f aca="false">J261*LOG(J261,2)</f>
        <v>-0.0132100981734524</v>
      </c>
    </row>
    <row r="262" customFormat="false" ht="13" hidden="false" customHeight="false" outlineLevel="0" collapsed="false">
      <c r="A262" s="4" t="n">
        <v>740</v>
      </c>
      <c r="B262" s="5" t="n">
        <v>17.8481764321269</v>
      </c>
      <c r="C262" s="5" t="n">
        <f aca="false">B262</f>
        <v>17.8481764321269</v>
      </c>
      <c r="D262" s="5" t="n">
        <f aca="false">C262*LOG(C262)</f>
        <v>22.3386678627437</v>
      </c>
      <c r="E262" s="5"/>
      <c r="F262" s="5"/>
      <c r="G262" s="4" t="n">
        <v>261</v>
      </c>
      <c r="H262" s="6" t="n">
        <v>0.739</v>
      </c>
      <c r="J262" s="2" t="n">
        <f aca="false">B262/$B$1003</f>
        <v>0.0013918347922736</v>
      </c>
      <c r="K262" s="5" t="n">
        <f aca="false">J262*LOG(J262,2)</f>
        <v>-0.013206836838326</v>
      </c>
    </row>
    <row r="263" customFormat="false" ht="13" hidden="false" customHeight="false" outlineLevel="0" collapsed="false">
      <c r="A263" s="4" t="n">
        <v>739</v>
      </c>
      <c r="B263" s="5" t="n">
        <v>17.7404163719986</v>
      </c>
      <c r="C263" s="5" t="n">
        <f aca="false">B263</f>
        <v>17.7404163719986</v>
      </c>
      <c r="D263" s="5" t="n">
        <f aca="false">C263*LOG(C263)</f>
        <v>22.1571379983904</v>
      </c>
      <c r="E263" s="5"/>
      <c r="F263" s="5"/>
      <c r="G263" s="4" t="n">
        <v>262</v>
      </c>
      <c r="H263" s="6" t="n">
        <v>0.738</v>
      </c>
      <c r="J263" s="2" t="n">
        <f aca="false">B263/$B$1003</f>
        <v>0.00138343145754221</v>
      </c>
      <c r="K263" s="5" t="n">
        <f aca="false">J263*LOG(J263,2)</f>
        <v>-0.0131391860839789</v>
      </c>
    </row>
    <row r="264" customFormat="false" ht="13" hidden="false" customHeight="false" outlineLevel="0" collapsed="false">
      <c r="A264" s="4" t="n">
        <v>738</v>
      </c>
      <c r="B264" s="5" t="n">
        <v>17.7153085149059</v>
      </c>
      <c r="C264" s="5" t="n">
        <f aca="false">B264</f>
        <v>17.7153085149059</v>
      </c>
      <c r="D264" s="5" t="n">
        <f aca="false">C264*LOG(C264)</f>
        <v>22.1148827097373</v>
      </c>
      <c r="E264" s="5"/>
      <c r="F264" s="5"/>
      <c r="G264" s="4" t="n">
        <v>263</v>
      </c>
      <c r="H264" s="6" t="n">
        <v>0.737</v>
      </c>
      <c r="J264" s="2" t="n">
        <f aca="false">B264/$B$1003</f>
        <v>0.00138147349902505</v>
      </c>
      <c r="K264" s="5" t="n">
        <f aca="false">J264*LOG(J264,2)</f>
        <v>-0.0131234130453056</v>
      </c>
    </row>
    <row r="265" customFormat="false" ht="13" hidden="false" customHeight="false" outlineLevel="0" collapsed="false">
      <c r="A265" s="4" t="n">
        <v>737</v>
      </c>
      <c r="B265" s="5" t="n">
        <v>17.6610204467121</v>
      </c>
      <c r="C265" s="5" t="n">
        <f aca="false">B265</f>
        <v>17.6610204467121</v>
      </c>
      <c r="D265" s="5" t="n">
        <f aca="false">C265*LOG(C265)</f>
        <v>22.0235714233448</v>
      </c>
      <c r="E265" s="5"/>
      <c r="F265" s="5"/>
      <c r="G265" s="4" t="n">
        <v>264</v>
      </c>
      <c r="H265" s="6" t="n">
        <v>0.736</v>
      </c>
      <c r="J265" s="2" t="n">
        <f aca="false">B265/$B$1003</f>
        <v>0.00137724001206885</v>
      </c>
      <c r="K265" s="5" t="n">
        <f aca="false">J265*LOG(J265,2)</f>
        <v>-0.0130892949752682</v>
      </c>
    </row>
    <row r="266" customFormat="false" ht="13" hidden="false" customHeight="false" outlineLevel="0" collapsed="false">
      <c r="A266" s="4" t="n">
        <v>736</v>
      </c>
      <c r="B266" s="5" t="n">
        <v>17.6527123840756</v>
      </c>
      <c r="C266" s="5" t="n">
        <f aca="false">B266</f>
        <v>17.6527123840756</v>
      </c>
      <c r="D266" s="5" t="n">
        <f aca="false">C266*LOG(C266)</f>
        <v>22.0096038410682</v>
      </c>
      <c r="E266" s="5"/>
      <c r="F266" s="5"/>
      <c r="G266" s="4" t="n">
        <v>265</v>
      </c>
      <c r="H266" s="6" t="n">
        <v>0.735</v>
      </c>
      <c r="J266" s="2" t="n">
        <f aca="false">B266/$B$1003</f>
        <v>0.0013765921335207</v>
      </c>
      <c r="K266" s="5" t="n">
        <f aca="false">J266*LOG(J266,2)</f>
        <v>-0.0130840720060571</v>
      </c>
    </row>
    <row r="267" customFormat="false" ht="13" hidden="false" customHeight="false" outlineLevel="0" collapsed="false">
      <c r="A267" s="4" t="n">
        <v>735</v>
      </c>
      <c r="B267" s="5" t="n">
        <v>17.6486411762821</v>
      </c>
      <c r="C267" s="5" t="n">
        <f aca="false">B267</f>
        <v>17.6486411762821</v>
      </c>
      <c r="D267" s="5" t="n">
        <f aca="false">C267*LOG(C267)</f>
        <v>22.0027599134183</v>
      </c>
      <c r="E267" s="5"/>
      <c r="F267" s="5"/>
      <c r="G267" s="4" t="n">
        <v>266</v>
      </c>
      <c r="H267" s="6" t="n">
        <v>0.734</v>
      </c>
      <c r="J267" s="2" t="n">
        <f aca="false">B267/$B$1003</f>
        <v>0.00137627465298284</v>
      </c>
      <c r="K267" s="5" t="n">
        <f aca="false">J267*LOG(J267,2)</f>
        <v>-0.0130815124289265</v>
      </c>
    </row>
    <row r="268" customFormat="false" ht="13" hidden="false" customHeight="false" outlineLevel="0" collapsed="false">
      <c r="A268" s="4" t="n">
        <v>734</v>
      </c>
      <c r="B268" s="5" t="n">
        <v>17.6387830845432</v>
      </c>
      <c r="C268" s="5" t="n">
        <f aca="false">B268</f>
        <v>17.6387830845432</v>
      </c>
      <c r="D268" s="5" t="n">
        <f aca="false">C268*LOG(C268)</f>
        <v>21.9861896004102</v>
      </c>
      <c r="E268" s="5"/>
      <c r="F268" s="5"/>
      <c r="G268" s="4" t="n">
        <v>267</v>
      </c>
      <c r="H268" s="6" t="n">
        <v>0.733</v>
      </c>
      <c r="J268" s="2" t="n">
        <f aca="false">B268/$B$1003</f>
        <v>0.00137550590021306</v>
      </c>
      <c r="K268" s="5" t="n">
        <f aca="false">J268*LOG(J268,2)</f>
        <v>-0.0130753141876434</v>
      </c>
    </row>
    <row r="269" customFormat="false" ht="13" hidden="false" customHeight="false" outlineLevel="0" collapsed="false">
      <c r="A269" s="4" t="n">
        <v>733</v>
      </c>
      <c r="B269" s="5" t="n">
        <v>17.6362943179555</v>
      </c>
      <c r="C269" s="5" t="n">
        <f aca="false">B269</f>
        <v>17.6362943179555</v>
      </c>
      <c r="D269" s="5" t="n">
        <f aca="false">C269*LOG(C269)</f>
        <v>21.9820066496179</v>
      </c>
      <c r="E269" s="5"/>
      <c r="F269" s="5"/>
      <c r="G269" s="4" t="n">
        <v>268</v>
      </c>
      <c r="H269" s="6" t="n">
        <v>0.732</v>
      </c>
      <c r="J269" s="2" t="n">
        <f aca="false">B269/$B$1003</f>
        <v>0.00137531182145438</v>
      </c>
      <c r="K269" s="5" t="n">
        <f aca="false">J269*LOG(J269,2)</f>
        <v>-0.0130737492862264</v>
      </c>
    </row>
    <row r="270" customFormat="false" ht="13" hidden="false" customHeight="false" outlineLevel="0" collapsed="false">
      <c r="A270" s="4" t="n">
        <v>732</v>
      </c>
      <c r="B270" s="5" t="n">
        <v>17.6225650453695</v>
      </c>
      <c r="C270" s="5" t="n">
        <f aca="false">B270</f>
        <v>17.6225650453695</v>
      </c>
      <c r="D270" s="5" t="n">
        <f aca="false">C270*LOG(C270)</f>
        <v>21.9589341576248</v>
      </c>
      <c r="E270" s="5"/>
      <c r="F270" s="5"/>
      <c r="G270" s="4" t="n">
        <v>269</v>
      </c>
      <c r="H270" s="6" t="n">
        <v>0.731</v>
      </c>
      <c r="J270" s="2" t="n">
        <f aca="false">B270/$B$1003</f>
        <v>0.001374241186629</v>
      </c>
      <c r="K270" s="5" t="n">
        <f aca="false">J270*LOG(J270,2)</f>
        <v>-0.0130651158024305</v>
      </c>
    </row>
    <row r="271" customFormat="false" ht="13" hidden="false" customHeight="false" outlineLevel="0" collapsed="false">
      <c r="A271" s="4" t="n">
        <v>731</v>
      </c>
      <c r="B271" s="5" t="n">
        <v>17.5537372515905</v>
      </c>
      <c r="C271" s="5" t="n">
        <f aca="false">B271</f>
        <v>17.5537372515905</v>
      </c>
      <c r="D271" s="5" t="n">
        <f aca="false">C271*LOG(C271)</f>
        <v>21.8433368872672</v>
      </c>
      <c r="E271" s="5"/>
      <c r="F271" s="5"/>
      <c r="G271" s="4" t="n">
        <v>270</v>
      </c>
      <c r="H271" s="6" t="n">
        <v>0.73</v>
      </c>
      <c r="J271" s="2" t="n">
        <f aca="false">B271/$B$1003</f>
        <v>0.00136887386417892</v>
      </c>
      <c r="K271" s="5" t="n">
        <f aca="false">J271*LOG(J271,2)</f>
        <v>-0.0130218161360411</v>
      </c>
    </row>
    <row r="272" customFormat="false" ht="13" hidden="false" customHeight="false" outlineLevel="0" collapsed="false">
      <c r="A272" s="4" t="n">
        <v>730</v>
      </c>
      <c r="B272" s="5" t="n">
        <v>17.5283477381686</v>
      </c>
      <c r="C272" s="5" t="n">
        <f aca="false">B272</f>
        <v>17.5283477381686</v>
      </c>
      <c r="D272" s="5" t="n">
        <f aca="false">C272*LOG(C272)</f>
        <v>21.8007244013593</v>
      </c>
      <c r="E272" s="5"/>
      <c r="F272" s="5"/>
      <c r="G272" s="4" t="n">
        <v>271</v>
      </c>
      <c r="H272" s="6" t="n">
        <v>0.729</v>
      </c>
      <c r="J272" s="2" t="n">
        <f aca="false">B272/$B$1003</f>
        <v>0.00136689394156477</v>
      </c>
      <c r="K272" s="5" t="n">
        <f aca="false">J272*LOG(J272,2)</f>
        <v>-0.0130058358963431</v>
      </c>
    </row>
    <row r="273" customFormat="false" ht="13" hidden="false" customHeight="false" outlineLevel="0" collapsed="false">
      <c r="A273" s="4" t="n">
        <v>729</v>
      </c>
      <c r="B273" s="5" t="n">
        <v>17.4996731665108</v>
      </c>
      <c r="C273" s="5" t="n">
        <f aca="false">B273</f>
        <v>17.4996731665108</v>
      </c>
      <c r="D273" s="5" t="n">
        <f aca="false">C273*LOG(C273)</f>
        <v>21.7526176448921</v>
      </c>
      <c r="E273" s="5"/>
      <c r="F273" s="5"/>
      <c r="G273" s="4" t="n">
        <v>272</v>
      </c>
      <c r="H273" s="6" t="n">
        <v>0.728</v>
      </c>
      <c r="J273" s="2" t="n">
        <f aca="false">B273/$B$1003</f>
        <v>0.00136465784385256</v>
      </c>
      <c r="K273" s="5" t="n">
        <f aca="false">J273*LOG(J273,2)</f>
        <v>-0.0129877830552183</v>
      </c>
    </row>
    <row r="274" customFormat="false" ht="13" hidden="false" customHeight="false" outlineLevel="0" collapsed="false">
      <c r="A274" s="4" t="n">
        <v>728</v>
      </c>
      <c r="B274" s="5" t="n">
        <v>17.4645650305157</v>
      </c>
      <c r="C274" s="5" t="n">
        <f aca="false">B274</f>
        <v>17.4645650305157</v>
      </c>
      <c r="D274" s="5" t="n">
        <f aca="false">C274*LOG(C274)</f>
        <v>21.6937452159646</v>
      </c>
      <c r="E274" s="5"/>
      <c r="F274" s="5"/>
      <c r="G274" s="4" t="n">
        <v>273</v>
      </c>
      <c r="H274" s="6" t="n">
        <v>0.727</v>
      </c>
      <c r="J274" s="2" t="n">
        <f aca="false">B274/$B$1003</f>
        <v>0.0013619200445398</v>
      </c>
      <c r="K274" s="5" t="n">
        <f aca="false">J274*LOG(J274,2)</f>
        <v>-0.0129656725931221</v>
      </c>
    </row>
    <row r="275" customFormat="false" ht="13" hidden="false" customHeight="false" outlineLevel="0" collapsed="false">
      <c r="A275" s="4" t="n">
        <v>727</v>
      </c>
      <c r="B275" s="5" t="n">
        <v>17.4418254802857</v>
      </c>
      <c r="C275" s="5" t="n">
        <f aca="false">B275</f>
        <v>17.4418254802857</v>
      </c>
      <c r="D275" s="5" t="n">
        <f aca="false">C275*LOG(C275)</f>
        <v>21.6556298777332</v>
      </c>
      <c r="E275" s="5"/>
      <c r="F275" s="5"/>
      <c r="G275" s="4" t="n">
        <v>274</v>
      </c>
      <c r="H275" s="6" t="n">
        <v>0.726</v>
      </c>
      <c r="J275" s="2" t="n">
        <f aca="false">B275/$B$1003</f>
        <v>0.00136014677110254</v>
      </c>
      <c r="K275" s="5" t="n">
        <f aca="false">J275*LOG(J275,2)</f>
        <v>-0.0129513474042762</v>
      </c>
    </row>
    <row r="276" customFormat="false" ht="13" hidden="false" customHeight="false" outlineLevel="0" collapsed="false">
      <c r="A276" s="4" t="n">
        <v>726</v>
      </c>
      <c r="B276" s="5" t="n">
        <v>17.4271024998287</v>
      </c>
      <c r="C276" s="5" t="n">
        <f aca="false">B276</f>
        <v>17.4271024998287</v>
      </c>
      <c r="D276" s="5" t="n">
        <f aca="false">C276*LOG(C276)</f>
        <v>21.6309585341988</v>
      </c>
      <c r="E276" s="5"/>
      <c r="F276" s="5"/>
      <c r="G276" s="4" t="n">
        <v>275</v>
      </c>
      <c r="H276" s="6" t="n">
        <v>0.725</v>
      </c>
      <c r="J276" s="2" t="n">
        <f aca="false">B276/$B$1003</f>
        <v>0.00135899864504473</v>
      </c>
      <c r="K276" s="5" t="n">
        <f aca="false">J276*LOG(J276,2)</f>
        <v>-0.0129420706192323</v>
      </c>
    </row>
    <row r="277" customFormat="false" ht="13" hidden="false" customHeight="false" outlineLevel="0" collapsed="false">
      <c r="A277" s="4" t="n">
        <v>725</v>
      </c>
      <c r="B277" s="5" t="n">
        <v>17.3745482084291</v>
      </c>
      <c r="C277" s="5" t="n">
        <f aca="false">B277</f>
        <v>17.3745482084291</v>
      </c>
      <c r="D277" s="5" t="n">
        <f aca="false">C277*LOG(C277)</f>
        <v>21.5429372348155</v>
      </c>
      <c r="E277" s="5"/>
      <c r="F277" s="5"/>
      <c r="G277" s="4" t="n">
        <v>276</v>
      </c>
      <c r="H277" s="6" t="n">
        <v>0.724</v>
      </c>
      <c r="J277" s="2" t="n">
        <f aca="false">B277/$B$1003</f>
        <v>0.00135490036130514</v>
      </c>
      <c r="K277" s="5" t="n">
        <f aca="false">J277*LOG(J277,2)</f>
        <v>-0.0129089453279813</v>
      </c>
    </row>
    <row r="278" customFormat="false" ht="13" hidden="false" customHeight="false" outlineLevel="0" collapsed="false">
      <c r="A278" s="4" t="n">
        <v>724</v>
      </c>
      <c r="B278" s="5" t="n">
        <v>17.3213846977395</v>
      </c>
      <c r="C278" s="5" t="n">
        <f aca="false">B278</f>
        <v>17.3213846977395</v>
      </c>
      <c r="D278" s="5" t="n">
        <f aca="false">C278*LOG(C278)</f>
        <v>21.4539658197266</v>
      </c>
      <c r="E278" s="5"/>
      <c r="F278" s="5"/>
      <c r="G278" s="4" t="n">
        <v>277</v>
      </c>
      <c r="H278" s="6" t="n">
        <v>0.723</v>
      </c>
      <c r="J278" s="2" t="n">
        <f aca="false">B278/$B$1003</f>
        <v>0.00135075456948496</v>
      </c>
      <c r="K278" s="5" t="n">
        <f aca="false">J278*LOG(J278,2)</f>
        <v>-0.0128754178453967</v>
      </c>
    </row>
    <row r="279" customFormat="false" ht="13" hidden="false" customHeight="false" outlineLevel="0" collapsed="false">
      <c r="A279" s="4" t="n">
        <v>723</v>
      </c>
      <c r="B279" s="5" t="n">
        <v>17.2843556372092</v>
      </c>
      <c r="C279" s="5" t="n">
        <f aca="false">B279</f>
        <v>17.2843556372092</v>
      </c>
      <c r="D279" s="5" t="n">
        <f aca="false">C279*LOG(C279)</f>
        <v>21.392037954252</v>
      </c>
      <c r="E279" s="5"/>
      <c r="F279" s="5"/>
      <c r="G279" s="4" t="n">
        <v>278</v>
      </c>
      <c r="H279" s="6" t="n">
        <v>0.722</v>
      </c>
      <c r="J279" s="2" t="n">
        <f aca="false">B279/$B$1003</f>
        <v>0.00134786697281831</v>
      </c>
      <c r="K279" s="5" t="n">
        <f aca="false">J279*LOG(J279,2)</f>
        <v>-0.0128520546852409</v>
      </c>
    </row>
    <row r="280" customFormat="false" ht="13" hidden="false" customHeight="false" outlineLevel="0" collapsed="false">
      <c r="A280" s="4" t="n">
        <v>722</v>
      </c>
      <c r="B280" s="5" t="n">
        <v>17.2715223301781</v>
      </c>
      <c r="C280" s="5" t="n">
        <f aca="false">B280</f>
        <v>17.2715223301781</v>
      </c>
      <c r="D280" s="5" t="n">
        <f aca="false">C280*LOG(C280)</f>
        <v>21.370583405989</v>
      </c>
      <c r="E280" s="5"/>
      <c r="F280" s="5"/>
      <c r="G280" s="4" t="n">
        <v>279</v>
      </c>
      <c r="H280" s="6" t="n">
        <v>0.721</v>
      </c>
      <c r="J280" s="2" t="n">
        <f aca="false">B280/$B$1003</f>
        <v>0.00134686620709338</v>
      </c>
      <c r="K280" s="5" t="n">
        <f aca="false">J280*LOG(J280,2)</f>
        <v>-0.0128439555414238</v>
      </c>
    </row>
    <row r="281" customFormat="false" ht="13" hidden="false" customHeight="false" outlineLevel="0" collapsed="false">
      <c r="A281" s="4" t="n">
        <v>721</v>
      </c>
      <c r="B281" s="5" t="n">
        <v>17.2526405670602</v>
      </c>
      <c r="C281" s="5" t="n">
        <f aca="false">B281</f>
        <v>17.2526405670602</v>
      </c>
      <c r="D281" s="5" t="n">
        <f aca="false">C281*LOG(C281)</f>
        <v>21.3390246608381</v>
      </c>
      <c r="E281" s="5"/>
      <c r="F281" s="5"/>
      <c r="G281" s="4" t="n">
        <v>280</v>
      </c>
      <c r="H281" s="6" t="n">
        <v>0.72</v>
      </c>
      <c r="J281" s="2" t="n">
        <f aca="false">B281/$B$1003</f>
        <v>0.00134539377124275</v>
      </c>
      <c r="K281" s="5" t="n">
        <f aca="false">J281*LOG(J281,2)</f>
        <v>-0.0128320372457573</v>
      </c>
    </row>
    <row r="282" customFormat="false" ht="13" hidden="false" customHeight="false" outlineLevel="0" collapsed="false">
      <c r="A282" s="4" t="n">
        <v>720</v>
      </c>
      <c r="B282" s="5" t="n">
        <v>17.2482740565176</v>
      </c>
      <c r="C282" s="5" t="n">
        <f aca="false">B282</f>
        <v>17.2482740565176</v>
      </c>
      <c r="D282" s="5" t="n">
        <f aca="false">C282*LOG(C282)</f>
        <v>21.3317278064948</v>
      </c>
      <c r="E282" s="5"/>
      <c r="F282" s="5"/>
      <c r="G282" s="4" t="n">
        <v>281</v>
      </c>
      <c r="H282" s="6" t="n">
        <v>0.719</v>
      </c>
      <c r="J282" s="2" t="n">
        <f aca="false">B282/$B$1003</f>
        <v>0.00134505326243408</v>
      </c>
      <c r="K282" s="5" t="n">
        <f aca="false">J282*LOG(J282,2)</f>
        <v>-0.0128292807440908</v>
      </c>
    </row>
    <row r="283" customFormat="false" ht="13" hidden="false" customHeight="false" outlineLevel="0" collapsed="false">
      <c r="A283" s="4" t="n">
        <v>719</v>
      </c>
      <c r="B283" s="5" t="n">
        <v>17.2212991410629</v>
      </c>
      <c r="C283" s="5" t="n">
        <f aca="false">B283</f>
        <v>17.2212991410629</v>
      </c>
      <c r="D283" s="5" t="n">
        <f aca="false">C283*LOG(C283)</f>
        <v>21.2866608058596</v>
      </c>
      <c r="E283" s="5"/>
      <c r="F283" s="5"/>
      <c r="G283" s="4" t="n">
        <v>282</v>
      </c>
      <c r="H283" s="6" t="n">
        <v>0.718</v>
      </c>
      <c r="J283" s="2" t="n">
        <f aca="false">B283/$B$1003</f>
        <v>0.0013429497071498</v>
      </c>
      <c r="K283" s="5" t="n">
        <f aca="false">J283*LOG(J283,2)</f>
        <v>-0.0128122491937532</v>
      </c>
    </row>
    <row r="284" customFormat="false" ht="13" hidden="false" customHeight="false" outlineLevel="0" collapsed="false">
      <c r="A284" s="4" t="n">
        <v>718</v>
      </c>
      <c r="B284" s="5" t="n">
        <v>17.0655083693602</v>
      </c>
      <c r="C284" s="5" t="n">
        <f aca="false">B284</f>
        <v>17.0655083693602</v>
      </c>
      <c r="D284" s="5" t="n">
        <f aca="false">C284*LOG(C284)</f>
        <v>21.0267410338532</v>
      </c>
      <c r="E284" s="5"/>
      <c r="F284" s="5"/>
      <c r="G284" s="4" t="n">
        <v>283</v>
      </c>
      <c r="H284" s="6" t="n">
        <v>0.717</v>
      </c>
      <c r="J284" s="2" t="n">
        <f aca="false">B284/$B$1003</f>
        <v>0.00133080084604931</v>
      </c>
      <c r="K284" s="5" t="n">
        <f aca="false">J284*LOG(J284,2)</f>
        <v>-0.0127137920372703</v>
      </c>
    </row>
    <row r="285" customFormat="false" ht="13" hidden="false" customHeight="false" outlineLevel="0" collapsed="false">
      <c r="A285" s="4" t="n">
        <v>717</v>
      </c>
      <c r="B285" s="5" t="n">
        <v>17.0085572314443</v>
      </c>
      <c r="C285" s="5" t="n">
        <f aca="false">B285</f>
        <v>17.0085572314443</v>
      </c>
      <c r="D285" s="5" t="n">
        <f aca="false">C285*LOG(C285)</f>
        <v>20.9318781932163</v>
      </c>
      <c r="E285" s="5"/>
      <c r="F285" s="5"/>
      <c r="G285" s="4" t="n">
        <v>284</v>
      </c>
      <c r="H285" s="6" t="n">
        <v>0.716</v>
      </c>
      <c r="J285" s="2" t="n">
        <f aca="false">B285/$B$1003</f>
        <v>0.00132635968784403</v>
      </c>
      <c r="K285" s="5" t="n">
        <f aca="false">J285*LOG(J285,2)</f>
        <v>-0.0126777600124285</v>
      </c>
    </row>
    <row r="286" customFormat="false" ht="13" hidden="false" customHeight="false" outlineLevel="0" collapsed="false">
      <c r="A286" s="4" t="n">
        <v>716</v>
      </c>
      <c r="B286" s="5" t="n">
        <v>17.0005679985978</v>
      </c>
      <c r="C286" s="5" t="n">
        <f aca="false">B286</f>
        <v>17.0005679985978</v>
      </c>
      <c r="D286" s="5" t="n">
        <f aca="false">C286*LOG(C286)</f>
        <v>20.9185772394704</v>
      </c>
      <c r="E286" s="5"/>
      <c r="F286" s="5"/>
      <c r="G286" s="4" t="n">
        <v>285</v>
      </c>
      <c r="H286" s="6" t="n">
        <v>0.715</v>
      </c>
      <c r="J286" s="2" t="n">
        <f aca="false">B286/$B$1003</f>
        <v>0.00132573667225015</v>
      </c>
      <c r="K286" s="5" t="n">
        <f aca="false">J286*LOG(J286,2)</f>
        <v>-0.0126727036452424</v>
      </c>
    </row>
    <row r="287" customFormat="false" ht="13" hidden="false" customHeight="false" outlineLevel="0" collapsed="false">
      <c r="A287" s="4" t="n">
        <v>715</v>
      </c>
      <c r="B287" s="5" t="n">
        <v>16.9964952517802</v>
      </c>
      <c r="C287" s="5" t="n">
        <f aca="false">B287</f>
        <v>16.9964952517802</v>
      </c>
      <c r="D287" s="5" t="n">
        <f aca="false">C287*LOG(C287)</f>
        <v>20.911797313861</v>
      </c>
      <c r="E287" s="5"/>
      <c r="F287" s="5"/>
      <c r="G287" s="4" t="n">
        <v>286</v>
      </c>
      <c r="H287" s="6" t="n">
        <v>0.714</v>
      </c>
      <c r="J287" s="2" t="n">
        <f aca="false">B287/$B$1003</f>
        <v>0.00132541907169626</v>
      </c>
      <c r="K287" s="5" t="n">
        <f aca="false">J287*LOG(J287,2)</f>
        <v>-0.0126701258505663</v>
      </c>
    </row>
    <row r="288" customFormat="false" ht="13" hidden="false" customHeight="false" outlineLevel="0" collapsed="false">
      <c r="A288" s="4" t="n">
        <v>714</v>
      </c>
      <c r="B288" s="5" t="n">
        <v>16.9539477521787</v>
      </c>
      <c r="C288" s="5" t="n">
        <f aca="false">B288</f>
        <v>16.9539477521787</v>
      </c>
      <c r="D288" s="5" t="n">
        <f aca="false">C288*LOG(C288)</f>
        <v>20.8409936020375</v>
      </c>
      <c r="E288" s="5"/>
      <c r="F288" s="5"/>
      <c r="G288" s="4" t="n">
        <v>287</v>
      </c>
      <c r="H288" s="6" t="n">
        <v>0.713</v>
      </c>
      <c r="J288" s="2" t="n">
        <f aca="false">B288/$B$1003</f>
        <v>0.00132210113664027</v>
      </c>
      <c r="K288" s="5" t="n">
        <f aca="false">J288*LOG(J288,2)</f>
        <v>-0.0126431893675952</v>
      </c>
    </row>
    <row r="289" customFormat="false" ht="13" hidden="false" customHeight="false" outlineLevel="0" collapsed="false">
      <c r="A289" s="4" t="n">
        <v>713</v>
      </c>
      <c r="B289" s="5" t="n">
        <v>16.9367103257285</v>
      </c>
      <c r="C289" s="5" t="n">
        <f aca="false">B289</f>
        <v>16.9367103257285</v>
      </c>
      <c r="D289" s="5" t="n">
        <f aca="false">C289*LOG(C289)</f>
        <v>20.8123218240845</v>
      </c>
      <c r="E289" s="5"/>
      <c r="F289" s="5"/>
      <c r="G289" s="4" t="n">
        <v>288</v>
      </c>
      <c r="H289" s="6" t="n">
        <v>0.712</v>
      </c>
      <c r="J289" s="2" t="n">
        <f aca="false">B289/$B$1003</f>
        <v>0.00132075692929484</v>
      </c>
      <c r="K289" s="5" t="n">
        <f aca="false">J289*LOG(J289,2)</f>
        <v>-0.0126322730727031</v>
      </c>
    </row>
    <row r="290" customFormat="false" ht="13" hidden="false" customHeight="false" outlineLevel="0" collapsed="false">
      <c r="A290" s="4" t="n">
        <v>712</v>
      </c>
      <c r="B290" s="5" t="n">
        <v>16.8799180340597</v>
      </c>
      <c r="C290" s="5" t="n">
        <f aca="false">B290</f>
        <v>16.8799180340597</v>
      </c>
      <c r="D290" s="5" t="n">
        <f aca="false">C290*LOG(C290)</f>
        <v>20.7179106258435</v>
      </c>
      <c r="E290" s="5"/>
      <c r="F290" s="5"/>
      <c r="G290" s="4" t="n">
        <v>289</v>
      </c>
      <c r="H290" s="6" t="n">
        <v>0.711</v>
      </c>
      <c r="J290" s="2" t="n">
        <f aca="false">B290/$B$1003</f>
        <v>0.00131632815822244</v>
      </c>
      <c r="K290" s="5" t="n">
        <f aca="false">J290*LOG(J290,2)</f>
        <v>-0.0125962930907945</v>
      </c>
    </row>
    <row r="291" customFormat="false" ht="13" hidden="false" customHeight="false" outlineLevel="0" collapsed="false">
      <c r="A291" s="4" t="n">
        <v>711</v>
      </c>
      <c r="B291" s="5" t="n">
        <v>16.8642477256031</v>
      </c>
      <c r="C291" s="5" t="n">
        <f aca="false">B291</f>
        <v>16.8642477256031</v>
      </c>
      <c r="D291" s="5" t="n">
        <f aca="false">C291*LOG(C291)</f>
        <v>20.691874985537</v>
      </c>
      <c r="E291" s="5"/>
      <c r="F291" s="5"/>
      <c r="G291" s="4" t="n">
        <v>290</v>
      </c>
      <c r="H291" s="6" t="n">
        <v>0.71</v>
      </c>
      <c r="J291" s="2" t="n">
        <f aca="false">B291/$B$1003</f>
        <v>0.00131510615772293</v>
      </c>
      <c r="K291" s="5" t="n">
        <f aca="false">J291*LOG(J291,2)</f>
        <v>-0.0125863615995625</v>
      </c>
    </row>
    <row r="292" customFormat="false" ht="13" hidden="false" customHeight="false" outlineLevel="0" collapsed="false">
      <c r="A292" s="4" t="n">
        <v>710</v>
      </c>
      <c r="B292" s="5" t="n">
        <v>16.8495637147298</v>
      </c>
      <c r="C292" s="5" t="n">
        <f aca="false">B292</f>
        <v>16.8495637147298</v>
      </c>
      <c r="D292" s="5" t="n">
        <f aca="false">C292*LOG(C292)</f>
        <v>20.6674837814405</v>
      </c>
      <c r="E292" s="5"/>
      <c r="F292" s="5"/>
      <c r="G292" s="4" t="n">
        <v>291</v>
      </c>
      <c r="H292" s="6" t="n">
        <v>0.709</v>
      </c>
      <c r="J292" s="2" t="n">
        <f aca="false">B292/$B$1003</f>
        <v>0.00131396107058748</v>
      </c>
      <c r="K292" s="5" t="n">
        <f aca="false">J292*LOG(J292,2)</f>
        <v>-0.0125770537149761</v>
      </c>
    </row>
    <row r="293" customFormat="false" ht="13" hidden="false" customHeight="false" outlineLevel="0" collapsed="false">
      <c r="A293" s="4" t="n">
        <v>709</v>
      </c>
      <c r="B293" s="5" t="n">
        <v>16.8377812034605</v>
      </c>
      <c r="C293" s="5" t="n">
        <f aca="false">B293</f>
        <v>16.8377812034605</v>
      </c>
      <c r="D293" s="5" t="n">
        <f aca="false">C293*LOG(C293)</f>
        <v>20.647916196647</v>
      </c>
      <c r="E293" s="5"/>
      <c r="F293" s="5"/>
      <c r="G293" s="4" t="n">
        <v>292</v>
      </c>
      <c r="H293" s="6" t="n">
        <v>0.708</v>
      </c>
      <c r="J293" s="2" t="n">
        <f aca="false">B293/$B$1003</f>
        <v>0.00131304224791743</v>
      </c>
      <c r="K293" s="5" t="n">
        <f aca="false">J293*LOG(J293,2)</f>
        <v>-0.0125695839887312</v>
      </c>
    </row>
    <row r="294" customFormat="false" ht="13" hidden="false" customHeight="false" outlineLevel="0" collapsed="false">
      <c r="A294" s="4" t="n">
        <v>708</v>
      </c>
      <c r="B294" s="5" t="n">
        <v>16.7937471627889</v>
      </c>
      <c r="C294" s="5" t="n">
        <f aca="false">B294</f>
        <v>16.7937471627889</v>
      </c>
      <c r="D294" s="5" t="n">
        <f aca="false">C294*LOG(C294)</f>
        <v>20.5748192062464</v>
      </c>
      <c r="E294" s="5"/>
      <c r="F294" s="5"/>
      <c r="G294" s="4" t="n">
        <v>293</v>
      </c>
      <c r="H294" s="6" t="n">
        <v>0.707</v>
      </c>
      <c r="J294" s="2" t="n">
        <f aca="false">B294/$B$1003</f>
        <v>0.00130960838955748</v>
      </c>
      <c r="K294" s="5" t="n">
        <f aca="false">J294*LOG(J294,2)</f>
        <v>-0.0125416596327244</v>
      </c>
    </row>
    <row r="295" customFormat="false" ht="13" hidden="false" customHeight="false" outlineLevel="0" collapsed="false">
      <c r="A295" s="4" t="n">
        <v>707</v>
      </c>
      <c r="B295" s="5" t="n">
        <v>16.7837911172154</v>
      </c>
      <c r="C295" s="5" t="n">
        <f aca="false">B295</f>
        <v>16.7837911172154</v>
      </c>
      <c r="D295" s="5" t="n">
        <f aca="false">C295*LOG(C295)</f>
        <v>20.5582990070847</v>
      </c>
      <c r="E295" s="5"/>
      <c r="F295" s="5"/>
      <c r="G295" s="4" t="n">
        <v>294</v>
      </c>
      <c r="H295" s="6" t="n">
        <v>0.706</v>
      </c>
      <c r="J295" s="2" t="n">
        <f aca="false">B295/$B$1003</f>
        <v>0.00130883199816112</v>
      </c>
      <c r="K295" s="5" t="n">
        <f aca="false">J295*LOG(J295,2)</f>
        <v>-0.0125353441689095</v>
      </c>
    </row>
    <row r="296" customFormat="false" ht="13" hidden="false" customHeight="false" outlineLevel="0" collapsed="false">
      <c r="A296" s="4" t="n">
        <v>706</v>
      </c>
      <c r="B296" s="5" t="n">
        <v>16.6727545961742</v>
      </c>
      <c r="C296" s="5" t="n">
        <f aca="false">B296</f>
        <v>16.6727545961742</v>
      </c>
      <c r="D296" s="5" t="n">
        <f aca="false">C296*LOG(C296)</f>
        <v>20.3742287930145</v>
      </c>
      <c r="E296" s="5"/>
      <c r="F296" s="5"/>
      <c r="G296" s="4" t="n">
        <v>295</v>
      </c>
      <c r="H296" s="6" t="n">
        <v>0.705</v>
      </c>
      <c r="J296" s="2" t="n">
        <f aca="false">B296/$B$1003</f>
        <v>0.00130017315876731</v>
      </c>
      <c r="K296" s="5" t="n">
        <f aca="false">J296*LOG(J296,2)</f>
        <v>-0.0124648647482151</v>
      </c>
    </row>
    <row r="297" customFormat="false" ht="13" hidden="false" customHeight="false" outlineLevel="0" collapsed="false">
      <c r="A297" s="4" t="n">
        <v>705</v>
      </c>
      <c r="B297" s="5" t="n">
        <v>16.6489983061647</v>
      </c>
      <c r="C297" s="5" t="n">
        <f aca="false">B297</f>
        <v>16.6489983061647</v>
      </c>
      <c r="D297" s="5" t="n">
        <f aca="false">C297*LOG(C297)</f>
        <v>20.3348885599436</v>
      </c>
      <c r="E297" s="5"/>
      <c r="F297" s="5"/>
      <c r="G297" s="4" t="n">
        <v>296</v>
      </c>
      <c r="H297" s="6" t="n">
        <v>0.704</v>
      </c>
      <c r="J297" s="2" t="n">
        <f aca="false">B297/$B$1003</f>
        <v>0.00129832059802553</v>
      </c>
      <c r="K297" s="5" t="n">
        <f aca="false">J297*LOG(J297,2)</f>
        <v>-0.0124497748744332</v>
      </c>
    </row>
    <row r="298" customFormat="false" ht="13" hidden="false" customHeight="false" outlineLevel="0" collapsed="false">
      <c r="A298" s="4" t="n">
        <v>704</v>
      </c>
      <c r="B298" s="5" t="n">
        <v>16.6424695109986</v>
      </c>
      <c r="C298" s="5" t="n">
        <f aca="false">B298</f>
        <v>16.6424695109986</v>
      </c>
      <c r="D298" s="5" t="n">
        <f aca="false">C298*LOG(C298)</f>
        <v>20.324079503465</v>
      </c>
      <c r="E298" s="5"/>
      <c r="F298" s="5"/>
      <c r="G298" s="4" t="n">
        <v>297</v>
      </c>
      <c r="H298" s="6" t="n">
        <v>0.703</v>
      </c>
      <c r="J298" s="2" t="n">
        <f aca="false">B298/$B$1003</f>
        <v>0.00129781147014357</v>
      </c>
      <c r="K298" s="5" t="n">
        <f aca="false">J298*LOG(J298,2)</f>
        <v>-0.0124456271493465</v>
      </c>
    </row>
    <row r="299" customFormat="false" ht="13" hidden="false" customHeight="false" outlineLevel="0" collapsed="false">
      <c r="A299" s="4" t="n">
        <v>703</v>
      </c>
      <c r="B299" s="5" t="n">
        <v>16.6367204894525</v>
      </c>
      <c r="C299" s="5" t="n">
        <f aca="false">B299</f>
        <v>16.6367204894525</v>
      </c>
      <c r="D299" s="5" t="n">
        <f aca="false">C299*LOG(C299)</f>
        <v>20.3145623591541</v>
      </c>
      <c r="E299" s="5"/>
      <c r="F299" s="5"/>
      <c r="G299" s="4" t="n">
        <v>298</v>
      </c>
      <c r="H299" s="6" t="n">
        <v>0.702</v>
      </c>
      <c r="J299" s="2" t="n">
        <f aca="false">B299/$B$1003</f>
        <v>0.00129736315049367</v>
      </c>
      <c r="K299" s="5" t="n">
        <f aca="false">J299*LOG(J299,2)</f>
        <v>-0.012441974573656</v>
      </c>
    </row>
    <row r="300" customFormat="false" ht="13" hidden="false" customHeight="false" outlineLevel="0" collapsed="false">
      <c r="A300" s="4" t="n">
        <v>702</v>
      </c>
      <c r="B300" s="5" t="n">
        <v>16.6335944039537</v>
      </c>
      <c r="C300" s="5" t="n">
        <f aca="false">B300</f>
        <v>16.6335944039537</v>
      </c>
      <c r="D300" s="5" t="n">
        <f aca="false">C300*LOG(C300)</f>
        <v>20.3093876829392</v>
      </c>
      <c r="E300" s="5"/>
      <c r="F300" s="5"/>
      <c r="G300" s="4" t="n">
        <v>299</v>
      </c>
      <c r="H300" s="6" t="n">
        <v>0.701</v>
      </c>
      <c r="J300" s="2" t="n">
        <f aca="false">B300/$B$1003</f>
        <v>0.00129711937239245</v>
      </c>
      <c r="K300" s="5" t="n">
        <f aca="false">J300*LOG(J300,2)</f>
        <v>-0.0124399883568554</v>
      </c>
    </row>
    <row r="301" customFormat="false" ht="13" hidden="false" customHeight="false" outlineLevel="0" collapsed="false">
      <c r="A301" s="4" t="n">
        <v>701</v>
      </c>
      <c r="B301" s="5" t="n">
        <v>16.632692823587</v>
      </c>
      <c r="C301" s="5" t="n">
        <f aca="false">B301</f>
        <v>16.632692823587</v>
      </c>
      <c r="D301" s="5" t="n">
        <f aca="false">C301*LOG(C301)</f>
        <v>20.3078953250702</v>
      </c>
      <c r="E301" s="5"/>
      <c r="F301" s="5"/>
      <c r="G301" s="4" t="n">
        <v>300</v>
      </c>
      <c r="H301" s="6" t="n">
        <v>0.7</v>
      </c>
      <c r="J301" s="2" t="n">
        <f aca="false">B301/$B$1003</f>
        <v>0.00129704906543828</v>
      </c>
      <c r="K301" s="5" t="n">
        <f aca="false">J301*LOG(J301,2)</f>
        <v>-0.0124394155086528</v>
      </c>
      <c r="L301" s="2" t="n">
        <f aca="false">SUM(J252:J301)</f>
        <v>0.0676403584035102</v>
      </c>
    </row>
    <row r="302" customFormat="false" ht="13" hidden="false" customHeight="false" outlineLevel="0" collapsed="false">
      <c r="A302" s="4" t="n">
        <v>700</v>
      </c>
      <c r="B302" s="5" t="n">
        <v>16.616446864774</v>
      </c>
      <c r="C302" s="5" t="n">
        <f aca="false">B302</f>
        <v>16.616446864774</v>
      </c>
      <c r="D302" s="5" t="n">
        <f aca="false">C302*LOG(C302)</f>
        <v>20.2810075340917</v>
      </c>
      <c r="E302" s="5"/>
      <c r="F302" s="5"/>
      <c r="G302" s="4" t="n">
        <v>301</v>
      </c>
      <c r="H302" s="6" t="n">
        <v>0.699</v>
      </c>
      <c r="J302" s="2" t="n">
        <f aca="false">B302/$B$1003</f>
        <v>0.00129578217462757</v>
      </c>
      <c r="K302" s="5" t="n">
        <f aca="false">J302*LOG(J302,2)</f>
        <v>-0.0124290921716105</v>
      </c>
    </row>
    <row r="303" customFormat="false" ht="13" hidden="false" customHeight="false" outlineLevel="0" collapsed="false">
      <c r="A303" s="4" t="n">
        <v>699</v>
      </c>
      <c r="B303" s="5" t="n">
        <v>16.6091095228407</v>
      </c>
      <c r="C303" s="5" t="n">
        <f aca="false">B303</f>
        <v>16.6091095228407</v>
      </c>
      <c r="D303" s="5" t="n">
        <f aca="false">C303*LOG(C303)</f>
        <v>20.2688661647842</v>
      </c>
      <c r="E303" s="5"/>
      <c r="F303" s="5"/>
      <c r="G303" s="4" t="n">
        <v>302</v>
      </c>
      <c r="H303" s="6" t="n">
        <v>0.698</v>
      </c>
      <c r="J303" s="2" t="n">
        <f aca="false">B303/$B$1003</f>
        <v>0.00129520999472872</v>
      </c>
      <c r="K303" s="5" t="n">
        <f aca="false">J303*LOG(J303,2)</f>
        <v>-0.0124244291431183</v>
      </c>
    </row>
    <row r="304" customFormat="false" ht="13" hidden="false" customHeight="false" outlineLevel="0" collapsed="false">
      <c r="A304" s="4" t="n">
        <v>698</v>
      </c>
      <c r="B304" s="5" t="n">
        <v>16.5901061551391</v>
      </c>
      <c r="C304" s="5" t="n">
        <f aca="false">B304</f>
        <v>16.5901061551391</v>
      </c>
      <c r="D304" s="5" t="n">
        <f aca="false">C304*LOG(C304)</f>
        <v>20.2374271398455</v>
      </c>
      <c r="E304" s="5"/>
      <c r="F304" s="5"/>
      <c r="G304" s="4" t="n">
        <v>303</v>
      </c>
      <c r="H304" s="6" t="n">
        <v>0.697</v>
      </c>
      <c r="J304" s="2" t="n">
        <f aca="false">B304/$B$1003</f>
        <v>0.00129372807592105</v>
      </c>
      <c r="K304" s="5" t="n">
        <f aca="false">J304*LOG(J304,2)</f>
        <v>-0.0124123504247137</v>
      </c>
    </row>
    <row r="305" customFormat="false" ht="13" hidden="false" customHeight="false" outlineLevel="0" collapsed="false">
      <c r="A305" s="4" t="n">
        <v>697</v>
      </c>
      <c r="B305" s="5" t="n">
        <v>16.5884900761813</v>
      </c>
      <c r="C305" s="5" t="n">
        <f aca="false">B305</f>
        <v>16.5884900761813</v>
      </c>
      <c r="D305" s="5" t="n">
        <f aca="false">C305*LOG(C305)</f>
        <v>20.2347539472904</v>
      </c>
      <c r="E305" s="5"/>
      <c r="F305" s="5"/>
      <c r="G305" s="4" t="n">
        <v>304</v>
      </c>
      <c r="H305" s="6" t="n">
        <v>0.696</v>
      </c>
      <c r="J305" s="2" t="n">
        <f aca="false">B305/$B$1003</f>
        <v>0.0012936020510059</v>
      </c>
      <c r="K305" s="5" t="n">
        <f aca="false">J305*LOG(J305,2)</f>
        <v>-0.0124113231168521</v>
      </c>
    </row>
    <row r="306" customFormat="false" ht="13" hidden="false" customHeight="false" outlineLevel="0" collapsed="false">
      <c r="A306" s="4" t="n">
        <v>696</v>
      </c>
      <c r="B306" s="5" t="n">
        <v>16.5860483935413</v>
      </c>
      <c r="C306" s="5" t="n">
        <f aca="false">B306</f>
        <v>16.5860483935413</v>
      </c>
      <c r="D306" s="5" t="n">
        <f aca="false">C306*LOG(C306)</f>
        <v>20.230715234811</v>
      </c>
      <c r="E306" s="5"/>
      <c r="F306" s="5"/>
      <c r="G306" s="4" t="n">
        <v>305</v>
      </c>
      <c r="H306" s="6" t="n">
        <v>0.695</v>
      </c>
      <c r="J306" s="2" t="n">
        <f aca="false">B306/$B$1003</f>
        <v>0.00129341164394313</v>
      </c>
      <c r="K306" s="5" t="n">
        <f aca="false">J306*LOG(J306,2)</f>
        <v>-0.012409770956262</v>
      </c>
    </row>
    <row r="307" customFormat="false" ht="13" hidden="false" customHeight="false" outlineLevel="0" collapsed="false">
      <c r="A307" s="4" t="n">
        <v>695</v>
      </c>
      <c r="B307" s="5" t="n">
        <v>16.5850020318302</v>
      </c>
      <c r="C307" s="5" t="n">
        <f aca="false">B307</f>
        <v>16.5850020318302</v>
      </c>
      <c r="D307" s="5" t="n">
        <f aca="false">C307*LOG(C307)</f>
        <v>20.2289845277309</v>
      </c>
      <c r="E307" s="5"/>
      <c r="F307" s="5"/>
      <c r="G307" s="4" t="n">
        <v>306</v>
      </c>
      <c r="H307" s="6" t="n">
        <v>0.694</v>
      </c>
      <c r="J307" s="2" t="n">
        <f aca="false">B307/$B$1003</f>
        <v>0.00129333004666398</v>
      </c>
      <c r="K307" s="5" t="n">
        <f aca="false">J307*LOG(J307,2)</f>
        <v>-0.0124091057790571</v>
      </c>
    </row>
    <row r="308" customFormat="false" ht="13" hidden="false" customHeight="false" outlineLevel="0" collapsed="false">
      <c r="A308" s="4" t="n">
        <v>694</v>
      </c>
      <c r="B308" s="5" t="n">
        <v>16.5005294413724</v>
      </c>
      <c r="C308" s="5" t="n">
        <f aca="false">B308</f>
        <v>16.5005294413724</v>
      </c>
      <c r="D308" s="5" t="n">
        <f aca="false">C308*LOG(C308)</f>
        <v>20.0893596030552</v>
      </c>
      <c r="E308" s="5"/>
      <c r="F308" s="5"/>
      <c r="G308" s="4" t="n">
        <v>307</v>
      </c>
      <c r="H308" s="6" t="n">
        <v>0.693</v>
      </c>
      <c r="J308" s="2" t="n">
        <f aca="false">B308/$B$1003</f>
        <v>0.00128674271317141</v>
      </c>
      <c r="K308" s="5" t="n">
        <f aca="false">J308*LOG(J308,2)</f>
        <v>-0.0123553816012309</v>
      </c>
    </row>
    <row r="309" customFormat="false" ht="13" hidden="false" customHeight="false" outlineLevel="0" collapsed="false">
      <c r="A309" s="4" t="n">
        <v>693</v>
      </c>
      <c r="B309" s="5" t="n">
        <v>16.4988248995618</v>
      </c>
      <c r="C309" s="5" t="n">
        <f aca="false">B309</f>
        <v>16.4988248995618</v>
      </c>
      <c r="D309" s="5" t="n">
        <f aca="false">C309*LOG(C309)</f>
        <v>20.0865440921503</v>
      </c>
      <c r="E309" s="5"/>
      <c r="F309" s="5"/>
      <c r="G309" s="4" t="n">
        <v>308</v>
      </c>
      <c r="H309" s="6" t="n">
        <v>0.692</v>
      </c>
      <c r="J309" s="2" t="n">
        <f aca="false">B309/$B$1003</f>
        <v>0.0012866097897545</v>
      </c>
      <c r="K309" s="5" t="n">
        <f aca="false">J309*LOG(J309,2)</f>
        <v>-0.012354297020566</v>
      </c>
    </row>
    <row r="310" customFormat="false" ht="13" hidden="false" customHeight="false" outlineLevel="0" collapsed="false">
      <c r="A310" s="4" t="n">
        <v>692</v>
      </c>
      <c r="B310" s="5" t="n">
        <v>16.4902619998301</v>
      </c>
      <c r="C310" s="5" t="n">
        <f aca="false">B310</f>
        <v>16.4902619998301</v>
      </c>
      <c r="D310" s="5" t="n">
        <f aca="false">C310*LOG(C310)</f>
        <v>20.0724013091675</v>
      </c>
      <c r="E310" s="5"/>
      <c r="F310" s="5"/>
      <c r="G310" s="4" t="n">
        <v>309</v>
      </c>
      <c r="H310" s="6" t="n">
        <v>0.691</v>
      </c>
      <c r="J310" s="2" t="n">
        <f aca="false">B310/$B$1003</f>
        <v>0.00128594203852431</v>
      </c>
      <c r="K310" s="5" t="n">
        <f aca="false">J310*LOG(J310,2)</f>
        <v>-0.0123488482445698</v>
      </c>
    </row>
    <row r="311" customFormat="false" ht="13" hidden="false" customHeight="false" outlineLevel="0" collapsed="false">
      <c r="A311" s="4" t="n">
        <v>691</v>
      </c>
      <c r="B311" s="5" t="n">
        <v>16.4847949579402</v>
      </c>
      <c r="C311" s="5" t="n">
        <f aca="false">B311</f>
        <v>16.4847949579402</v>
      </c>
      <c r="D311" s="5" t="n">
        <f aca="false">C311*LOG(C311)</f>
        <v>20.0633727626272</v>
      </c>
      <c r="E311" s="5"/>
      <c r="F311" s="5"/>
      <c r="G311" s="4" t="n">
        <v>310</v>
      </c>
      <c r="H311" s="6" t="n">
        <v>0.69</v>
      </c>
      <c r="J311" s="2" t="n">
        <f aca="false">B311/$B$1003</f>
        <v>0.00128551570818506</v>
      </c>
      <c r="K311" s="5" t="n">
        <f aca="false">J311*LOG(J311,2)</f>
        <v>-0.0123453691746416</v>
      </c>
    </row>
    <row r="312" customFormat="false" ht="13" hidden="false" customHeight="false" outlineLevel="0" collapsed="false">
      <c r="A312" s="4" t="n">
        <v>690</v>
      </c>
      <c r="B312" s="5" t="n">
        <v>16.4835616541864</v>
      </c>
      <c r="C312" s="5" t="n">
        <f aca="false">B312</f>
        <v>16.4835616541864</v>
      </c>
      <c r="D312" s="5" t="n">
        <f aca="false">C312*LOG(C312)</f>
        <v>20.0613361319384</v>
      </c>
      <c r="E312" s="5"/>
      <c r="F312" s="5"/>
      <c r="G312" s="4" t="n">
        <v>311</v>
      </c>
      <c r="H312" s="6" t="n">
        <v>0.689</v>
      </c>
      <c r="J312" s="2" t="n">
        <f aca="false">B312/$B$1003</f>
        <v>0.00128541953280936</v>
      </c>
      <c r="K312" s="5" t="n">
        <f aca="false">J312*LOG(J312,2)</f>
        <v>-0.0123445843070229</v>
      </c>
    </row>
    <row r="313" customFormat="false" ht="13" hidden="false" customHeight="false" outlineLevel="0" collapsed="false">
      <c r="A313" s="4" t="n">
        <v>689</v>
      </c>
      <c r="B313" s="5" t="n">
        <v>16.4830393641787</v>
      </c>
      <c r="C313" s="5" t="n">
        <f aca="false">B313</f>
        <v>16.4830393641787</v>
      </c>
      <c r="D313" s="5" t="n">
        <f aca="false">C313*LOG(C313)</f>
        <v>20.0604736542579</v>
      </c>
      <c r="E313" s="5"/>
      <c r="F313" s="5"/>
      <c r="G313" s="4" t="n">
        <v>312</v>
      </c>
      <c r="H313" s="6" t="n">
        <v>0.688</v>
      </c>
      <c r="J313" s="2" t="n">
        <f aca="false">B313/$B$1003</f>
        <v>0.00128537880363979</v>
      </c>
      <c r="K313" s="5" t="n">
        <f aca="false">J313*LOG(J313,2)</f>
        <v>-0.0123442519214508</v>
      </c>
    </row>
    <row r="314" customFormat="false" ht="13" hidden="false" customHeight="false" outlineLevel="0" collapsed="false">
      <c r="A314" s="4" t="n">
        <v>688</v>
      </c>
      <c r="B314" s="5" t="n">
        <v>16.4560751904718</v>
      </c>
      <c r="C314" s="5" t="n">
        <f aca="false">B314</f>
        <v>16.4560751904718</v>
      </c>
      <c r="D314" s="5" t="n">
        <f aca="false">C314*LOG(C314)</f>
        <v>20.0159564409457</v>
      </c>
      <c r="E314" s="5"/>
      <c r="F314" s="5"/>
      <c r="G314" s="4" t="n">
        <v>313</v>
      </c>
      <c r="H314" s="6" t="n">
        <v>0.687</v>
      </c>
      <c r="J314" s="2" t="n">
        <f aca="false">B314/$B$1003</f>
        <v>0.00128327608601747</v>
      </c>
      <c r="K314" s="5" t="n">
        <f aca="false">J314*LOG(J314,2)</f>
        <v>-0.0123270893797081</v>
      </c>
    </row>
    <row r="315" customFormat="false" ht="13" hidden="false" customHeight="false" outlineLevel="0" collapsed="false">
      <c r="A315" s="4" t="n">
        <v>687</v>
      </c>
      <c r="B315" s="5" t="n">
        <v>16.4497830725578</v>
      </c>
      <c r="C315" s="5" t="n">
        <f aca="false">B315</f>
        <v>16.4497830725578</v>
      </c>
      <c r="D315" s="5" t="n">
        <f aca="false">C315*LOG(C315)</f>
        <v>20.0055710630762</v>
      </c>
      <c r="E315" s="5"/>
      <c r="F315" s="5"/>
      <c r="G315" s="4" t="n">
        <v>314</v>
      </c>
      <c r="H315" s="6" t="n">
        <v>0.686</v>
      </c>
      <c r="J315" s="2" t="n">
        <f aca="false">B315/$B$1003</f>
        <v>0.00128278541467841</v>
      </c>
      <c r="K315" s="5" t="n">
        <f aca="false">J315*LOG(J315,2)</f>
        <v>-0.0123230837677919</v>
      </c>
    </row>
    <row r="316" customFormat="false" ht="13" hidden="false" customHeight="false" outlineLevel="0" collapsed="false">
      <c r="A316" s="4" t="n">
        <v>686</v>
      </c>
      <c r="B316" s="5" t="n">
        <v>16.4491960223216</v>
      </c>
      <c r="C316" s="5" t="n">
        <f aca="false">B316</f>
        <v>16.4491960223216</v>
      </c>
      <c r="D316" s="5" t="n">
        <f aca="false">C316*LOG(C316)</f>
        <v>20.0046021678293</v>
      </c>
      <c r="E316" s="5"/>
      <c r="F316" s="5"/>
      <c r="G316" s="4" t="n">
        <v>315</v>
      </c>
      <c r="H316" s="6" t="n">
        <v>0.685</v>
      </c>
      <c r="J316" s="2" t="n">
        <f aca="false">B316/$B$1003</f>
        <v>0.00128273963538288</v>
      </c>
      <c r="K316" s="5" t="n">
        <f aca="false">J316*LOG(J316,2)</f>
        <v>-0.0123227100331707</v>
      </c>
    </row>
    <row r="317" customFormat="false" ht="13" hidden="false" customHeight="false" outlineLevel="0" collapsed="false">
      <c r="A317" s="4" t="n">
        <v>685</v>
      </c>
      <c r="B317" s="5" t="n">
        <v>16.3536307452875</v>
      </c>
      <c r="C317" s="5" t="n">
        <f aca="false">B317</f>
        <v>16.3536307452875</v>
      </c>
      <c r="D317" s="5" t="n">
        <f aca="false">C317*LOG(C317)</f>
        <v>19.8469982884744</v>
      </c>
      <c r="E317" s="5"/>
      <c r="F317" s="5"/>
      <c r="G317" s="4" t="n">
        <v>316</v>
      </c>
      <c r="H317" s="6" t="n">
        <v>0.684</v>
      </c>
      <c r="J317" s="2" t="n">
        <f aca="false">B317/$B$1003</f>
        <v>0.00127528727306367</v>
      </c>
      <c r="K317" s="5" t="n">
        <f aca="false">J317*LOG(J317,2)</f>
        <v>-0.0122618386917664</v>
      </c>
    </row>
    <row r="318" customFormat="false" ht="13" hidden="false" customHeight="false" outlineLevel="0" collapsed="false">
      <c r="A318" s="4" t="n">
        <v>684</v>
      </c>
      <c r="B318" s="5" t="n">
        <v>16.3106505049873</v>
      </c>
      <c r="C318" s="5" t="n">
        <f aca="false">B318</f>
        <v>16.3106505049873</v>
      </c>
      <c r="D318" s="5" t="n">
        <f aca="false">C318*LOG(C318)</f>
        <v>19.7761953282756</v>
      </c>
      <c r="E318" s="5"/>
      <c r="F318" s="5"/>
      <c r="G318" s="4" t="n">
        <v>317</v>
      </c>
      <c r="H318" s="6" t="n">
        <v>0.683</v>
      </c>
      <c r="J318" s="2" t="n">
        <f aca="false">B318/$B$1003</f>
        <v>0.00127193559206378</v>
      </c>
      <c r="K318" s="5" t="n">
        <f aca="false">J318*LOG(J318,2)</f>
        <v>-0.0122344415000267</v>
      </c>
    </row>
    <row r="319" customFormat="false" ht="13" hidden="false" customHeight="false" outlineLevel="0" collapsed="false">
      <c r="A319" s="4" t="n">
        <v>683</v>
      </c>
      <c r="B319" s="5" t="n">
        <v>16.3057357077569</v>
      </c>
      <c r="C319" s="5" t="n">
        <f aca="false">B319</f>
        <v>16.3057357077569</v>
      </c>
      <c r="D319" s="5" t="n">
        <f aca="false">C319*LOG(C319)</f>
        <v>19.7681021300761</v>
      </c>
      <c r="E319" s="5"/>
      <c r="F319" s="5"/>
      <c r="G319" s="4" t="n">
        <v>318</v>
      </c>
      <c r="H319" s="6" t="n">
        <v>0.682</v>
      </c>
      <c r="J319" s="2" t="n">
        <f aca="false">B319/$B$1003</f>
        <v>0.00127155232681491</v>
      </c>
      <c r="K319" s="5" t="n">
        <f aca="false">J319*LOG(J319,2)</f>
        <v>-0.0122313078156515</v>
      </c>
    </row>
    <row r="320" customFormat="false" ht="13" hidden="false" customHeight="false" outlineLevel="0" collapsed="false">
      <c r="A320" s="4" t="n">
        <v>682</v>
      </c>
      <c r="B320" s="5" t="n">
        <v>16.3056636948668</v>
      </c>
      <c r="C320" s="5" t="n">
        <f aca="false">B320</f>
        <v>16.3056636948668</v>
      </c>
      <c r="D320" s="5" t="n">
        <f aca="false">C320*LOG(C320)</f>
        <v>19.7679835512086</v>
      </c>
      <c r="E320" s="5"/>
      <c r="F320" s="5"/>
      <c r="G320" s="4" t="n">
        <v>319</v>
      </c>
      <c r="H320" s="6" t="n">
        <v>0.681</v>
      </c>
      <c r="J320" s="2" t="n">
        <f aca="false">B320/$B$1003</f>
        <v>0.00127154671111259</v>
      </c>
      <c r="K320" s="5" t="n">
        <f aca="false">J320*LOG(J320,2)</f>
        <v>-0.0122312618988525</v>
      </c>
    </row>
    <row r="321" customFormat="false" ht="13" hidden="false" customHeight="false" outlineLevel="0" collapsed="false">
      <c r="A321" s="4" t="n">
        <v>681</v>
      </c>
      <c r="B321" s="5" t="n">
        <v>16.3027503939118</v>
      </c>
      <c r="C321" s="5" t="n">
        <f aca="false">B321</f>
        <v>16.3027503939118</v>
      </c>
      <c r="D321" s="5" t="n">
        <f aca="false">C321*LOG(C321)</f>
        <v>19.7631865268608</v>
      </c>
      <c r="E321" s="5"/>
      <c r="F321" s="5"/>
      <c r="G321" s="4" t="n">
        <v>320</v>
      </c>
      <c r="H321" s="6" t="n">
        <v>0.68</v>
      </c>
      <c r="J321" s="2" t="n">
        <f aca="false">B321/$B$1003</f>
        <v>0.00127131952635537</v>
      </c>
      <c r="K321" s="5" t="n">
        <f aca="false">J321*LOG(J321,2)</f>
        <v>-0.0122294042923169</v>
      </c>
    </row>
    <row r="322" customFormat="false" ht="13" hidden="false" customHeight="false" outlineLevel="0" collapsed="false">
      <c r="A322" s="4" t="n">
        <v>680</v>
      </c>
      <c r="B322" s="5" t="n">
        <v>16.2872174579941</v>
      </c>
      <c r="C322" s="5" t="n">
        <f aca="false">B322</f>
        <v>16.2872174579941</v>
      </c>
      <c r="D322" s="5" t="n">
        <f aca="false">C322*LOG(C322)</f>
        <v>19.7376139026365</v>
      </c>
      <c r="E322" s="5"/>
      <c r="F322" s="5"/>
      <c r="G322" s="4" t="n">
        <v>321</v>
      </c>
      <c r="H322" s="6" t="n">
        <v>0.679</v>
      </c>
      <c r="J322" s="2" t="n">
        <f aca="false">B322/$B$1003</f>
        <v>0.00127010823842807</v>
      </c>
      <c r="K322" s="5" t="n">
        <f aca="false">J322*LOG(J322,2)</f>
        <v>-0.0122194990457675</v>
      </c>
    </row>
    <row r="323" customFormat="false" ht="13" hidden="false" customHeight="false" outlineLevel="0" collapsed="false">
      <c r="A323" s="4" t="n">
        <v>679</v>
      </c>
      <c r="B323" s="5" t="n">
        <v>16.2550318566841</v>
      </c>
      <c r="C323" s="5" t="n">
        <f aca="false">B323</f>
        <v>16.2550318566841</v>
      </c>
      <c r="D323" s="5" t="n">
        <f aca="false">C323*LOG(C323)</f>
        <v>19.6846456728667</v>
      </c>
      <c r="E323" s="5"/>
      <c r="F323" s="5"/>
      <c r="G323" s="4" t="n">
        <v>322</v>
      </c>
      <c r="H323" s="6" t="n">
        <v>0.678</v>
      </c>
      <c r="J323" s="2" t="n">
        <f aca="false">B323/$B$1003</f>
        <v>0.0012675983439364</v>
      </c>
      <c r="K323" s="5" t="n">
        <f aca="false">J323*LOG(J323,2)</f>
        <v>-0.0121989692026148</v>
      </c>
    </row>
    <row r="324" customFormat="false" ht="13" hidden="false" customHeight="false" outlineLevel="0" collapsed="false">
      <c r="A324" s="4" t="n">
        <v>678</v>
      </c>
      <c r="B324" s="5" t="n">
        <v>16.2338716491811</v>
      </c>
      <c r="C324" s="5" t="n">
        <f aca="false">B324</f>
        <v>16.2338716491811</v>
      </c>
      <c r="D324" s="5" t="n">
        <f aca="false">C324*LOG(C324)</f>
        <v>19.6498371418975</v>
      </c>
      <c r="E324" s="5"/>
      <c r="F324" s="5"/>
      <c r="G324" s="4" t="n">
        <v>323</v>
      </c>
      <c r="H324" s="6" t="n">
        <v>0.677</v>
      </c>
      <c r="J324" s="2" t="n">
        <f aca="false">B324/$B$1003</f>
        <v>0.00126594823065303</v>
      </c>
      <c r="K324" s="5" t="n">
        <f aca="false">J324*LOG(J324,2)</f>
        <v>-0.0121854680895958</v>
      </c>
    </row>
    <row r="325" customFormat="false" ht="13" hidden="false" customHeight="false" outlineLevel="0" collapsed="false">
      <c r="A325" s="4" t="n">
        <v>677</v>
      </c>
      <c r="B325" s="5" t="n">
        <v>16.2226720156311</v>
      </c>
      <c r="C325" s="5" t="n">
        <f aca="false">B325</f>
        <v>16.2226720156311</v>
      </c>
      <c r="D325" s="5" t="n">
        <f aca="false">C325*LOG(C325)</f>
        <v>19.6314185969821</v>
      </c>
      <c r="E325" s="5"/>
      <c r="F325" s="5"/>
      <c r="G325" s="4" t="n">
        <v>324</v>
      </c>
      <c r="H325" s="6" t="n">
        <v>0.676</v>
      </c>
      <c r="J325" s="2" t="n">
        <f aca="false">B325/$B$1003</f>
        <v>0.0012650748618977</v>
      </c>
      <c r="K325" s="5" t="n">
        <f aca="false">J325*LOG(J325,2)</f>
        <v>-0.0121783209911454</v>
      </c>
    </row>
    <row r="326" customFormat="false" ht="13" hidden="false" customHeight="false" outlineLevel="0" collapsed="false">
      <c r="A326" s="4" t="n">
        <v>676</v>
      </c>
      <c r="B326" s="5" t="n">
        <v>16.1930544480714</v>
      </c>
      <c r="C326" s="5" t="n">
        <f aca="false">B326</f>
        <v>16.1930544480714</v>
      </c>
      <c r="D326" s="5" t="n">
        <f aca="false">C326*LOG(C326)</f>
        <v>19.5827267180902</v>
      </c>
      <c r="E326" s="5"/>
      <c r="F326" s="5"/>
      <c r="G326" s="4" t="n">
        <v>325</v>
      </c>
      <c r="H326" s="6" t="n">
        <v>0.675</v>
      </c>
      <c r="J326" s="2" t="n">
        <f aca="false">B326/$B$1003</f>
        <v>0.001262765227569</v>
      </c>
      <c r="K326" s="5" t="n">
        <f aca="false">J326*LOG(J326,2)</f>
        <v>-0.0121594162086319</v>
      </c>
    </row>
    <row r="327" customFormat="false" ht="13" hidden="false" customHeight="false" outlineLevel="0" collapsed="false">
      <c r="A327" s="4" t="n">
        <v>675</v>
      </c>
      <c r="B327" s="5" t="n">
        <v>16.1642675196429</v>
      </c>
      <c r="C327" s="5" t="n">
        <f aca="false">B327</f>
        <v>16.1642675196429</v>
      </c>
      <c r="D327" s="5" t="n">
        <f aca="false">C327*LOG(C327)</f>
        <v>19.5354229722008</v>
      </c>
      <c r="E327" s="5"/>
      <c r="F327" s="5"/>
      <c r="G327" s="4" t="n">
        <v>326</v>
      </c>
      <c r="H327" s="6" t="n">
        <v>0.674</v>
      </c>
      <c r="J327" s="2" t="n">
        <f aca="false">B327/$B$1003</f>
        <v>0.00126052036806183</v>
      </c>
      <c r="K327" s="5" t="n">
        <f aca="false">J327*LOG(J327,2)</f>
        <v>-0.0121410357795476</v>
      </c>
    </row>
    <row r="328" customFormat="false" ht="13" hidden="false" customHeight="false" outlineLevel="0" collapsed="false">
      <c r="A328" s="4" t="n">
        <v>674</v>
      </c>
      <c r="B328" s="5" t="n">
        <v>16.160332040657</v>
      </c>
      <c r="C328" s="5" t="n">
        <f aca="false">B328</f>
        <v>16.160332040657</v>
      </c>
      <c r="D328" s="5" t="n">
        <f aca="false">C328*LOG(C328)</f>
        <v>19.5289577766157</v>
      </c>
      <c r="E328" s="5"/>
      <c r="F328" s="5"/>
      <c r="G328" s="4" t="n">
        <v>327</v>
      </c>
      <c r="H328" s="6" t="n">
        <v>0.673</v>
      </c>
      <c r="J328" s="2" t="n">
        <f aca="false">B328/$B$1003</f>
        <v>0.00126021347191489</v>
      </c>
      <c r="K328" s="5" t="n">
        <f aca="false">J328*LOG(J328,2)</f>
        <v>-0.0121385225316718</v>
      </c>
    </row>
    <row r="329" customFormat="false" ht="13" hidden="false" customHeight="false" outlineLevel="0" collapsed="false">
      <c r="A329" s="4" t="n">
        <v>673</v>
      </c>
      <c r="B329" s="5" t="n">
        <v>16.158061433992</v>
      </c>
      <c r="C329" s="5" t="n">
        <f aca="false">B329</f>
        <v>16.158061433992</v>
      </c>
      <c r="D329" s="5" t="n">
        <f aca="false">C329*LOG(C329)</f>
        <v>19.5252278186909</v>
      </c>
      <c r="E329" s="5"/>
      <c r="F329" s="5"/>
      <c r="G329" s="4" t="n">
        <v>328</v>
      </c>
      <c r="H329" s="6" t="n">
        <v>0.672</v>
      </c>
      <c r="J329" s="2" t="n">
        <f aca="false">B329/$B$1003</f>
        <v>0.0012600364056825</v>
      </c>
      <c r="K329" s="5" t="n">
        <f aca="false">J329*LOG(J329,2)</f>
        <v>-0.0121370724437841</v>
      </c>
    </row>
    <row r="330" customFormat="false" ht="13" hidden="false" customHeight="false" outlineLevel="0" collapsed="false">
      <c r="A330" s="4" t="n">
        <v>672</v>
      </c>
      <c r="B330" s="5" t="n">
        <v>16.1371913952144</v>
      </c>
      <c r="C330" s="5" t="n">
        <f aca="false">B330</f>
        <v>16.1371913952144</v>
      </c>
      <c r="D330" s="5" t="n">
        <f aca="false">C330*LOG(C330)</f>
        <v>19.4909508013692</v>
      </c>
      <c r="E330" s="5"/>
      <c r="F330" s="5"/>
      <c r="G330" s="4" t="n">
        <v>329</v>
      </c>
      <c r="H330" s="6" t="n">
        <v>0.671</v>
      </c>
      <c r="J330" s="2" t="n">
        <f aca="false">B330/$B$1003</f>
        <v>0.00125840892030901</v>
      </c>
      <c r="K330" s="5" t="n">
        <f aca="false">J330*LOG(J330,2)</f>
        <v>-0.0121237424338024</v>
      </c>
    </row>
    <row r="331" customFormat="false" ht="13" hidden="false" customHeight="false" outlineLevel="0" collapsed="false">
      <c r="A331" s="4" t="n">
        <v>671</v>
      </c>
      <c r="B331" s="5" t="n">
        <v>16.1125039002741</v>
      </c>
      <c r="C331" s="5" t="n">
        <f aca="false">B331</f>
        <v>16.1125039002741</v>
      </c>
      <c r="D331" s="5" t="n">
        <f aca="false">C331*LOG(C331)</f>
        <v>19.450419117583</v>
      </c>
      <c r="E331" s="5"/>
      <c r="F331" s="5"/>
      <c r="G331" s="4" t="n">
        <v>330</v>
      </c>
      <c r="H331" s="6" t="n">
        <v>0.67</v>
      </c>
      <c r="J331" s="2" t="n">
        <f aca="false">B331/$B$1003</f>
        <v>0.00125648374243312</v>
      </c>
      <c r="K331" s="5" t="n">
        <f aca="false">J331*LOG(J331,2)</f>
        <v>-0.0121079702358627</v>
      </c>
    </row>
    <row r="332" customFormat="false" ht="13" hidden="false" customHeight="false" outlineLevel="0" collapsed="false">
      <c r="A332" s="4" t="n">
        <v>670</v>
      </c>
      <c r="B332" s="5" t="n">
        <v>16.0600795750536</v>
      </c>
      <c r="C332" s="5" t="n">
        <f aca="false">B332</f>
        <v>16.0600795750536</v>
      </c>
      <c r="D332" s="5" t="n">
        <f aca="false">C332*LOG(C332)</f>
        <v>19.3644038938975</v>
      </c>
      <c r="E332" s="5"/>
      <c r="F332" s="5"/>
      <c r="G332" s="4" t="n">
        <v>331</v>
      </c>
      <c r="H332" s="6" t="n">
        <v>0.669</v>
      </c>
      <c r="J332" s="2" t="n">
        <f aca="false">B332/$B$1003</f>
        <v>0.00125239559370371</v>
      </c>
      <c r="K332" s="5" t="n">
        <f aca="false">J332*LOG(J332,2)</f>
        <v>-0.0120744635775682</v>
      </c>
    </row>
    <row r="333" customFormat="false" ht="13" hidden="false" customHeight="false" outlineLevel="0" collapsed="false">
      <c r="A333" s="4" t="n">
        <v>669</v>
      </c>
      <c r="B333" s="5" t="n">
        <v>16.0513786504803</v>
      </c>
      <c r="C333" s="5" t="n">
        <f aca="false">B333</f>
        <v>16.0513786504803</v>
      </c>
      <c r="D333" s="5" t="n">
        <f aca="false">C333*LOG(C333)</f>
        <v>19.35013503444</v>
      </c>
      <c r="E333" s="5"/>
      <c r="F333" s="5"/>
      <c r="G333" s="4" t="n">
        <v>332</v>
      </c>
      <c r="H333" s="6" t="n">
        <v>0.668</v>
      </c>
      <c r="J333" s="2" t="n">
        <f aca="false">B333/$B$1003</f>
        <v>0.00125171707903348</v>
      </c>
      <c r="K333" s="5" t="n">
        <f aca="false">J333*LOG(J333,2)</f>
        <v>-0.0120689005784219</v>
      </c>
    </row>
    <row r="334" customFormat="false" ht="13" hidden="false" customHeight="false" outlineLevel="0" collapsed="false">
      <c r="A334" s="4" t="n">
        <v>668</v>
      </c>
      <c r="B334" s="5" t="n">
        <v>16.028571198855</v>
      </c>
      <c r="C334" s="5" t="n">
        <f aca="false">B334</f>
        <v>16.028571198855</v>
      </c>
      <c r="D334" s="5" t="n">
        <f aca="false">C334*LOG(C334)</f>
        <v>19.3127422601428</v>
      </c>
      <c r="E334" s="5"/>
      <c r="F334" s="5"/>
      <c r="G334" s="4" t="n">
        <v>333</v>
      </c>
      <c r="H334" s="6" t="n">
        <v>0.667</v>
      </c>
      <c r="J334" s="2" t="n">
        <f aca="false">B334/$B$1003</f>
        <v>0.00124993851051608</v>
      </c>
      <c r="K334" s="5" t="n">
        <f aca="false">J334*LOG(J334,2)</f>
        <v>-0.0120543159498699</v>
      </c>
    </row>
    <row r="335" customFormat="false" ht="13" hidden="false" customHeight="false" outlineLevel="0" collapsed="false">
      <c r="A335" s="4" t="n">
        <v>667</v>
      </c>
      <c r="B335" s="5" t="n">
        <v>15.9458867563421</v>
      </c>
      <c r="C335" s="5" t="n">
        <f aca="false">B335</f>
        <v>15.9458867563421</v>
      </c>
      <c r="D335" s="5" t="n">
        <f aca="false">C335*LOG(C335)</f>
        <v>19.1772995874849</v>
      </c>
      <c r="E335" s="5"/>
      <c r="F335" s="5"/>
      <c r="G335" s="4" t="n">
        <v>334</v>
      </c>
      <c r="H335" s="6" t="n">
        <v>0.666</v>
      </c>
      <c r="J335" s="2" t="n">
        <f aca="false">B335/$B$1003</f>
        <v>0.00124349062020601</v>
      </c>
      <c r="K335" s="5" t="n">
        <f aca="false">J335*LOG(J335,2)</f>
        <v>-0.0120014112700288</v>
      </c>
    </row>
    <row r="336" customFormat="false" ht="13" hidden="false" customHeight="false" outlineLevel="0" collapsed="false">
      <c r="A336" s="4" t="n">
        <v>666</v>
      </c>
      <c r="B336" s="5" t="n">
        <v>15.9247360523987</v>
      </c>
      <c r="C336" s="5" t="n">
        <f aca="false">B336</f>
        <v>15.9247360523987</v>
      </c>
      <c r="D336" s="5" t="n">
        <f aca="false">C336*LOG(C336)</f>
        <v>19.1426831820208</v>
      </c>
      <c r="E336" s="5"/>
      <c r="F336" s="5"/>
      <c r="G336" s="4" t="n">
        <v>335</v>
      </c>
      <c r="H336" s="6" t="n">
        <v>0.665</v>
      </c>
      <c r="J336" s="2" t="n">
        <f aca="false">B336/$B$1003</f>
        <v>0.00124184124802832</v>
      </c>
      <c r="K336" s="5" t="n">
        <f aca="false">J336*LOG(J336,2)</f>
        <v>-0.0119878705003434</v>
      </c>
    </row>
    <row r="337" customFormat="false" ht="13" hidden="false" customHeight="false" outlineLevel="0" collapsed="false">
      <c r="A337" s="4" t="n">
        <v>665</v>
      </c>
      <c r="B337" s="5" t="n">
        <v>15.9061962536316</v>
      </c>
      <c r="C337" s="5" t="n">
        <f aca="false">B337</f>
        <v>15.9061962536316</v>
      </c>
      <c r="D337" s="5" t="n">
        <f aca="false">C337*LOG(C337)</f>
        <v>19.1123499610254</v>
      </c>
      <c r="E337" s="5"/>
      <c r="F337" s="5"/>
      <c r="G337" s="4" t="n">
        <v>336</v>
      </c>
      <c r="H337" s="6" t="n">
        <v>0.664</v>
      </c>
      <c r="J337" s="2" t="n">
        <f aca="false">B337/$B$1003</f>
        <v>0.00124039547920909</v>
      </c>
      <c r="K337" s="5" t="n">
        <f aca="false">J337*LOG(J337,2)</f>
        <v>-0.0119759986439742</v>
      </c>
    </row>
    <row r="338" customFormat="false" ht="13" hidden="false" customHeight="false" outlineLevel="0" collapsed="false">
      <c r="A338" s="4" t="n">
        <v>664</v>
      </c>
      <c r="B338" s="5" t="n">
        <v>15.8699526639699</v>
      </c>
      <c r="C338" s="5" t="n">
        <f aca="false">B338</f>
        <v>15.8699526639699</v>
      </c>
      <c r="D338" s="5" t="n">
        <f aca="false">C338*LOG(C338)</f>
        <v>19.0530784393079</v>
      </c>
      <c r="E338" s="5"/>
      <c r="F338" s="5"/>
      <c r="G338" s="4" t="n">
        <v>337</v>
      </c>
      <c r="H338" s="6" t="n">
        <v>0.663</v>
      </c>
      <c r="J338" s="2" t="n">
        <f aca="false">B338/$B$1003</f>
        <v>0.0012375691350568</v>
      </c>
      <c r="K338" s="5" t="n">
        <f aca="false">J338*LOG(J338,2)</f>
        <v>-0.0119527832397283</v>
      </c>
    </row>
    <row r="339" customFormat="false" ht="13" hidden="false" customHeight="false" outlineLevel="0" collapsed="false">
      <c r="A339" s="4" t="n">
        <v>663</v>
      </c>
      <c r="B339" s="5" t="n">
        <v>15.8602041831138</v>
      </c>
      <c r="C339" s="5" t="n">
        <f aca="false">B339</f>
        <v>15.8602041831138</v>
      </c>
      <c r="D339" s="5" t="n">
        <f aca="false">C339*LOG(C339)</f>
        <v>19.0371422398998</v>
      </c>
      <c r="E339" s="5"/>
      <c r="F339" s="5"/>
      <c r="G339" s="4" t="n">
        <v>338</v>
      </c>
      <c r="H339" s="6" t="n">
        <v>0.662</v>
      </c>
      <c r="J339" s="2" t="n">
        <f aca="false">B339/$B$1003</f>
        <v>0.00123680892995243</v>
      </c>
      <c r="K339" s="5" t="n">
        <f aca="false">J339*LOG(J339,2)</f>
        <v>-0.011946537376865</v>
      </c>
    </row>
    <row r="340" customFormat="false" ht="13" hidden="false" customHeight="false" outlineLevel="0" collapsed="false">
      <c r="A340" s="4" t="n">
        <v>662</v>
      </c>
      <c r="B340" s="5" t="n">
        <v>15.8065354223549</v>
      </c>
      <c r="C340" s="5" t="n">
        <f aca="false">B340</f>
        <v>15.8065354223549</v>
      </c>
      <c r="D340" s="5" t="n">
        <f aca="false">C340*LOG(C340)</f>
        <v>18.9494545889953</v>
      </c>
      <c r="E340" s="5"/>
      <c r="F340" s="5"/>
      <c r="G340" s="4" t="n">
        <v>339</v>
      </c>
      <c r="H340" s="6" t="n">
        <v>0.661</v>
      </c>
      <c r="J340" s="2" t="n">
        <f aca="false">B340/$B$1003</f>
        <v>0.00123262373776955</v>
      </c>
      <c r="K340" s="5" t="n">
        <f aca="false">J340*LOG(J340,2)</f>
        <v>-0.0119121396577168</v>
      </c>
    </row>
    <row r="341" customFormat="false" ht="13" hidden="false" customHeight="false" outlineLevel="0" collapsed="false">
      <c r="A341" s="4" t="n">
        <v>661</v>
      </c>
      <c r="B341" s="5" t="n">
        <v>15.8059576259974</v>
      </c>
      <c r="C341" s="5" t="n">
        <f aca="false">B341</f>
        <v>15.8059576259974</v>
      </c>
      <c r="D341" s="5" t="n">
        <f aca="false">C341*LOG(C341)</f>
        <v>18.9485109763398</v>
      </c>
      <c r="E341" s="5"/>
      <c r="F341" s="5"/>
      <c r="G341" s="4" t="n">
        <v>340</v>
      </c>
      <c r="H341" s="6" t="n">
        <v>0.66</v>
      </c>
      <c r="J341" s="2" t="n">
        <f aca="false">B341/$B$1003</f>
        <v>0.0012325786801091</v>
      </c>
      <c r="K341" s="5" t="n">
        <f aca="false">J341*LOG(J341,2)</f>
        <v>-0.0119117692214272</v>
      </c>
    </row>
    <row r="342" customFormat="false" ht="13" hidden="false" customHeight="false" outlineLevel="0" collapsed="false">
      <c r="A342" s="4" t="n">
        <v>660</v>
      </c>
      <c r="B342" s="5" t="n">
        <v>15.8047658712807</v>
      </c>
      <c r="C342" s="5" t="n">
        <f aca="false">B342</f>
        <v>15.8047658712807</v>
      </c>
      <c r="D342" s="5" t="n">
        <f aca="false">C342*LOG(C342)</f>
        <v>18.9465647229965</v>
      </c>
      <c r="E342" s="5"/>
      <c r="F342" s="5"/>
      <c r="G342" s="4" t="n">
        <v>341</v>
      </c>
      <c r="H342" s="6" t="n">
        <v>0.659</v>
      </c>
      <c r="J342" s="2" t="n">
        <f aca="false">B342/$B$1003</f>
        <v>0.00123248574480645</v>
      </c>
      <c r="K342" s="5" t="n">
        <f aca="false">J342*LOG(J342,2)</f>
        <v>-0.0119110051571921</v>
      </c>
    </row>
    <row r="343" customFormat="false" ht="13" hidden="false" customHeight="false" outlineLevel="0" collapsed="false">
      <c r="A343" s="4" t="n">
        <v>659</v>
      </c>
      <c r="B343" s="5" t="n">
        <v>15.7902279783165</v>
      </c>
      <c r="C343" s="5" t="n">
        <f aca="false">B343</f>
        <v>15.7902279783165</v>
      </c>
      <c r="D343" s="5" t="n">
        <f aca="false">C343*LOG(C343)</f>
        <v>18.922826048411</v>
      </c>
      <c r="E343" s="5"/>
      <c r="F343" s="5"/>
      <c r="G343" s="4" t="n">
        <v>342</v>
      </c>
      <c r="H343" s="6" t="n">
        <v>0.658</v>
      </c>
      <c r="J343" s="2" t="n">
        <f aca="false">B343/$B$1003</f>
        <v>0.00123135205222385</v>
      </c>
      <c r="K343" s="5" t="n">
        <f aca="false">J343*LOG(J343,2)</f>
        <v>-0.0119016837304311</v>
      </c>
    </row>
    <row r="344" customFormat="false" ht="13" hidden="false" customHeight="false" outlineLevel="0" collapsed="false">
      <c r="A344" s="4" t="n">
        <v>658</v>
      </c>
      <c r="B344" s="5" t="n">
        <v>15.7617981958645</v>
      </c>
      <c r="C344" s="5" t="n">
        <f aca="false">B344</f>
        <v>15.7617981958645</v>
      </c>
      <c r="D344" s="5" t="n">
        <f aca="false">C344*LOG(C344)</f>
        <v>18.8764203510219</v>
      </c>
      <c r="E344" s="5"/>
      <c r="F344" s="5"/>
      <c r="G344" s="4" t="n">
        <v>343</v>
      </c>
      <c r="H344" s="6" t="n">
        <v>0.657</v>
      </c>
      <c r="J344" s="2" t="n">
        <f aca="false">B344/$B$1003</f>
        <v>0.00122913504364015</v>
      </c>
      <c r="K344" s="5" t="n">
        <f aca="false">J344*LOG(J344,2)</f>
        <v>-0.0118834507292888</v>
      </c>
    </row>
    <row r="345" customFormat="false" ht="13" hidden="false" customHeight="false" outlineLevel="0" collapsed="false">
      <c r="A345" s="4" t="n">
        <v>657</v>
      </c>
      <c r="B345" s="5" t="n">
        <v>15.7353996549787</v>
      </c>
      <c r="C345" s="5" t="n">
        <f aca="false">B345</f>
        <v>15.7353996549787</v>
      </c>
      <c r="D345" s="5" t="n">
        <f aca="false">C345*LOG(C345)</f>
        <v>18.8333501718772</v>
      </c>
      <c r="E345" s="5"/>
      <c r="F345" s="5"/>
      <c r="G345" s="4" t="n">
        <v>344</v>
      </c>
      <c r="H345" s="6" t="n">
        <v>0.656</v>
      </c>
      <c r="J345" s="2" t="n">
        <f aca="false">B345/$B$1003</f>
        <v>0.00122707643514253</v>
      </c>
      <c r="K345" s="5" t="n">
        <f aca="false">J345*LOG(J345,2)</f>
        <v>-0.0118665152681581</v>
      </c>
    </row>
    <row r="346" customFormat="false" ht="13" hidden="false" customHeight="false" outlineLevel="0" collapsed="false">
      <c r="A346" s="4" t="n">
        <v>656</v>
      </c>
      <c r="B346" s="5" t="n">
        <v>15.7255149330001</v>
      </c>
      <c r="C346" s="5" t="n">
        <f aca="false">B346</f>
        <v>15.7255149330001</v>
      </c>
      <c r="D346" s="5" t="n">
        <f aca="false">C346*LOG(C346)</f>
        <v>18.817227836232</v>
      </c>
      <c r="E346" s="5"/>
      <c r="F346" s="5"/>
      <c r="G346" s="4" t="n">
        <v>345</v>
      </c>
      <c r="H346" s="6" t="n">
        <v>0.655</v>
      </c>
      <c r="J346" s="2" t="n">
        <f aca="false">B346/$B$1003</f>
        <v>0.00122630560569595</v>
      </c>
      <c r="K346" s="5" t="n">
        <f aca="false">J346*LOG(J346,2)</f>
        <v>-0.0118601726388415</v>
      </c>
    </row>
    <row r="347" customFormat="false" ht="13" hidden="false" customHeight="false" outlineLevel="0" collapsed="false">
      <c r="A347" s="4" t="n">
        <v>655</v>
      </c>
      <c r="B347" s="5" t="n">
        <v>15.7248912093814</v>
      </c>
      <c r="C347" s="5" t="n">
        <f aca="false">B347</f>
        <v>15.7248912093814</v>
      </c>
      <c r="D347" s="5" t="n">
        <f aca="false">C347*LOG(C347)</f>
        <v>18.8162106111553</v>
      </c>
      <c r="E347" s="5"/>
      <c r="F347" s="5"/>
      <c r="G347" s="4" t="n">
        <v>346</v>
      </c>
      <c r="H347" s="6" t="n">
        <v>0.654</v>
      </c>
      <c r="J347" s="2" t="n">
        <f aca="false">B347/$B$1003</f>
        <v>0.00122625696654021</v>
      </c>
      <c r="K347" s="5" t="n">
        <f aca="false">J347*LOG(J347,2)</f>
        <v>-0.0118597723969908</v>
      </c>
    </row>
    <row r="348" customFormat="false" ht="13" hidden="false" customHeight="false" outlineLevel="0" collapsed="false">
      <c r="A348" s="4" t="n">
        <v>654</v>
      </c>
      <c r="B348" s="5" t="n">
        <v>15.718021426384</v>
      </c>
      <c r="C348" s="5" t="n">
        <f aca="false">B348</f>
        <v>15.718021426384</v>
      </c>
      <c r="D348" s="5" t="n">
        <f aca="false">C348*LOG(C348)</f>
        <v>18.8050074566205</v>
      </c>
      <c r="E348" s="5"/>
      <c r="F348" s="5"/>
      <c r="G348" s="4" t="n">
        <v>347</v>
      </c>
      <c r="H348" s="6" t="n">
        <v>0.653</v>
      </c>
      <c r="J348" s="2" t="n">
        <f aca="false">B348/$B$1003</f>
        <v>0.0012257212477777</v>
      </c>
      <c r="K348" s="5" t="n">
        <f aca="false">J348*LOG(J348,2)</f>
        <v>-0.0118553638906358</v>
      </c>
    </row>
    <row r="349" customFormat="false" ht="13" hidden="false" customHeight="false" outlineLevel="0" collapsed="false">
      <c r="A349" s="4" t="n">
        <v>653</v>
      </c>
      <c r="B349" s="5" t="n">
        <v>15.7150302823005</v>
      </c>
      <c r="C349" s="5" t="n">
        <f aca="false">B349</f>
        <v>15.7150302823005</v>
      </c>
      <c r="D349" s="5" t="n">
        <f aca="false">C349*LOG(C349)</f>
        <v>18.8001299444322</v>
      </c>
      <c r="E349" s="5"/>
      <c r="F349" s="5"/>
      <c r="G349" s="4" t="n">
        <v>348</v>
      </c>
      <c r="H349" s="6" t="n">
        <v>0.652</v>
      </c>
      <c r="J349" s="2" t="n">
        <f aca="false">B349/$B$1003</f>
        <v>0.00122548799266506</v>
      </c>
      <c r="K349" s="5" t="n">
        <f aca="false">J349*LOG(J349,2)</f>
        <v>-0.011853444295386</v>
      </c>
    </row>
    <row r="350" customFormat="false" ht="13" hidden="false" customHeight="false" outlineLevel="0" collapsed="false">
      <c r="A350" s="4" t="n">
        <v>652</v>
      </c>
      <c r="B350" s="5" t="n">
        <v>15.706314262457</v>
      </c>
      <c r="C350" s="5" t="n">
        <f aca="false">B350</f>
        <v>15.706314262457</v>
      </c>
      <c r="D350" s="5" t="n">
        <f aca="false">C350*LOG(C350)</f>
        <v>18.7859185678131</v>
      </c>
      <c r="E350" s="5"/>
      <c r="F350" s="5"/>
      <c r="G350" s="4" t="n">
        <v>349</v>
      </c>
      <c r="H350" s="6" t="n">
        <v>0.651</v>
      </c>
      <c r="J350" s="2" t="n">
        <f aca="false">B350/$B$1003</f>
        <v>0.00122480830083691</v>
      </c>
      <c r="K350" s="5" t="n">
        <f aca="false">J350*LOG(J350,2)</f>
        <v>-0.0118478503412075</v>
      </c>
    </row>
    <row r="351" customFormat="false" ht="13" hidden="false" customHeight="false" outlineLevel="0" collapsed="false">
      <c r="A351" s="4" t="n">
        <v>651</v>
      </c>
      <c r="B351" s="5" t="n">
        <v>15.6403198834426</v>
      </c>
      <c r="C351" s="5" t="n">
        <f aca="false">B351</f>
        <v>15.6403198834426</v>
      </c>
      <c r="D351" s="5" t="n">
        <f aca="false">C351*LOG(C351)</f>
        <v>18.6783836916378</v>
      </c>
      <c r="E351" s="5"/>
      <c r="F351" s="5"/>
      <c r="G351" s="4" t="n">
        <v>350</v>
      </c>
      <c r="H351" s="6" t="n">
        <v>0.65</v>
      </c>
      <c r="J351" s="2" t="n">
        <f aca="false">B351/$B$1003</f>
        <v>0.00121966193346677</v>
      </c>
      <c r="K351" s="5" t="n">
        <f aca="false">J351*LOG(J351,2)</f>
        <v>-0.0118054773730865</v>
      </c>
      <c r="L351" s="2" t="n">
        <f aca="false">SUM(J302:J351)</f>
        <v>0.0630059232857295</v>
      </c>
    </row>
    <row r="352" customFormat="false" ht="13" hidden="false" customHeight="false" outlineLevel="0" collapsed="false">
      <c r="A352" s="4" t="n">
        <v>650</v>
      </c>
      <c r="B352" s="5" t="n">
        <v>15.6030238924493</v>
      </c>
      <c r="C352" s="5" t="n">
        <f aca="false">B352</f>
        <v>15.6030238924493</v>
      </c>
      <c r="D352" s="5" t="n">
        <f aca="false">C352*LOG(C352)</f>
        <v>18.6176650018707</v>
      </c>
      <c r="E352" s="5"/>
      <c r="F352" s="5"/>
      <c r="G352" s="4" t="n">
        <v>351</v>
      </c>
      <c r="H352" s="6" t="n">
        <v>0.649</v>
      </c>
      <c r="J352" s="2" t="n">
        <f aca="false">B352/$B$1003</f>
        <v>0.00121675352105421</v>
      </c>
      <c r="K352" s="5" t="n">
        <f aca="false">J352*LOG(J352,2)</f>
        <v>-0.0117815169135262</v>
      </c>
    </row>
    <row r="353" customFormat="false" ht="13" hidden="false" customHeight="false" outlineLevel="0" collapsed="false">
      <c r="A353" s="4" t="n">
        <v>649</v>
      </c>
      <c r="B353" s="5" t="n">
        <v>15.5338913484394</v>
      </c>
      <c r="C353" s="5" t="n">
        <f aca="false">B353</f>
        <v>15.5338913484394</v>
      </c>
      <c r="D353" s="5" t="n">
        <f aca="false">C353*LOG(C353)</f>
        <v>18.5052181735169</v>
      </c>
      <c r="E353" s="5"/>
      <c r="F353" s="5"/>
      <c r="G353" s="4" t="n">
        <v>352</v>
      </c>
      <c r="H353" s="6" t="n">
        <v>0.648</v>
      </c>
      <c r="J353" s="2" t="n">
        <f aca="false">B353/$B$1003</f>
        <v>0.00121136243360069</v>
      </c>
      <c r="K353" s="5" t="n">
        <f aca="false">J353*LOG(J353,2)</f>
        <v>-0.0117370768151089</v>
      </c>
    </row>
    <row r="354" customFormat="false" ht="13" hidden="false" customHeight="false" outlineLevel="0" collapsed="false">
      <c r="A354" s="4" t="n">
        <v>648</v>
      </c>
      <c r="B354" s="5" t="n">
        <v>15.5062614943821</v>
      </c>
      <c r="C354" s="5" t="n">
        <f aca="false">B354</f>
        <v>15.5062614943821</v>
      </c>
      <c r="D354" s="5" t="n">
        <f aca="false">C354*LOG(C354)</f>
        <v>18.4603144585259</v>
      </c>
      <c r="E354" s="5"/>
      <c r="F354" s="5"/>
      <c r="G354" s="4" t="n">
        <v>353</v>
      </c>
      <c r="H354" s="6" t="n">
        <v>0.647</v>
      </c>
      <c r="J354" s="2" t="n">
        <f aca="false">B354/$B$1003</f>
        <v>0.00120920780495677</v>
      </c>
      <c r="K354" s="5" t="n">
        <f aca="false">J354*LOG(J354,2)</f>
        <v>-0.0117193059929218</v>
      </c>
    </row>
    <row r="355" customFormat="false" ht="13" hidden="false" customHeight="false" outlineLevel="0" collapsed="false">
      <c r="A355" s="4" t="n">
        <v>647</v>
      </c>
      <c r="B355" s="5" t="n">
        <v>15.4887604151085</v>
      </c>
      <c r="C355" s="5" t="n">
        <f aca="false">B355</f>
        <v>15.4887604151085</v>
      </c>
      <c r="D355" s="5" t="n">
        <f aca="false">C355*LOG(C355)</f>
        <v>18.4318829679953</v>
      </c>
      <c r="E355" s="5"/>
      <c r="F355" s="5"/>
      <c r="G355" s="4" t="n">
        <v>354</v>
      </c>
      <c r="H355" s="6" t="n">
        <v>0.646</v>
      </c>
      <c r="J355" s="2" t="n">
        <f aca="false">B355/$B$1003</f>
        <v>0.00120784303746201</v>
      </c>
      <c r="K355" s="5" t="n">
        <f aca="false">J355*LOG(J355,2)</f>
        <v>-0.0117080468774056</v>
      </c>
    </row>
    <row r="356" customFormat="false" ht="13" hidden="false" customHeight="false" outlineLevel="0" collapsed="false">
      <c r="A356" s="4" t="n">
        <v>646</v>
      </c>
      <c r="B356" s="5" t="n">
        <v>15.4845783937575</v>
      </c>
      <c r="C356" s="5" t="n">
        <f aca="false">B356</f>
        <v>15.4845783937575</v>
      </c>
      <c r="D356" s="5" t="n">
        <f aca="false">C356*LOG(C356)</f>
        <v>18.425090309327</v>
      </c>
      <c r="E356" s="5"/>
      <c r="F356" s="5"/>
      <c r="G356" s="4" t="n">
        <v>355</v>
      </c>
      <c r="H356" s="6" t="n">
        <v>0.645</v>
      </c>
      <c r="J356" s="2" t="n">
        <f aca="false">B356/$B$1003</f>
        <v>0.00120751691547187</v>
      </c>
      <c r="K356" s="5" t="n">
        <f aca="false">J356*LOG(J356,2)</f>
        <v>-0.0117053560934431</v>
      </c>
    </row>
    <row r="357" customFormat="false" ht="13" hidden="false" customHeight="false" outlineLevel="0" collapsed="false">
      <c r="A357" s="4" t="n">
        <v>645</v>
      </c>
      <c r="B357" s="5" t="n">
        <v>15.4778159836486</v>
      </c>
      <c r="C357" s="5" t="n">
        <f aca="false">B357</f>
        <v>15.4778159836486</v>
      </c>
      <c r="D357" s="5" t="n">
        <f aca="false">C357*LOG(C357)</f>
        <v>18.4141074856905</v>
      </c>
      <c r="E357" s="5"/>
      <c r="F357" s="5"/>
      <c r="G357" s="4" t="n">
        <v>356</v>
      </c>
      <c r="H357" s="6" t="n">
        <v>0.644</v>
      </c>
      <c r="J357" s="2" t="n">
        <f aca="false">B357/$B$1003</f>
        <v>0.00120698956985172</v>
      </c>
      <c r="K357" s="5" t="n">
        <f aca="false">J357*LOG(J357,2)</f>
        <v>-0.0117010047744034</v>
      </c>
    </row>
    <row r="358" customFormat="false" ht="13" hidden="false" customHeight="false" outlineLevel="0" collapsed="false">
      <c r="A358" s="4" t="n">
        <v>644</v>
      </c>
      <c r="B358" s="5" t="n">
        <v>15.4721841648936</v>
      </c>
      <c r="C358" s="5" t="n">
        <f aca="false">B358</f>
        <v>15.4721841648936</v>
      </c>
      <c r="D358" s="5" t="n">
        <f aca="false">C358*LOG(C358)</f>
        <v>18.4049618336344</v>
      </c>
      <c r="E358" s="5"/>
      <c r="F358" s="5"/>
      <c r="G358" s="4" t="n">
        <v>357</v>
      </c>
      <c r="H358" s="6" t="n">
        <v>0.643</v>
      </c>
      <c r="J358" s="2" t="n">
        <f aca="false">B358/$B$1003</f>
        <v>0.0012065503898987</v>
      </c>
      <c r="K358" s="5" t="n">
        <f aca="false">J358*LOG(J358,2)</f>
        <v>-0.0116973806884236</v>
      </c>
    </row>
    <row r="359" customFormat="false" ht="13" hidden="false" customHeight="false" outlineLevel="0" collapsed="false">
      <c r="A359" s="4" t="n">
        <v>643</v>
      </c>
      <c r="B359" s="5" t="n">
        <v>15.4414356487571</v>
      </c>
      <c r="C359" s="5" t="n">
        <f aca="false">B359</f>
        <v>15.4414356487571</v>
      </c>
      <c r="D359" s="5" t="n">
        <f aca="false">C359*LOG(C359)</f>
        <v>18.355044253568</v>
      </c>
      <c r="E359" s="5"/>
      <c r="F359" s="5"/>
      <c r="G359" s="4" t="n">
        <v>358</v>
      </c>
      <c r="H359" s="6" t="n">
        <v>0.642</v>
      </c>
      <c r="J359" s="2" t="n">
        <f aca="false">B359/$B$1003</f>
        <v>0.00120415256204596</v>
      </c>
      <c r="K359" s="5" t="n">
        <f aca="false">J359*LOG(J359,2)</f>
        <v>-0.011677589891121</v>
      </c>
    </row>
    <row r="360" customFormat="false" ht="13" hidden="false" customHeight="false" outlineLevel="0" collapsed="false">
      <c r="A360" s="4" t="n">
        <v>642</v>
      </c>
      <c r="B360" s="5" t="n">
        <v>15.3793974443839</v>
      </c>
      <c r="C360" s="5" t="n">
        <f aca="false">B360</f>
        <v>15.3793974443839</v>
      </c>
      <c r="D360" s="5" t="n">
        <f aca="false">C360*LOG(C360)</f>
        <v>18.2544115507992</v>
      </c>
      <c r="E360" s="5"/>
      <c r="F360" s="5"/>
      <c r="G360" s="4" t="n">
        <v>359</v>
      </c>
      <c r="H360" s="6" t="n">
        <v>0.641</v>
      </c>
      <c r="J360" s="2" t="n">
        <f aca="false">B360/$B$1003</f>
        <v>0.00119931470470938</v>
      </c>
      <c r="K360" s="5" t="n">
        <f aca="false">J360*LOG(J360,2)</f>
        <v>-0.0116376389955544</v>
      </c>
    </row>
    <row r="361" customFormat="false" ht="13" hidden="false" customHeight="false" outlineLevel="0" collapsed="false">
      <c r="A361" s="4" t="n">
        <v>641</v>
      </c>
      <c r="B361" s="5" t="n">
        <v>15.3740441733542</v>
      </c>
      <c r="C361" s="5" t="n">
        <f aca="false">B361</f>
        <v>15.3740441733542</v>
      </c>
      <c r="D361" s="5" t="n">
        <f aca="false">C361*LOG(C361)</f>
        <v>18.2457330515255</v>
      </c>
      <c r="E361" s="5"/>
      <c r="F361" s="5"/>
      <c r="G361" s="4" t="n">
        <v>360</v>
      </c>
      <c r="H361" s="6" t="n">
        <v>0.64</v>
      </c>
      <c r="J361" s="2" t="n">
        <f aca="false">B361/$B$1003</f>
        <v>0.0011988972464385</v>
      </c>
      <c r="K361" s="5" t="n">
        <f aca="false">J361*LOG(J361,2)</f>
        <v>-0.0116341903184744</v>
      </c>
    </row>
    <row r="362" customFormat="false" ht="13" hidden="false" customHeight="false" outlineLevel="0" collapsed="false">
      <c r="A362" s="4" t="n">
        <v>640</v>
      </c>
      <c r="B362" s="5" t="n">
        <v>15.3730247640395</v>
      </c>
      <c r="C362" s="5" t="n">
        <f aca="false">B362</f>
        <v>15.3730247640395</v>
      </c>
      <c r="D362" s="5" t="n">
        <f aca="false">C362*LOG(C362)</f>
        <v>18.2440805194949</v>
      </c>
      <c r="E362" s="5"/>
      <c r="F362" s="5"/>
      <c r="G362" s="4" t="n">
        <v>361</v>
      </c>
      <c r="H362" s="6" t="n">
        <v>0.639</v>
      </c>
      <c r="J362" s="2" t="n">
        <f aca="false">B362/$B$1003</f>
        <v>0.00119881775095855</v>
      </c>
      <c r="K362" s="5" t="n">
        <f aca="false">J362*LOG(J362,2)</f>
        <v>-0.0116335335722062</v>
      </c>
    </row>
    <row r="363" customFormat="false" ht="13" hidden="false" customHeight="false" outlineLevel="0" collapsed="false">
      <c r="A363" s="4" t="n">
        <v>639</v>
      </c>
      <c r="B363" s="5" t="n">
        <v>15.3514203664125</v>
      </c>
      <c r="C363" s="5" t="n">
        <f aca="false">B363</f>
        <v>15.3514203664125</v>
      </c>
      <c r="D363" s="5" t="n">
        <f aca="false">C363*LOG(C363)</f>
        <v>18.2090652244709</v>
      </c>
      <c r="E363" s="5"/>
      <c r="F363" s="5"/>
      <c r="G363" s="4" t="n">
        <v>362</v>
      </c>
      <c r="H363" s="6" t="n">
        <v>0.638</v>
      </c>
      <c r="J363" s="2" t="n">
        <f aca="false">B363/$B$1003</f>
        <v>0.00119713299888331</v>
      </c>
      <c r="K363" s="5" t="n">
        <f aca="false">J363*LOG(J363,2)</f>
        <v>-0.0116196133231625</v>
      </c>
    </row>
    <row r="364" customFormat="false" ht="13" hidden="false" customHeight="false" outlineLevel="0" collapsed="false">
      <c r="A364" s="4" t="n">
        <v>638</v>
      </c>
      <c r="B364" s="5" t="n">
        <v>15.2436122784812</v>
      </c>
      <c r="C364" s="5" t="n">
        <f aca="false">B364</f>
        <v>15.2436122784812</v>
      </c>
      <c r="D364" s="5" t="n">
        <f aca="false">C364*LOG(C364)</f>
        <v>18.0345331467937</v>
      </c>
      <c r="E364" s="5"/>
      <c r="F364" s="5"/>
      <c r="G364" s="4" t="n">
        <v>363</v>
      </c>
      <c r="H364" s="6" t="n">
        <v>0.637</v>
      </c>
      <c r="J364" s="2" t="n">
        <f aca="false">B364/$B$1003</f>
        <v>0.00118872591885236</v>
      </c>
      <c r="K364" s="5" t="n">
        <f aca="false">J364*LOG(J364,2)</f>
        <v>-0.011550098679984</v>
      </c>
    </row>
    <row r="365" customFormat="false" ht="13" hidden="false" customHeight="false" outlineLevel="0" collapsed="false">
      <c r="A365" s="4" t="n">
        <v>637</v>
      </c>
      <c r="B365" s="5" t="n">
        <v>15.2080979988961</v>
      </c>
      <c r="C365" s="5" t="n">
        <f aca="false">B365</f>
        <v>15.2080979988961</v>
      </c>
      <c r="D365" s="5" t="n">
        <f aca="false">C365*LOG(C365)</f>
        <v>17.9771109577413</v>
      </c>
      <c r="E365" s="5"/>
      <c r="F365" s="5"/>
      <c r="G365" s="4" t="n">
        <v>364</v>
      </c>
      <c r="H365" s="6" t="n">
        <v>0.636</v>
      </c>
      <c r="J365" s="2" t="n">
        <f aca="false">B365/$B$1003</f>
        <v>0.0011859564476889</v>
      </c>
      <c r="K365" s="5" t="n">
        <f aca="false">J365*LOG(J365,2)</f>
        <v>-0.0115271803228974</v>
      </c>
    </row>
    <row r="366" customFormat="false" ht="13" hidden="false" customHeight="false" outlineLevel="0" collapsed="false">
      <c r="A366" s="4" t="n">
        <v>636</v>
      </c>
      <c r="B366" s="5" t="n">
        <v>15.1955078465564</v>
      </c>
      <c r="C366" s="5" t="n">
        <f aca="false">B366</f>
        <v>15.1955078465564</v>
      </c>
      <c r="D366" s="5" t="n">
        <f aca="false">C366*LOG(C366)</f>
        <v>17.9567628848767</v>
      </c>
      <c r="E366" s="5"/>
      <c r="F366" s="5"/>
      <c r="G366" s="4" t="n">
        <v>365</v>
      </c>
      <c r="H366" s="6" t="n">
        <v>0.635</v>
      </c>
      <c r="J366" s="2" t="n">
        <f aca="false">B366/$B$1003</f>
        <v>0.00118497464362993</v>
      </c>
      <c r="K366" s="5" t="n">
        <f aca="false">J366*LOG(J366,2)</f>
        <v>-0.0115190533067137</v>
      </c>
    </row>
    <row r="367" customFormat="false" ht="13" hidden="false" customHeight="false" outlineLevel="0" collapsed="false">
      <c r="A367" s="4" t="n">
        <v>635</v>
      </c>
      <c r="B367" s="5" t="n">
        <v>15.1444028751337</v>
      </c>
      <c r="C367" s="5" t="n">
        <f aca="false">B367</f>
        <v>15.1444028751337</v>
      </c>
      <c r="D367" s="5" t="n">
        <f aca="false">C367*LOG(C367)</f>
        <v>17.8742141192383</v>
      </c>
      <c r="E367" s="5"/>
      <c r="F367" s="5"/>
      <c r="G367" s="4" t="n">
        <v>366</v>
      </c>
      <c r="H367" s="6" t="n">
        <v>0.634</v>
      </c>
      <c r="J367" s="2" t="n">
        <f aca="false">B367/$B$1003</f>
        <v>0.00118098938062254</v>
      </c>
      <c r="K367" s="5" t="n">
        <f aca="false">J367*LOG(J367,2)</f>
        <v>-0.0114860526916089</v>
      </c>
    </row>
    <row r="368" customFormat="false" ht="13" hidden="false" customHeight="false" outlineLevel="0" collapsed="false">
      <c r="A368" s="4" t="n">
        <v>634</v>
      </c>
      <c r="B368" s="5" t="n">
        <v>15.1284547800794</v>
      </c>
      <c r="C368" s="5" t="n">
        <f aca="false">B368</f>
        <v>15.1284547800794</v>
      </c>
      <c r="D368" s="5" t="n">
        <f aca="false">C368*LOG(C368)</f>
        <v>17.8484688241611</v>
      </c>
      <c r="E368" s="5"/>
      <c r="F368" s="5"/>
      <c r="G368" s="4" t="n">
        <v>367</v>
      </c>
      <c r="H368" s="6" t="n">
        <v>0.633</v>
      </c>
      <c r="J368" s="2" t="n">
        <f aca="false">B368/$B$1003</f>
        <v>0.00117974571779506</v>
      </c>
      <c r="K368" s="5" t="n">
        <f aca="false">J368*LOG(J368,2)</f>
        <v>-0.0114757503713819</v>
      </c>
    </row>
    <row r="369" customFormat="false" ht="13" hidden="false" customHeight="false" outlineLevel="0" collapsed="false">
      <c r="A369" s="4" t="n">
        <v>633</v>
      </c>
      <c r="B369" s="5" t="n">
        <v>15.1220116077164</v>
      </c>
      <c r="C369" s="5" t="n">
        <f aca="false">B369</f>
        <v>15.1220116077164</v>
      </c>
      <c r="D369" s="5" t="n">
        <f aca="false">C369*LOG(C369)</f>
        <v>17.8380695661462</v>
      </c>
      <c r="E369" s="5"/>
      <c r="F369" s="5"/>
      <c r="G369" s="4" t="n">
        <v>368</v>
      </c>
      <c r="H369" s="6" t="n">
        <v>0.632</v>
      </c>
      <c r="J369" s="2" t="n">
        <f aca="false">B369/$B$1003</f>
        <v>0.00117924326694236</v>
      </c>
      <c r="K369" s="5" t="n">
        <f aca="false">J369*LOG(J369,2)</f>
        <v>-0.0114715876059756</v>
      </c>
    </row>
    <row r="370" customFormat="false" ht="13" hidden="false" customHeight="false" outlineLevel="0" collapsed="false">
      <c r="A370" s="4" t="n">
        <v>632</v>
      </c>
      <c r="B370" s="5" t="n">
        <v>15.1206939569839</v>
      </c>
      <c r="C370" s="5" t="n">
        <f aca="false">B370</f>
        <v>15.1206939569839</v>
      </c>
      <c r="D370" s="5" t="n">
        <f aca="false">C370*LOG(C370)</f>
        <v>17.8359430292258</v>
      </c>
      <c r="E370" s="5"/>
      <c r="F370" s="5"/>
      <c r="G370" s="4" t="n">
        <v>369</v>
      </c>
      <c r="H370" s="6" t="n">
        <v>0.631</v>
      </c>
      <c r="J370" s="2" t="n">
        <f aca="false">B370/$B$1003</f>
        <v>0.0011791405140286</v>
      </c>
      <c r="K370" s="5" t="n">
        <f aca="false">J370*LOG(J370,2)</f>
        <v>-0.0114707362682111</v>
      </c>
    </row>
    <row r="371" customFormat="false" ht="13" hidden="false" customHeight="false" outlineLevel="0" collapsed="false">
      <c r="A371" s="4" t="n">
        <v>631</v>
      </c>
      <c r="B371" s="5" t="n">
        <v>15.0879986771859</v>
      </c>
      <c r="C371" s="5" t="n">
        <f aca="false">B371</f>
        <v>15.0879986771859</v>
      </c>
      <c r="D371" s="5" t="n">
        <f aca="false">C371*LOG(C371)</f>
        <v>17.7831925847319</v>
      </c>
      <c r="E371" s="5"/>
      <c r="F371" s="5"/>
      <c r="G371" s="4" t="n">
        <v>370</v>
      </c>
      <c r="H371" s="6" t="n">
        <v>0.63</v>
      </c>
      <c r="J371" s="2" t="n">
        <f aca="false">B371/$B$1003</f>
        <v>0.00117659087383768</v>
      </c>
      <c r="K371" s="5" t="n">
        <f aca="false">J371*LOG(J371,2)</f>
        <v>-0.0114496076179939</v>
      </c>
    </row>
    <row r="372" customFormat="false" ht="13" hidden="false" customHeight="false" outlineLevel="0" collapsed="false">
      <c r="A372" s="4" t="n">
        <v>630</v>
      </c>
      <c r="B372" s="5" t="n">
        <v>15.0795144178834</v>
      </c>
      <c r="C372" s="5" t="n">
        <f aca="false">B372</f>
        <v>15.0795144178834</v>
      </c>
      <c r="D372" s="5" t="n">
        <f aca="false">C372*LOG(C372)</f>
        <v>17.769509137473</v>
      </c>
      <c r="E372" s="5"/>
      <c r="F372" s="5"/>
      <c r="G372" s="4" t="n">
        <v>371</v>
      </c>
      <c r="H372" s="6" t="n">
        <v>0.629</v>
      </c>
      <c r="J372" s="2" t="n">
        <f aca="false">B372/$B$1003</f>
        <v>0.00117592925513794</v>
      </c>
      <c r="K372" s="5" t="n">
        <f aca="false">J372*LOG(J372,2)</f>
        <v>-0.0114441235385333</v>
      </c>
    </row>
    <row r="373" customFormat="false" ht="13" hidden="false" customHeight="false" outlineLevel="0" collapsed="false">
      <c r="A373" s="4" t="n">
        <v>629</v>
      </c>
      <c r="B373" s="5" t="n">
        <v>15.0699039293311</v>
      </c>
      <c r="C373" s="5" t="n">
        <f aca="false">B373</f>
        <v>15.0699039293311</v>
      </c>
      <c r="D373" s="5" t="n">
        <f aca="false">C373*LOG(C373)</f>
        <v>17.7540118074249</v>
      </c>
      <c r="E373" s="5"/>
      <c r="F373" s="5"/>
      <c r="G373" s="4" t="n">
        <v>372</v>
      </c>
      <c r="H373" s="6" t="n">
        <v>0.628</v>
      </c>
      <c r="J373" s="2" t="n">
        <f aca="false">B373/$B$1003</f>
        <v>0.00117517981093624</v>
      </c>
      <c r="K373" s="5" t="n">
        <f aca="false">J373*LOG(J373,2)</f>
        <v>-0.0114379108351095</v>
      </c>
    </row>
    <row r="374" customFormat="false" ht="13" hidden="false" customHeight="false" outlineLevel="0" collapsed="false">
      <c r="A374" s="4" t="n">
        <v>628</v>
      </c>
      <c r="B374" s="5" t="n">
        <v>15.0043148956219</v>
      </c>
      <c r="C374" s="5" t="n">
        <f aca="false">B374</f>
        <v>15.0043148956219</v>
      </c>
      <c r="D374" s="5" t="n">
        <f aca="false">C374*LOG(C374)</f>
        <v>17.6483178017204</v>
      </c>
      <c r="E374" s="5"/>
      <c r="F374" s="5"/>
      <c r="G374" s="4" t="n">
        <v>373</v>
      </c>
      <c r="H374" s="6" t="n">
        <v>0.627</v>
      </c>
      <c r="J374" s="2" t="n">
        <f aca="false">B374/$B$1003</f>
        <v>0.00117006505316504</v>
      </c>
      <c r="K374" s="5" t="n">
        <f aca="false">J374*LOG(J374,2)</f>
        <v>-0.0113954923494038</v>
      </c>
    </row>
    <row r="375" customFormat="false" ht="13" hidden="false" customHeight="false" outlineLevel="0" collapsed="false">
      <c r="A375" s="4" t="n">
        <v>627</v>
      </c>
      <c r="B375" s="5" t="n">
        <v>14.9870756603436</v>
      </c>
      <c r="C375" s="5" t="n">
        <f aca="false">B375</f>
        <v>14.9870756603436</v>
      </c>
      <c r="D375" s="5" t="n">
        <f aca="false">C375*LOG(C375)</f>
        <v>17.6205581323669</v>
      </c>
      <c r="E375" s="5"/>
      <c r="F375" s="5"/>
      <c r="G375" s="4" t="n">
        <v>374</v>
      </c>
      <c r="H375" s="6" t="n">
        <v>0.626</v>
      </c>
      <c r="J375" s="2" t="n">
        <f aca="false">B375/$B$1003</f>
        <v>0.00116872070476375</v>
      </c>
      <c r="K375" s="5" t="n">
        <f aca="false">J375*LOG(J375,2)</f>
        <v>-0.0113843378476049</v>
      </c>
    </row>
    <row r="376" customFormat="false" ht="13" hidden="false" customHeight="false" outlineLevel="0" collapsed="false">
      <c r="A376" s="4" t="n">
        <v>626</v>
      </c>
      <c r="B376" s="5" t="n">
        <v>14.961364976677</v>
      </c>
      <c r="C376" s="5" t="n">
        <f aca="false">B376</f>
        <v>14.961364976677</v>
      </c>
      <c r="D376" s="5" t="n">
        <f aca="false">C376*LOG(C376)</f>
        <v>17.5791732222898</v>
      </c>
      <c r="E376" s="5"/>
      <c r="F376" s="5"/>
      <c r="G376" s="4" t="n">
        <v>375</v>
      </c>
      <c r="H376" s="6" t="n">
        <v>0.625</v>
      </c>
      <c r="J376" s="2" t="n">
        <f aca="false">B376/$B$1003</f>
        <v>0.00116671573668219</v>
      </c>
      <c r="K376" s="5" t="n">
        <f aca="false">J376*LOG(J376,2)</f>
        <v>-0.0113676978210464</v>
      </c>
    </row>
    <row r="377" customFormat="false" ht="13" hidden="false" customHeight="false" outlineLevel="0" collapsed="false">
      <c r="A377" s="4" t="n">
        <v>625</v>
      </c>
      <c r="B377" s="5" t="n">
        <v>14.9396556663112</v>
      </c>
      <c r="C377" s="5" t="n">
        <f aca="false">B377</f>
        <v>14.9396556663112</v>
      </c>
      <c r="D377" s="5" t="n">
        <f aca="false">C377*LOG(C377)</f>
        <v>17.5442440173711</v>
      </c>
      <c r="E377" s="5"/>
      <c r="F377" s="5"/>
      <c r="G377" s="4" t="n">
        <v>376</v>
      </c>
      <c r="H377" s="6" t="n">
        <v>0.624</v>
      </c>
      <c r="J377" s="2" t="n">
        <f aca="false">B377/$B$1003</f>
        <v>0.00116502280331176</v>
      </c>
      <c r="K377" s="5" t="n">
        <f aca="false">J377*LOG(J377,2)</f>
        <v>-0.0113536436242832</v>
      </c>
    </row>
    <row r="378" customFormat="false" ht="13" hidden="false" customHeight="false" outlineLevel="0" collapsed="false">
      <c r="A378" s="4" t="n">
        <v>624</v>
      </c>
      <c r="B378" s="5" t="n">
        <v>14.9159083352319</v>
      </c>
      <c r="C378" s="5" t="n">
        <f aca="false">B378</f>
        <v>14.9159083352319</v>
      </c>
      <c r="D378" s="5" t="n">
        <f aca="false">C378*LOG(C378)</f>
        <v>17.5060514289118</v>
      </c>
      <c r="E378" s="5"/>
      <c r="F378" s="5"/>
      <c r="G378" s="4" t="n">
        <v>377</v>
      </c>
      <c r="H378" s="6" t="n">
        <v>0.623</v>
      </c>
      <c r="J378" s="2" t="n">
        <f aca="false">B378/$B$1003</f>
        <v>0.00116317094120442</v>
      </c>
      <c r="K378" s="5" t="n">
        <f aca="false">J378*LOG(J378,2)</f>
        <v>-0.0113382659867592</v>
      </c>
    </row>
    <row r="379" customFormat="false" ht="13" hidden="false" customHeight="false" outlineLevel="0" collapsed="false">
      <c r="A379" s="4" t="n">
        <v>623</v>
      </c>
      <c r="B379" s="5" t="n">
        <v>14.915299429951</v>
      </c>
      <c r="C379" s="5" t="n">
        <f aca="false">B379</f>
        <v>14.915299429951</v>
      </c>
      <c r="D379" s="5" t="n">
        <f aca="false">C379*LOG(C379)</f>
        <v>17.5050723486022</v>
      </c>
      <c r="E379" s="5"/>
      <c r="F379" s="5"/>
      <c r="G379" s="4" t="n">
        <v>378</v>
      </c>
      <c r="H379" s="6" t="n">
        <v>0.622</v>
      </c>
      <c r="J379" s="2" t="n">
        <f aca="false">B379/$B$1003</f>
        <v>0.00116312345761087</v>
      </c>
      <c r="K379" s="5" t="n">
        <f aca="false">J379*LOG(J379,2)</f>
        <v>-0.0113378716328767</v>
      </c>
    </row>
    <row r="380" customFormat="false" ht="13" hidden="false" customHeight="false" outlineLevel="0" collapsed="false">
      <c r="A380" s="4" t="n">
        <v>622</v>
      </c>
      <c r="B380" s="5" t="n">
        <v>14.8997976040271</v>
      </c>
      <c r="C380" s="5" t="n">
        <f aca="false">B380</f>
        <v>14.8997976040271</v>
      </c>
      <c r="D380" s="5" t="n">
        <f aca="false">C380*LOG(C380)</f>
        <v>17.4801500523095</v>
      </c>
      <c r="E380" s="5"/>
      <c r="F380" s="5"/>
      <c r="G380" s="4" t="n">
        <v>379</v>
      </c>
      <c r="H380" s="6" t="n">
        <v>0.621</v>
      </c>
      <c r="J380" s="2" t="n">
        <f aca="false">B380/$B$1003</f>
        <v>0.00116191459570015</v>
      </c>
      <c r="K380" s="5" t="n">
        <f aca="false">J380*LOG(J380,2)</f>
        <v>-0.0113278310253324</v>
      </c>
    </row>
    <row r="381" customFormat="false" ht="13" hidden="false" customHeight="false" outlineLevel="0" collapsed="false">
      <c r="A381" s="4" t="n">
        <v>621</v>
      </c>
      <c r="B381" s="5" t="n">
        <v>14.8588032083738</v>
      </c>
      <c r="C381" s="5" t="n">
        <f aca="false">B381</f>
        <v>14.8588032083738</v>
      </c>
      <c r="D381" s="5" t="n">
        <f aca="false">C381*LOG(C381)</f>
        <v>17.4142771066836</v>
      </c>
      <c r="E381" s="5"/>
      <c r="F381" s="5"/>
      <c r="G381" s="4" t="n">
        <v>380</v>
      </c>
      <c r="H381" s="6" t="n">
        <v>0.62</v>
      </c>
      <c r="J381" s="2" t="n">
        <f aca="false">B381/$B$1003</f>
        <v>0.00115871777464813</v>
      </c>
      <c r="K381" s="5" t="n">
        <f aca="false">J381*LOG(J381,2)</f>
        <v>-0.0113012700083842</v>
      </c>
    </row>
    <row r="382" customFormat="false" ht="13" hidden="false" customHeight="false" outlineLevel="0" collapsed="false">
      <c r="A382" s="4" t="n">
        <v>620</v>
      </c>
      <c r="B382" s="5" t="n">
        <v>14.8154581974558</v>
      </c>
      <c r="C382" s="5" t="n">
        <f aca="false">B382</f>
        <v>14.8154581974558</v>
      </c>
      <c r="D382" s="5" t="n">
        <f aca="false">C382*LOG(C382)</f>
        <v>17.3446804391391</v>
      </c>
      <c r="E382" s="5"/>
      <c r="F382" s="5"/>
      <c r="G382" s="4" t="n">
        <v>381</v>
      </c>
      <c r="H382" s="6" t="n">
        <v>0.619</v>
      </c>
      <c r="J382" s="2" t="n">
        <f aca="false">B382/$B$1003</f>
        <v>0.00115533764814071</v>
      </c>
      <c r="K382" s="5" t="n">
        <f aca="false">J382*LOG(J382,2)</f>
        <v>-0.0112731721445455</v>
      </c>
    </row>
    <row r="383" customFormat="false" ht="13" hidden="false" customHeight="false" outlineLevel="0" collapsed="false">
      <c r="A383" s="4" t="n">
        <v>619</v>
      </c>
      <c r="B383" s="5" t="n">
        <v>14.7966409364916</v>
      </c>
      <c r="C383" s="5" t="n">
        <f aca="false">B383</f>
        <v>14.7966409364916</v>
      </c>
      <c r="D383" s="5" t="n">
        <f aca="false">C383*LOG(C383)</f>
        <v>17.3144837472383</v>
      </c>
      <c r="E383" s="5"/>
      <c r="F383" s="5"/>
      <c r="G383" s="4" t="n">
        <v>382</v>
      </c>
      <c r="H383" s="6" t="n">
        <v>0.618</v>
      </c>
      <c r="J383" s="2" t="n">
        <f aca="false">B383/$B$1003</f>
        <v>0.00115387024229089</v>
      </c>
      <c r="K383" s="5" t="n">
        <f aca="false">J383*LOG(J383,2)</f>
        <v>-0.0112609696505147</v>
      </c>
    </row>
    <row r="384" customFormat="false" ht="13" hidden="false" customHeight="false" outlineLevel="0" collapsed="false">
      <c r="A384" s="4" t="n">
        <v>618</v>
      </c>
      <c r="B384" s="5" t="n">
        <v>14.7604572058375</v>
      </c>
      <c r="C384" s="5" t="n">
        <f aca="false">B384</f>
        <v>14.7604572058375</v>
      </c>
      <c r="D384" s="5" t="n">
        <f aca="false">C384*LOG(C384)</f>
        <v>17.2564477146633</v>
      </c>
      <c r="E384" s="5"/>
      <c r="F384" s="5"/>
      <c r="G384" s="4" t="n">
        <v>383</v>
      </c>
      <c r="H384" s="6" t="n">
        <v>0.617</v>
      </c>
      <c r="J384" s="2" t="n">
        <f aca="false">B384/$B$1003</f>
        <v>0.00115104856605802</v>
      </c>
      <c r="K384" s="5" t="n">
        <f aca="false">J384*LOG(J384,2)</f>
        <v>-0.0112374978932281</v>
      </c>
    </row>
    <row r="385" customFormat="false" ht="13" hidden="false" customHeight="false" outlineLevel="0" collapsed="false">
      <c r="A385" s="4" t="n">
        <v>617</v>
      </c>
      <c r="B385" s="5" t="n">
        <v>14.7170362700622</v>
      </c>
      <c r="C385" s="5" t="n">
        <f aca="false">B385</f>
        <v>14.7170362700622</v>
      </c>
      <c r="D385" s="5" t="n">
        <f aca="false">C385*LOG(C385)</f>
        <v>17.1868545979073</v>
      </c>
      <c r="E385" s="5"/>
      <c r="F385" s="5"/>
      <c r="G385" s="4" t="n">
        <v>384</v>
      </c>
      <c r="H385" s="6" t="n">
        <v>0.616</v>
      </c>
      <c r="J385" s="2" t="n">
        <f aca="false">B385/$B$1003</f>
        <v>0.00114766251878563</v>
      </c>
      <c r="K385" s="5" t="n">
        <f aca="false">J385*LOG(J385,2)</f>
        <v>-0.0112093183118311</v>
      </c>
    </row>
    <row r="386" customFormat="false" ht="13" hidden="false" customHeight="false" outlineLevel="0" collapsed="false">
      <c r="A386" s="4" t="n">
        <v>616</v>
      </c>
      <c r="B386" s="5" t="n">
        <v>14.6576125468074</v>
      </c>
      <c r="C386" s="5" t="n">
        <f aca="false">B386</f>
        <v>14.6576125468074</v>
      </c>
      <c r="D386" s="5" t="n">
        <f aca="false">C386*LOG(C386)</f>
        <v>17.0917031410884</v>
      </c>
      <c r="E386" s="5"/>
      <c r="F386" s="5"/>
      <c r="G386" s="4" t="n">
        <v>385</v>
      </c>
      <c r="H386" s="6" t="n">
        <v>0.615</v>
      </c>
      <c r="J386" s="2" t="n">
        <f aca="false">B386/$B$1003</f>
        <v>0.00114302854366626</v>
      </c>
      <c r="K386" s="5" t="n">
        <f aca="false">J386*LOG(J386,2)</f>
        <v>-0.0111707297768651</v>
      </c>
    </row>
    <row r="387" customFormat="false" ht="13" hidden="false" customHeight="false" outlineLevel="0" collapsed="false">
      <c r="A387" s="4" t="n">
        <v>615</v>
      </c>
      <c r="B387" s="5" t="n">
        <v>14.6291320259665</v>
      </c>
      <c r="C387" s="5" t="n">
        <f aca="false">B387</f>
        <v>14.6291320259665</v>
      </c>
      <c r="D387" s="5" t="n">
        <f aca="false">C387*LOG(C387)</f>
        <v>17.0461361442447</v>
      </c>
      <c r="E387" s="5"/>
      <c r="F387" s="5"/>
      <c r="G387" s="4" t="n">
        <v>386</v>
      </c>
      <c r="H387" s="6" t="n">
        <v>0.614</v>
      </c>
      <c r="J387" s="2" t="n">
        <f aca="false">B387/$B$1003</f>
        <v>0.00114080757840636</v>
      </c>
      <c r="K387" s="5" t="n">
        <f aca="false">J387*LOG(J387,2)</f>
        <v>-0.0111522255153258</v>
      </c>
    </row>
    <row r="388" customFormat="false" ht="13" hidden="false" customHeight="false" outlineLevel="0" collapsed="false">
      <c r="A388" s="4" t="n">
        <v>614</v>
      </c>
      <c r="B388" s="5" t="n">
        <v>14.6166842133393</v>
      </c>
      <c r="C388" s="5" t="n">
        <f aca="false">B388</f>
        <v>14.6166842133393</v>
      </c>
      <c r="D388" s="5" t="n">
        <f aca="false">C388*LOG(C388)</f>
        <v>17.026228006233</v>
      </c>
      <c r="E388" s="5"/>
      <c r="F388" s="5"/>
      <c r="G388" s="4" t="n">
        <v>387</v>
      </c>
      <c r="H388" s="6" t="n">
        <v>0.613</v>
      </c>
      <c r="J388" s="2" t="n">
        <f aca="false">B388/$B$1003</f>
        <v>0.00113983687426927</v>
      </c>
      <c r="K388" s="5" t="n">
        <f aca="false">J388*LOG(J388,2)</f>
        <v>-0.0111441360089913</v>
      </c>
    </row>
    <row r="389" customFormat="false" ht="13" hidden="false" customHeight="false" outlineLevel="0" collapsed="false">
      <c r="A389" s="4" t="n">
        <v>613</v>
      </c>
      <c r="B389" s="5" t="n">
        <v>14.6165515555037</v>
      </c>
      <c r="C389" s="5" t="n">
        <f aca="false">B389</f>
        <v>14.6165515555037</v>
      </c>
      <c r="D389" s="5" t="n">
        <f aca="false">C389*LOG(C389)</f>
        <v>17.0260158675993</v>
      </c>
      <c r="E389" s="5"/>
      <c r="F389" s="5"/>
      <c r="G389" s="4" t="n">
        <v>388</v>
      </c>
      <c r="H389" s="6" t="n">
        <v>0.612</v>
      </c>
      <c r="J389" s="2" t="n">
        <f aca="false">B389/$B$1003</f>
        <v>0.00113982652935858</v>
      </c>
      <c r="K389" s="5" t="n">
        <f aca="false">J389*LOG(J389,2)</f>
        <v>-0.0111440497917289</v>
      </c>
    </row>
    <row r="390" customFormat="false" ht="13" hidden="false" customHeight="false" outlineLevel="0" collapsed="false">
      <c r="A390" s="4" t="n">
        <v>612</v>
      </c>
      <c r="B390" s="5" t="n">
        <v>14.5764016937048</v>
      </c>
      <c r="C390" s="5" t="n">
        <f aca="false">B390</f>
        <v>14.5764016937048</v>
      </c>
      <c r="D390" s="5" t="n">
        <f aca="false">C390*LOG(C390)</f>
        <v>16.9618346119182</v>
      </c>
      <c r="E390" s="5"/>
      <c r="F390" s="5"/>
      <c r="G390" s="4" t="n">
        <v>389</v>
      </c>
      <c r="H390" s="6" t="n">
        <v>0.611</v>
      </c>
      <c r="J390" s="2" t="n">
        <f aca="false">B390/$B$1003</f>
        <v>0.00113669556666504</v>
      </c>
      <c r="K390" s="5" t="n">
        <f aca="false">J390*LOG(J390,2)</f>
        <v>-0.0111179492781873</v>
      </c>
    </row>
    <row r="391" customFormat="false" ht="13" hidden="false" customHeight="false" outlineLevel="0" collapsed="false">
      <c r="A391" s="4" t="n">
        <v>611</v>
      </c>
      <c r="B391" s="5" t="n">
        <v>14.5350927803772</v>
      </c>
      <c r="C391" s="5" t="n">
        <f aca="false">B391</f>
        <v>14.5350927803772</v>
      </c>
      <c r="D391" s="5" t="n">
        <f aca="false">C391*LOG(C391)</f>
        <v>16.8958506932472</v>
      </c>
      <c r="E391" s="5"/>
      <c r="F391" s="5"/>
      <c r="G391" s="4" t="n">
        <v>390</v>
      </c>
      <c r="H391" s="6" t="n">
        <v>0.61</v>
      </c>
      <c r="J391" s="2" t="n">
        <f aca="false">B391/$B$1003</f>
        <v>0.00113347421892574</v>
      </c>
      <c r="K391" s="5" t="n">
        <f aca="false">J391*LOG(J391,2)</f>
        <v>-0.0110910823053729</v>
      </c>
    </row>
    <row r="392" customFormat="false" ht="13" hidden="false" customHeight="false" outlineLevel="0" collapsed="false">
      <c r="A392" s="4" t="n">
        <v>610</v>
      </c>
      <c r="B392" s="5" t="n">
        <v>14.5237767160605</v>
      </c>
      <c r="C392" s="5" t="n">
        <f aca="false">B392</f>
        <v>14.5237767160605</v>
      </c>
      <c r="D392" s="5" t="n">
        <f aca="false">C392*LOG(C392)</f>
        <v>16.877784107827</v>
      </c>
      <c r="E392" s="5"/>
      <c r="F392" s="5"/>
      <c r="G392" s="4" t="n">
        <v>391</v>
      </c>
      <c r="H392" s="6" t="n">
        <v>0.609</v>
      </c>
      <c r="J392" s="2" t="n">
        <f aca="false">B392/$B$1003</f>
        <v>0.00113259177067745</v>
      </c>
      <c r="K392" s="5" t="n">
        <f aca="false">J392*LOG(J392,2)</f>
        <v>-0.0110837201284064</v>
      </c>
    </row>
    <row r="393" customFormat="false" ht="13" hidden="false" customHeight="false" outlineLevel="0" collapsed="false">
      <c r="A393" s="4" t="n">
        <v>609</v>
      </c>
      <c r="B393" s="5" t="n">
        <v>14.4775885399072</v>
      </c>
      <c r="C393" s="5" t="n">
        <f aca="false">B393</f>
        <v>14.4775885399072</v>
      </c>
      <c r="D393" s="5" t="n">
        <f aca="false">C393*LOG(C393)</f>
        <v>16.8040824320844</v>
      </c>
      <c r="E393" s="5"/>
      <c r="F393" s="5"/>
      <c r="G393" s="4" t="n">
        <v>392</v>
      </c>
      <c r="H393" s="6" t="n">
        <v>0.608</v>
      </c>
      <c r="J393" s="2" t="n">
        <f aca="false">B393/$B$1003</f>
        <v>0.00112898992872983</v>
      </c>
      <c r="K393" s="5" t="n">
        <f aca="false">J393*LOG(J393,2)</f>
        <v>-0.0110536600280954</v>
      </c>
    </row>
    <row r="394" customFormat="false" ht="13" hidden="false" customHeight="false" outlineLevel="0" collapsed="false">
      <c r="A394" s="4" t="n">
        <v>608</v>
      </c>
      <c r="B394" s="5" t="n">
        <v>14.4486369795741</v>
      </c>
      <c r="C394" s="5" t="n">
        <f aca="false">B394</f>
        <v>14.4486369795741</v>
      </c>
      <c r="D394" s="5" t="n">
        <f aca="false">C394*LOG(C394)</f>
        <v>16.7579175425903</v>
      </c>
      <c r="E394" s="5"/>
      <c r="F394" s="5"/>
      <c r="G394" s="4" t="n">
        <v>393</v>
      </c>
      <c r="H394" s="6" t="n">
        <v>0.607</v>
      </c>
      <c r="J394" s="2" t="n">
        <f aca="false">B394/$B$1003</f>
        <v>0.00112673223091316</v>
      </c>
      <c r="K394" s="5" t="n">
        <f aca="false">J394*LOG(J394,2)</f>
        <v>-0.0110348093799388</v>
      </c>
    </row>
    <row r="395" customFormat="false" ht="13" hidden="false" customHeight="false" outlineLevel="0" collapsed="false">
      <c r="A395" s="4" t="n">
        <v>607</v>
      </c>
      <c r="B395" s="5" t="n">
        <v>14.4469042965786</v>
      </c>
      <c r="C395" s="5" t="n">
        <f aca="false">B395</f>
        <v>14.4469042965786</v>
      </c>
      <c r="D395" s="5" t="n">
        <f aca="false">C395*LOG(C395)</f>
        <v>16.7551554807359</v>
      </c>
      <c r="E395" s="5"/>
      <c r="F395" s="5"/>
      <c r="G395" s="4" t="n">
        <v>394</v>
      </c>
      <c r="H395" s="6" t="n">
        <v>0.606</v>
      </c>
      <c r="J395" s="2" t="n">
        <f aca="false">B395/$B$1003</f>
        <v>0.00112659711299307</v>
      </c>
      <c r="K395" s="5" t="n">
        <f aca="false">J395*LOG(J395,2)</f>
        <v>-0.0110336810059923</v>
      </c>
    </row>
    <row r="396" customFormat="false" ht="13" hidden="false" customHeight="false" outlineLevel="0" collapsed="false">
      <c r="A396" s="4" t="n">
        <v>606</v>
      </c>
      <c r="B396" s="5" t="n">
        <v>14.4205327780803</v>
      </c>
      <c r="C396" s="5" t="n">
        <f aca="false">B396</f>
        <v>14.4205327780803</v>
      </c>
      <c r="D396" s="5" t="n">
        <f aca="false">C396*LOG(C396)</f>
        <v>16.7131279128701</v>
      </c>
      <c r="E396" s="5"/>
      <c r="F396" s="5"/>
      <c r="G396" s="4" t="n">
        <v>395</v>
      </c>
      <c r="H396" s="6" t="n">
        <v>0.605</v>
      </c>
      <c r="J396" s="2" t="n">
        <f aca="false">B396/$B$1003</f>
        <v>0.00112454061175269</v>
      </c>
      <c r="K396" s="5" t="n">
        <f aca="false">J396*LOG(J396,2)</f>
        <v>-0.0110165042128063</v>
      </c>
    </row>
    <row r="397" customFormat="false" ht="13" hidden="false" customHeight="false" outlineLevel="0" collapsed="false">
      <c r="A397" s="4" t="n">
        <v>605</v>
      </c>
      <c r="B397" s="5" t="n">
        <v>14.3934737500705</v>
      </c>
      <c r="C397" s="5" t="n">
        <f aca="false">B397</f>
        <v>14.3934737500705</v>
      </c>
      <c r="D397" s="5" t="n">
        <f aca="false">C397*LOG(C397)</f>
        <v>16.6700264510768</v>
      </c>
      <c r="E397" s="5"/>
      <c r="F397" s="5"/>
      <c r="G397" s="4" t="n">
        <v>396</v>
      </c>
      <c r="H397" s="6" t="n">
        <v>0.604</v>
      </c>
      <c r="J397" s="2" t="n">
        <f aca="false">B397/$B$1003</f>
        <v>0.00112243049721117</v>
      </c>
      <c r="K397" s="5" t="n">
        <f aca="false">J397*LOG(J397,2)</f>
        <v>-0.0109988739781705</v>
      </c>
    </row>
    <row r="398" customFormat="false" ht="13" hidden="false" customHeight="false" outlineLevel="0" collapsed="false">
      <c r="A398" s="4" t="n">
        <v>604</v>
      </c>
      <c r="B398" s="5" t="n">
        <v>14.3906496749702</v>
      </c>
      <c r="C398" s="5" t="n">
        <f aca="false">B398</f>
        <v>14.3906496749702</v>
      </c>
      <c r="D398" s="5" t="n">
        <f aca="false">C398*LOG(C398)</f>
        <v>16.6655293444833</v>
      </c>
      <c r="E398" s="5"/>
      <c r="F398" s="5"/>
      <c r="G398" s="4" t="n">
        <v>397</v>
      </c>
      <c r="H398" s="6" t="n">
        <v>0.603</v>
      </c>
      <c r="J398" s="2" t="n">
        <f aca="false">B398/$B$1003</f>
        <v>0.00112221027045604</v>
      </c>
      <c r="K398" s="5" t="n">
        <f aca="false">J398*LOG(J398,2)</f>
        <v>-0.0109970336302398</v>
      </c>
    </row>
    <row r="399" customFormat="false" ht="13" hidden="false" customHeight="false" outlineLevel="0" collapsed="false">
      <c r="A399" s="4" t="n">
        <v>603</v>
      </c>
      <c r="B399" s="5" t="n">
        <v>14.3825896205982</v>
      </c>
      <c r="C399" s="5" t="n">
        <f aca="false">B399</f>
        <v>14.3825896205982</v>
      </c>
      <c r="D399" s="5" t="n">
        <f aca="false">C399*LOG(C399)</f>
        <v>16.6526956968098</v>
      </c>
      <c r="E399" s="5"/>
      <c r="F399" s="5"/>
      <c r="G399" s="4" t="n">
        <v>398</v>
      </c>
      <c r="H399" s="6" t="n">
        <v>0.602</v>
      </c>
      <c r="J399" s="2" t="n">
        <f aca="false">B399/$B$1003</f>
        <v>0.00112158173206472</v>
      </c>
      <c r="K399" s="5" t="n">
        <f aca="false">J399*LOG(J399,2)</f>
        <v>-0.0109917808404235</v>
      </c>
    </row>
    <row r="400" customFormat="false" ht="13" hidden="false" customHeight="false" outlineLevel="0" collapsed="false">
      <c r="A400" s="4" t="n">
        <v>602</v>
      </c>
      <c r="B400" s="5" t="n">
        <v>14.3448668617967</v>
      </c>
      <c r="C400" s="5" t="n">
        <f aca="false">B400</f>
        <v>14.3448668617967</v>
      </c>
      <c r="D400" s="5" t="n">
        <f aca="false">C400*LOG(C400)</f>
        <v>16.5926576048371</v>
      </c>
      <c r="E400" s="5"/>
      <c r="F400" s="5"/>
      <c r="G400" s="4" t="n">
        <v>399</v>
      </c>
      <c r="H400" s="6" t="n">
        <v>0.601</v>
      </c>
      <c r="J400" s="2" t="n">
        <f aca="false">B400/$B$1003</f>
        <v>0.00111864003948565</v>
      </c>
      <c r="K400" s="5" t="n">
        <f aca="false">J400*LOG(J400,2)</f>
        <v>-0.0109671899139858</v>
      </c>
    </row>
    <row r="401" customFormat="false" ht="13" hidden="false" customHeight="false" outlineLevel="0" collapsed="false">
      <c r="A401" s="4" t="n">
        <v>601</v>
      </c>
      <c r="B401" s="5" t="n">
        <v>14.3373814675697</v>
      </c>
      <c r="C401" s="5" t="n">
        <f aca="false">B401</f>
        <v>14.3373814675697</v>
      </c>
      <c r="D401" s="5" t="n">
        <f aca="false">C401*LOG(C401)</f>
        <v>16.5807492582885</v>
      </c>
      <c r="E401" s="5"/>
      <c r="F401" s="5"/>
      <c r="G401" s="4" t="n">
        <v>400</v>
      </c>
      <c r="H401" s="6" t="n">
        <v>0.6</v>
      </c>
      <c r="J401" s="2" t="n">
        <f aca="false">B401/$B$1003</f>
        <v>0.00111805631418695</v>
      </c>
      <c r="K401" s="5" t="n">
        <f aca="false">J401*LOG(J401,2)</f>
        <v>-0.0109623089665711</v>
      </c>
      <c r="L401" s="2" t="n">
        <f aca="false">SUM(J352:J401)</f>
        <v>0.0582724246269268</v>
      </c>
    </row>
    <row r="402" customFormat="false" ht="13" hidden="false" customHeight="false" outlineLevel="0" collapsed="false">
      <c r="A402" s="4" t="n">
        <v>600</v>
      </c>
      <c r="B402" s="5" t="n">
        <v>14.3290738657012</v>
      </c>
      <c r="C402" s="5" t="n">
        <f aca="false">B402</f>
        <v>14.3290738657012</v>
      </c>
      <c r="D402" s="5" t="n">
        <f aca="false">C402*LOG(C402)</f>
        <v>16.5675348671213</v>
      </c>
      <c r="E402" s="5"/>
      <c r="F402" s="5"/>
      <c r="G402" s="4" t="n">
        <v>401</v>
      </c>
      <c r="H402" s="6" t="n">
        <v>0.599</v>
      </c>
      <c r="J402" s="2" t="n">
        <f aca="false">B402/$B$1003</f>
        <v>0.00111740847157037</v>
      </c>
      <c r="K402" s="5" t="n">
        <f aca="false">J402*LOG(J402,2)</f>
        <v>-0.0109568913733325</v>
      </c>
    </row>
    <row r="403" customFormat="false" ht="13" hidden="false" customHeight="false" outlineLevel="0" collapsed="false">
      <c r="A403" s="4" t="n">
        <v>599</v>
      </c>
      <c r="B403" s="5" t="n">
        <v>14.3201238056294</v>
      </c>
      <c r="C403" s="5" t="n">
        <f aca="false">B403</f>
        <v>14.3201238056294</v>
      </c>
      <c r="D403" s="5" t="n">
        <f aca="false">C403*LOG(C403)</f>
        <v>16.5533008979437</v>
      </c>
      <c r="E403" s="5"/>
      <c r="F403" s="5"/>
      <c r="G403" s="4" t="n">
        <v>402</v>
      </c>
      <c r="H403" s="6" t="n">
        <v>0.598</v>
      </c>
      <c r="J403" s="2" t="n">
        <f aca="false">B403/$B$1003</f>
        <v>0.00111671052883946</v>
      </c>
      <c r="K403" s="5" t="n">
        <f aca="false">J403*LOG(J403,2)</f>
        <v>-0.0109510542107984</v>
      </c>
    </row>
    <row r="404" customFormat="false" ht="13" hidden="false" customHeight="false" outlineLevel="0" collapsed="false">
      <c r="A404" s="4" t="n">
        <v>598</v>
      </c>
      <c r="B404" s="5" t="n">
        <v>14.2961665711476</v>
      </c>
      <c r="C404" s="5" t="n">
        <f aca="false">B404</f>
        <v>14.2961665711476</v>
      </c>
      <c r="D404" s="5" t="n">
        <f aca="false">C404*LOG(C404)</f>
        <v>16.5152118234207</v>
      </c>
      <c r="E404" s="5"/>
      <c r="F404" s="5"/>
      <c r="G404" s="4" t="n">
        <v>403</v>
      </c>
      <c r="H404" s="6" t="n">
        <v>0.597</v>
      </c>
      <c r="J404" s="2" t="n">
        <f aca="false">B404/$B$1003</f>
        <v>0.001114842298065</v>
      </c>
      <c r="K404" s="5" t="n">
        <f aca="false">J404*LOG(J404,2)</f>
        <v>-0.0109354263829266</v>
      </c>
    </row>
    <row r="405" customFormat="false" ht="13" hidden="false" customHeight="false" outlineLevel="0" collapsed="false">
      <c r="A405" s="4" t="n">
        <v>597</v>
      </c>
      <c r="B405" s="5" t="n">
        <v>14.2682105625296</v>
      </c>
      <c r="C405" s="5" t="n">
        <f aca="false">B405</f>
        <v>14.2682105625296</v>
      </c>
      <c r="D405" s="5" t="n">
        <f aca="false">C405*LOG(C405)</f>
        <v>16.4707872327411</v>
      </c>
      <c r="E405" s="5"/>
      <c r="F405" s="5"/>
      <c r="G405" s="4" t="n">
        <v>404</v>
      </c>
      <c r="H405" s="6" t="n">
        <v>0.596</v>
      </c>
      <c r="J405" s="2" t="n">
        <f aca="false">B405/$B$1003</f>
        <v>0.00111266223526724</v>
      </c>
      <c r="K405" s="5" t="n">
        <f aca="false">J405*LOG(J405,2)</f>
        <v>-0.0109171843562447</v>
      </c>
    </row>
    <row r="406" customFormat="false" ht="13" hidden="false" customHeight="false" outlineLevel="0" collapsed="false">
      <c r="A406" s="4" t="n">
        <v>596</v>
      </c>
      <c r="B406" s="5" t="n">
        <v>14.2229336556455</v>
      </c>
      <c r="C406" s="5" t="n">
        <f aca="false">B406</f>
        <v>14.2229336556455</v>
      </c>
      <c r="D406" s="5" t="n">
        <f aca="false">C406*LOG(C406)</f>
        <v>16.3988886730019</v>
      </c>
      <c r="E406" s="5"/>
      <c r="F406" s="5"/>
      <c r="G406" s="4" t="n">
        <v>405</v>
      </c>
      <c r="H406" s="6" t="n">
        <v>0.595</v>
      </c>
      <c r="J406" s="2" t="n">
        <f aca="false">B406/$B$1003</f>
        <v>0.00110913145583285</v>
      </c>
      <c r="K406" s="5" t="n">
        <f aca="false">J406*LOG(J406,2)</f>
        <v>-0.0108876269128923</v>
      </c>
    </row>
    <row r="407" customFormat="false" ht="13" hidden="false" customHeight="false" outlineLevel="0" collapsed="false">
      <c r="A407" s="4" t="n">
        <v>595</v>
      </c>
      <c r="B407" s="5" t="n">
        <v>14.2131369757309</v>
      </c>
      <c r="C407" s="5" t="n">
        <f aca="false">B407</f>
        <v>14.2131369757309</v>
      </c>
      <c r="D407" s="5" t="n">
        <f aca="false">C407*LOG(C407)</f>
        <v>16.3833400286155</v>
      </c>
      <c r="E407" s="5"/>
      <c r="F407" s="5"/>
      <c r="G407" s="4" t="n">
        <v>406</v>
      </c>
      <c r="H407" s="6" t="n">
        <v>0.594</v>
      </c>
      <c r="J407" s="2" t="n">
        <f aca="false">B407/$B$1003</f>
        <v>0.0011083674920741</v>
      </c>
      <c r="K407" s="5" t="n">
        <f aca="false">J407*LOG(J407,2)</f>
        <v>-0.010881229361311</v>
      </c>
    </row>
    <row r="408" customFormat="false" ht="13" hidden="false" customHeight="false" outlineLevel="0" collapsed="false">
      <c r="A408" s="4" t="n">
        <v>594</v>
      </c>
      <c r="B408" s="5" t="n">
        <v>14.203452406168</v>
      </c>
      <c r="C408" s="5" t="n">
        <f aca="false">B408</f>
        <v>14.203452406168</v>
      </c>
      <c r="D408" s="5" t="n">
        <f aca="false">C408*LOG(C408)</f>
        <v>16.3679722008279</v>
      </c>
      <c r="E408" s="5"/>
      <c r="F408" s="5"/>
      <c r="G408" s="4" t="n">
        <v>407</v>
      </c>
      <c r="H408" s="6" t="n">
        <v>0.593</v>
      </c>
      <c r="J408" s="2" t="n">
        <f aca="false">B408/$B$1003</f>
        <v>0.00110761227089411</v>
      </c>
      <c r="K408" s="5" t="n">
        <f aca="false">J408*LOG(J408,2)</f>
        <v>-0.0108749042747497</v>
      </c>
    </row>
    <row r="409" customFormat="false" ht="13" hidden="false" customHeight="false" outlineLevel="0" collapsed="false">
      <c r="A409" s="4" t="n">
        <v>593</v>
      </c>
      <c r="B409" s="5" t="n">
        <v>14.1788288185659</v>
      </c>
      <c r="C409" s="5" t="n">
        <f aca="false">B409</f>
        <v>14.1788288185659</v>
      </c>
      <c r="D409" s="5" t="n">
        <f aca="false">C409*LOG(C409)</f>
        <v>16.3289115149631</v>
      </c>
      <c r="E409" s="5"/>
      <c r="F409" s="5"/>
      <c r="G409" s="4" t="n">
        <v>408</v>
      </c>
      <c r="H409" s="6" t="n">
        <v>0.592</v>
      </c>
      <c r="J409" s="2" t="n">
        <f aca="false">B409/$B$1003</f>
        <v>0.00110569207663417</v>
      </c>
      <c r="K409" s="5" t="n">
        <f aca="false">J409*LOG(J409,2)</f>
        <v>-0.0108588190233072</v>
      </c>
    </row>
    <row r="410" customFormat="false" ht="13" hidden="false" customHeight="false" outlineLevel="0" collapsed="false">
      <c r="A410" s="4" t="n">
        <v>592</v>
      </c>
      <c r="B410" s="5" t="n">
        <v>14.1751207888665</v>
      </c>
      <c r="C410" s="5" t="n">
        <f aca="false">B410</f>
        <v>14.1751207888665</v>
      </c>
      <c r="D410" s="5" t="n">
        <f aca="false">C410*LOG(C410)</f>
        <v>16.3230310320608</v>
      </c>
      <c r="E410" s="5"/>
      <c r="F410" s="5"/>
      <c r="G410" s="4" t="n">
        <v>409</v>
      </c>
      <c r="H410" s="6" t="n">
        <v>0.591</v>
      </c>
      <c r="J410" s="2" t="n">
        <f aca="false">B410/$B$1003</f>
        <v>0.00110540291741581</v>
      </c>
      <c r="K410" s="5" t="n">
        <f aca="false">J410*LOG(J410,2)</f>
        <v>-0.0108563963524622</v>
      </c>
    </row>
    <row r="411" customFormat="false" ht="13" hidden="false" customHeight="false" outlineLevel="0" collapsed="false">
      <c r="A411" s="4" t="n">
        <v>591</v>
      </c>
      <c r="B411" s="5" t="n">
        <v>14.1684883571515</v>
      </c>
      <c r="C411" s="5" t="n">
        <f aca="false">B411</f>
        <v>14.1684883571515</v>
      </c>
      <c r="D411" s="5" t="n">
        <f aca="false">C411*LOG(C411)</f>
        <v>16.3125138548773</v>
      </c>
      <c r="E411" s="5"/>
      <c r="F411" s="5"/>
      <c r="G411" s="4" t="n">
        <v>410</v>
      </c>
      <c r="H411" s="6" t="n">
        <v>0.59</v>
      </c>
      <c r="J411" s="2" t="n">
        <f aca="false">B411/$B$1003</f>
        <v>0.00110488570775838</v>
      </c>
      <c r="K411" s="5" t="n">
        <f aca="false">J411*LOG(J411,2)</f>
        <v>-0.0108520627280047</v>
      </c>
    </row>
    <row r="412" customFormat="false" ht="13" hidden="false" customHeight="false" outlineLevel="0" collapsed="false">
      <c r="A412" s="4" t="n">
        <v>590</v>
      </c>
      <c r="B412" s="5" t="n">
        <v>14.1338425263862</v>
      </c>
      <c r="C412" s="5" t="n">
        <f aca="false">B412</f>
        <v>14.1338425263862</v>
      </c>
      <c r="D412" s="5" t="n">
        <f aca="false">C412*LOG(C412)</f>
        <v>16.2575972134163</v>
      </c>
      <c r="E412" s="5"/>
      <c r="F412" s="5"/>
      <c r="G412" s="4" t="n">
        <v>411</v>
      </c>
      <c r="H412" s="6" t="n">
        <v>0.589</v>
      </c>
      <c r="J412" s="2" t="n">
        <f aca="false">B412/$B$1003</f>
        <v>0.00110218395988795</v>
      </c>
      <c r="K412" s="5" t="n">
        <f aca="false">J412*LOG(J412,2)</f>
        <v>-0.010829419494105</v>
      </c>
    </row>
    <row r="413" customFormat="false" ht="13" hidden="false" customHeight="false" outlineLevel="0" collapsed="false">
      <c r="A413" s="4" t="n">
        <v>589</v>
      </c>
      <c r="B413" s="5" t="n">
        <v>14.1184949597685</v>
      </c>
      <c r="C413" s="5" t="n">
        <f aca="false">B413</f>
        <v>14.1184949597685</v>
      </c>
      <c r="D413" s="5" t="n">
        <f aca="false">C413*LOG(C413)</f>
        <v>16.2332817743174</v>
      </c>
      <c r="E413" s="5"/>
      <c r="F413" s="5"/>
      <c r="G413" s="4" t="n">
        <v>412</v>
      </c>
      <c r="H413" s="6" t="n">
        <v>0.588</v>
      </c>
      <c r="J413" s="2" t="n">
        <f aca="false">B413/$B$1003</f>
        <v>0.00110098712741173</v>
      </c>
      <c r="K413" s="5" t="n">
        <f aca="false">J413*LOG(J413,2)</f>
        <v>-0.0108193858397259</v>
      </c>
    </row>
    <row r="414" customFormat="false" ht="13" hidden="false" customHeight="false" outlineLevel="0" collapsed="false">
      <c r="A414" s="4" t="n">
        <v>588</v>
      </c>
      <c r="B414" s="5" t="n">
        <v>14.1002829101262</v>
      </c>
      <c r="C414" s="5" t="n">
        <f aca="false">B414</f>
        <v>14.1002829101262</v>
      </c>
      <c r="D414" s="5" t="n">
        <f aca="false">C414*LOG(C414)</f>
        <v>16.2044374817044</v>
      </c>
      <c r="E414" s="5"/>
      <c r="F414" s="5"/>
      <c r="G414" s="4" t="n">
        <v>413</v>
      </c>
      <c r="H414" s="6" t="n">
        <v>0.587</v>
      </c>
      <c r="J414" s="2" t="n">
        <f aca="false">B414/$B$1003</f>
        <v>0.00109956691709349</v>
      </c>
      <c r="K414" s="5" t="n">
        <f aca="false">J414*LOG(J414,2)</f>
        <v>-0.010807477060154</v>
      </c>
    </row>
    <row r="415" customFormat="false" ht="13" hidden="false" customHeight="false" outlineLevel="0" collapsed="false">
      <c r="A415" s="4" t="n">
        <v>587</v>
      </c>
      <c r="B415" s="5" t="n">
        <v>14.0961440572923</v>
      </c>
      <c r="C415" s="5" t="n">
        <f aca="false">B415</f>
        <v>14.0961440572923</v>
      </c>
      <c r="D415" s="5" t="n">
        <f aca="false">C415*LOG(C415)</f>
        <v>16.1978837797437</v>
      </c>
      <c r="E415" s="5"/>
      <c r="F415" s="5"/>
      <c r="G415" s="4" t="n">
        <v>414</v>
      </c>
      <c r="H415" s="6" t="n">
        <v>0.586</v>
      </c>
      <c r="J415" s="2" t="n">
        <f aca="false">B415/$B$1003</f>
        <v>0.00109924416146654</v>
      </c>
      <c r="K415" s="5" t="n">
        <f aca="false">J415*LOG(J415,2)</f>
        <v>-0.0108047703134683</v>
      </c>
    </row>
    <row r="416" customFormat="false" ht="13" hidden="false" customHeight="false" outlineLevel="0" collapsed="false">
      <c r="A416" s="4" t="n">
        <v>586</v>
      </c>
      <c r="B416" s="5" t="n">
        <v>14.033990606295</v>
      </c>
      <c r="C416" s="5" t="n">
        <f aca="false">B416</f>
        <v>14.033990606295</v>
      </c>
      <c r="D416" s="5" t="n">
        <f aca="false">C416*LOG(C416)</f>
        <v>16.0995299248365</v>
      </c>
      <c r="E416" s="5"/>
      <c r="F416" s="5"/>
      <c r="G416" s="4" t="n">
        <v>415</v>
      </c>
      <c r="H416" s="6" t="n">
        <v>0.585</v>
      </c>
      <c r="J416" s="2" t="n">
        <f aca="false">B416/$B$1003</f>
        <v>0.0010943973169787</v>
      </c>
      <c r="K416" s="5" t="n">
        <f aca="false">J416*LOG(J416,2)</f>
        <v>-0.010764106438556</v>
      </c>
    </row>
    <row r="417" customFormat="false" ht="13" hidden="false" customHeight="false" outlineLevel="0" collapsed="false">
      <c r="A417" s="4" t="n">
        <v>585</v>
      </c>
      <c r="B417" s="5" t="n">
        <v>14.0247776908332</v>
      </c>
      <c r="C417" s="5" t="n">
        <f aca="false">B417</f>
        <v>14.0247776908332</v>
      </c>
      <c r="D417" s="5" t="n">
        <f aca="false">C417*LOG(C417)</f>
        <v>16.0849612368423</v>
      </c>
      <c r="E417" s="5"/>
      <c r="F417" s="5"/>
      <c r="G417" s="4" t="n">
        <v>416</v>
      </c>
      <c r="H417" s="6" t="n">
        <v>0.584</v>
      </c>
      <c r="J417" s="2" t="n">
        <f aca="false">B417/$B$1003</f>
        <v>0.00109367887628383</v>
      </c>
      <c r="K417" s="5" t="n">
        <f aca="false">J417*LOG(J417,2)</f>
        <v>-0.0107580762595377</v>
      </c>
    </row>
    <row r="418" customFormat="false" ht="13" hidden="false" customHeight="false" outlineLevel="0" collapsed="false">
      <c r="A418" s="4" t="n">
        <v>584</v>
      </c>
      <c r="B418" s="5" t="n">
        <v>14.0200326797351</v>
      </c>
      <c r="C418" s="5" t="n">
        <f aca="false">B418</f>
        <v>14.0200326797351</v>
      </c>
      <c r="D418" s="5" t="n">
        <f aca="false">C418*LOG(C418)</f>
        <v>16.077458819168</v>
      </c>
      <c r="E418" s="5"/>
      <c r="F418" s="5"/>
      <c r="G418" s="4" t="n">
        <v>417</v>
      </c>
      <c r="H418" s="6" t="n">
        <v>0.583</v>
      </c>
      <c r="J418" s="2" t="n">
        <f aca="false">B418/$B$1003</f>
        <v>0.00109330885128094</v>
      </c>
      <c r="K418" s="5" t="n">
        <f aca="false">J418*LOG(J418,2)</f>
        <v>-0.0107549702163331</v>
      </c>
    </row>
    <row r="419" customFormat="false" ht="13" hidden="false" customHeight="false" outlineLevel="0" collapsed="false">
      <c r="A419" s="4" t="n">
        <v>583</v>
      </c>
      <c r="B419" s="5" t="n">
        <v>14.0168992845969</v>
      </c>
      <c r="C419" s="5" t="n">
        <f aca="false">B419</f>
        <v>14.0168992845969</v>
      </c>
      <c r="D419" s="5" t="n">
        <f aca="false">C419*LOG(C419)</f>
        <v>16.0725049372058</v>
      </c>
      <c r="E419" s="5"/>
      <c r="F419" s="5"/>
      <c r="G419" s="4" t="n">
        <v>418</v>
      </c>
      <c r="H419" s="6" t="n">
        <v>0.582</v>
      </c>
      <c r="J419" s="2" t="n">
        <f aca="false">B419/$B$1003</f>
        <v>0.00109306450316011</v>
      </c>
      <c r="K419" s="5" t="n">
        <f aca="false">J419*LOG(J419,2)</f>
        <v>-0.0107529190239464</v>
      </c>
    </row>
    <row r="420" customFormat="false" ht="13" hidden="false" customHeight="false" outlineLevel="0" collapsed="false">
      <c r="A420" s="4" t="n">
        <v>582</v>
      </c>
      <c r="B420" s="5" t="n">
        <v>13.9711462108438</v>
      </c>
      <c r="C420" s="5" t="n">
        <f aca="false">B420</f>
        <v>13.9711462108438</v>
      </c>
      <c r="D420" s="5" t="n">
        <f aca="false">C420*LOG(C420)</f>
        <v>16.0002042434196</v>
      </c>
      <c r="E420" s="5"/>
      <c r="F420" s="5"/>
      <c r="G420" s="4" t="n">
        <v>419</v>
      </c>
      <c r="H420" s="6" t="n">
        <v>0.581</v>
      </c>
      <c r="J420" s="2" t="n">
        <f aca="false">B420/$B$1003</f>
        <v>0.00108949659132637</v>
      </c>
      <c r="K420" s="5" t="n">
        <f aca="false">J420*LOG(J420,2)</f>
        <v>-0.0107229590262033</v>
      </c>
    </row>
    <row r="421" customFormat="false" ht="13" hidden="false" customHeight="false" outlineLevel="0" collapsed="false">
      <c r="A421" s="4" t="n">
        <v>581</v>
      </c>
      <c r="B421" s="5" t="n">
        <v>13.9591131643605</v>
      </c>
      <c r="C421" s="5" t="n">
        <f aca="false">B421</f>
        <v>13.9591131643605</v>
      </c>
      <c r="D421" s="5" t="n">
        <f aca="false">C421*LOG(C421)</f>
        <v>15.9811999785057</v>
      </c>
      <c r="E421" s="5"/>
      <c r="F421" s="5"/>
      <c r="G421" s="4" t="n">
        <v>420</v>
      </c>
      <c r="H421" s="6" t="n">
        <v>0.58</v>
      </c>
      <c r="J421" s="2" t="n">
        <f aca="false">B421/$B$1003</f>
        <v>0.00108855823144315</v>
      </c>
      <c r="K421" s="5" t="n">
        <f aca="false">J421*LOG(J421,2)</f>
        <v>-0.0107150767571854</v>
      </c>
    </row>
    <row r="422" customFormat="false" ht="13" hidden="false" customHeight="false" outlineLevel="0" collapsed="false">
      <c r="A422" s="4" t="n">
        <v>580</v>
      </c>
      <c r="B422" s="5" t="n">
        <v>13.9507087975907</v>
      </c>
      <c r="C422" s="5" t="n">
        <f aca="false">B422</f>
        <v>13.9507087975907</v>
      </c>
      <c r="D422" s="5" t="n">
        <f aca="false">C422*LOG(C422)</f>
        <v>15.9679293022974</v>
      </c>
      <c r="E422" s="5"/>
      <c r="F422" s="5"/>
      <c r="G422" s="4" t="n">
        <v>421</v>
      </c>
      <c r="H422" s="6" t="n">
        <v>0.579</v>
      </c>
      <c r="J422" s="2" t="n">
        <f aca="false">B422/$B$1003</f>
        <v>0.00108790284291526</v>
      </c>
      <c r="K422" s="5" t="n">
        <f aca="false">J422*LOG(J422,2)</f>
        <v>-0.0107095707693157</v>
      </c>
    </row>
    <row r="423" customFormat="false" ht="13" hidden="false" customHeight="false" outlineLevel="0" collapsed="false">
      <c r="A423" s="4" t="n">
        <v>579</v>
      </c>
      <c r="B423" s="5" t="n">
        <v>13.9418851192358</v>
      </c>
      <c r="C423" s="5" t="n">
        <f aca="false">B423</f>
        <v>13.9418851192358</v>
      </c>
      <c r="D423" s="5" t="n">
        <f aca="false">C423*LOG(C423)</f>
        <v>15.9539988902438</v>
      </c>
      <c r="E423" s="5"/>
      <c r="F423" s="5"/>
      <c r="G423" s="4" t="n">
        <v>422</v>
      </c>
      <c r="H423" s="6" t="n">
        <v>0.578</v>
      </c>
      <c r="J423" s="2" t="n">
        <f aca="false">B423/$B$1003</f>
        <v>0.00108721475567135</v>
      </c>
      <c r="K423" s="5" t="n">
        <f aca="false">J423*LOG(J423,2)</f>
        <v>-0.0107037894631376</v>
      </c>
    </row>
    <row r="424" customFormat="false" ht="13" hidden="false" customHeight="false" outlineLevel="0" collapsed="false">
      <c r="A424" s="4" t="n">
        <v>578</v>
      </c>
      <c r="B424" s="5" t="n">
        <v>13.9345279274001</v>
      </c>
      <c r="C424" s="5" t="n">
        <f aca="false">B424</f>
        <v>13.9345279274001</v>
      </c>
      <c r="D424" s="5" t="n">
        <f aca="false">C424*LOG(C424)</f>
        <v>15.9423855528366</v>
      </c>
      <c r="E424" s="5"/>
      <c r="F424" s="5"/>
      <c r="G424" s="4" t="n">
        <v>423</v>
      </c>
      <c r="H424" s="6" t="n">
        <v>0.577</v>
      </c>
      <c r="J424" s="2" t="n">
        <f aca="false">B424/$B$1003</f>
        <v>0.0010866410278393</v>
      </c>
      <c r="K424" s="5" t="n">
        <f aca="false">J424*LOG(J424,2)</f>
        <v>-0.0106989685239618</v>
      </c>
    </row>
    <row r="425" customFormat="false" ht="13" hidden="false" customHeight="false" outlineLevel="0" collapsed="false">
      <c r="A425" s="4" t="n">
        <v>577</v>
      </c>
      <c r="B425" s="5" t="n">
        <v>13.9099053097737</v>
      </c>
      <c r="C425" s="5" t="n">
        <f aca="false">B425</f>
        <v>13.9099053097737</v>
      </c>
      <c r="D425" s="5" t="n">
        <f aca="false">C425*LOG(C425)</f>
        <v>15.9035309929819</v>
      </c>
      <c r="E425" s="5"/>
      <c r="F425" s="5"/>
      <c r="G425" s="4" t="n">
        <v>424</v>
      </c>
      <c r="H425" s="6" t="n">
        <v>0.576</v>
      </c>
      <c r="J425" s="2" t="n">
        <f aca="false">B425/$B$1003</f>
        <v>0.00108472090921992</v>
      </c>
      <c r="K425" s="5" t="n">
        <f aca="false">J425*LOG(J425,2)</f>
        <v>-0.0106828309077476</v>
      </c>
    </row>
    <row r="426" customFormat="false" ht="13" hidden="false" customHeight="false" outlineLevel="0" collapsed="false">
      <c r="A426" s="4" t="n">
        <v>576</v>
      </c>
      <c r="B426" s="5" t="n">
        <v>13.9059336620789</v>
      </c>
      <c r="C426" s="5" t="n">
        <f aca="false">B426</f>
        <v>13.9059336620789</v>
      </c>
      <c r="D426" s="5" t="n">
        <f aca="false">C426*LOG(C426)</f>
        <v>15.8972654937564</v>
      </c>
      <c r="E426" s="5"/>
      <c r="F426" s="5"/>
      <c r="G426" s="4" t="n">
        <v>425</v>
      </c>
      <c r="H426" s="6" t="n">
        <v>0.575</v>
      </c>
      <c r="J426" s="2" t="n">
        <f aca="false">B426/$B$1003</f>
        <v>0.00108441119256818</v>
      </c>
      <c r="K426" s="5" t="n">
        <f aca="false">J426*LOG(J426,2)</f>
        <v>-0.0106802274384521</v>
      </c>
    </row>
    <row r="427" customFormat="false" ht="13" hidden="false" customHeight="false" outlineLevel="0" collapsed="false">
      <c r="A427" s="4" t="n">
        <v>575</v>
      </c>
      <c r="B427" s="5" t="n">
        <v>13.9049579984125</v>
      </c>
      <c r="C427" s="5" t="n">
        <f aca="false">B427</f>
        <v>13.9049579984125</v>
      </c>
      <c r="D427" s="5" t="n">
        <f aca="false">C427*LOG(C427)</f>
        <v>15.8957264044218</v>
      </c>
      <c r="E427" s="5"/>
      <c r="F427" s="5"/>
      <c r="G427" s="4" t="n">
        <v>426</v>
      </c>
      <c r="H427" s="6" t="n">
        <v>0.574</v>
      </c>
      <c r="J427" s="2" t="n">
        <f aca="false">B427/$B$1003</f>
        <v>0.0010843351084572</v>
      </c>
      <c r="K427" s="5" t="n">
        <f aca="false">J427*LOG(J427,2)</f>
        <v>-0.010679587858072</v>
      </c>
    </row>
    <row r="428" customFormat="false" ht="13" hidden="false" customHeight="false" outlineLevel="0" collapsed="false">
      <c r="A428" s="4" t="n">
        <v>574</v>
      </c>
      <c r="B428" s="5" t="n">
        <v>13.8963071002494</v>
      </c>
      <c r="C428" s="5" t="n">
        <f aca="false">B428</f>
        <v>13.8963071002494</v>
      </c>
      <c r="D428" s="5" t="n">
        <f aca="false">C428*LOG(C428)</f>
        <v>15.8820810915426</v>
      </c>
      <c r="E428" s="5"/>
      <c r="F428" s="5"/>
      <c r="G428" s="4" t="n">
        <v>427</v>
      </c>
      <c r="H428" s="6" t="n">
        <v>0.573</v>
      </c>
      <c r="J428" s="2" t="n">
        <f aca="false">B428/$B$1003</f>
        <v>0.00108366049494172</v>
      </c>
      <c r="K428" s="5" t="n">
        <f aca="false">J428*LOG(J428,2)</f>
        <v>-0.0106739165661226</v>
      </c>
    </row>
    <row r="429" customFormat="false" ht="13" hidden="false" customHeight="false" outlineLevel="0" collapsed="false">
      <c r="A429" s="4" t="n">
        <v>573</v>
      </c>
      <c r="B429" s="5" t="n">
        <v>13.8710426963366</v>
      </c>
      <c r="C429" s="5" t="n">
        <f aca="false">B429</f>
        <v>13.8710426963366</v>
      </c>
      <c r="D429" s="5" t="n">
        <f aca="false">C429*LOG(C429)</f>
        <v>15.8422442083148</v>
      </c>
      <c r="E429" s="5"/>
      <c r="F429" s="5"/>
      <c r="G429" s="4" t="n">
        <v>428</v>
      </c>
      <c r="H429" s="6" t="n">
        <v>0.572</v>
      </c>
      <c r="J429" s="2" t="n">
        <f aca="false">B429/$B$1003</f>
        <v>0.00108169032860537</v>
      </c>
      <c r="K429" s="5" t="n">
        <f aca="false">J429*LOG(J429,2)</f>
        <v>-0.0106573504448293</v>
      </c>
    </row>
    <row r="430" customFormat="false" ht="13" hidden="false" customHeight="false" outlineLevel="0" collapsed="false">
      <c r="A430" s="4" t="n">
        <v>572</v>
      </c>
      <c r="B430" s="5" t="n">
        <v>13.8564629630875</v>
      </c>
      <c r="C430" s="5" t="n">
        <f aca="false">B430</f>
        <v>13.8564629630875</v>
      </c>
      <c r="D430" s="5" t="n">
        <f aca="false">C430*LOG(C430)</f>
        <v>15.8192639933413</v>
      </c>
      <c r="E430" s="5"/>
      <c r="F430" s="5"/>
      <c r="G430" s="4" t="n">
        <v>429</v>
      </c>
      <c r="H430" s="6" t="n">
        <v>0.571</v>
      </c>
      <c r="J430" s="2" t="n">
        <f aca="false">B430/$B$1003</f>
        <v>0.00108055337323766</v>
      </c>
      <c r="K430" s="5" t="n">
        <f aca="false">J430*LOG(J430,2)</f>
        <v>-0.010647788013293</v>
      </c>
    </row>
    <row r="431" customFormat="false" ht="13" hidden="false" customHeight="false" outlineLevel="0" collapsed="false">
      <c r="A431" s="4" t="n">
        <v>571</v>
      </c>
      <c r="B431" s="5" t="n">
        <v>13.8393657873285</v>
      </c>
      <c r="C431" s="5" t="n">
        <f aca="false">B431</f>
        <v>13.8393657873285</v>
      </c>
      <c r="D431" s="5" t="n">
        <f aca="false">C431*LOG(C431)</f>
        <v>15.7923243355502</v>
      </c>
      <c r="E431" s="5"/>
      <c r="F431" s="5"/>
      <c r="G431" s="4" t="n">
        <v>430</v>
      </c>
      <c r="H431" s="6" t="n">
        <v>0.57</v>
      </c>
      <c r="J431" s="2" t="n">
        <f aca="false">B431/$B$1003</f>
        <v>0.00107922010290826</v>
      </c>
      <c r="K431" s="5" t="n">
        <f aca="false">J431*LOG(J431,2)</f>
        <v>-0.0106365722641892</v>
      </c>
    </row>
    <row r="432" customFormat="false" ht="13" hidden="false" customHeight="false" outlineLevel="0" collapsed="false">
      <c r="A432" s="4" t="n">
        <v>570</v>
      </c>
      <c r="B432" s="5" t="n">
        <v>13.817262942092</v>
      </c>
      <c r="C432" s="5" t="n">
        <f aca="false">B432</f>
        <v>13.817262942092</v>
      </c>
      <c r="D432" s="5" t="n">
        <f aca="false">C432*LOG(C432)</f>
        <v>15.7575109468013</v>
      </c>
      <c r="E432" s="5"/>
      <c r="F432" s="5"/>
      <c r="G432" s="4" t="n">
        <v>431</v>
      </c>
      <c r="H432" s="6" t="n">
        <v>0.569</v>
      </c>
      <c r="J432" s="2" t="n">
        <f aca="false">B432/$B$1003</f>
        <v>0.00107749648093907</v>
      </c>
      <c r="K432" s="5" t="n">
        <f aca="false">J432*LOG(J432,2)</f>
        <v>-0.0106220692732187</v>
      </c>
    </row>
    <row r="433" customFormat="false" ht="13" hidden="false" customHeight="false" outlineLevel="0" collapsed="false">
      <c r="A433" s="4" t="n">
        <v>569</v>
      </c>
      <c r="B433" s="5" t="n">
        <v>13.7826408285453</v>
      </c>
      <c r="C433" s="5" t="n">
        <f aca="false">B433</f>
        <v>13.7826408285453</v>
      </c>
      <c r="D433" s="5" t="n">
        <f aca="false">C433*LOG(C433)</f>
        <v>15.7030097871455</v>
      </c>
      <c r="E433" s="5"/>
      <c r="F433" s="5"/>
      <c r="G433" s="4" t="n">
        <v>432</v>
      </c>
      <c r="H433" s="6" t="n">
        <v>0.568</v>
      </c>
      <c r="J433" s="2" t="n">
        <f aca="false">B433/$B$1003</f>
        <v>0.00107479658258252</v>
      </c>
      <c r="K433" s="5" t="n">
        <f aca="false">J433*LOG(J433,2)</f>
        <v>-0.0105993436480342</v>
      </c>
    </row>
    <row r="434" customFormat="false" ht="13" hidden="false" customHeight="false" outlineLevel="0" collapsed="false">
      <c r="A434" s="4" t="n">
        <v>568</v>
      </c>
      <c r="B434" s="5" t="n">
        <v>13.7697438615959</v>
      </c>
      <c r="C434" s="5" t="n">
        <f aca="false">B434</f>
        <v>13.7697438615959</v>
      </c>
      <c r="D434" s="5" t="n">
        <f aca="false">C434*LOG(C434)</f>
        <v>15.6827173941551</v>
      </c>
      <c r="E434" s="5"/>
      <c r="F434" s="5"/>
      <c r="G434" s="4" t="n">
        <v>433</v>
      </c>
      <c r="H434" s="6" t="n">
        <v>0.567</v>
      </c>
      <c r="J434" s="2" t="n">
        <f aca="false">B434/$B$1003</f>
        <v>0.00107379085253592</v>
      </c>
      <c r="K434" s="5" t="n">
        <f aca="false">J434*LOG(J434,2)</f>
        <v>-0.0105908757019474</v>
      </c>
    </row>
    <row r="435" customFormat="false" ht="13" hidden="false" customHeight="false" outlineLevel="0" collapsed="false">
      <c r="A435" s="4" t="n">
        <v>567</v>
      </c>
      <c r="B435" s="5" t="n">
        <v>13.7266263126603</v>
      </c>
      <c r="C435" s="5" t="n">
        <f aca="false">B435</f>
        <v>13.7266263126603</v>
      </c>
      <c r="D435" s="5" t="n">
        <f aca="false">C435*LOG(C435)</f>
        <v>15.6149133378005</v>
      </c>
      <c r="E435" s="5"/>
      <c r="F435" s="5"/>
      <c r="G435" s="4" t="n">
        <v>434</v>
      </c>
      <c r="H435" s="6" t="n">
        <v>0.566</v>
      </c>
      <c r="J435" s="2" t="n">
        <f aca="false">B435/$B$1003</f>
        <v>0.00107042846394712</v>
      </c>
      <c r="K435" s="5" t="n">
        <f aca="false">J435*LOG(J435,2)</f>
        <v>-0.010562555522204</v>
      </c>
    </row>
    <row r="436" customFormat="false" ht="13" hidden="false" customHeight="false" outlineLevel="0" collapsed="false">
      <c r="A436" s="4" t="n">
        <v>566</v>
      </c>
      <c r="B436" s="5" t="n">
        <v>13.691211111372</v>
      </c>
      <c r="C436" s="5" t="n">
        <f aca="false">B436</f>
        <v>13.691211111372</v>
      </c>
      <c r="D436" s="5" t="n">
        <f aca="false">C436*LOG(C436)</f>
        <v>15.5592655183446</v>
      </c>
      <c r="E436" s="5"/>
      <c r="F436" s="5"/>
      <c r="G436" s="4" t="n">
        <v>435</v>
      </c>
      <c r="H436" s="6" t="n">
        <v>0.565</v>
      </c>
      <c r="J436" s="2" t="n">
        <f aca="false">B436/$B$1003</f>
        <v>0.00106766671909796</v>
      </c>
      <c r="K436" s="5" t="n">
        <f aca="false">J436*LOG(J436,2)</f>
        <v>-0.0105392829513331</v>
      </c>
    </row>
    <row r="437" customFormat="false" ht="13" hidden="false" customHeight="false" outlineLevel="0" collapsed="false">
      <c r="A437" s="4" t="n">
        <v>565</v>
      </c>
      <c r="B437" s="5" t="n">
        <v>13.6834712726676</v>
      </c>
      <c r="C437" s="5" t="n">
        <f aca="false">B437</f>
        <v>13.6834712726676</v>
      </c>
      <c r="D437" s="5" t="n">
        <f aca="false">C437*LOG(C437)</f>
        <v>15.5471092226503</v>
      </c>
      <c r="E437" s="5"/>
      <c r="F437" s="5"/>
      <c r="G437" s="4" t="n">
        <v>436</v>
      </c>
      <c r="H437" s="6" t="n">
        <v>0.564</v>
      </c>
      <c r="J437" s="2" t="n">
        <f aca="false">B437/$B$1003</f>
        <v>0.00106706315173429</v>
      </c>
      <c r="K437" s="5" t="n">
        <f aca="false">J437*LOG(J437,2)</f>
        <v>-0.010534195460453</v>
      </c>
    </row>
    <row r="438" customFormat="false" ht="13" hidden="false" customHeight="false" outlineLevel="0" collapsed="false">
      <c r="A438" s="4" t="n">
        <v>564</v>
      </c>
      <c r="B438" s="5" t="n">
        <v>13.6647407754599</v>
      </c>
      <c r="C438" s="5" t="n">
        <f aca="false">B438</f>
        <v>13.6647407754599</v>
      </c>
      <c r="D438" s="5" t="n">
        <f aca="false">C438*LOG(C438)</f>
        <v>15.5176987197268</v>
      </c>
      <c r="E438" s="5"/>
      <c r="F438" s="5"/>
      <c r="G438" s="4" t="n">
        <v>437</v>
      </c>
      <c r="H438" s="6" t="n">
        <v>0.563</v>
      </c>
      <c r="J438" s="2" t="n">
        <f aca="false">B438/$B$1003</f>
        <v>0.00106560251188745</v>
      </c>
      <c r="K438" s="5" t="n">
        <f aca="false">J438*LOG(J438,2)</f>
        <v>-0.0105218816362147</v>
      </c>
    </row>
    <row r="439" customFormat="false" ht="13" hidden="false" customHeight="false" outlineLevel="0" collapsed="false">
      <c r="A439" s="4" t="n">
        <v>563</v>
      </c>
      <c r="B439" s="5" t="n">
        <v>13.6358791785342</v>
      </c>
      <c r="C439" s="5" t="n">
        <f aca="false">B439</f>
        <v>13.6358791785342</v>
      </c>
      <c r="D439" s="5" t="n">
        <f aca="false">C439*LOG(C439)</f>
        <v>15.4724022640962</v>
      </c>
      <c r="E439" s="5"/>
      <c r="F439" s="5"/>
      <c r="G439" s="4" t="n">
        <v>438</v>
      </c>
      <c r="H439" s="6" t="n">
        <v>0.562</v>
      </c>
      <c r="J439" s="2" t="n">
        <f aca="false">B439/$B$1003</f>
        <v>0.00106335182958864</v>
      </c>
      <c r="K439" s="5" t="n">
        <f aca="false">J439*LOG(J439,2)</f>
        <v>-0.0105029017572948</v>
      </c>
    </row>
    <row r="440" customFormat="false" ht="13" hidden="false" customHeight="false" outlineLevel="0" collapsed="false">
      <c r="A440" s="4" t="n">
        <v>562</v>
      </c>
      <c r="B440" s="5" t="n">
        <v>13.6145536755387</v>
      </c>
      <c r="C440" s="5" t="n">
        <f aca="false">B440</f>
        <v>13.6145536755387</v>
      </c>
      <c r="D440" s="5" t="n">
        <f aca="false">C440*LOG(C440)</f>
        <v>15.4389502729902</v>
      </c>
      <c r="E440" s="5"/>
      <c r="F440" s="5"/>
      <c r="G440" s="4" t="n">
        <v>439</v>
      </c>
      <c r="H440" s="6" t="n">
        <v>0.561</v>
      </c>
      <c r="J440" s="2" t="n">
        <f aca="false">B440/$B$1003</f>
        <v>0.00106168882624795</v>
      </c>
      <c r="K440" s="5" t="n">
        <f aca="false">J440*LOG(J440,2)</f>
        <v>-0.0104888733280632</v>
      </c>
    </row>
    <row r="441" customFormat="false" ht="13" hidden="false" customHeight="false" outlineLevel="0" collapsed="false">
      <c r="A441" s="4" t="n">
        <v>561</v>
      </c>
      <c r="B441" s="5" t="n">
        <v>13.576563789716</v>
      </c>
      <c r="C441" s="5" t="n">
        <f aca="false">B441</f>
        <v>13.576563789716</v>
      </c>
      <c r="D441" s="5" t="n">
        <f aca="false">C441*LOG(C441)</f>
        <v>15.379393855662</v>
      </c>
      <c r="E441" s="5"/>
      <c r="F441" s="5"/>
      <c r="G441" s="4" t="n">
        <v>440</v>
      </c>
      <c r="H441" s="6" t="n">
        <v>0.56</v>
      </c>
      <c r="J441" s="2" t="n">
        <f aca="false">B441/$B$1003</f>
        <v>0.00105872630259498</v>
      </c>
      <c r="K441" s="5" t="n">
        <f aca="false">J441*LOG(J441,2)</f>
        <v>-0.0104638733524015</v>
      </c>
    </row>
    <row r="442" customFormat="false" ht="13" hidden="false" customHeight="false" outlineLevel="0" collapsed="false">
      <c r="A442" s="4" t="n">
        <v>560</v>
      </c>
      <c r="B442" s="5" t="n">
        <v>13.5262090557982</v>
      </c>
      <c r="C442" s="5" t="n">
        <f aca="false">B442</f>
        <v>13.5262090557982</v>
      </c>
      <c r="D442" s="5" t="n">
        <f aca="false">C442*LOG(C442)</f>
        <v>15.3005243456656</v>
      </c>
      <c r="E442" s="5"/>
      <c r="F442" s="5"/>
      <c r="G442" s="4" t="n">
        <v>441</v>
      </c>
      <c r="H442" s="6" t="n">
        <v>0.559</v>
      </c>
      <c r="J442" s="2" t="n">
        <f aca="false">B442/$B$1003</f>
        <v>0.00105479954453715</v>
      </c>
      <c r="K442" s="5" t="n">
        <f aca="false">J442*LOG(J442,2)</f>
        <v>-0.0104307180129504</v>
      </c>
    </row>
    <row r="443" customFormat="false" ht="13" hidden="false" customHeight="false" outlineLevel="0" collapsed="false">
      <c r="A443" s="4" t="n">
        <v>559</v>
      </c>
      <c r="B443" s="5" t="n">
        <v>13.5070309481013</v>
      </c>
      <c r="C443" s="5" t="n">
        <f aca="false">B443</f>
        <v>13.5070309481013</v>
      </c>
      <c r="D443" s="5" t="n">
        <f aca="false">C443*LOG(C443)</f>
        <v>15.2705074897196</v>
      </c>
      <c r="E443" s="5"/>
      <c r="F443" s="5"/>
      <c r="G443" s="4" t="n">
        <v>442</v>
      </c>
      <c r="H443" s="6" t="n">
        <v>0.558</v>
      </c>
      <c r="J443" s="2" t="n">
        <f aca="false">B443/$B$1003</f>
        <v>0.00105330399917183</v>
      </c>
      <c r="K443" s="5" t="n">
        <f aca="false">J443*LOG(J443,2)</f>
        <v>-0.0104180849264366</v>
      </c>
    </row>
    <row r="444" customFormat="false" ht="13" hidden="false" customHeight="false" outlineLevel="0" collapsed="false">
      <c r="A444" s="4" t="n">
        <v>558</v>
      </c>
      <c r="B444" s="5" t="n">
        <v>13.4848282149954</v>
      </c>
      <c r="C444" s="5" t="n">
        <f aca="false">B444</f>
        <v>13.4848282149954</v>
      </c>
      <c r="D444" s="5" t="n">
        <f aca="false">C444*LOG(C444)</f>
        <v>15.2357713751334</v>
      </c>
      <c r="E444" s="5"/>
      <c r="F444" s="5"/>
      <c r="G444" s="4" t="n">
        <v>443</v>
      </c>
      <c r="H444" s="6" t="n">
        <v>0.557</v>
      </c>
      <c r="J444" s="2" t="n">
        <f aca="false">B444/$B$1003</f>
        <v>0.00105157258775634</v>
      </c>
      <c r="K444" s="5" t="n">
        <f aca="false">J444*LOG(J444,2)</f>
        <v>-0.0104034556188852</v>
      </c>
    </row>
    <row r="445" customFormat="false" ht="13" hidden="false" customHeight="false" outlineLevel="0" collapsed="false">
      <c r="A445" s="4" t="n">
        <v>557</v>
      </c>
      <c r="B445" s="5" t="n">
        <v>13.4525284213538</v>
      </c>
      <c r="C445" s="5" t="n">
        <f aca="false">B445</f>
        <v>13.4525284213538</v>
      </c>
      <c r="D445" s="5" t="n">
        <f aca="false">C445*LOG(C445)</f>
        <v>15.1852667925257</v>
      </c>
      <c r="E445" s="5"/>
      <c r="F445" s="5"/>
      <c r="G445" s="4" t="n">
        <v>444</v>
      </c>
      <c r="H445" s="6" t="n">
        <v>0.556</v>
      </c>
      <c r="J445" s="2" t="n">
        <f aca="false">B445/$B$1003</f>
        <v>0.00104905378832914</v>
      </c>
      <c r="K445" s="5" t="n">
        <f aca="false">J445*LOG(J445,2)</f>
        <v>-0.0103821660460334</v>
      </c>
    </row>
    <row r="446" customFormat="false" ht="13" hidden="false" customHeight="false" outlineLevel="0" collapsed="false">
      <c r="A446" s="4" t="n">
        <v>556</v>
      </c>
      <c r="B446" s="5" t="n">
        <v>13.4006110485253</v>
      </c>
      <c r="C446" s="5" t="n">
        <f aca="false">B446</f>
        <v>13.4006110485253</v>
      </c>
      <c r="D446" s="5" t="n">
        <f aca="false">C446*LOG(C446)</f>
        <v>15.1041583948665</v>
      </c>
      <c r="E446" s="5"/>
      <c r="F446" s="5"/>
      <c r="G446" s="4" t="n">
        <v>445</v>
      </c>
      <c r="H446" s="6" t="n">
        <v>0.555</v>
      </c>
      <c r="J446" s="2" t="n">
        <f aca="false">B446/$B$1003</f>
        <v>0.00104500517271281</v>
      </c>
      <c r="K446" s="5" t="n">
        <f aca="false">J446*LOG(J446,2)</f>
        <v>-0.0103479277617539</v>
      </c>
    </row>
    <row r="447" customFormat="false" ht="13" hidden="false" customHeight="false" outlineLevel="0" collapsed="false">
      <c r="A447" s="4" t="n">
        <v>555</v>
      </c>
      <c r="B447" s="5" t="n">
        <v>13.3525225738883</v>
      </c>
      <c r="C447" s="5" t="n">
        <f aca="false">B447</f>
        <v>13.3525225738883</v>
      </c>
      <c r="D447" s="5" t="n">
        <f aca="false">C447*LOG(C447)</f>
        <v>15.0291096501738</v>
      </c>
      <c r="E447" s="5"/>
      <c r="F447" s="5"/>
      <c r="G447" s="4" t="n">
        <v>446</v>
      </c>
      <c r="H447" s="6" t="n">
        <v>0.554</v>
      </c>
      <c r="J447" s="2" t="n">
        <f aca="false">B447/$B$1003</f>
        <v>0.00104125514187007</v>
      </c>
      <c r="K447" s="5" t="n">
        <f aca="false">J447*LOG(J447,2)</f>
        <v>-0.0103161943601138</v>
      </c>
    </row>
    <row r="448" customFormat="false" ht="13" hidden="false" customHeight="false" outlineLevel="0" collapsed="false">
      <c r="A448" s="4" t="n">
        <v>554</v>
      </c>
      <c r="B448" s="5" t="n">
        <v>13.3334732454493</v>
      </c>
      <c r="C448" s="5" t="n">
        <f aca="false">B448</f>
        <v>13.3334732454493</v>
      </c>
      <c r="D448" s="5" t="n">
        <f aca="false">C448*LOG(C448)</f>
        <v>14.999401310715</v>
      </c>
      <c r="E448" s="5"/>
      <c r="F448" s="5"/>
      <c r="G448" s="4" t="n">
        <v>447</v>
      </c>
      <c r="H448" s="6" t="n">
        <v>0.553</v>
      </c>
      <c r="J448" s="2" t="n">
        <f aca="false">B448/$B$1003</f>
        <v>0.00103976963895655</v>
      </c>
      <c r="K448" s="5" t="n">
        <f aca="false">J448*LOG(J448,2)</f>
        <v>-0.010303618396647</v>
      </c>
    </row>
    <row r="449" customFormat="false" ht="13" hidden="false" customHeight="false" outlineLevel="0" collapsed="false">
      <c r="A449" s="4" t="n">
        <v>553</v>
      </c>
      <c r="B449" s="5" t="n">
        <v>13.3058382433886</v>
      </c>
      <c r="C449" s="5" t="n">
        <f aca="false">B449</f>
        <v>13.3058382433886</v>
      </c>
      <c r="D449" s="5" t="n">
        <f aca="false">C449*LOG(C449)</f>
        <v>14.9563242175835</v>
      </c>
      <c r="E449" s="5"/>
      <c r="F449" s="5"/>
      <c r="G449" s="4" t="n">
        <v>448</v>
      </c>
      <c r="H449" s="6" t="n">
        <v>0.552</v>
      </c>
      <c r="J449" s="2" t="n">
        <f aca="false">B449/$B$1003</f>
        <v>0.00103761460886152</v>
      </c>
      <c r="K449" s="5" t="n">
        <f aca="false">J449*LOG(J449,2)</f>
        <v>-0.010285368909153</v>
      </c>
    </row>
    <row r="450" customFormat="false" ht="13" hidden="false" customHeight="false" outlineLevel="0" collapsed="false">
      <c r="A450" s="4" t="n">
        <v>552</v>
      </c>
      <c r="B450" s="5" t="n">
        <v>13.2864177713307</v>
      </c>
      <c r="C450" s="5" t="n">
        <f aca="false">B450</f>
        <v>13.2864177713307</v>
      </c>
      <c r="D450" s="5" t="n">
        <f aca="false">C450*LOG(C450)</f>
        <v>14.9260667408762</v>
      </c>
      <c r="E450" s="5"/>
      <c r="F450" s="5"/>
      <c r="G450" s="4" t="n">
        <v>449</v>
      </c>
      <c r="H450" s="6" t="n">
        <v>0.551</v>
      </c>
      <c r="J450" s="2" t="n">
        <f aca="false">B450/$B$1003</f>
        <v>0.00103610016346172</v>
      </c>
      <c r="K450" s="5" t="n">
        <f aca="false">J450*LOG(J450,2)</f>
        <v>-0.0102725402361736</v>
      </c>
    </row>
    <row r="451" customFormat="false" ht="13" hidden="false" customHeight="false" outlineLevel="0" collapsed="false">
      <c r="A451" s="4" t="n">
        <v>551</v>
      </c>
      <c r="B451" s="5" t="n">
        <v>13.2631544501461</v>
      </c>
      <c r="C451" s="5" t="n">
        <f aca="false">B451</f>
        <v>13.2631544501461</v>
      </c>
      <c r="D451" s="5" t="n">
        <f aca="false">C451*LOG(C451)</f>
        <v>14.8898382599655</v>
      </c>
      <c r="E451" s="5"/>
      <c r="F451" s="5"/>
      <c r="G451" s="4" t="n">
        <v>450</v>
      </c>
      <c r="H451" s="6" t="n">
        <v>0.55</v>
      </c>
      <c r="J451" s="2" t="n">
        <f aca="false">B451/$B$1003</f>
        <v>0.00103428604536782</v>
      </c>
      <c r="K451" s="5" t="n">
        <f aca="false">J451*LOG(J451,2)</f>
        <v>-0.0102571688697598</v>
      </c>
      <c r="L451" s="2" t="n">
        <f aca="false">SUM(J402:J451)</f>
        <v>0.0540209245392294</v>
      </c>
    </row>
    <row r="452" customFormat="false" ht="13" hidden="false" customHeight="false" outlineLevel="0" collapsed="false">
      <c r="A452" s="4" t="n">
        <v>550</v>
      </c>
      <c r="B452" s="5" t="n">
        <v>13.2292348131783</v>
      </c>
      <c r="C452" s="5" t="n">
        <f aca="false">B452</f>
        <v>13.2292348131783</v>
      </c>
      <c r="D452" s="5" t="n">
        <f aca="false">C452*LOG(C452)</f>
        <v>14.8370462289842</v>
      </c>
      <c r="E452" s="5"/>
      <c r="F452" s="5"/>
      <c r="G452" s="4" t="n">
        <v>451</v>
      </c>
      <c r="H452" s="6" t="n">
        <v>0.549</v>
      </c>
      <c r="J452" s="2" t="n">
        <f aca="false">B452/$B$1003</f>
        <v>0.00103164092747286</v>
      </c>
      <c r="K452" s="5" t="n">
        <f aca="false">J452*LOG(J452,2)</f>
        <v>-0.0102347480559422</v>
      </c>
    </row>
    <row r="453" customFormat="false" ht="13" hidden="false" customHeight="false" outlineLevel="0" collapsed="false">
      <c r="A453" s="4" t="n">
        <v>549</v>
      </c>
      <c r="B453" s="5" t="n">
        <v>13.1974620448395</v>
      </c>
      <c r="C453" s="5" t="n">
        <f aca="false">B453</f>
        <v>13.1974620448395</v>
      </c>
      <c r="D453" s="5" t="n">
        <f aca="false">C453*LOG(C453)</f>
        <v>14.7876298115727</v>
      </c>
      <c r="E453" s="5"/>
      <c r="F453" s="5"/>
      <c r="G453" s="4" t="n">
        <v>452</v>
      </c>
      <c r="H453" s="6" t="n">
        <v>0.548</v>
      </c>
      <c r="J453" s="2" t="n">
        <f aca="false">B453/$B$1003</f>
        <v>0.00102916322648257</v>
      </c>
      <c r="K453" s="5" t="n">
        <f aca="false">J453*LOG(J453,2)</f>
        <v>-0.0102137374434555</v>
      </c>
    </row>
    <row r="454" customFormat="false" ht="13" hidden="false" customHeight="false" outlineLevel="0" collapsed="false">
      <c r="A454" s="4" t="n">
        <v>548</v>
      </c>
      <c r="B454" s="5" t="n">
        <v>13.1711403973449</v>
      </c>
      <c r="C454" s="5" t="n">
        <f aca="false">B454</f>
        <v>13.1711403973449</v>
      </c>
      <c r="D454" s="5" t="n">
        <f aca="false">C454*LOG(C454)</f>
        <v>14.746716718608</v>
      </c>
      <c r="E454" s="5"/>
      <c r="F454" s="5"/>
      <c r="G454" s="4" t="n">
        <v>453</v>
      </c>
      <c r="H454" s="6" t="n">
        <v>0.547</v>
      </c>
      <c r="J454" s="2" t="n">
        <f aca="false">B454/$B$1003</f>
        <v>0.00102711061427805</v>
      </c>
      <c r="K454" s="5" t="n">
        <f aca="false">J454*LOG(J454,2)</f>
        <v>-0.0101963250169664</v>
      </c>
    </row>
    <row r="455" customFormat="false" ht="13" hidden="false" customHeight="false" outlineLevel="0" collapsed="false">
      <c r="A455" s="4" t="n">
        <v>547</v>
      </c>
      <c r="B455" s="5" t="n">
        <v>13.1620544110476</v>
      </c>
      <c r="C455" s="5" t="n">
        <f aca="false">B455</f>
        <v>13.1620544110476</v>
      </c>
      <c r="D455" s="5" t="n">
        <f aca="false">C455*LOG(C455)</f>
        <v>14.7325992035819</v>
      </c>
      <c r="E455" s="5"/>
      <c r="F455" s="5"/>
      <c r="G455" s="4" t="n">
        <v>454</v>
      </c>
      <c r="H455" s="6" t="n">
        <v>0.546</v>
      </c>
      <c r="J455" s="2" t="n">
        <f aca="false">B455/$B$1003</f>
        <v>0.00102640207176119</v>
      </c>
      <c r="K455" s="5" t="n">
        <f aca="false">J455*LOG(J455,2)</f>
        <v>-0.0101903130369613</v>
      </c>
    </row>
    <row r="456" customFormat="false" ht="13" hidden="false" customHeight="false" outlineLevel="0" collapsed="false">
      <c r="A456" s="4" t="n">
        <v>546</v>
      </c>
      <c r="B456" s="5" t="n">
        <v>13.1340336467536</v>
      </c>
      <c r="C456" s="5" t="n">
        <f aca="false">B456</f>
        <v>13.1340336467536</v>
      </c>
      <c r="D456" s="5" t="n">
        <f aca="false">C456*LOG(C456)</f>
        <v>14.6890785980187</v>
      </c>
      <c r="E456" s="5"/>
      <c r="F456" s="5"/>
      <c r="G456" s="4" t="n">
        <v>455</v>
      </c>
      <c r="H456" s="6" t="n">
        <v>0.545</v>
      </c>
      <c r="J456" s="2" t="n">
        <f aca="false">B456/$B$1003</f>
        <v>0.00102421695919247</v>
      </c>
      <c r="K456" s="5" t="n">
        <f aca="false">J456*LOG(J456,2)</f>
        <v>-0.010171767920977</v>
      </c>
    </row>
    <row r="457" customFormat="false" ht="13" hidden="false" customHeight="false" outlineLevel="0" collapsed="false">
      <c r="A457" s="4" t="n">
        <v>545</v>
      </c>
      <c r="B457" s="5" t="n">
        <v>13.1019755051817</v>
      </c>
      <c r="C457" s="5" t="n">
        <f aca="false">B457</f>
        <v>13.1019755051817</v>
      </c>
      <c r="D457" s="5" t="n">
        <f aca="false">C457*LOG(C457)</f>
        <v>14.6393191640109</v>
      </c>
      <c r="E457" s="5"/>
      <c r="F457" s="5"/>
      <c r="G457" s="4" t="n">
        <v>456</v>
      </c>
      <c r="H457" s="6" t="n">
        <v>0.544</v>
      </c>
      <c r="J457" s="2" t="n">
        <f aca="false">B457/$B$1003</f>
        <v>0.00102171700425393</v>
      </c>
      <c r="K457" s="5" t="n">
        <f aca="false">J457*LOG(J457,2)</f>
        <v>-0.0101505424785068</v>
      </c>
    </row>
    <row r="458" customFormat="false" ht="13" hidden="false" customHeight="false" outlineLevel="0" collapsed="false">
      <c r="A458" s="4" t="n">
        <v>544</v>
      </c>
      <c r="B458" s="5" t="n">
        <v>13.0843140891154</v>
      </c>
      <c r="C458" s="5" t="n">
        <f aca="false">B458</f>
        <v>13.0843140891154</v>
      </c>
      <c r="D458" s="5" t="n">
        <f aca="false">C458*LOG(C458)</f>
        <v>14.6119203307202</v>
      </c>
      <c r="E458" s="5"/>
      <c r="F458" s="5"/>
      <c r="G458" s="4" t="n">
        <v>457</v>
      </c>
      <c r="H458" s="6" t="n">
        <v>0.543</v>
      </c>
      <c r="J458" s="2" t="n">
        <f aca="false">B458/$B$1003</f>
        <v>0.0010203397333907</v>
      </c>
      <c r="K458" s="5" t="n">
        <f aca="false">J458*LOG(J458,2)</f>
        <v>-0.0101388452256122</v>
      </c>
    </row>
    <row r="459" customFormat="false" ht="13" hidden="false" customHeight="false" outlineLevel="0" collapsed="false">
      <c r="A459" s="4" t="n">
        <v>543</v>
      </c>
      <c r="B459" s="5" t="n">
        <v>13.0579922379479</v>
      </c>
      <c r="C459" s="5" t="n">
        <f aca="false">B459</f>
        <v>13.0579922379479</v>
      </c>
      <c r="D459" s="5" t="n">
        <f aca="false">C459*LOG(C459)</f>
        <v>14.5711054495091</v>
      </c>
      <c r="E459" s="5"/>
      <c r="F459" s="5"/>
      <c r="G459" s="4" t="n">
        <v>458</v>
      </c>
      <c r="H459" s="6" t="n">
        <v>0.542</v>
      </c>
      <c r="J459" s="2" t="n">
        <f aca="false">B459/$B$1003</f>
        <v>0.00101828710530337</v>
      </c>
      <c r="K459" s="5" t="n">
        <f aca="false">J459*LOG(J459,2)</f>
        <v>-0.0101214071405962</v>
      </c>
    </row>
    <row r="460" customFormat="false" ht="13" hidden="false" customHeight="false" outlineLevel="0" collapsed="false">
      <c r="A460" s="4" t="n">
        <v>542</v>
      </c>
      <c r="B460" s="5" t="n">
        <v>13.0042816153735</v>
      </c>
      <c r="C460" s="5" t="n">
        <f aca="false">B460</f>
        <v>13.0042816153735</v>
      </c>
      <c r="D460" s="5" t="n">
        <f aca="false">C460*LOG(C460)</f>
        <v>14.4878928450829</v>
      </c>
      <c r="E460" s="5"/>
      <c r="F460" s="5"/>
      <c r="G460" s="4" t="n">
        <v>459</v>
      </c>
      <c r="H460" s="6" t="n">
        <v>0.541</v>
      </c>
      <c r="J460" s="2" t="n">
        <f aca="false">B460/$B$1003</f>
        <v>0.00101409864865639</v>
      </c>
      <c r="K460" s="5" t="n">
        <f aca="false">J460*LOG(J460,2)</f>
        <v>-0.0100858056108924</v>
      </c>
    </row>
    <row r="461" customFormat="false" ht="13" hidden="false" customHeight="false" outlineLevel="0" collapsed="false">
      <c r="A461" s="4" t="n">
        <v>541</v>
      </c>
      <c r="B461" s="5" t="n">
        <v>12.9676620228327</v>
      </c>
      <c r="C461" s="5" t="n">
        <f aca="false">B461</f>
        <v>12.9676620228327</v>
      </c>
      <c r="D461" s="5" t="n">
        <f aca="false">C461*LOG(C461)</f>
        <v>14.4312141824963</v>
      </c>
      <c r="E461" s="5"/>
      <c r="F461" s="5"/>
      <c r="G461" s="4" t="n">
        <v>460</v>
      </c>
      <c r="H461" s="6" t="n">
        <v>0.54</v>
      </c>
      <c r="J461" s="2" t="n">
        <f aca="false">B461/$B$1003</f>
        <v>0.00101124298308344</v>
      </c>
      <c r="K461" s="5" t="n">
        <f aca="false">J461*LOG(J461,2)</f>
        <v>-0.0100615183909642</v>
      </c>
    </row>
    <row r="462" customFormat="false" ht="13" hidden="false" customHeight="false" outlineLevel="0" collapsed="false">
      <c r="A462" s="4" t="n">
        <v>540</v>
      </c>
      <c r="B462" s="5" t="n">
        <v>12.9577725959521</v>
      </c>
      <c r="C462" s="5" t="n">
        <f aca="false">B462</f>
        <v>12.9577725959521</v>
      </c>
      <c r="D462" s="5" t="n">
        <f aca="false">C462*LOG(C462)</f>
        <v>14.4159153328497</v>
      </c>
      <c r="E462" s="5"/>
      <c r="F462" s="5"/>
      <c r="G462" s="4" t="n">
        <v>461</v>
      </c>
      <c r="H462" s="6" t="n">
        <v>0.539</v>
      </c>
      <c r="J462" s="2" t="n">
        <f aca="false">B462/$B$1003</f>
        <v>0.00101047178673963</v>
      </c>
      <c r="K462" s="5" t="n">
        <f aca="false">J462*LOG(J462,2)</f>
        <v>-0.0100549574305059</v>
      </c>
    </row>
    <row r="463" customFormat="false" ht="13" hidden="false" customHeight="false" outlineLevel="0" collapsed="false">
      <c r="A463" s="4" t="n">
        <v>539</v>
      </c>
      <c r="B463" s="5" t="n">
        <v>12.9555656243179</v>
      </c>
      <c r="C463" s="5" t="n">
        <f aca="false">B463</f>
        <v>12.9555656243179</v>
      </c>
      <c r="D463" s="5" t="n">
        <f aca="false">C463*LOG(C463)</f>
        <v>14.4125016159425</v>
      </c>
      <c r="E463" s="5"/>
      <c r="F463" s="5"/>
      <c r="G463" s="4" t="n">
        <v>462</v>
      </c>
      <c r="H463" s="6" t="n">
        <v>0.538</v>
      </c>
      <c r="J463" s="2" t="n">
        <f aca="false">B463/$B$1003</f>
        <v>0.00101029968288815</v>
      </c>
      <c r="K463" s="5" t="n">
        <f aca="false">J463*LOG(J463,2)</f>
        <v>-0.0100534931394304</v>
      </c>
    </row>
    <row r="464" customFormat="false" ht="13" hidden="false" customHeight="false" outlineLevel="0" collapsed="false">
      <c r="A464" s="4" t="n">
        <v>538</v>
      </c>
      <c r="B464" s="5" t="n">
        <v>12.8734288022217</v>
      </c>
      <c r="C464" s="5" t="n">
        <f aca="false">B464</f>
        <v>12.8734288022217</v>
      </c>
      <c r="D464" s="5" t="n">
        <f aca="false">C464*LOG(C464)</f>
        <v>14.2855697322761</v>
      </c>
      <c r="E464" s="5"/>
      <c r="F464" s="5"/>
      <c r="G464" s="4" t="n">
        <v>463</v>
      </c>
      <c r="H464" s="6" t="n">
        <v>0.537</v>
      </c>
      <c r="J464" s="2" t="n">
        <f aca="false">B464/$B$1003</f>
        <v>0.00100389449706118</v>
      </c>
      <c r="K464" s="5" t="n">
        <f aca="false">J464*LOG(J464,2)</f>
        <v>-0.00999896650409416</v>
      </c>
    </row>
    <row r="465" customFormat="false" ht="13" hidden="false" customHeight="false" outlineLevel="0" collapsed="false">
      <c r="A465" s="4" t="n">
        <v>537</v>
      </c>
      <c r="B465" s="5" t="n">
        <v>12.8696225777744</v>
      </c>
      <c r="C465" s="5" t="n">
        <f aca="false">B465</f>
        <v>12.8696225777744</v>
      </c>
      <c r="D465" s="5" t="n">
        <f aca="false">C465*LOG(C465)</f>
        <v>14.2796932090683</v>
      </c>
      <c r="E465" s="5"/>
      <c r="F465" s="5"/>
      <c r="G465" s="4" t="n">
        <v>464</v>
      </c>
      <c r="H465" s="6" t="n">
        <v>0.536</v>
      </c>
      <c r="J465" s="2" t="n">
        <f aca="false">B465/$B$1003</f>
        <v>0.00100359768042934</v>
      </c>
      <c r="K465" s="5" t="n">
        <f aca="false">J465*LOG(J465,2)</f>
        <v>-0.00999643831058798</v>
      </c>
    </row>
    <row r="466" customFormat="false" ht="13" hidden="false" customHeight="false" outlineLevel="0" collapsed="false">
      <c r="A466" s="4" t="n">
        <v>536</v>
      </c>
      <c r="B466" s="5" t="n">
        <v>12.8401495055392</v>
      </c>
      <c r="C466" s="5" t="n">
        <f aca="false">B466</f>
        <v>12.8401495055392</v>
      </c>
      <c r="D466" s="5" t="n">
        <f aca="false">C466*LOG(C466)</f>
        <v>14.2342055711499</v>
      </c>
      <c r="E466" s="5"/>
      <c r="F466" s="5"/>
      <c r="G466" s="4" t="n">
        <v>465</v>
      </c>
      <c r="H466" s="6" t="n">
        <v>0.535</v>
      </c>
      <c r="J466" s="2" t="n">
        <f aca="false">B466/$B$1003</f>
        <v>0.00100129931412127</v>
      </c>
      <c r="K466" s="5" t="n">
        <f aca="false">J466*LOG(J466,2)</f>
        <v>-0.00997685723760918</v>
      </c>
    </row>
    <row r="467" customFormat="false" ht="13" hidden="false" customHeight="false" outlineLevel="0" collapsed="false">
      <c r="A467" s="4" t="n">
        <v>535</v>
      </c>
      <c r="B467" s="5" t="n">
        <v>12.8175589448978</v>
      </c>
      <c r="C467" s="5" t="n">
        <f aca="false">B467</f>
        <v>12.8175589448978</v>
      </c>
      <c r="D467" s="5" t="n">
        <f aca="false">C467*LOG(C467)</f>
        <v>14.1993600313027</v>
      </c>
      <c r="E467" s="5"/>
      <c r="F467" s="5"/>
      <c r="G467" s="4" t="n">
        <v>466</v>
      </c>
      <c r="H467" s="6" t="n">
        <v>0.534</v>
      </c>
      <c r="J467" s="2" t="n">
        <f aca="false">B467/$B$1003</f>
        <v>0.000999537659175888</v>
      </c>
      <c r="K467" s="5" t="n">
        <f aca="false">J467*LOG(J467,2)</f>
        <v>-0.00996184355833882</v>
      </c>
    </row>
    <row r="468" customFormat="false" ht="13" hidden="false" customHeight="false" outlineLevel="0" collapsed="false">
      <c r="A468" s="4" t="n">
        <v>534</v>
      </c>
      <c r="B468" s="5" t="n">
        <v>12.8133769365339</v>
      </c>
      <c r="C468" s="5" t="n">
        <f aca="false">B468</f>
        <v>12.8133769365339</v>
      </c>
      <c r="D468" s="5" t="n">
        <f aca="false">C468*LOG(C468)</f>
        <v>14.1929112533427</v>
      </c>
      <c r="E468" s="5"/>
      <c r="F468" s="5"/>
      <c r="G468" s="4" t="n">
        <v>467</v>
      </c>
      <c r="H468" s="6" t="n">
        <v>0.533</v>
      </c>
      <c r="J468" s="2" t="n">
        <f aca="false">B468/$B$1003</f>
        <v>0.000999211538198515</v>
      </c>
      <c r="K468" s="5" t="n">
        <f aca="false">J468*LOG(J468,2)</f>
        <v>-0.00995906370580325</v>
      </c>
    </row>
    <row r="469" customFormat="false" ht="13" hidden="false" customHeight="false" outlineLevel="0" collapsed="false">
      <c r="A469" s="4" t="n">
        <v>533</v>
      </c>
      <c r="B469" s="5" t="n">
        <v>12.7748529239535</v>
      </c>
      <c r="C469" s="5" t="n">
        <f aca="false">B469</f>
        <v>12.7748529239535</v>
      </c>
      <c r="D469" s="5" t="n">
        <f aca="false">C469*LOG(C469)</f>
        <v>14.13353401687</v>
      </c>
      <c r="E469" s="5"/>
      <c r="F469" s="5"/>
      <c r="G469" s="4" t="n">
        <v>468</v>
      </c>
      <c r="H469" s="6" t="n">
        <v>0.532</v>
      </c>
      <c r="J469" s="2" t="n">
        <f aca="false">B469/$B$1003</f>
        <v>0.000996207362323664</v>
      </c>
      <c r="K469" s="5" t="n">
        <f aca="false">J469*LOG(J469,2)</f>
        <v>-0.0099334489061998</v>
      </c>
    </row>
    <row r="470" customFormat="false" ht="13" hidden="false" customHeight="false" outlineLevel="0" collapsed="false">
      <c r="A470" s="4" t="n">
        <v>532</v>
      </c>
      <c r="B470" s="5" t="n">
        <v>12.7365840989416</v>
      </c>
      <c r="C470" s="5" t="n">
        <f aca="false">B470</f>
        <v>12.7365840989416</v>
      </c>
      <c r="D470" s="5" t="n">
        <f aca="false">C470*LOG(C470)</f>
        <v>14.0746000552121</v>
      </c>
      <c r="E470" s="5"/>
      <c r="F470" s="5"/>
      <c r="G470" s="4" t="n">
        <v>469</v>
      </c>
      <c r="H470" s="6" t="n">
        <v>0.531</v>
      </c>
      <c r="J470" s="2" t="n">
        <f aca="false">B470/$B$1003</f>
        <v>0.000993223086461453</v>
      </c>
      <c r="K470" s="5" t="n">
        <f aca="false">J470*LOG(J470,2)</f>
        <v>-0.00990799084167553</v>
      </c>
    </row>
    <row r="471" customFormat="false" ht="13" hidden="false" customHeight="false" outlineLevel="0" collapsed="false">
      <c r="A471" s="4" t="n">
        <v>531</v>
      </c>
      <c r="B471" s="5" t="n">
        <v>12.6800905797749</v>
      </c>
      <c r="C471" s="5" t="n">
        <f aca="false">B471</f>
        <v>12.6800905797749</v>
      </c>
      <c r="D471" s="5" t="n">
        <f aca="false">C471*LOG(C471)</f>
        <v>13.9876913936902</v>
      </c>
      <c r="E471" s="5"/>
      <c r="F471" s="5"/>
      <c r="G471" s="4" t="n">
        <v>470</v>
      </c>
      <c r="H471" s="6" t="n">
        <v>0.53</v>
      </c>
      <c r="J471" s="2" t="n">
        <f aca="false">B471/$B$1003</f>
        <v>0.000988817614237816</v>
      </c>
      <c r="K471" s="5" t="n">
        <f aca="false">J471*LOG(J471,2)</f>
        <v>-0.00987038527329499</v>
      </c>
    </row>
    <row r="472" customFormat="false" ht="13" hidden="false" customHeight="false" outlineLevel="0" collapsed="false">
      <c r="A472" s="4" t="n">
        <v>530</v>
      </c>
      <c r="B472" s="5" t="n">
        <v>12.6656347171646</v>
      </c>
      <c r="C472" s="5" t="n">
        <f aca="false">B472</f>
        <v>12.6656347171646</v>
      </c>
      <c r="D472" s="5" t="n">
        <f aca="false">C472*LOG(C472)</f>
        <v>13.9654702871248</v>
      </c>
      <c r="E472" s="5"/>
      <c r="F472" s="5"/>
      <c r="G472" s="4" t="n">
        <v>471</v>
      </c>
      <c r="H472" s="6" t="n">
        <v>0.529</v>
      </c>
      <c r="J472" s="2" t="n">
        <f aca="false">B472/$B$1003</f>
        <v>0.00098769031853846</v>
      </c>
      <c r="K472" s="5" t="n">
        <f aca="false">J472*LOG(J472,2)</f>
        <v>-0.00986075801518767</v>
      </c>
    </row>
    <row r="473" customFormat="false" ht="13" hidden="false" customHeight="false" outlineLevel="0" collapsed="false">
      <c r="A473" s="4" t="n">
        <v>529</v>
      </c>
      <c r="B473" s="5" t="n">
        <v>12.6625881811834</v>
      </c>
      <c r="C473" s="5" t="n">
        <f aca="false">B473</f>
        <v>12.6625881811834</v>
      </c>
      <c r="D473" s="5" t="n">
        <f aca="false">C473*LOG(C473)</f>
        <v>13.9607881597944</v>
      </c>
      <c r="E473" s="5"/>
      <c r="F473" s="5"/>
      <c r="G473" s="4" t="n">
        <v>472</v>
      </c>
      <c r="H473" s="6" t="n">
        <v>0.528</v>
      </c>
      <c r="J473" s="2" t="n">
        <f aca="false">B473/$B$1003</f>
        <v>0.000987452743860137</v>
      </c>
      <c r="K473" s="5" t="n">
        <f aca="false">J473*LOG(J473,2)</f>
        <v>-0.00985872885847798</v>
      </c>
    </row>
    <row r="474" customFormat="false" ht="13" hidden="false" customHeight="false" outlineLevel="0" collapsed="false">
      <c r="A474" s="4" t="n">
        <v>528</v>
      </c>
      <c r="B474" s="5" t="n">
        <v>12.6022783081504</v>
      </c>
      <c r="C474" s="5" t="n">
        <f aca="false">B474</f>
        <v>12.6022783081504</v>
      </c>
      <c r="D474" s="5" t="n">
        <f aca="false">C474*LOG(C474)</f>
        <v>13.8681653977709</v>
      </c>
      <c r="E474" s="5"/>
      <c r="F474" s="5"/>
      <c r="G474" s="4" t="n">
        <v>473</v>
      </c>
      <c r="H474" s="6" t="n">
        <v>0.527</v>
      </c>
      <c r="J474" s="2" t="n">
        <f aca="false">B474/$B$1003</f>
        <v>0.000982749665093283</v>
      </c>
      <c r="K474" s="5" t="n">
        <f aca="false">J474*LOG(J474,2)</f>
        <v>-0.00981854224141726</v>
      </c>
    </row>
    <row r="475" customFormat="false" ht="13" hidden="false" customHeight="false" outlineLevel="0" collapsed="false">
      <c r="A475" s="4" t="n">
        <v>527</v>
      </c>
      <c r="B475" s="5" t="n">
        <v>12.5809156378578</v>
      </c>
      <c r="C475" s="5" t="n">
        <f aca="false">B475</f>
        <v>12.5809156378578</v>
      </c>
      <c r="D475" s="5" t="n">
        <f aca="false">C475*LOG(C475)</f>
        <v>13.8353870453213</v>
      </c>
      <c r="E475" s="5"/>
      <c r="F475" s="5"/>
      <c r="G475" s="4" t="n">
        <v>474</v>
      </c>
      <c r="H475" s="6" t="n">
        <v>0.526</v>
      </c>
      <c r="J475" s="2" t="n">
        <f aca="false">B475/$B$1003</f>
        <v>0.000981083763375976</v>
      </c>
      <c r="K475" s="5" t="n">
        <f aca="false">J475*LOG(J475,2)</f>
        <v>-0.00980429975320362</v>
      </c>
    </row>
    <row r="476" customFormat="false" ht="13" hidden="false" customHeight="false" outlineLevel="0" collapsed="false">
      <c r="A476" s="4" t="n">
        <v>526</v>
      </c>
      <c r="B476" s="5" t="n">
        <v>12.5688529853041</v>
      </c>
      <c r="C476" s="5" t="n">
        <f aca="false">B476</f>
        <v>12.5688529853041</v>
      </c>
      <c r="D476" s="5" t="n">
        <f aca="false">C476*LOG(C476)</f>
        <v>13.8168853673687</v>
      </c>
      <c r="E476" s="5"/>
      <c r="F476" s="5"/>
      <c r="G476" s="4" t="n">
        <v>475</v>
      </c>
      <c r="H476" s="6" t="n">
        <v>0.525</v>
      </c>
      <c r="J476" s="2" t="n">
        <f aca="false">B476/$B$1003</f>
        <v>0.000980143094755001</v>
      </c>
      <c r="K476" s="5" t="n">
        <f aca="false">J476*LOG(J476,2)</f>
        <v>-0.00979625578270046</v>
      </c>
    </row>
    <row r="477" customFormat="false" ht="13" hidden="false" customHeight="false" outlineLevel="0" collapsed="false">
      <c r="A477" s="4" t="n">
        <v>525</v>
      </c>
      <c r="B477" s="5" t="n">
        <v>12.5371903908355</v>
      </c>
      <c r="C477" s="5" t="n">
        <f aca="false">B477</f>
        <v>12.5371903908355</v>
      </c>
      <c r="D477" s="5" t="n">
        <f aca="false">C477*LOG(C477)</f>
        <v>13.7683452597671</v>
      </c>
      <c r="E477" s="5"/>
      <c r="F477" s="5"/>
      <c r="G477" s="4" t="n">
        <v>476</v>
      </c>
      <c r="H477" s="6" t="n">
        <v>0.524</v>
      </c>
      <c r="J477" s="2" t="n">
        <f aca="false">B477/$B$1003</f>
        <v>0.000977673985332943</v>
      </c>
      <c r="K477" s="5" t="n">
        <f aca="false">J477*LOG(J477,2)</f>
        <v>-0.00977513540675745</v>
      </c>
    </row>
    <row r="478" customFormat="false" ht="13" hidden="false" customHeight="false" outlineLevel="0" collapsed="false">
      <c r="A478" s="4" t="n">
        <v>524</v>
      </c>
      <c r="B478" s="5" t="n">
        <v>12.5335627571066</v>
      </c>
      <c r="C478" s="5" t="n">
        <f aca="false">B478</f>
        <v>12.5335627571066</v>
      </c>
      <c r="D478" s="5" t="n">
        <f aca="false">C478*LOG(C478)</f>
        <v>13.7627861582446</v>
      </c>
      <c r="E478" s="5"/>
      <c r="F478" s="5"/>
      <c r="G478" s="4" t="n">
        <v>477</v>
      </c>
      <c r="H478" s="6" t="n">
        <v>0.523</v>
      </c>
      <c r="J478" s="2" t="n">
        <f aca="false">B478/$B$1003</f>
        <v>0.000977391095545478</v>
      </c>
      <c r="K478" s="5" t="n">
        <f aca="false">J478*LOG(J478,2)</f>
        <v>-0.00977271503777166</v>
      </c>
    </row>
    <row r="479" customFormat="false" ht="13" hidden="false" customHeight="false" outlineLevel="0" collapsed="false">
      <c r="A479" s="4" t="n">
        <v>523</v>
      </c>
      <c r="B479" s="5" t="n">
        <v>12.5162260880885</v>
      </c>
      <c r="C479" s="5" t="n">
        <f aca="false">B479</f>
        <v>12.5162260880885</v>
      </c>
      <c r="D479" s="5" t="n">
        <f aca="false">C479*LOG(C479)</f>
        <v>13.736225193384</v>
      </c>
      <c r="E479" s="5"/>
      <c r="F479" s="5"/>
      <c r="G479" s="4" t="n">
        <v>478</v>
      </c>
      <c r="H479" s="6" t="n">
        <v>0.522</v>
      </c>
      <c r="J479" s="2" t="n">
        <f aca="false">B479/$B$1003</f>
        <v>0.000976039149075584</v>
      </c>
      <c r="K479" s="5" t="n">
        <f aca="false">J479*LOG(J479,2)</f>
        <v>-0.00976114632418687</v>
      </c>
    </row>
    <row r="480" customFormat="false" ht="13" hidden="false" customHeight="false" outlineLevel="0" collapsed="false">
      <c r="A480" s="4" t="n">
        <v>522</v>
      </c>
      <c r="B480" s="5" t="n">
        <v>12.5139839362759</v>
      </c>
      <c r="C480" s="5" t="n">
        <f aca="false">B480</f>
        <v>12.5139839362759</v>
      </c>
      <c r="D480" s="5" t="n">
        <f aca="false">C480*LOG(C480)</f>
        <v>13.7327908244765</v>
      </c>
      <c r="E480" s="5"/>
      <c r="F480" s="5"/>
      <c r="G480" s="4" t="n">
        <v>479</v>
      </c>
      <c r="H480" s="6" t="n">
        <v>0.521</v>
      </c>
      <c r="J480" s="2" t="n">
        <f aca="false">B480/$B$1003</f>
        <v>0.000975864301806778</v>
      </c>
      <c r="K480" s="5" t="n">
        <f aca="false">J480*LOG(J480,2)</f>
        <v>-0.00975964994497042</v>
      </c>
    </row>
    <row r="481" customFormat="false" ht="13" hidden="false" customHeight="false" outlineLevel="0" collapsed="false">
      <c r="A481" s="4" t="n">
        <v>521</v>
      </c>
      <c r="B481" s="5" t="n">
        <v>12.4662020942822</v>
      </c>
      <c r="C481" s="5" t="n">
        <f aca="false">B481</f>
        <v>12.4662020942822</v>
      </c>
      <c r="D481" s="5" t="n">
        <f aca="false">C481*LOG(C481)</f>
        <v>13.6596435191121</v>
      </c>
      <c r="E481" s="5"/>
      <c r="F481" s="5"/>
      <c r="G481" s="4" t="n">
        <v>480</v>
      </c>
      <c r="H481" s="6" t="n">
        <v>0.52</v>
      </c>
      <c r="J481" s="2" t="n">
        <f aca="false">B481/$B$1003</f>
        <v>0.000972138182761579</v>
      </c>
      <c r="K481" s="5" t="n">
        <f aca="false">J481*LOG(J481,2)</f>
        <v>-0.00972775028731116</v>
      </c>
    </row>
    <row r="482" customFormat="false" ht="13" hidden="false" customHeight="false" outlineLevel="0" collapsed="false">
      <c r="A482" s="4" t="n">
        <v>520</v>
      </c>
      <c r="B482" s="5" t="n">
        <v>12.3977036517144</v>
      </c>
      <c r="C482" s="5" t="n">
        <f aca="false">B482</f>
        <v>12.3977036517144</v>
      </c>
      <c r="D482" s="5" t="n">
        <f aca="false">C482*LOG(C482)</f>
        <v>13.5549208199602</v>
      </c>
      <c r="E482" s="5"/>
      <c r="F482" s="5"/>
      <c r="G482" s="4" t="n">
        <v>481</v>
      </c>
      <c r="H482" s="6" t="n">
        <v>0.519</v>
      </c>
      <c r="J482" s="2" t="n">
        <f aca="false">B482/$B$1003</f>
        <v>0.000966796543746251</v>
      </c>
      <c r="K482" s="5" t="n">
        <f aca="false">J482*LOG(J482,2)</f>
        <v>-0.00968198404922762</v>
      </c>
    </row>
    <row r="483" customFormat="false" ht="13" hidden="false" customHeight="false" outlineLevel="0" collapsed="false">
      <c r="A483" s="4" t="n">
        <v>519</v>
      </c>
      <c r="B483" s="5" t="n">
        <v>12.3759154203357</v>
      </c>
      <c r="C483" s="5" t="n">
        <f aca="false">B483</f>
        <v>12.3759154203357</v>
      </c>
      <c r="D483" s="5" t="n">
        <f aca="false">C483*LOG(C483)</f>
        <v>13.5216446589246</v>
      </c>
      <c r="E483" s="5"/>
      <c r="F483" s="5"/>
      <c r="G483" s="4" t="n">
        <v>482</v>
      </c>
      <c r="H483" s="6" t="n">
        <v>0.518</v>
      </c>
      <c r="J483" s="2" t="n">
        <f aca="false">B483/$B$1003</f>
        <v>0.000965097455964909</v>
      </c>
      <c r="K483" s="5" t="n">
        <f aca="false">J483*LOG(J483,2)</f>
        <v>-0.00966741764480872</v>
      </c>
    </row>
    <row r="484" customFormat="false" ht="13" hidden="false" customHeight="false" outlineLevel="0" collapsed="false">
      <c r="A484" s="4" t="n">
        <v>518</v>
      </c>
      <c r="B484" s="5" t="n">
        <v>12.334848133927</v>
      </c>
      <c r="C484" s="5" t="n">
        <f aca="false">B484</f>
        <v>12.334848133927</v>
      </c>
      <c r="D484" s="5" t="n">
        <f aca="false">C484*LOG(C484)</f>
        <v>13.4589698012309</v>
      </c>
      <c r="E484" s="5"/>
      <c r="F484" s="5"/>
      <c r="G484" s="4" t="n">
        <v>483</v>
      </c>
      <c r="H484" s="6" t="n">
        <v>0.517</v>
      </c>
      <c r="J484" s="2" t="n">
        <f aca="false">B484/$B$1003</f>
        <v>0.000961894950752952</v>
      </c>
      <c r="K484" s="5" t="n">
        <f aca="false">J484*LOG(J484,2)</f>
        <v>-0.00963995059339187</v>
      </c>
    </row>
    <row r="485" customFormat="false" ht="13" hidden="false" customHeight="false" outlineLevel="0" collapsed="false">
      <c r="A485" s="4" t="n">
        <v>517</v>
      </c>
      <c r="B485" s="5" t="n">
        <v>12.3141847166904</v>
      </c>
      <c r="C485" s="5" t="n">
        <f aca="false">B485</f>
        <v>12.3141847166904</v>
      </c>
      <c r="D485" s="5" t="n">
        <f aca="false">C485*LOG(C485)</f>
        <v>13.4274567608948</v>
      </c>
      <c r="E485" s="5"/>
      <c r="F485" s="5"/>
      <c r="G485" s="4" t="n">
        <v>484</v>
      </c>
      <c r="H485" s="6" t="n">
        <v>0.516</v>
      </c>
      <c r="J485" s="2" t="n">
        <f aca="false">B485/$B$1003</f>
        <v>0.00096028357812076</v>
      </c>
      <c r="K485" s="5" t="n">
        <f aca="false">J485*LOG(J485,2)</f>
        <v>-0.00962612445694017</v>
      </c>
    </row>
    <row r="486" customFormat="false" ht="13" hidden="false" customHeight="false" outlineLevel="0" collapsed="false">
      <c r="A486" s="4" t="n">
        <v>516</v>
      </c>
      <c r="B486" s="5" t="n">
        <v>12.3108919982253</v>
      </c>
      <c r="C486" s="5" t="n">
        <f aca="false">B486</f>
        <v>12.3108919982253</v>
      </c>
      <c r="D486" s="5" t="n">
        <f aca="false">C486*LOG(C486)</f>
        <v>13.422436543775</v>
      </c>
      <c r="E486" s="5"/>
      <c r="F486" s="5"/>
      <c r="G486" s="4" t="n">
        <v>485</v>
      </c>
      <c r="H486" s="6" t="n">
        <v>0.515</v>
      </c>
      <c r="J486" s="2" t="n">
        <f aca="false">B486/$B$1003</f>
        <v>0.000960026805663459</v>
      </c>
      <c r="K486" s="5" t="n">
        <f aca="false">J486*LOG(J486,2)</f>
        <v>-0.00962392089997343</v>
      </c>
    </row>
    <row r="487" customFormat="false" ht="13" hidden="false" customHeight="false" outlineLevel="0" collapsed="false">
      <c r="A487" s="4" t="n">
        <v>515</v>
      </c>
      <c r="B487" s="5" t="n">
        <v>12.2950842934697</v>
      </c>
      <c r="C487" s="5" t="n">
        <f aca="false">B487</f>
        <v>12.2950842934697</v>
      </c>
      <c r="D487" s="5" t="n">
        <f aca="false">C487*LOG(C487)</f>
        <v>13.3983407794672</v>
      </c>
      <c r="E487" s="5"/>
      <c r="F487" s="5"/>
      <c r="G487" s="4" t="n">
        <v>486</v>
      </c>
      <c r="H487" s="6" t="n">
        <v>0.514</v>
      </c>
      <c r="J487" s="2" t="n">
        <f aca="false">B487/$B$1003</f>
        <v>0.000958794090738855</v>
      </c>
      <c r="K487" s="5" t="n">
        <f aca="false">J487*LOG(J487,2)</f>
        <v>-0.00961334066890742</v>
      </c>
    </row>
    <row r="488" customFormat="false" ht="13" hidden="false" customHeight="false" outlineLevel="0" collapsed="false">
      <c r="A488" s="4" t="n">
        <v>514</v>
      </c>
      <c r="B488" s="5" t="n">
        <v>12.2906107143197</v>
      </c>
      <c r="C488" s="5" t="n">
        <f aca="false">B488</f>
        <v>12.2906107143197</v>
      </c>
      <c r="D488" s="5" t="n">
        <f aca="false">C488*LOG(C488)</f>
        <v>13.3915232820603</v>
      </c>
      <c r="E488" s="5"/>
      <c r="F488" s="5"/>
      <c r="G488" s="4" t="n">
        <v>487</v>
      </c>
      <c r="H488" s="6" t="n">
        <v>0.513</v>
      </c>
      <c r="J488" s="2" t="n">
        <f aca="false">B488/$B$1003</f>
        <v>0.000958445232516245</v>
      </c>
      <c r="K488" s="5" t="n">
        <f aca="false">J488*LOG(J488,2)</f>
        <v>-0.00961034604940603</v>
      </c>
    </row>
    <row r="489" customFormat="false" ht="13" hidden="false" customHeight="false" outlineLevel="0" collapsed="false">
      <c r="A489" s="4" t="n">
        <v>513</v>
      </c>
      <c r="B489" s="5" t="n">
        <v>12.2769327857662</v>
      </c>
      <c r="C489" s="5" t="n">
        <f aca="false">B489</f>
        <v>12.2769327857662</v>
      </c>
      <c r="D489" s="5" t="n">
        <f aca="false">C489*LOG(C489)</f>
        <v>13.3706832317886</v>
      </c>
      <c r="E489" s="5"/>
      <c r="F489" s="5"/>
      <c r="G489" s="4" t="n">
        <v>488</v>
      </c>
      <c r="H489" s="6" t="n">
        <v>0.512</v>
      </c>
      <c r="J489" s="2" t="n">
        <f aca="false">B489/$B$1003</f>
        <v>0.000957378601596305</v>
      </c>
      <c r="K489" s="5" t="n">
        <f aca="false">J489*LOG(J489,2)</f>
        <v>-0.00960118889025733</v>
      </c>
    </row>
    <row r="490" customFormat="false" ht="13" hidden="false" customHeight="false" outlineLevel="0" collapsed="false">
      <c r="A490" s="4" t="n">
        <v>512</v>
      </c>
      <c r="B490" s="5" t="n">
        <v>12.2563883423525</v>
      </c>
      <c r="C490" s="5" t="n">
        <f aca="false">B490</f>
        <v>12.2563883423525</v>
      </c>
      <c r="D490" s="5" t="n">
        <f aca="false">C490*LOG(C490)</f>
        <v>13.3393936175758</v>
      </c>
      <c r="E490" s="5"/>
      <c r="F490" s="5"/>
      <c r="G490" s="4" t="n">
        <v>489</v>
      </c>
      <c r="H490" s="6" t="n">
        <v>0.511</v>
      </c>
      <c r="J490" s="2" t="n">
        <f aca="false">B490/$B$1003</f>
        <v>0.000955776506769432</v>
      </c>
      <c r="K490" s="5" t="n">
        <f aca="false">J490*LOG(J490,2)</f>
        <v>-0.00958743148478622</v>
      </c>
    </row>
    <row r="491" customFormat="false" ht="13" hidden="false" customHeight="false" outlineLevel="0" collapsed="false">
      <c r="A491" s="4" t="n">
        <v>511</v>
      </c>
      <c r="B491" s="5" t="n">
        <v>12.181127876659</v>
      </c>
      <c r="C491" s="5" t="n">
        <f aca="false">B491</f>
        <v>12.181127876659</v>
      </c>
      <c r="D491" s="5" t="n">
        <f aca="false">C491*LOG(C491)</f>
        <v>13.2248983009801</v>
      </c>
      <c r="E491" s="5"/>
      <c r="F491" s="5"/>
      <c r="G491" s="4" t="n">
        <v>490</v>
      </c>
      <c r="H491" s="6" t="n">
        <v>0.51</v>
      </c>
      <c r="J491" s="2" t="n">
        <f aca="false">B491/$B$1003</f>
        <v>0.000949907552311635</v>
      </c>
      <c r="K491" s="5" t="n">
        <f aca="false">J491*LOG(J491,2)</f>
        <v>-0.00953700083522982</v>
      </c>
    </row>
    <row r="492" customFormat="false" ht="13" hidden="false" customHeight="false" outlineLevel="0" collapsed="false">
      <c r="A492" s="4" t="n">
        <v>510</v>
      </c>
      <c r="B492" s="5" t="n">
        <v>12.1470804319412</v>
      </c>
      <c r="C492" s="5" t="n">
        <f aca="false">B492</f>
        <v>12.1470804319412</v>
      </c>
      <c r="D492" s="5" t="n">
        <f aca="false">C492*LOG(C492)</f>
        <v>13.1731674826989</v>
      </c>
      <c r="E492" s="5"/>
      <c r="F492" s="5"/>
      <c r="G492" s="4" t="n">
        <v>491</v>
      </c>
      <c r="H492" s="6" t="n">
        <v>0.509</v>
      </c>
      <c r="J492" s="2" t="n">
        <f aca="false">B492/$B$1003</f>
        <v>0.000947252467724894</v>
      </c>
      <c r="K492" s="5" t="n">
        <f aca="false">J492*LOG(J492,2)</f>
        <v>-0.00951416910349511</v>
      </c>
    </row>
    <row r="493" customFormat="false" ht="13" hidden="false" customHeight="false" outlineLevel="0" collapsed="false">
      <c r="A493" s="4" t="n">
        <v>509</v>
      </c>
      <c r="B493" s="5" t="n">
        <v>12.0891589239313</v>
      </c>
      <c r="C493" s="5" t="n">
        <f aca="false">B493</f>
        <v>12.0891589239313</v>
      </c>
      <c r="D493" s="5" t="n">
        <f aca="false">C493*LOG(C493)</f>
        <v>13.0852583125594</v>
      </c>
      <c r="E493" s="5"/>
      <c r="F493" s="5"/>
      <c r="G493" s="4" t="n">
        <v>492</v>
      </c>
      <c r="H493" s="6" t="n">
        <v>0.508</v>
      </c>
      <c r="J493" s="2" t="n">
        <f aca="false">B493/$B$1003</f>
        <v>0.00094273563821149</v>
      </c>
      <c r="K493" s="5" t="n">
        <f aca="false">J493*LOG(J493,2)</f>
        <v>-0.00947530307977653</v>
      </c>
    </row>
    <row r="494" customFormat="false" ht="13" hidden="false" customHeight="false" outlineLevel="0" collapsed="false">
      <c r="A494" s="4" t="n">
        <v>508</v>
      </c>
      <c r="B494" s="5" t="n">
        <v>12.0661111031825</v>
      </c>
      <c r="C494" s="5" t="n">
        <f aca="false">B494</f>
        <v>12.0661111031825</v>
      </c>
      <c r="D494" s="5" t="n">
        <f aca="false">C494*LOG(C494)</f>
        <v>13.0503114477976</v>
      </c>
      <c r="E494" s="5"/>
      <c r="F494" s="5"/>
      <c r="G494" s="4" t="n">
        <v>493</v>
      </c>
      <c r="H494" s="6" t="n">
        <v>0.507</v>
      </c>
      <c r="J494" s="2" t="n">
        <f aca="false">B494/$B$1003</f>
        <v>0.000940938325252025</v>
      </c>
      <c r="K494" s="5" t="n">
        <f aca="false">J494*LOG(J494,2)</f>
        <v>-0.00945982904162587</v>
      </c>
    </row>
    <row r="495" customFormat="false" ht="13" hidden="false" customHeight="false" outlineLevel="0" collapsed="false">
      <c r="A495" s="4" t="n">
        <v>507</v>
      </c>
      <c r="B495" s="5" t="n">
        <v>12.0302078793773</v>
      </c>
      <c r="C495" s="5" t="n">
        <f aca="false">B495</f>
        <v>12.0302078793773</v>
      </c>
      <c r="D495" s="5" t="n">
        <f aca="false">C495*LOG(C495)</f>
        <v>12.9959103434908</v>
      </c>
      <c r="E495" s="5"/>
      <c r="F495" s="5"/>
      <c r="G495" s="4" t="n">
        <v>494</v>
      </c>
      <c r="H495" s="6" t="n">
        <v>0.506</v>
      </c>
      <c r="J495" s="2" t="n">
        <f aca="false">B495/$B$1003</f>
        <v>0.000938138523477493</v>
      </c>
      <c r="K495" s="5" t="n">
        <f aca="false">J495*LOG(J495,2)</f>
        <v>-0.00943571416497349</v>
      </c>
    </row>
    <row r="496" customFormat="false" ht="13" hidden="false" customHeight="false" outlineLevel="0" collapsed="false">
      <c r="A496" s="4" t="n">
        <v>506</v>
      </c>
      <c r="B496" s="5" t="n">
        <v>12.0002145301829</v>
      </c>
      <c r="C496" s="5" t="n">
        <f aca="false">B496</f>
        <v>12.0002145301829</v>
      </c>
      <c r="D496" s="5" t="n">
        <f aca="false">C496*LOG(C496)</f>
        <v>12.950499639629</v>
      </c>
      <c r="E496" s="5"/>
      <c r="F496" s="5"/>
      <c r="G496" s="4" t="n">
        <v>495</v>
      </c>
      <c r="H496" s="6" t="n">
        <v>0.505</v>
      </c>
      <c r="J496" s="2" t="n">
        <f aca="false">B496/$B$1003</f>
        <v>0.000935799584981204</v>
      </c>
      <c r="K496" s="5" t="n">
        <f aca="false">J496*LOG(J496,2)</f>
        <v>-0.00941555949379535</v>
      </c>
    </row>
    <row r="497" customFormat="false" ht="13" hidden="false" customHeight="false" outlineLevel="0" collapsed="false">
      <c r="A497" s="4" t="n">
        <v>505</v>
      </c>
      <c r="B497" s="5" t="n">
        <v>11.9550453926836</v>
      </c>
      <c r="C497" s="5" t="n">
        <f aca="false">B497</f>
        <v>11.9550453926836</v>
      </c>
      <c r="D497" s="5" t="n">
        <f aca="false">C497*LOG(C497)</f>
        <v>12.8821738609979</v>
      </c>
      <c r="E497" s="5"/>
      <c r="F497" s="5"/>
      <c r="G497" s="4" t="n">
        <v>496</v>
      </c>
      <c r="H497" s="6" t="n">
        <v>0.504</v>
      </c>
      <c r="J497" s="2" t="n">
        <f aca="false">B497/$B$1003</f>
        <v>0.000932277209608713</v>
      </c>
      <c r="K497" s="5" t="n">
        <f aca="false">J497*LOG(J497,2)</f>
        <v>-0.0093851912065367</v>
      </c>
    </row>
    <row r="498" customFormat="false" ht="13" hidden="false" customHeight="false" outlineLevel="0" collapsed="false">
      <c r="A498" s="4" t="n">
        <v>504</v>
      </c>
      <c r="B498" s="5" t="n">
        <v>11.8948263007301</v>
      </c>
      <c r="C498" s="5" t="n">
        <f aca="false">B498</f>
        <v>11.8948263007301</v>
      </c>
      <c r="D498" s="5" t="n">
        <f aca="false">C498*LOG(C498)</f>
        <v>12.7911978635073</v>
      </c>
      <c r="E498" s="5"/>
      <c r="F498" s="5"/>
      <c r="G498" s="4" t="n">
        <v>497</v>
      </c>
      <c r="H498" s="6" t="n">
        <v>0.503</v>
      </c>
      <c r="J498" s="2" t="n">
        <f aca="false">B498/$B$1003</f>
        <v>0.000927581210123341</v>
      </c>
      <c r="K498" s="5" t="n">
        <f aca="false">J498*LOG(J498,2)</f>
        <v>-0.00934467460208524</v>
      </c>
    </row>
    <row r="499" customFormat="false" ht="13" hidden="false" customHeight="false" outlineLevel="0" collapsed="false">
      <c r="A499" s="4" t="n">
        <v>503</v>
      </c>
      <c r="B499" s="5" t="n">
        <v>11.8786858679355</v>
      </c>
      <c r="C499" s="5" t="n">
        <f aca="false">B499</f>
        <v>11.8786858679355</v>
      </c>
      <c r="D499" s="5" t="n">
        <f aca="false">C499*LOG(C499)</f>
        <v>12.7668361753793</v>
      </c>
      <c r="E499" s="5"/>
      <c r="F499" s="5"/>
      <c r="G499" s="4" t="n">
        <v>498</v>
      </c>
      <c r="H499" s="6" t="n">
        <v>0.502</v>
      </c>
      <c r="J499" s="2" t="n">
        <f aca="false">B499/$B$1003</f>
        <v>0.000926322548432534</v>
      </c>
      <c r="K499" s="5" t="n">
        <f aca="false">J499*LOG(J499,2)</f>
        <v>-0.00933380917608621</v>
      </c>
    </row>
    <row r="500" customFormat="false" ht="13" hidden="false" customHeight="false" outlineLevel="0" collapsed="false">
      <c r="A500" s="4" t="n">
        <v>502</v>
      </c>
      <c r="B500" s="5" t="n">
        <v>11.8595284585267</v>
      </c>
      <c r="C500" s="5" t="n">
        <f aca="false">B500</f>
        <v>11.8595284585267</v>
      </c>
      <c r="D500" s="5" t="n">
        <f aca="false">C500*LOG(C500)</f>
        <v>12.7379331526096</v>
      </c>
      <c r="E500" s="5"/>
      <c r="F500" s="5"/>
      <c r="G500" s="4" t="n">
        <v>499</v>
      </c>
      <c r="H500" s="6" t="n">
        <v>0.501</v>
      </c>
      <c r="J500" s="2" t="n">
        <f aca="false">B500/$B$1003</f>
        <v>0.000924828617159144</v>
      </c>
      <c r="K500" s="5" t="n">
        <f aca="false">J500*LOG(J500,2)</f>
        <v>-0.00932090957748357</v>
      </c>
    </row>
    <row r="501" customFormat="false" ht="13" hidden="false" customHeight="false" outlineLevel="0" collapsed="false">
      <c r="A501" s="4" t="n">
        <v>501</v>
      </c>
      <c r="B501" s="5" t="n">
        <v>11.8538896237436</v>
      </c>
      <c r="C501" s="5" t="n">
        <f aca="false">B501</f>
        <v>11.8538896237436</v>
      </c>
      <c r="D501" s="5" t="n">
        <f aca="false">C501*LOG(C501)</f>
        <v>12.7294283313261</v>
      </c>
      <c r="E501" s="5"/>
      <c r="F501" s="5"/>
      <c r="G501" s="4" t="n">
        <v>500</v>
      </c>
      <c r="H501" s="6" t="n">
        <v>0.5</v>
      </c>
      <c r="J501" s="2" t="n">
        <f aca="false">B501/$B$1003</f>
        <v>0.000924388890082884</v>
      </c>
      <c r="K501" s="5" t="n">
        <f aca="false">J501*LOG(J501,2)</f>
        <v>-0.0093171120177949</v>
      </c>
      <c r="L501" s="2" t="n">
        <f aca="false">SUM(J452:J501)</f>
        <v>0.0489636701288916</v>
      </c>
    </row>
    <row r="502" customFormat="false" ht="13" hidden="false" customHeight="false" outlineLevel="0" collapsed="false">
      <c r="A502" s="4" t="n">
        <v>500</v>
      </c>
      <c r="B502" s="5" t="n">
        <v>11.7984735664503</v>
      </c>
      <c r="C502" s="5" t="n">
        <f aca="false">B502</f>
        <v>11.7984735664503</v>
      </c>
      <c r="D502" s="5" t="n">
        <f aca="false">C502*LOG(C502)</f>
        <v>12.6459086507666</v>
      </c>
      <c r="E502" s="5"/>
      <c r="F502" s="5"/>
      <c r="G502" s="4" t="n">
        <v>501</v>
      </c>
      <c r="H502" s="6" t="n">
        <v>0.499</v>
      </c>
      <c r="J502" s="2" t="n">
        <f aca="false">B502/$B$1003</f>
        <v>0.000920067440388306</v>
      </c>
      <c r="K502" s="5" t="n">
        <f aca="false">J502*LOG(J502,2)</f>
        <v>-0.00927977514648137</v>
      </c>
    </row>
    <row r="503" customFormat="false" ht="13" hidden="false" customHeight="false" outlineLevel="0" collapsed="false">
      <c r="A503" s="4" t="n">
        <v>499</v>
      </c>
      <c r="B503" s="5" t="n">
        <v>11.7362006836333</v>
      </c>
      <c r="C503" s="5" t="n">
        <f aca="false">B503</f>
        <v>11.7362006836333</v>
      </c>
      <c r="D503" s="5" t="n">
        <f aca="false">C503*LOG(C503)</f>
        <v>12.5521896951216</v>
      </c>
      <c r="E503" s="5"/>
      <c r="F503" s="5"/>
      <c r="G503" s="4" t="n">
        <v>502</v>
      </c>
      <c r="H503" s="6" t="n">
        <v>0.498</v>
      </c>
      <c r="J503" s="2" t="n">
        <f aca="false">B503/$B$1003</f>
        <v>0.000915211282379697</v>
      </c>
      <c r="K503" s="5" t="n">
        <f aca="false">J503*LOG(J503,2)</f>
        <v>-0.00923778350264671</v>
      </c>
    </row>
    <row r="504" customFormat="false" ht="13" hidden="false" customHeight="false" outlineLevel="0" collapsed="false">
      <c r="A504" s="4" t="n">
        <v>498</v>
      </c>
      <c r="B504" s="5" t="n">
        <v>11.7171332543466</v>
      </c>
      <c r="C504" s="5" t="n">
        <f aca="false">B504</f>
        <v>11.7171332543466</v>
      </c>
      <c r="D504" s="5" t="n">
        <f aca="false">C504*LOG(C504)</f>
        <v>12.5235224057902</v>
      </c>
      <c r="E504" s="5"/>
      <c r="F504" s="5"/>
      <c r="G504" s="4" t="n">
        <v>503</v>
      </c>
      <c r="H504" s="6" t="n">
        <v>0.497</v>
      </c>
      <c r="J504" s="2" t="n">
        <f aca="false">B504/$B$1003</f>
        <v>0.000913724367927607</v>
      </c>
      <c r="K504" s="5" t="n">
        <f aca="false">J504*LOG(J504,2)</f>
        <v>-0.00922491859229039</v>
      </c>
    </row>
    <row r="505" customFormat="false" ht="13" hidden="false" customHeight="false" outlineLevel="0" collapsed="false">
      <c r="A505" s="4" t="n">
        <v>497</v>
      </c>
      <c r="B505" s="5" t="n">
        <v>11.7011037860542</v>
      </c>
      <c r="C505" s="5" t="n">
        <f aca="false">B505</f>
        <v>11.7011037860542</v>
      </c>
      <c r="D505" s="5" t="n">
        <f aca="false">C505*LOG(C505)</f>
        <v>12.4994330218913</v>
      </c>
      <c r="E505" s="5"/>
      <c r="F505" s="5"/>
      <c r="G505" s="4" t="n">
        <v>504</v>
      </c>
      <c r="H505" s="6" t="n">
        <v>0.496</v>
      </c>
      <c r="J505" s="2" t="n">
        <f aca="false">B505/$B$1003</f>
        <v>0.000912474359460025</v>
      </c>
      <c r="K505" s="5" t="n">
        <f aca="false">J505*LOG(J505,2)</f>
        <v>-0.00921410071202468</v>
      </c>
    </row>
    <row r="506" customFormat="false" ht="13" hidden="false" customHeight="false" outlineLevel="0" collapsed="false">
      <c r="A506" s="4" t="n">
        <v>496</v>
      </c>
      <c r="B506" s="5" t="n">
        <v>11.6923545786255</v>
      </c>
      <c r="C506" s="5" t="n">
        <f aca="false">B506</f>
        <v>11.6923545786255</v>
      </c>
      <c r="D506" s="5" t="n">
        <f aca="false">C506*LOG(C506)</f>
        <v>12.4862885721864</v>
      </c>
      <c r="E506" s="5"/>
      <c r="F506" s="5"/>
      <c r="G506" s="4" t="n">
        <v>505</v>
      </c>
      <c r="H506" s="6" t="n">
        <v>0.495</v>
      </c>
      <c r="J506" s="2" t="n">
        <f aca="false">B506/$B$1003</f>
        <v>0.000911792079600771</v>
      </c>
      <c r="K506" s="5" t="n">
        <f aca="false">J506*LOG(J506,2)</f>
        <v>-0.00920819505256127</v>
      </c>
    </row>
    <row r="507" customFormat="false" ht="13" hidden="false" customHeight="false" outlineLevel="0" collapsed="false">
      <c r="A507" s="4" t="n">
        <v>495</v>
      </c>
      <c r="B507" s="5" t="n">
        <v>11.6579551859311</v>
      </c>
      <c r="C507" s="5" t="n">
        <f aca="false">B507</f>
        <v>11.6579551859311</v>
      </c>
      <c r="D507" s="5" t="n">
        <f aca="false">C507*LOG(C507)</f>
        <v>12.4346359241357</v>
      </c>
      <c r="E507" s="5"/>
      <c r="F507" s="5"/>
      <c r="G507" s="4" t="n">
        <v>506</v>
      </c>
      <c r="H507" s="6" t="n">
        <v>0.494</v>
      </c>
      <c r="J507" s="2" t="n">
        <f aca="false">B507/$B$1003</f>
        <v>0.000909109549440497</v>
      </c>
      <c r="K507" s="5" t="n">
        <f aca="false">J507*LOG(J507,2)</f>
        <v>-0.0091849685347575</v>
      </c>
    </row>
    <row r="508" customFormat="false" ht="13" hidden="false" customHeight="false" outlineLevel="0" collapsed="false">
      <c r="A508" s="4" t="n">
        <v>494</v>
      </c>
      <c r="B508" s="5" t="n">
        <v>11.5997980176244</v>
      </c>
      <c r="C508" s="5" t="n">
        <f aca="false">B508</f>
        <v>11.5997980176244</v>
      </c>
      <c r="D508" s="5" t="n">
        <f aca="false">C508*LOG(C508)</f>
        <v>12.3474099542113</v>
      </c>
      <c r="E508" s="5"/>
      <c r="F508" s="5"/>
      <c r="G508" s="4" t="n">
        <v>507</v>
      </c>
      <c r="H508" s="6" t="n">
        <v>0.493</v>
      </c>
      <c r="J508" s="2" t="n">
        <f aca="false">B508/$B$1003</f>
        <v>0.000904574342688293</v>
      </c>
      <c r="K508" s="5" t="n">
        <f aca="false">J508*LOG(J508,2)</f>
        <v>-0.00914567474282284</v>
      </c>
    </row>
    <row r="509" customFormat="false" ht="13" hidden="false" customHeight="false" outlineLevel="0" collapsed="false">
      <c r="A509" s="4" t="n">
        <v>493</v>
      </c>
      <c r="B509" s="5" t="n">
        <v>11.5954641233717</v>
      </c>
      <c r="C509" s="5" t="n">
        <f aca="false">B509</f>
        <v>11.5954641233717</v>
      </c>
      <c r="D509" s="5" t="n">
        <f aca="false">C509*LOG(C509)</f>
        <v>12.3409149039172</v>
      </c>
      <c r="E509" s="5"/>
      <c r="F509" s="5"/>
      <c r="G509" s="4" t="n">
        <v>508</v>
      </c>
      <c r="H509" s="6" t="n">
        <v>0.492</v>
      </c>
      <c r="J509" s="2" t="n">
        <f aca="false">B509/$B$1003</f>
        <v>0.000904236377360027</v>
      </c>
      <c r="K509" s="5" t="n">
        <f aca="false">J509*LOG(J509,2)</f>
        <v>-0.0091427452432011</v>
      </c>
    </row>
    <row r="510" customFormat="false" ht="13" hidden="false" customHeight="false" outlineLevel="0" collapsed="false">
      <c r="A510" s="4" t="n">
        <v>492</v>
      </c>
      <c r="B510" s="5" t="n">
        <v>11.5204183939471</v>
      </c>
      <c r="C510" s="5" t="n">
        <f aca="false">B510</f>
        <v>11.5204183939471</v>
      </c>
      <c r="D510" s="5" t="n">
        <f aca="false">C510*LOG(C510)</f>
        <v>12.2285583738589</v>
      </c>
      <c r="E510" s="5"/>
      <c r="F510" s="5"/>
      <c r="G510" s="4" t="n">
        <v>509</v>
      </c>
      <c r="H510" s="6" t="n">
        <v>0.491</v>
      </c>
      <c r="J510" s="2" t="n">
        <f aca="false">B510/$B$1003</f>
        <v>0.000898384168445464</v>
      </c>
      <c r="K510" s="5" t="n">
        <f aca="false">J510*LOG(J510,2)</f>
        <v>-0.00909198905846749</v>
      </c>
    </row>
    <row r="511" customFormat="false" ht="13" hidden="false" customHeight="false" outlineLevel="0" collapsed="false">
      <c r="A511" s="4" t="n">
        <v>491</v>
      </c>
      <c r="B511" s="5" t="n">
        <v>11.4471626957229</v>
      </c>
      <c r="C511" s="5" t="n">
        <f aca="false">B511</f>
        <v>11.4471626957229</v>
      </c>
      <c r="D511" s="5" t="n">
        <f aca="false">C511*LOG(C511)</f>
        <v>12.1190865961971</v>
      </c>
      <c r="E511" s="5"/>
      <c r="F511" s="5"/>
      <c r="G511" s="4" t="n">
        <v>510</v>
      </c>
      <c r="H511" s="6" t="n">
        <v>0.49</v>
      </c>
      <c r="J511" s="2" t="n">
        <f aca="false">B511/$B$1003</f>
        <v>0.00089267154957325</v>
      </c>
      <c r="K511" s="5" t="n">
        <f aca="false">J511*LOG(J511,2)</f>
        <v>-0.00904239049348231</v>
      </c>
    </row>
    <row r="512" customFormat="false" ht="13" hidden="false" customHeight="false" outlineLevel="0" collapsed="false">
      <c r="A512" s="4" t="n">
        <v>490</v>
      </c>
      <c r="B512" s="5" t="n">
        <v>11.4106182463951</v>
      </c>
      <c r="C512" s="5" t="n">
        <f aca="false">B512</f>
        <v>11.4106182463951</v>
      </c>
      <c r="D512" s="5" t="n">
        <f aca="false">C512*LOG(C512)</f>
        <v>12.0645513741221</v>
      </c>
      <c r="E512" s="5"/>
      <c r="F512" s="5"/>
      <c r="G512" s="4" t="n">
        <v>511</v>
      </c>
      <c r="H512" s="6" t="n">
        <v>0.489</v>
      </c>
      <c r="J512" s="2" t="n">
        <f aca="false">B512/$B$1003</f>
        <v>0.000889821743811171</v>
      </c>
      <c r="K512" s="5" t="n">
        <f aca="false">J512*LOG(J512,2)</f>
        <v>-0.00901762798060512</v>
      </c>
    </row>
    <row r="513" customFormat="false" ht="13" hidden="false" customHeight="false" outlineLevel="0" collapsed="false">
      <c r="A513" s="4" t="n">
        <v>489</v>
      </c>
      <c r="B513" s="5" t="n">
        <v>11.3942277006349</v>
      </c>
      <c r="C513" s="5" t="n">
        <f aca="false">B513</f>
        <v>11.3942277006349</v>
      </c>
      <c r="D513" s="5" t="n">
        <f aca="false">C513*LOG(C513)</f>
        <v>12.0401082910472</v>
      </c>
      <c r="E513" s="5"/>
      <c r="F513" s="5"/>
      <c r="G513" s="4" t="n">
        <v>512</v>
      </c>
      <c r="H513" s="6" t="n">
        <v>0.488</v>
      </c>
      <c r="J513" s="2" t="n">
        <f aca="false">B513/$B$1003</f>
        <v>0.000888543577834935</v>
      </c>
      <c r="K513" s="5" t="n">
        <f aca="false">J513*LOG(J513,2)</f>
        <v>-0.00900651747473761</v>
      </c>
    </row>
    <row r="514" customFormat="false" ht="13" hidden="false" customHeight="false" outlineLevel="0" collapsed="false">
      <c r="A514" s="4" t="n">
        <v>488</v>
      </c>
      <c r="B514" s="5" t="n">
        <v>11.3367795100255</v>
      </c>
      <c r="C514" s="5" t="n">
        <f aca="false">B514</f>
        <v>11.3367795100255</v>
      </c>
      <c r="D514" s="5" t="n">
        <f aca="false">C514*LOG(C514)</f>
        <v>11.9545172255025</v>
      </c>
      <c r="E514" s="5"/>
      <c r="F514" s="5"/>
      <c r="G514" s="4" t="n">
        <v>513</v>
      </c>
      <c r="H514" s="6" t="n">
        <v>0.487</v>
      </c>
      <c r="J514" s="2" t="n">
        <f aca="false">B514/$B$1003</f>
        <v>0.000884063658513914</v>
      </c>
      <c r="K514" s="5" t="n">
        <f aca="false">J514*LOG(J514,2)</f>
        <v>-0.00896755464035534</v>
      </c>
    </row>
    <row r="515" customFormat="false" ht="13" hidden="false" customHeight="false" outlineLevel="0" collapsed="false">
      <c r="A515" s="4" t="n">
        <v>487</v>
      </c>
      <c r="B515" s="5" t="n">
        <v>11.3241095236615</v>
      </c>
      <c r="C515" s="5" t="n">
        <f aca="false">B515</f>
        <v>11.3241095236615</v>
      </c>
      <c r="D515" s="5" t="n">
        <f aca="false">C515*LOG(C515)</f>
        <v>11.9356574261641</v>
      </c>
      <c r="E515" s="5"/>
      <c r="F515" s="5"/>
      <c r="G515" s="4" t="n">
        <v>514</v>
      </c>
      <c r="H515" s="6" t="n">
        <v>0.486</v>
      </c>
      <c r="J515" s="2" t="n">
        <f aca="false">B515/$B$1003</f>
        <v>0.000883075628845666</v>
      </c>
      <c r="K515" s="5" t="n">
        <f aca="false">J515*LOG(J515,2)</f>
        <v>-0.00895895712871448</v>
      </c>
    </row>
    <row r="516" customFormat="false" ht="13" hidden="false" customHeight="false" outlineLevel="0" collapsed="false">
      <c r="A516" s="4" t="n">
        <v>486</v>
      </c>
      <c r="B516" s="5" t="n">
        <v>11.2911711071416</v>
      </c>
      <c r="C516" s="5" t="n">
        <f aca="false">B516</f>
        <v>11.2911711071416</v>
      </c>
      <c r="D516" s="5" t="n">
        <f aca="false">C516*LOG(C516)</f>
        <v>11.8866560534733</v>
      </c>
      <c r="E516" s="5"/>
      <c r="F516" s="5"/>
      <c r="G516" s="4" t="n">
        <v>515</v>
      </c>
      <c r="H516" s="6" t="n">
        <v>0.485</v>
      </c>
      <c r="J516" s="2" t="n">
        <f aca="false">B516/$B$1003</f>
        <v>0.00088050702839009</v>
      </c>
      <c r="K516" s="5" t="n">
        <f aca="false">J516*LOG(J516,2)</f>
        <v>-0.00893659853912527</v>
      </c>
    </row>
    <row r="517" customFormat="false" ht="13" hidden="false" customHeight="false" outlineLevel="0" collapsed="false">
      <c r="A517" s="4" t="n">
        <v>485</v>
      </c>
      <c r="B517" s="5" t="n">
        <v>11.284798267224</v>
      </c>
      <c r="C517" s="5" t="n">
        <f aca="false">B517</f>
        <v>11.284798267224</v>
      </c>
      <c r="D517" s="5" t="n">
        <f aca="false">C517*LOG(C517)</f>
        <v>11.877180208414</v>
      </c>
      <c r="E517" s="5"/>
      <c r="F517" s="5"/>
      <c r="G517" s="4" t="n">
        <v>516</v>
      </c>
      <c r="H517" s="6" t="n">
        <v>0.484</v>
      </c>
      <c r="J517" s="2" t="n">
        <f aca="false">B517/$B$1003</f>
        <v>0.000880010062195437</v>
      </c>
      <c r="K517" s="5" t="n">
        <f aca="false">J517*LOG(J517,2)</f>
        <v>-0.00893227140972636</v>
      </c>
    </row>
    <row r="518" customFormat="false" ht="13" hidden="false" customHeight="false" outlineLevel="0" collapsed="false">
      <c r="A518" s="4" t="n">
        <v>484</v>
      </c>
      <c r="B518" s="5" t="n">
        <v>11.2840525083694</v>
      </c>
      <c r="C518" s="5" t="n">
        <f aca="false">B518</f>
        <v>11.2840525083694</v>
      </c>
      <c r="D518" s="5" t="n">
        <f aca="false">C518*LOG(C518)</f>
        <v>11.87607143359</v>
      </c>
      <c r="E518" s="5"/>
      <c r="F518" s="5"/>
      <c r="G518" s="4" t="n">
        <v>517</v>
      </c>
      <c r="H518" s="6" t="n">
        <v>0.483</v>
      </c>
      <c r="J518" s="2" t="n">
        <f aca="false">B518/$B$1003</f>
        <v>0.000879951906499564</v>
      </c>
      <c r="K518" s="5" t="n">
        <f aca="false">J518*LOG(J518,2)</f>
        <v>-0.0089317650163881</v>
      </c>
    </row>
    <row r="519" customFormat="false" ht="13" hidden="false" customHeight="false" outlineLevel="0" collapsed="false">
      <c r="A519" s="4" t="n">
        <v>483</v>
      </c>
      <c r="B519" s="5" t="n">
        <v>11.2790909655432</v>
      </c>
      <c r="C519" s="5" t="n">
        <f aca="false">B519</f>
        <v>11.2790909655432</v>
      </c>
      <c r="D519" s="5" t="n">
        <f aca="false">C519*LOG(C519)</f>
        <v>11.8686952860506</v>
      </c>
      <c r="E519" s="5"/>
      <c r="F519" s="5"/>
      <c r="G519" s="4" t="n">
        <v>518</v>
      </c>
      <c r="H519" s="6" t="n">
        <v>0.482</v>
      </c>
      <c r="J519" s="2" t="n">
        <f aca="false">B519/$B$1003</f>
        <v>0.000879564995940096</v>
      </c>
      <c r="K519" s="5" t="n">
        <f aca="false">J519*LOG(J519,2)</f>
        <v>-0.00892839583410375</v>
      </c>
    </row>
    <row r="520" customFormat="false" ht="13" hidden="false" customHeight="false" outlineLevel="0" collapsed="false">
      <c r="A520" s="4" t="n">
        <v>482</v>
      </c>
      <c r="B520" s="5" t="n">
        <v>11.2666916069828</v>
      </c>
      <c r="C520" s="5" t="n">
        <f aca="false">B520</f>
        <v>11.2666916069828</v>
      </c>
      <c r="D520" s="5" t="n">
        <f aca="false">C520*LOG(C520)</f>
        <v>11.8502657501846</v>
      </c>
      <c r="E520" s="5"/>
      <c r="F520" s="5"/>
      <c r="G520" s="4" t="n">
        <v>519</v>
      </c>
      <c r="H520" s="6" t="n">
        <v>0.481</v>
      </c>
      <c r="J520" s="2" t="n">
        <f aca="false">B520/$B$1003</f>
        <v>0.000878598070343416</v>
      </c>
      <c r="K520" s="5" t="n">
        <f aca="false">J520*LOG(J520,2)</f>
        <v>-0.00891997485932547</v>
      </c>
    </row>
    <row r="521" customFormat="false" ht="13" hidden="false" customHeight="false" outlineLevel="0" collapsed="false">
      <c r="A521" s="4" t="n">
        <v>481</v>
      </c>
      <c r="B521" s="5" t="n">
        <v>11.2333204185808</v>
      </c>
      <c r="C521" s="5" t="n">
        <f aca="false">B521</f>
        <v>11.2333204185808</v>
      </c>
      <c r="D521" s="5" t="n">
        <f aca="false">C521*LOG(C521)</f>
        <v>11.8006946159087</v>
      </c>
      <c r="E521" s="5"/>
      <c r="F521" s="5"/>
      <c r="G521" s="4" t="n">
        <v>520</v>
      </c>
      <c r="H521" s="6" t="n">
        <v>0.48</v>
      </c>
      <c r="J521" s="2" t="n">
        <f aca="false">B521/$B$1003</f>
        <v>0.000875995721512205</v>
      </c>
      <c r="K521" s="5" t="n">
        <f aca="false">J521*LOG(J521,2)</f>
        <v>-0.00889730331938967</v>
      </c>
    </row>
    <row r="522" customFormat="false" ht="13" hidden="false" customHeight="false" outlineLevel="0" collapsed="false">
      <c r="A522" s="4" t="n">
        <v>480</v>
      </c>
      <c r="B522" s="5" t="n">
        <v>11.0849238081096</v>
      </c>
      <c r="C522" s="5" t="n">
        <f aca="false">B522</f>
        <v>11.0849238081096</v>
      </c>
      <c r="D522" s="5" t="n">
        <f aca="false">C522*LOG(C522)</f>
        <v>11.5807825162473</v>
      </c>
      <c r="E522" s="5"/>
      <c r="F522" s="5"/>
      <c r="G522" s="4" t="n">
        <v>521</v>
      </c>
      <c r="H522" s="6" t="n">
        <v>0.479</v>
      </c>
      <c r="J522" s="2" t="n">
        <f aca="false">B522/$B$1003</f>
        <v>0.00086442347118766</v>
      </c>
      <c r="K522" s="5" t="n">
        <f aca="false">J522*LOG(J522,2)</f>
        <v>-0.0087963508837673</v>
      </c>
    </row>
    <row r="523" customFormat="false" ht="13" hidden="false" customHeight="false" outlineLevel="0" collapsed="false">
      <c r="A523" s="4" t="n">
        <v>479</v>
      </c>
      <c r="B523" s="5" t="n">
        <v>11.0436019737185</v>
      </c>
      <c r="C523" s="5" t="n">
        <f aca="false">B523</f>
        <v>11.0436019737185</v>
      </c>
      <c r="D523" s="5" t="n">
        <f aca="false">C523*LOG(C523)</f>
        <v>11.519699889926</v>
      </c>
      <c r="E523" s="5"/>
      <c r="F523" s="5"/>
      <c r="G523" s="4" t="n">
        <v>522</v>
      </c>
      <c r="H523" s="6" t="n">
        <v>0.478</v>
      </c>
      <c r="J523" s="2" t="n">
        <f aca="false">B523/$B$1003</f>
        <v>0.000861201115839212</v>
      </c>
      <c r="K523" s="5" t="n">
        <f aca="false">J523*LOG(J523,2)</f>
        <v>-0.00876820047945866</v>
      </c>
    </row>
    <row r="524" customFormat="false" ht="13" hidden="false" customHeight="false" outlineLevel="0" collapsed="false">
      <c r="A524" s="4" t="n">
        <v>478</v>
      </c>
      <c r="B524" s="5" t="n">
        <v>11.0430724787002</v>
      </c>
      <c r="C524" s="5" t="n">
        <f aca="false">B524</f>
        <v>11.0430724787002</v>
      </c>
      <c r="D524" s="5" t="n">
        <f aca="false">C524*LOG(C524)</f>
        <v>11.5189176167308</v>
      </c>
      <c r="E524" s="5"/>
      <c r="F524" s="5"/>
      <c r="G524" s="4" t="n">
        <v>523</v>
      </c>
      <c r="H524" s="6" t="n">
        <v>0.477</v>
      </c>
      <c r="J524" s="2" t="n">
        <f aca="false">B524/$B$1003</f>
        <v>0.000861159824809191</v>
      </c>
      <c r="K524" s="5" t="n">
        <f aca="false">J524*LOG(J524,2)</f>
        <v>-0.00876783964946293</v>
      </c>
    </row>
    <row r="525" customFormat="false" ht="13" hidden="false" customHeight="false" outlineLevel="0" collapsed="false">
      <c r="A525" s="4" t="n">
        <v>477</v>
      </c>
      <c r="B525" s="5" t="n">
        <v>10.9972845740676</v>
      </c>
      <c r="C525" s="5" t="n">
        <f aca="false">B525</f>
        <v>10.9972845740676</v>
      </c>
      <c r="D525" s="5" t="n">
        <f aca="false">C525*LOG(C525)</f>
        <v>11.4513125631094</v>
      </c>
      <c r="E525" s="5"/>
      <c r="F525" s="5"/>
      <c r="G525" s="4" t="n">
        <v>524</v>
      </c>
      <c r="H525" s="6" t="n">
        <v>0.476</v>
      </c>
      <c r="J525" s="2" t="n">
        <f aca="false">B525/$B$1003</f>
        <v>0.000857589196797124</v>
      </c>
      <c r="K525" s="5" t="n">
        <f aca="false">J525*LOG(J525,2)</f>
        <v>-0.00873662617849055</v>
      </c>
    </row>
    <row r="526" customFormat="false" ht="13" hidden="false" customHeight="false" outlineLevel="0" collapsed="false">
      <c r="A526" s="4" t="n">
        <v>476</v>
      </c>
      <c r="B526" s="5" t="n">
        <v>10.9862630036012</v>
      </c>
      <c r="C526" s="5" t="n">
        <f aca="false">B526</f>
        <v>10.9862630036012</v>
      </c>
      <c r="D526" s="5" t="n">
        <f aca="false">C526*LOG(C526)</f>
        <v>11.4350517541547</v>
      </c>
      <c r="E526" s="5"/>
      <c r="F526" s="5"/>
      <c r="G526" s="4" t="n">
        <v>525</v>
      </c>
      <c r="H526" s="6" t="n">
        <v>0.475</v>
      </c>
      <c r="J526" s="2" t="n">
        <f aca="false">B526/$B$1003</f>
        <v>0.00085672971374018</v>
      </c>
      <c r="K526" s="5" t="n">
        <f aca="false">J526*LOG(J526,2)</f>
        <v>-0.00872910960913382</v>
      </c>
    </row>
    <row r="527" customFormat="false" ht="13" hidden="false" customHeight="false" outlineLevel="0" collapsed="false">
      <c r="A527" s="4" t="n">
        <v>475</v>
      </c>
      <c r="B527" s="5" t="n">
        <v>10.8895639996593</v>
      </c>
      <c r="C527" s="5" t="n">
        <f aca="false">B527</f>
        <v>10.8895639996593</v>
      </c>
      <c r="D527" s="5" t="n">
        <f aca="false">C527*LOG(C527)</f>
        <v>11.2925921172801</v>
      </c>
      <c r="E527" s="5"/>
      <c r="F527" s="5"/>
      <c r="G527" s="4" t="n">
        <v>526</v>
      </c>
      <c r="H527" s="6" t="n">
        <v>0.474</v>
      </c>
      <c r="J527" s="2" t="n">
        <f aca="false">B527/$B$1003</f>
        <v>0.000849188941237386</v>
      </c>
      <c r="K527" s="5" t="n">
        <f aca="false">J527*LOG(J527,2)</f>
        <v>-0.00866310865781044</v>
      </c>
    </row>
    <row r="528" customFormat="false" ht="13" hidden="false" customHeight="false" outlineLevel="0" collapsed="false">
      <c r="A528" s="4" t="n">
        <v>474</v>
      </c>
      <c r="B528" s="5" t="n">
        <v>10.8878494885994</v>
      </c>
      <c r="C528" s="5" t="n">
        <f aca="false">B528</f>
        <v>10.8878494885994</v>
      </c>
      <c r="D528" s="5" t="n">
        <f aca="false">C528*LOG(C528)</f>
        <v>11.2900696072505</v>
      </c>
      <c r="E528" s="5"/>
      <c r="F528" s="5"/>
      <c r="G528" s="4" t="n">
        <v>527</v>
      </c>
      <c r="H528" s="6" t="n">
        <v>0.473</v>
      </c>
      <c r="J528" s="2" t="n">
        <f aca="false">B528/$B$1003</f>
        <v>0.000849055240399428</v>
      </c>
      <c r="K528" s="5" t="n">
        <f aca="false">J528*LOG(J528,2)</f>
        <v>-0.00866193756610959</v>
      </c>
    </row>
    <row r="529" customFormat="false" ht="13" hidden="false" customHeight="false" outlineLevel="0" collapsed="false">
      <c r="A529" s="4" t="n">
        <v>473</v>
      </c>
      <c r="B529" s="5" t="n">
        <v>10.8606418400746</v>
      </c>
      <c r="C529" s="5" t="n">
        <f aca="false">B529</f>
        <v>10.8606418400746</v>
      </c>
      <c r="D529" s="5" t="n">
        <f aca="false">C529*LOG(C529)</f>
        <v>11.2500554951777</v>
      </c>
      <c r="E529" s="5"/>
      <c r="F529" s="5"/>
      <c r="G529" s="4" t="n">
        <v>528</v>
      </c>
      <c r="H529" s="6" t="n">
        <v>0.472</v>
      </c>
      <c r="J529" s="2" t="n">
        <f aca="false">B529/$B$1003</f>
        <v>0.000846933536147076</v>
      </c>
      <c r="K529" s="5" t="n">
        <f aca="false">J529*LOG(J529,2)</f>
        <v>-0.00864334939366331</v>
      </c>
    </row>
    <row r="530" customFormat="false" ht="13" hidden="false" customHeight="false" outlineLevel="0" collapsed="false">
      <c r="A530" s="4" t="n">
        <v>472</v>
      </c>
      <c r="B530" s="5" t="n">
        <v>10.785624242248</v>
      </c>
      <c r="C530" s="5" t="n">
        <f aca="false">B530</f>
        <v>10.785624242248</v>
      </c>
      <c r="D530" s="5" t="n">
        <f aca="false">C530*LOG(C530)</f>
        <v>11.1398811544761</v>
      </c>
      <c r="E530" s="5"/>
      <c r="F530" s="5"/>
      <c r="G530" s="4" t="n">
        <v>529</v>
      </c>
      <c r="H530" s="6" t="n">
        <v>0.471</v>
      </c>
      <c r="J530" s="2" t="n">
        <f aca="false">B530/$B$1003</f>
        <v>0.000841083520988111</v>
      </c>
      <c r="K530" s="5" t="n">
        <f aca="false">J530*LOG(J530,2)</f>
        <v>-0.00859205784925424</v>
      </c>
    </row>
    <row r="531" customFormat="false" ht="13" hidden="false" customHeight="false" outlineLevel="0" collapsed="false">
      <c r="A531" s="4" t="n">
        <v>471</v>
      </c>
      <c r="B531" s="5" t="n">
        <v>10.7572887846463</v>
      </c>
      <c r="C531" s="5" t="n">
        <f aca="false">B531</f>
        <v>10.7572887846463</v>
      </c>
      <c r="D531" s="5" t="n">
        <f aca="false">C531*LOG(C531)</f>
        <v>11.0983252567317</v>
      </c>
      <c r="E531" s="5"/>
      <c r="F531" s="5"/>
      <c r="G531" s="4" t="n">
        <v>530</v>
      </c>
      <c r="H531" s="6" t="n">
        <v>0.47</v>
      </c>
      <c r="J531" s="2" t="n">
        <f aca="false">B531/$B$1003</f>
        <v>0.000838873868035887</v>
      </c>
      <c r="K531" s="5" t="n">
        <f aca="false">J531*LOG(J531,2)</f>
        <v>-0.00857266888478965</v>
      </c>
    </row>
    <row r="532" customFormat="false" ht="13" hidden="false" customHeight="false" outlineLevel="0" collapsed="false">
      <c r="A532" s="4" t="n">
        <v>470</v>
      </c>
      <c r="B532" s="5" t="n">
        <v>10.7147320084023</v>
      </c>
      <c r="C532" s="5" t="n">
        <f aca="false">B532</f>
        <v>10.7147320084023</v>
      </c>
      <c r="D532" s="5" t="n">
        <f aca="false">C532*LOG(C532)</f>
        <v>11.0359737441083</v>
      </c>
      <c r="E532" s="5"/>
      <c r="F532" s="5"/>
      <c r="G532" s="4" t="n">
        <v>531</v>
      </c>
      <c r="H532" s="6" t="n">
        <v>0.469</v>
      </c>
      <c r="J532" s="2" t="n">
        <f aca="false">B532/$B$1003</f>
        <v>0.000835555209569648</v>
      </c>
      <c r="K532" s="5" t="n">
        <f aca="false">J532*LOG(J532,2)</f>
        <v>-0.00854353298523148</v>
      </c>
    </row>
    <row r="533" customFormat="false" ht="13" hidden="false" customHeight="false" outlineLevel="0" collapsed="false">
      <c r="A533" s="4" t="n">
        <v>469</v>
      </c>
      <c r="B533" s="5" t="n">
        <v>10.705542649935</v>
      </c>
      <c r="C533" s="5" t="n">
        <f aca="false">B533</f>
        <v>10.705542649935</v>
      </c>
      <c r="D533" s="5" t="n">
        <f aca="false">C533*LOG(C533)</f>
        <v>11.02251970079</v>
      </c>
      <c r="E533" s="5"/>
      <c r="F533" s="5"/>
      <c r="G533" s="4" t="n">
        <v>532</v>
      </c>
      <c r="H533" s="6" t="n">
        <v>0.468</v>
      </c>
      <c r="J533" s="2" t="n">
        <f aca="false">B533/$B$1003</f>
        <v>0.000834838605894082</v>
      </c>
      <c r="K533" s="5" t="n">
        <f aca="false">J533*LOG(J533,2)</f>
        <v>-0.00853723912608379</v>
      </c>
    </row>
    <row r="534" customFormat="false" ht="13" hidden="false" customHeight="false" outlineLevel="0" collapsed="false">
      <c r="A534" s="4" t="n">
        <v>468</v>
      </c>
      <c r="B534" s="5" t="n">
        <v>10.7022725455808</v>
      </c>
      <c r="C534" s="5" t="n">
        <f aca="false">B534</f>
        <v>10.7022725455808</v>
      </c>
      <c r="D534" s="5" t="n">
        <f aca="false">C534*LOG(C534)</f>
        <v>11.0177328015932</v>
      </c>
      <c r="E534" s="5"/>
      <c r="F534" s="5"/>
      <c r="G534" s="4" t="n">
        <v>533</v>
      </c>
      <c r="H534" s="6" t="n">
        <v>0.467</v>
      </c>
      <c r="J534" s="2" t="n">
        <f aca="false">B534/$B$1003</f>
        <v>0.000834583596928215</v>
      </c>
      <c r="K534" s="5" t="n">
        <f aca="false">J534*LOG(J534,2)</f>
        <v>-0.00853499919353156</v>
      </c>
    </row>
    <row r="535" customFormat="false" ht="13" hidden="false" customHeight="false" outlineLevel="0" collapsed="false">
      <c r="A535" s="4" t="n">
        <v>467</v>
      </c>
      <c r="B535" s="5" t="n">
        <v>10.6791398953744</v>
      </c>
      <c r="C535" s="5" t="n">
        <f aca="false">B535</f>
        <v>10.6791398953744</v>
      </c>
      <c r="D535" s="5" t="n">
        <f aca="false">C535*LOG(C535)</f>
        <v>10.9838827762131</v>
      </c>
      <c r="E535" s="5"/>
      <c r="F535" s="5"/>
      <c r="G535" s="4" t="n">
        <v>534</v>
      </c>
      <c r="H535" s="6" t="n">
        <v>0.466</v>
      </c>
      <c r="J535" s="2" t="n">
        <f aca="false">B535/$B$1003</f>
        <v>0.000832779668806081</v>
      </c>
      <c r="K535" s="5" t="n">
        <f aca="false">J535*LOG(J535,2)</f>
        <v>-0.00851915074500755</v>
      </c>
    </row>
    <row r="536" customFormat="false" ht="13" hidden="false" customHeight="false" outlineLevel="0" collapsed="false">
      <c r="A536" s="4" t="n">
        <v>466</v>
      </c>
      <c r="B536" s="5" t="n">
        <v>10.5260146508663</v>
      </c>
      <c r="C536" s="5" t="n">
        <f aca="false">B536</f>
        <v>10.5260146508663</v>
      </c>
      <c r="D536" s="5" t="n">
        <f aca="false">C536*LOG(C536)</f>
        <v>10.7603655269997</v>
      </c>
      <c r="E536" s="5"/>
      <c r="F536" s="5"/>
      <c r="G536" s="4" t="n">
        <v>535</v>
      </c>
      <c r="H536" s="6" t="n">
        <v>0.465</v>
      </c>
      <c r="J536" s="2" t="n">
        <f aca="false">B536/$B$1003</f>
        <v>0.000820838670593057</v>
      </c>
      <c r="K536" s="5" t="n">
        <f aca="false">J536*LOG(J536,2)</f>
        <v>-0.00841410010592612</v>
      </c>
    </row>
    <row r="537" customFormat="false" ht="13" hidden="false" customHeight="false" outlineLevel="0" collapsed="false">
      <c r="A537" s="4" t="n">
        <v>465</v>
      </c>
      <c r="B537" s="5" t="n">
        <v>10.4378041659796</v>
      </c>
      <c r="C537" s="5" t="n">
        <f aca="false">B537</f>
        <v>10.4378041659796</v>
      </c>
      <c r="D537" s="5" t="n">
        <f aca="false">C537*LOG(C537)</f>
        <v>10.6320427705617</v>
      </c>
      <c r="E537" s="5"/>
      <c r="F537" s="5"/>
      <c r="G537" s="4" t="n">
        <v>536</v>
      </c>
      <c r="H537" s="6" t="n">
        <v>0.464</v>
      </c>
      <c r="J537" s="2" t="n">
        <f aca="false">B537/$B$1003</f>
        <v>0.000813959848973627</v>
      </c>
      <c r="K537" s="5" t="n">
        <f aca="false">J537*LOG(J537,2)</f>
        <v>-0.00835347030521588</v>
      </c>
    </row>
    <row r="538" customFormat="false" ht="13" hidden="false" customHeight="false" outlineLevel="0" collapsed="false">
      <c r="A538" s="4" t="n">
        <v>464</v>
      </c>
      <c r="B538" s="5" t="n">
        <v>10.4289869285856</v>
      </c>
      <c r="C538" s="5" t="n">
        <f aca="false">B538</f>
        <v>10.4289869285856</v>
      </c>
      <c r="D538" s="5" t="n">
        <f aca="false">C538*LOG(C538)</f>
        <v>10.6192337922071</v>
      </c>
      <c r="E538" s="5"/>
      <c r="F538" s="5"/>
      <c r="G538" s="4" t="n">
        <v>537</v>
      </c>
      <c r="H538" s="6" t="n">
        <v>0.463</v>
      </c>
      <c r="J538" s="2" t="n">
        <f aca="false">B538/$B$1003</f>
        <v>0.000813272264008106</v>
      </c>
      <c r="K538" s="5" t="n">
        <f aca="false">J538*LOG(J538,2)</f>
        <v>-0.00834740534566686</v>
      </c>
    </row>
    <row r="539" customFormat="false" ht="13" hidden="false" customHeight="false" outlineLevel="0" collapsed="false">
      <c r="A539" s="4" t="n">
        <v>463</v>
      </c>
      <c r="B539" s="5" t="n">
        <v>10.4261932699305</v>
      </c>
      <c r="C539" s="5" t="n">
        <f aca="false">B539</f>
        <v>10.4261932699305</v>
      </c>
      <c r="D539" s="5" t="n">
        <f aca="false">C539*LOG(C539)</f>
        <v>10.6151760632651</v>
      </c>
      <c r="E539" s="5"/>
      <c r="F539" s="5"/>
      <c r="G539" s="4" t="n">
        <v>538</v>
      </c>
      <c r="H539" s="6" t="n">
        <v>0.462</v>
      </c>
      <c r="J539" s="2" t="n">
        <f aca="false">B539/$B$1003</f>
        <v>0.000813054409185307</v>
      </c>
      <c r="K539" s="5" t="n">
        <f aca="false">J539*LOG(J539,2)</f>
        <v>-0.00834548354540964</v>
      </c>
    </row>
    <row r="540" customFormat="false" ht="13" hidden="false" customHeight="false" outlineLevel="0" collapsed="false">
      <c r="A540" s="4" t="n">
        <v>462</v>
      </c>
      <c r="B540" s="5" t="n">
        <v>10.315906244861</v>
      </c>
      <c r="C540" s="5" t="n">
        <f aca="false">B540</f>
        <v>10.315906244861</v>
      </c>
      <c r="D540" s="5" t="n">
        <f aca="false">C540*LOG(C540)</f>
        <v>10.4552471769838</v>
      </c>
      <c r="E540" s="5"/>
      <c r="F540" s="5"/>
      <c r="G540" s="4" t="n">
        <v>539</v>
      </c>
      <c r="H540" s="6" t="n">
        <v>0.461</v>
      </c>
      <c r="J540" s="2" t="n">
        <f aca="false">B540/$B$1003</f>
        <v>0.000804454016914884</v>
      </c>
      <c r="K540" s="5" t="n">
        <f aca="false">J540*LOG(J540,2)</f>
        <v>-0.0082695479057277</v>
      </c>
    </row>
    <row r="541" customFormat="false" ht="13" hidden="false" customHeight="false" outlineLevel="0" collapsed="false">
      <c r="A541" s="4" t="n">
        <v>461</v>
      </c>
      <c r="B541" s="5" t="n">
        <v>10.2593736136237</v>
      </c>
      <c r="C541" s="5" t="n">
        <f aca="false">B541</f>
        <v>10.2593736136237</v>
      </c>
      <c r="D541" s="5" t="n">
        <f aca="false">C541*LOG(C541)</f>
        <v>10.3734665247859</v>
      </c>
      <c r="E541" s="5"/>
      <c r="F541" s="5"/>
      <c r="G541" s="4" t="n">
        <v>540</v>
      </c>
      <c r="H541" s="6" t="n">
        <v>0.46</v>
      </c>
      <c r="J541" s="2" t="n">
        <f aca="false">B541/$B$1003</f>
        <v>0.00080004549465749</v>
      </c>
      <c r="K541" s="5" t="n">
        <f aca="false">J541*LOG(J541,2)</f>
        <v>-0.00823057230280764</v>
      </c>
    </row>
    <row r="542" customFormat="false" ht="13" hidden="false" customHeight="false" outlineLevel="0" collapsed="false">
      <c r="A542" s="4" t="n">
        <v>460</v>
      </c>
      <c r="B542" s="5" t="n">
        <v>10.2500762916444</v>
      </c>
      <c r="C542" s="5" t="n">
        <f aca="false">B542</f>
        <v>10.2500762916444</v>
      </c>
      <c r="D542" s="5" t="n">
        <f aca="false">C542*LOG(C542)</f>
        <v>10.3600298632149</v>
      </c>
      <c r="E542" s="5"/>
      <c r="F542" s="5"/>
      <c r="G542" s="4" t="n">
        <v>541</v>
      </c>
      <c r="H542" s="6" t="n">
        <v>0.459</v>
      </c>
      <c r="J542" s="2" t="n">
        <f aca="false">B542/$B$1003</f>
        <v>0.000799320471781628</v>
      </c>
      <c r="K542" s="5" t="n">
        <f aca="false">J542*LOG(J542,2)</f>
        <v>-0.00822415904828749</v>
      </c>
    </row>
    <row r="543" customFormat="false" ht="13" hidden="false" customHeight="false" outlineLevel="0" collapsed="false">
      <c r="A543" s="4" t="n">
        <v>459</v>
      </c>
      <c r="B543" s="5" t="n">
        <v>10.2035295565389</v>
      </c>
      <c r="C543" s="5" t="n">
        <f aca="false">B543</f>
        <v>10.2035295565389</v>
      </c>
      <c r="D543" s="5" t="n">
        <f aca="false">C543*LOG(C543)</f>
        <v>10.2928147954135</v>
      </c>
      <c r="E543" s="5"/>
      <c r="F543" s="5"/>
      <c r="G543" s="4" t="n">
        <v>542</v>
      </c>
      <c r="H543" s="6" t="n">
        <v>0.458</v>
      </c>
      <c r="J543" s="2" t="n">
        <f aca="false">B543/$B$1003</f>
        <v>0.000795690668723987</v>
      </c>
      <c r="K543" s="5" t="n">
        <f aca="false">J543*LOG(J543,2)</f>
        <v>-0.00819203701905582</v>
      </c>
    </row>
    <row r="544" customFormat="false" ht="13" hidden="false" customHeight="false" outlineLevel="0" collapsed="false">
      <c r="A544" s="4" t="n">
        <v>458</v>
      </c>
      <c r="B544" s="5" t="n">
        <v>10.1845221363066</v>
      </c>
      <c r="C544" s="5" t="n">
        <f aca="false">B544</f>
        <v>10.1845221363066</v>
      </c>
      <c r="D544" s="5" t="n">
        <f aca="false">C544*LOG(C544)</f>
        <v>10.2653939278503</v>
      </c>
      <c r="E544" s="5"/>
      <c r="F544" s="5"/>
      <c r="G544" s="4" t="n">
        <v>543</v>
      </c>
      <c r="H544" s="6" t="n">
        <v>0.457</v>
      </c>
      <c r="J544" s="2" t="n">
        <f aca="false">B544/$B$1003</f>
        <v>0.000794208433892251</v>
      </c>
      <c r="K544" s="5" t="n">
        <f aca="false">J544*LOG(J544,2)</f>
        <v>-0.00817891308323581</v>
      </c>
    </row>
    <row r="545" customFormat="false" ht="13" hidden="false" customHeight="false" outlineLevel="0" collapsed="false">
      <c r="A545" s="4" t="n">
        <v>457</v>
      </c>
      <c r="B545" s="5" t="n">
        <v>10.1226076793931</v>
      </c>
      <c r="C545" s="5" t="n">
        <f aca="false">B545</f>
        <v>10.1226076793931</v>
      </c>
      <c r="D545" s="5" t="n">
        <f aca="false">C545*LOG(C545)</f>
        <v>10.1761806217146</v>
      </c>
      <c r="E545" s="5"/>
      <c r="F545" s="5"/>
      <c r="G545" s="4" t="n">
        <v>544</v>
      </c>
      <c r="H545" s="6" t="n">
        <v>0.456</v>
      </c>
      <c r="J545" s="2" t="n">
        <f aca="false">B545/$B$1003</f>
        <v>0.000789380226618273</v>
      </c>
      <c r="K545" s="5" t="n">
        <f aca="false">J545*LOG(J545,2)</f>
        <v>-0.00813613567936518</v>
      </c>
    </row>
    <row r="546" customFormat="false" ht="13" hidden="false" customHeight="false" outlineLevel="0" collapsed="false">
      <c r="A546" s="4" t="n">
        <v>456</v>
      </c>
      <c r="B546" s="5" t="n">
        <v>10.1141779075478</v>
      </c>
      <c r="C546" s="5" t="n">
        <f aca="false">B546</f>
        <v>10.1141779075478</v>
      </c>
      <c r="D546" s="5" t="n">
        <f aca="false">C546*LOG(C546)</f>
        <v>10.1640467575086</v>
      </c>
      <c r="E546" s="5"/>
      <c r="F546" s="5"/>
      <c r="G546" s="4" t="n">
        <v>545</v>
      </c>
      <c r="H546" s="6" t="n">
        <v>0.455</v>
      </c>
      <c r="J546" s="2" t="n">
        <f aca="false">B546/$B$1003</f>
        <v>0.000788722856954215</v>
      </c>
      <c r="K546" s="5" t="n">
        <f aca="false">J546*LOG(J546,2)</f>
        <v>-0.00813030816445117</v>
      </c>
    </row>
    <row r="547" customFormat="false" ht="13" hidden="false" customHeight="false" outlineLevel="0" collapsed="false">
      <c r="A547" s="4" t="n">
        <v>455</v>
      </c>
      <c r="B547" s="5" t="n">
        <v>10.0908924142652</v>
      </c>
      <c r="C547" s="5" t="n">
        <f aca="false">B547</f>
        <v>10.0908924142652</v>
      </c>
      <c r="D547" s="5" t="n">
        <f aca="false">C547*LOG(C547)</f>
        <v>10.1305453418577</v>
      </c>
      <c r="E547" s="5"/>
      <c r="F547" s="5"/>
      <c r="G547" s="4" t="n">
        <v>546</v>
      </c>
      <c r="H547" s="6" t="n">
        <v>0.454</v>
      </c>
      <c r="J547" s="2" t="n">
        <f aca="false">B547/$B$1003</f>
        <v>0.000786907009837887</v>
      </c>
      <c r="K547" s="5" t="n">
        <f aca="false">J547*LOG(J547,2)</f>
        <v>-0.00811420675591205</v>
      </c>
    </row>
    <row r="548" customFormat="false" ht="13" hidden="false" customHeight="false" outlineLevel="0" collapsed="false">
      <c r="A548" s="4" t="n">
        <v>454</v>
      </c>
      <c r="B548" s="5" t="n">
        <v>10.0544553823721</v>
      </c>
      <c r="C548" s="5" t="n">
        <f aca="false">B548</f>
        <v>10.0544553823721</v>
      </c>
      <c r="D548" s="5" t="n">
        <f aca="false">C548*LOG(C548)</f>
        <v>10.0781693304761</v>
      </c>
      <c r="E548" s="5"/>
      <c r="F548" s="5"/>
      <c r="G548" s="4" t="n">
        <v>547</v>
      </c>
      <c r="H548" s="6" t="n">
        <v>0.453</v>
      </c>
      <c r="J548" s="2" t="n">
        <f aca="false">B548/$B$1003</f>
        <v>0.000784065580691955</v>
      </c>
      <c r="K548" s="5" t="n">
        <f aca="false">J548*LOG(J548,2)</f>
        <v>-0.00808899921040175</v>
      </c>
    </row>
    <row r="549" customFormat="false" ht="13" hidden="false" customHeight="false" outlineLevel="0" collapsed="false">
      <c r="A549" s="4" t="n">
        <v>453</v>
      </c>
      <c r="B549" s="5" t="n">
        <v>10.0380420379703</v>
      </c>
      <c r="C549" s="5" t="n">
        <f aca="false">B549</f>
        <v>10.0380420379703</v>
      </c>
      <c r="D549" s="5" t="n">
        <f aca="false">C549*LOG(C549)</f>
        <v>10.0545948708432</v>
      </c>
      <c r="E549" s="5"/>
      <c r="F549" s="5"/>
      <c r="G549" s="4" t="n">
        <v>548</v>
      </c>
      <c r="H549" s="6" t="n">
        <v>0.452</v>
      </c>
      <c r="J549" s="2" t="n">
        <f aca="false">B549/$B$1003</f>
        <v>0.000782785636834224</v>
      </c>
      <c r="K549" s="5" t="n">
        <f aca="false">J549*LOG(J549,2)</f>
        <v>-0.00807763942552677</v>
      </c>
    </row>
    <row r="550" customFormat="false" ht="13" hidden="false" customHeight="false" outlineLevel="0" collapsed="false">
      <c r="A550" s="4" t="n">
        <v>452</v>
      </c>
      <c r="B550" s="5" t="n">
        <v>10.0026699119406</v>
      </c>
      <c r="C550" s="5" t="n">
        <f aca="false">B550</f>
        <v>10.0026699119406</v>
      </c>
      <c r="D550" s="5" t="n">
        <f aca="false">C550*LOG(C550)</f>
        <v>10.0038295947417</v>
      </c>
      <c r="E550" s="5"/>
      <c r="F550" s="5"/>
      <c r="G550" s="4" t="n">
        <v>549</v>
      </c>
      <c r="H550" s="6" t="n">
        <v>0.451</v>
      </c>
      <c r="J550" s="2" t="n">
        <f aca="false">B550/$B$1003</f>
        <v>0.000780027251075769</v>
      </c>
      <c r="K550" s="5" t="n">
        <f aca="false">J550*LOG(J550,2)</f>
        <v>-0.00805314787026847</v>
      </c>
    </row>
    <row r="551" customFormat="false" ht="13" hidden="false" customHeight="false" outlineLevel="0" collapsed="false">
      <c r="A551" s="4" t="n">
        <v>451</v>
      </c>
      <c r="B551" s="5" t="n">
        <v>10.0025437302412</v>
      </c>
      <c r="C551" s="5" t="n">
        <f aca="false">B551</f>
        <v>10.0025437302412</v>
      </c>
      <c r="D551" s="5" t="n">
        <f aca="false">C551*LOG(C551)</f>
        <v>10.003648598743</v>
      </c>
      <c r="E551" s="5"/>
      <c r="F551" s="5"/>
      <c r="G551" s="4" t="n">
        <v>550</v>
      </c>
      <c r="H551" s="6" t="n">
        <v>0.45</v>
      </c>
      <c r="J551" s="2" t="n">
        <f aca="false">B551/$B$1003</f>
        <v>0.000780017411186519</v>
      </c>
      <c r="K551" s="5" t="n">
        <f aca="false">J551*LOG(J551,2)</f>
        <v>-0.0080530604772733</v>
      </c>
      <c r="L551" s="2" t="n">
        <f aca="false">SUM(J502:J551)</f>
        <v>0.0425131236734589</v>
      </c>
    </row>
    <row r="552" customFormat="false" ht="13" hidden="false" customHeight="false" outlineLevel="0" collapsed="false">
      <c r="A552" s="4" t="n">
        <v>450</v>
      </c>
      <c r="B552" s="5" t="n">
        <v>9.98963777791801</v>
      </c>
      <c r="C552" s="5" t="n">
        <f aca="false">B552</f>
        <v>9.98963777791801</v>
      </c>
      <c r="D552" s="5" t="n">
        <f aca="false">C552*LOG(C552)</f>
        <v>9.98513985448586</v>
      </c>
      <c r="E552" s="5"/>
      <c r="F552" s="5"/>
      <c r="G552" s="4" t="n">
        <v>551</v>
      </c>
      <c r="H552" s="6" t="n">
        <v>0.449</v>
      </c>
      <c r="J552" s="2" t="n">
        <f aca="false">B552/$B$1003</f>
        <v>0.000779010980443345</v>
      </c>
      <c r="K552" s="5" t="n">
        <f aca="false">J552*LOG(J552,2)</f>
        <v>-0.00804412091442649</v>
      </c>
    </row>
    <row r="553" customFormat="false" ht="13" hidden="false" customHeight="false" outlineLevel="0" collapsed="false">
      <c r="A553" s="4" t="n">
        <v>449</v>
      </c>
      <c r="B553" s="5" t="n">
        <v>9.9270712283994</v>
      </c>
      <c r="C553" s="5" t="n">
        <f aca="false">B553</f>
        <v>9.9270712283994</v>
      </c>
      <c r="D553" s="5" t="n">
        <f aca="false">C553*LOG(C553)</f>
        <v>9.89551443916193</v>
      </c>
      <c r="E553" s="5"/>
      <c r="F553" s="5"/>
      <c r="G553" s="4" t="n">
        <v>552</v>
      </c>
      <c r="H553" s="6" t="n">
        <v>0.448</v>
      </c>
      <c r="J553" s="2" t="n">
        <f aca="false">B553/$B$1003</f>
        <v>0.000774131921746023</v>
      </c>
      <c r="K553" s="5" t="n">
        <f aca="false">J553*LOG(J553,2)</f>
        <v>-0.00800075632355267</v>
      </c>
    </row>
    <row r="554" customFormat="false" ht="13" hidden="false" customHeight="false" outlineLevel="0" collapsed="false">
      <c r="A554" s="4" t="n">
        <v>448</v>
      </c>
      <c r="B554" s="5" t="n">
        <v>9.88621258258917</v>
      </c>
      <c r="C554" s="5" t="n">
        <f aca="false">B554</f>
        <v>9.88621258258917</v>
      </c>
      <c r="D554" s="5" t="n">
        <f aca="false">C554*LOG(C554)</f>
        <v>9.83707756064413</v>
      </c>
      <c r="E554" s="5"/>
      <c r="F554" s="5"/>
      <c r="G554" s="4" t="n">
        <v>553</v>
      </c>
      <c r="H554" s="6" t="n">
        <v>0.447</v>
      </c>
      <c r="J554" s="2" t="n">
        <f aca="false">B554/$B$1003</f>
        <v>0.000770945686725313</v>
      </c>
      <c r="K554" s="5" t="n">
        <f aca="false">J554*LOG(J554,2)</f>
        <v>-0.00797241345362667</v>
      </c>
    </row>
    <row r="555" customFormat="false" ht="13" hidden="false" customHeight="false" outlineLevel="0" collapsed="false">
      <c r="A555" s="4" t="n">
        <v>447</v>
      </c>
      <c r="B555" s="5" t="n">
        <v>9.88425570360522</v>
      </c>
      <c r="C555" s="5" t="n">
        <f aca="false">B555</f>
        <v>9.88425570360522</v>
      </c>
      <c r="D555" s="5" t="n">
        <f aca="false">C555*LOG(C555)</f>
        <v>9.83428062982867</v>
      </c>
      <c r="E555" s="5"/>
      <c r="F555" s="5"/>
      <c r="G555" s="4" t="n">
        <v>554</v>
      </c>
      <c r="H555" s="6" t="n">
        <v>0.446</v>
      </c>
      <c r="J555" s="2" t="n">
        <f aca="false">B555/$B$1003</f>
        <v>0.000770793085575022</v>
      </c>
      <c r="K555" s="5" t="n">
        <f aca="false">J555*LOG(J555,2)</f>
        <v>-0.00797105552757449</v>
      </c>
    </row>
    <row r="556" customFormat="false" ht="13" hidden="false" customHeight="false" outlineLevel="0" collapsed="false">
      <c r="A556" s="4" t="n">
        <v>446</v>
      </c>
      <c r="B556" s="5" t="n">
        <v>9.82317411621949</v>
      </c>
      <c r="C556" s="5" t="n">
        <f aca="false">B556</f>
        <v>9.82317411621949</v>
      </c>
      <c r="D556" s="5" t="n">
        <f aca="false">C556*LOG(C556)</f>
        <v>9.74706261115411</v>
      </c>
      <c r="E556" s="5"/>
      <c r="F556" s="5"/>
      <c r="G556" s="4" t="n">
        <v>555</v>
      </c>
      <c r="H556" s="6" t="n">
        <v>0.445</v>
      </c>
      <c r="J556" s="2" t="n">
        <f aca="false">B556/$B$1003</f>
        <v>0.000766029827053119</v>
      </c>
      <c r="K556" s="5" t="n">
        <f aca="false">J556*LOG(J556,2)</f>
        <v>-0.00792864756714416</v>
      </c>
    </row>
    <row r="557" customFormat="false" ht="13" hidden="false" customHeight="false" outlineLevel="0" collapsed="false">
      <c r="A557" s="4" t="n">
        <v>445</v>
      </c>
      <c r="B557" s="5" t="n">
        <v>9.7937666979409</v>
      </c>
      <c r="C557" s="5" t="n">
        <f aca="false">B557</f>
        <v>9.7937666979409</v>
      </c>
      <c r="D557" s="5" t="n">
        <f aca="false">C557*LOG(C557)</f>
        <v>9.70513070266563</v>
      </c>
      <c r="E557" s="5"/>
      <c r="F557" s="5"/>
      <c r="G557" s="4" t="n">
        <v>556</v>
      </c>
      <c r="H557" s="6" t="n">
        <v>0.444</v>
      </c>
      <c r="J557" s="2" t="n">
        <f aca="false">B557/$B$1003</f>
        <v>0.000763736580565629</v>
      </c>
      <c r="K557" s="5" t="n">
        <f aca="false">J557*LOG(J557,2)</f>
        <v>-0.0079082152490985</v>
      </c>
    </row>
    <row r="558" customFormat="false" ht="13" hidden="false" customHeight="false" outlineLevel="0" collapsed="false">
      <c r="A558" s="4" t="n">
        <v>444</v>
      </c>
      <c r="B558" s="5" t="n">
        <v>9.7805630702747</v>
      </c>
      <c r="C558" s="5" t="n">
        <f aca="false">B558</f>
        <v>9.7805630702747</v>
      </c>
      <c r="D558" s="5" t="n">
        <f aca="false">C558*LOG(C558)</f>
        <v>9.68631617554632</v>
      </c>
      <c r="E558" s="5"/>
      <c r="F558" s="5"/>
      <c r="G558" s="4" t="n">
        <v>557</v>
      </c>
      <c r="H558" s="6" t="n">
        <v>0.443</v>
      </c>
      <c r="J558" s="2" t="n">
        <f aca="false">B558/$B$1003</f>
        <v>0.000762706936532249</v>
      </c>
      <c r="K558" s="5" t="n">
        <f aca="false">J558*LOG(J558,2)</f>
        <v>-0.00789903811919778</v>
      </c>
    </row>
    <row r="559" customFormat="false" ht="13" hidden="false" customHeight="false" outlineLevel="0" collapsed="false">
      <c r="A559" s="4" t="n">
        <v>443</v>
      </c>
      <c r="B559" s="5" t="n">
        <v>9.77440007809832</v>
      </c>
      <c r="C559" s="5" t="n">
        <f aca="false">B559</f>
        <v>9.77440007809832</v>
      </c>
      <c r="D559" s="5" t="n">
        <f aca="false">C559*LOG(C559)</f>
        <v>9.67753686080443</v>
      </c>
      <c r="E559" s="5"/>
      <c r="F559" s="5"/>
      <c r="G559" s="4" t="n">
        <v>558</v>
      </c>
      <c r="H559" s="6" t="n">
        <v>0.442</v>
      </c>
      <c r="J559" s="2" t="n">
        <f aca="false">B559/$B$1003</f>
        <v>0.000762226334664142</v>
      </c>
      <c r="K559" s="5" t="n">
        <f aca="false">J559*LOG(J559,2)</f>
        <v>-0.00789475386922512</v>
      </c>
    </row>
    <row r="560" customFormat="false" ht="13" hidden="false" customHeight="false" outlineLevel="0" collapsed="false">
      <c r="A560" s="4" t="n">
        <v>442</v>
      </c>
      <c r="B560" s="5" t="n">
        <v>9.75334569010613</v>
      </c>
      <c r="C560" s="5" t="n">
        <f aca="false">B560</f>
        <v>9.75334569010613</v>
      </c>
      <c r="D560" s="5" t="n">
        <f aca="false">C560*LOG(C560)</f>
        <v>9.64755717004047</v>
      </c>
      <c r="E560" s="5"/>
      <c r="F560" s="5"/>
      <c r="G560" s="4" t="n">
        <v>559</v>
      </c>
      <c r="H560" s="6" t="n">
        <v>0.441</v>
      </c>
      <c r="J560" s="2" t="n">
        <f aca="false">B560/$B$1003</f>
        <v>0.000760584473387781</v>
      </c>
      <c r="K560" s="5" t="n">
        <f aca="false">J560*LOG(J560,2)</f>
        <v>-0.00788011445482198</v>
      </c>
    </row>
    <row r="561" customFormat="false" ht="13" hidden="false" customHeight="false" outlineLevel="0" collapsed="false">
      <c r="A561" s="4" t="n">
        <v>441</v>
      </c>
      <c r="B561" s="5" t="n">
        <v>9.74503031815164</v>
      </c>
      <c r="C561" s="5" t="n">
        <f aca="false">B561</f>
        <v>9.74503031815164</v>
      </c>
      <c r="D561" s="5" t="n">
        <f aca="false">C561*LOG(C561)</f>
        <v>9.63572220952003</v>
      </c>
      <c r="E561" s="5"/>
      <c r="F561" s="5"/>
      <c r="G561" s="4" t="n">
        <v>560</v>
      </c>
      <c r="H561" s="6" t="n">
        <v>0.44</v>
      </c>
      <c r="J561" s="2" t="n">
        <f aca="false">B561/$B$1003</f>
        <v>0.000759936024845098</v>
      </c>
      <c r="K561" s="5" t="n">
        <f aca="false">J561*LOG(J561,2)</f>
        <v>-0.00787433125091707</v>
      </c>
    </row>
    <row r="562" customFormat="false" ht="13" hidden="false" customHeight="false" outlineLevel="0" collapsed="false">
      <c r="A562" s="4" t="n">
        <v>440</v>
      </c>
      <c r="B562" s="5" t="n">
        <v>9.74453040875835</v>
      </c>
      <c r="C562" s="5" t="n">
        <f aca="false">B562</f>
        <v>9.74453040875835</v>
      </c>
      <c r="D562" s="5" t="n">
        <f aca="false">C562*LOG(C562)</f>
        <v>9.63501080519096</v>
      </c>
      <c r="E562" s="5"/>
      <c r="F562" s="5"/>
      <c r="G562" s="4" t="n">
        <v>561</v>
      </c>
      <c r="H562" s="6" t="n">
        <v>0.439</v>
      </c>
      <c r="J562" s="2" t="n">
        <f aca="false">B562/$B$1003</f>
        <v>0.00075989704095847</v>
      </c>
      <c r="K562" s="5" t="n">
        <f aca="false">J562*LOG(J562,2)</f>
        <v>-0.00787398354675652</v>
      </c>
    </row>
    <row r="563" customFormat="false" ht="13" hidden="false" customHeight="false" outlineLevel="0" collapsed="false">
      <c r="A563" s="4" t="n">
        <v>439</v>
      </c>
      <c r="B563" s="5" t="n">
        <v>9.66980505038657</v>
      </c>
      <c r="C563" s="5" t="n">
        <f aca="false">B563</f>
        <v>9.66980505038657</v>
      </c>
      <c r="D563" s="5" t="n">
        <f aca="false">C563*LOG(C563)</f>
        <v>9.52879723118453</v>
      </c>
      <c r="E563" s="5"/>
      <c r="F563" s="5"/>
      <c r="G563" s="4" t="n">
        <v>562</v>
      </c>
      <c r="H563" s="6" t="n">
        <v>0.438</v>
      </c>
      <c r="J563" s="2" t="n">
        <f aca="false">B563/$B$1003</f>
        <v>0.000754069815188797</v>
      </c>
      <c r="K563" s="5" t="n">
        <f aca="false">J563*LOG(J563,2)</f>
        <v>-0.00782197696005225</v>
      </c>
    </row>
    <row r="564" customFormat="false" ht="13" hidden="false" customHeight="false" outlineLevel="0" collapsed="false">
      <c r="A564" s="4" t="n">
        <v>438</v>
      </c>
      <c r="B564" s="5" t="n">
        <v>9.65659577309521</v>
      </c>
      <c r="C564" s="5" t="n">
        <f aca="false">B564</f>
        <v>9.65659577309521</v>
      </c>
      <c r="D564" s="5" t="n">
        <f aca="false">C564*LOG(C564)</f>
        <v>9.5100477791139</v>
      </c>
      <c r="E564" s="5"/>
      <c r="F564" s="5"/>
      <c r="G564" s="4" t="n">
        <v>563</v>
      </c>
      <c r="H564" s="6" t="n">
        <v>0.437</v>
      </c>
      <c r="J564" s="2" t="n">
        <f aca="false">B564/$B$1003</f>
        <v>0.000753039730586887</v>
      </c>
      <c r="K564" s="5" t="n">
        <f aca="false">J564*LOG(J564,2)</f>
        <v>-0.00781277696022302</v>
      </c>
    </row>
    <row r="565" customFormat="false" ht="13" hidden="false" customHeight="false" outlineLevel="0" collapsed="false">
      <c r="A565" s="4" t="n">
        <v>437</v>
      </c>
      <c r="B565" s="5" t="n">
        <v>9.64014228962435</v>
      </c>
      <c r="C565" s="5" t="n">
        <f aca="false">B565</f>
        <v>9.64014228962435</v>
      </c>
      <c r="D565" s="5" t="n">
        <f aca="false">C565*LOG(C565)</f>
        <v>9.48670442682952</v>
      </c>
      <c r="E565" s="5"/>
      <c r="F565" s="5"/>
      <c r="G565" s="4" t="n">
        <v>564</v>
      </c>
      <c r="H565" s="6" t="n">
        <v>0.436</v>
      </c>
      <c r="J565" s="2" t="n">
        <f aca="false">B565/$B$1003</f>
        <v>0.000751756656608101</v>
      </c>
      <c r="K565" s="5" t="n">
        <f aca="false">J565*LOG(J565,2)</f>
        <v>-0.00780131459172435</v>
      </c>
    </row>
    <row r="566" customFormat="false" ht="13" hidden="false" customHeight="false" outlineLevel="0" collapsed="false">
      <c r="A566" s="4" t="n">
        <v>436</v>
      </c>
      <c r="B566" s="5" t="n">
        <v>9.63548266296266</v>
      </c>
      <c r="C566" s="5" t="n">
        <f aca="false">B566</f>
        <v>9.63548266296266</v>
      </c>
      <c r="D566" s="5" t="n">
        <f aca="false">C566*LOG(C566)</f>
        <v>9.48009580437993</v>
      </c>
      <c r="E566" s="5"/>
      <c r="F566" s="5"/>
      <c r="G566" s="4" t="n">
        <v>565</v>
      </c>
      <c r="H566" s="6" t="n">
        <v>0.435</v>
      </c>
      <c r="J566" s="2" t="n">
        <f aca="false">B566/$B$1003</f>
        <v>0.000751393290046178</v>
      </c>
      <c r="K566" s="5" t="n">
        <f aca="false">J566*LOG(J566,2)</f>
        <v>-0.00779806787503866</v>
      </c>
    </row>
    <row r="567" customFormat="false" ht="13" hidden="false" customHeight="false" outlineLevel="0" collapsed="false">
      <c r="A567" s="4" t="n">
        <v>435</v>
      </c>
      <c r="B567" s="5" t="n">
        <v>9.62122334221084</v>
      </c>
      <c r="C567" s="5" t="n">
        <f aca="false">B567</f>
        <v>9.62122334221084</v>
      </c>
      <c r="D567" s="5" t="n">
        <f aca="false">C567*LOG(C567)</f>
        <v>9.45987827712145</v>
      </c>
      <c r="E567" s="5"/>
      <c r="F567" s="5"/>
      <c r="G567" s="4" t="n">
        <v>566</v>
      </c>
      <c r="H567" s="6" t="n">
        <v>0.434</v>
      </c>
      <c r="J567" s="2" t="n">
        <f aca="false">B567/$B$1003</f>
        <v>0.000750281321055281</v>
      </c>
      <c r="K567" s="5" t="n">
        <f aca="false">J567*LOG(J567,2)</f>
        <v>-0.00778813074509474</v>
      </c>
    </row>
    <row r="568" customFormat="false" ht="13" hidden="false" customHeight="false" outlineLevel="0" collapsed="false">
      <c r="A568" s="4" t="n">
        <v>434</v>
      </c>
      <c r="B568" s="5" t="n">
        <v>9.61466032325623</v>
      </c>
      <c r="C568" s="5" t="n">
        <f aca="false">B568</f>
        <v>9.61466032325623</v>
      </c>
      <c r="D568" s="5" t="n">
        <f aca="false">C568*LOG(C568)</f>
        <v>9.45057600750053</v>
      </c>
      <c r="E568" s="5"/>
      <c r="F568" s="5"/>
      <c r="G568" s="4" t="n">
        <v>567</v>
      </c>
      <c r="H568" s="6" t="n">
        <v>0.433</v>
      </c>
      <c r="J568" s="2" t="n">
        <f aca="false">B568/$B$1003</f>
        <v>0.000749769524337106</v>
      </c>
      <c r="K568" s="5" t="n">
        <f aca="false">J568*LOG(J568,2)</f>
        <v>-0.00778355626617462</v>
      </c>
    </row>
    <row r="569" customFormat="false" ht="13" hidden="false" customHeight="false" outlineLevel="0" collapsed="false">
      <c r="A569" s="4" t="n">
        <v>433</v>
      </c>
      <c r="B569" s="5" t="n">
        <v>9.60887304767874</v>
      </c>
      <c r="C569" s="5" t="n">
        <f aca="false">B569</f>
        <v>9.60887304767874</v>
      </c>
      <c r="D569" s="5" t="n">
        <f aca="false">C569*LOG(C569)</f>
        <v>9.44237487261583</v>
      </c>
      <c r="E569" s="5"/>
      <c r="F569" s="5"/>
      <c r="G569" s="4" t="n">
        <v>568</v>
      </c>
      <c r="H569" s="6" t="n">
        <v>0.432</v>
      </c>
      <c r="J569" s="2" t="n">
        <f aca="false">B569/$B$1003</f>
        <v>0.000749318221564979</v>
      </c>
      <c r="K569" s="5" t="n">
        <f aca="false">J569*LOG(J569,2)</f>
        <v>-0.00777952206869317</v>
      </c>
    </row>
    <row r="570" customFormat="false" ht="13" hidden="false" customHeight="false" outlineLevel="0" collapsed="false">
      <c r="A570" s="4" t="n">
        <v>432</v>
      </c>
      <c r="B570" s="5" t="n">
        <v>9.60812236146069</v>
      </c>
      <c r="C570" s="5" t="n">
        <f aca="false">B570</f>
        <v>9.60812236146069</v>
      </c>
      <c r="D570" s="5" t="n">
        <f aca="false">C570*LOG(C570)</f>
        <v>9.44131118779979</v>
      </c>
      <c r="E570" s="5"/>
      <c r="F570" s="5"/>
      <c r="G570" s="4" t="n">
        <v>569</v>
      </c>
      <c r="H570" s="6" t="n">
        <v>0.431</v>
      </c>
      <c r="J570" s="2" t="n">
        <f aca="false">B570/$B$1003</f>
        <v>0.000749259681623919</v>
      </c>
      <c r="K570" s="5" t="n">
        <f aca="false">J570*LOG(J570,2)</f>
        <v>-0.00777899875117339</v>
      </c>
    </row>
    <row r="571" customFormat="false" ht="13" hidden="false" customHeight="false" outlineLevel="0" collapsed="false">
      <c r="A571" s="4" t="n">
        <v>431</v>
      </c>
      <c r="B571" s="5" t="n">
        <v>9.60034936112814</v>
      </c>
      <c r="C571" s="5" t="n">
        <f aca="false">B571</f>
        <v>9.60034936112814</v>
      </c>
      <c r="D571" s="5" t="n">
        <f aca="false">C571*LOG(C571)</f>
        <v>9.43029873293687</v>
      </c>
      <c r="E571" s="5"/>
      <c r="F571" s="5"/>
      <c r="G571" s="4" t="n">
        <v>570</v>
      </c>
      <c r="H571" s="6" t="n">
        <v>0.43</v>
      </c>
      <c r="J571" s="2" t="n">
        <f aca="false">B571/$B$1003</f>
        <v>0.000748653528253331</v>
      </c>
      <c r="K571" s="5" t="n">
        <f aca="false">J571*LOG(J571,2)</f>
        <v>-0.00777357965805949</v>
      </c>
    </row>
    <row r="572" customFormat="false" ht="13" hidden="false" customHeight="false" outlineLevel="0" collapsed="false">
      <c r="A572" s="4" t="n">
        <v>430</v>
      </c>
      <c r="B572" s="5" t="n">
        <v>9.57954631713804</v>
      </c>
      <c r="C572" s="5" t="n">
        <f aca="false">B572</f>
        <v>9.57954631713804</v>
      </c>
      <c r="D572" s="5" t="n">
        <f aca="false">C572*LOG(C572)</f>
        <v>9.40083932096171</v>
      </c>
      <c r="E572" s="5"/>
      <c r="F572" s="5"/>
      <c r="G572" s="4" t="n">
        <v>571</v>
      </c>
      <c r="H572" s="6" t="n">
        <v>0.429</v>
      </c>
      <c r="J572" s="2" t="n">
        <f aca="false">B572/$B$1003</f>
        <v>0.000747031267260969</v>
      </c>
      <c r="K572" s="5" t="n">
        <f aca="false">J572*LOG(J572,2)</f>
        <v>-0.00775907294058732</v>
      </c>
    </row>
    <row r="573" customFormat="false" ht="13" hidden="false" customHeight="false" outlineLevel="0" collapsed="false">
      <c r="A573" s="4" t="n">
        <v>429</v>
      </c>
      <c r="B573" s="5" t="n">
        <v>9.53562169508774</v>
      </c>
      <c r="C573" s="5" t="n">
        <f aca="false">B573</f>
        <v>9.53562169508774</v>
      </c>
      <c r="D573" s="5" t="n">
        <f aca="false">C573*LOG(C573)</f>
        <v>9.33870169595247</v>
      </c>
      <c r="E573" s="5"/>
      <c r="F573" s="5"/>
      <c r="G573" s="4" t="n">
        <v>572</v>
      </c>
      <c r="H573" s="6" t="n">
        <v>0.428</v>
      </c>
      <c r="J573" s="2" t="n">
        <f aca="false">B573/$B$1003</f>
        <v>0.000743605941573521</v>
      </c>
      <c r="K573" s="5" t="n">
        <f aca="false">J573*LOG(J573,2)</f>
        <v>-0.00772842599903309</v>
      </c>
    </row>
    <row r="574" customFormat="false" ht="13" hidden="false" customHeight="false" outlineLevel="0" collapsed="false">
      <c r="A574" s="4" t="n">
        <v>428</v>
      </c>
      <c r="B574" s="5" t="n">
        <v>9.43599532948736</v>
      </c>
      <c r="C574" s="5" t="n">
        <f aca="false">B574</f>
        <v>9.43599532948736</v>
      </c>
      <c r="D574" s="5" t="n">
        <f aca="false">C574*LOG(C574)</f>
        <v>9.1980923472304</v>
      </c>
      <c r="E574" s="5"/>
      <c r="F574" s="5"/>
      <c r="G574" s="4" t="n">
        <v>573</v>
      </c>
      <c r="H574" s="6" t="n">
        <v>0.427</v>
      </c>
      <c r="J574" s="2" t="n">
        <f aca="false">B574/$B$1003</f>
        <v>0.000735836887833062</v>
      </c>
      <c r="K574" s="5" t="n">
        <f aca="false">J574*LOG(J574,2)</f>
        <v>-0.00765883048988895</v>
      </c>
    </row>
    <row r="575" customFormat="false" ht="13" hidden="false" customHeight="false" outlineLevel="0" collapsed="false">
      <c r="A575" s="4" t="n">
        <v>427</v>
      </c>
      <c r="B575" s="5" t="n">
        <v>9.41905319689124</v>
      </c>
      <c r="C575" s="5" t="n">
        <f aca="false">B575</f>
        <v>9.41905319689124</v>
      </c>
      <c r="D575" s="5" t="n">
        <f aca="false">C575*LOG(C575)</f>
        <v>9.17422609918556</v>
      </c>
      <c r="E575" s="5"/>
      <c r="F575" s="5"/>
      <c r="G575" s="4" t="n">
        <v>574</v>
      </c>
      <c r="H575" s="6" t="n">
        <v>0.426</v>
      </c>
      <c r="J575" s="2" t="n">
        <f aca="false">B575/$B$1003</f>
        <v>0.000734515708064795</v>
      </c>
      <c r="K575" s="5" t="n">
        <f aca="false">J575*LOG(J575,2)</f>
        <v>-0.00764698356698595</v>
      </c>
    </row>
    <row r="576" customFormat="false" ht="13" hidden="false" customHeight="false" outlineLevel="0" collapsed="false">
      <c r="A576" s="4" t="n">
        <v>426</v>
      </c>
      <c r="B576" s="5" t="n">
        <v>9.39943451240094</v>
      </c>
      <c r="C576" s="5" t="n">
        <f aca="false">B576</f>
        <v>9.39943451240094</v>
      </c>
      <c r="D576" s="5" t="n">
        <f aca="false">C576*LOG(C576)</f>
        <v>9.14660595134703</v>
      </c>
      <c r="E576" s="5"/>
      <c r="F576" s="5"/>
      <c r="G576" s="4" t="n">
        <v>575</v>
      </c>
      <c r="H576" s="6" t="n">
        <v>0.425</v>
      </c>
      <c r="J576" s="2" t="n">
        <f aca="false">B576/$B$1003</f>
        <v>0.00073298580568199</v>
      </c>
      <c r="K576" s="5" t="n">
        <f aca="false">J576*LOG(J576,2)</f>
        <v>-0.00763326075948976</v>
      </c>
    </row>
    <row r="577" customFormat="false" ht="13" hidden="false" customHeight="false" outlineLevel="0" collapsed="false">
      <c r="A577" s="4" t="n">
        <v>425</v>
      </c>
      <c r="B577" s="5" t="n">
        <v>9.38730302578648</v>
      </c>
      <c r="C577" s="5" t="n">
        <f aca="false">B577</f>
        <v>9.38730302578648</v>
      </c>
      <c r="D577" s="5" t="n">
        <f aca="false">C577*LOG(C577)</f>
        <v>9.12953554456172</v>
      </c>
      <c r="E577" s="5"/>
      <c r="F577" s="5"/>
      <c r="G577" s="4" t="n">
        <v>576</v>
      </c>
      <c r="H577" s="6" t="n">
        <v>0.424</v>
      </c>
      <c r="J577" s="2" t="n">
        <f aca="false">B577/$B$1003</f>
        <v>0.000732039769249853</v>
      </c>
      <c r="K577" s="5" t="n">
        <f aca="false">J577*LOG(J577,2)</f>
        <v>-0.00762477276594928</v>
      </c>
    </row>
    <row r="578" customFormat="false" ht="13" hidden="false" customHeight="false" outlineLevel="0" collapsed="false">
      <c r="A578" s="4" t="n">
        <v>424</v>
      </c>
      <c r="B578" s="5" t="n">
        <v>9.31389921077899</v>
      </c>
      <c r="C578" s="5" t="n">
        <f aca="false">B578</f>
        <v>9.31389921077899</v>
      </c>
      <c r="D578" s="5" t="n">
        <f aca="false">C578*LOG(C578)</f>
        <v>9.02639342926805</v>
      </c>
      <c r="E578" s="5"/>
      <c r="F578" s="5"/>
      <c r="G578" s="4" t="n">
        <v>577</v>
      </c>
      <c r="H578" s="6" t="n">
        <v>0.423</v>
      </c>
      <c r="J578" s="2" t="n">
        <f aca="false">B578/$B$1003</f>
        <v>0.000726315599948772</v>
      </c>
      <c r="K578" s="5" t="n">
        <f aca="false">J578*LOG(J578,2)</f>
        <v>-0.00757337687721612</v>
      </c>
    </row>
    <row r="579" customFormat="false" ht="13" hidden="false" customHeight="false" outlineLevel="0" collapsed="false">
      <c r="A579" s="4" t="n">
        <v>423</v>
      </c>
      <c r="B579" s="5" t="n">
        <v>9.28292853876593</v>
      </c>
      <c r="C579" s="5" t="n">
        <f aca="false">B579</f>
        <v>9.28292853876593</v>
      </c>
      <c r="D579" s="5" t="n">
        <f aca="false">C579*LOG(C579)</f>
        <v>8.98295076995421</v>
      </c>
      <c r="E579" s="5"/>
      <c r="F579" s="5"/>
      <c r="G579" s="4" t="n">
        <v>578</v>
      </c>
      <c r="H579" s="6" t="n">
        <v>0.422</v>
      </c>
      <c r="J579" s="2" t="n">
        <f aca="false">B579/$B$1003</f>
        <v>0.000723900447957655</v>
      </c>
      <c r="K579" s="5" t="n">
        <f aca="false">J579*LOG(J579,2)</f>
        <v>-0.00755167233600732</v>
      </c>
    </row>
    <row r="580" customFormat="false" ht="13" hidden="false" customHeight="false" outlineLevel="0" collapsed="false">
      <c r="A580" s="4" t="n">
        <v>422</v>
      </c>
      <c r="B580" s="5" t="n">
        <v>9.28023790828938</v>
      </c>
      <c r="C580" s="5" t="n">
        <f aca="false">B580</f>
        <v>9.28023790828938</v>
      </c>
      <c r="D580" s="5" t="n">
        <f aca="false">C580*LOG(C580)</f>
        <v>8.97917873057664</v>
      </c>
      <c r="E580" s="5"/>
      <c r="F580" s="5"/>
      <c r="G580" s="4" t="n">
        <v>579</v>
      </c>
      <c r="H580" s="6" t="n">
        <v>0.421</v>
      </c>
      <c r="J580" s="2" t="n">
        <f aca="false">B580/$B$1003</f>
        <v>0.00072369062746845</v>
      </c>
      <c r="K580" s="5" t="n">
        <f aca="false">J580*LOG(J580,2)</f>
        <v>-0.00754978616833058</v>
      </c>
    </row>
    <row r="581" customFormat="false" ht="13" hidden="false" customHeight="false" outlineLevel="0" collapsed="false">
      <c r="A581" s="4" t="n">
        <v>421</v>
      </c>
      <c r="B581" s="5" t="n">
        <v>9.25296629334002</v>
      </c>
      <c r="C581" s="5" t="n">
        <f aca="false">B581</f>
        <v>9.25296629334002</v>
      </c>
      <c r="D581" s="5" t="n">
        <f aca="false">C581*LOG(C581)</f>
        <v>8.940965338988</v>
      </c>
      <c r="E581" s="5"/>
      <c r="F581" s="5"/>
      <c r="G581" s="4" t="n">
        <v>580</v>
      </c>
      <c r="H581" s="6" t="n">
        <v>0.42</v>
      </c>
      <c r="J581" s="2" t="n">
        <f aca="false">B581/$B$1003</f>
        <v>0.000721563934992479</v>
      </c>
      <c r="K581" s="5" t="n">
        <f aca="false">J581*LOG(J581,2)</f>
        <v>-0.00753066344693989</v>
      </c>
    </row>
    <row r="582" customFormat="false" ht="13" hidden="false" customHeight="false" outlineLevel="0" collapsed="false">
      <c r="A582" s="4" t="n">
        <v>420</v>
      </c>
      <c r="B582" s="5" t="n">
        <v>9.23705867583874</v>
      </c>
      <c r="C582" s="5" t="n">
        <f aca="false">B582</f>
        <v>9.23705867583874</v>
      </c>
      <c r="D582" s="5" t="n">
        <f aca="false">C582*LOG(C582)</f>
        <v>8.91869146225623</v>
      </c>
      <c r="E582" s="5"/>
      <c r="F582" s="5"/>
      <c r="G582" s="4" t="n">
        <v>581</v>
      </c>
      <c r="H582" s="6" t="n">
        <v>0.419</v>
      </c>
      <c r="J582" s="2" t="n">
        <f aca="false">B582/$B$1003</f>
        <v>0.000720323428681671</v>
      </c>
      <c r="K582" s="5" t="n">
        <f aca="false">J582*LOG(J582,2)</f>
        <v>-0.00751950493022716</v>
      </c>
    </row>
    <row r="583" customFormat="false" ht="13" hidden="false" customHeight="false" outlineLevel="0" collapsed="false">
      <c r="A583" s="4" t="n">
        <v>419</v>
      </c>
      <c r="B583" s="5" t="n">
        <v>9.10298077144304</v>
      </c>
      <c r="C583" s="5" t="n">
        <f aca="false">B583</f>
        <v>9.10298077144304</v>
      </c>
      <c r="D583" s="5" t="n">
        <f aca="false">C583*LOG(C583)</f>
        <v>8.73143009790006</v>
      </c>
      <c r="E583" s="5"/>
      <c r="F583" s="5"/>
      <c r="G583" s="4" t="n">
        <v>582</v>
      </c>
      <c r="H583" s="6" t="n">
        <v>0.418</v>
      </c>
      <c r="J583" s="2" t="n">
        <f aca="false">B583/$B$1003</f>
        <v>0.000709867778328666</v>
      </c>
      <c r="K583" s="5" t="n">
        <f aca="false">J583*LOG(J583,2)</f>
        <v>-0.00742533199520689</v>
      </c>
    </row>
    <row r="584" customFormat="false" ht="13" hidden="false" customHeight="false" outlineLevel="0" collapsed="false">
      <c r="A584" s="4" t="n">
        <v>418</v>
      </c>
      <c r="B584" s="5" t="n">
        <v>9.09909263288228</v>
      </c>
      <c r="C584" s="5" t="n">
        <f aca="false">B584</f>
        <v>9.09909263288228</v>
      </c>
      <c r="D584" s="5" t="n">
        <f aca="false">C584*LOG(C584)</f>
        <v>8.72601242261261</v>
      </c>
      <c r="E584" s="5"/>
      <c r="F584" s="5"/>
      <c r="G584" s="4" t="n">
        <v>583</v>
      </c>
      <c r="H584" s="6" t="n">
        <v>0.417</v>
      </c>
      <c r="J584" s="2" t="n">
        <f aca="false">B584/$B$1003</f>
        <v>0.000709564573878248</v>
      </c>
      <c r="K584" s="5" t="n">
        <f aca="false">J584*LOG(J584,2)</f>
        <v>-0.00742259776564536</v>
      </c>
    </row>
    <row r="585" customFormat="false" ht="13" hidden="false" customHeight="false" outlineLevel="0" collapsed="false">
      <c r="A585" s="4" t="n">
        <v>417</v>
      </c>
      <c r="B585" s="5" t="n">
        <v>9.02617020688035</v>
      </c>
      <c r="C585" s="5" t="n">
        <f aca="false">B585</f>
        <v>9.02617020688035</v>
      </c>
      <c r="D585" s="5" t="n">
        <f aca="false">C585*LOG(C585)</f>
        <v>8.62453739370098</v>
      </c>
      <c r="E585" s="5"/>
      <c r="F585" s="5"/>
      <c r="G585" s="4" t="n">
        <v>584</v>
      </c>
      <c r="H585" s="6" t="n">
        <v>0.416</v>
      </c>
      <c r="J585" s="2" t="n">
        <f aca="false">B585/$B$1003</f>
        <v>0.000703877944208688</v>
      </c>
      <c r="K585" s="5" t="n">
        <f aca="false">J585*LOG(J585,2)</f>
        <v>-0.00737128230234056</v>
      </c>
    </row>
    <row r="586" customFormat="false" ht="13" hidden="false" customHeight="false" outlineLevel="0" collapsed="false">
      <c r="A586" s="4" t="n">
        <v>416</v>
      </c>
      <c r="B586" s="5" t="n">
        <v>9.01561179955721</v>
      </c>
      <c r="C586" s="5" t="n">
        <f aca="false">B586</f>
        <v>9.01561179955721</v>
      </c>
      <c r="D586" s="5" t="n">
        <f aca="false">C586*LOG(C586)</f>
        <v>8.60986602329045</v>
      </c>
      <c r="E586" s="5"/>
      <c r="F586" s="5"/>
      <c r="G586" s="4" t="n">
        <v>585</v>
      </c>
      <c r="H586" s="6" t="n">
        <v>0.415</v>
      </c>
      <c r="J586" s="2" t="n">
        <f aca="false">B586/$B$1003</f>
        <v>0.000703054579495815</v>
      </c>
      <c r="K586" s="5" t="n">
        <f aca="false">J586*LOG(J586,2)</f>
        <v>-0.00736384687750557</v>
      </c>
    </row>
    <row r="587" customFormat="false" ht="13" hidden="false" customHeight="false" outlineLevel="0" collapsed="false">
      <c r="A587" s="4" t="n">
        <v>415</v>
      </c>
      <c r="B587" s="5" t="n">
        <v>9.00976962931247</v>
      </c>
      <c r="C587" s="5" t="n">
        <f aca="false">B587</f>
        <v>9.00976962931247</v>
      </c>
      <c r="D587" s="5" t="n">
        <f aca="false">C587*LOG(C587)</f>
        <v>8.60175037867552</v>
      </c>
      <c r="E587" s="5"/>
      <c r="F587" s="5"/>
      <c r="G587" s="4" t="n">
        <v>586</v>
      </c>
      <c r="H587" s="6" t="n">
        <v>0.414</v>
      </c>
      <c r="J587" s="2" t="n">
        <f aca="false">B587/$B$1003</f>
        <v>0.000702598995932983</v>
      </c>
      <c r="K587" s="5" t="n">
        <f aca="false">J587*LOG(J587,2)</f>
        <v>-0.00735973211593082</v>
      </c>
    </row>
    <row r="588" customFormat="false" ht="13" hidden="false" customHeight="false" outlineLevel="0" collapsed="false">
      <c r="A588" s="4" t="n">
        <v>414</v>
      </c>
      <c r="B588" s="5" t="n">
        <v>8.9547385111328</v>
      </c>
      <c r="C588" s="5" t="n">
        <f aca="false">B588</f>
        <v>8.9547385111328</v>
      </c>
      <c r="D588" s="5" t="n">
        <f aca="false">C588*LOG(C588)</f>
        <v>8.5253848440404</v>
      </c>
      <c r="E588" s="5"/>
      <c r="F588" s="5"/>
      <c r="G588" s="4" t="n">
        <v>587</v>
      </c>
      <c r="H588" s="6" t="n">
        <v>0.413</v>
      </c>
      <c r="J588" s="2" t="n">
        <f aca="false">B588/$B$1003</f>
        <v>0.000698307564523648</v>
      </c>
      <c r="K588" s="5" t="n">
        <f aca="false">J588*LOG(J588,2)</f>
        <v>-0.00732095160567543</v>
      </c>
    </row>
    <row r="589" customFormat="false" ht="13" hidden="false" customHeight="false" outlineLevel="0" collapsed="false">
      <c r="A589" s="4" t="n">
        <v>413</v>
      </c>
      <c r="B589" s="5" t="n">
        <v>8.93605875506547</v>
      </c>
      <c r="C589" s="5" t="n">
        <f aca="false">B589</f>
        <v>8.93605875506547</v>
      </c>
      <c r="D589" s="5" t="n">
        <f aca="false">C589*LOG(C589)</f>
        <v>8.49949668028434</v>
      </c>
      <c r="E589" s="5"/>
      <c r="F589" s="5"/>
      <c r="G589" s="4" t="n">
        <v>588</v>
      </c>
      <c r="H589" s="6" t="n">
        <v>0.412</v>
      </c>
      <c r="J589" s="2" t="n">
        <f aca="false">B589/$B$1003</f>
        <v>0.000696850881567573</v>
      </c>
      <c r="K589" s="5" t="n">
        <f aca="false">J589*LOG(J589,2)</f>
        <v>-0.00730777931620412</v>
      </c>
    </row>
    <row r="590" customFormat="false" ht="13" hidden="false" customHeight="false" outlineLevel="0" collapsed="false">
      <c r="A590" s="4" t="n">
        <v>412</v>
      </c>
      <c r="B590" s="5" t="n">
        <v>8.9170462078016</v>
      </c>
      <c r="C590" s="5" t="n">
        <f aca="false">B590</f>
        <v>8.9170462078016</v>
      </c>
      <c r="D590" s="5" t="n">
        <f aca="false">C590*LOG(C590)</f>
        <v>8.473164717511</v>
      </c>
      <c r="E590" s="5"/>
      <c r="F590" s="5"/>
      <c r="G590" s="4" t="n">
        <v>589</v>
      </c>
      <c r="H590" s="6" t="n">
        <v>0.411</v>
      </c>
      <c r="J590" s="2" t="n">
        <f aca="false">B590/$B$1003</f>
        <v>0.00069536824692015</v>
      </c>
      <c r="K590" s="5" t="n">
        <f aca="false">J590*LOG(J590,2)</f>
        <v>-0.00729436784320835</v>
      </c>
    </row>
    <row r="591" customFormat="false" ht="13" hidden="false" customHeight="false" outlineLevel="0" collapsed="false">
      <c r="A591" s="4" t="n">
        <v>411</v>
      </c>
      <c r="B591" s="5" t="n">
        <v>8.89859913410362</v>
      </c>
      <c r="C591" s="5" t="n">
        <f aca="false">B591</f>
        <v>8.89859913410362</v>
      </c>
      <c r="D591" s="5" t="n">
        <f aca="false">C591*LOG(C591)</f>
        <v>8.44763275061124</v>
      </c>
      <c r="E591" s="5"/>
      <c r="F591" s="5"/>
      <c r="G591" s="4" t="n">
        <v>590</v>
      </c>
      <c r="H591" s="6" t="n">
        <v>0.41</v>
      </c>
      <c r="J591" s="2" t="n">
        <f aca="false">B591/$B$1003</f>
        <v>0.000693929708978409</v>
      </c>
      <c r="K591" s="5" t="n">
        <f aca="false">J591*LOG(J591,2)</f>
        <v>-0.00728135089679949</v>
      </c>
    </row>
    <row r="592" customFormat="false" ht="13" hidden="false" customHeight="false" outlineLevel="0" collapsed="false">
      <c r="A592" s="4" t="n">
        <v>410</v>
      </c>
      <c r="B592" s="5" t="n">
        <v>8.8854963906216</v>
      </c>
      <c r="C592" s="5" t="n">
        <f aca="false">B592</f>
        <v>8.8854963906216</v>
      </c>
      <c r="D592" s="5" t="n">
        <f aca="false">C592*LOG(C592)</f>
        <v>8.42950777495781</v>
      </c>
      <c r="E592" s="5"/>
      <c r="F592" s="5"/>
      <c r="G592" s="4" t="n">
        <v>591</v>
      </c>
      <c r="H592" s="6" t="n">
        <v>0.409</v>
      </c>
      <c r="J592" s="2" t="n">
        <f aca="false">B592/$B$1003</f>
        <v>0.000692907932085859</v>
      </c>
      <c r="K592" s="5" t="n">
        <f aca="false">J592*LOG(J592,2)</f>
        <v>-0.00727210249734439</v>
      </c>
    </row>
    <row r="593" customFormat="false" ht="13" hidden="false" customHeight="false" outlineLevel="0" collapsed="false">
      <c r="A593" s="4" t="n">
        <v>409</v>
      </c>
      <c r="B593" s="5" t="n">
        <v>8.86794860333555</v>
      </c>
      <c r="C593" s="5" t="n">
        <f aca="false">B593</f>
        <v>8.86794860333555</v>
      </c>
      <c r="D593" s="5" t="n">
        <f aca="false">C593*LOG(C593)</f>
        <v>8.40524713333391</v>
      </c>
      <c r="E593" s="5"/>
      <c r="F593" s="5"/>
      <c r="G593" s="4" t="n">
        <v>592</v>
      </c>
      <c r="H593" s="6" t="n">
        <v>0.408</v>
      </c>
      <c r="J593" s="2" t="n">
        <f aca="false">B593/$B$1003</f>
        <v>0.000691539522211325</v>
      </c>
      <c r="K593" s="5" t="n">
        <f aca="false">J593*LOG(J593,2)</f>
        <v>-0.0072597132165121</v>
      </c>
    </row>
    <row r="594" customFormat="false" ht="13" hidden="false" customHeight="false" outlineLevel="0" collapsed="false">
      <c r="A594" s="4" t="n">
        <v>408</v>
      </c>
      <c r="B594" s="5" t="n">
        <v>8.86689251150847</v>
      </c>
      <c r="C594" s="5" t="n">
        <f aca="false">B594</f>
        <v>8.86689251150847</v>
      </c>
      <c r="D594" s="5" t="n">
        <f aca="false">C594*LOG(C594)</f>
        <v>8.40378751749234</v>
      </c>
      <c r="E594" s="5"/>
      <c r="F594" s="5"/>
      <c r="G594" s="4" t="n">
        <v>593</v>
      </c>
      <c r="H594" s="6" t="n">
        <v>0.407</v>
      </c>
      <c r="J594" s="2" t="n">
        <f aca="false">B594/$B$1003</f>
        <v>0.00069145716615919</v>
      </c>
      <c r="K594" s="5" t="n">
        <f aca="false">J594*LOG(J594,2)</f>
        <v>-0.00725896745844971</v>
      </c>
    </row>
    <row r="595" customFormat="false" ht="13" hidden="false" customHeight="false" outlineLevel="0" collapsed="false">
      <c r="A595" s="4" t="n">
        <v>407</v>
      </c>
      <c r="B595" s="5" t="n">
        <v>8.84935135767489</v>
      </c>
      <c r="C595" s="5" t="n">
        <f aca="false">B595</f>
        <v>8.84935135767489</v>
      </c>
      <c r="D595" s="5" t="n">
        <f aca="false">C595*LOG(C595)</f>
        <v>8.37955202673201</v>
      </c>
      <c r="E595" s="5"/>
      <c r="F595" s="5"/>
      <c r="G595" s="4" t="n">
        <v>594</v>
      </c>
      <c r="H595" s="6" t="n">
        <v>0.406</v>
      </c>
      <c r="J595" s="2" t="n">
        <f aca="false">B595/$B$1003</f>
        <v>0.000690089273573914</v>
      </c>
      <c r="K595" s="5" t="n">
        <f aca="false">J595*LOG(J595,2)</f>
        <v>-0.00724657872146759</v>
      </c>
    </row>
    <row r="596" customFormat="false" ht="13" hidden="false" customHeight="false" outlineLevel="0" collapsed="false">
      <c r="A596" s="4" t="n">
        <v>406</v>
      </c>
      <c r="B596" s="5" t="n">
        <v>8.84805644060475</v>
      </c>
      <c r="C596" s="5" t="n">
        <f aca="false">B596</f>
        <v>8.84805644060475</v>
      </c>
      <c r="D596" s="5" t="n">
        <f aca="false">C596*LOG(C596)</f>
        <v>8.37776352075581</v>
      </c>
      <c r="E596" s="5"/>
      <c r="F596" s="5"/>
      <c r="G596" s="4" t="n">
        <v>595</v>
      </c>
      <c r="H596" s="6" t="n">
        <v>0.405</v>
      </c>
      <c r="J596" s="2" t="n">
        <f aca="false">B596/$B$1003</f>
        <v>0.000689988293474452</v>
      </c>
      <c r="K596" s="5" t="n">
        <f aca="false">J596*LOG(J596,2)</f>
        <v>-0.00724566400940461</v>
      </c>
    </row>
    <row r="597" customFormat="false" ht="13" hidden="false" customHeight="false" outlineLevel="0" collapsed="false">
      <c r="A597" s="4" t="n">
        <v>405</v>
      </c>
      <c r="B597" s="5" t="n">
        <v>8.82619892681434</v>
      </c>
      <c r="C597" s="5" t="n">
        <f aca="false">B597</f>
        <v>8.82619892681434</v>
      </c>
      <c r="D597" s="5" t="n">
        <f aca="false">C597*LOG(C597)</f>
        <v>8.34758691697492</v>
      </c>
      <c r="E597" s="5"/>
      <c r="F597" s="5"/>
      <c r="G597" s="4" t="n">
        <v>596</v>
      </c>
      <c r="H597" s="6" t="n">
        <v>0.404</v>
      </c>
      <c r="J597" s="2" t="n">
        <f aca="false">B597/$B$1003</f>
        <v>0.000688283802918693</v>
      </c>
      <c r="K597" s="5" t="n">
        <f aca="false">J597*LOG(J597,2)</f>
        <v>-0.00723022093484447</v>
      </c>
    </row>
    <row r="598" customFormat="false" ht="13" hidden="false" customHeight="false" outlineLevel="0" collapsed="false">
      <c r="A598" s="4" t="n">
        <v>404</v>
      </c>
      <c r="B598" s="5" t="n">
        <v>8.80880503915273</v>
      </c>
      <c r="C598" s="5" t="n">
        <f aca="false">B598</f>
        <v>8.80880503915273</v>
      </c>
      <c r="D598" s="5" t="n">
        <f aca="false">C598*LOG(C598)</f>
        <v>8.3235896141929</v>
      </c>
      <c r="E598" s="5"/>
      <c r="F598" s="5"/>
      <c r="G598" s="4" t="n">
        <v>597</v>
      </c>
      <c r="H598" s="6" t="n">
        <v>0.403</v>
      </c>
      <c r="J598" s="2" t="n">
        <f aca="false">B598/$B$1003</f>
        <v>0.000686927394429994</v>
      </c>
      <c r="K598" s="5" t="n">
        <f aca="false">J598*LOG(J598,2)</f>
        <v>-0.00721792721293628</v>
      </c>
    </row>
    <row r="599" customFormat="false" ht="13" hidden="false" customHeight="false" outlineLevel="0" collapsed="false">
      <c r="A599" s="4" t="n">
        <v>403</v>
      </c>
      <c r="B599" s="5" t="n">
        <v>8.80827435373465</v>
      </c>
      <c r="C599" s="5" t="n">
        <f aca="false">B599</f>
        <v>8.80827435373465</v>
      </c>
      <c r="D599" s="5" t="n">
        <f aca="false">C599*LOG(C599)</f>
        <v>8.32285769371459</v>
      </c>
      <c r="E599" s="5"/>
      <c r="F599" s="5"/>
      <c r="G599" s="4" t="n">
        <v>598</v>
      </c>
      <c r="H599" s="6" t="n">
        <v>0.402</v>
      </c>
      <c r="J599" s="2" t="n">
        <f aca="false">B599/$B$1003</f>
        <v>0.000686886010570335</v>
      </c>
      <c r="K599" s="5" t="n">
        <f aca="false">J599*LOG(J599,2)</f>
        <v>-0.00721755207225537</v>
      </c>
    </row>
    <row r="600" customFormat="false" ht="13" hidden="false" customHeight="false" outlineLevel="0" collapsed="false">
      <c r="A600" s="4" t="n">
        <v>402</v>
      </c>
      <c r="B600" s="5" t="n">
        <v>8.77671785506993</v>
      </c>
      <c r="C600" s="5" t="n">
        <f aca="false">B600</f>
        <v>8.77671785506993</v>
      </c>
      <c r="D600" s="5" t="n">
        <f aca="false">C600*LOG(C600)</f>
        <v>8.27936001294013</v>
      </c>
      <c r="E600" s="5"/>
      <c r="F600" s="5"/>
      <c r="G600" s="4" t="n">
        <v>599</v>
      </c>
      <c r="H600" s="6" t="n">
        <v>0.401</v>
      </c>
      <c r="J600" s="2" t="n">
        <f aca="false">B600/$B$1003</f>
        <v>0.00068442517470114</v>
      </c>
      <c r="K600" s="5" t="n">
        <f aca="false">J600*LOG(J600,2)</f>
        <v>-0.00719523835927969</v>
      </c>
    </row>
    <row r="601" customFormat="false" ht="13" hidden="false" customHeight="false" outlineLevel="0" collapsed="false">
      <c r="A601" s="4" t="n">
        <v>401</v>
      </c>
      <c r="B601" s="5" t="n">
        <v>8.7496604164329</v>
      </c>
      <c r="C601" s="5" t="n">
        <f aca="false">B601</f>
        <v>8.7496604164329</v>
      </c>
      <c r="D601" s="5" t="n">
        <f aca="false">C601*LOG(C601)</f>
        <v>8.24210309708287</v>
      </c>
      <c r="E601" s="5"/>
      <c r="F601" s="5"/>
      <c r="G601" s="4" t="n">
        <v>600</v>
      </c>
      <c r="H601" s="6" t="n">
        <v>0.4</v>
      </c>
      <c r="J601" s="2" t="n">
        <f aca="false">B601/$B$1003</f>
        <v>0.000682315184101931</v>
      </c>
      <c r="K601" s="5" t="n">
        <f aca="false">J601*LOG(J601,2)</f>
        <v>-0.00717609578476241</v>
      </c>
      <c r="L601" s="2" t="n">
        <f aca="false">SUM(J552:J601)</f>
        <v>0.036427590108535</v>
      </c>
    </row>
    <row r="602" customFormat="false" ht="13" hidden="false" customHeight="false" outlineLevel="0" collapsed="false">
      <c r="A602" s="4" t="n">
        <v>400</v>
      </c>
      <c r="B602" s="5" t="n">
        <v>8.74418356254307</v>
      </c>
      <c r="C602" s="5" t="n">
        <f aca="false">B602</f>
        <v>8.74418356254307</v>
      </c>
      <c r="D602" s="5" t="n">
        <f aca="false">C602*LOG(C602)</f>
        <v>8.23456612609185</v>
      </c>
      <c r="E602" s="5"/>
      <c r="F602" s="5"/>
      <c r="G602" s="4" t="n">
        <v>601</v>
      </c>
      <c r="H602" s="6" t="n">
        <v>0.399</v>
      </c>
      <c r="J602" s="2" t="n">
        <f aca="false">B602/$B$1003</f>
        <v>0.000681888088604245</v>
      </c>
      <c r="K602" s="5" t="n">
        <f aca="false">J602*LOG(J602,2)</f>
        <v>-0.00717221988003529</v>
      </c>
    </row>
    <row r="603" customFormat="false" ht="13" hidden="false" customHeight="false" outlineLevel="0" collapsed="false">
      <c r="A603" s="4" t="n">
        <v>399</v>
      </c>
      <c r="B603" s="5" t="n">
        <v>8.72949580511033</v>
      </c>
      <c r="C603" s="5" t="n">
        <f aca="false">B603</f>
        <v>8.72949580511033</v>
      </c>
      <c r="D603" s="5" t="n">
        <f aca="false">C603*LOG(C603)</f>
        <v>8.21436093024178</v>
      </c>
      <c r="E603" s="5"/>
      <c r="F603" s="5"/>
      <c r="G603" s="4" t="n">
        <v>602</v>
      </c>
      <c r="H603" s="6" t="n">
        <v>0.398</v>
      </c>
      <c r="J603" s="2" t="n">
        <f aca="false">B603/$B$1003</f>
        <v>0.000680742709304959</v>
      </c>
      <c r="K603" s="5" t="n">
        <f aca="false">J603*LOG(J603,2)</f>
        <v>-0.00716182362182695</v>
      </c>
    </row>
    <row r="604" customFormat="false" ht="13" hidden="false" customHeight="false" outlineLevel="0" collapsed="false">
      <c r="A604" s="4" t="n">
        <v>398</v>
      </c>
      <c r="B604" s="5" t="n">
        <v>8.70922847462589</v>
      </c>
      <c r="C604" s="5" t="n">
        <f aca="false">B604</f>
        <v>8.70922847462589</v>
      </c>
      <c r="D604" s="5" t="n">
        <f aca="false">C604*LOG(C604)</f>
        <v>8.18649782788594</v>
      </c>
      <c r="E604" s="5"/>
      <c r="F604" s="5"/>
      <c r="G604" s="4" t="n">
        <v>603</v>
      </c>
      <c r="H604" s="6" t="n">
        <v>0.397</v>
      </c>
      <c r="J604" s="2" t="n">
        <f aca="false">B604/$B$1003</f>
        <v>0.000679162224272102</v>
      </c>
      <c r="K604" s="5" t="n">
        <f aca="false">J604*LOG(J604,2)</f>
        <v>-0.00714747347557776</v>
      </c>
    </row>
    <row r="605" customFormat="false" ht="13" hidden="false" customHeight="false" outlineLevel="0" collapsed="false">
      <c r="A605" s="4" t="n">
        <v>397</v>
      </c>
      <c r="B605" s="5" t="n">
        <v>8.68886529644483</v>
      </c>
      <c r="C605" s="5" t="n">
        <f aca="false">B605</f>
        <v>8.68886529644483</v>
      </c>
      <c r="D605" s="5" t="n">
        <f aca="false">C605*LOG(C605)</f>
        <v>8.15852358494257</v>
      </c>
      <c r="E605" s="5"/>
      <c r="F605" s="5"/>
      <c r="G605" s="4" t="n">
        <v>604</v>
      </c>
      <c r="H605" s="6" t="n">
        <v>0.396</v>
      </c>
      <c r="J605" s="2" t="n">
        <f aca="false">B605/$B$1003</f>
        <v>0.00067757426485331</v>
      </c>
      <c r="K605" s="5" t="n">
        <f aca="false">J605*LOG(J605,2)</f>
        <v>-0.00713305012111311</v>
      </c>
    </row>
    <row r="606" customFormat="false" ht="13" hidden="false" customHeight="false" outlineLevel="0" collapsed="false">
      <c r="A606" s="4" t="n">
        <v>396</v>
      </c>
      <c r="B606" s="5" t="n">
        <v>8.62258810021694</v>
      </c>
      <c r="C606" s="5" t="n">
        <f aca="false">B606</f>
        <v>8.62258810021694</v>
      </c>
      <c r="D606" s="5" t="n">
        <f aca="false">C606*LOG(C606)</f>
        <v>8.06761798432918</v>
      </c>
      <c r="E606" s="5"/>
      <c r="F606" s="5"/>
      <c r="G606" s="4" t="n">
        <v>605</v>
      </c>
      <c r="H606" s="6" t="n">
        <v>0.395</v>
      </c>
      <c r="J606" s="2" t="n">
        <f aca="false">B606/$B$1003</f>
        <v>0.000672405842858205</v>
      </c>
      <c r="K606" s="5" t="n">
        <f aca="false">J606*LOG(J606,2)</f>
        <v>-0.00708606836604025</v>
      </c>
    </row>
    <row r="607" customFormat="false" ht="13" hidden="false" customHeight="false" outlineLevel="0" collapsed="false">
      <c r="A607" s="4" t="n">
        <v>395</v>
      </c>
      <c r="B607" s="5" t="n">
        <v>8.60980928137155</v>
      </c>
      <c r="C607" s="5" t="n">
        <f aca="false">B607</f>
        <v>8.60980928137155</v>
      </c>
      <c r="D607" s="5" t="n">
        <f aca="false">C607*LOG(C607)</f>
        <v>8.05011598436676</v>
      </c>
      <c r="E607" s="5"/>
      <c r="F607" s="5"/>
      <c r="G607" s="4" t="n">
        <v>606</v>
      </c>
      <c r="H607" s="6" t="n">
        <v>0.394</v>
      </c>
      <c r="J607" s="2" t="n">
        <f aca="false">B607/$B$1003</f>
        <v>0.000671409326225774</v>
      </c>
      <c r="K607" s="5" t="n">
        <f aca="false">J607*LOG(J607,2)</f>
        <v>-0.00707700329872512</v>
      </c>
    </row>
    <row r="608" customFormat="false" ht="13" hidden="false" customHeight="false" outlineLevel="0" collapsed="false">
      <c r="A608" s="4" t="n">
        <v>394</v>
      </c>
      <c r="B608" s="5" t="n">
        <v>8.58673503806216</v>
      </c>
      <c r="C608" s="5" t="n">
        <f aca="false">B608</f>
        <v>8.58673503806216</v>
      </c>
      <c r="D608" s="5" t="n">
        <f aca="false">C608*LOG(C608)</f>
        <v>8.0185341397355</v>
      </c>
      <c r="E608" s="5"/>
      <c r="F608" s="5"/>
      <c r="G608" s="4" t="n">
        <v>607</v>
      </c>
      <c r="H608" s="6" t="n">
        <v>0.393</v>
      </c>
      <c r="J608" s="2" t="n">
        <f aca="false">B608/$B$1003</f>
        <v>0.00066960995278471</v>
      </c>
      <c r="K608" s="5" t="n">
        <f aca="false">J608*LOG(J608,2)</f>
        <v>-0.00706062943280348</v>
      </c>
    </row>
    <row r="609" customFormat="false" ht="13" hidden="false" customHeight="false" outlineLevel="0" collapsed="false">
      <c r="A609" s="4" t="n">
        <v>393</v>
      </c>
      <c r="B609" s="5" t="n">
        <v>8.58141929530336</v>
      </c>
      <c r="C609" s="5" t="n">
        <f aca="false">B609</f>
        <v>8.58141929530336</v>
      </c>
      <c r="D609" s="5" t="n">
        <f aca="false">C609*LOG(C609)</f>
        <v>8.01126226696241</v>
      </c>
      <c r="E609" s="5"/>
      <c r="F609" s="5"/>
      <c r="G609" s="4" t="n">
        <v>608</v>
      </c>
      <c r="H609" s="6" t="n">
        <v>0.392</v>
      </c>
      <c r="J609" s="2" t="n">
        <f aca="false">B609/$B$1003</f>
        <v>0.000669195421039878</v>
      </c>
      <c r="K609" s="5" t="n">
        <f aca="false">J609*LOG(J609,2)</f>
        <v>-0.00705685630557576</v>
      </c>
    </row>
    <row r="610" customFormat="false" ht="13" hidden="false" customHeight="false" outlineLevel="0" collapsed="false">
      <c r="A610" s="4" t="n">
        <v>392</v>
      </c>
      <c r="B610" s="5" t="n">
        <v>8.57896504122942</v>
      </c>
      <c r="C610" s="5" t="n">
        <f aca="false">B610</f>
        <v>8.57896504122942</v>
      </c>
      <c r="D610" s="5" t="n">
        <f aca="false">C610*LOG(C610)</f>
        <v>8.00790535911312</v>
      </c>
      <c r="E610" s="5"/>
      <c r="F610" s="5"/>
      <c r="G610" s="4" t="n">
        <v>609</v>
      </c>
      <c r="H610" s="6" t="n">
        <v>0.391</v>
      </c>
      <c r="J610" s="2" t="n">
        <f aca="false">B610/$B$1003</f>
        <v>0.000669004033632757</v>
      </c>
      <c r="K610" s="5" t="n">
        <f aca="false">J610*LOG(J610,2)</f>
        <v>-0.00705511414503506</v>
      </c>
    </row>
    <row r="611" customFormat="false" ht="13" hidden="false" customHeight="false" outlineLevel="0" collapsed="false">
      <c r="A611" s="4" t="n">
        <v>391</v>
      </c>
      <c r="B611" s="5" t="n">
        <v>8.53943603159451</v>
      </c>
      <c r="C611" s="5" t="n">
        <f aca="false">B611</f>
        <v>8.53943603159451</v>
      </c>
      <c r="D611" s="5" t="n">
        <f aca="false">C611*LOG(C611)</f>
        <v>7.95387998259503</v>
      </c>
      <c r="E611" s="5"/>
      <c r="F611" s="5"/>
      <c r="G611" s="4" t="n">
        <v>610</v>
      </c>
      <c r="H611" s="6" t="n">
        <v>0.39</v>
      </c>
      <c r="J611" s="2" t="n">
        <f aca="false">B611/$B$1003</f>
        <v>0.000665921486173457</v>
      </c>
      <c r="K611" s="5" t="n">
        <f aca="false">J611*LOG(J611,2)</f>
        <v>-0.00702704344670047</v>
      </c>
    </row>
    <row r="612" customFormat="false" ht="13" hidden="false" customHeight="false" outlineLevel="0" collapsed="false">
      <c r="A612" s="4" t="n">
        <v>390</v>
      </c>
      <c r="B612" s="5" t="n">
        <v>8.5325904648312</v>
      </c>
      <c r="C612" s="5" t="n">
        <f aca="false">B612</f>
        <v>8.5325904648312</v>
      </c>
      <c r="D612" s="5" t="n">
        <f aca="false">C612*LOG(C612)</f>
        <v>7.94453202197695</v>
      </c>
      <c r="E612" s="5"/>
      <c r="F612" s="5"/>
      <c r="G612" s="4" t="n">
        <v>611</v>
      </c>
      <c r="H612" s="6" t="n">
        <v>0.389</v>
      </c>
      <c r="J612" s="2" t="n">
        <f aca="false">B612/$B$1003</f>
        <v>0.000665387655839011</v>
      </c>
      <c r="K612" s="5" t="n">
        <f aca="false">J612*LOG(J612,2)</f>
        <v>-0.00702218012227766</v>
      </c>
    </row>
    <row r="613" customFormat="false" ht="13" hidden="false" customHeight="false" outlineLevel="0" collapsed="false">
      <c r="A613" s="4" t="n">
        <v>389</v>
      </c>
      <c r="B613" s="5" t="n">
        <v>8.51552695537224</v>
      </c>
      <c r="C613" s="5" t="n">
        <f aca="false">B613</f>
        <v>8.51552695537224</v>
      </c>
      <c r="D613" s="5" t="n">
        <f aca="false">C613*LOG(C613)</f>
        <v>7.92124134101405</v>
      </c>
      <c r="E613" s="5"/>
      <c r="F613" s="5"/>
      <c r="G613" s="4" t="n">
        <v>612</v>
      </c>
      <c r="H613" s="6" t="n">
        <v>0.388</v>
      </c>
      <c r="J613" s="2" t="n">
        <f aca="false">B613/$B$1003</f>
        <v>0.000664057010871802</v>
      </c>
      <c r="K613" s="5" t="n">
        <f aca="false">J613*LOG(J613,2)</f>
        <v>-0.00701005493171338</v>
      </c>
    </row>
    <row r="614" customFormat="false" ht="13" hidden="false" customHeight="false" outlineLevel="0" collapsed="false">
      <c r="A614" s="4" t="n">
        <v>388</v>
      </c>
      <c r="B614" s="5" t="n">
        <v>8.47374350481369</v>
      </c>
      <c r="C614" s="5" t="n">
        <f aca="false">B614</f>
        <v>8.47374350481369</v>
      </c>
      <c r="D614" s="5" t="n">
        <f aca="false">C614*LOG(C614)</f>
        <v>7.86427216422042</v>
      </c>
      <c r="E614" s="5"/>
      <c r="F614" s="5"/>
      <c r="G614" s="4" t="n">
        <v>613</v>
      </c>
      <c r="H614" s="6" t="n">
        <v>0.387</v>
      </c>
      <c r="J614" s="2" t="n">
        <f aca="false">B614/$B$1003</f>
        <v>0.000660798657815411</v>
      </c>
      <c r="K614" s="5" t="n">
        <f aca="false">J614*LOG(J614,2)</f>
        <v>-0.00698034769439294</v>
      </c>
    </row>
    <row r="615" customFormat="false" ht="13" hidden="false" customHeight="false" outlineLevel="0" collapsed="false">
      <c r="A615" s="4" t="n">
        <v>387</v>
      </c>
      <c r="B615" s="5" t="n">
        <v>8.45636232490188</v>
      </c>
      <c r="C615" s="5" t="n">
        <f aca="false">B615</f>
        <v>8.45636232490188</v>
      </c>
      <c r="D615" s="5" t="n">
        <f aca="false">C615*LOG(C615)</f>
        <v>7.84060031671051</v>
      </c>
      <c r="E615" s="5"/>
      <c r="F615" s="5"/>
      <c r="G615" s="4" t="n">
        <v>614</v>
      </c>
      <c r="H615" s="6" t="n">
        <v>0.386</v>
      </c>
      <c r="J615" s="2" t="n">
        <f aca="false">B615/$B$1003</f>
        <v>0.000659443240301245</v>
      </c>
      <c r="K615" s="5" t="n">
        <f aca="false">J615*LOG(J615,2)</f>
        <v>-0.00696798318654047</v>
      </c>
    </row>
    <row r="616" customFormat="false" ht="13" hidden="false" customHeight="false" outlineLevel="0" collapsed="false">
      <c r="A616" s="4" t="n">
        <v>386</v>
      </c>
      <c r="B616" s="5" t="n">
        <v>8.42274356290614</v>
      </c>
      <c r="C616" s="5" t="n">
        <f aca="false">B616</f>
        <v>8.42274356290614</v>
      </c>
      <c r="D616" s="5" t="n">
        <f aca="false">C616*LOG(C616)</f>
        <v>7.79485817068849</v>
      </c>
      <c r="E616" s="5"/>
      <c r="F616" s="5"/>
      <c r="G616" s="4" t="n">
        <v>615</v>
      </c>
      <c r="H616" s="6" t="n">
        <v>0.385</v>
      </c>
      <c r="J616" s="2" t="n">
        <f aca="false">B616/$B$1003</f>
        <v>0.000656821585209657</v>
      </c>
      <c r="K616" s="5" t="n">
        <f aca="false">J616*LOG(J616,2)</f>
        <v>-0.00694405628322277</v>
      </c>
    </row>
    <row r="617" customFormat="false" ht="13" hidden="false" customHeight="false" outlineLevel="0" collapsed="false">
      <c r="A617" s="4" t="n">
        <v>385</v>
      </c>
      <c r="B617" s="5" t="n">
        <v>8.37098156406216</v>
      </c>
      <c r="C617" s="5" t="n">
        <f aca="false">B617</f>
        <v>8.37098156406216</v>
      </c>
      <c r="D617" s="5" t="n">
        <f aca="false">C617*LOG(C617)</f>
        <v>7.724544110403</v>
      </c>
      <c r="E617" s="5"/>
      <c r="F617" s="5"/>
      <c r="G617" s="4" t="n">
        <v>616</v>
      </c>
      <c r="H617" s="6" t="n">
        <v>0.384</v>
      </c>
      <c r="J617" s="2" t="n">
        <f aca="false">B617/$B$1003</f>
        <v>0.000652785085952569</v>
      </c>
      <c r="K617" s="5" t="n">
        <f aca="false">J617*LOG(J617,2)</f>
        <v>-0.00690718706873521</v>
      </c>
    </row>
    <row r="618" customFormat="false" ht="13" hidden="false" customHeight="false" outlineLevel="0" collapsed="false">
      <c r="A618" s="4" t="n">
        <v>384</v>
      </c>
      <c r="B618" s="5" t="n">
        <v>8.32321657995647</v>
      </c>
      <c r="C618" s="5" t="n">
        <f aca="false">B618</f>
        <v>8.32321657995647</v>
      </c>
      <c r="D618" s="5" t="n">
        <f aca="false">C618*LOG(C618)</f>
        <v>7.65978293791332</v>
      </c>
      <c r="E618" s="5"/>
      <c r="F618" s="5"/>
      <c r="G618" s="4" t="n">
        <v>617</v>
      </c>
      <c r="H618" s="6" t="n">
        <v>0.383</v>
      </c>
      <c r="J618" s="2" t="n">
        <f aca="false">B618/$B$1003</f>
        <v>0.000649060281517588</v>
      </c>
      <c r="K618" s="5" t="n">
        <f aca="false">J618*LOG(J618,2)</f>
        <v>-0.00687313292083751</v>
      </c>
    </row>
    <row r="619" customFormat="false" ht="13" hidden="false" customHeight="false" outlineLevel="0" collapsed="false">
      <c r="A619" s="4" t="n">
        <v>383</v>
      </c>
      <c r="B619" s="5" t="n">
        <v>8.29756295075487</v>
      </c>
      <c r="C619" s="5" t="n">
        <f aca="false">B619</f>
        <v>8.29756295075487</v>
      </c>
      <c r="D619" s="5" t="n">
        <f aca="false">C619*LOG(C619)</f>
        <v>7.62505008650957</v>
      </c>
      <c r="E619" s="5"/>
      <c r="F619" s="5"/>
      <c r="G619" s="4" t="n">
        <v>618</v>
      </c>
      <c r="H619" s="6" t="n">
        <v>0.382</v>
      </c>
      <c r="J619" s="2" t="n">
        <f aca="false">B619/$B$1003</f>
        <v>0.000647059762651885</v>
      </c>
      <c r="K619" s="5" t="n">
        <f aca="false">J619*LOG(J619,2)</f>
        <v>-0.00685483039284698</v>
      </c>
    </row>
    <row r="620" customFormat="false" ht="13" hidden="false" customHeight="false" outlineLevel="0" collapsed="false">
      <c r="A620" s="4" t="n">
        <v>382</v>
      </c>
      <c r="B620" s="5" t="n">
        <v>8.287143811178</v>
      </c>
      <c r="C620" s="5" t="n">
        <f aca="false">B620</f>
        <v>8.287143811178</v>
      </c>
      <c r="D620" s="5" t="n">
        <f aca="false">C620*LOG(C620)</f>
        <v>7.61095327974388</v>
      </c>
      <c r="E620" s="5"/>
      <c r="F620" s="5"/>
      <c r="G620" s="4" t="n">
        <v>619</v>
      </c>
      <c r="H620" s="6" t="n">
        <v>0.381</v>
      </c>
      <c r="J620" s="2" t="n">
        <f aca="false">B620/$B$1003</f>
        <v>0.000646247258303119</v>
      </c>
      <c r="K620" s="5" t="n">
        <f aca="false">J620*LOG(J620,2)</f>
        <v>-0.00684739433310955</v>
      </c>
    </row>
    <row r="621" customFormat="false" ht="13" hidden="false" customHeight="false" outlineLevel="0" collapsed="false">
      <c r="A621" s="4" t="n">
        <v>381</v>
      </c>
      <c r="B621" s="5" t="n">
        <v>8.28188781601637</v>
      </c>
      <c r="C621" s="5" t="n">
        <f aca="false">B621</f>
        <v>8.28188781601637</v>
      </c>
      <c r="D621" s="5" t="n">
        <f aca="false">C621*LOG(C621)</f>
        <v>7.60384422248753</v>
      </c>
      <c r="E621" s="5"/>
      <c r="F621" s="5"/>
      <c r="G621" s="4" t="n">
        <v>620</v>
      </c>
      <c r="H621" s="6" t="n">
        <v>0.38</v>
      </c>
      <c r="J621" s="2" t="n">
        <f aca="false">B621/$B$1003</f>
        <v>0.000645837385789711</v>
      </c>
      <c r="K621" s="5" t="n">
        <f aca="false">J621*LOG(J621,2)</f>
        <v>-0.00684364261068331</v>
      </c>
    </row>
    <row r="622" customFormat="false" ht="13" hidden="false" customHeight="false" outlineLevel="0" collapsed="false">
      <c r="A622" s="4" t="n">
        <v>380</v>
      </c>
      <c r="B622" s="5" t="n">
        <v>8.26280608011325</v>
      </c>
      <c r="C622" s="5" t="n">
        <f aca="false">B622</f>
        <v>8.26280608011325</v>
      </c>
      <c r="D622" s="5" t="n">
        <f aca="false">C622*LOG(C622)</f>
        <v>7.57804718242885</v>
      </c>
      <c r="E622" s="5"/>
      <c r="F622" s="5"/>
      <c r="G622" s="4" t="n">
        <v>621</v>
      </c>
      <c r="H622" s="6" t="n">
        <v>0.379</v>
      </c>
      <c r="J622" s="2" t="n">
        <f aca="false">B622/$B$1003</f>
        <v>0.000644349355680421</v>
      </c>
      <c r="K622" s="5" t="n">
        <f aca="false">J622*LOG(J622,2)</f>
        <v>-0.00683001893663239</v>
      </c>
    </row>
    <row r="623" customFormat="false" ht="13" hidden="false" customHeight="false" outlineLevel="0" collapsed="false">
      <c r="A623" s="4" t="n">
        <v>379</v>
      </c>
      <c r="B623" s="5" t="n">
        <v>8.1702086548317</v>
      </c>
      <c r="C623" s="5" t="n">
        <f aca="false">B623</f>
        <v>8.1702086548317</v>
      </c>
      <c r="D623" s="5" t="n">
        <f aca="false">C623*LOG(C623)</f>
        <v>7.45313516020868</v>
      </c>
      <c r="E623" s="5"/>
      <c r="F623" s="5"/>
      <c r="G623" s="4" t="n">
        <v>622</v>
      </c>
      <c r="H623" s="6" t="n">
        <v>0.378</v>
      </c>
      <c r="J623" s="2" t="n">
        <f aca="false">B623/$B$1003</f>
        <v>0.000637128432093525</v>
      </c>
      <c r="K623" s="5" t="n">
        <f aca="false">J623*LOG(J623,2)</f>
        <v>-0.00676383708939895</v>
      </c>
    </row>
    <row r="624" customFormat="false" ht="13" hidden="false" customHeight="false" outlineLevel="0" collapsed="false">
      <c r="A624" s="4" t="n">
        <v>378</v>
      </c>
      <c r="B624" s="5" t="n">
        <v>8.15093672255148</v>
      </c>
      <c r="C624" s="5" t="n">
        <f aca="false">B624</f>
        <v>8.15093672255148</v>
      </c>
      <c r="D624" s="5" t="n">
        <f aca="false">C624*LOG(C624)</f>
        <v>7.42719484992376</v>
      </c>
      <c r="E624" s="5"/>
      <c r="F624" s="5"/>
      <c r="G624" s="4" t="n">
        <v>623</v>
      </c>
      <c r="H624" s="6" t="n">
        <v>0.377</v>
      </c>
      <c r="J624" s="2" t="n">
        <f aca="false">B624/$B$1003</f>
        <v>0.000635625570108495</v>
      </c>
      <c r="K624" s="5" t="n">
        <f aca="false">J624*LOG(J624,2)</f>
        <v>-0.00675004812633189</v>
      </c>
    </row>
    <row r="625" customFormat="false" ht="13" hidden="false" customHeight="false" outlineLevel="0" collapsed="false">
      <c r="A625" s="4" t="n">
        <v>377</v>
      </c>
      <c r="B625" s="5" t="n">
        <v>8.1302178170713</v>
      </c>
      <c r="C625" s="5" t="n">
        <f aca="false">B625</f>
        <v>8.1302178170713</v>
      </c>
      <c r="D625" s="5" t="n">
        <f aca="false">C625*LOG(C625)</f>
        <v>7.39932896695636</v>
      </c>
      <c r="E625" s="5"/>
      <c r="F625" s="5"/>
      <c r="G625" s="4" t="n">
        <v>624</v>
      </c>
      <c r="H625" s="6" t="n">
        <v>0.376</v>
      </c>
      <c r="J625" s="2" t="n">
        <f aca="false">B625/$B$1003</f>
        <v>0.00063400987039739</v>
      </c>
      <c r="K625" s="5" t="n">
        <f aca="false">J625*LOG(J625,2)</f>
        <v>-0.00673521814325605</v>
      </c>
    </row>
    <row r="626" customFormat="false" ht="13" hidden="false" customHeight="false" outlineLevel="0" collapsed="false">
      <c r="A626" s="4" t="n">
        <v>376</v>
      </c>
      <c r="B626" s="5" t="n">
        <v>8.1067884475035</v>
      </c>
      <c r="C626" s="5" t="n">
        <f aca="false">B626</f>
        <v>8.1067884475035</v>
      </c>
      <c r="D626" s="5" t="n">
        <f aca="false">C626*LOG(C626)</f>
        <v>7.3678452761294</v>
      </c>
      <c r="E626" s="5"/>
      <c r="F626" s="5"/>
      <c r="G626" s="4" t="n">
        <v>625</v>
      </c>
      <c r="H626" s="6" t="n">
        <v>0.375</v>
      </c>
      <c r="J626" s="2" t="n">
        <f aca="false">B626/$B$1003</f>
        <v>0.000632182803534313</v>
      </c>
      <c r="K626" s="5" t="n">
        <f aca="false">J626*LOG(J626,2)</f>
        <v>-0.00671844093225045</v>
      </c>
    </row>
    <row r="627" customFormat="false" ht="13" hidden="false" customHeight="false" outlineLevel="0" collapsed="false">
      <c r="A627" s="4" t="n">
        <v>375</v>
      </c>
      <c r="B627" s="5" t="n">
        <v>8.06735608526628</v>
      </c>
      <c r="C627" s="5" t="n">
        <f aca="false">B627</f>
        <v>8.06735608526628</v>
      </c>
      <c r="D627" s="5" t="n">
        <f aca="false">C627*LOG(C627)</f>
        <v>7.31492367944242</v>
      </c>
      <c r="E627" s="5"/>
      <c r="F627" s="5"/>
      <c r="G627" s="4" t="n">
        <v>626</v>
      </c>
      <c r="H627" s="6" t="n">
        <v>0.374</v>
      </c>
      <c r="J627" s="2" t="n">
        <f aca="false">B627/$B$1003</f>
        <v>0.000629107792823162</v>
      </c>
      <c r="K627" s="5" t="n">
        <f aca="false">J627*LOG(J627,2)</f>
        <v>-0.00669018714968348</v>
      </c>
    </row>
    <row r="628" customFormat="false" ht="13" hidden="false" customHeight="false" outlineLevel="0" collapsed="false">
      <c r="A628" s="4" t="n">
        <v>374</v>
      </c>
      <c r="B628" s="5" t="n">
        <v>8.05080106710136</v>
      </c>
      <c r="C628" s="5" t="n">
        <f aca="false">B628</f>
        <v>8.05080106710136</v>
      </c>
      <c r="D628" s="5" t="n">
        <f aca="false">C628*LOG(C628)</f>
        <v>7.2927303565728</v>
      </c>
      <c r="E628" s="5"/>
      <c r="F628" s="5"/>
      <c r="G628" s="4" t="n">
        <v>627</v>
      </c>
      <c r="H628" s="6" t="n">
        <v>0.373</v>
      </c>
      <c r="J628" s="2" t="n">
        <f aca="false">B628/$B$1003</f>
        <v>0.000627816800975548</v>
      </c>
      <c r="K628" s="5" t="n">
        <f aca="false">J628*LOG(J628,2)</f>
        <v>-0.00667831881453751</v>
      </c>
    </row>
    <row r="629" customFormat="false" ht="13" hidden="false" customHeight="false" outlineLevel="0" collapsed="false">
      <c r="A629" s="4" t="n">
        <v>373</v>
      </c>
      <c r="B629" s="5" t="n">
        <v>8.04019817851679</v>
      </c>
      <c r="C629" s="5" t="n">
        <f aca="false">B629</f>
        <v>8.04019817851679</v>
      </c>
      <c r="D629" s="5" t="n">
        <f aca="false">C629*LOG(C629)</f>
        <v>7.27852410313561</v>
      </c>
      <c r="E629" s="5"/>
      <c r="F629" s="5"/>
      <c r="G629" s="4" t="n">
        <v>628</v>
      </c>
      <c r="H629" s="6" t="n">
        <v>0.372</v>
      </c>
      <c r="J629" s="2" t="n">
        <f aca="false">B629/$B$1003</f>
        <v>0.000626989967529188</v>
      </c>
      <c r="K629" s="5" t="n">
        <f aca="false">J629*LOG(J629,2)</f>
        <v>-0.00667071556494512</v>
      </c>
    </row>
    <row r="630" customFormat="false" ht="13" hidden="false" customHeight="false" outlineLevel="0" collapsed="false">
      <c r="A630" s="4" t="n">
        <v>372</v>
      </c>
      <c r="B630" s="5" t="n">
        <v>8.03860774762859</v>
      </c>
      <c r="C630" s="5" t="n">
        <f aca="false">B630</f>
        <v>8.03860774762859</v>
      </c>
      <c r="D630" s="5" t="n">
        <f aca="false">C630*LOG(C630)</f>
        <v>7.27639369188976</v>
      </c>
      <c r="E630" s="5"/>
      <c r="F630" s="5"/>
      <c r="G630" s="4" t="n">
        <v>629</v>
      </c>
      <c r="H630" s="6" t="n">
        <v>0.371</v>
      </c>
      <c r="J630" s="2" t="n">
        <f aca="false">B630/$B$1003</f>
        <v>0.000626865942699351</v>
      </c>
      <c r="K630" s="5" t="n">
        <f aca="false">J630*LOG(J630,2)</f>
        <v>-0.00666957494359991</v>
      </c>
    </row>
    <row r="631" customFormat="false" ht="13" hidden="false" customHeight="false" outlineLevel="0" collapsed="false">
      <c r="A631" s="4" t="n">
        <v>371</v>
      </c>
      <c r="B631" s="5" t="n">
        <v>8.00477167309987</v>
      </c>
      <c r="C631" s="5" t="n">
        <f aca="false">B631</f>
        <v>8.00477167309987</v>
      </c>
      <c r="D631" s="5" t="n">
        <f aca="false">C631*LOG(C631)</f>
        <v>7.23110207533162</v>
      </c>
      <c r="E631" s="5"/>
      <c r="F631" s="5"/>
      <c r="G631" s="4" t="n">
        <v>630</v>
      </c>
      <c r="H631" s="6" t="n">
        <v>0.37</v>
      </c>
      <c r="J631" s="2" t="n">
        <f aca="false">B631/$B$1003</f>
        <v>0.000624227341162542</v>
      </c>
      <c r="K631" s="5" t="n">
        <f aca="false">J631*LOG(J631,2)</f>
        <v>-0.00664530007081544</v>
      </c>
    </row>
    <row r="632" customFormat="false" ht="13" hidden="false" customHeight="false" outlineLevel="0" collapsed="false">
      <c r="A632" s="4" t="n">
        <v>370</v>
      </c>
      <c r="B632" s="5" t="n">
        <v>7.97209039977395</v>
      </c>
      <c r="C632" s="5" t="n">
        <f aca="false">B632</f>
        <v>7.97209039977395</v>
      </c>
      <c r="D632" s="5" t="n">
        <f aca="false">C632*LOG(C632)</f>
        <v>7.18741519793161</v>
      </c>
      <c r="E632" s="5"/>
      <c r="F632" s="5"/>
      <c r="G632" s="4" t="n">
        <v>631</v>
      </c>
      <c r="H632" s="6" t="n">
        <v>0.369</v>
      </c>
      <c r="J632" s="2" t="n">
        <f aca="false">B632/$B$1003</f>
        <v>0.000621678793222993</v>
      </c>
      <c r="K632" s="5" t="n">
        <f aca="false">J632*LOG(J632,2)</f>
        <v>-0.00662183840641546</v>
      </c>
    </row>
    <row r="633" customFormat="false" ht="13" hidden="false" customHeight="false" outlineLevel="0" collapsed="false">
      <c r="A633" s="4" t="n">
        <v>369</v>
      </c>
      <c r="B633" s="5" t="n">
        <v>7.96369096773526</v>
      </c>
      <c r="C633" s="5" t="n">
        <f aca="false">B633</f>
        <v>7.96369096773526</v>
      </c>
      <c r="D633" s="5" t="n">
        <f aca="false">C633*LOG(C633)</f>
        <v>7.17619659875941</v>
      </c>
      <c r="E633" s="5"/>
      <c r="F633" s="5"/>
      <c r="G633" s="4" t="n">
        <v>632</v>
      </c>
      <c r="H633" s="6" t="n">
        <v>0.368</v>
      </c>
      <c r="J633" s="2" t="n">
        <f aca="false">B633/$B$1003</f>
        <v>0.000621023789514841</v>
      </c>
      <c r="K633" s="5" t="n">
        <f aca="false">J633*LOG(J633,2)</f>
        <v>-0.00661580607885812</v>
      </c>
    </row>
    <row r="634" customFormat="false" ht="13" hidden="false" customHeight="false" outlineLevel="0" collapsed="false">
      <c r="A634" s="4" t="n">
        <v>368</v>
      </c>
      <c r="B634" s="5" t="n">
        <v>7.95909707135718</v>
      </c>
      <c r="C634" s="5" t="n">
        <f aca="false">B634</f>
        <v>7.95909707135718</v>
      </c>
      <c r="D634" s="5" t="n">
        <f aca="false">C634*LOG(C634)</f>
        <v>7.17006244429269</v>
      </c>
      <c r="E634" s="5"/>
      <c r="F634" s="5"/>
      <c r="G634" s="4" t="n">
        <v>633</v>
      </c>
      <c r="H634" s="6" t="n">
        <v>0.367</v>
      </c>
      <c r="J634" s="2" t="n">
        <f aca="false">B634/$B$1003</f>
        <v>0.000620665548725625</v>
      </c>
      <c r="K634" s="5" t="n">
        <f aca="false">J634*LOG(J634,2)</f>
        <v>-0.00661250639997149</v>
      </c>
    </row>
    <row r="635" customFormat="false" ht="13" hidden="false" customHeight="false" outlineLevel="0" collapsed="false">
      <c r="A635" s="4" t="n">
        <v>367</v>
      </c>
      <c r="B635" s="5" t="n">
        <v>7.95713466127825</v>
      </c>
      <c r="C635" s="5" t="n">
        <f aca="false">B635</f>
        <v>7.95713466127825</v>
      </c>
      <c r="D635" s="5" t="n">
        <f aca="false">C635*LOG(C635)</f>
        <v>7.16744242129688</v>
      </c>
      <c r="E635" s="5"/>
      <c r="F635" s="5"/>
      <c r="G635" s="4" t="n">
        <v>634</v>
      </c>
      <c r="H635" s="6" t="n">
        <v>0.366</v>
      </c>
      <c r="J635" s="2" t="n">
        <f aca="false">B635/$B$1003</f>
        <v>0.000620512516250013</v>
      </c>
      <c r="K635" s="5" t="n">
        <f aca="false">J635*LOG(J635,2)</f>
        <v>-0.00661109675981765</v>
      </c>
    </row>
    <row r="636" customFormat="false" ht="13" hidden="false" customHeight="false" outlineLevel="0" collapsed="false">
      <c r="A636" s="4" t="n">
        <v>366</v>
      </c>
      <c r="B636" s="5" t="n">
        <v>7.93376851409232</v>
      </c>
      <c r="C636" s="5" t="n">
        <f aca="false">B636</f>
        <v>7.93376851409232</v>
      </c>
      <c r="D636" s="5" t="n">
        <f aca="false">C636*LOG(C636)</f>
        <v>7.13626233280673</v>
      </c>
      <c r="E636" s="5"/>
      <c r="F636" s="5"/>
      <c r="G636" s="4" t="n">
        <v>635</v>
      </c>
      <c r="H636" s="6" t="n">
        <v>0.365</v>
      </c>
      <c r="J636" s="2" t="n">
        <f aca="false">B636/$B$1003</f>
        <v>0.000618690379588689</v>
      </c>
      <c r="K636" s="5" t="n">
        <f aca="false">J636*LOG(J636,2)</f>
        <v>-0.00659430818054529</v>
      </c>
    </row>
    <row r="637" customFormat="false" ht="13" hidden="false" customHeight="false" outlineLevel="0" collapsed="false">
      <c r="A637" s="4" t="n">
        <v>365</v>
      </c>
      <c r="B637" s="5" t="n">
        <v>7.92572962339102</v>
      </c>
      <c r="C637" s="5" t="n">
        <f aca="false">B637</f>
        <v>7.92572962339102</v>
      </c>
      <c r="D637" s="5" t="n">
        <f aca="false">C637*LOG(C637)</f>
        <v>7.12554203869682</v>
      </c>
      <c r="E637" s="5"/>
      <c r="F637" s="5"/>
      <c r="G637" s="4" t="n">
        <v>636</v>
      </c>
      <c r="H637" s="6" t="n">
        <v>0.364</v>
      </c>
      <c r="J637" s="2" t="n">
        <f aca="false">B637/$B$1003</f>
        <v>0.000618063491580724</v>
      </c>
      <c r="K637" s="5" t="n">
        <f aca="false">J637*LOG(J637,2)</f>
        <v>-0.00658853044785515</v>
      </c>
    </row>
    <row r="638" customFormat="false" ht="13" hidden="false" customHeight="false" outlineLevel="0" collapsed="false">
      <c r="A638" s="4" t="n">
        <v>364</v>
      </c>
      <c r="B638" s="5" t="n">
        <v>7.92057187245598</v>
      </c>
      <c r="C638" s="5" t="n">
        <f aca="false">B638</f>
        <v>7.92057187245598</v>
      </c>
      <c r="D638" s="5" t="n">
        <f aca="false">C638*LOG(C638)</f>
        <v>7.118665764384</v>
      </c>
      <c r="E638" s="5"/>
      <c r="F638" s="5"/>
      <c r="G638" s="4" t="n">
        <v>637</v>
      </c>
      <c r="H638" s="6" t="n">
        <v>0.363</v>
      </c>
      <c r="J638" s="2" t="n">
        <f aca="false">B638/$B$1003</f>
        <v>0.000617661280339224</v>
      </c>
      <c r="K638" s="5" t="n">
        <f aca="false">J638*LOG(J638,2)</f>
        <v>-0.00658482297249763</v>
      </c>
    </row>
    <row r="639" customFormat="false" ht="13" hidden="false" customHeight="false" outlineLevel="0" collapsed="false">
      <c r="A639" s="4" t="n">
        <v>363</v>
      </c>
      <c r="B639" s="5" t="n">
        <v>7.84953618627067</v>
      </c>
      <c r="C639" s="5" t="n">
        <f aca="false">B639</f>
        <v>7.84953618627067</v>
      </c>
      <c r="D639" s="5" t="n">
        <f aca="false">C639*LOG(C639)</f>
        <v>7.02411032682506</v>
      </c>
      <c r="E639" s="5"/>
      <c r="F639" s="5"/>
      <c r="G639" s="4" t="n">
        <v>638</v>
      </c>
      <c r="H639" s="6" t="n">
        <v>0.362</v>
      </c>
      <c r="J639" s="2" t="n">
        <f aca="false">B639/$B$1003</f>
        <v>0.000612121782234097</v>
      </c>
      <c r="K639" s="5" t="n">
        <f aca="false">J639*LOG(J639,2)</f>
        <v>-0.00653372281816971</v>
      </c>
    </row>
    <row r="640" customFormat="false" ht="13" hidden="false" customHeight="false" outlineLevel="0" collapsed="false">
      <c r="A640" s="4" t="n">
        <v>362</v>
      </c>
      <c r="B640" s="5" t="n">
        <v>7.84654715116016</v>
      </c>
      <c r="C640" s="5" t="n">
        <f aca="false">B640</f>
        <v>7.84654715116016</v>
      </c>
      <c r="D640" s="5" t="n">
        <f aca="false">C640*LOG(C640)</f>
        <v>7.02013773243626</v>
      </c>
      <c r="E640" s="5"/>
      <c r="F640" s="5"/>
      <c r="G640" s="4" t="n">
        <v>639</v>
      </c>
      <c r="H640" s="6" t="n">
        <v>0.361</v>
      </c>
      <c r="J640" s="2" t="n">
        <f aca="false">B640/$B$1003</f>
        <v>0.000611888691583186</v>
      </c>
      <c r="K640" s="5" t="n">
        <f aca="false">J640*LOG(J640,2)</f>
        <v>-0.00653157104803785</v>
      </c>
    </row>
    <row r="641" customFormat="false" ht="13" hidden="false" customHeight="false" outlineLevel="0" collapsed="false">
      <c r="A641" s="4" t="n">
        <v>361</v>
      </c>
      <c r="B641" s="5" t="n">
        <v>7.83704947413099</v>
      </c>
      <c r="C641" s="5" t="n">
        <f aca="false">B641</f>
        <v>7.83704947413099</v>
      </c>
      <c r="D641" s="5" t="n">
        <f aca="false">C641*LOG(C641)</f>
        <v>7.00751807281675</v>
      </c>
      <c r="E641" s="5"/>
      <c r="F641" s="5"/>
      <c r="G641" s="4" t="n">
        <v>640</v>
      </c>
      <c r="H641" s="6" t="n">
        <v>0.36</v>
      </c>
      <c r="J641" s="2" t="n">
        <f aca="false">B641/$B$1003</f>
        <v>0.000611148044638931</v>
      </c>
      <c r="K641" s="5" t="n">
        <f aca="false">J641*LOG(J641,2)</f>
        <v>-0.00652473293506726</v>
      </c>
    </row>
    <row r="642" customFormat="false" ht="13" hidden="false" customHeight="false" outlineLevel="0" collapsed="false">
      <c r="A642" s="4" t="n">
        <v>360</v>
      </c>
      <c r="B642" s="5" t="n">
        <v>7.83478506297422</v>
      </c>
      <c r="C642" s="5" t="n">
        <f aca="false">B642</f>
        <v>7.83478506297422</v>
      </c>
      <c r="D642" s="5" t="n">
        <f aca="false">C642*LOG(C642)</f>
        <v>7.00451006453648</v>
      </c>
      <c r="E642" s="5"/>
      <c r="F642" s="5"/>
      <c r="G642" s="4" t="n">
        <v>641</v>
      </c>
      <c r="H642" s="6" t="n">
        <v>0.359</v>
      </c>
      <c r="J642" s="2" t="n">
        <f aca="false">B642/$B$1003</f>
        <v>0.00061097146154407</v>
      </c>
      <c r="K642" s="5" t="n">
        <f aca="false">J642*LOG(J642,2)</f>
        <v>-0.00652310241905887</v>
      </c>
    </row>
    <row r="643" customFormat="false" ht="13" hidden="false" customHeight="false" outlineLevel="0" collapsed="false">
      <c r="A643" s="4" t="n">
        <v>359</v>
      </c>
      <c r="B643" s="5" t="n">
        <v>7.82823735672031</v>
      </c>
      <c r="C643" s="5" t="n">
        <f aca="false">B643</f>
        <v>7.82823735672031</v>
      </c>
      <c r="D643" s="5" t="n">
        <f aca="false">C643*LOG(C643)</f>
        <v>6.99581379366981</v>
      </c>
      <c r="E643" s="5"/>
      <c r="F643" s="5"/>
      <c r="G643" s="4" t="n">
        <v>642</v>
      </c>
      <c r="H643" s="6" t="n">
        <v>0.358</v>
      </c>
      <c r="J643" s="2" t="n">
        <f aca="false">B643/$B$1003</f>
        <v>0.000610460858939461</v>
      </c>
      <c r="K643" s="5" t="n">
        <f aca="false">J643*LOG(J643,2)</f>
        <v>-0.00651838725146392</v>
      </c>
    </row>
    <row r="644" customFormat="false" ht="13" hidden="false" customHeight="false" outlineLevel="0" collapsed="false">
      <c r="A644" s="4" t="n">
        <v>358</v>
      </c>
      <c r="B644" s="5" t="n">
        <v>7.82266501075242</v>
      </c>
      <c r="C644" s="5" t="n">
        <f aca="false">B644</f>
        <v>7.82266501075242</v>
      </c>
      <c r="D644" s="5" t="n">
        <f aca="false">C644*LOG(C644)</f>
        <v>6.98841481118815</v>
      </c>
      <c r="E644" s="5"/>
      <c r="F644" s="5"/>
      <c r="G644" s="4" t="n">
        <v>643</v>
      </c>
      <c r="H644" s="6" t="n">
        <v>0.357</v>
      </c>
      <c r="J644" s="2" t="n">
        <f aca="false">B644/$B$1003</f>
        <v>0.000610026316787651</v>
      </c>
      <c r="K644" s="5" t="n">
        <f aca="false">J644*LOG(J644,2)</f>
        <v>-0.00651437398000127</v>
      </c>
    </row>
    <row r="645" customFormat="false" ht="13" hidden="false" customHeight="false" outlineLevel="0" collapsed="false">
      <c r="A645" s="4" t="n">
        <v>357</v>
      </c>
      <c r="B645" s="5" t="n">
        <v>7.8191093858344</v>
      </c>
      <c r="C645" s="5" t="n">
        <f aca="false">B645</f>
        <v>7.8191093858344</v>
      </c>
      <c r="D645" s="5" t="n">
        <f aca="false">C645*LOG(C645)</f>
        <v>6.98369453954968</v>
      </c>
      <c r="E645" s="5"/>
      <c r="F645" s="5"/>
      <c r="G645" s="4" t="n">
        <v>644</v>
      </c>
      <c r="H645" s="6" t="n">
        <v>0.356</v>
      </c>
      <c r="J645" s="2" t="n">
        <f aca="false">B645/$B$1003</f>
        <v>0.000609749042384409</v>
      </c>
      <c r="K645" s="5" t="n">
        <f aca="false">J645*LOG(J645,2)</f>
        <v>-0.00651181294224616</v>
      </c>
    </row>
    <row r="646" customFormat="false" ht="13" hidden="false" customHeight="false" outlineLevel="0" collapsed="false">
      <c r="A646" s="4" t="n">
        <v>356</v>
      </c>
      <c r="B646" s="5" t="n">
        <v>7.81658237322333</v>
      </c>
      <c r="C646" s="5" t="n">
        <f aca="false">B646</f>
        <v>7.81658237322333</v>
      </c>
      <c r="D646" s="5" t="n">
        <f aca="false">C646*LOG(C646)</f>
        <v>6.98034022954584</v>
      </c>
      <c r="E646" s="5"/>
      <c r="F646" s="5"/>
      <c r="G646" s="4" t="n">
        <v>645</v>
      </c>
      <c r="H646" s="6" t="n">
        <v>0.355</v>
      </c>
      <c r="J646" s="2" t="n">
        <f aca="false">B646/$B$1003</f>
        <v>0.000609551981127984</v>
      </c>
      <c r="K646" s="5" t="n">
        <f aca="false">J646*LOG(J646,2)</f>
        <v>-0.00650999268054221</v>
      </c>
    </row>
    <row r="647" customFormat="false" ht="13" hidden="false" customHeight="false" outlineLevel="0" collapsed="false">
      <c r="A647" s="4" t="n">
        <v>355</v>
      </c>
      <c r="B647" s="5" t="n">
        <v>7.81632347463699</v>
      </c>
      <c r="C647" s="5" t="n">
        <f aca="false">B647</f>
        <v>7.81632347463699</v>
      </c>
      <c r="D647" s="5" t="n">
        <f aca="false">C647*LOG(C647)</f>
        <v>6.97999659236521</v>
      </c>
      <c r="E647" s="5"/>
      <c r="F647" s="5"/>
      <c r="G647" s="4" t="n">
        <v>646</v>
      </c>
      <c r="H647" s="6" t="n">
        <v>0.354</v>
      </c>
      <c r="J647" s="2" t="n">
        <f aca="false">B647/$B$1003</f>
        <v>0.000609531791723117</v>
      </c>
      <c r="K647" s="5" t="n">
        <f aca="false">J647*LOG(J647,2)</f>
        <v>-0.00650980618511464</v>
      </c>
    </row>
    <row r="648" customFormat="false" ht="13" hidden="false" customHeight="false" outlineLevel="0" collapsed="false">
      <c r="A648" s="4" t="n">
        <v>354</v>
      </c>
      <c r="B648" s="5" t="n">
        <v>7.80399378607798</v>
      </c>
      <c r="C648" s="5" t="n">
        <f aca="false">B648</f>
        <v>7.80399378607798</v>
      </c>
      <c r="D648" s="5" t="n">
        <f aca="false">C648*LOG(C648)</f>
        <v>6.96363565921739</v>
      </c>
      <c r="E648" s="5"/>
      <c r="F648" s="5"/>
      <c r="G648" s="4" t="n">
        <v>647</v>
      </c>
      <c r="H648" s="6" t="n">
        <v>0.353</v>
      </c>
      <c r="J648" s="2" t="n">
        <f aca="false">B648/$B$1003</f>
        <v>0.000608570299125843</v>
      </c>
      <c r="K648" s="5" t="n">
        <f aca="false">J648*LOG(J648,2)</f>
        <v>-0.00650092347965554</v>
      </c>
    </row>
    <row r="649" customFormat="false" ht="13" hidden="false" customHeight="false" outlineLevel="0" collapsed="false">
      <c r="A649" s="4" t="n">
        <v>353</v>
      </c>
      <c r="B649" s="5" t="n">
        <v>7.8006615202936</v>
      </c>
      <c r="C649" s="5" t="n">
        <f aca="false">B649</f>
        <v>7.8006615202936</v>
      </c>
      <c r="D649" s="5" t="n">
        <f aca="false">C649*LOG(C649)</f>
        <v>6.95921534646484</v>
      </c>
      <c r="E649" s="5"/>
      <c r="F649" s="5"/>
      <c r="G649" s="4" t="n">
        <v>648</v>
      </c>
      <c r="H649" s="6" t="n">
        <v>0.352</v>
      </c>
      <c r="J649" s="2" t="n">
        <f aca="false">B649/$B$1003</f>
        <v>0.000608310442693258</v>
      </c>
      <c r="K649" s="5" t="n">
        <f aca="false">J649*LOG(J649,2)</f>
        <v>-0.00649852243182251</v>
      </c>
    </row>
    <row r="650" customFormat="false" ht="13" hidden="false" customHeight="false" outlineLevel="0" collapsed="false">
      <c r="A650" s="4" t="n">
        <v>352</v>
      </c>
      <c r="B650" s="5" t="n">
        <v>7.79637324791042</v>
      </c>
      <c r="C650" s="5" t="n">
        <f aca="false">B650</f>
        <v>7.79637324791042</v>
      </c>
      <c r="D650" s="5" t="n">
        <f aca="false">C650*LOG(C650)</f>
        <v>6.95352778283907</v>
      </c>
      <c r="E650" s="5"/>
      <c r="F650" s="5"/>
      <c r="G650" s="4" t="n">
        <v>649</v>
      </c>
      <c r="H650" s="6" t="n">
        <v>0.351</v>
      </c>
      <c r="J650" s="2" t="n">
        <f aca="false">B650/$B$1003</f>
        <v>0.000607976035045264</v>
      </c>
      <c r="K650" s="5" t="n">
        <f aca="false">J650*LOG(J650,2)</f>
        <v>-0.00649543230244103</v>
      </c>
    </row>
    <row r="651" customFormat="false" ht="13" hidden="false" customHeight="false" outlineLevel="0" collapsed="false">
      <c r="A651" s="4" t="n">
        <v>351</v>
      </c>
      <c r="B651" s="5" t="n">
        <v>7.78590546406713</v>
      </c>
      <c r="C651" s="5" t="n">
        <f aca="false">B651</f>
        <v>7.78590546406713</v>
      </c>
      <c r="D651" s="5" t="n">
        <f aca="false">C651*LOG(C651)</f>
        <v>6.9396485961664</v>
      </c>
      <c r="E651" s="5"/>
      <c r="F651" s="5"/>
      <c r="G651" s="4" t="n">
        <v>650</v>
      </c>
      <c r="H651" s="6" t="n">
        <v>0.35</v>
      </c>
      <c r="J651" s="2" t="n">
        <f aca="false">B651/$B$1003</f>
        <v>0.000607159737323953</v>
      </c>
      <c r="K651" s="5" t="n">
        <f aca="false">J651*LOG(J651,2)</f>
        <v>-0.00648788810189505</v>
      </c>
      <c r="L651" s="2" t="n">
        <f aca="false">SUM(J602:J651)</f>
        <v>0.0318684774353787</v>
      </c>
    </row>
    <row r="652" customFormat="false" ht="13" hidden="false" customHeight="false" outlineLevel="0" collapsed="false">
      <c r="A652" s="4" t="n">
        <v>350</v>
      </c>
      <c r="B652" s="5" t="n">
        <v>7.76502608115777</v>
      </c>
      <c r="C652" s="5" t="n">
        <f aca="false">B652</f>
        <v>7.76502608115777</v>
      </c>
      <c r="D652" s="5" t="n">
        <f aca="false">C652*LOG(C652)</f>
        <v>6.91198298024322</v>
      </c>
      <c r="E652" s="5"/>
      <c r="F652" s="5"/>
      <c r="G652" s="4" t="n">
        <v>651</v>
      </c>
      <c r="H652" s="6" t="n">
        <v>0.349</v>
      </c>
      <c r="J652" s="2" t="n">
        <f aca="false">B652/$B$1003</f>
        <v>0.000605531523277271</v>
      </c>
      <c r="K652" s="5" t="n">
        <f aca="false">J652*LOG(J652,2)</f>
        <v>-0.00647283546269136</v>
      </c>
    </row>
    <row r="653" customFormat="false" ht="13" hidden="false" customHeight="false" outlineLevel="0" collapsed="false">
      <c r="A653" s="4" t="n">
        <v>349</v>
      </c>
      <c r="B653" s="5" t="n">
        <v>7.74033639928544</v>
      </c>
      <c r="C653" s="5" t="n">
        <f aca="false">B653</f>
        <v>7.74033639928544</v>
      </c>
      <c r="D653" s="5" t="n">
        <f aca="false">C653*LOG(C653)</f>
        <v>6.87930010703789</v>
      </c>
      <c r="E653" s="5"/>
      <c r="F653" s="5"/>
      <c r="G653" s="4" t="n">
        <v>652</v>
      </c>
      <c r="H653" s="6" t="n">
        <v>0.348</v>
      </c>
      <c r="J653" s="2" t="n">
        <f aca="false">B653/$B$1003</f>
        <v>0.000603606174860263</v>
      </c>
      <c r="K653" s="5" t="n">
        <f aca="false">J653*LOG(J653,2)</f>
        <v>-0.00645502770088433</v>
      </c>
    </row>
    <row r="654" customFormat="false" ht="13" hidden="false" customHeight="false" outlineLevel="0" collapsed="false">
      <c r="A654" s="4" t="n">
        <v>348</v>
      </c>
      <c r="B654" s="5" t="n">
        <v>7.72394054285849</v>
      </c>
      <c r="C654" s="5" t="n">
        <f aca="false">B654</f>
        <v>7.72394054285849</v>
      </c>
      <c r="D654" s="5" t="n">
        <f aca="false">C654*LOG(C654)</f>
        <v>6.85761504531694</v>
      </c>
      <c r="E654" s="5"/>
      <c r="F654" s="5"/>
      <c r="G654" s="4" t="n">
        <v>653</v>
      </c>
      <c r="H654" s="6" t="n">
        <v>0.347</v>
      </c>
      <c r="J654" s="2" t="n">
        <f aca="false">B654/$B$1003</f>
        <v>0.000602327594748119</v>
      </c>
      <c r="K654" s="5" t="n">
        <f aca="false">J654*LOG(J654,2)</f>
        <v>-0.00644319707730709</v>
      </c>
    </row>
    <row r="655" customFormat="false" ht="13" hidden="false" customHeight="false" outlineLevel="0" collapsed="false">
      <c r="A655" s="4" t="n">
        <v>347</v>
      </c>
      <c r="B655" s="5" t="n">
        <v>7.71546441652583</v>
      </c>
      <c r="C655" s="5" t="n">
        <f aca="false">B655</f>
        <v>7.71546441652583</v>
      </c>
      <c r="D655" s="5" t="n">
        <f aca="false">C655*LOG(C655)</f>
        <v>6.8464104961046</v>
      </c>
      <c r="E655" s="5"/>
      <c r="F655" s="5"/>
      <c r="G655" s="4" t="n">
        <v>654</v>
      </c>
      <c r="H655" s="6" t="n">
        <v>0.346</v>
      </c>
      <c r="J655" s="2" t="n">
        <f aca="false">B655/$B$1003</f>
        <v>0.00060166661027285</v>
      </c>
      <c r="K655" s="5" t="n">
        <f aca="false">J655*LOG(J655,2)</f>
        <v>-0.00643707949355878</v>
      </c>
    </row>
    <row r="656" customFormat="false" ht="13" hidden="false" customHeight="false" outlineLevel="0" collapsed="false">
      <c r="A656" s="4" t="n">
        <v>346</v>
      </c>
      <c r="B656" s="5" t="n">
        <v>7.67412988234992</v>
      </c>
      <c r="C656" s="5" t="n">
        <f aca="false">B656</f>
        <v>7.67412988234992</v>
      </c>
      <c r="D656" s="5" t="n">
        <f aca="false">C656*LOG(C656)</f>
        <v>6.79182861014892</v>
      </c>
      <c r="E656" s="5"/>
      <c r="F656" s="5"/>
      <c r="G656" s="4" t="n">
        <v>655</v>
      </c>
      <c r="H656" s="6" t="n">
        <v>0.345</v>
      </c>
      <c r="J656" s="2" t="n">
        <f aca="false">B656/$B$1003</f>
        <v>0.000598443264570994</v>
      </c>
      <c r="K656" s="5" t="n">
        <f aca="false">J656*LOG(J656,2)</f>
        <v>-0.00640723155578022</v>
      </c>
    </row>
    <row r="657" customFormat="false" ht="13" hidden="false" customHeight="false" outlineLevel="0" collapsed="false">
      <c r="A657" s="4" t="n">
        <v>345</v>
      </c>
      <c r="B657" s="5" t="n">
        <v>7.57184968103422</v>
      </c>
      <c r="C657" s="5" t="n">
        <f aca="false">B657</f>
        <v>7.57184968103422</v>
      </c>
      <c r="D657" s="5" t="n">
        <f aca="false">C657*LOG(C657)</f>
        <v>6.65718525919095</v>
      </c>
      <c r="E657" s="5"/>
      <c r="F657" s="5"/>
      <c r="G657" s="4" t="n">
        <v>656</v>
      </c>
      <c r="H657" s="6" t="n">
        <v>0.344</v>
      </c>
      <c r="J657" s="2" t="n">
        <f aca="false">B657/$B$1003</f>
        <v>0.000590467259666892</v>
      </c>
      <c r="K657" s="5" t="n">
        <f aca="false">J657*LOG(J657,2)</f>
        <v>-0.00633326639396682</v>
      </c>
    </row>
    <row r="658" customFormat="false" ht="13" hidden="false" customHeight="false" outlineLevel="0" collapsed="false">
      <c r="A658" s="4" t="n">
        <v>344</v>
      </c>
      <c r="B658" s="5" t="n">
        <v>7.5635441463535</v>
      </c>
      <c r="C658" s="5" t="n">
        <f aca="false">B658</f>
        <v>7.5635441463535</v>
      </c>
      <c r="D658" s="5" t="n">
        <f aca="false">C658*LOG(C658)</f>
        <v>6.64627794774623</v>
      </c>
      <c r="E658" s="5"/>
      <c r="F658" s="5"/>
      <c r="G658" s="4" t="n">
        <v>657</v>
      </c>
      <c r="H658" s="6" t="n">
        <v>0.343</v>
      </c>
      <c r="J658" s="2" t="n">
        <f aca="false">B658/$B$1003</f>
        <v>0.000589819578253554</v>
      </c>
      <c r="K658" s="5" t="n">
        <f aca="false">J658*LOG(J658,2)</f>
        <v>-0.00632725335094066</v>
      </c>
    </row>
    <row r="659" customFormat="false" ht="13" hidden="false" customHeight="false" outlineLevel="0" collapsed="false">
      <c r="A659" s="4" t="n">
        <v>343</v>
      </c>
      <c r="B659" s="5" t="n">
        <v>7.54914068009907</v>
      </c>
      <c r="C659" s="5" t="n">
        <f aca="false">B659</f>
        <v>7.54914068009907</v>
      </c>
      <c r="D659" s="5" t="n">
        <f aca="false">C659*LOG(C659)</f>
        <v>6.62737187086069</v>
      </c>
      <c r="E659" s="5"/>
      <c r="F659" s="5"/>
      <c r="G659" s="4" t="n">
        <v>658</v>
      </c>
      <c r="H659" s="6" t="n">
        <v>0.342</v>
      </c>
      <c r="J659" s="2" t="n">
        <f aca="false">B659/$B$1003</f>
        <v>0.000588696368521821</v>
      </c>
      <c r="K659" s="5" t="n">
        <f aca="false">J659*LOG(J659,2)</f>
        <v>-0.00631682309262859</v>
      </c>
    </row>
    <row r="660" customFormat="false" ht="13" hidden="false" customHeight="false" outlineLevel="0" collapsed="false">
      <c r="A660" s="4" t="n">
        <v>342</v>
      </c>
      <c r="B660" s="5" t="n">
        <v>7.52313562907489</v>
      </c>
      <c r="C660" s="5" t="n">
        <f aca="false">B660</f>
        <v>7.52313562907489</v>
      </c>
      <c r="D660" s="5" t="n">
        <f aca="false">C660*LOG(C660)</f>
        <v>6.59326772566447</v>
      </c>
      <c r="E660" s="5"/>
      <c r="F660" s="5"/>
      <c r="G660" s="4" t="n">
        <v>659</v>
      </c>
      <c r="H660" s="6" t="n">
        <v>0.341</v>
      </c>
      <c r="J660" s="2" t="n">
        <f aca="false">B660/$B$1003</f>
        <v>0.000586668445113065</v>
      </c>
      <c r="K660" s="5" t="n">
        <f aca="false">J660*LOG(J660,2)</f>
        <v>-0.00629798372199261</v>
      </c>
    </row>
    <row r="661" customFormat="false" ht="13" hidden="false" customHeight="false" outlineLevel="0" collapsed="false">
      <c r="A661" s="4" t="n">
        <v>341</v>
      </c>
      <c r="B661" s="5" t="n">
        <v>7.51770316503064</v>
      </c>
      <c r="C661" s="5" t="n">
        <f aca="false">B661</f>
        <v>7.51770316503064</v>
      </c>
      <c r="D661" s="5" t="n">
        <f aca="false">C661*LOG(C661)</f>
        <v>6.5861482830683</v>
      </c>
      <c r="E661" s="5"/>
      <c r="F661" s="5"/>
      <c r="G661" s="4" t="n">
        <v>660</v>
      </c>
      <c r="H661" s="6" t="n">
        <v>0.34</v>
      </c>
      <c r="J661" s="2" t="n">
        <f aca="false">B661/$B$1003</f>
        <v>0.000586244811220084</v>
      </c>
      <c r="K661" s="5" t="n">
        <f aca="false">J661*LOG(J661,2)</f>
        <v>-0.00629404689521031</v>
      </c>
    </row>
    <row r="662" customFormat="false" ht="13" hidden="false" customHeight="false" outlineLevel="0" collapsed="false">
      <c r="A662" s="4" t="n">
        <v>340</v>
      </c>
      <c r="B662" s="5" t="n">
        <v>7.43333035369084</v>
      </c>
      <c r="C662" s="5" t="n">
        <f aca="false">B662</f>
        <v>7.43333035369084</v>
      </c>
      <c r="D662" s="5" t="n">
        <f aca="false">C662*LOG(C662)</f>
        <v>6.4757942653841</v>
      </c>
      <c r="E662" s="5"/>
      <c r="F662" s="5"/>
      <c r="G662" s="4" t="n">
        <v>661</v>
      </c>
      <c r="H662" s="6" t="n">
        <v>0.339</v>
      </c>
      <c r="J662" s="2" t="n">
        <f aca="false">B662/$B$1003</f>
        <v>0.000579665258693177</v>
      </c>
      <c r="K662" s="5" t="n">
        <f aca="false">J662*LOG(J662,2)</f>
        <v>-0.00623284626369221</v>
      </c>
    </row>
    <row r="663" customFormat="false" ht="13" hidden="false" customHeight="false" outlineLevel="0" collapsed="false">
      <c r="A663" s="4" t="n">
        <v>339</v>
      </c>
      <c r="B663" s="5" t="n">
        <v>7.4239158598819</v>
      </c>
      <c r="C663" s="5" t="n">
        <f aca="false">B663</f>
        <v>7.4239158598819</v>
      </c>
      <c r="D663" s="5" t="n">
        <f aca="false">C663*LOG(C663)</f>
        <v>6.46350644191405</v>
      </c>
      <c r="E663" s="5"/>
      <c r="F663" s="5"/>
      <c r="G663" s="4" t="n">
        <v>662</v>
      </c>
      <c r="H663" s="6" t="n">
        <v>0.338</v>
      </c>
      <c r="J663" s="2" t="n">
        <f aca="false">B663/$B$1003</f>
        <v>0.000578931098534869</v>
      </c>
      <c r="K663" s="5" t="n">
        <f aca="false">J663*LOG(J663,2)</f>
        <v>-0.00622601071040569</v>
      </c>
    </row>
    <row r="664" customFormat="false" ht="13" hidden="false" customHeight="false" outlineLevel="0" collapsed="false">
      <c r="A664" s="4" t="n">
        <v>338</v>
      </c>
      <c r="B664" s="5" t="n">
        <v>7.40062920538782</v>
      </c>
      <c r="C664" s="5" t="n">
        <f aca="false">B664</f>
        <v>7.40062920538782</v>
      </c>
      <c r="D664" s="5" t="n">
        <f aca="false">C664*LOG(C664)</f>
        <v>6.43313492333548</v>
      </c>
      <c r="E664" s="5"/>
      <c r="F664" s="5"/>
      <c r="G664" s="4" t="n">
        <v>663</v>
      </c>
      <c r="H664" s="6" t="n">
        <v>0.337</v>
      </c>
      <c r="J664" s="2" t="n">
        <f aca="false">B664/$B$1003</f>
        <v>0.000577115160865059</v>
      </c>
      <c r="K664" s="5" t="n">
        <f aca="false">J664*LOG(J664,2)</f>
        <v>-0.00620909726541585</v>
      </c>
    </row>
    <row r="665" customFormat="false" ht="13" hidden="false" customHeight="false" outlineLevel="0" collapsed="false">
      <c r="A665" s="4" t="n">
        <v>337</v>
      </c>
      <c r="B665" s="5" t="n">
        <v>7.39787507751169</v>
      </c>
      <c r="C665" s="5" t="n">
        <f aca="false">B665</f>
        <v>7.39787507751169</v>
      </c>
      <c r="D665" s="5" t="n">
        <f aca="false">C665*LOG(C665)</f>
        <v>6.42954496637978</v>
      </c>
      <c r="E665" s="5"/>
      <c r="F665" s="5"/>
      <c r="G665" s="4" t="n">
        <v>664</v>
      </c>
      <c r="H665" s="6" t="n">
        <v>0.336</v>
      </c>
      <c r="J665" s="2" t="n">
        <f aca="false">B665/$B$1003</f>
        <v>0.000576900388727695</v>
      </c>
      <c r="K665" s="5" t="n">
        <f aca="false">J665*LOG(J665,2)</f>
        <v>-0.00620709635656482</v>
      </c>
    </row>
    <row r="666" customFormat="false" ht="13" hidden="false" customHeight="false" outlineLevel="0" collapsed="false">
      <c r="A666" s="4" t="n">
        <v>336</v>
      </c>
      <c r="B666" s="5" t="n">
        <v>7.39421684778978</v>
      </c>
      <c r="C666" s="5" t="n">
        <f aca="false">B666</f>
        <v>7.39421684778978</v>
      </c>
      <c r="D666" s="5" t="n">
        <f aca="false">C666*LOG(C666)</f>
        <v>6.424777217244</v>
      </c>
      <c r="E666" s="5"/>
      <c r="F666" s="5"/>
      <c r="G666" s="4" t="n">
        <v>665</v>
      </c>
      <c r="H666" s="6" t="n">
        <v>0.335</v>
      </c>
      <c r="J666" s="2" t="n">
        <f aca="false">B666/$B$1003</f>
        <v>0.000576615113006422</v>
      </c>
      <c r="K666" s="5" t="n">
        <f aca="false">J666*LOG(J666,2)</f>
        <v>-0.00620443842787349</v>
      </c>
    </row>
    <row r="667" customFormat="false" ht="13" hidden="false" customHeight="false" outlineLevel="0" collapsed="false">
      <c r="A667" s="4" t="n">
        <v>335</v>
      </c>
      <c r="B667" s="5" t="n">
        <v>7.3856564624266</v>
      </c>
      <c r="C667" s="5" t="n">
        <f aca="false">B667</f>
        <v>7.3856564624266</v>
      </c>
      <c r="D667" s="5" t="n">
        <f aca="false">C667*LOG(C667)</f>
        <v>6.41362359005682</v>
      </c>
      <c r="E667" s="5"/>
      <c r="F667" s="5"/>
      <c r="G667" s="4" t="n">
        <v>666</v>
      </c>
      <c r="H667" s="6" t="n">
        <v>0.334</v>
      </c>
      <c r="J667" s="2" t="n">
        <f aca="false">B667/$B$1003</f>
        <v>0.000575947557851471</v>
      </c>
      <c r="K667" s="5" t="n">
        <f aca="false">J667*LOG(J667,2)</f>
        <v>-0.00619821798597291</v>
      </c>
    </row>
    <row r="668" customFormat="false" ht="13" hidden="false" customHeight="false" outlineLevel="0" collapsed="false">
      <c r="A668" s="4" t="n">
        <v>334</v>
      </c>
      <c r="B668" s="5" t="n">
        <v>7.38385316111442</v>
      </c>
      <c r="C668" s="5" t="n">
        <f aca="false">B668</f>
        <v>7.38385316111442</v>
      </c>
      <c r="D668" s="5" t="n">
        <f aca="false">C668*LOG(C668)</f>
        <v>6.41127455465636</v>
      </c>
      <c r="E668" s="5"/>
      <c r="F668" s="5"/>
      <c r="G668" s="4" t="n">
        <v>667</v>
      </c>
      <c r="H668" s="6" t="n">
        <v>0.333</v>
      </c>
      <c r="J668" s="2" t="n">
        <f aca="false">B668/$B$1003</f>
        <v>0.000575806932980533</v>
      </c>
      <c r="K668" s="5" t="n">
        <f aca="false">J668*LOG(J668,2)</f>
        <v>-0.00619690746679727</v>
      </c>
    </row>
    <row r="669" customFormat="false" ht="13" hidden="false" customHeight="false" outlineLevel="0" collapsed="false">
      <c r="A669" s="4" t="n">
        <v>333</v>
      </c>
      <c r="B669" s="5" t="n">
        <v>7.38231951713408</v>
      </c>
      <c r="C669" s="5" t="n">
        <f aca="false">B669</f>
        <v>7.38231951713408</v>
      </c>
      <c r="D669" s="5" t="n">
        <f aca="false">C669*LOG(C669)</f>
        <v>6.40927693363852</v>
      </c>
      <c r="E669" s="5"/>
      <c r="F669" s="5"/>
      <c r="G669" s="4" t="n">
        <v>668</v>
      </c>
      <c r="H669" s="6" t="n">
        <v>0.332</v>
      </c>
      <c r="J669" s="2" t="n">
        <f aca="false">B669/$B$1003</f>
        <v>0.000575687336501929</v>
      </c>
      <c r="K669" s="5" t="n">
        <f aca="false">J669*LOG(J669,2)</f>
        <v>-0.00619579287760622</v>
      </c>
    </row>
    <row r="670" customFormat="false" ht="13" hidden="false" customHeight="false" outlineLevel="0" collapsed="false">
      <c r="A670" s="4" t="n">
        <v>332</v>
      </c>
      <c r="B670" s="5" t="n">
        <v>7.3693938952747</v>
      </c>
      <c r="C670" s="5" t="n">
        <f aca="false">B670</f>
        <v>7.3693938952747</v>
      </c>
      <c r="D670" s="5" t="n">
        <f aca="false">C670*LOG(C670)</f>
        <v>6.39244639226427</v>
      </c>
      <c r="E670" s="5"/>
      <c r="F670" s="5"/>
      <c r="G670" s="4" t="n">
        <v>669</v>
      </c>
      <c r="H670" s="6" t="n">
        <v>0.331</v>
      </c>
      <c r="J670" s="2" t="n">
        <f aca="false">B670/$B$1003</f>
        <v>0.000574679371890862</v>
      </c>
      <c r="K670" s="5" t="n">
        <f aca="false">J670*LOG(J670,2)</f>
        <v>-0.00618639764390305</v>
      </c>
    </row>
    <row r="671" customFormat="false" ht="13" hidden="false" customHeight="false" outlineLevel="0" collapsed="false">
      <c r="A671" s="4" t="n">
        <v>331</v>
      </c>
      <c r="B671" s="5" t="n">
        <v>7.3570385307286</v>
      </c>
      <c r="C671" s="5" t="n">
        <f aca="false">B671</f>
        <v>7.3570385307286</v>
      </c>
      <c r="D671" s="5" t="n">
        <f aca="false">C671*LOG(C671)</f>
        <v>6.37636759054291</v>
      </c>
      <c r="E671" s="5"/>
      <c r="F671" s="5"/>
      <c r="G671" s="4" t="n">
        <v>670</v>
      </c>
      <c r="H671" s="6" t="n">
        <v>0.33</v>
      </c>
      <c r="J671" s="2" t="n">
        <f aca="false">B671/$B$1003</f>
        <v>0.000573715877031212</v>
      </c>
      <c r="K671" s="5" t="n">
        <f aca="false">J671*LOG(J671,2)</f>
        <v>-0.00617741452834328</v>
      </c>
    </row>
    <row r="672" customFormat="false" ht="13" hidden="false" customHeight="false" outlineLevel="0" collapsed="false">
      <c r="A672" s="4" t="n">
        <v>330</v>
      </c>
      <c r="B672" s="5" t="n">
        <v>7.31288047116254</v>
      </c>
      <c r="C672" s="5" t="n">
        <f aca="false">B672</f>
        <v>7.31288047116254</v>
      </c>
      <c r="D672" s="5" t="n">
        <f aca="false">C672*LOG(C672)</f>
        <v>6.31897573382188</v>
      </c>
      <c r="E672" s="5"/>
      <c r="F672" s="5"/>
      <c r="G672" s="4" t="n">
        <v>671</v>
      </c>
      <c r="H672" s="6" t="n">
        <v>0.329</v>
      </c>
      <c r="J672" s="2" t="n">
        <f aca="false">B672/$B$1003</f>
        <v>0.000570272347441674</v>
      </c>
      <c r="K672" s="5" t="n">
        <f aca="false">J672*LOG(J672,2)</f>
        <v>-0.00614528977461621</v>
      </c>
    </row>
    <row r="673" customFormat="false" ht="13" hidden="false" customHeight="false" outlineLevel="0" collapsed="false">
      <c r="A673" s="4" t="n">
        <v>329</v>
      </c>
      <c r="B673" s="5" t="n">
        <v>7.31224788074329</v>
      </c>
      <c r="C673" s="5" t="n">
        <f aca="false">B673</f>
        <v>7.31224788074329</v>
      </c>
      <c r="D673" s="5" t="n">
        <f aca="false">C673*LOG(C673)</f>
        <v>6.31815440108578</v>
      </c>
      <c r="E673" s="5"/>
      <c r="F673" s="5"/>
      <c r="G673" s="4" t="n">
        <v>672</v>
      </c>
      <c r="H673" s="6" t="n">
        <v>0.328</v>
      </c>
      <c r="J673" s="2" t="n">
        <f aca="false">B673/$B$1003</f>
        <v>0.000570223016835932</v>
      </c>
      <c r="K673" s="5" t="n">
        <f aca="false">J673*LOG(J673,2)</f>
        <v>-0.00614482935092669</v>
      </c>
    </row>
    <row r="674" customFormat="false" ht="13" hidden="false" customHeight="false" outlineLevel="0" collapsed="false">
      <c r="A674" s="4" t="n">
        <v>328</v>
      </c>
      <c r="B674" s="5" t="n">
        <v>7.31049178223668</v>
      </c>
      <c r="C674" s="5" t="n">
        <f aca="false">B674</f>
        <v>7.31049178223668</v>
      </c>
      <c r="D674" s="5" t="n">
        <f aca="false">C674*LOG(C674)</f>
        <v>6.31587447027771</v>
      </c>
      <c r="E674" s="5"/>
      <c r="F674" s="5"/>
      <c r="G674" s="4" t="n">
        <v>673</v>
      </c>
      <c r="H674" s="6" t="n">
        <v>0.327</v>
      </c>
      <c r="J674" s="2" t="n">
        <f aca="false">B674/$B$1003</f>
        <v>0.000570086072929677</v>
      </c>
      <c r="K674" s="5" t="n">
        <f aca="false">J674*LOG(J674,2)</f>
        <v>-0.00614355116247558</v>
      </c>
    </row>
    <row r="675" customFormat="false" ht="13" hidden="false" customHeight="false" outlineLevel="0" collapsed="false">
      <c r="A675" s="4" t="n">
        <v>327</v>
      </c>
      <c r="B675" s="5" t="n">
        <v>7.29193793782648</v>
      </c>
      <c r="C675" s="5" t="n">
        <f aca="false">B675</f>
        <v>7.29193793782648</v>
      </c>
      <c r="D675" s="5" t="n">
        <f aca="false">C675*LOG(C675)</f>
        <v>6.29179734131165</v>
      </c>
      <c r="E675" s="5"/>
      <c r="F675" s="5"/>
      <c r="G675" s="4" t="n">
        <v>674</v>
      </c>
      <c r="H675" s="6" t="n">
        <v>0.326</v>
      </c>
      <c r="J675" s="2" t="n">
        <f aca="false">B675/$B$1003</f>
        <v>0.000568639208804439</v>
      </c>
      <c r="K675" s="5" t="n">
        <f aca="false">J675*LOG(J675,2)</f>
        <v>-0.00613004371662072</v>
      </c>
    </row>
    <row r="676" customFormat="false" ht="13" hidden="false" customHeight="false" outlineLevel="0" collapsed="false">
      <c r="A676" s="4" t="n">
        <v>326</v>
      </c>
      <c r="B676" s="5" t="n">
        <v>7.28895550856259</v>
      </c>
      <c r="C676" s="5" t="n">
        <f aca="false">B676</f>
        <v>7.28895550856259</v>
      </c>
      <c r="D676" s="5" t="n">
        <f aca="false">C676*LOG(C676)</f>
        <v>6.28792898555228</v>
      </c>
      <c r="E676" s="5"/>
      <c r="F676" s="5"/>
      <c r="G676" s="4" t="n">
        <v>675</v>
      </c>
      <c r="H676" s="6" t="n">
        <v>0.325</v>
      </c>
      <c r="J676" s="2" t="n">
        <f aca="false">B676/$B$1003</f>
        <v>0.00056840663329003</v>
      </c>
      <c r="K676" s="5" t="n">
        <f aca="false">J676*LOG(J676,2)</f>
        <v>-0.00612787197325356</v>
      </c>
    </row>
    <row r="677" customFormat="false" ht="13" hidden="false" customHeight="false" outlineLevel="0" collapsed="false">
      <c r="A677" s="4" t="n">
        <v>325</v>
      </c>
      <c r="B677" s="5" t="n">
        <v>7.28770889940455</v>
      </c>
      <c r="C677" s="5" t="n">
        <f aca="false">B677</f>
        <v>7.28770889940455</v>
      </c>
      <c r="D677" s="5" t="n">
        <f aca="false">C677*LOG(C677)</f>
        <v>6.28631222991069</v>
      </c>
      <c r="E677" s="5"/>
      <c r="F677" s="5"/>
      <c r="G677" s="4" t="n">
        <v>676</v>
      </c>
      <c r="H677" s="6" t="n">
        <v>0.324</v>
      </c>
      <c r="J677" s="2" t="n">
        <f aca="false">B677/$B$1003</f>
        <v>0.000568309420333562</v>
      </c>
      <c r="K677" s="5" t="n">
        <f aca="false">J677*LOG(J677,2)</f>
        <v>-0.00612696417753928</v>
      </c>
    </row>
    <row r="678" customFormat="false" ht="13" hidden="false" customHeight="false" outlineLevel="0" collapsed="false">
      <c r="A678" s="4" t="n">
        <v>324</v>
      </c>
      <c r="B678" s="5" t="n">
        <v>7.28440939183508</v>
      </c>
      <c r="C678" s="5" t="n">
        <f aca="false">B678</f>
        <v>7.28440939183508</v>
      </c>
      <c r="D678" s="5" t="n">
        <f aca="false">C678*LOG(C678)</f>
        <v>6.28203347082544</v>
      </c>
      <c r="E678" s="5"/>
      <c r="F678" s="5"/>
      <c r="G678" s="4" t="n">
        <v>677</v>
      </c>
      <c r="H678" s="6" t="n">
        <v>0.323</v>
      </c>
      <c r="J678" s="2" t="n">
        <f aca="false">B678/$B$1003</f>
        <v>0.000568052118448968</v>
      </c>
      <c r="K678" s="5" t="n">
        <f aca="false">J678*LOG(J678,2)</f>
        <v>-0.00612456132083104</v>
      </c>
    </row>
    <row r="679" customFormat="false" ht="13" hidden="false" customHeight="false" outlineLevel="0" collapsed="false">
      <c r="A679" s="4" t="n">
        <v>323</v>
      </c>
      <c r="B679" s="5" t="n">
        <v>7.28417497218891</v>
      </c>
      <c r="C679" s="5" t="n">
        <f aca="false">B679</f>
        <v>7.28417497218891</v>
      </c>
      <c r="D679" s="5" t="n">
        <f aca="false">C679*LOG(C679)</f>
        <v>6.28172950312743</v>
      </c>
      <c r="E679" s="5"/>
      <c r="F679" s="5"/>
      <c r="G679" s="4" t="n">
        <v>678</v>
      </c>
      <c r="H679" s="6" t="n">
        <v>0.322</v>
      </c>
      <c r="J679" s="2" t="n">
        <f aca="false">B679/$B$1003</f>
        <v>0.000568033837958477</v>
      </c>
      <c r="K679" s="5" t="n">
        <f aca="false">J679*LOG(J679,2)</f>
        <v>-0.006124390599015</v>
      </c>
    </row>
    <row r="680" customFormat="false" ht="13" hidden="false" customHeight="false" outlineLevel="0" collapsed="false">
      <c r="A680" s="4" t="n">
        <v>322</v>
      </c>
      <c r="B680" s="5" t="n">
        <v>7.26496282994691</v>
      </c>
      <c r="C680" s="5" t="n">
        <f aca="false">B680</f>
        <v>7.26496282994691</v>
      </c>
      <c r="D680" s="5" t="n">
        <f aca="false">C680*LOG(C680)</f>
        <v>6.25682861449498</v>
      </c>
      <c r="E680" s="5"/>
      <c r="F680" s="5"/>
      <c r="G680" s="4" t="n">
        <v>679</v>
      </c>
      <c r="H680" s="6" t="n">
        <v>0.321</v>
      </c>
      <c r="J680" s="2" t="n">
        <f aca="false">B680/$B$1003</f>
        <v>0.000566535638514505</v>
      </c>
      <c r="K680" s="5" t="n">
        <f aca="false">J680*LOG(J680,2)</f>
        <v>-0.00611039600084957</v>
      </c>
    </row>
    <row r="681" customFormat="false" ht="13" hidden="false" customHeight="false" outlineLevel="0" collapsed="false">
      <c r="A681" s="4" t="n">
        <v>321</v>
      </c>
      <c r="B681" s="5" t="n">
        <v>7.26041688164685</v>
      </c>
      <c r="C681" s="5" t="n">
        <f aca="false">B681</f>
        <v>7.26041688164685</v>
      </c>
      <c r="D681" s="5" t="n">
        <f aca="false">C681*LOG(C681)</f>
        <v>6.25093982955577</v>
      </c>
      <c r="E681" s="5"/>
      <c r="F681" s="5"/>
      <c r="G681" s="4" t="n">
        <v>680</v>
      </c>
      <c r="H681" s="6" t="n">
        <v>0.32</v>
      </c>
      <c r="J681" s="2" t="n">
        <f aca="false">B681/$B$1003</f>
        <v>0.000566181136807736</v>
      </c>
      <c r="K681" s="5" t="n">
        <f aca="false">J681*LOG(J681,2)</f>
        <v>-0.00610708378431083</v>
      </c>
    </row>
    <row r="682" customFormat="false" ht="13" hidden="false" customHeight="false" outlineLevel="0" collapsed="false">
      <c r="A682" s="4" t="n">
        <v>320</v>
      </c>
      <c r="B682" s="5" t="n">
        <v>7.23199060696118</v>
      </c>
      <c r="C682" s="5" t="n">
        <f aca="false">B682</f>
        <v>7.23199060696118</v>
      </c>
      <c r="D682" s="5" t="n">
        <f aca="false">C682*LOG(C682)</f>
        <v>6.21414472473361</v>
      </c>
      <c r="E682" s="5"/>
      <c r="F682" s="5"/>
      <c r="G682" s="4" t="n">
        <v>681</v>
      </c>
      <c r="H682" s="6" t="n">
        <v>0.319</v>
      </c>
      <c r="J682" s="2" t="n">
        <f aca="false">B682/$B$1003</f>
        <v>0.000563964401766333</v>
      </c>
      <c r="K682" s="5" t="n">
        <f aca="false">J682*LOG(J682,2)</f>
        <v>-0.00608636488936966</v>
      </c>
    </row>
    <row r="683" customFormat="false" ht="13" hidden="false" customHeight="false" outlineLevel="0" collapsed="false">
      <c r="A683" s="4" t="n">
        <v>319</v>
      </c>
      <c r="B683" s="5" t="n">
        <v>7.18939590653707</v>
      </c>
      <c r="C683" s="5" t="n">
        <f aca="false">B683</f>
        <v>7.18939590653707</v>
      </c>
      <c r="D683" s="5" t="n">
        <f aca="false">C683*LOG(C683)</f>
        <v>6.15910083409487</v>
      </c>
      <c r="E683" s="5"/>
      <c r="F683" s="5"/>
      <c r="G683" s="4" t="n">
        <v>682</v>
      </c>
      <c r="H683" s="6" t="n">
        <v>0.318</v>
      </c>
      <c r="J683" s="2" t="n">
        <f aca="false">B683/$B$1003</f>
        <v>0.000560642785900299</v>
      </c>
      <c r="K683" s="5" t="n">
        <f aca="false">J683*LOG(J683,2)</f>
        <v>-0.00605529559013166</v>
      </c>
    </row>
    <row r="684" customFormat="false" ht="13" hidden="false" customHeight="false" outlineLevel="0" collapsed="false">
      <c r="A684" s="4" t="n">
        <v>318</v>
      </c>
      <c r="B684" s="5" t="n">
        <v>7.18624472033203</v>
      </c>
      <c r="C684" s="5" t="n">
        <f aca="false">B684</f>
        <v>7.18624472033203</v>
      </c>
      <c r="D684" s="5" t="n">
        <f aca="false">C684*LOG(C684)</f>
        <v>6.15503299400858</v>
      </c>
      <c r="E684" s="5"/>
      <c r="F684" s="5"/>
      <c r="G684" s="4" t="n">
        <v>683</v>
      </c>
      <c r="H684" s="6" t="n">
        <v>0.317</v>
      </c>
      <c r="J684" s="2" t="n">
        <f aca="false">B684/$B$1003</f>
        <v>0.000560397050398199</v>
      </c>
      <c r="K684" s="5" t="n">
        <f aca="false">J684*LOG(J684,2)</f>
        <v>-0.00605299593544895</v>
      </c>
    </row>
    <row r="685" customFormat="false" ht="13" hidden="false" customHeight="false" outlineLevel="0" collapsed="false">
      <c r="A685" s="4" t="n">
        <v>317</v>
      </c>
      <c r="B685" s="5" t="n">
        <v>7.119327131928</v>
      </c>
      <c r="C685" s="5" t="n">
        <f aca="false">B685</f>
        <v>7.119327131928</v>
      </c>
      <c r="D685" s="5" t="n">
        <f aca="false">C685*LOG(C685)</f>
        <v>6.06879173904251</v>
      </c>
      <c r="E685" s="5"/>
      <c r="F685" s="5"/>
      <c r="G685" s="4" t="n">
        <v>684</v>
      </c>
      <c r="H685" s="6" t="n">
        <v>0.316</v>
      </c>
      <c r="J685" s="2" t="n">
        <f aca="false">B685/$B$1003</f>
        <v>0.000555178689401491</v>
      </c>
      <c r="K685" s="5" t="n">
        <f aca="false">J685*LOG(J685,2)</f>
        <v>-0.0060041243876913</v>
      </c>
    </row>
    <row r="686" customFormat="false" ht="13" hidden="false" customHeight="false" outlineLevel="0" collapsed="false">
      <c r="A686" s="4" t="n">
        <v>316</v>
      </c>
      <c r="B686" s="5" t="n">
        <v>7.09805795123938</v>
      </c>
      <c r="C686" s="5" t="n">
        <f aca="false">B686</f>
        <v>7.09805795123938</v>
      </c>
      <c r="D686" s="5" t="n">
        <f aca="false">C686*LOG(C686)</f>
        <v>6.04143778498417</v>
      </c>
      <c r="E686" s="5"/>
      <c r="F686" s="5"/>
      <c r="G686" s="4" t="n">
        <v>685</v>
      </c>
      <c r="H686" s="6" t="n">
        <v>0.315</v>
      </c>
      <c r="J686" s="2" t="n">
        <f aca="false">B686/$B$1003</f>
        <v>0.000553520078181564</v>
      </c>
      <c r="K686" s="5" t="n">
        <f aca="false">J686*LOG(J686,2)</f>
        <v>-0.00598857619733667</v>
      </c>
    </row>
    <row r="687" customFormat="false" ht="13" hidden="false" customHeight="false" outlineLevel="0" collapsed="false">
      <c r="A687" s="4" t="n">
        <v>315</v>
      </c>
      <c r="B687" s="5" t="n">
        <v>7.0458697588696</v>
      </c>
      <c r="C687" s="5" t="n">
        <f aca="false">B687</f>
        <v>7.0458697588696</v>
      </c>
      <c r="D687" s="5" t="n">
        <f aca="false">C687*LOG(C687)</f>
        <v>5.97443683381417</v>
      </c>
      <c r="E687" s="5"/>
      <c r="F687" s="5"/>
      <c r="G687" s="4" t="n">
        <v>686</v>
      </c>
      <c r="H687" s="6" t="n">
        <v>0.314</v>
      </c>
      <c r="J687" s="2" t="n">
        <f aca="false">B687/$B$1003</f>
        <v>0.000549450343541593</v>
      </c>
      <c r="K687" s="5" t="n">
        <f aca="false">J687*LOG(J687,2)</f>
        <v>-0.00595039517431701</v>
      </c>
    </row>
    <row r="688" customFormat="false" ht="13" hidden="false" customHeight="false" outlineLevel="0" collapsed="false">
      <c r="A688" s="4" t="n">
        <v>314</v>
      </c>
      <c r="B688" s="5" t="n">
        <v>7.02240592012134</v>
      </c>
      <c r="C688" s="5" t="n">
        <f aca="false">B688</f>
        <v>7.02240592012134</v>
      </c>
      <c r="D688" s="5" t="n">
        <f aca="false">C688*LOG(C688)</f>
        <v>5.94436780350307</v>
      </c>
      <c r="E688" s="5"/>
      <c r="F688" s="5"/>
      <c r="G688" s="4" t="n">
        <v>687</v>
      </c>
      <c r="H688" s="6" t="n">
        <v>0.313</v>
      </c>
      <c r="J688" s="2" t="n">
        <f aca="false">B688/$B$1003</f>
        <v>0.000547620588706173</v>
      </c>
      <c r="K688" s="5" t="n">
        <f aca="false">J688*LOG(J688,2)</f>
        <v>-0.00593321481369136</v>
      </c>
    </row>
    <row r="689" customFormat="false" ht="13" hidden="false" customHeight="false" outlineLevel="0" collapsed="false">
      <c r="A689" s="4" t="n">
        <v>313</v>
      </c>
      <c r="B689" s="5" t="n">
        <v>7.00666590641868</v>
      </c>
      <c r="C689" s="5" t="n">
        <f aca="false">B689</f>
        <v>7.00666590641868</v>
      </c>
      <c r="D689" s="5" t="n">
        <f aca="false">C689*LOG(C689)</f>
        <v>5.92421596888453</v>
      </c>
      <c r="E689" s="5"/>
      <c r="F689" s="5"/>
      <c r="G689" s="4" t="n">
        <v>688</v>
      </c>
      <c r="H689" s="6" t="n">
        <v>0.312</v>
      </c>
      <c r="J689" s="2" t="n">
        <f aca="false">B689/$B$1003</f>
        <v>0.000546393152458803</v>
      </c>
      <c r="K689" s="5" t="n">
        <f aca="false">J689*LOG(J689,2)</f>
        <v>-0.00592168494201017</v>
      </c>
    </row>
    <row r="690" customFormat="false" ht="13" hidden="false" customHeight="false" outlineLevel="0" collapsed="false">
      <c r="A690" s="4" t="n">
        <v>312</v>
      </c>
      <c r="B690" s="5" t="n">
        <v>7.00544407172845</v>
      </c>
      <c r="C690" s="5" t="n">
        <f aca="false">B690</f>
        <v>7.00544407172845</v>
      </c>
      <c r="D690" s="5" t="n">
        <f aca="false">C690*LOG(C690)</f>
        <v>5.92265230391855</v>
      </c>
      <c r="E690" s="5"/>
      <c r="F690" s="5"/>
      <c r="G690" s="4" t="n">
        <v>689</v>
      </c>
      <c r="H690" s="6" t="n">
        <v>0.311</v>
      </c>
      <c r="J690" s="2" t="n">
        <f aca="false">B690/$B$1003</f>
        <v>0.000546297871462522</v>
      </c>
      <c r="K690" s="5" t="n">
        <f aca="false">J690*LOG(J690,2)</f>
        <v>-0.00592078975763829</v>
      </c>
    </row>
    <row r="691" customFormat="false" ht="13" hidden="false" customHeight="false" outlineLevel="0" collapsed="false">
      <c r="A691" s="4" t="n">
        <v>311</v>
      </c>
      <c r="B691" s="5" t="n">
        <v>6.97156573095163</v>
      </c>
      <c r="C691" s="5" t="n">
        <f aca="false">B691</f>
        <v>6.97156573095163</v>
      </c>
      <c r="D691" s="5" t="n">
        <f aca="false">C691*LOG(C691)</f>
        <v>5.87933280368574</v>
      </c>
      <c r="E691" s="5"/>
      <c r="F691" s="5"/>
      <c r="G691" s="4" t="n">
        <v>690</v>
      </c>
      <c r="H691" s="6" t="n">
        <v>0.31</v>
      </c>
      <c r="J691" s="2" t="n">
        <f aca="false">B691/$B$1003</f>
        <v>0.000543655973923185</v>
      </c>
      <c r="K691" s="5" t="n">
        <f aca="false">J691*LOG(J691,2)</f>
        <v>-0.00589595902866574</v>
      </c>
    </row>
    <row r="692" customFormat="false" ht="13" hidden="false" customHeight="false" outlineLevel="0" collapsed="false">
      <c r="A692" s="4" t="n">
        <v>310</v>
      </c>
      <c r="B692" s="5" t="n">
        <v>6.96141568584483</v>
      </c>
      <c r="C692" s="5" t="n">
        <f aca="false">B692</f>
        <v>6.96141568584483</v>
      </c>
      <c r="D692" s="5" t="n">
        <f aca="false">C692*LOG(C692)</f>
        <v>5.86636806473765</v>
      </c>
      <c r="E692" s="5"/>
      <c r="F692" s="5"/>
      <c r="G692" s="4" t="n">
        <v>691</v>
      </c>
      <c r="H692" s="6" t="n">
        <v>0.309</v>
      </c>
      <c r="J692" s="2" t="n">
        <f aca="false">B692/$B$1003</f>
        <v>0.000542864454073719</v>
      </c>
      <c r="K692" s="5" t="n">
        <f aca="false">J692*LOG(J692,2)</f>
        <v>-0.00588851607143576</v>
      </c>
    </row>
    <row r="693" customFormat="false" ht="13" hidden="false" customHeight="false" outlineLevel="0" collapsed="false">
      <c r="A693" s="4" t="n">
        <v>309</v>
      </c>
      <c r="B693" s="5" t="n">
        <v>6.9493984411522</v>
      </c>
      <c r="C693" s="5" t="n">
        <f aca="false">B693</f>
        <v>6.9493984411522</v>
      </c>
      <c r="D693" s="5" t="n">
        <f aca="false">C693*LOG(C693)</f>
        <v>5.851026646111</v>
      </c>
      <c r="E693" s="5"/>
      <c r="F693" s="5"/>
      <c r="G693" s="4" t="n">
        <v>692</v>
      </c>
      <c r="H693" s="6" t="n">
        <v>0.308</v>
      </c>
      <c r="J693" s="2" t="n">
        <f aca="false">B693/$B$1003</f>
        <v>0.000541927326444235</v>
      </c>
      <c r="K693" s="5" t="n">
        <f aca="false">J693*LOG(J693,2)</f>
        <v>-0.00587970175701394</v>
      </c>
    </row>
    <row r="694" customFormat="false" ht="13" hidden="false" customHeight="false" outlineLevel="0" collapsed="false">
      <c r="A694" s="4" t="n">
        <v>308</v>
      </c>
      <c r="B694" s="5" t="n">
        <v>6.94700609288407</v>
      </c>
      <c r="C694" s="5" t="n">
        <f aca="false">B694</f>
        <v>6.94700609288407</v>
      </c>
      <c r="D694" s="5" t="n">
        <f aca="false">C694*LOG(C694)</f>
        <v>5.84797361036058</v>
      </c>
      <c r="E694" s="5"/>
      <c r="F694" s="5"/>
      <c r="G694" s="4" t="n">
        <v>693</v>
      </c>
      <c r="H694" s="6" t="n">
        <v>0.307</v>
      </c>
      <c r="J694" s="2" t="n">
        <f aca="false">B694/$B$1003</f>
        <v>0.000541740766569758</v>
      </c>
      <c r="K694" s="5" t="n">
        <f aca="false">J694*LOG(J694,2)</f>
        <v>-0.00587794675725044</v>
      </c>
    </row>
    <row r="695" customFormat="false" ht="13" hidden="false" customHeight="false" outlineLevel="0" collapsed="false">
      <c r="A695" s="4" t="n">
        <v>307</v>
      </c>
      <c r="B695" s="5" t="n">
        <v>6.94225977430796</v>
      </c>
      <c r="C695" s="5" t="n">
        <f aca="false">B695</f>
        <v>6.94225977430796</v>
      </c>
      <c r="D695" s="5" t="n">
        <f aca="false">C695*LOG(C695)</f>
        <v>5.84191757474768</v>
      </c>
      <c r="E695" s="5"/>
      <c r="F695" s="5"/>
      <c r="G695" s="4" t="n">
        <v>694</v>
      </c>
      <c r="H695" s="6" t="n">
        <v>0.306</v>
      </c>
      <c r="J695" s="2" t="n">
        <f aca="false">B695/$B$1003</f>
        <v>0.000541370639607232</v>
      </c>
      <c r="K695" s="5" t="n">
        <f aca="false">J695*LOG(J695,2)</f>
        <v>-0.00587446463697592</v>
      </c>
    </row>
    <row r="696" customFormat="false" ht="13" hidden="false" customHeight="false" outlineLevel="0" collapsed="false">
      <c r="A696" s="4" t="n">
        <v>306</v>
      </c>
      <c r="B696" s="5" t="n">
        <v>6.9160125001597</v>
      </c>
      <c r="C696" s="5" t="n">
        <f aca="false">B696</f>
        <v>6.9160125001597</v>
      </c>
      <c r="D696" s="5" t="n">
        <f aca="false">C696*LOG(C696)</f>
        <v>5.80845300058335</v>
      </c>
      <c r="E696" s="5"/>
      <c r="F696" s="5"/>
      <c r="G696" s="4" t="n">
        <v>695</v>
      </c>
      <c r="H696" s="6" t="n">
        <v>0.305</v>
      </c>
      <c r="J696" s="2" t="n">
        <f aca="false">B696/$B$1003</f>
        <v>0.000539323827177917</v>
      </c>
      <c r="K696" s="5" t="n">
        <f aca="false">J696*LOG(J696,2)</f>
        <v>-0.00585520181624561</v>
      </c>
    </row>
    <row r="697" customFormat="false" ht="13" hidden="false" customHeight="false" outlineLevel="0" collapsed="false">
      <c r="A697" s="4" t="n">
        <v>305</v>
      </c>
      <c r="B697" s="5" t="n">
        <v>6.87233138933118</v>
      </c>
      <c r="C697" s="5" t="n">
        <f aca="false">B697</f>
        <v>6.87233138933118</v>
      </c>
      <c r="D697" s="5" t="n">
        <f aca="false">C697*LOG(C697)</f>
        <v>5.75285673691041</v>
      </c>
      <c r="E697" s="5"/>
      <c r="F697" s="5"/>
      <c r="G697" s="4" t="n">
        <v>696</v>
      </c>
      <c r="H697" s="6" t="n">
        <v>0.304</v>
      </c>
      <c r="J697" s="2" t="n">
        <f aca="false">B697/$B$1003</f>
        <v>0.000535917490959341</v>
      </c>
      <c r="K697" s="5" t="n">
        <f aca="false">J697*LOG(J697,2)</f>
        <v>-0.00582311947301401</v>
      </c>
    </row>
    <row r="698" customFormat="false" ht="13" hidden="false" customHeight="false" outlineLevel="0" collapsed="false">
      <c r="A698" s="4" t="n">
        <v>304</v>
      </c>
      <c r="B698" s="5" t="n">
        <v>6.84787576030305</v>
      </c>
      <c r="C698" s="5" t="n">
        <f aca="false">B698</f>
        <v>6.84787576030305</v>
      </c>
      <c r="D698" s="5" t="n">
        <f aca="false">C698*LOG(C698)</f>
        <v>5.72178280511733</v>
      </c>
      <c r="E698" s="5"/>
      <c r="F698" s="5"/>
      <c r="G698" s="4" t="n">
        <v>697</v>
      </c>
      <c r="H698" s="6" t="n">
        <v>0.303</v>
      </c>
      <c r="J698" s="2" t="n">
        <f aca="false">B698/$B$1003</f>
        <v>0.000534010394428907</v>
      </c>
      <c r="K698" s="5" t="n">
        <f aca="false">J698*LOG(J698,2)</f>
        <v>-0.00580514398887375</v>
      </c>
    </row>
    <row r="699" customFormat="false" ht="13" hidden="false" customHeight="false" outlineLevel="0" collapsed="false">
      <c r="A699" s="4" t="n">
        <v>303</v>
      </c>
      <c r="B699" s="5" t="n">
        <v>6.7744287551738</v>
      </c>
      <c r="C699" s="5" t="n">
        <f aca="false">B699</f>
        <v>6.7744287551738</v>
      </c>
      <c r="D699" s="5" t="n">
        <f aca="false">C699*LOG(C699)</f>
        <v>5.62868777377219</v>
      </c>
      <c r="E699" s="5"/>
      <c r="F699" s="5"/>
      <c r="G699" s="4" t="n">
        <v>698</v>
      </c>
      <c r="H699" s="6" t="n">
        <v>0.302</v>
      </c>
      <c r="J699" s="2" t="n">
        <f aca="false">B699/$B$1003</f>
        <v>0.000528282857079871</v>
      </c>
      <c r="K699" s="5" t="n">
        <f aca="false">J699*LOG(J699,2)</f>
        <v>-0.00575109943816178</v>
      </c>
    </row>
    <row r="700" customFormat="false" ht="13" hidden="false" customHeight="false" outlineLevel="0" collapsed="false">
      <c r="A700" s="4" t="n">
        <v>302</v>
      </c>
      <c r="B700" s="5" t="n">
        <v>6.77165748773302</v>
      </c>
      <c r="C700" s="5" t="n">
        <f aca="false">B700</f>
        <v>6.77165748773302</v>
      </c>
      <c r="D700" s="5" t="n">
        <f aca="false">C700*LOG(C700)</f>
        <v>5.62518190341538</v>
      </c>
      <c r="E700" s="5"/>
      <c r="F700" s="5"/>
      <c r="G700" s="4" t="n">
        <v>699</v>
      </c>
      <c r="H700" s="6" t="n">
        <v>0.301</v>
      </c>
      <c r="J700" s="2" t="n">
        <f aca="false">B700/$B$1003</f>
        <v>0.000528066748366611</v>
      </c>
      <c r="K700" s="5" t="n">
        <f aca="false">J700*LOG(J700,2)</f>
        <v>-0.00574905850706937</v>
      </c>
    </row>
    <row r="701" customFormat="false" ht="13" hidden="false" customHeight="false" outlineLevel="0" collapsed="false">
      <c r="A701" s="4" t="n">
        <v>301</v>
      </c>
      <c r="B701" s="5" t="n">
        <v>6.74980509864815</v>
      </c>
      <c r="C701" s="5" t="n">
        <f aca="false">B701</f>
        <v>6.74980509864815</v>
      </c>
      <c r="D701" s="5" t="n">
        <f aca="false">C701*LOG(C701)</f>
        <v>5.59755419082342</v>
      </c>
      <c r="E701" s="5"/>
      <c r="F701" s="5"/>
      <c r="G701" s="4" t="n">
        <v>700</v>
      </c>
      <c r="H701" s="6" t="n">
        <v>0.3</v>
      </c>
      <c r="J701" s="2" t="n">
        <f aca="false">B701/$B$1003</f>
        <v>0.000526362657445151</v>
      </c>
      <c r="K701" s="5" t="n">
        <f aca="false">J701*LOG(J701,2)</f>
        <v>-0.00573296059514327</v>
      </c>
      <c r="L701" s="2" t="n">
        <f aca="false">SUM(J652:J701)</f>
        <v>0.028290263255846</v>
      </c>
    </row>
    <row r="702" customFormat="false" ht="13" hidden="false" customHeight="false" outlineLevel="0" collapsed="false">
      <c r="A702" s="4" t="n">
        <v>300</v>
      </c>
      <c r="B702" s="5" t="n">
        <v>6.73632184405197</v>
      </c>
      <c r="C702" s="5" t="n">
        <f aca="false">B702</f>
        <v>6.73632184405197</v>
      </c>
      <c r="D702" s="5" t="n">
        <f aca="false">C702*LOG(C702)</f>
        <v>5.58052279543593</v>
      </c>
      <c r="E702" s="5"/>
      <c r="F702" s="5"/>
      <c r="G702" s="4" t="n">
        <v>701</v>
      </c>
      <c r="H702" s="6" t="n">
        <v>0.299</v>
      </c>
      <c r="J702" s="2" t="n">
        <f aca="false">B702/$B$1003</f>
        <v>0.000525311207571186</v>
      </c>
      <c r="K702" s="5" t="n">
        <f aca="false">J702*LOG(J702,2)</f>
        <v>-0.00572302397104122</v>
      </c>
    </row>
    <row r="703" customFormat="false" ht="13" hidden="false" customHeight="false" outlineLevel="0" collapsed="false">
      <c r="A703" s="4" t="n">
        <v>299</v>
      </c>
      <c r="B703" s="5" t="n">
        <v>6.71007524837</v>
      </c>
      <c r="C703" s="5" t="n">
        <f aca="false">B703</f>
        <v>6.71007524837</v>
      </c>
      <c r="D703" s="5" t="n">
        <f aca="false">C703*LOG(C703)</f>
        <v>5.54740299999113</v>
      </c>
      <c r="E703" s="5"/>
      <c r="F703" s="5"/>
      <c r="G703" s="4" t="n">
        <v>702</v>
      </c>
      <c r="H703" s="6" t="n">
        <v>0.298</v>
      </c>
      <c r="J703" s="2" t="n">
        <f aca="false">B703/$B$1003</f>
        <v>0.000523264448049965</v>
      </c>
      <c r="K703" s="5" t="n">
        <f aca="false">J703*LOG(J703,2)</f>
        <v>-0.00570367255729748</v>
      </c>
    </row>
    <row r="704" customFormat="false" ht="13" hidden="false" customHeight="false" outlineLevel="0" collapsed="false">
      <c r="A704" s="4" t="n">
        <v>298</v>
      </c>
      <c r="B704" s="5" t="n">
        <v>6.64420813751838</v>
      </c>
      <c r="C704" s="5" t="n">
        <f aca="false">B704</f>
        <v>6.64420813751838</v>
      </c>
      <c r="D704" s="5" t="n">
        <f aca="false">C704*LOG(C704)</f>
        <v>5.46448399324255</v>
      </c>
      <c r="E704" s="5"/>
      <c r="F704" s="5"/>
      <c r="G704" s="4" t="n">
        <v>703</v>
      </c>
      <c r="H704" s="6" t="n">
        <v>0.297</v>
      </c>
      <c r="J704" s="2" t="n">
        <f aca="false">B704/$B$1003</f>
        <v>0.00051812800529356</v>
      </c>
      <c r="K704" s="5" t="n">
        <f aca="false">J704*LOG(J704,2)</f>
        <v>-0.00565505827756429</v>
      </c>
    </row>
    <row r="705" customFormat="false" ht="13" hidden="false" customHeight="false" outlineLevel="0" collapsed="false">
      <c r="A705" s="4" t="n">
        <v>297</v>
      </c>
      <c r="B705" s="5" t="n">
        <v>6.57008454154925</v>
      </c>
      <c r="C705" s="5" t="n">
        <f aca="false">B705</f>
        <v>6.57008454154925</v>
      </c>
      <c r="D705" s="5" t="n">
        <f aca="false">C705*LOG(C705)</f>
        <v>5.37151031241527</v>
      </c>
      <c r="E705" s="5"/>
      <c r="F705" s="5"/>
      <c r="G705" s="4" t="n">
        <v>704</v>
      </c>
      <c r="H705" s="6" t="n">
        <v>0.296</v>
      </c>
      <c r="J705" s="2" t="n">
        <f aca="false">B705/$B$1003</f>
        <v>0.000512347706102178</v>
      </c>
      <c r="K705" s="5" t="n">
        <f aca="false">J705*LOG(J705,2)</f>
        <v>-0.00560026227642799</v>
      </c>
    </row>
    <row r="706" customFormat="false" ht="13" hidden="false" customHeight="false" outlineLevel="0" collapsed="false">
      <c r="A706" s="4" t="n">
        <v>296</v>
      </c>
      <c r="B706" s="5" t="n">
        <v>6.5552491992965</v>
      </c>
      <c r="C706" s="5" t="n">
        <f aca="false">B706</f>
        <v>6.5552491992965</v>
      </c>
      <c r="D706" s="5" t="n">
        <f aca="false">C706*LOG(C706)</f>
        <v>5.35294573972903</v>
      </c>
      <c r="E706" s="5"/>
      <c r="F706" s="5"/>
      <c r="G706" s="4" t="n">
        <v>705</v>
      </c>
      <c r="H706" s="6" t="n">
        <v>0.295</v>
      </c>
      <c r="J706" s="2" t="n">
        <f aca="false">B706/$B$1003</f>
        <v>0.000511190817857534</v>
      </c>
      <c r="K706" s="5" t="n">
        <f aca="false">J706*LOG(J706,2)</f>
        <v>-0.0055892839574946</v>
      </c>
    </row>
    <row r="707" customFormat="false" ht="13" hidden="false" customHeight="false" outlineLevel="0" collapsed="false">
      <c r="A707" s="4" t="n">
        <v>295</v>
      </c>
      <c r="B707" s="5" t="n">
        <v>6.53867701615911</v>
      </c>
      <c r="C707" s="5" t="n">
        <f aca="false">B707</f>
        <v>6.53867701615911</v>
      </c>
      <c r="D707" s="5" t="n">
        <f aca="false">C707*LOG(C707)</f>
        <v>5.33222497139552</v>
      </c>
      <c r="E707" s="5"/>
      <c r="F707" s="5"/>
      <c r="G707" s="4" t="n">
        <v>706</v>
      </c>
      <c r="H707" s="6" t="n">
        <v>0.294</v>
      </c>
      <c r="J707" s="2" t="n">
        <f aca="false">B707/$B$1003</f>
        <v>0.000509898487452674</v>
      </c>
      <c r="K707" s="5" t="n">
        <f aca="false">J707*LOG(J707,2)</f>
        <v>-0.00557701589006103</v>
      </c>
    </row>
    <row r="708" customFormat="false" ht="13" hidden="false" customHeight="false" outlineLevel="0" collapsed="false">
      <c r="A708" s="4" t="n">
        <v>294</v>
      </c>
      <c r="B708" s="5" t="n">
        <v>6.5194246666822</v>
      </c>
      <c r="C708" s="5" t="n">
        <f aca="false">B708</f>
        <v>6.5194246666822</v>
      </c>
      <c r="D708" s="5" t="n">
        <f aca="false">C708*LOG(C708)</f>
        <v>5.30817600734067</v>
      </c>
      <c r="E708" s="5"/>
      <c r="F708" s="5"/>
      <c r="G708" s="4" t="n">
        <v>707</v>
      </c>
      <c r="H708" s="6" t="n">
        <v>0.293</v>
      </c>
      <c r="J708" s="2" t="n">
        <f aca="false">B708/$B$1003</f>
        <v>0.000508397152571943</v>
      </c>
      <c r="K708" s="5" t="n">
        <f aca="false">J708*LOG(J708,2)</f>
        <v>-0.00556275781285422</v>
      </c>
    </row>
    <row r="709" customFormat="false" ht="13" hidden="false" customHeight="false" outlineLevel="0" collapsed="false">
      <c r="A709" s="4" t="n">
        <v>293</v>
      </c>
      <c r="B709" s="5" t="n">
        <v>6.51744611726144</v>
      </c>
      <c r="C709" s="5" t="n">
        <f aca="false">B709</f>
        <v>6.51744611726144</v>
      </c>
      <c r="D709" s="5" t="n">
        <f aca="false">C709*LOG(C709)</f>
        <v>5.30570591136446</v>
      </c>
      <c r="E709" s="5"/>
      <c r="F709" s="5"/>
      <c r="G709" s="4" t="n">
        <v>708</v>
      </c>
      <c r="H709" s="6" t="n">
        <v>0.292</v>
      </c>
      <c r="J709" s="2" t="n">
        <f aca="false">B709/$B$1003</f>
        <v>0.000508242861519717</v>
      </c>
      <c r="K709" s="5" t="n">
        <f aca="false">J709*LOG(J709,2)</f>
        <v>-0.00556129215889686</v>
      </c>
    </row>
    <row r="710" customFormat="false" ht="13" hidden="false" customHeight="false" outlineLevel="0" collapsed="false">
      <c r="A710" s="4" t="n">
        <v>292</v>
      </c>
      <c r="B710" s="5" t="n">
        <v>6.47685782180133</v>
      </c>
      <c r="C710" s="5" t="n">
        <f aca="false">B710</f>
        <v>6.47685782180133</v>
      </c>
      <c r="D710" s="5" t="n">
        <f aca="false">C710*LOG(C710)</f>
        <v>5.25509162500953</v>
      </c>
      <c r="E710" s="5"/>
      <c r="F710" s="5"/>
      <c r="G710" s="4" t="n">
        <v>709</v>
      </c>
      <c r="H710" s="6" t="n">
        <v>0.291</v>
      </c>
      <c r="J710" s="2" t="n">
        <f aca="false">B710/$B$1003</f>
        <v>0.000505077708934225</v>
      </c>
      <c r="K710" s="5" t="n">
        <f aca="false">J710*LOG(J710,2)</f>
        <v>-0.0055312105457568</v>
      </c>
    </row>
    <row r="711" customFormat="false" ht="13" hidden="false" customHeight="false" outlineLevel="0" collapsed="false">
      <c r="A711" s="4" t="n">
        <v>291</v>
      </c>
      <c r="B711" s="5" t="n">
        <v>6.44140447293376</v>
      </c>
      <c r="C711" s="5" t="n">
        <f aca="false">B711</f>
        <v>6.44140447293376</v>
      </c>
      <c r="D711" s="5" t="n">
        <f aca="false">C711*LOG(C711)</f>
        <v>5.21097106545593</v>
      </c>
      <c r="E711" s="5"/>
      <c r="F711" s="5"/>
      <c r="G711" s="4" t="n">
        <v>710</v>
      </c>
      <c r="H711" s="6" t="n">
        <v>0.29</v>
      </c>
      <c r="J711" s="2" t="n">
        <f aca="false">B711/$B$1003</f>
        <v>0.00050231298926417</v>
      </c>
      <c r="K711" s="5" t="n">
        <f aca="false">J711*LOG(J711,2)</f>
        <v>-0.00550491123908564</v>
      </c>
    </row>
    <row r="712" customFormat="false" ht="13" hidden="false" customHeight="false" outlineLevel="0" collapsed="false">
      <c r="A712" s="4" t="n">
        <v>290</v>
      </c>
      <c r="B712" s="5" t="n">
        <v>6.40743416488692</v>
      </c>
      <c r="C712" s="5" t="n">
        <f aca="false">B712</f>
        <v>6.40743416488692</v>
      </c>
      <c r="D712" s="5" t="n">
        <f aca="false">C712*LOG(C712)</f>
        <v>5.16877559957601</v>
      </c>
      <c r="E712" s="5"/>
      <c r="F712" s="5"/>
      <c r="G712" s="4" t="n">
        <v>711</v>
      </c>
      <c r="H712" s="6" t="n">
        <v>0.289</v>
      </c>
      <c r="J712" s="2" t="n">
        <f aca="false">B712/$B$1003</f>
        <v>0.000499663919941955</v>
      </c>
      <c r="K712" s="5" t="n">
        <f aca="false">J712*LOG(J712,2)</f>
        <v>-0.00547969145895658</v>
      </c>
    </row>
    <row r="713" customFormat="false" ht="13" hidden="false" customHeight="false" outlineLevel="0" collapsed="false">
      <c r="A713" s="4" t="n">
        <v>289</v>
      </c>
      <c r="B713" s="5" t="n">
        <v>6.40243272643528</v>
      </c>
      <c r="C713" s="5" t="n">
        <f aca="false">B713</f>
        <v>6.40243272643528</v>
      </c>
      <c r="D713" s="5" t="n">
        <f aca="false">C713*LOG(C713)</f>
        <v>5.16256976927126</v>
      </c>
      <c r="E713" s="5"/>
      <c r="F713" s="5"/>
      <c r="G713" s="4" t="n">
        <v>712</v>
      </c>
      <c r="H713" s="6" t="n">
        <v>0.288</v>
      </c>
      <c r="J713" s="2" t="n">
        <f aca="false">B713/$B$1003</f>
        <v>0.000499273898245627</v>
      </c>
      <c r="K713" s="5" t="n">
        <f aca="false">J713*LOG(J713,2)</f>
        <v>-0.00547597664953253</v>
      </c>
    </row>
    <row r="714" customFormat="false" ht="13" hidden="false" customHeight="false" outlineLevel="0" collapsed="false">
      <c r="A714" s="4" t="n">
        <v>288</v>
      </c>
      <c r="B714" s="5" t="n">
        <v>6.40173036109732</v>
      </c>
      <c r="C714" s="5" t="n">
        <f aca="false">B714</f>
        <v>6.40173036109732</v>
      </c>
      <c r="D714" s="5" t="n">
        <f aca="false">C714*LOG(C714)</f>
        <v>5.16169840381767</v>
      </c>
      <c r="E714" s="5"/>
      <c r="F714" s="5"/>
      <c r="G714" s="4" t="n">
        <v>713</v>
      </c>
      <c r="H714" s="6" t="n">
        <v>0.287</v>
      </c>
      <c r="J714" s="2" t="n">
        <f aca="false">B714/$B$1003</f>
        <v>0.00049921912645883</v>
      </c>
      <c r="K714" s="5" t="n">
        <f aca="false">J714*LOG(J714,2)</f>
        <v>-0.0054754549337493</v>
      </c>
    </row>
    <row r="715" customFormat="false" ht="13" hidden="false" customHeight="false" outlineLevel="0" collapsed="false">
      <c r="A715" s="4" t="n">
        <v>287</v>
      </c>
      <c r="B715" s="5" t="n">
        <v>6.33979013550356</v>
      </c>
      <c r="C715" s="5" t="n">
        <f aca="false">B715</f>
        <v>6.33979013550356</v>
      </c>
      <c r="D715" s="5" t="n">
        <f aca="false">C715*LOG(C715)</f>
        <v>5.08498642342774</v>
      </c>
      <c r="E715" s="5"/>
      <c r="F715" s="5"/>
      <c r="G715" s="4" t="n">
        <v>714</v>
      </c>
      <c r="H715" s="6" t="n">
        <v>0.286</v>
      </c>
      <c r="J715" s="2" t="n">
        <f aca="false">B715/$B$1003</f>
        <v>0.000494388909694081</v>
      </c>
      <c r="K715" s="5" t="n">
        <f aca="false">J715*LOG(J715,2)</f>
        <v>-0.00542941163542751</v>
      </c>
    </row>
    <row r="716" customFormat="false" ht="13" hidden="false" customHeight="false" outlineLevel="0" collapsed="false">
      <c r="A716" s="4" t="n">
        <v>286</v>
      </c>
      <c r="B716" s="5" t="n">
        <v>6.33842882886682</v>
      </c>
      <c r="C716" s="5" t="n">
        <f aca="false">B716</f>
        <v>6.33842882886682</v>
      </c>
      <c r="D716" s="5" t="n">
        <f aca="false">C716*LOG(C716)</f>
        <v>5.08330340908539</v>
      </c>
      <c r="E716" s="5"/>
      <c r="F716" s="5"/>
      <c r="G716" s="4" t="n">
        <v>715</v>
      </c>
      <c r="H716" s="6" t="n">
        <v>0.285</v>
      </c>
      <c r="J716" s="2" t="n">
        <f aca="false">B716/$B$1003</f>
        <v>0.000494282752409768</v>
      </c>
      <c r="K716" s="5" t="n">
        <f aca="false">J716*LOG(J716,2)</f>
        <v>-0.00542839894526859</v>
      </c>
    </row>
    <row r="717" customFormat="false" ht="13" hidden="false" customHeight="false" outlineLevel="0" collapsed="false">
      <c r="A717" s="4" t="n">
        <v>285</v>
      </c>
      <c r="B717" s="5" t="n">
        <v>6.30059241839888</v>
      </c>
      <c r="C717" s="5" t="n">
        <f aca="false">B717</f>
        <v>6.30059241839888</v>
      </c>
      <c r="D717" s="5" t="n">
        <f aca="false">C717*LOG(C717)</f>
        <v>5.03657630174407</v>
      </c>
      <c r="E717" s="5"/>
      <c r="F717" s="5"/>
      <c r="G717" s="4" t="n">
        <v>716</v>
      </c>
      <c r="H717" s="6" t="n">
        <v>0.284</v>
      </c>
      <c r="J717" s="2" t="n">
        <f aca="false">B717/$B$1003</f>
        <v>0.000491332197057276</v>
      </c>
      <c r="K717" s="5" t="n">
        <f aca="false">J717*LOG(J717,2)</f>
        <v>-0.00540023885868969</v>
      </c>
    </row>
    <row r="718" customFormat="false" ht="13" hidden="false" customHeight="false" outlineLevel="0" collapsed="false">
      <c r="A718" s="4" t="n">
        <v>284</v>
      </c>
      <c r="B718" s="5" t="n">
        <v>6.28217761176256</v>
      </c>
      <c r="C718" s="5" t="n">
        <f aca="false">B718</f>
        <v>6.28217761176256</v>
      </c>
      <c r="D718" s="5" t="n">
        <f aca="false">C718*LOG(C718)</f>
        <v>5.01387009769578</v>
      </c>
      <c r="E718" s="5"/>
      <c r="F718" s="5"/>
      <c r="G718" s="4" t="n">
        <v>717</v>
      </c>
      <c r="H718" s="6" t="n">
        <v>0.283</v>
      </c>
      <c r="J718" s="2" t="n">
        <f aca="false">B718/$B$1003</f>
        <v>0.000489896175362461</v>
      </c>
      <c r="K718" s="5" t="n">
        <f aca="false">J718*LOG(J718,2)</f>
        <v>-0.00538652423558972</v>
      </c>
    </row>
    <row r="719" customFormat="false" ht="13" hidden="false" customHeight="false" outlineLevel="0" collapsed="false">
      <c r="A719" s="4" t="n">
        <v>283</v>
      </c>
      <c r="B719" s="5" t="n">
        <v>6.26953531072233</v>
      </c>
      <c r="C719" s="5" t="n">
        <f aca="false">B719</f>
        <v>6.26953531072233</v>
      </c>
      <c r="D719" s="5" t="n">
        <f aca="false">C719*LOG(C719)</f>
        <v>4.99829519482049</v>
      </c>
      <c r="E719" s="5"/>
      <c r="F719" s="5"/>
      <c r="G719" s="4" t="n">
        <v>718</v>
      </c>
      <c r="H719" s="6" t="n">
        <v>0.282</v>
      </c>
      <c r="J719" s="2" t="n">
        <f aca="false">B719/$B$1003</f>
        <v>0.000488910304648492</v>
      </c>
      <c r="K719" s="5" t="n">
        <f aca="false">J719*LOG(J719,2)</f>
        <v>-0.00537710523277265</v>
      </c>
    </row>
    <row r="720" customFormat="false" ht="13" hidden="false" customHeight="false" outlineLevel="0" collapsed="false">
      <c r="A720" s="4" t="n">
        <v>282</v>
      </c>
      <c r="B720" s="5" t="n">
        <v>6.26249950820119</v>
      </c>
      <c r="C720" s="5" t="n">
        <f aca="false">B720</f>
        <v>6.26249950820119</v>
      </c>
      <c r="D720" s="5" t="n">
        <f aca="false">C720*LOG(C720)</f>
        <v>4.98963210928149</v>
      </c>
      <c r="E720" s="5"/>
      <c r="F720" s="5"/>
      <c r="G720" s="4" t="n">
        <v>719</v>
      </c>
      <c r="H720" s="6" t="n">
        <v>0.281</v>
      </c>
      <c r="J720" s="2" t="n">
        <f aca="false">B720/$B$1003</f>
        <v>0.000488361639367323</v>
      </c>
      <c r="K720" s="5" t="n">
        <f aca="false">J720*LOG(J720,2)</f>
        <v>-0.00537186204615239</v>
      </c>
    </row>
    <row r="721" customFormat="false" ht="13" hidden="false" customHeight="false" outlineLevel="0" collapsed="false">
      <c r="A721" s="4" t="n">
        <v>281</v>
      </c>
      <c r="B721" s="5" t="n">
        <v>6.20742816836463</v>
      </c>
      <c r="C721" s="5" t="n">
        <f aca="false">B721</f>
        <v>6.20742816836463</v>
      </c>
      <c r="D721" s="5" t="n">
        <f aca="false">C721*LOG(C721)</f>
        <v>4.92194243805896</v>
      </c>
      <c r="E721" s="5"/>
      <c r="F721" s="5"/>
      <c r="G721" s="4" t="n">
        <v>720</v>
      </c>
      <c r="H721" s="6" t="n">
        <v>0.28</v>
      </c>
      <c r="J721" s="2" t="n">
        <f aca="false">B721/$B$1003</f>
        <v>0.000484067071396576</v>
      </c>
      <c r="K721" s="5" t="n">
        <f aca="false">J721*LOG(J721,2)</f>
        <v>-0.00533079124796317</v>
      </c>
    </row>
    <row r="722" customFormat="false" ht="13" hidden="false" customHeight="false" outlineLevel="0" collapsed="false">
      <c r="A722" s="4" t="n">
        <v>280</v>
      </c>
      <c r="B722" s="5" t="n">
        <v>6.2023837380583</v>
      </c>
      <c r="C722" s="5" t="n">
        <f aca="false">B722</f>
        <v>6.2023837380583</v>
      </c>
      <c r="D722" s="5" t="n">
        <f aca="false">C722*LOG(C722)</f>
        <v>4.91575277238823</v>
      </c>
      <c r="E722" s="5"/>
      <c r="F722" s="5"/>
      <c r="G722" s="4" t="n">
        <v>721</v>
      </c>
      <c r="H722" s="6" t="n">
        <v>0.279</v>
      </c>
      <c r="J722" s="2" t="n">
        <f aca="false">B722/$B$1003</f>
        <v>0.000483673697113537</v>
      </c>
      <c r="K722" s="5" t="n">
        <f aca="false">J722*LOG(J722,2)</f>
        <v>-0.00532702650000796</v>
      </c>
    </row>
    <row r="723" customFormat="false" ht="13" hidden="false" customHeight="false" outlineLevel="0" collapsed="false">
      <c r="A723" s="4" t="n">
        <v>279</v>
      </c>
      <c r="B723" s="5" t="n">
        <v>6.18358263869709</v>
      </c>
      <c r="C723" s="5" t="n">
        <f aca="false">B723</f>
        <v>6.18358263869709</v>
      </c>
      <c r="D723" s="5" t="n">
        <f aca="false">C723*LOG(C723)</f>
        <v>4.89269897309351</v>
      </c>
      <c r="E723" s="5"/>
      <c r="F723" s="5"/>
      <c r="G723" s="4" t="n">
        <v>722</v>
      </c>
      <c r="H723" s="6" t="n">
        <v>0.278</v>
      </c>
      <c r="J723" s="2" t="n">
        <f aca="false">B723/$B$1003</f>
        <v>0.000482207551576292</v>
      </c>
      <c r="K723" s="5" t="n">
        <f aca="false">J723*LOG(J723,2)</f>
        <v>-0.0053129908365055</v>
      </c>
    </row>
    <row r="724" customFormat="false" ht="13" hidden="false" customHeight="false" outlineLevel="0" collapsed="false">
      <c r="A724" s="4" t="n">
        <v>278</v>
      </c>
      <c r="B724" s="5" t="n">
        <v>6.15422319866059</v>
      </c>
      <c r="C724" s="5" t="n">
        <f aca="false">B724</f>
        <v>6.15422319866059</v>
      </c>
      <c r="D724" s="5" t="n">
        <f aca="false">C724*LOG(C724)</f>
        <v>4.85674827982267</v>
      </c>
      <c r="E724" s="5"/>
      <c r="F724" s="5"/>
      <c r="G724" s="4" t="n">
        <v>723</v>
      </c>
      <c r="H724" s="6" t="n">
        <v>0.277</v>
      </c>
      <c r="J724" s="2" t="n">
        <f aca="false">B724/$B$1003</f>
        <v>0.0004799180465235</v>
      </c>
      <c r="K724" s="5" t="n">
        <f aca="false">J724*LOG(J724,2)</f>
        <v>-0.00529106014047642</v>
      </c>
    </row>
    <row r="725" customFormat="false" ht="13" hidden="false" customHeight="false" outlineLevel="0" collapsed="false">
      <c r="A725" s="4" t="n">
        <v>277</v>
      </c>
      <c r="B725" s="5" t="n">
        <v>6.13980664515161</v>
      </c>
      <c r="C725" s="5" t="n">
        <f aca="false">B725</f>
        <v>6.13980664515161</v>
      </c>
      <c r="D725" s="5" t="n">
        <f aca="false">C725*LOG(C725)</f>
        <v>4.83911743100936</v>
      </c>
      <c r="E725" s="5"/>
      <c r="F725" s="5"/>
      <c r="G725" s="4" t="n">
        <v>724</v>
      </c>
      <c r="H725" s="6" t="n">
        <v>0.276</v>
      </c>
      <c r="J725" s="2" t="n">
        <f aca="false">B725/$B$1003</f>
        <v>0.00047879381622273</v>
      </c>
      <c r="K725" s="5" t="n">
        <f aca="false">J725*LOG(J725,2)</f>
        <v>-0.00528028560677888</v>
      </c>
    </row>
    <row r="726" customFormat="false" ht="13" hidden="false" customHeight="false" outlineLevel="0" collapsed="false">
      <c r="A726" s="4" t="n">
        <v>276</v>
      </c>
      <c r="B726" s="5" t="n">
        <v>6.10347165022068</v>
      </c>
      <c r="C726" s="5" t="n">
        <f aca="false">B726</f>
        <v>6.10347165022068</v>
      </c>
      <c r="D726" s="5" t="n">
        <f aca="false">C726*LOG(C726)</f>
        <v>4.79474653155191</v>
      </c>
      <c r="E726" s="5"/>
      <c r="F726" s="5"/>
      <c r="G726" s="4" t="n">
        <v>725</v>
      </c>
      <c r="H726" s="6" t="n">
        <v>0.275</v>
      </c>
      <c r="J726" s="2" t="n">
        <f aca="false">B726/$B$1003</f>
        <v>0.00047596034411345</v>
      </c>
      <c r="K726" s="5" t="n">
        <f aca="false">J726*LOG(J726,2)</f>
        <v>-0.00525311292049353</v>
      </c>
    </row>
    <row r="727" customFormat="false" ht="13" hidden="false" customHeight="false" outlineLevel="0" collapsed="false">
      <c r="A727" s="4" t="n">
        <v>275</v>
      </c>
      <c r="B727" s="5" t="n">
        <v>6.0927517025155</v>
      </c>
      <c r="C727" s="5" t="n">
        <f aca="false">B727</f>
        <v>6.0927517025155</v>
      </c>
      <c r="D727" s="5" t="n">
        <f aca="false">C727*LOG(C727)</f>
        <v>4.78167366467494</v>
      </c>
      <c r="E727" s="5"/>
      <c r="F727" s="5"/>
      <c r="G727" s="4" t="n">
        <v>726</v>
      </c>
      <c r="H727" s="6" t="n">
        <v>0.274</v>
      </c>
      <c r="J727" s="2" t="n">
        <f aca="false">B727/$B$1003</f>
        <v>0.000475124382173912</v>
      </c>
      <c r="K727" s="5" t="n">
        <f aca="false">J727*LOG(J727,2)</f>
        <v>-0.00524509149480347</v>
      </c>
    </row>
    <row r="728" customFormat="false" ht="13" hidden="false" customHeight="false" outlineLevel="0" collapsed="false">
      <c r="A728" s="4" t="n">
        <v>274</v>
      </c>
      <c r="B728" s="5" t="n">
        <v>6.07021091386969</v>
      </c>
      <c r="C728" s="5" t="n">
        <f aca="false">B728</f>
        <v>6.07021091386969</v>
      </c>
      <c r="D728" s="5" t="n">
        <f aca="false">C728*LOG(C728)</f>
        <v>4.75421214050547</v>
      </c>
      <c r="E728" s="5"/>
      <c r="F728" s="5"/>
      <c r="G728" s="4" t="n">
        <v>727</v>
      </c>
      <c r="H728" s="6" t="n">
        <v>0.273</v>
      </c>
      <c r="J728" s="2" t="n">
        <f aca="false">B728/$B$1003</f>
        <v>0.000473366608543545</v>
      </c>
      <c r="K728" s="5" t="n">
        <f aca="false">J728*LOG(J728,2)</f>
        <v>-0.00522821795057479</v>
      </c>
    </row>
    <row r="729" customFormat="false" ht="13" hidden="false" customHeight="false" outlineLevel="0" collapsed="false">
      <c r="A729" s="4" t="n">
        <v>273</v>
      </c>
      <c r="B729" s="5" t="n">
        <v>6.04225334698685</v>
      </c>
      <c r="C729" s="5" t="n">
        <f aca="false">B729</f>
        <v>6.04225334698685</v>
      </c>
      <c r="D729" s="5" t="n">
        <f aca="false">C729*LOG(C729)</f>
        <v>4.72020185518991</v>
      </c>
      <c r="E729" s="5"/>
      <c r="F729" s="5"/>
      <c r="G729" s="4" t="n">
        <v>728</v>
      </c>
      <c r="H729" s="6" t="n">
        <v>0.272</v>
      </c>
      <c r="J729" s="2" t="n">
        <f aca="false">B729/$B$1003</f>
        <v>0.00047118642422932</v>
      </c>
      <c r="K729" s="5" t="n">
        <f aca="false">J729*LOG(J729,2)</f>
        <v>-0.00520727643689907</v>
      </c>
    </row>
    <row r="730" customFormat="false" ht="13" hidden="false" customHeight="false" outlineLevel="0" collapsed="false">
      <c r="A730" s="4" t="n">
        <v>272</v>
      </c>
      <c r="B730" s="5" t="n">
        <v>6.0371859282381</v>
      </c>
      <c r="C730" s="5" t="n">
        <f aca="false">B730</f>
        <v>6.0371859282381</v>
      </c>
      <c r="D730" s="5" t="n">
        <f aca="false">C730*LOG(C730)</f>
        <v>4.71404336418418</v>
      </c>
      <c r="E730" s="5"/>
      <c r="F730" s="5"/>
      <c r="G730" s="4" t="n">
        <v>729</v>
      </c>
      <c r="H730" s="6" t="n">
        <v>0.271</v>
      </c>
      <c r="J730" s="2" t="n">
        <f aca="false">B730/$B$1003</f>
        <v>0.000470791257263756</v>
      </c>
      <c r="K730" s="5" t="n">
        <f aca="false">J730*LOG(J730,2)</f>
        <v>-0.00520347914929416</v>
      </c>
    </row>
    <row r="731" customFormat="false" ht="13" hidden="false" customHeight="false" outlineLevel="0" collapsed="false">
      <c r="A731" s="4" t="n">
        <v>271</v>
      </c>
      <c r="B731" s="5" t="n">
        <v>6.0115614083395</v>
      </c>
      <c r="C731" s="5" t="n">
        <f aca="false">B731</f>
        <v>6.0115614083395</v>
      </c>
      <c r="D731" s="5" t="n">
        <f aca="false">C731*LOG(C731)</f>
        <v>4.6829299169379</v>
      </c>
      <c r="E731" s="5"/>
      <c r="F731" s="5"/>
      <c r="G731" s="4" t="n">
        <v>730</v>
      </c>
      <c r="H731" s="6" t="n">
        <v>0.27</v>
      </c>
      <c r="J731" s="2" t="n">
        <f aca="false">B731/$B$1003</f>
        <v>0.000468793008396943</v>
      </c>
      <c r="K731" s="5" t="n">
        <f aca="false">J731*LOG(J731,2)</f>
        <v>-0.005184269991186</v>
      </c>
    </row>
    <row r="732" customFormat="false" ht="13" hidden="false" customHeight="false" outlineLevel="0" collapsed="false">
      <c r="A732" s="4" t="n">
        <v>270</v>
      </c>
      <c r="B732" s="5" t="n">
        <v>5.98803987758134</v>
      </c>
      <c r="C732" s="5" t="n">
        <f aca="false">B732</f>
        <v>5.98803987758134</v>
      </c>
      <c r="D732" s="5" t="n">
        <f aca="false">C732*LOG(C732)</f>
        <v>4.65441168331511</v>
      </c>
      <c r="E732" s="5"/>
      <c r="F732" s="5"/>
      <c r="G732" s="4" t="n">
        <v>731</v>
      </c>
      <c r="H732" s="6" t="n">
        <v>0.269</v>
      </c>
      <c r="J732" s="2" t="n">
        <f aca="false">B732/$B$1003</f>
        <v>0.000466958754628709</v>
      </c>
      <c r="K732" s="5" t="n">
        <f aca="false">J732*LOG(J732,2)</f>
        <v>-0.00516662650155271</v>
      </c>
    </row>
    <row r="733" customFormat="false" ht="13" hidden="false" customHeight="false" outlineLevel="0" collapsed="false">
      <c r="A733" s="4" t="n">
        <v>269</v>
      </c>
      <c r="B733" s="5" t="n">
        <v>5.97782939873832</v>
      </c>
      <c r="C733" s="5" t="n">
        <f aca="false">B733</f>
        <v>5.97782939873832</v>
      </c>
      <c r="D733" s="5" t="n">
        <f aca="false">C733*LOG(C733)</f>
        <v>4.64204466263664</v>
      </c>
      <c r="E733" s="5"/>
      <c r="F733" s="5"/>
      <c r="G733" s="4" t="n">
        <v>732</v>
      </c>
      <c r="H733" s="6" t="n">
        <v>0.268</v>
      </c>
      <c r="J733" s="2" t="n">
        <f aca="false">B733/$B$1003</f>
        <v>0.000466162522041389</v>
      </c>
      <c r="K733" s="5" t="n">
        <f aca="false">J733*LOG(J733,2)</f>
        <v>-0.00515896439285546</v>
      </c>
    </row>
    <row r="734" customFormat="false" ht="13" hidden="false" customHeight="false" outlineLevel="0" collapsed="false">
      <c r="A734" s="4" t="n">
        <v>268</v>
      </c>
      <c r="B734" s="5" t="n">
        <v>5.97637237109336</v>
      </c>
      <c r="C734" s="5" t="n">
        <f aca="false">B734</f>
        <v>5.97637237109336</v>
      </c>
      <c r="D734" s="5" t="n">
        <f aca="false">C734*LOG(C734)</f>
        <v>4.64028051532193</v>
      </c>
      <c r="E734" s="5"/>
      <c r="F734" s="5"/>
      <c r="G734" s="4" t="n">
        <v>733</v>
      </c>
      <c r="H734" s="6" t="n">
        <v>0.267</v>
      </c>
      <c r="J734" s="2" t="n">
        <f aca="false">B734/$B$1003</f>
        <v>0.000466048900250543</v>
      </c>
      <c r="K734" s="5" t="n">
        <f aca="false">J734*LOG(J734,2)</f>
        <v>-0.00515787085581924</v>
      </c>
    </row>
    <row r="735" customFormat="false" ht="13" hidden="false" customHeight="false" outlineLevel="0" collapsed="false">
      <c r="A735" s="4" t="n">
        <v>267</v>
      </c>
      <c r="B735" s="5" t="n">
        <v>5.96851624184592</v>
      </c>
      <c r="C735" s="5" t="n">
        <f aca="false">B735</f>
        <v>5.96851624184592</v>
      </c>
      <c r="D735" s="5" t="n">
        <f aca="false">C735*LOG(C735)</f>
        <v>4.63077109070571</v>
      </c>
      <c r="E735" s="5"/>
      <c r="F735" s="5"/>
      <c r="G735" s="4" t="n">
        <v>734</v>
      </c>
      <c r="H735" s="6" t="n">
        <v>0.266</v>
      </c>
      <c r="J735" s="2" t="n">
        <f aca="false">B735/$B$1003</f>
        <v>0.000465436264328841</v>
      </c>
      <c r="K735" s="5" t="n">
        <f aca="false">J735*LOG(J735,2)</f>
        <v>-0.00515197393815849</v>
      </c>
    </row>
    <row r="736" customFormat="false" ht="13" hidden="false" customHeight="false" outlineLevel="0" collapsed="false">
      <c r="A736" s="4" t="n">
        <v>266</v>
      </c>
      <c r="B736" s="5" t="n">
        <v>5.94214859708836</v>
      </c>
      <c r="C736" s="5" t="n">
        <f aca="false">B736</f>
        <v>5.94214859708836</v>
      </c>
      <c r="D736" s="5" t="n">
        <f aca="false">C736*LOG(C736)</f>
        <v>4.59888733109319</v>
      </c>
      <c r="E736" s="5"/>
      <c r="F736" s="5"/>
      <c r="G736" s="4" t="n">
        <v>735</v>
      </c>
      <c r="H736" s="6" t="n">
        <v>0.265</v>
      </c>
      <c r="J736" s="2" t="n">
        <f aca="false">B736/$B$1003</f>
        <v>0.000463380065170152</v>
      </c>
      <c r="K736" s="5" t="n">
        <f aca="false">J736*LOG(J736,2)</f>
        <v>-0.00513217351096355</v>
      </c>
    </row>
    <row r="737" customFormat="false" ht="13" hidden="false" customHeight="false" outlineLevel="0" collapsed="false">
      <c r="A737" s="4" t="n">
        <v>265</v>
      </c>
      <c r="B737" s="5" t="n">
        <v>5.92770443437007</v>
      </c>
      <c r="C737" s="5" t="n">
        <f aca="false">B737</f>
        <v>5.92770443437007</v>
      </c>
      <c r="D737" s="5" t="n">
        <f aca="false">C737*LOG(C737)</f>
        <v>4.58144297537014</v>
      </c>
      <c r="E737" s="5"/>
      <c r="F737" s="5"/>
      <c r="G737" s="4" t="n">
        <v>736</v>
      </c>
      <c r="H737" s="6" t="n">
        <v>0.264</v>
      </c>
      <c r="J737" s="2" t="n">
        <f aca="false">B737/$B$1003</f>
        <v>0.000462253681850655</v>
      </c>
      <c r="K737" s="5" t="n">
        <f aca="false">J737*LOG(J737,2)</f>
        <v>-0.0051213212850064</v>
      </c>
    </row>
    <row r="738" customFormat="false" ht="13" hidden="false" customHeight="false" outlineLevel="0" collapsed="false">
      <c r="A738" s="4" t="n">
        <v>264</v>
      </c>
      <c r="B738" s="5" t="n">
        <v>5.91062168644601</v>
      </c>
      <c r="C738" s="5" t="n">
        <f aca="false">B738</f>
        <v>5.91062168644601</v>
      </c>
      <c r="D738" s="5" t="n">
        <f aca="false">C738*LOG(C738)</f>
        <v>4.56083170668016</v>
      </c>
      <c r="E738" s="5"/>
      <c r="F738" s="5"/>
      <c r="G738" s="4" t="n">
        <v>737</v>
      </c>
      <c r="H738" s="6" t="n">
        <v>0.263</v>
      </c>
      <c r="J738" s="2" t="n">
        <f aca="false">B738/$B$1003</f>
        <v>0.000460921536631295</v>
      </c>
      <c r="K738" s="5" t="n">
        <f aca="false">J738*LOG(J738,2)</f>
        <v>-0.00510848151875033</v>
      </c>
    </row>
    <row r="739" customFormat="false" ht="13" hidden="false" customHeight="false" outlineLevel="0" collapsed="false">
      <c r="A739" s="4" t="n">
        <v>263</v>
      </c>
      <c r="B739" s="5" t="n">
        <v>5.89189569499422</v>
      </c>
      <c r="C739" s="5" t="n">
        <f aca="false">B739</f>
        <v>5.89189569499422</v>
      </c>
      <c r="D739" s="5" t="n">
        <f aca="false">C739*LOG(C739)</f>
        <v>4.53826241235429</v>
      </c>
      <c r="E739" s="5"/>
      <c r="F739" s="5"/>
      <c r="G739" s="4" t="n">
        <v>738</v>
      </c>
      <c r="H739" s="6" t="n">
        <v>0.262</v>
      </c>
      <c r="J739" s="2" t="n">
        <f aca="false">B739/$B$1003</f>
        <v>0.000459461248151879</v>
      </c>
      <c r="K739" s="5" t="n">
        <f aca="false">J739*LOG(J739,2)</f>
        <v>-0.0050944002724461</v>
      </c>
    </row>
    <row r="740" customFormat="false" ht="13" hidden="false" customHeight="false" outlineLevel="0" collapsed="false">
      <c r="A740" s="4" t="n">
        <v>262</v>
      </c>
      <c r="B740" s="5" t="n">
        <v>5.87535659986924</v>
      </c>
      <c r="C740" s="5" t="n">
        <f aca="false">B740</f>
        <v>5.87535659986924</v>
      </c>
      <c r="D740" s="5" t="n">
        <f aca="false">C740*LOG(C740)</f>
        <v>4.51835034395637</v>
      </c>
      <c r="E740" s="5"/>
      <c r="F740" s="5"/>
      <c r="G740" s="4" t="n">
        <v>739</v>
      </c>
      <c r="H740" s="6" t="n">
        <v>0.261</v>
      </c>
      <c r="J740" s="2" t="n">
        <f aca="false">B740/$B$1003</f>
        <v>0.000458171498013247</v>
      </c>
      <c r="K740" s="5" t="n">
        <f aca="false">J740*LOG(J740,2)</f>
        <v>-0.00508195792267374</v>
      </c>
    </row>
    <row r="741" customFormat="false" ht="13" hidden="false" customHeight="false" outlineLevel="0" collapsed="false">
      <c r="A741" s="4" t="n">
        <v>261</v>
      </c>
      <c r="B741" s="5" t="n">
        <v>5.85040580207703</v>
      </c>
      <c r="C741" s="5" t="n">
        <f aca="false">B741</f>
        <v>5.85040580207703</v>
      </c>
      <c r="D741" s="5" t="n">
        <f aca="false">C741*LOG(C741)</f>
        <v>4.48834937373989</v>
      </c>
      <c r="E741" s="5"/>
      <c r="F741" s="5"/>
      <c r="G741" s="4" t="n">
        <v>740</v>
      </c>
      <c r="H741" s="6" t="n">
        <v>0.26</v>
      </c>
      <c r="J741" s="2" t="n">
        <f aca="false">B741/$B$1003</f>
        <v>0.000456225787279479</v>
      </c>
      <c r="K741" s="5" t="n">
        <f aca="false">J741*LOG(J741,2)</f>
        <v>-0.00506317753876917</v>
      </c>
    </row>
    <row r="742" customFormat="false" ht="13" hidden="false" customHeight="false" outlineLevel="0" collapsed="false">
      <c r="A742" s="4" t="n">
        <v>260</v>
      </c>
      <c r="B742" s="5" t="n">
        <v>5.84983955364311</v>
      </c>
      <c r="C742" s="5" t="n">
        <f aca="false">B742</f>
        <v>5.84983955364311</v>
      </c>
      <c r="D742" s="5" t="n">
        <f aca="false">C742*LOG(C742)</f>
        <v>4.487669049205</v>
      </c>
      <c r="E742" s="5"/>
      <c r="F742" s="5"/>
      <c r="G742" s="4" t="n">
        <v>741</v>
      </c>
      <c r="H742" s="6" t="n">
        <v>0.259</v>
      </c>
      <c r="J742" s="2" t="n">
        <f aca="false">B742/$B$1003</f>
        <v>0.00045618163014811</v>
      </c>
      <c r="K742" s="5" t="n">
        <f aca="false">J742*LOG(J742,2)</f>
        <v>-0.00506275118668929</v>
      </c>
    </row>
    <row r="743" customFormat="false" ht="13" hidden="false" customHeight="false" outlineLevel="0" collapsed="false">
      <c r="A743" s="4" t="n">
        <v>259</v>
      </c>
      <c r="B743" s="5" t="n">
        <v>5.82438981197481</v>
      </c>
      <c r="C743" s="5" t="n">
        <f aca="false">B743</f>
        <v>5.82438981197481</v>
      </c>
      <c r="D743" s="5" t="n">
        <f aca="false">C743*LOG(C743)</f>
        <v>4.45711682866726</v>
      </c>
      <c r="E743" s="5"/>
      <c r="F743" s="5"/>
      <c r="G743" s="4" t="n">
        <v>742</v>
      </c>
      <c r="H743" s="6" t="n">
        <v>0.258</v>
      </c>
      <c r="J743" s="2" t="n">
        <f aca="false">B743/$B$1003</f>
        <v>0.000454197010820583</v>
      </c>
      <c r="K743" s="5" t="n">
        <f aca="false">J743*LOG(J743,2)</f>
        <v>-0.00504358263816784</v>
      </c>
    </row>
    <row r="744" customFormat="false" ht="13" hidden="false" customHeight="false" outlineLevel="0" collapsed="false">
      <c r="A744" s="4" t="n">
        <v>258</v>
      </c>
      <c r="B744" s="5" t="n">
        <v>5.80261354117386</v>
      </c>
      <c r="C744" s="5" t="n">
        <f aca="false">B744</f>
        <v>5.80261354117386</v>
      </c>
      <c r="D744" s="5" t="n">
        <f aca="false">C744*LOG(C744)</f>
        <v>4.43101291536308</v>
      </c>
      <c r="E744" s="5"/>
      <c r="F744" s="5"/>
      <c r="G744" s="4" t="n">
        <v>743</v>
      </c>
      <c r="H744" s="6" t="n">
        <v>0.257</v>
      </c>
      <c r="J744" s="2" t="n">
        <f aca="false">B744/$B$1003</f>
        <v>0.000452498855747878</v>
      </c>
      <c r="K744" s="5" t="n">
        <f aca="false">J744*LOG(J744,2)</f>
        <v>-0.00502717098917626</v>
      </c>
    </row>
    <row r="745" customFormat="false" ht="13" hidden="false" customHeight="false" outlineLevel="0" collapsed="false">
      <c r="A745" s="4" t="n">
        <v>257</v>
      </c>
      <c r="B745" s="5" t="n">
        <v>5.77642163998408</v>
      </c>
      <c r="C745" s="5" t="n">
        <f aca="false">B745</f>
        <v>5.77642163998408</v>
      </c>
      <c r="D745" s="5" t="n">
        <f aca="false">C745*LOG(C745)</f>
        <v>4.39966287310355</v>
      </c>
      <c r="E745" s="5"/>
      <c r="F745" s="5"/>
      <c r="G745" s="4" t="n">
        <v>744</v>
      </c>
      <c r="H745" s="6" t="n">
        <v>0.256</v>
      </c>
      <c r="J745" s="2" t="n">
        <f aca="false">B745/$B$1003</f>
        <v>0.00045045636140733</v>
      </c>
      <c r="K745" s="5" t="n">
        <f aca="false">J745*LOG(J745,2)</f>
        <v>-0.00500741932516725</v>
      </c>
    </row>
    <row r="746" customFormat="false" ht="13" hidden="false" customHeight="false" outlineLevel="0" collapsed="false">
      <c r="A746" s="4" t="n">
        <v>256</v>
      </c>
      <c r="B746" s="5" t="n">
        <v>5.76662790059834</v>
      </c>
      <c r="C746" s="5" t="n">
        <f aca="false">B746</f>
        <v>5.76662790059834</v>
      </c>
      <c r="D746" s="5" t="n">
        <f aca="false">C746*LOG(C746)</f>
        <v>4.38795362526169</v>
      </c>
      <c r="E746" s="5"/>
      <c r="F746" s="5"/>
      <c r="G746" s="4" t="n">
        <v>745</v>
      </c>
      <c r="H746" s="6" t="n">
        <v>0.255</v>
      </c>
      <c r="J746" s="2" t="n">
        <f aca="false">B746/$B$1003</f>
        <v>0.000449692626956622</v>
      </c>
      <c r="K746" s="5" t="n">
        <f aca="false">J746*LOG(J746,2)</f>
        <v>-0.00500003030608905</v>
      </c>
    </row>
    <row r="747" customFormat="false" ht="13" hidden="false" customHeight="false" outlineLevel="0" collapsed="false">
      <c r="A747" s="4" t="n">
        <v>255</v>
      </c>
      <c r="B747" s="5" t="n">
        <v>5.74492750356831</v>
      </c>
      <c r="C747" s="5" t="n">
        <f aca="false">B747</f>
        <v>5.74492750356831</v>
      </c>
      <c r="D747" s="5" t="n">
        <f aca="false">C747*LOG(C747)</f>
        <v>4.36203470930502</v>
      </c>
      <c r="E747" s="5"/>
      <c r="F747" s="5"/>
      <c r="G747" s="4" t="n">
        <v>746</v>
      </c>
      <c r="H747" s="6" t="n">
        <v>0.254</v>
      </c>
      <c r="J747" s="2" t="n">
        <f aca="false">B747/$B$1003</f>
        <v>0.000448000388665085</v>
      </c>
      <c r="K747" s="5" t="n">
        <f aca="false">J747*LOG(J747,2)</f>
        <v>-0.00498365147684344</v>
      </c>
    </row>
    <row r="748" customFormat="false" ht="13" hidden="false" customHeight="false" outlineLevel="0" collapsed="false">
      <c r="A748" s="4" t="n">
        <v>254</v>
      </c>
      <c r="B748" s="5" t="n">
        <v>5.73508898243696</v>
      </c>
      <c r="C748" s="5" t="n">
        <f aca="false">B748</f>
        <v>5.73508898243696</v>
      </c>
      <c r="D748" s="5" t="n">
        <f aca="false">C748*LOG(C748)</f>
        <v>4.35029531756442</v>
      </c>
      <c r="E748" s="5"/>
      <c r="F748" s="5"/>
      <c r="G748" s="4" t="n">
        <v>747</v>
      </c>
      <c r="H748" s="6" t="n">
        <v>0.253</v>
      </c>
      <c r="J748" s="2" t="n">
        <f aca="false">B748/$B$1003</f>
        <v>0.000447233162048563</v>
      </c>
      <c r="K748" s="5" t="n">
        <f aca="false">J748*LOG(J748,2)</f>
        <v>-0.00497622261070607</v>
      </c>
    </row>
    <row r="749" customFormat="false" ht="13" hidden="false" customHeight="false" outlineLevel="0" collapsed="false">
      <c r="A749" s="4" t="n">
        <v>253</v>
      </c>
      <c r="B749" s="5" t="n">
        <v>5.73152160919142</v>
      </c>
      <c r="C749" s="5" t="n">
        <f aca="false">B749</f>
        <v>5.73152160919142</v>
      </c>
      <c r="D749" s="5" t="n">
        <f aca="false">C749*LOG(C749)</f>
        <v>4.34604051312381</v>
      </c>
      <c r="E749" s="5"/>
      <c r="F749" s="5"/>
      <c r="G749" s="4" t="n">
        <v>748</v>
      </c>
      <c r="H749" s="6" t="n">
        <v>0.252</v>
      </c>
      <c r="J749" s="2" t="n">
        <f aca="false">B749/$B$1003</f>
        <v>0.000446954971488364</v>
      </c>
      <c r="K749" s="5" t="n">
        <f aca="false">J749*LOG(J749,2)</f>
        <v>-0.00497352849120618</v>
      </c>
    </row>
    <row r="750" customFormat="false" ht="13" hidden="false" customHeight="false" outlineLevel="0" collapsed="false">
      <c r="A750" s="4" t="n">
        <v>252</v>
      </c>
      <c r="B750" s="5" t="n">
        <v>5.71110242250592</v>
      </c>
      <c r="C750" s="5" t="n">
        <f aca="false">B750</f>
        <v>5.71110242250592</v>
      </c>
      <c r="D750" s="5" t="n">
        <f aca="false">C750*LOG(C750)</f>
        <v>4.32170513298472</v>
      </c>
      <c r="E750" s="5"/>
      <c r="F750" s="5"/>
      <c r="G750" s="4" t="n">
        <v>749</v>
      </c>
      <c r="H750" s="6" t="n">
        <v>0.251</v>
      </c>
      <c r="J750" s="2" t="n">
        <f aca="false">B750/$B$1003</f>
        <v>0.00044536264441972</v>
      </c>
      <c r="K750" s="5" t="n">
        <f aca="false">J750*LOG(J750,2)</f>
        <v>-0.00495810288517524</v>
      </c>
    </row>
    <row r="751" customFormat="false" ht="13" hidden="false" customHeight="false" outlineLevel="0" collapsed="false">
      <c r="A751" s="4" t="n">
        <v>251</v>
      </c>
      <c r="B751" s="5" t="n">
        <v>5.70849702219698</v>
      </c>
      <c r="C751" s="5" t="n">
        <f aca="false">B751</f>
        <v>5.70849702219698</v>
      </c>
      <c r="D751" s="5" t="n">
        <f aca="false">C751*LOG(C751)</f>
        <v>4.31860232175537</v>
      </c>
      <c r="E751" s="5"/>
      <c r="F751" s="5"/>
      <c r="G751" s="4" t="n">
        <v>750</v>
      </c>
      <c r="H751" s="6" t="n">
        <v>0.25</v>
      </c>
      <c r="J751" s="2" t="n">
        <f aca="false">B751/$B$1003</f>
        <v>0.000445159470341317</v>
      </c>
      <c r="K751" s="5" t="n">
        <f aca="false">J751*LOG(J751,2)</f>
        <v>-0.00495613405401163</v>
      </c>
      <c r="L751" s="2" t="n">
        <f aca="false">SUM(J702:J751)</f>
        <v>0.0239341398957463</v>
      </c>
    </row>
    <row r="752" customFormat="false" ht="13" hidden="false" customHeight="false" outlineLevel="0" collapsed="false">
      <c r="A752" s="4" t="n">
        <v>250</v>
      </c>
      <c r="B752" s="5" t="n">
        <v>5.70125028690813</v>
      </c>
      <c r="C752" s="5" t="n">
        <f aca="false">B752</f>
        <v>5.70125028690813</v>
      </c>
      <c r="D752" s="5" t="n">
        <f aca="false">C752*LOG(C752)</f>
        <v>4.30997479002242</v>
      </c>
      <c r="E752" s="5"/>
      <c r="F752" s="5"/>
      <c r="G752" s="4" t="n">
        <v>751</v>
      </c>
      <c r="H752" s="6" t="n">
        <v>0.249</v>
      </c>
      <c r="J752" s="2" t="n">
        <f aca="false">B752/$B$1003</f>
        <v>0.000444594356121174</v>
      </c>
      <c r="K752" s="5" t="n">
        <f aca="false">J752*LOG(J752,2)</f>
        <v>-0.00495065718670445</v>
      </c>
    </row>
    <row r="753" customFormat="false" ht="13" hidden="false" customHeight="false" outlineLevel="0" collapsed="false">
      <c r="A753" s="4" t="n">
        <v>249</v>
      </c>
      <c r="B753" s="5" t="n">
        <v>5.63755264100706</v>
      </c>
      <c r="C753" s="5" t="n">
        <f aca="false">B753</f>
        <v>5.63755264100706</v>
      </c>
      <c r="D753" s="5" t="n">
        <f aca="false">C753*LOG(C753)</f>
        <v>4.23431285292819</v>
      </c>
      <c r="E753" s="5"/>
      <c r="F753" s="5"/>
      <c r="G753" s="4" t="n">
        <v>752</v>
      </c>
      <c r="H753" s="6" t="n">
        <v>0.248</v>
      </c>
      <c r="J753" s="2" t="n">
        <f aca="false">B753/$B$1003</f>
        <v>0.000439627092373632</v>
      </c>
      <c r="K753" s="5" t="n">
        <f aca="false">J753*LOG(J753,2)</f>
        <v>-0.00490247166257393</v>
      </c>
    </row>
    <row r="754" customFormat="false" ht="13" hidden="false" customHeight="false" outlineLevel="0" collapsed="false">
      <c r="A754" s="4" t="n">
        <v>248</v>
      </c>
      <c r="B754" s="5" t="n">
        <v>5.62651104812915</v>
      </c>
      <c r="C754" s="5" t="n">
        <f aca="false">B754</f>
        <v>5.62651104812915</v>
      </c>
      <c r="D754" s="5" t="n">
        <f aca="false">C754*LOG(C754)</f>
        <v>4.22122901239695</v>
      </c>
      <c r="E754" s="5"/>
      <c r="F754" s="5"/>
      <c r="G754" s="4" t="n">
        <v>753</v>
      </c>
      <c r="H754" s="6" t="n">
        <v>0.247</v>
      </c>
      <c r="J754" s="2" t="n">
        <f aca="false">B754/$B$1003</f>
        <v>0.00043876604793091</v>
      </c>
      <c r="K754" s="5" t="n">
        <f aca="false">J754*LOG(J754,2)</f>
        <v>-0.00489411079120523</v>
      </c>
    </row>
    <row r="755" customFormat="false" ht="13" hidden="false" customHeight="false" outlineLevel="0" collapsed="false">
      <c r="A755" s="4" t="n">
        <v>247</v>
      </c>
      <c r="B755" s="5" t="n">
        <v>5.59929514076683</v>
      </c>
      <c r="C755" s="5" t="n">
        <f aca="false">B755</f>
        <v>5.59929514076683</v>
      </c>
      <c r="D755" s="5" t="n">
        <f aca="false">C755*LOG(C755)</f>
        <v>4.18901948678615</v>
      </c>
      <c r="E755" s="5"/>
      <c r="F755" s="5"/>
      <c r="G755" s="4" t="n">
        <v>754</v>
      </c>
      <c r="H755" s="6" t="n">
        <v>0.246</v>
      </c>
      <c r="J755" s="2" t="n">
        <f aca="false">B755/$B$1003</f>
        <v>0.000436643699638679</v>
      </c>
      <c r="K755" s="5" t="n">
        <f aca="false">J755*LOG(J755,2)</f>
        <v>-0.00487349204956079</v>
      </c>
    </row>
    <row r="756" customFormat="false" ht="13" hidden="false" customHeight="false" outlineLevel="0" collapsed="false">
      <c r="A756" s="4" t="n">
        <v>246</v>
      </c>
      <c r="B756" s="5" t="n">
        <v>5.57957517585777</v>
      </c>
      <c r="C756" s="5" t="n">
        <f aca="false">B756</f>
        <v>5.57957517585777</v>
      </c>
      <c r="D756" s="5" t="n">
        <f aca="false">C756*LOG(C756)</f>
        <v>4.16571715008125</v>
      </c>
      <c r="E756" s="5"/>
      <c r="F756" s="5"/>
      <c r="G756" s="4" t="n">
        <v>755</v>
      </c>
      <c r="H756" s="6" t="n">
        <v>0.245</v>
      </c>
      <c r="J756" s="2" t="n">
        <f aca="false">B756/$B$1003</f>
        <v>0.000435105899215917</v>
      </c>
      <c r="K756" s="5" t="n">
        <f aca="false">J756*LOG(J756,2)</f>
        <v>-0.0048585429312712</v>
      </c>
    </row>
    <row r="757" customFormat="false" ht="13" hidden="false" customHeight="false" outlineLevel="0" collapsed="false">
      <c r="A757" s="4" t="n">
        <v>245</v>
      </c>
      <c r="B757" s="5" t="n">
        <v>5.5782189857448</v>
      </c>
      <c r="C757" s="5" t="n">
        <f aca="false">B757</f>
        <v>5.5782189857448</v>
      </c>
      <c r="D757" s="5" t="n">
        <f aca="false">C757*LOG(C757)</f>
        <v>4.16411570270958</v>
      </c>
      <c r="E757" s="5"/>
      <c r="F757" s="5"/>
      <c r="G757" s="4" t="n">
        <v>756</v>
      </c>
      <c r="H757" s="6" t="n">
        <v>0.244</v>
      </c>
      <c r="J757" s="2" t="n">
        <f aca="false">B757/$B$1003</f>
        <v>0.000435000140927873</v>
      </c>
      <c r="K757" s="5" t="n">
        <f aca="false">J757*LOG(J757,2)</f>
        <v>-0.0048575145560687</v>
      </c>
    </row>
    <row r="758" customFormat="false" ht="13" hidden="false" customHeight="false" outlineLevel="0" collapsed="false">
      <c r="A758" s="4" t="n">
        <v>244</v>
      </c>
      <c r="B758" s="5" t="n">
        <v>5.53166311635951</v>
      </c>
      <c r="C758" s="5" t="n">
        <f aca="false">B758</f>
        <v>5.53166311635951</v>
      </c>
      <c r="D758" s="5" t="n">
        <f aca="false">C758*LOG(C758)</f>
        <v>4.10922760528945</v>
      </c>
      <c r="E758" s="5"/>
      <c r="F758" s="5"/>
      <c r="G758" s="4" t="n">
        <v>757</v>
      </c>
      <c r="H758" s="6" t="n">
        <v>0.243</v>
      </c>
      <c r="J758" s="2" t="n">
        <f aca="false">B758/$B$1003</f>
        <v>0.000431369625561701</v>
      </c>
      <c r="K758" s="5" t="n">
        <f aca="false">J758*LOG(J758,2)</f>
        <v>-0.00482218950119067</v>
      </c>
    </row>
    <row r="759" customFormat="false" ht="13" hidden="false" customHeight="false" outlineLevel="0" collapsed="false">
      <c r="A759" s="4" t="n">
        <v>243</v>
      </c>
      <c r="B759" s="5" t="n">
        <v>5.47207461642063</v>
      </c>
      <c r="C759" s="5" t="n">
        <f aca="false">B759</f>
        <v>5.47207461642063</v>
      </c>
      <c r="D759" s="5" t="n">
        <f aca="false">C759*LOG(C759)</f>
        <v>4.03922288097211</v>
      </c>
      <c r="E759" s="5"/>
      <c r="F759" s="5"/>
      <c r="G759" s="4" t="n">
        <v>758</v>
      </c>
      <c r="H759" s="6" t="n">
        <v>0.242</v>
      </c>
      <c r="J759" s="2" t="n">
        <f aca="false">B759/$B$1003</f>
        <v>0.000426722800842676</v>
      </c>
      <c r="K759" s="5" t="n">
        <f aca="false">J759*LOG(J759,2)</f>
        <v>-0.0047769113460567</v>
      </c>
    </row>
    <row r="760" customFormat="false" ht="13" hidden="false" customHeight="false" outlineLevel="0" collapsed="false">
      <c r="A760" s="4" t="n">
        <v>242</v>
      </c>
      <c r="B760" s="5" t="n">
        <v>5.45741552973385</v>
      </c>
      <c r="C760" s="5" t="n">
        <f aca="false">B760</f>
        <v>5.45741552973385</v>
      </c>
      <c r="D760" s="5" t="n">
        <f aca="false">C760*LOG(C760)</f>
        <v>4.02204442121596</v>
      </c>
      <c r="E760" s="5"/>
      <c r="F760" s="5"/>
      <c r="G760" s="4" t="n">
        <v>759</v>
      </c>
      <c r="H760" s="6" t="n">
        <v>0.241</v>
      </c>
      <c r="J760" s="2" t="n">
        <f aca="false">B760/$B$1003</f>
        <v>0.000425579657342767</v>
      </c>
      <c r="K760" s="5" t="n">
        <f aca="false">J760*LOG(J760,2)</f>
        <v>-0.00476576152185476</v>
      </c>
    </row>
    <row r="761" customFormat="false" ht="13" hidden="false" customHeight="false" outlineLevel="0" collapsed="false">
      <c r="A761" s="4" t="n">
        <v>241</v>
      </c>
      <c r="B761" s="5" t="n">
        <v>5.42140599896015</v>
      </c>
      <c r="C761" s="5" t="n">
        <f aca="false">B761</f>
        <v>5.42140599896015</v>
      </c>
      <c r="D761" s="5" t="n">
        <f aca="false">C761*LOG(C761)</f>
        <v>3.97991883205476</v>
      </c>
      <c r="E761" s="5"/>
      <c r="F761" s="5"/>
      <c r="G761" s="4" t="n">
        <v>760</v>
      </c>
      <c r="H761" s="6" t="n">
        <v>0.24</v>
      </c>
      <c r="J761" s="2" t="n">
        <f aca="false">B761/$B$1003</f>
        <v>0.000422771565548355</v>
      </c>
      <c r="K761" s="5" t="n">
        <f aca="false">J761*LOG(J761,2)</f>
        <v>-0.0047383535398031</v>
      </c>
    </row>
    <row r="762" customFormat="false" ht="13" hidden="false" customHeight="false" outlineLevel="0" collapsed="false">
      <c r="A762" s="4" t="n">
        <v>240</v>
      </c>
      <c r="B762" s="5" t="n">
        <v>5.40087553109842</v>
      </c>
      <c r="C762" s="5" t="n">
        <f aca="false">B762</f>
        <v>5.40087553109842</v>
      </c>
      <c r="D762" s="5" t="n">
        <f aca="false">C762*LOG(C762)</f>
        <v>3.9559478057052</v>
      </c>
      <c r="E762" s="5"/>
      <c r="F762" s="5"/>
      <c r="G762" s="4" t="n">
        <v>761</v>
      </c>
      <c r="H762" s="6" t="n">
        <v>0.239</v>
      </c>
      <c r="J762" s="2" t="n">
        <f aca="false">B762/$B$1003</f>
        <v>0.000421170560561639</v>
      </c>
      <c r="K762" s="5" t="n">
        <f aca="false">J762*LOG(J762,2)</f>
        <v>-0.00472271512460265</v>
      </c>
    </row>
    <row r="763" customFormat="false" ht="13" hidden="false" customHeight="false" outlineLevel="0" collapsed="false">
      <c r="A763" s="4" t="n">
        <v>239</v>
      </c>
      <c r="B763" s="5" t="n">
        <v>5.3487586118905</v>
      </c>
      <c r="C763" s="5" t="n">
        <f aca="false">B763</f>
        <v>5.3487586118905</v>
      </c>
      <c r="D763" s="5" t="n">
        <f aca="false">C763*LOG(C763)</f>
        <v>3.89524949863637</v>
      </c>
      <c r="E763" s="5"/>
      <c r="F763" s="5"/>
      <c r="G763" s="4" t="n">
        <v>762</v>
      </c>
      <c r="H763" s="6" t="n">
        <v>0.238</v>
      </c>
      <c r="J763" s="2" t="n">
        <f aca="false">B763/$B$1003</f>
        <v>0.00041710638393858</v>
      </c>
      <c r="K763" s="5" t="n">
        <f aca="false">J763*LOG(J763,2)</f>
        <v>-0.00468297724734846</v>
      </c>
    </row>
    <row r="764" customFormat="false" ht="13" hidden="false" customHeight="false" outlineLevel="0" collapsed="false">
      <c r="A764" s="4" t="n">
        <v>238</v>
      </c>
      <c r="B764" s="5" t="n">
        <v>5.33011527591839</v>
      </c>
      <c r="C764" s="5" t="n">
        <f aca="false">B764</f>
        <v>5.33011527591839</v>
      </c>
      <c r="D764" s="5" t="n">
        <f aca="false">C764*LOG(C764)</f>
        <v>3.8735898624947</v>
      </c>
      <c r="E764" s="5"/>
      <c r="F764" s="5"/>
      <c r="G764" s="4" t="n">
        <v>763</v>
      </c>
      <c r="H764" s="6" t="n">
        <v>0.237</v>
      </c>
      <c r="J764" s="2" t="n">
        <f aca="false">B764/$B$1003</f>
        <v>0.000415652541090896</v>
      </c>
      <c r="K764" s="5" t="n">
        <f aca="false">J764*LOG(J764,2)</f>
        <v>-0.00466874831415746</v>
      </c>
    </row>
    <row r="765" customFormat="false" ht="13" hidden="false" customHeight="false" outlineLevel="0" collapsed="false">
      <c r="A765" s="4" t="n">
        <v>237</v>
      </c>
      <c r="B765" s="5" t="n">
        <v>5.29464403446332</v>
      </c>
      <c r="C765" s="5" t="n">
        <f aca="false">B765</f>
        <v>5.29464403446332</v>
      </c>
      <c r="D765" s="5" t="n">
        <f aca="false">C765*LOG(C765)</f>
        <v>3.83245802172004</v>
      </c>
      <c r="E765" s="5"/>
      <c r="F765" s="5"/>
      <c r="G765" s="4" t="n">
        <v>764</v>
      </c>
      <c r="H765" s="6" t="n">
        <v>0.236</v>
      </c>
      <c r="J765" s="2" t="n">
        <f aca="false">B765/$B$1003</f>
        <v>0.00041288642612279</v>
      </c>
      <c r="K765" s="5" t="n">
        <f aca="false">J765*LOG(J765,2)</f>
        <v>-0.00464165573811379</v>
      </c>
    </row>
    <row r="766" customFormat="false" ht="13" hidden="false" customHeight="false" outlineLevel="0" collapsed="false">
      <c r="A766" s="4" t="n">
        <v>236</v>
      </c>
      <c r="B766" s="5" t="n">
        <v>5.28557902121409</v>
      </c>
      <c r="C766" s="5" t="n">
        <f aca="false">B766</f>
        <v>5.28557902121409</v>
      </c>
      <c r="D766" s="5" t="n">
        <f aca="false">C766*LOG(C766)</f>
        <v>3.8219629187174</v>
      </c>
      <c r="E766" s="5"/>
      <c r="F766" s="5"/>
      <c r="G766" s="4" t="n">
        <v>765</v>
      </c>
      <c r="H766" s="6" t="n">
        <v>0.235</v>
      </c>
      <c r="J766" s="2" t="n">
        <f aca="false">B766/$B$1003</f>
        <v>0.000412179519124158</v>
      </c>
      <c r="K766" s="5" t="n">
        <f aca="false">J766*LOG(J766,2)</f>
        <v>-0.00463472769036149</v>
      </c>
    </row>
    <row r="767" customFormat="false" ht="13" hidden="false" customHeight="false" outlineLevel="0" collapsed="false">
      <c r="A767" s="4" t="n">
        <v>235</v>
      </c>
      <c r="B767" s="5" t="n">
        <v>5.27429206501506</v>
      </c>
      <c r="C767" s="5" t="n">
        <f aca="false">B767</f>
        <v>5.27429206501506</v>
      </c>
      <c r="D767" s="5" t="n">
        <f aca="false">C767*LOG(C767)</f>
        <v>3.80890477926551</v>
      </c>
      <c r="E767" s="5"/>
      <c r="F767" s="5"/>
      <c r="G767" s="4" t="n">
        <v>766</v>
      </c>
      <c r="H767" s="6" t="n">
        <v>0.234</v>
      </c>
      <c r="J767" s="2" t="n">
        <f aca="false">B767/$B$1003</f>
        <v>0.00041129934078233</v>
      </c>
      <c r="K767" s="5" t="n">
        <f aca="false">J767*LOG(J767,2)</f>
        <v>-0.00462609905034611</v>
      </c>
    </row>
    <row r="768" customFormat="false" ht="13" hidden="false" customHeight="false" outlineLevel="0" collapsed="false">
      <c r="A768" s="4" t="n">
        <v>234</v>
      </c>
      <c r="B768" s="5" t="n">
        <v>5.26642668072923</v>
      </c>
      <c r="C768" s="5" t="n">
        <f aca="false">B768</f>
        <v>5.26642668072923</v>
      </c>
      <c r="D768" s="5" t="n">
        <f aca="false">C768*LOG(C768)</f>
        <v>3.79981133578958</v>
      </c>
      <c r="E768" s="5"/>
      <c r="F768" s="5"/>
      <c r="G768" s="4" t="n">
        <v>767</v>
      </c>
      <c r="H768" s="6" t="n">
        <v>0.233</v>
      </c>
      <c r="J768" s="2" t="n">
        <f aca="false">B768/$B$1003</f>
        <v>0.000410685983135108</v>
      </c>
      <c r="K768" s="5" t="n">
        <f aca="false">J768*LOG(J768,2)</f>
        <v>-0.00462008452362646</v>
      </c>
    </row>
    <row r="769" customFormat="false" ht="13" hidden="false" customHeight="false" outlineLevel="0" collapsed="false">
      <c r="A769" s="4" t="n">
        <v>233</v>
      </c>
      <c r="B769" s="5" t="n">
        <v>5.24831746910655</v>
      </c>
      <c r="C769" s="5" t="n">
        <f aca="false">B769</f>
        <v>5.24831746910655</v>
      </c>
      <c r="D769" s="5" t="n">
        <f aca="false">C769*LOG(C769)</f>
        <v>3.7788940558253</v>
      </c>
      <c r="E769" s="5"/>
      <c r="F769" s="5"/>
      <c r="G769" s="4" t="n">
        <v>768</v>
      </c>
      <c r="H769" s="6" t="n">
        <v>0.232</v>
      </c>
      <c r="J769" s="2" t="n">
        <f aca="false">B769/$B$1003</f>
        <v>0.000409273792321501</v>
      </c>
      <c r="K769" s="5" t="n">
        <f aca="false">J769*LOG(J769,2)</f>
        <v>-0.00460623168738806</v>
      </c>
    </row>
    <row r="770" customFormat="false" ht="13" hidden="false" customHeight="false" outlineLevel="0" collapsed="false">
      <c r="A770" s="4" t="n">
        <v>232</v>
      </c>
      <c r="B770" s="5" t="n">
        <v>5.21485665062761</v>
      </c>
      <c r="C770" s="5" t="n">
        <f aca="false">B770</f>
        <v>5.21485665062761</v>
      </c>
      <c r="D770" s="5" t="n">
        <f aca="false">C770*LOG(C770)</f>
        <v>3.74031616811535</v>
      </c>
      <c r="E770" s="5"/>
      <c r="F770" s="5"/>
      <c r="G770" s="4" t="n">
        <v>769</v>
      </c>
      <c r="H770" s="6" t="n">
        <v>0.231</v>
      </c>
      <c r="J770" s="2" t="n">
        <f aca="false">B770/$B$1003</f>
        <v>0.000406664453966176</v>
      </c>
      <c r="K770" s="5" t="n">
        <f aca="false">J770*LOG(J770,2)</f>
        <v>-0.00458061696130432</v>
      </c>
    </row>
    <row r="771" customFormat="false" ht="13" hidden="false" customHeight="false" outlineLevel="0" collapsed="false">
      <c r="A771" s="4" t="n">
        <v>231</v>
      </c>
      <c r="B771" s="5" t="n">
        <v>5.20576095412048</v>
      </c>
      <c r="C771" s="5" t="n">
        <f aca="false">B771</f>
        <v>5.20576095412048</v>
      </c>
      <c r="D771" s="5" t="n">
        <f aca="false">C771*LOG(C771)</f>
        <v>3.72984558531248</v>
      </c>
      <c r="E771" s="5"/>
      <c r="F771" s="5"/>
      <c r="G771" s="4" t="n">
        <v>770</v>
      </c>
      <c r="H771" s="6" t="n">
        <v>0.23</v>
      </c>
      <c r="J771" s="2" t="n">
        <f aca="false">B771/$B$1003</f>
        <v>0.000405955154228653</v>
      </c>
      <c r="K771" s="5" t="n">
        <f aca="false">J771*LOG(J771,2)</f>
        <v>-0.00457364990907353</v>
      </c>
    </row>
    <row r="772" customFormat="false" ht="13" hidden="false" customHeight="false" outlineLevel="0" collapsed="false">
      <c r="A772" s="4" t="n">
        <v>230</v>
      </c>
      <c r="B772" s="5" t="n">
        <v>5.19428780710837</v>
      </c>
      <c r="C772" s="5" t="n">
        <f aca="false">B772</f>
        <v>5.19428780710837</v>
      </c>
      <c r="D772" s="5" t="n">
        <f aca="false">C772*LOG(C772)</f>
        <v>3.7166480269012</v>
      </c>
      <c r="E772" s="5"/>
      <c r="F772" s="5"/>
      <c r="G772" s="4" t="n">
        <v>771</v>
      </c>
      <c r="H772" s="6" t="n">
        <v>0.229</v>
      </c>
      <c r="J772" s="2" t="n">
        <f aca="false">B772/$B$1003</f>
        <v>0.000405060456372597</v>
      </c>
      <c r="K772" s="5" t="n">
        <f aca="false">J772*LOG(J772,2)</f>
        <v>-0.00456485924501197</v>
      </c>
    </row>
    <row r="773" customFormat="false" ht="13" hidden="false" customHeight="false" outlineLevel="0" collapsed="false">
      <c r="A773" s="4" t="n">
        <v>229</v>
      </c>
      <c r="B773" s="5" t="n">
        <v>5.17056807865646</v>
      </c>
      <c r="C773" s="5" t="n">
        <f aca="false">B773</f>
        <v>5.17056807865646</v>
      </c>
      <c r="D773" s="5" t="n">
        <f aca="false">C773*LOG(C773)</f>
        <v>3.6893981535245</v>
      </c>
      <c r="E773" s="5"/>
      <c r="F773" s="5"/>
      <c r="G773" s="4" t="n">
        <v>772</v>
      </c>
      <c r="H773" s="6" t="n">
        <v>0.228</v>
      </c>
      <c r="J773" s="2" t="n">
        <f aca="false">B773/$B$1003</f>
        <v>0.000403210746770712</v>
      </c>
      <c r="K773" s="5" t="n">
        <f aca="false">J773*LOG(J773,2)</f>
        <v>-0.0045466762682513</v>
      </c>
    </row>
    <row r="774" customFormat="false" ht="13" hidden="false" customHeight="false" outlineLevel="0" collapsed="false">
      <c r="A774" s="4" t="n">
        <v>228</v>
      </c>
      <c r="B774" s="5" t="n">
        <v>5.14238414177187</v>
      </c>
      <c r="C774" s="5" t="n">
        <f aca="false">B774</f>
        <v>5.14238414177187</v>
      </c>
      <c r="D774" s="5" t="n">
        <f aca="false">C774*LOG(C774)</f>
        <v>3.65708112821939</v>
      </c>
      <c r="E774" s="5"/>
      <c r="F774" s="5"/>
      <c r="G774" s="4" t="n">
        <v>773</v>
      </c>
      <c r="H774" s="6" t="n">
        <v>0.227</v>
      </c>
      <c r="J774" s="2" t="n">
        <f aca="false">B774/$B$1003</f>
        <v>0.0004010129096926</v>
      </c>
      <c r="K774" s="5" t="n">
        <f aca="false">J774*LOG(J774,2)</f>
        <v>-0.00452505521663449</v>
      </c>
    </row>
    <row r="775" customFormat="false" ht="13" hidden="false" customHeight="false" outlineLevel="0" collapsed="false">
      <c r="A775" s="4" t="n">
        <v>227</v>
      </c>
      <c r="B775" s="5" t="n">
        <v>5.12205068366143</v>
      </c>
      <c r="C775" s="5" t="n">
        <f aca="false">B775</f>
        <v>5.12205068366143</v>
      </c>
      <c r="D775" s="5" t="n">
        <f aca="false">C775*LOG(C775)</f>
        <v>3.63380746744477</v>
      </c>
      <c r="E775" s="5"/>
      <c r="F775" s="5"/>
      <c r="G775" s="4" t="n">
        <v>774</v>
      </c>
      <c r="H775" s="6" t="n">
        <v>0.226</v>
      </c>
      <c r="J775" s="2" t="n">
        <f aca="false">B775/$B$1003</f>
        <v>0.00039942726790152</v>
      </c>
      <c r="K775" s="5" t="n">
        <f aca="false">J775*LOG(J775,2)</f>
        <v>-0.00450944580255256</v>
      </c>
    </row>
    <row r="776" customFormat="false" ht="13" hidden="false" customHeight="false" outlineLevel="0" collapsed="false">
      <c r="A776" s="4" t="n">
        <v>226</v>
      </c>
      <c r="B776" s="5" t="n">
        <v>5.11946284029318</v>
      </c>
      <c r="C776" s="5" t="n">
        <f aca="false">B776</f>
        <v>5.11946284029318</v>
      </c>
      <c r="D776" s="5" t="n">
        <f aca="false">C776*LOG(C776)</f>
        <v>3.63084793569327</v>
      </c>
      <c r="E776" s="5"/>
      <c r="F776" s="5"/>
      <c r="G776" s="4" t="n">
        <v>775</v>
      </c>
      <c r="H776" s="6" t="n">
        <v>0.225</v>
      </c>
      <c r="J776" s="2" t="n">
        <f aca="false">B776/$B$1003</f>
        <v>0.000399225462946791</v>
      </c>
      <c r="K776" s="5" t="n">
        <f aca="false">J776*LOG(J776,2)</f>
        <v>-0.00450745853854781</v>
      </c>
    </row>
    <row r="777" customFormat="false" ht="13" hidden="false" customHeight="false" outlineLevel="0" collapsed="false">
      <c r="A777" s="4" t="n">
        <v>225</v>
      </c>
      <c r="B777" s="5" t="n">
        <v>5.11609343319134</v>
      </c>
      <c r="C777" s="5" t="n">
        <f aca="false">B777</f>
        <v>5.11609343319134</v>
      </c>
      <c r="D777" s="5" t="n">
        <f aca="false">C777*LOG(C777)</f>
        <v>3.626995436719</v>
      </c>
      <c r="E777" s="5"/>
      <c r="F777" s="5"/>
      <c r="G777" s="4" t="n">
        <v>776</v>
      </c>
      <c r="H777" s="6" t="n">
        <v>0.224</v>
      </c>
      <c r="J777" s="2" t="n">
        <f aca="false">B777/$B$1003</f>
        <v>0.000398962710163529</v>
      </c>
      <c r="K777" s="5" t="n">
        <f aca="false">J777*LOG(J777,2)</f>
        <v>-0.00450487087334396</v>
      </c>
    </row>
    <row r="778" customFormat="false" ht="13" hidden="false" customHeight="false" outlineLevel="0" collapsed="false">
      <c r="A778" s="4" t="n">
        <v>224</v>
      </c>
      <c r="B778" s="5" t="n">
        <v>5.09440810437195</v>
      </c>
      <c r="C778" s="5" t="n">
        <f aca="false">B778</f>
        <v>5.09440810437195</v>
      </c>
      <c r="D778" s="5" t="n">
        <f aca="false">C778*LOG(C778)</f>
        <v>3.60222404197813</v>
      </c>
      <c r="E778" s="5"/>
      <c r="F778" s="5"/>
      <c r="G778" s="4" t="n">
        <v>777</v>
      </c>
      <c r="H778" s="6" t="n">
        <v>0.223</v>
      </c>
      <c r="J778" s="2" t="n">
        <f aca="false">B778/$B$1003</f>
        <v>0.000397271646919758</v>
      </c>
      <c r="K778" s="5" t="n">
        <f aca="false">J778*LOG(J778,2)</f>
        <v>-0.00448821081369684</v>
      </c>
    </row>
    <row r="779" customFormat="false" ht="13" hidden="false" customHeight="false" outlineLevel="0" collapsed="false">
      <c r="A779" s="4" t="n">
        <v>223</v>
      </c>
      <c r="B779" s="5" t="n">
        <v>5.09173952494982</v>
      </c>
      <c r="C779" s="5" t="n">
        <f aca="false">B779</f>
        <v>5.09173952494982</v>
      </c>
      <c r="D779" s="5" t="n">
        <f aca="false">C779*LOG(C779)</f>
        <v>3.59917846047266</v>
      </c>
      <c r="E779" s="5"/>
      <c r="F779" s="5"/>
      <c r="G779" s="4" t="n">
        <v>778</v>
      </c>
      <c r="H779" s="6" t="n">
        <v>0.222</v>
      </c>
      <c r="J779" s="2" t="n">
        <f aca="false">B779/$B$1003</f>
        <v>0.000397063546013775</v>
      </c>
      <c r="K779" s="5" t="n">
        <f aca="false">J779*LOG(J779,2)</f>
        <v>-0.00448615992319934</v>
      </c>
    </row>
    <row r="780" customFormat="false" ht="13" hidden="false" customHeight="false" outlineLevel="0" collapsed="false">
      <c r="A780" s="4" t="n">
        <v>222</v>
      </c>
      <c r="B780" s="5" t="n">
        <v>5.03797741225523</v>
      </c>
      <c r="C780" s="5" t="n">
        <f aca="false">B780</f>
        <v>5.03797741225523</v>
      </c>
      <c r="D780" s="5" t="n">
        <f aca="false">C780*LOG(C780)</f>
        <v>3.53795095387156</v>
      </c>
      <c r="E780" s="5"/>
      <c r="F780" s="5"/>
      <c r="G780" s="4" t="n">
        <v>779</v>
      </c>
      <c r="H780" s="6" t="n">
        <v>0.221</v>
      </c>
      <c r="J780" s="2" t="n">
        <f aca="false">B780/$B$1003</f>
        <v>0.000392871074069147</v>
      </c>
      <c r="K780" s="5" t="n">
        <f aca="false">J780*LOG(J780,2)</f>
        <v>-0.00444480835298736</v>
      </c>
    </row>
    <row r="781" customFormat="false" ht="13" hidden="false" customHeight="false" outlineLevel="0" collapsed="false">
      <c r="A781" s="4" t="n">
        <v>221</v>
      </c>
      <c r="B781" s="5" t="n">
        <v>5.00361841930896</v>
      </c>
      <c r="C781" s="5" t="n">
        <f aca="false">B781</f>
        <v>5.00361841930896</v>
      </c>
      <c r="D781" s="5" t="n">
        <f aca="false">C781*LOG(C781)</f>
        <v>3.4989512162621</v>
      </c>
      <c r="E781" s="5"/>
      <c r="F781" s="5"/>
      <c r="G781" s="4" t="n">
        <v>780</v>
      </c>
      <c r="H781" s="6" t="n">
        <v>0.22</v>
      </c>
      <c r="J781" s="2" t="n">
        <f aca="false">B781/$B$1003</f>
        <v>0.000390191694358175</v>
      </c>
      <c r="K781" s="5" t="n">
        <f aca="false">J781*LOG(J781,2)</f>
        <v>-0.00441834708780245</v>
      </c>
    </row>
    <row r="782" customFormat="false" ht="13" hidden="false" customHeight="false" outlineLevel="0" collapsed="false">
      <c r="A782" s="4" t="n">
        <v>220</v>
      </c>
      <c r="B782" s="5" t="n">
        <v>4.99543045831183</v>
      </c>
      <c r="C782" s="5" t="n">
        <f aca="false">B782</f>
        <v>4.99543045831183</v>
      </c>
      <c r="D782" s="5" t="n">
        <f aca="false">C782*LOG(C782)</f>
        <v>3.48967242948065</v>
      </c>
      <c r="E782" s="5"/>
      <c r="F782" s="5"/>
      <c r="G782" s="4" t="n">
        <v>781</v>
      </c>
      <c r="H782" s="6" t="n">
        <v>0.219</v>
      </c>
      <c r="J782" s="2" t="n">
        <f aca="false">B782/$B$1003</f>
        <v>0.000389553181564617</v>
      </c>
      <c r="K782" s="5" t="n">
        <f aca="false">J782*LOG(J782,2)</f>
        <v>-0.00441203729458626</v>
      </c>
    </row>
    <row r="783" customFormat="false" ht="13" hidden="false" customHeight="false" outlineLevel="0" collapsed="false">
      <c r="A783" s="4" t="n">
        <v>219</v>
      </c>
      <c r="B783" s="5" t="n">
        <v>4.98400988869867</v>
      </c>
      <c r="C783" s="5" t="n">
        <f aca="false">B783</f>
        <v>4.98400988869867</v>
      </c>
      <c r="D783" s="5" t="n">
        <f aca="false">C783*LOG(C783)</f>
        <v>3.47674011246764</v>
      </c>
      <c r="E783" s="5"/>
      <c r="F783" s="5"/>
      <c r="G783" s="4" t="n">
        <v>782</v>
      </c>
      <c r="H783" s="6" t="n">
        <v>0.218</v>
      </c>
      <c r="J783" s="2" t="n">
        <f aca="false">B783/$B$1003</f>
        <v>0.000388662583794271</v>
      </c>
      <c r="K783" s="5" t="n">
        <f aca="false">J783*LOG(J783,2)</f>
        <v>-0.00440323387149032</v>
      </c>
    </row>
    <row r="784" customFormat="false" ht="13" hidden="false" customHeight="false" outlineLevel="0" collapsed="false">
      <c r="A784" s="4" t="n">
        <v>218</v>
      </c>
      <c r="B784" s="5" t="n">
        <v>4.96647658851492</v>
      </c>
      <c r="C784" s="5" t="n">
        <f aca="false">B784</f>
        <v>4.96647658851492</v>
      </c>
      <c r="D784" s="5" t="n">
        <f aca="false">C784*LOG(C784)</f>
        <v>3.45690804627588</v>
      </c>
      <c r="E784" s="5"/>
      <c r="F784" s="5"/>
      <c r="G784" s="4" t="n">
        <v>783</v>
      </c>
      <c r="H784" s="6" t="n">
        <v>0.217</v>
      </c>
      <c r="J784" s="2" t="n">
        <f aca="false">B784/$B$1003</f>
        <v>0.000387295303651568</v>
      </c>
      <c r="K784" s="5" t="n">
        <f aca="false">J784*LOG(J784,2)</f>
        <v>-0.00438971278383956</v>
      </c>
    </row>
    <row r="785" customFormat="false" ht="13" hidden="false" customHeight="false" outlineLevel="0" collapsed="false">
      <c r="A785" s="4" t="n">
        <v>217</v>
      </c>
      <c r="B785" s="5" t="n">
        <v>4.93226975664015</v>
      </c>
      <c r="C785" s="5" t="n">
        <f aca="false">B785</f>
        <v>4.93226975664015</v>
      </c>
      <c r="D785" s="5" t="n">
        <f aca="false">C785*LOG(C785)</f>
        <v>3.4182938755981</v>
      </c>
      <c r="E785" s="5"/>
      <c r="F785" s="5"/>
      <c r="G785" s="4" t="n">
        <v>784</v>
      </c>
      <c r="H785" s="6" t="n">
        <v>0.216</v>
      </c>
      <c r="J785" s="2" t="n">
        <f aca="false">B785/$B$1003</f>
        <v>0.000384627789750761</v>
      </c>
      <c r="K785" s="5" t="n">
        <f aca="false">J785*LOG(J785,2)</f>
        <v>-0.00436331356422436</v>
      </c>
    </row>
    <row r="786" customFormat="false" ht="13" hidden="false" customHeight="false" outlineLevel="0" collapsed="false">
      <c r="A786" s="4" t="n">
        <v>216</v>
      </c>
      <c r="B786" s="5" t="n">
        <v>4.91764418727098</v>
      </c>
      <c r="C786" s="5" t="n">
        <f aca="false">B786</f>
        <v>4.91764418727098</v>
      </c>
      <c r="D786" s="5" t="n">
        <f aca="false">C786*LOG(C786)</f>
        <v>3.40181529393499</v>
      </c>
      <c r="E786" s="5"/>
      <c r="F786" s="5"/>
      <c r="G786" s="4" t="n">
        <v>785</v>
      </c>
      <c r="H786" s="6" t="n">
        <v>0.215</v>
      </c>
      <c r="J786" s="2" t="n">
        <f aca="false">B786/$B$1003</f>
        <v>0.000383487259995117</v>
      </c>
      <c r="K786" s="5" t="n">
        <f aca="false">J786*LOG(J786,2)</f>
        <v>-0.00435201810487048</v>
      </c>
    </row>
    <row r="787" customFormat="false" ht="13" hidden="false" customHeight="false" outlineLevel="0" collapsed="false">
      <c r="A787" s="4" t="n">
        <v>215</v>
      </c>
      <c r="B787" s="5" t="n">
        <v>4.9154754046134</v>
      </c>
      <c r="C787" s="5" t="n">
        <f aca="false">B787</f>
        <v>4.9154754046134</v>
      </c>
      <c r="D787" s="5" t="n">
        <f aca="false">C787*LOG(C787)</f>
        <v>3.39937334051436</v>
      </c>
      <c r="E787" s="5"/>
      <c r="F787" s="5"/>
      <c r="G787" s="4" t="n">
        <v>786</v>
      </c>
      <c r="H787" s="6" t="n">
        <v>0.214</v>
      </c>
      <c r="J787" s="2" t="n">
        <f aca="false">B787/$B$1003</f>
        <v>0.00038331813419276</v>
      </c>
      <c r="K787" s="5" t="n">
        <f aca="false">J787*LOG(J787,2)</f>
        <v>-0.0043503427181425</v>
      </c>
    </row>
    <row r="788" customFormat="false" ht="13" hidden="false" customHeight="false" outlineLevel="0" collapsed="false">
      <c r="A788" s="4" t="n">
        <v>214</v>
      </c>
      <c r="B788" s="5" t="n">
        <v>4.88088891382421</v>
      </c>
      <c r="C788" s="5" t="n">
        <f aca="false">B788</f>
        <v>4.88088891382421</v>
      </c>
      <c r="D788" s="5" t="n">
        <f aca="false">C788*LOG(C788)</f>
        <v>3.36048676279687</v>
      </c>
      <c r="E788" s="5"/>
      <c r="F788" s="5"/>
      <c r="G788" s="4" t="n">
        <v>787</v>
      </c>
      <c r="H788" s="6" t="n">
        <v>0.213</v>
      </c>
      <c r="J788" s="2" t="n">
        <f aca="false">B788/$B$1003</f>
        <v>0.000380621013766698</v>
      </c>
      <c r="K788" s="5" t="n">
        <f aca="false">J788*LOG(J788,2)</f>
        <v>-0.00432361004016822</v>
      </c>
    </row>
    <row r="789" customFormat="false" ht="13" hidden="false" customHeight="false" outlineLevel="0" collapsed="false">
      <c r="A789" s="4" t="n">
        <v>213</v>
      </c>
      <c r="B789" s="5" t="n">
        <v>4.86660922466388</v>
      </c>
      <c r="C789" s="5" t="n">
        <f aca="false">B789</f>
        <v>4.86660922466388</v>
      </c>
      <c r="D789" s="5" t="n">
        <f aca="false">C789*LOG(C789)</f>
        <v>3.34446270262474</v>
      </c>
      <c r="E789" s="5"/>
      <c r="F789" s="5"/>
      <c r="G789" s="4" t="n">
        <v>788</v>
      </c>
      <c r="H789" s="6" t="n">
        <v>0.212</v>
      </c>
      <c r="J789" s="2" t="n">
        <f aca="false">B789/$B$1003</f>
        <v>0.000379507456408511</v>
      </c>
      <c r="K789" s="5" t="n">
        <f aca="false">J789*LOG(J789,2)</f>
        <v>-0.00431256491574601</v>
      </c>
    </row>
    <row r="790" customFormat="false" ht="13" hidden="false" customHeight="false" outlineLevel="0" collapsed="false">
      <c r="A790" s="4" t="n">
        <v>212</v>
      </c>
      <c r="B790" s="5" t="n">
        <v>4.85346678039059</v>
      </c>
      <c r="C790" s="5" t="n">
        <f aca="false">B790</f>
        <v>4.85346678039059</v>
      </c>
      <c r="D790" s="5" t="n">
        <f aca="false">C790*LOG(C790)</f>
        <v>3.3297308898016</v>
      </c>
      <c r="E790" s="5"/>
      <c r="F790" s="5"/>
      <c r="G790" s="4" t="n">
        <v>789</v>
      </c>
      <c r="H790" s="6" t="n">
        <v>0.211</v>
      </c>
      <c r="J790" s="2" t="n">
        <f aca="false">B790/$B$1003</f>
        <v>0.000378482583572643</v>
      </c>
      <c r="K790" s="5" t="n">
        <f aca="false">J790*LOG(J790,2)</f>
        <v>-0.00430239526771624</v>
      </c>
    </row>
    <row r="791" customFormat="false" ht="13" hidden="false" customHeight="false" outlineLevel="0" collapsed="false">
      <c r="A791" s="4" t="n">
        <v>211</v>
      </c>
      <c r="B791" s="5" t="n">
        <v>4.85155690344641</v>
      </c>
      <c r="C791" s="5" t="n">
        <f aca="false">B791</f>
        <v>4.85155690344641</v>
      </c>
      <c r="D791" s="5" t="n">
        <f aca="false">C791*LOG(C791)</f>
        <v>3.32759132898771</v>
      </c>
      <c r="E791" s="5"/>
      <c r="F791" s="5"/>
      <c r="G791" s="4" t="n">
        <v>790</v>
      </c>
      <c r="H791" s="6" t="n">
        <v>0.21</v>
      </c>
      <c r="J791" s="2" t="n">
        <f aca="false">B791/$B$1003</f>
        <v>0.000378333647730935</v>
      </c>
      <c r="K791" s="5" t="n">
        <f aca="false">J791*LOG(J791,2)</f>
        <v>-0.00430091706841872</v>
      </c>
    </row>
    <row r="792" customFormat="false" ht="13" hidden="false" customHeight="false" outlineLevel="0" collapsed="false">
      <c r="A792" s="4" t="n">
        <v>210</v>
      </c>
      <c r="B792" s="5" t="n">
        <v>4.84961777774811</v>
      </c>
      <c r="C792" s="5" t="n">
        <f aca="false">B792</f>
        <v>4.84961777774811</v>
      </c>
      <c r="D792" s="5" t="n">
        <f aca="false">C792*LOG(C792)</f>
        <v>3.32541933599575</v>
      </c>
      <c r="E792" s="5"/>
      <c r="F792" s="5"/>
      <c r="G792" s="4" t="n">
        <v>791</v>
      </c>
      <c r="H792" s="6" t="n">
        <v>0.209</v>
      </c>
      <c r="J792" s="2" t="n">
        <f aca="false">B792/$B$1003</f>
        <v>0.000378182431015672</v>
      </c>
      <c r="K792" s="5" t="n">
        <f aca="false">J792*LOG(J792,2)</f>
        <v>-0.00429941614474257</v>
      </c>
    </row>
    <row r="793" customFormat="false" ht="13" hidden="false" customHeight="false" outlineLevel="0" collapsed="false">
      <c r="A793" s="4" t="n">
        <v>209</v>
      </c>
      <c r="B793" s="5" t="n">
        <v>4.8189717772533</v>
      </c>
      <c r="C793" s="5" t="n">
        <f aca="false">B793</f>
        <v>4.8189717772533</v>
      </c>
      <c r="D793" s="5" t="n">
        <f aca="false">C793*LOG(C793)</f>
        <v>3.29113789597792</v>
      </c>
      <c r="E793" s="5"/>
      <c r="F793" s="5"/>
      <c r="G793" s="4" t="n">
        <v>792</v>
      </c>
      <c r="H793" s="6" t="n">
        <v>0.208</v>
      </c>
      <c r="J793" s="2" t="n">
        <f aca="false">B793/$B$1003</f>
        <v>0.000375792597527925</v>
      </c>
      <c r="K793" s="5" t="n">
        <f aca="false">J793*LOG(J793,2)</f>
        <v>-0.00427568389609485</v>
      </c>
    </row>
    <row r="794" customFormat="false" ht="13" hidden="false" customHeight="false" outlineLevel="0" collapsed="false">
      <c r="A794" s="4" t="n">
        <v>208</v>
      </c>
      <c r="B794" s="5" t="n">
        <v>4.78615208372344</v>
      </c>
      <c r="C794" s="5" t="n">
        <f aca="false">B794</f>
        <v>4.78615208372344</v>
      </c>
      <c r="D794" s="5" t="n">
        <f aca="false">C794*LOG(C794)</f>
        <v>3.25451877776219</v>
      </c>
      <c r="E794" s="5"/>
      <c r="F794" s="5"/>
      <c r="G794" s="4" t="n">
        <v>793</v>
      </c>
      <c r="H794" s="6" t="n">
        <v>0.207</v>
      </c>
      <c r="J794" s="2" t="n">
        <f aca="false">B794/$B$1003</f>
        <v>0.000373233255317234</v>
      </c>
      <c r="K794" s="5" t="n">
        <f aca="false">J794*LOG(J794,2)</f>
        <v>-0.00425024402266731</v>
      </c>
    </row>
    <row r="795" customFormat="false" ht="13" hidden="false" customHeight="false" outlineLevel="0" collapsed="false">
      <c r="A795" s="4" t="n">
        <v>207</v>
      </c>
      <c r="B795" s="5" t="n">
        <v>4.73880488367428</v>
      </c>
      <c r="C795" s="5" t="n">
        <f aca="false">B795</f>
        <v>4.73880488367428</v>
      </c>
      <c r="D795" s="5" t="n">
        <f aca="false">C795*LOG(C795)</f>
        <v>3.20186273881939</v>
      </c>
      <c r="E795" s="5"/>
      <c r="F795" s="5"/>
      <c r="G795" s="4" t="n">
        <v>794</v>
      </c>
      <c r="H795" s="6" t="n">
        <v>0.206</v>
      </c>
      <c r="J795" s="2" t="n">
        <f aca="false">B795/$B$1003</f>
        <v>0.000369541030478704</v>
      </c>
      <c r="K795" s="5" t="n">
        <f aca="false">J795*LOG(J795,2)</f>
        <v>-0.00421349863403469</v>
      </c>
    </row>
    <row r="796" customFormat="false" ht="13" hidden="false" customHeight="false" outlineLevel="0" collapsed="false">
      <c r="A796" s="4" t="n">
        <v>206</v>
      </c>
      <c r="B796" s="5" t="n">
        <v>4.73218295089407</v>
      </c>
      <c r="C796" s="5" t="n">
        <f aca="false">B796</f>
        <v>4.73218295089407</v>
      </c>
      <c r="D796" s="5" t="n">
        <f aca="false">C796*LOG(C796)</f>
        <v>3.19451464668096</v>
      </c>
      <c r="E796" s="5"/>
      <c r="F796" s="5"/>
      <c r="G796" s="4" t="n">
        <v>795</v>
      </c>
      <c r="H796" s="6" t="n">
        <v>0.205</v>
      </c>
      <c r="J796" s="2" t="n">
        <f aca="false">B796/$B$1003</f>
        <v>0.0003690246395482</v>
      </c>
      <c r="K796" s="5" t="n">
        <f aca="false">J796*LOG(J796,2)</f>
        <v>-0.0042083552299673</v>
      </c>
    </row>
    <row r="797" customFormat="false" ht="13" hidden="false" customHeight="false" outlineLevel="0" collapsed="false">
      <c r="A797" s="4" t="n">
        <v>205</v>
      </c>
      <c r="B797" s="5" t="n">
        <v>4.7164628253406</v>
      </c>
      <c r="C797" s="5" t="n">
        <f aca="false">B797</f>
        <v>4.7164628253406</v>
      </c>
      <c r="D797" s="5" t="n">
        <f aca="false">C797*LOG(C797)</f>
        <v>3.17708678330717</v>
      </c>
      <c r="E797" s="5"/>
      <c r="F797" s="5"/>
      <c r="G797" s="4" t="n">
        <v>796</v>
      </c>
      <c r="H797" s="6" t="n">
        <v>0.204</v>
      </c>
      <c r="J797" s="2" t="n">
        <f aca="false">B797/$B$1003</f>
        <v>0.000367798754216584</v>
      </c>
      <c r="K797" s="5" t="n">
        <f aca="false">J797*LOG(J797,2)</f>
        <v>-0.00419614087734631</v>
      </c>
    </row>
    <row r="798" customFormat="false" ht="13" hidden="false" customHeight="false" outlineLevel="0" collapsed="false">
      <c r="A798" s="4" t="n">
        <v>204</v>
      </c>
      <c r="B798" s="5" t="n">
        <v>4.61572574393716</v>
      </c>
      <c r="C798" s="5" t="n">
        <f aca="false">B798</f>
        <v>4.61572574393716</v>
      </c>
      <c r="D798" s="5" t="n">
        <f aca="false">C798*LOG(C798)</f>
        <v>3.06594965020234</v>
      </c>
      <c r="E798" s="5"/>
      <c r="F798" s="5"/>
      <c r="G798" s="4" t="n">
        <v>797</v>
      </c>
      <c r="H798" s="6" t="n">
        <v>0.203</v>
      </c>
      <c r="J798" s="2" t="n">
        <f aca="false">B798/$B$1003</f>
        <v>0.000359943084742306</v>
      </c>
      <c r="K798" s="5" t="n">
        <f aca="false">J798*LOG(J798,2)</f>
        <v>-0.00411772858079279</v>
      </c>
    </row>
    <row r="799" customFormat="false" ht="13" hidden="false" customHeight="false" outlineLevel="0" collapsed="false">
      <c r="A799" s="4" t="n">
        <v>203</v>
      </c>
      <c r="B799" s="5" t="n">
        <v>4.5403120267444</v>
      </c>
      <c r="C799" s="5" t="n">
        <f aca="false">B799</f>
        <v>4.5403120267444</v>
      </c>
      <c r="D799" s="5" t="n">
        <f aca="false">C799*LOG(C799)</f>
        <v>2.98337410711984</v>
      </c>
      <c r="E799" s="5"/>
      <c r="F799" s="5"/>
      <c r="G799" s="4" t="n">
        <v>798</v>
      </c>
      <c r="H799" s="6" t="n">
        <v>0.202</v>
      </c>
      <c r="J799" s="2" t="n">
        <f aca="false">B799/$B$1003</f>
        <v>0.000354062179440707</v>
      </c>
      <c r="K799" s="5" t="n">
        <f aca="false">J799*LOG(J799,2)</f>
        <v>-0.00405886601777156</v>
      </c>
    </row>
    <row r="800" customFormat="false" ht="13" hidden="false" customHeight="false" outlineLevel="0" collapsed="false">
      <c r="A800" s="4" t="n">
        <v>202</v>
      </c>
      <c r="B800" s="5" t="n">
        <v>4.52428804104374</v>
      </c>
      <c r="C800" s="5" t="n">
        <f aca="false">B800</f>
        <v>4.52428804104374</v>
      </c>
      <c r="D800" s="5" t="n">
        <f aca="false">C800*LOG(C800)</f>
        <v>2.96589814148142</v>
      </c>
      <c r="E800" s="5"/>
      <c r="F800" s="5"/>
      <c r="G800" s="4" t="n">
        <v>799</v>
      </c>
      <c r="H800" s="6" t="n">
        <v>0.201</v>
      </c>
      <c r="J800" s="2" t="n">
        <f aca="false">B800/$B$1003</f>
        <v>0.000352812598516074</v>
      </c>
      <c r="K800" s="5" t="n">
        <f aca="false">J800*LOG(J800,2)</f>
        <v>-0.00404634076411992</v>
      </c>
    </row>
    <row r="801" customFormat="false" ht="13" hidden="false" customHeight="false" outlineLevel="0" collapsed="false">
      <c r="A801" s="4" t="n">
        <v>201</v>
      </c>
      <c r="B801" s="5" t="n">
        <v>4.5129329836675</v>
      </c>
      <c r="C801" s="5" t="n">
        <f aca="false">B801</f>
        <v>4.5129329836675</v>
      </c>
      <c r="D801" s="5" t="n">
        <f aca="false">C801*LOG(C801)</f>
        <v>2.95352908570271</v>
      </c>
      <c r="E801" s="5"/>
      <c r="F801" s="5"/>
      <c r="G801" s="4" t="n">
        <v>800</v>
      </c>
      <c r="H801" s="6" t="n">
        <v>0.2</v>
      </c>
      <c r="J801" s="2" t="n">
        <f aca="false">B801/$B$1003</f>
        <v>0.000351927109514739</v>
      </c>
      <c r="K801" s="5" t="n">
        <f aca="false">J801*LOG(J801,2)</f>
        <v>-0.00403746114486545</v>
      </c>
      <c r="L801" s="2" t="n">
        <f aca="false">SUM(J752:J801)</f>
        <v>0.0199295591907301</v>
      </c>
    </row>
    <row r="802" customFormat="false" ht="13" hidden="false" customHeight="false" outlineLevel="0" collapsed="false">
      <c r="A802" s="4" t="n">
        <v>200</v>
      </c>
      <c r="B802" s="5" t="n">
        <v>4.47714201787551</v>
      </c>
      <c r="C802" s="5" t="n">
        <f aca="false">B802</f>
        <v>4.47714201787551</v>
      </c>
      <c r="D802" s="5" t="n">
        <f aca="false">C802*LOG(C802)</f>
        <v>2.91462335191672</v>
      </c>
      <c r="E802" s="5"/>
      <c r="F802" s="5"/>
      <c r="G802" s="4" t="n">
        <v>801</v>
      </c>
      <c r="H802" s="6" t="n">
        <v>0.199</v>
      </c>
      <c r="J802" s="2" t="n">
        <f aca="false">B802/$B$1003</f>
        <v>0.000349136061833885</v>
      </c>
      <c r="K802" s="5" t="n">
        <f aca="false">J802*LOG(J802,2)</f>
        <v>-0.00400945165089183</v>
      </c>
    </row>
    <row r="803" customFormat="false" ht="13" hidden="false" customHeight="false" outlineLevel="0" collapsed="false">
      <c r="A803" s="4" t="n">
        <v>199</v>
      </c>
      <c r="B803" s="5" t="n">
        <v>4.43424498143429</v>
      </c>
      <c r="C803" s="5" t="n">
        <f aca="false">B803</f>
        <v>4.43424498143429</v>
      </c>
      <c r="D803" s="5" t="n">
        <f aca="false">C803*LOG(C803)</f>
        <v>2.86815693400346</v>
      </c>
      <c r="E803" s="5"/>
      <c r="F803" s="5"/>
      <c r="G803" s="4" t="n">
        <v>802</v>
      </c>
      <c r="H803" s="6" t="n">
        <v>0.198</v>
      </c>
      <c r="J803" s="2" t="n">
        <f aca="false">B803/$B$1003</f>
        <v>0.000345790869229399</v>
      </c>
      <c r="K803" s="5" t="n">
        <f aca="false">J803*LOG(J803,2)</f>
        <v>-0.00397583861495692</v>
      </c>
    </row>
    <row r="804" customFormat="false" ht="13" hidden="false" customHeight="false" outlineLevel="0" collapsed="false">
      <c r="A804" s="4" t="n">
        <v>198</v>
      </c>
      <c r="B804" s="5" t="n">
        <v>4.42445316698559</v>
      </c>
      <c r="C804" s="5" t="n">
        <f aca="false">B804</f>
        <v>4.42445316698559</v>
      </c>
      <c r="D804" s="5" t="n">
        <f aca="false">C804*LOG(C804)</f>
        <v>2.85757556343551</v>
      </c>
      <c r="E804" s="5"/>
      <c r="F804" s="5"/>
      <c r="G804" s="4" t="n">
        <v>803</v>
      </c>
      <c r="H804" s="6" t="n">
        <v>0.197</v>
      </c>
      <c r="J804" s="2" t="n">
        <f aca="false">B804/$B$1003</f>
        <v>0.000345027284888947</v>
      </c>
      <c r="K804" s="5" t="n">
        <f aca="false">J804*LOG(J804,2)</f>
        <v>-0.00396815946743504</v>
      </c>
    </row>
    <row r="805" customFormat="false" ht="13" hidden="false" customHeight="false" outlineLevel="0" collapsed="false">
      <c r="A805" s="4" t="n">
        <v>197</v>
      </c>
      <c r="B805" s="5" t="n">
        <v>4.42268396959514</v>
      </c>
      <c r="C805" s="5" t="n">
        <f aca="false">B805</f>
        <v>4.42268396959514</v>
      </c>
      <c r="D805" s="5" t="n">
        <f aca="false">C805*LOG(C805)</f>
        <v>2.85566471128853</v>
      </c>
      <c r="E805" s="5"/>
      <c r="F805" s="5"/>
      <c r="G805" s="4" t="n">
        <v>804</v>
      </c>
      <c r="H805" s="6" t="n">
        <v>0.196</v>
      </c>
      <c r="J805" s="2" t="n">
        <f aca="false">B805/$B$1003</f>
        <v>0.000344889319506781</v>
      </c>
      <c r="K805" s="5" t="n">
        <f aca="false">J805*LOG(J805,2)</f>
        <v>-0.00396677172948136</v>
      </c>
    </row>
    <row r="806" customFormat="false" ht="13" hidden="false" customHeight="false" outlineLevel="0" collapsed="false">
      <c r="A806" s="4" t="n">
        <v>196</v>
      </c>
      <c r="B806" s="5" t="n">
        <v>4.41019111880053</v>
      </c>
      <c r="C806" s="5" t="n">
        <f aca="false">B806</f>
        <v>4.41019111880053</v>
      </c>
      <c r="D806" s="5" t="n">
        <f aca="false">C806*LOG(C806)</f>
        <v>2.84218034752238</v>
      </c>
      <c r="E806" s="5"/>
      <c r="F806" s="5"/>
      <c r="G806" s="4" t="n">
        <v>805</v>
      </c>
      <c r="H806" s="6" t="n">
        <v>0.195</v>
      </c>
      <c r="J806" s="2" t="n">
        <f aca="false">B806/$B$1003</f>
        <v>0.000343915103207612</v>
      </c>
      <c r="K806" s="5" t="n">
        <f aca="false">J806*LOG(J806,2)</f>
        <v>-0.00395697021390718</v>
      </c>
    </row>
    <row r="807" customFormat="false" ht="13" hidden="false" customHeight="false" outlineLevel="0" collapsed="false">
      <c r="A807" s="4" t="n">
        <v>195</v>
      </c>
      <c r="B807" s="5" t="n">
        <v>4.39398732999769</v>
      </c>
      <c r="C807" s="5" t="n">
        <f aca="false">B807</f>
        <v>4.39398732999769</v>
      </c>
      <c r="D807" s="5" t="n">
        <f aca="false">C807*LOG(C807)</f>
        <v>2.82471342351374</v>
      </c>
      <c r="E807" s="5"/>
      <c r="F807" s="5"/>
      <c r="G807" s="4" t="n">
        <v>806</v>
      </c>
      <c r="H807" s="6" t="n">
        <v>0.194</v>
      </c>
      <c r="J807" s="2" t="n">
        <f aca="false">B807/$B$1003</f>
        <v>0.000342651500894613</v>
      </c>
      <c r="K807" s="5" t="n">
        <f aca="false">J807*LOG(J807,2)</f>
        <v>-0.00394425127512729</v>
      </c>
    </row>
    <row r="808" customFormat="false" ht="13" hidden="false" customHeight="false" outlineLevel="0" collapsed="false">
      <c r="A808" s="4" t="n">
        <v>194</v>
      </c>
      <c r="B808" s="5" t="n">
        <v>4.35547006427686</v>
      </c>
      <c r="C808" s="5" t="n">
        <f aca="false">B808</f>
        <v>4.35547006427686</v>
      </c>
      <c r="D808" s="5" t="n">
        <f aca="false">C808*LOG(C808)</f>
        <v>2.7832979567874</v>
      </c>
      <c r="E808" s="5"/>
      <c r="F808" s="5"/>
      <c r="G808" s="4" t="n">
        <v>807</v>
      </c>
      <c r="H808" s="6" t="n">
        <v>0.193</v>
      </c>
      <c r="J808" s="2" t="n">
        <f aca="false">B808/$B$1003</f>
        <v>0.000339647851152727</v>
      </c>
      <c r="K808" s="5" t="n">
        <f aca="false">J808*LOG(J808,2)</f>
        <v>-0.00391399065391816</v>
      </c>
    </row>
    <row r="809" customFormat="false" ht="13" hidden="false" customHeight="false" outlineLevel="0" collapsed="false">
      <c r="A809" s="4" t="n">
        <v>193</v>
      </c>
      <c r="B809" s="5" t="n">
        <v>4.33930651996582</v>
      </c>
      <c r="C809" s="5" t="n">
        <f aca="false">B809</f>
        <v>4.33930651996582</v>
      </c>
      <c r="D809" s="5" t="n">
        <f aca="false">C809*LOG(C809)</f>
        <v>2.76596218919605</v>
      </c>
      <c r="E809" s="5"/>
      <c r="F809" s="5"/>
      <c r="G809" s="4" t="n">
        <v>808</v>
      </c>
      <c r="H809" s="6" t="n">
        <v>0.192</v>
      </c>
      <c r="J809" s="2" t="n">
        <f aca="false">B809/$B$1003</f>
        <v>0.00033838738718185</v>
      </c>
      <c r="K809" s="5" t="n">
        <f aca="false">J809*LOG(J809,2)</f>
        <v>-0.00390128056642082</v>
      </c>
    </row>
    <row r="810" customFormat="false" ht="13" hidden="false" customHeight="false" outlineLevel="0" collapsed="false">
      <c r="A810" s="4" t="n">
        <v>192</v>
      </c>
      <c r="B810" s="5" t="n">
        <v>4.31763827880752</v>
      </c>
      <c r="C810" s="5" t="n">
        <f aca="false">B810</f>
        <v>4.31763827880752</v>
      </c>
      <c r="D810" s="5" t="n">
        <f aca="false">C810*LOG(C810)</f>
        <v>2.74276354874511</v>
      </c>
      <c r="E810" s="5"/>
      <c r="F810" s="5"/>
      <c r="G810" s="4" t="n">
        <v>809</v>
      </c>
      <c r="H810" s="6" t="n">
        <v>0.191</v>
      </c>
      <c r="J810" s="2" t="n">
        <f aca="false">B810/$B$1003</f>
        <v>0.000336697656466436</v>
      </c>
      <c r="K810" s="5" t="n">
        <f aca="false">J810*LOG(J810,2)</f>
        <v>-0.0038842312686844</v>
      </c>
    </row>
    <row r="811" customFormat="false" ht="13" hidden="false" customHeight="false" outlineLevel="0" collapsed="false">
      <c r="A811" s="4" t="n">
        <v>191</v>
      </c>
      <c r="B811" s="5" t="n">
        <v>4.28836980663482</v>
      </c>
      <c r="C811" s="5" t="n">
        <f aca="false">B811</f>
        <v>4.28836980663482</v>
      </c>
      <c r="D811" s="5" t="n">
        <f aca="false">C811*LOG(C811)</f>
        <v>2.71150290634151</v>
      </c>
      <c r="E811" s="5"/>
      <c r="F811" s="5"/>
      <c r="G811" s="4" t="n">
        <v>810</v>
      </c>
      <c r="H811" s="6" t="n">
        <v>0.19</v>
      </c>
      <c r="J811" s="2" t="n">
        <f aca="false">B811/$B$1003</f>
        <v>0.000334415245260923</v>
      </c>
      <c r="K811" s="5" t="n">
        <f aca="false">J811*LOG(J811,2)</f>
        <v>-0.00386118241986014</v>
      </c>
    </row>
    <row r="812" customFormat="false" ht="13" hidden="false" customHeight="false" outlineLevel="0" collapsed="false">
      <c r="A812" s="4" t="n">
        <v>190</v>
      </c>
      <c r="B812" s="5" t="n">
        <v>4.26206374952307</v>
      </c>
      <c r="C812" s="5" t="n">
        <f aca="false">B812</f>
        <v>4.26206374952307</v>
      </c>
      <c r="D812" s="5" t="n">
        <f aca="false">C812*LOG(C812)</f>
        <v>2.68348032803182</v>
      </c>
      <c r="E812" s="5"/>
      <c r="F812" s="5"/>
      <c r="G812" s="4" t="n">
        <v>811</v>
      </c>
      <c r="H812" s="6" t="n">
        <v>0.189</v>
      </c>
      <c r="J812" s="2" t="n">
        <f aca="false">B812/$B$1003</f>
        <v>0.000332363848824155</v>
      </c>
      <c r="K812" s="5" t="n">
        <f aca="false">J812*LOG(J812,2)</f>
        <v>-0.00384044729291796</v>
      </c>
    </row>
    <row r="813" customFormat="false" ht="13" hidden="false" customHeight="false" outlineLevel="0" collapsed="false">
      <c r="A813" s="4" t="n">
        <v>189</v>
      </c>
      <c r="B813" s="5" t="n">
        <v>4.23571730121898</v>
      </c>
      <c r="C813" s="5" t="n">
        <f aca="false">B813</f>
        <v>4.23571730121898</v>
      </c>
      <c r="D813" s="5" t="n">
        <f aca="false">C813*LOG(C813)</f>
        <v>2.6554854001736</v>
      </c>
      <c r="E813" s="5"/>
      <c r="F813" s="5"/>
      <c r="G813" s="4" t="n">
        <v>812</v>
      </c>
      <c r="H813" s="6" t="n">
        <v>0.188</v>
      </c>
      <c r="J813" s="2" t="n">
        <f aca="false">B813/$B$1003</f>
        <v>0.000330309302605279</v>
      </c>
      <c r="K813" s="5" t="n">
        <f aca="false">J813*LOG(J813,2)</f>
        <v>-0.00381966201961365</v>
      </c>
    </row>
    <row r="814" customFormat="false" ht="13" hidden="false" customHeight="false" outlineLevel="0" collapsed="false">
      <c r="A814" s="4" t="n">
        <v>188</v>
      </c>
      <c r="B814" s="5" t="n">
        <v>4.23379450520059</v>
      </c>
      <c r="C814" s="5" t="n">
        <f aca="false">B814</f>
        <v>4.23379450520059</v>
      </c>
      <c r="D814" s="5" t="n">
        <f aca="false">C814*LOG(C814)</f>
        <v>2.65344507736286</v>
      </c>
      <c r="E814" s="5"/>
      <c r="F814" s="5"/>
      <c r="G814" s="4" t="n">
        <v>813</v>
      </c>
      <c r="H814" s="6" t="n">
        <v>0.187</v>
      </c>
      <c r="J814" s="2" t="n">
        <f aca="false">B814/$B$1003</f>
        <v>0.000330159359309558</v>
      </c>
      <c r="K814" s="5" t="n">
        <f aca="false">J814*LOG(J814,2)</f>
        <v>-0.00381814436446136</v>
      </c>
    </row>
    <row r="815" customFormat="false" ht="13" hidden="false" customHeight="false" outlineLevel="0" collapsed="false">
      <c r="A815" s="4" t="n">
        <v>187</v>
      </c>
      <c r="B815" s="5" t="n">
        <v>4.22688353222895</v>
      </c>
      <c r="C815" s="5" t="n">
        <f aca="false">B815</f>
        <v>4.22688353222895</v>
      </c>
      <c r="D815" s="5" t="n">
        <f aca="false">C815*LOG(C815)</f>
        <v>2.64611481837932</v>
      </c>
      <c r="E815" s="5"/>
      <c r="F815" s="5"/>
      <c r="G815" s="4" t="n">
        <v>814</v>
      </c>
      <c r="H815" s="6" t="n">
        <v>0.186</v>
      </c>
      <c r="J815" s="2" t="n">
        <f aca="false">B815/$B$1003</f>
        <v>0.000329620428474412</v>
      </c>
      <c r="K815" s="5" t="n">
        <f aca="false">J815*LOG(J815,2)</f>
        <v>-0.0038126887498771</v>
      </c>
    </row>
    <row r="816" customFormat="false" ht="13" hidden="false" customHeight="false" outlineLevel="0" collapsed="false">
      <c r="A816" s="4" t="n">
        <v>186</v>
      </c>
      <c r="B816" s="5" t="n">
        <v>4.22240149300001</v>
      </c>
      <c r="C816" s="5" t="n">
        <f aca="false">B816</f>
        <v>4.22240149300001</v>
      </c>
      <c r="D816" s="5" t="n">
        <f aca="false">C816*LOG(C816)</f>
        <v>2.64136347839344</v>
      </c>
      <c r="E816" s="5"/>
      <c r="F816" s="5"/>
      <c r="G816" s="4" t="n">
        <v>815</v>
      </c>
      <c r="H816" s="6" t="n">
        <v>0.185</v>
      </c>
      <c r="J816" s="2" t="n">
        <f aca="false">B816/$B$1003</f>
        <v>0.000329270910518732</v>
      </c>
      <c r="K816" s="5" t="n">
        <f aca="false">J816*LOG(J816,2)</f>
        <v>-0.00380914988866949</v>
      </c>
    </row>
    <row r="817" customFormat="false" ht="13" hidden="false" customHeight="false" outlineLevel="0" collapsed="false">
      <c r="A817" s="4" t="n">
        <v>185</v>
      </c>
      <c r="B817" s="5" t="n">
        <v>4.2164083047968</v>
      </c>
      <c r="C817" s="5" t="n">
        <f aca="false">B817</f>
        <v>4.2164083047968</v>
      </c>
      <c r="D817" s="5" t="n">
        <f aca="false">C817*LOG(C817)</f>
        <v>2.63501342191407</v>
      </c>
      <c r="E817" s="5"/>
      <c r="F817" s="5"/>
      <c r="G817" s="4" t="n">
        <v>816</v>
      </c>
      <c r="H817" s="6" t="n">
        <v>0.184</v>
      </c>
      <c r="J817" s="2" t="n">
        <f aca="false">B817/$B$1003</f>
        <v>0.000328803550287865</v>
      </c>
      <c r="K817" s="5" t="n">
        <f aca="false">J817*LOG(J817,2)</f>
        <v>-0.003804417040681</v>
      </c>
    </row>
    <row r="818" customFormat="false" ht="13" hidden="false" customHeight="false" outlineLevel="0" collapsed="false">
      <c r="A818" s="4" t="n">
        <v>184</v>
      </c>
      <c r="B818" s="5" t="n">
        <v>4.18134184642202</v>
      </c>
      <c r="C818" s="5" t="n">
        <f aca="false">B818</f>
        <v>4.18134184642202</v>
      </c>
      <c r="D818" s="5" t="n">
        <f aca="false">C818*LOG(C818)</f>
        <v>2.59793323101448</v>
      </c>
      <c r="E818" s="5"/>
      <c r="F818" s="5"/>
      <c r="G818" s="4" t="n">
        <v>817</v>
      </c>
      <c r="H818" s="6" t="n">
        <v>0.183</v>
      </c>
      <c r="J818" s="2" t="n">
        <f aca="false">B818/$B$1003</f>
        <v>0.00032606900107532</v>
      </c>
      <c r="K818" s="5" t="n">
        <f aca="false">J818*LOG(J818,2)</f>
        <v>-0.00377670564572072</v>
      </c>
    </row>
    <row r="819" customFormat="false" ht="13" hidden="false" customHeight="false" outlineLevel="0" collapsed="false">
      <c r="A819" s="4" t="n">
        <v>183</v>
      </c>
      <c r="B819" s="5" t="n">
        <v>4.16749931061474</v>
      </c>
      <c r="C819" s="5" t="n">
        <f aca="false">B819</f>
        <v>4.16749931061474</v>
      </c>
      <c r="D819" s="5" t="n">
        <f aca="false">C819*LOG(C819)</f>
        <v>2.58333087169464</v>
      </c>
      <c r="E819" s="5"/>
      <c r="F819" s="5"/>
      <c r="G819" s="4" t="n">
        <v>818</v>
      </c>
      <c r="H819" s="6" t="n">
        <v>0.182</v>
      </c>
      <c r="J819" s="2" t="n">
        <f aca="false">B819/$B$1003</f>
        <v>0.000324989533768219</v>
      </c>
      <c r="K819" s="5" t="n">
        <f aca="false">J819*LOG(J819,2)</f>
        <v>-0.00376575743921388</v>
      </c>
    </row>
    <row r="820" customFormat="false" ht="13" hidden="false" customHeight="false" outlineLevel="0" collapsed="false">
      <c r="A820" s="4" t="n">
        <v>182</v>
      </c>
      <c r="B820" s="5" t="n">
        <v>4.15805282613985</v>
      </c>
      <c r="C820" s="5" t="n">
        <f aca="false">B820</f>
        <v>4.15805282613985</v>
      </c>
      <c r="D820" s="5" t="n">
        <f aca="false">C820*LOG(C820)</f>
        <v>2.57337732413621</v>
      </c>
      <c r="E820" s="5"/>
      <c r="F820" s="5"/>
      <c r="G820" s="4" t="n">
        <v>819</v>
      </c>
      <c r="H820" s="6" t="n">
        <v>0.181</v>
      </c>
      <c r="J820" s="2" t="n">
        <f aca="false">B820/$B$1003</f>
        <v>0.000324252878916849</v>
      </c>
      <c r="K820" s="5" t="n">
        <f aca="false">J820*LOG(J820,2)</f>
        <v>-0.00375828314726759</v>
      </c>
    </row>
    <row r="821" customFormat="false" ht="13" hidden="false" customHeight="false" outlineLevel="0" collapsed="false">
      <c r="A821" s="4" t="n">
        <v>181</v>
      </c>
      <c r="B821" s="5" t="n">
        <v>4.15258965313399</v>
      </c>
      <c r="C821" s="5" t="n">
        <f aca="false">B821</f>
        <v>4.15258965313399</v>
      </c>
      <c r="D821" s="5" t="n">
        <f aca="false">C821*LOG(C821)</f>
        <v>2.56762515444384</v>
      </c>
      <c r="E821" s="5"/>
      <c r="F821" s="5"/>
      <c r="G821" s="4" t="n">
        <v>820</v>
      </c>
      <c r="H821" s="6" t="n">
        <v>0.18</v>
      </c>
      <c r="J821" s="2" t="n">
        <f aca="false">B821/$B$1003</f>
        <v>0.000323826850280552</v>
      </c>
      <c r="K821" s="5" t="n">
        <f aca="false">J821*LOG(J821,2)</f>
        <v>-0.00375395944818965</v>
      </c>
    </row>
    <row r="822" customFormat="false" ht="13" hidden="false" customHeight="false" outlineLevel="0" collapsed="false">
      <c r="A822" s="4" t="n">
        <v>180</v>
      </c>
      <c r="B822" s="5" t="n">
        <v>4.1430083880183</v>
      </c>
      <c r="C822" s="5" t="n">
        <f aca="false">B822</f>
        <v>4.1430083880183</v>
      </c>
      <c r="D822" s="5" t="n">
        <f aca="false">C822*LOG(C822)</f>
        <v>2.55754458957754</v>
      </c>
      <c r="E822" s="5"/>
      <c r="F822" s="5"/>
      <c r="G822" s="4" t="n">
        <v>821</v>
      </c>
      <c r="H822" s="6" t="n">
        <v>0.179</v>
      </c>
      <c r="J822" s="2" t="n">
        <f aca="false">B822/$B$1003</f>
        <v>0.000323079684978107</v>
      </c>
      <c r="K822" s="5" t="n">
        <f aca="false">J822*LOG(J822,2)</f>
        <v>-0.00374637462923053</v>
      </c>
    </row>
    <row r="823" customFormat="false" ht="13" hidden="false" customHeight="false" outlineLevel="0" collapsed="false">
      <c r="A823" s="4" t="n">
        <v>179</v>
      </c>
      <c r="B823" s="5" t="n">
        <v>4.14258489987765</v>
      </c>
      <c r="C823" s="5" t="n">
        <f aca="false">B823</f>
        <v>4.14258489987765</v>
      </c>
      <c r="D823" s="5" t="n">
        <f aca="false">C823*LOG(C823)</f>
        <v>2.55709925448941</v>
      </c>
      <c r="E823" s="5"/>
      <c r="F823" s="5"/>
      <c r="G823" s="4" t="n">
        <v>822</v>
      </c>
      <c r="H823" s="6" t="n">
        <v>0.178</v>
      </c>
      <c r="J823" s="2" t="n">
        <f aca="false">B823/$B$1003</f>
        <v>0.000323046660566312</v>
      </c>
      <c r="K823" s="5" t="n">
        <f aca="false">J823*LOG(J823,2)</f>
        <v>-0.00374603932573843</v>
      </c>
    </row>
    <row r="824" customFormat="false" ht="13" hidden="false" customHeight="false" outlineLevel="0" collapsed="false">
      <c r="A824" s="4" t="n">
        <v>178</v>
      </c>
      <c r="B824" s="5" t="n">
        <v>4.14013257402212</v>
      </c>
      <c r="C824" s="5" t="n">
        <f aca="false">B824</f>
        <v>4.14013257402212</v>
      </c>
      <c r="D824" s="5" t="n">
        <f aca="false">C824*LOG(C824)</f>
        <v>2.5545207875455</v>
      </c>
      <c r="E824" s="5"/>
      <c r="F824" s="5"/>
      <c r="G824" s="4" t="n">
        <v>823</v>
      </c>
      <c r="H824" s="6" t="n">
        <v>0.177</v>
      </c>
      <c r="J824" s="2" t="n">
        <f aca="false">B824/$B$1003</f>
        <v>0.000322855423525335</v>
      </c>
      <c r="K824" s="5" t="n">
        <f aca="false">J824*LOG(J824,2)</f>
        <v>-0.00374409756183508</v>
      </c>
    </row>
    <row r="825" customFormat="false" ht="13" hidden="false" customHeight="false" outlineLevel="0" collapsed="false">
      <c r="A825" s="4" t="n">
        <v>177</v>
      </c>
      <c r="B825" s="5" t="n">
        <v>4.1227133369606</v>
      </c>
      <c r="C825" s="5" t="n">
        <f aca="false">B825</f>
        <v>4.1227133369606</v>
      </c>
      <c r="D825" s="5" t="n">
        <f aca="false">C825*LOG(C825)</f>
        <v>2.53622372861346</v>
      </c>
      <c r="E825" s="5"/>
      <c r="F825" s="5"/>
      <c r="G825" s="4" t="n">
        <v>824</v>
      </c>
      <c r="H825" s="6" t="n">
        <v>0.176</v>
      </c>
      <c r="J825" s="2" t="n">
        <f aca="false">B825/$B$1003</f>
        <v>0.00032149703824215</v>
      </c>
      <c r="K825" s="5" t="n">
        <f aca="false">J825*LOG(J825,2)</f>
        <v>-0.00373030021383414</v>
      </c>
    </row>
    <row r="826" customFormat="false" ht="13" hidden="false" customHeight="false" outlineLevel="0" collapsed="false">
      <c r="A826" s="4" t="n">
        <v>176</v>
      </c>
      <c r="B826" s="5" t="n">
        <v>4.11975225188951</v>
      </c>
      <c r="C826" s="5" t="n">
        <f aca="false">B826</f>
        <v>4.11975225188951</v>
      </c>
      <c r="D826" s="5" t="n">
        <f aca="false">C826*LOG(C826)</f>
        <v>2.5331165980309</v>
      </c>
      <c r="E826" s="5"/>
      <c r="F826" s="5"/>
      <c r="G826" s="4" t="n">
        <v>825</v>
      </c>
      <c r="H826" s="6" t="n">
        <v>0.175</v>
      </c>
      <c r="J826" s="2" t="n">
        <f aca="false">B826/$B$1003</f>
        <v>0.000321266127188548</v>
      </c>
      <c r="K826" s="5" t="n">
        <f aca="false">J826*LOG(J826,2)</f>
        <v>-0.00372795398893809</v>
      </c>
    </row>
    <row r="827" customFormat="false" ht="13" hidden="false" customHeight="false" outlineLevel="0" collapsed="false">
      <c r="A827" s="4" t="n">
        <v>175</v>
      </c>
      <c r="B827" s="5" t="n">
        <v>4.11257741150178</v>
      </c>
      <c r="C827" s="5" t="n">
        <f aca="false">B827</f>
        <v>4.11257741150178</v>
      </c>
      <c r="D827" s="5" t="n">
        <f aca="false">C827*LOG(C827)</f>
        <v>2.52559171738019</v>
      </c>
      <c r="E827" s="5"/>
      <c r="F827" s="5"/>
      <c r="G827" s="4" t="n">
        <v>826</v>
      </c>
      <c r="H827" s="6" t="n">
        <v>0.174</v>
      </c>
      <c r="J827" s="2" t="n">
        <f aca="false">B827/$B$1003</f>
        <v>0.000320706619469726</v>
      </c>
      <c r="K827" s="5" t="n">
        <f aca="false">J827*LOG(J827,2)</f>
        <v>-0.00372226798868581</v>
      </c>
    </row>
    <row r="828" customFormat="false" ht="13" hidden="false" customHeight="false" outlineLevel="0" collapsed="false">
      <c r="A828" s="4" t="n">
        <v>174</v>
      </c>
      <c r="B828" s="5" t="n">
        <v>4.07195841280526</v>
      </c>
      <c r="C828" s="5" t="n">
        <f aca="false">B828</f>
        <v>4.07195841280526</v>
      </c>
      <c r="D828" s="5" t="n">
        <f aca="false">C828*LOG(C828)</f>
        <v>2.48309381551505</v>
      </c>
      <c r="E828" s="5"/>
      <c r="F828" s="5"/>
      <c r="G828" s="4" t="n">
        <v>827</v>
      </c>
      <c r="H828" s="6" t="n">
        <v>0.173</v>
      </c>
      <c r="J828" s="2" t="n">
        <f aca="false">B828/$B$1003</f>
        <v>0.000317539072587381</v>
      </c>
      <c r="K828" s="5" t="n">
        <f aca="false">J828*LOG(J828,2)</f>
        <v>-0.00369005115009756</v>
      </c>
    </row>
    <row r="829" customFormat="false" ht="13" hidden="false" customHeight="false" outlineLevel="0" collapsed="false">
      <c r="A829" s="4" t="n">
        <v>173</v>
      </c>
      <c r="B829" s="5" t="n">
        <v>4.0606208080233</v>
      </c>
      <c r="C829" s="5" t="n">
        <f aca="false">B829</f>
        <v>4.0606208080233</v>
      </c>
      <c r="D829" s="5" t="n">
        <f aca="false">C829*LOG(C829)</f>
        <v>2.47126310827831</v>
      </c>
      <c r="E829" s="5"/>
      <c r="F829" s="5"/>
      <c r="G829" s="4" t="n">
        <v>828</v>
      </c>
      <c r="H829" s="6" t="n">
        <v>0.172</v>
      </c>
      <c r="J829" s="2" t="n">
        <f aca="false">B829/$B$1003</f>
        <v>0.00031665494457259</v>
      </c>
      <c r="K829" s="5" t="n">
        <f aca="false">J829*LOG(J829,2)</f>
        <v>-0.00368105064420696</v>
      </c>
    </row>
    <row r="830" customFormat="false" ht="13" hidden="false" customHeight="false" outlineLevel="0" collapsed="false">
      <c r="A830" s="4" t="n">
        <v>172</v>
      </c>
      <c r="B830" s="5" t="n">
        <v>4.04371562388252</v>
      </c>
      <c r="C830" s="5" t="n">
        <f aca="false">B830</f>
        <v>4.04371562388252</v>
      </c>
      <c r="D830" s="5" t="n">
        <f aca="false">C830*LOG(C830)</f>
        <v>2.45364821690617</v>
      </c>
      <c r="E830" s="5"/>
      <c r="F830" s="5"/>
      <c r="G830" s="4" t="n">
        <v>829</v>
      </c>
      <c r="H830" s="6" t="n">
        <v>0.171</v>
      </c>
      <c r="J830" s="2" t="n">
        <f aca="false">B830/$B$1003</f>
        <v>0.000315336646115243</v>
      </c>
      <c r="K830" s="5" t="n">
        <f aca="false">J830*LOG(J830,2)</f>
        <v>-0.00366762362542091</v>
      </c>
    </row>
    <row r="831" customFormat="false" ht="13" hidden="false" customHeight="false" outlineLevel="0" collapsed="false">
      <c r="A831" s="4" t="n">
        <v>171</v>
      </c>
      <c r="B831" s="5" t="n">
        <v>4.03023143450457</v>
      </c>
      <c r="C831" s="5" t="n">
        <f aca="false">B831</f>
        <v>4.03023143450457</v>
      </c>
      <c r="D831" s="5" t="n">
        <f aca="false">C831*LOG(C831)</f>
        <v>2.4396199380364</v>
      </c>
      <c r="E831" s="5"/>
      <c r="F831" s="5"/>
      <c r="G831" s="4" t="n">
        <v>830</v>
      </c>
      <c r="H831" s="6" t="n">
        <v>0.17</v>
      </c>
      <c r="J831" s="2" t="n">
        <f aca="false">B831/$B$1003</f>
        <v>0.000314285123345217</v>
      </c>
      <c r="K831" s="5" t="n">
        <f aca="false">J831*LOG(J831,2)</f>
        <v>-0.00365690804836828</v>
      </c>
    </row>
    <row r="832" customFormat="false" ht="13" hidden="false" customHeight="false" outlineLevel="0" collapsed="false">
      <c r="A832" s="4" t="n">
        <v>170</v>
      </c>
      <c r="B832" s="5" t="n">
        <v>4.0170348242815</v>
      </c>
      <c r="C832" s="5" t="n">
        <f aca="false">B832</f>
        <v>4.0170348242815</v>
      </c>
      <c r="D832" s="5" t="n">
        <f aca="false">C832*LOG(C832)</f>
        <v>2.42590981257235</v>
      </c>
      <c r="E832" s="5"/>
      <c r="F832" s="5"/>
      <c r="G832" s="4" t="n">
        <v>831</v>
      </c>
      <c r="H832" s="6" t="n">
        <v>0.169</v>
      </c>
      <c r="J832" s="2" t="n">
        <f aca="false">B832/$B$1003</f>
        <v>0.000313256026545418</v>
      </c>
      <c r="K832" s="5" t="n">
        <f aca="false">J832*LOG(J832,2)</f>
        <v>-0.00364641608961385</v>
      </c>
    </row>
    <row r="833" customFormat="false" ht="13" hidden="false" customHeight="false" outlineLevel="0" collapsed="false">
      <c r="A833" s="4" t="n">
        <v>169</v>
      </c>
      <c r="B833" s="5" t="n">
        <v>3.99641593084453</v>
      </c>
      <c r="C833" s="5" t="n">
        <f aca="false">B833</f>
        <v>3.99641593084453</v>
      </c>
      <c r="D833" s="5" t="n">
        <f aca="false">C833*LOG(C833)</f>
        <v>2.40452629676261</v>
      </c>
      <c r="E833" s="5"/>
      <c r="F833" s="5"/>
      <c r="G833" s="4" t="n">
        <v>832</v>
      </c>
      <c r="H833" s="6" t="n">
        <v>0.168</v>
      </c>
      <c r="J833" s="2" t="n">
        <f aca="false">B833/$B$1003</f>
        <v>0.000311648125963928</v>
      </c>
      <c r="K833" s="5" t="n">
        <f aca="false">J833*LOG(J833,2)</f>
        <v>-0.00363001327834235</v>
      </c>
    </row>
    <row r="834" customFormat="false" ht="13" hidden="false" customHeight="false" outlineLevel="0" collapsed="false">
      <c r="A834" s="4" t="n">
        <v>168</v>
      </c>
      <c r="B834" s="5" t="n">
        <v>3.97835224867663</v>
      </c>
      <c r="C834" s="5" t="n">
        <f aca="false">B834</f>
        <v>3.97835224867663</v>
      </c>
      <c r="D834" s="5" t="n">
        <f aca="false">C834*LOG(C834)</f>
        <v>2.3858307075745</v>
      </c>
      <c r="E834" s="5"/>
      <c r="F834" s="5"/>
      <c r="G834" s="4" t="n">
        <v>833</v>
      </c>
      <c r="H834" s="6" t="n">
        <v>0.167</v>
      </c>
      <c r="J834" s="2" t="n">
        <f aca="false">B834/$B$1003</f>
        <v>0.000310239485623921</v>
      </c>
      <c r="K834" s="5" t="n">
        <f aca="false">J834*LOG(J834,2)</f>
        <v>-0.00361563336402842</v>
      </c>
    </row>
    <row r="835" customFormat="false" ht="13" hidden="false" customHeight="false" outlineLevel="0" collapsed="false">
      <c r="A835" s="4" t="n">
        <v>167</v>
      </c>
      <c r="B835" s="5" t="n">
        <v>3.95512396831924</v>
      </c>
      <c r="C835" s="5" t="n">
        <f aca="false">B835</f>
        <v>3.95512396831924</v>
      </c>
      <c r="D835" s="5" t="n">
        <f aca="false">C835*LOG(C835)</f>
        <v>2.36184222622945</v>
      </c>
      <c r="E835" s="5"/>
      <c r="F835" s="5"/>
      <c r="G835" s="4" t="n">
        <v>834</v>
      </c>
      <c r="H835" s="6" t="n">
        <v>0.166</v>
      </c>
      <c r="J835" s="2" t="n">
        <f aca="false">B835/$B$1003</f>
        <v>0.000308428100080471</v>
      </c>
      <c r="K835" s="5" t="n">
        <f aca="false">J835*LOG(J835,2)</f>
        <v>-0.00359712851205413</v>
      </c>
    </row>
    <row r="836" customFormat="false" ht="13" hidden="false" customHeight="false" outlineLevel="0" collapsed="false">
      <c r="A836" s="4" t="n">
        <v>166</v>
      </c>
      <c r="B836" s="5" t="n">
        <v>3.94972872707245</v>
      </c>
      <c r="C836" s="5" t="n">
        <f aca="false">B836</f>
        <v>3.94972872707245</v>
      </c>
      <c r="D836" s="5" t="n">
        <f aca="false">C836*LOG(C836)</f>
        <v>2.35627887879387</v>
      </c>
      <c r="E836" s="5"/>
      <c r="F836" s="5"/>
      <c r="G836" s="4" t="n">
        <v>835</v>
      </c>
      <c r="H836" s="6" t="n">
        <v>0.165</v>
      </c>
      <c r="J836" s="2" t="n">
        <f aca="false">B836/$B$1003</f>
        <v>0.000308007368892131</v>
      </c>
      <c r="K836" s="5" t="n">
        <f aca="false">J836*LOG(J836,2)</f>
        <v>-0.00359282819014701</v>
      </c>
    </row>
    <row r="837" customFormat="false" ht="13" hidden="false" customHeight="false" outlineLevel="0" collapsed="false">
      <c r="A837" s="4" t="n">
        <v>165</v>
      </c>
      <c r="B837" s="5" t="n">
        <v>3.92493247466382</v>
      </c>
      <c r="C837" s="5" t="n">
        <f aca="false">B837</f>
        <v>3.92493247466382</v>
      </c>
      <c r="D837" s="5" t="n">
        <f aca="false">C837*LOG(C837)</f>
        <v>2.33075124489261</v>
      </c>
      <c r="E837" s="5"/>
      <c r="F837" s="5"/>
      <c r="G837" s="4" t="n">
        <v>836</v>
      </c>
      <c r="H837" s="6" t="n">
        <v>0.164</v>
      </c>
      <c r="J837" s="2" t="n">
        <f aca="false">B837/$B$1003</f>
        <v>0.000306073709901725</v>
      </c>
      <c r="K837" s="5" t="n">
        <f aca="false">J837*LOG(J837,2)</f>
        <v>-0.00357305345134686</v>
      </c>
    </row>
    <row r="838" customFormat="false" ht="13" hidden="false" customHeight="false" outlineLevel="0" collapsed="false">
      <c r="A838" s="4" t="n">
        <v>164</v>
      </c>
      <c r="B838" s="5" t="n">
        <v>3.90937003709132</v>
      </c>
      <c r="C838" s="5" t="n">
        <f aca="false">B838</f>
        <v>3.90937003709132</v>
      </c>
      <c r="D838" s="5" t="n">
        <f aca="false">C838*LOG(C838)</f>
        <v>2.31476450465123</v>
      </c>
      <c r="E838" s="5"/>
      <c r="F838" s="5"/>
      <c r="G838" s="4" t="n">
        <v>837</v>
      </c>
      <c r="H838" s="6" t="n">
        <v>0.163</v>
      </c>
      <c r="J838" s="2" t="n">
        <f aca="false">B838/$B$1003</f>
        <v>0.000304860121379202</v>
      </c>
      <c r="K838" s="5" t="n">
        <f aca="false">J838*LOG(J838,2)</f>
        <v>-0.0035606335837937</v>
      </c>
    </row>
    <row r="839" customFormat="false" ht="13" hidden="false" customHeight="false" outlineLevel="0" collapsed="false">
      <c r="A839" s="4" t="n">
        <v>163</v>
      </c>
      <c r="B839" s="5" t="n">
        <v>3.89086133769342</v>
      </c>
      <c r="C839" s="5" t="n">
        <f aca="false">B839</f>
        <v>3.89086133769342</v>
      </c>
      <c r="D839" s="5" t="n">
        <f aca="false">C839*LOG(C839)</f>
        <v>2.29578621060452</v>
      </c>
      <c r="E839" s="5"/>
      <c r="F839" s="5"/>
      <c r="G839" s="4" t="n">
        <v>838</v>
      </c>
      <c r="H839" s="6" t="n">
        <v>0.162</v>
      </c>
      <c r="J839" s="2" t="n">
        <f aca="false">B839/$B$1003</f>
        <v>0.000303416777748009</v>
      </c>
      <c r="K839" s="5" t="n">
        <f aca="false">J839*LOG(J839,2)</f>
        <v>-0.00354585332575177</v>
      </c>
    </row>
    <row r="840" customFormat="false" ht="13" hidden="false" customHeight="false" outlineLevel="0" collapsed="false">
      <c r="A840" s="4" t="n">
        <v>162</v>
      </c>
      <c r="B840" s="5" t="n">
        <v>3.889716107769</v>
      </c>
      <c r="C840" s="5" t="n">
        <f aca="false">B840</f>
        <v>3.889716107769</v>
      </c>
      <c r="D840" s="5" t="n">
        <f aca="false">C840*LOG(C840)</f>
        <v>2.2946131787182</v>
      </c>
      <c r="E840" s="5"/>
      <c r="F840" s="5"/>
      <c r="G840" s="4" t="n">
        <v>839</v>
      </c>
      <c r="H840" s="6" t="n">
        <v>0.161</v>
      </c>
      <c r="J840" s="2" t="n">
        <f aca="false">B840/$B$1003</f>
        <v>0.000303327470537268</v>
      </c>
      <c r="K840" s="5" t="n">
        <f aca="false">J840*LOG(J840,2)</f>
        <v>-0.00354493846904213</v>
      </c>
    </row>
    <row r="841" customFormat="false" ht="13" hidden="false" customHeight="false" outlineLevel="0" collapsed="false">
      <c r="A841" s="4" t="n">
        <v>161</v>
      </c>
      <c r="B841" s="5" t="n">
        <v>3.86842157735788</v>
      </c>
      <c r="C841" s="5" t="n">
        <f aca="false">B841</f>
        <v>3.86842157735788</v>
      </c>
      <c r="D841" s="5" t="n">
        <f aca="false">C841*LOG(C841)</f>
        <v>2.27282841789886</v>
      </c>
      <c r="E841" s="5"/>
      <c r="F841" s="5"/>
      <c r="G841" s="4" t="n">
        <v>840</v>
      </c>
      <c r="H841" s="6" t="n">
        <v>0.16</v>
      </c>
      <c r="J841" s="2" t="n">
        <f aca="false">B841/$B$1003</f>
        <v>0.000301666882497698</v>
      </c>
      <c r="K841" s="5" t="n">
        <f aca="false">J841*LOG(J841,2)</f>
        <v>-0.0035279206009489</v>
      </c>
    </row>
    <row r="842" customFormat="false" ht="13" hidden="false" customHeight="false" outlineLevel="0" collapsed="false">
      <c r="A842" s="4" t="n">
        <v>160</v>
      </c>
      <c r="B842" s="5" t="n">
        <v>3.85953574515594</v>
      </c>
      <c r="C842" s="5" t="n">
        <f aca="false">B842</f>
        <v>3.85953574515594</v>
      </c>
      <c r="D842" s="5" t="n">
        <f aca="false">C842*LOG(C842)</f>
        <v>2.26375305884378</v>
      </c>
      <c r="E842" s="5"/>
      <c r="F842" s="5"/>
      <c r="G842" s="4" t="n">
        <v>841</v>
      </c>
      <c r="H842" s="6" t="n">
        <v>0.159</v>
      </c>
      <c r="J842" s="2" t="n">
        <f aca="false">B842/$B$1003</f>
        <v>0.000300973948378406</v>
      </c>
      <c r="K842" s="5" t="n">
        <f aca="false">J842*LOG(J842,2)</f>
        <v>-0.00352081544904269</v>
      </c>
    </row>
    <row r="843" customFormat="false" ht="13" hidden="false" customHeight="false" outlineLevel="0" collapsed="false">
      <c r="A843" s="4" t="n">
        <v>159</v>
      </c>
      <c r="B843" s="5" t="n">
        <v>3.85314834719679</v>
      </c>
      <c r="C843" s="5" t="n">
        <f aca="false">B843</f>
        <v>3.85314834719679</v>
      </c>
      <c r="D843" s="5" t="n">
        <f aca="false">C843*LOG(C843)</f>
        <v>2.25723491097718</v>
      </c>
      <c r="E843" s="5"/>
      <c r="F843" s="5"/>
      <c r="G843" s="4" t="n">
        <v>842</v>
      </c>
      <c r="H843" s="6" t="n">
        <v>0.158</v>
      </c>
      <c r="J843" s="2" t="n">
        <f aca="false">B843/$B$1003</f>
        <v>0.000300475846919949</v>
      </c>
      <c r="K843" s="5" t="n">
        <f aca="false">J843*LOG(J843,2)</f>
        <v>-0.0035157066349795</v>
      </c>
    </row>
    <row r="844" customFormat="false" ht="13" hidden="false" customHeight="false" outlineLevel="0" collapsed="false">
      <c r="A844" s="4" t="n">
        <v>158</v>
      </c>
      <c r="B844" s="5" t="n">
        <v>3.85030577644994</v>
      </c>
      <c r="C844" s="5" t="n">
        <f aca="false">B844</f>
        <v>3.85030577644994</v>
      </c>
      <c r="D844" s="5" t="n">
        <f aca="false">C844*LOG(C844)</f>
        <v>2.25433563100948</v>
      </c>
      <c r="E844" s="5"/>
      <c r="F844" s="5"/>
      <c r="G844" s="4" t="n">
        <v>843</v>
      </c>
      <c r="H844" s="6" t="n">
        <v>0.157</v>
      </c>
      <c r="J844" s="2" t="n">
        <f aca="false">B844/$B$1003</f>
        <v>0.000300254177839076</v>
      </c>
      <c r="K844" s="5" t="n">
        <f aca="false">J844*LOG(J844,2)</f>
        <v>-0.00351343268691436</v>
      </c>
    </row>
    <row r="845" customFormat="false" ht="13" hidden="false" customHeight="false" outlineLevel="0" collapsed="false">
      <c r="A845" s="4" t="n">
        <v>157</v>
      </c>
      <c r="B845" s="5" t="n">
        <v>3.84638762489215</v>
      </c>
      <c r="C845" s="5" t="n">
        <f aca="false">B845</f>
        <v>3.84638762489215</v>
      </c>
      <c r="D845" s="5" t="n">
        <f aca="false">C845*LOG(C845)</f>
        <v>2.25034080649868</v>
      </c>
      <c r="E845" s="5"/>
      <c r="F845" s="5"/>
      <c r="G845" s="4" t="n">
        <v>844</v>
      </c>
      <c r="H845" s="6" t="n">
        <v>0.156</v>
      </c>
      <c r="J845" s="2" t="n">
        <f aca="false">B845/$B$1003</f>
        <v>0.000299948632917987</v>
      </c>
      <c r="K845" s="5" t="n">
        <f aca="false">J845*LOG(J845,2)</f>
        <v>-0.00351029792822537</v>
      </c>
    </row>
    <row r="846" customFormat="false" ht="13" hidden="false" customHeight="false" outlineLevel="0" collapsed="false">
      <c r="A846" s="4" t="n">
        <v>156</v>
      </c>
      <c r="B846" s="5" t="n">
        <v>3.8443260797809</v>
      </c>
      <c r="C846" s="5" t="n">
        <f aca="false">B846</f>
        <v>3.8443260797809</v>
      </c>
      <c r="D846" s="5" t="n">
        <f aca="false">C846*LOG(C846)</f>
        <v>2.24823961555447</v>
      </c>
      <c r="E846" s="5"/>
      <c r="F846" s="5"/>
      <c r="G846" s="4" t="n">
        <v>845</v>
      </c>
      <c r="H846" s="6" t="n">
        <v>0.155</v>
      </c>
      <c r="J846" s="2" t="n">
        <f aca="false">B846/$B$1003</f>
        <v>0.00029978786970374</v>
      </c>
      <c r="K846" s="5" t="n">
        <f aca="false">J846*LOG(J846,2)</f>
        <v>-0.0035086483869502</v>
      </c>
    </row>
    <row r="847" customFormat="false" ht="13" hidden="false" customHeight="false" outlineLevel="0" collapsed="false">
      <c r="A847" s="4" t="n">
        <v>155</v>
      </c>
      <c r="B847" s="5" t="n">
        <v>3.82604970342774</v>
      </c>
      <c r="C847" s="5" t="n">
        <f aca="false">B847</f>
        <v>3.82604970342774</v>
      </c>
      <c r="D847" s="5" t="n">
        <f aca="false">C847*LOG(C847)</f>
        <v>2.22963278922173</v>
      </c>
      <c r="E847" s="5"/>
      <c r="F847" s="5"/>
      <c r="G847" s="4" t="n">
        <v>846</v>
      </c>
      <c r="H847" s="6" t="n">
        <v>0.154</v>
      </c>
      <c r="J847" s="2" t="n">
        <f aca="false">B847/$B$1003</f>
        <v>0.000298362643066064</v>
      </c>
      <c r="K847" s="5" t="n">
        <f aca="false">J847*LOG(J847,2)</f>
        <v>-0.00349401913366465</v>
      </c>
    </row>
    <row r="848" customFormat="false" ht="13" hidden="false" customHeight="false" outlineLevel="0" collapsed="false">
      <c r="A848" s="4" t="n">
        <v>154</v>
      </c>
      <c r="B848" s="5" t="n">
        <v>3.81229764076394</v>
      </c>
      <c r="C848" s="5" t="n">
        <f aca="false">B848</f>
        <v>3.81229764076394</v>
      </c>
      <c r="D848" s="5" t="n">
        <f aca="false">C848*LOG(C848)</f>
        <v>2.21565706775392</v>
      </c>
      <c r="E848" s="5"/>
      <c r="F848" s="5"/>
      <c r="G848" s="4" t="n">
        <v>847</v>
      </c>
      <c r="H848" s="6" t="n">
        <v>0.153</v>
      </c>
      <c r="J848" s="2" t="n">
        <f aca="false">B848/$B$1003</f>
        <v>0.000297290231027008</v>
      </c>
      <c r="K848" s="5" t="n">
        <f aca="false">J848*LOG(J848,2)</f>
        <v>-0.00348300487616991</v>
      </c>
    </row>
    <row r="849" customFormat="false" ht="13" hidden="false" customHeight="false" outlineLevel="0" collapsed="false">
      <c r="A849" s="4" t="n">
        <v>153</v>
      </c>
      <c r="B849" s="5" t="n">
        <v>3.77324345743477</v>
      </c>
      <c r="C849" s="5" t="n">
        <f aca="false">B849</f>
        <v>3.77324345743477</v>
      </c>
      <c r="D849" s="5" t="n">
        <f aca="false">C849*LOG(C849)</f>
        <v>2.1760854503453</v>
      </c>
      <c r="E849" s="5"/>
      <c r="F849" s="5"/>
      <c r="G849" s="4" t="n">
        <v>848</v>
      </c>
      <c r="H849" s="6" t="n">
        <v>0.152</v>
      </c>
      <c r="J849" s="2" t="n">
        <f aca="false">B849/$B$1003</f>
        <v>0.000294244711427396</v>
      </c>
      <c r="K849" s="5" t="n">
        <f aca="false">J849*LOG(J849,2)</f>
        <v>-0.00345169522822018</v>
      </c>
    </row>
    <row r="850" customFormat="false" ht="13" hidden="false" customHeight="false" outlineLevel="0" collapsed="false">
      <c r="A850" s="4" t="n">
        <v>152</v>
      </c>
      <c r="B850" s="5" t="n">
        <v>3.75040919693015</v>
      </c>
      <c r="C850" s="5" t="n">
        <f aca="false">B850</f>
        <v>3.75040919693015</v>
      </c>
      <c r="D850" s="5" t="n">
        <f aca="false">C850*LOG(C850)</f>
        <v>2.15302986747583</v>
      </c>
      <c r="E850" s="5"/>
      <c r="F850" s="5"/>
      <c r="G850" s="4" t="n">
        <v>849</v>
      </c>
      <c r="H850" s="6" t="n">
        <v>0.151</v>
      </c>
      <c r="J850" s="2" t="n">
        <f aca="false">B850/$B$1003</f>
        <v>0.000292464052302525</v>
      </c>
      <c r="K850" s="5" t="n">
        <f aca="false">J850*LOG(J850,2)</f>
        <v>-0.00343336801673912</v>
      </c>
    </row>
    <row r="851" customFormat="false" ht="13" hidden="false" customHeight="false" outlineLevel="0" collapsed="false">
      <c r="A851" s="4" t="n">
        <v>151</v>
      </c>
      <c r="B851" s="5" t="n">
        <v>3.72735714271346</v>
      </c>
      <c r="C851" s="5" t="n">
        <f aca="false">B851</f>
        <v>3.72735714271346</v>
      </c>
      <c r="D851" s="5" t="n">
        <f aca="false">C851*LOG(C851)</f>
        <v>2.12981562617845</v>
      </c>
      <c r="E851" s="5"/>
      <c r="F851" s="5"/>
      <c r="G851" s="4" t="n">
        <v>850</v>
      </c>
      <c r="H851" s="6" t="n">
        <v>0.15</v>
      </c>
      <c r="J851" s="2" t="n">
        <f aca="false">B851/$B$1003</f>
        <v>0.000290666409209172</v>
      </c>
      <c r="K851" s="5" t="n">
        <f aca="false">J851*LOG(J851,2)</f>
        <v>-0.00341485013402392</v>
      </c>
      <c r="L851" s="2" t="n">
        <f aca="false">SUM(J802:J851)</f>
        <v>0.0159418838762358</v>
      </c>
    </row>
    <row r="852" customFormat="false" ht="13" hidden="false" customHeight="false" outlineLevel="0" collapsed="false">
      <c r="A852" s="4" t="n">
        <v>150</v>
      </c>
      <c r="B852" s="5" t="n">
        <v>3.71997036350217</v>
      </c>
      <c r="C852" s="5" t="n">
        <f aca="false">B852</f>
        <v>3.71997036350217</v>
      </c>
      <c r="D852" s="5" t="n">
        <f aca="false">C852*LOG(C852)</f>
        <v>2.12238995654986</v>
      </c>
      <c r="E852" s="5"/>
      <c r="F852" s="5"/>
      <c r="G852" s="4" t="n">
        <v>851</v>
      </c>
      <c r="H852" s="6" t="n">
        <v>0.149</v>
      </c>
      <c r="J852" s="2" t="n">
        <f aca="false">B852/$B$1003</f>
        <v>0.000290090374097226</v>
      </c>
      <c r="K852" s="5" t="n">
        <f aca="false">J852*LOG(J852,2)</f>
        <v>-0.00340891289204042</v>
      </c>
    </row>
    <row r="853" customFormat="false" ht="13" hidden="false" customHeight="false" outlineLevel="0" collapsed="false">
      <c r="A853" s="4" t="n">
        <v>149</v>
      </c>
      <c r="B853" s="5" t="n">
        <v>3.66338988219223</v>
      </c>
      <c r="C853" s="5" t="n">
        <f aca="false">B853</f>
        <v>3.66338988219223</v>
      </c>
      <c r="D853" s="5" t="n">
        <f aca="false">C853*LOG(C853)</f>
        <v>2.06572379573773</v>
      </c>
      <c r="E853" s="5"/>
      <c r="F853" s="5"/>
      <c r="G853" s="4" t="n">
        <v>852</v>
      </c>
      <c r="H853" s="6" t="n">
        <v>0.148</v>
      </c>
      <c r="J853" s="2" t="n">
        <f aca="false">B853/$B$1003</f>
        <v>0.000285678120400036</v>
      </c>
      <c r="K853" s="5" t="n">
        <f aca="false">J853*LOG(J853,2)</f>
        <v>-0.00336338045200088</v>
      </c>
    </row>
    <row r="854" customFormat="false" ht="13" hidden="false" customHeight="false" outlineLevel="0" collapsed="false">
      <c r="A854" s="4" t="n">
        <v>148</v>
      </c>
      <c r="B854" s="5" t="n">
        <v>3.63645837104991</v>
      </c>
      <c r="C854" s="5" t="n">
        <f aca="false">B854</f>
        <v>3.63645837104991</v>
      </c>
      <c r="D854" s="5" t="n">
        <f aca="false">C854*LOG(C854)</f>
        <v>2.03888446218236</v>
      </c>
      <c r="E854" s="5"/>
      <c r="F854" s="5"/>
      <c r="G854" s="4" t="n">
        <v>853</v>
      </c>
      <c r="H854" s="6" t="n">
        <v>0.147</v>
      </c>
      <c r="J854" s="2" t="n">
        <f aca="false">B854/$B$1003</f>
        <v>0.000283577949866708</v>
      </c>
      <c r="K854" s="5" t="n">
        <f aca="false">J854*LOG(J854,2)</f>
        <v>-0.00334167320941242</v>
      </c>
    </row>
    <row r="855" customFormat="false" ht="13" hidden="false" customHeight="false" outlineLevel="0" collapsed="false">
      <c r="A855" s="4" t="n">
        <v>147</v>
      </c>
      <c r="B855" s="5" t="n">
        <v>3.58861035236251</v>
      </c>
      <c r="C855" s="5" t="n">
        <f aca="false">B855</f>
        <v>3.58861035236251</v>
      </c>
      <c r="D855" s="5" t="n">
        <f aca="false">C855*LOG(C855)</f>
        <v>1.99141428522854</v>
      </c>
      <c r="E855" s="5"/>
      <c r="F855" s="5"/>
      <c r="G855" s="4" t="n">
        <v>854</v>
      </c>
      <c r="H855" s="6" t="n">
        <v>0.146</v>
      </c>
      <c r="J855" s="2" t="n">
        <f aca="false">B855/$B$1003</f>
        <v>0.000279846670236896</v>
      </c>
      <c r="K855" s="5" t="n">
        <f aca="false">J855*LOG(J855,2)</f>
        <v>-0.00330305146052866</v>
      </c>
    </row>
    <row r="856" customFormat="false" ht="13" hidden="false" customHeight="false" outlineLevel="0" collapsed="false">
      <c r="A856" s="4" t="n">
        <v>146</v>
      </c>
      <c r="B856" s="5" t="n">
        <v>3.51100406677952</v>
      </c>
      <c r="C856" s="5" t="n">
        <f aca="false">B856</f>
        <v>3.51100406677952</v>
      </c>
      <c r="D856" s="5" t="n">
        <f aca="false">C856*LOG(C856)</f>
        <v>1.9150116265807</v>
      </c>
      <c r="E856" s="5"/>
      <c r="F856" s="5"/>
      <c r="G856" s="4" t="n">
        <v>855</v>
      </c>
      <c r="H856" s="6" t="n">
        <v>0.145</v>
      </c>
      <c r="J856" s="2" t="n">
        <f aca="false">B856/$B$1003</f>
        <v>0.000273794784276205</v>
      </c>
      <c r="K856" s="5" t="n">
        <f aca="false">J856*LOG(J856,2)</f>
        <v>-0.00324025652231757</v>
      </c>
    </row>
    <row r="857" customFormat="false" ht="13" hidden="false" customHeight="false" outlineLevel="0" collapsed="false">
      <c r="A857" s="4" t="n">
        <v>145</v>
      </c>
      <c r="B857" s="5" t="n">
        <v>3.50389294823094</v>
      </c>
      <c r="C857" s="5" t="n">
        <f aca="false">B857</f>
        <v>3.50389294823094</v>
      </c>
      <c r="D857" s="5" t="n">
        <f aca="false">C857*LOG(C857)</f>
        <v>1.90804780979375</v>
      </c>
      <c r="E857" s="5"/>
      <c r="F857" s="5"/>
      <c r="G857" s="4" t="n">
        <v>856</v>
      </c>
      <c r="H857" s="6" t="n">
        <v>0.144</v>
      </c>
      <c r="J857" s="2" t="n">
        <f aca="false">B857/$B$1003</f>
        <v>0.000273240245707767</v>
      </c>
      <c r="K857" s="5" t="n">
        <f aca="false">J857*LOG(J857,2)</f>
        <v>-0.00323449298983045</v>
      </c>
    </row>
    <row r="858" customFormat="false" ht="13" hidden="false" customHeight="false" outlineLevel="0" collapsed="false">
      <c r="A858" s="4" t="n">
        <v>144</v>
      </c>
      <c r="B858" s="5" t="n">
        <v>3.45312851636119</v>
      </c>
      <c r="C858" s="5" t="n">
        <f aca="false">B858</f>
        <v>3.45312851636119</v>
      </c>
      <c r="D858" s="5" t="n">
        <f aca="false">C858*LOG(C858)</f>
        <v>1.85851776709167</v>
      </c>
      <c r="E858" s="5"/>
      <c r="F858" s="5"/>
      <c r="G858" s="4" t="n">
        <v>857</v>
      </c>
      <c r="H858" s="6" t="n">
        <v>0.143</v>
      </c>
      <c r="J858" s="2" t="n">
        <f aca="false">B858/$B$1003</f>
        <v>0.00026928153862332</v>
      </c>
      <c r="K858" s="5" t="n">
        <f aca="false">J858*LOG(J858,2)</f>
        <v>-0.0031933012607393</v>
      </c>
    </row>
    <row r="859" customFormat="false" ht="13" hidden="false" customHeight="false" outlineLevel="0" collapsed="false">
      <c r="A859" s="4" t="n">
        <v>143</v>
      </c>
      <c r="B859" s="5" t="n">
        <v>3.45251138110075</v>
      </c>
      <c r="C859" s="5" t="n">
        <f aca="false">B859</f>
        <v>3.45251138110075</v>
      </c>
      <c r="D859" s="5" t="n">
        <f aca="false">C859*LOG(C859)</f>
        <v>1.85791762254404</v>
      </c>
      <c r="E859" s="5"/>
      <c r="F859" s="5"/>
      <c r="G859" s="4" t="n">
        <v>858</v>
      </c>
      <c r="H859" s="6" t="n">
        <v>0.142</v>
      </c>
      <c r="J859" s="2" t="n">
        <f aca="false">B859/$B$1003</f>
        <v>0.000269233413240299</v>
      </c>
      <c r="K859" s="5" t="n">
        <f aca="false">J859*LOG(J859,2)</f>
        <v>-0.00319279998526081</v>
      </c>
    </row>
    <row r="860" customFormat="false" ht="13" hidden="false" customHeight="false" outlineLevel="0" collapsed="false">
      <c r="A860" s="4" t="n">
        <v>142</v>
      </c>
      <c r="B860" s="5" t="n">
        <v>3.44980670727114</v>
      </c>
      <c r="C860" s="5" t="n">
        <f aca="false">B860</f>
        <v>3.44980670727114</v>
      </c>
      <c r="D860" s="5" t="n">
        <f aca="false">C860*LOG(C860)</f>
        <v>1.8552879778684</v>
      </c>
      <c r="E860" s="5"/>
      <c r="F860" s="5"/>
      <c r="G860" s="4" t="n">
        <v>859</v>
      </c>
      <c r="H860" s="6" t="n">
        <v>0.141</v>
      </c>
      <c r="J860" s="2" t="n">
        <f aca="false">B860/$B$1003</f>
        <v>0.000269022497623675</v>
      </c>
      <c r="K860" s="5" t="n">
        <f aca="false">J860*LOG(J860,2)</f>
        <v>-0.00319060293525931</v>
      </c>
    </row>
    <row r="861" customFormat="false" ht="13" hidden="false" customHeight="false" outlineLevel="0" collapsed="false">
      <c r="A861" s="4" t="n">
        <v>141</v>
      </c>
      <c r="B861" s="5" t="n">
        <v>3.44810664643683</v>
      </c>
      <c r="C861" s="5" t="n">
        <f aca="false">B861</f>
        <v>3.44810664643683</v>
      </c>
      <c r="D861" s="5" t="n">
        <f aca="false">C861*LOG(C861)</f>
        <v>1.85363554897025</v>
      </c>
      <c r="E861" s="5"/>
      <c r="F861" s="5"/>
      <c r="G861" s="4" t="n">
        <v>860</v>
      </c>
      <c r="H861" s="6" t="n">
        <v>0.14</v>
      </c>
      <c r="J861" s="2" t="n">
        <f aca="false">B861/$B$1003</f>
        <v>0.000268889923641836</v>
      </c>
      <c r="K861" s="5" t="n">
        <f aca="false">J861*LOG(J861,2)</f>
        <v>-0.0031892218264411</v>
      </c>
    </row>
    <row r="862" customFormat="false" ht="13" hidden="false" customHeight="false" outlineLevel="0" collapsed="false">
      <c r="A862" s="4" t="n">
        <v>140</v>
      </c>
      <c r="B862" s="5" t="n">
        <v>3.41248658991572</v>
      </c>
      <c r="C862" s="5" t="n">
        <f aca="false">B862</f>
        <v>3.41248658991572</v>
      </c>
      <c r="D862" s="5" t="n">
        <f aca="false">C862*LOG(C862)</f>
        <v>1.81909747995311</v>
      </c>
      <c r="E862" s="5"/>
      <c r="F862" s="5"/>
      <c r="G862" s="4" t="n">
        <v>861</v>
      </c>
      <c r="H862" s="6" t="n">
        <v>0.139</v>
      </c>
      <c r="J862" s="2" t="n">
        <f aca="false">B862/$B$1003</f>
        <v>0.000266112203791443</v>
      </c>
      <c r="K862" s="5" t="n">
        <f aca="false">J862*LOG(J862,2)</f>
        <v>-0.00316026276593957</v>
      </c>
    </row>
    <row r="863" customFormat="false" ht="13" hidden="false" customHeight="false" outlineLevel="0" collapsed="false">
      <c r="A863" s="4" t="n">
        <v>139</v>
      </c>
      <c r="B863" s="5" t="n">
        <v>3.40879882569823</v>
      </c>
      <c r="C863" s="5" t="n">
        <f aca="false">B863</f>
        <v>3.40879882569823</v>
      </c>
      <c r="D863" s="5" t="n">
        <f aca="false">C863*LOG(C863)</f>
        <v>1.81553093001304</v>
      </c>
      <c r="E863" s="5"/>
      <c r="F863" s="5"/>
      <c r="G863" s="4" t="n">
        <v>862</v>
      </c>
      <c r="H863" s="6" t="n">
        <v>0.138</v>
      </c>
      <c r="J863" s="2" t="n">
        <f aca="false">B863/$B$1003</f>
        <v>0.000265824624913952</v>
      </c>
      <c r="K863" s="5" t="n">
        <f aca="false">J863*LOG(J863,2)</f>
        <v>-0.0031572622362366</v>
      </c>
    </row>
    <row r="864" customFormat="false" ht="13" hidden="false" customHeight="false" outlineLevel="0" collapsed="false">
      <c r="A864" s="4" t="n">
        <v>138</v>
      </c>
      <c r="B864" s="5" t="n">
        <v>3.40753605585871</v>
      </c>
      <c r="C864" s="5" t="n">
        <f aca="false">B864</f>
        <v>3.40753605585871</v>
      </c>
      <c r="D864" s="5" t="n">
        <f aca="false">C864*LOG(C864)</f>
        <v>1.81431006468224</v>
      </c>
      <c r="E864" s="5"/>
      <c r="F864" s="5"/>
      <c r="G864" s="4" t="n">
        <v>863</v>
      </c>
      <c r="H864" s="6" t="n">
        <v>0.137</v>
      </c>
      <c r="J864" s="2" t="n">
        <f aca="false">B864/$B$1003</f>
        <v>0.000265726151716763</v>
      </c>
      <c r="K864" s="5" t="n">
        <f aca="false">J864*LOG(J864,2)</f>
        <v>-0.00315623468715013</v>
      </c>
    </row>
    <row r="865" customFormat="false" ht="13" hidden="false" customHeight="false" outlineLevel="0" collapsed="false">
      <c r="A865" s="4" t="n">
        <v>137</v>
      </c>
      <c r="B865" s="5" t="n">
        <v>3.39236388383188</v>
      </c>
      <c r="C865" s="5" t="n">
        <f aca="false">B865</f>
        <v>3.39236388383188</v>
      </c>
      <c r="D865" s="5" t="n">
        <f aca="false">C865*LOG(C865)</f>
        <v>1.79965728696081</v>
      </c>
      <c r="E865" s="5"/>
      <c r="F865" s="5"/>
      <c r="G865" s="4" t="n">
        <v>864</v>
      </c>
      <c r="H865" s="6" t="n">
        <v>0.136</v>
      </c>
      <c r="J865" s="2" t="n">
        <f aca="false">B865/$B$1003</f>
        <v>0.000264542996844801</v>
      </c>
      <c r="K865" s="5" t="n">
        <f aca="false">J865*LOG(J865,2)</f>
        <v>-0.00314388456907818</v>
      </c>
    </row>
    <row r="866" customFormat="false" ht="13" hidden="false" customHeight="false" outlineLevel="0" collapsed="false">
      <c r="A866" s="4" t="n">
        <v>136</v>
      </c>
      <c r="B866" s="5" t="n">
        <v>3.33818731923105</v>
      </c>
      <c r="C866" s="5" t="n">
        <f aca="false">B866</f>
        <v>3.33818731923105</v>
      </c>
      <c r="D866" s="5" t="n">
        <f aca="false">C866*LOG(C866)</f>
        <v>1.74757679040991</v>
      </c>
      <c r="E866" s="5"/>
      <c r="F866" s="5"/>
      <c r="G866" s="4" t="n">
        <v>865</v>
      </c>
      <c r="H866" s="6" t="n">
        <v>0.135</v>
      </c>
      <c r="J866" s="2" t="n">
        <f aca="false">B866/$B$1003</f>
        <v>0.000260318205151149</v>
      </c>
      <c r="K866" s="5" t="n">
        <f aca="false">J866*LOG(J866,2)</f>
        <v>-0.00309972241186269</v>
      </c>
    </row>
    <row r="867" customFormat="false" ht="13" hidden="false" customHeight="false" outlineLevel="0" collapsed="false">
      <c r="A867" s="4" t="n">
        <v>135</v>
      </c>
      <c r="B867" s="5" t="n">
        <v>3.32635543623945</v>
      </c>
      <c r="C867" s="5" t="n">
        <f aca="false">B867</f>
        <v>3.32635543623945</v>
      </c>
      <c r="D867" s="5" t="n">
        <f aca="false">C867*LOG(C867)</f>
        <v>1.73625326880783</v>
      </c>
      <c r="E867" s="5"/>
      <c r="F867" s="5"/>
      <c r="G867" s="4" t="n">
        <v>866</v>
      </c>
      <c r="H867" s="6" t="n">
        <v>0.134</v>
      </c>
      <c r="J867" s="2" t="n">
        <f aca="false">B867/$B$1003</f>
        <v>0.000259395532380155</v>
      </c>
      <c r="K867" s="5" t="n">
        <f aca="false">J867*LOG(J867,2)</f>
        <v>-0.00309006451833421</v>
      </c>
    </row>
    <row r="868" customFormat="false" ht="13" hidden="false" customHeight="false" outlineLevel="0" collapsed="false">
      <c r="A868" s="4" t="n">
        <v>134</v>
      </c>
      <c r="B868" s="5" t="n">
        <v>3.32198265497391</v>
      </c>
      <c r="C868" s="5" t="n">
        <f aca="false">B868</f>
        <v>3.32198265497391</v>
      </c>
      <c r="D868" s="5" t="n">
        <f aca="false">C868*LOG(C868)</f>
        <v>1.73207298807967</v>
      </c>
      <c r="E868" s="5"/>
      <c r="F868" s="5"/>
      <c r="G868" s="4" t="n">
        <v>867</v>
      </c>
      <c r="H868" s="6" t="n">
        <v>0.133</v>
      </c>
      <c r="J868" s="2" t="n">
        <f aca="false">B868/$B$1003</f>
        <v>0.000259054534568556</v>
      </c>
      <c r="K868" s="5" t="n">
        <f aca="false">J868*LOG(J868,2)</f>
        <v>-0.0030864939942215</v>
      </c>
    </row>
    <row r="869" customFormat="false" ht="13" hidden="false" customHeight="false" outlineLevel="0" collapsed="false">
      <c r="A869" s="4" t="n">
        <v>133</v>
      </c>
      <c r="B869" s="5" t="n">
        <v>3.31865451010816</v>
      </c>
      <c r="C869" s="5" t="n">
        <f aca="false">B869</f>
        <v>3.31865451010816</v>
      </c>
      <c r="D869" s="5" t="n">
        <f aca="false">C869*LOG(C869)</f>
        <v>1.72889303146097</v>
      </c>
      <c r="E869" s="5"/>
      <c r="F869" s="5"/>
      <c r="G869" s="4" t="n">
        <v>868</v>
      </c>
      <c r="H869" s="6" t="n">
        <v>0.132</v>
      </c>
      <c r="J869" s="2" t="n">
        <f aca="false">B869/$B$1003</f>
        <v>0.000258794999493054</v>
      </c>
      <c r="K869" s="5" t="n">
        <f aca="false">J869*LOG(J869,2)</f>
        <v>-0.00308377601718465</v>
      </c>
    </row>
    <row r="870" customFormat="false" ht="13" hidden="false" customHeight="false" outlineLevel="0" collapsed="false">
      <c r="A870" s="4" t="n">
        <v>132</v>
      </c>
      <c r="B870" s="5" t="n">
        <v>3.29817946181857</v>
      </c>
      <c r="C870" s="5" t="n">
        <f aca="false">B870</f>
        <v>3.29817946181857</v>
      </c>
      <c r="D870" s="5" t="n">
        <f aca="false">C870*LOG(C870)</f>
        <v>1.70936159561782</v>
      </c>
      <c r="E870" s="5"/>
      <c r="F870" s="5"/>
      <c r="G870" s="4" t="n">
        <v>869</v>
      </c>
      <c r="H870" s="6" t="n">
        <v>0.131</v>
      </c>
      <c r="J870" s="2" t="n">
        <f aca="false">B870/$B$1003</f>
        <v>0.000257198316230128</v>
      </c>
      <c r="K870" s="5" t="n">
        <f aca="false">J870*LOG(J870,2)</f>
        <v>-0.00306704650122938</v>
      </c>
    </row>
    <row r="871" customFormat="false" ht="13" hidden="false" customHeight="false" outlineLevel="0" collapsed="false">
      <c r="A871" s="4" t="n">
        <v>131</v>
      </c>
      <c r="B871" s="5" t="n">
        <v>3.28915729670928</v>
      </c>
      <c r="C871" s="5" t="n">
        <f aca="false">B871</f>
        <v>3.28915729670928</v>
      </c>
      <c r="D871" s="5" t="n">
        <f aca="false">C871*LOG(C871)</f>
        <v>1.70077272705661</v>
      </c>
      <c r="E871" s="5"/>
      <c r="F871" s="5"/>
      <c r="G871" s="4" t="n">
        <v>870</v>
      </c>
      <c r="H871" s="6" t="n">
        <v>0.13</v>
      </c>
      <c r="J871" s="2" t="n">
        <f aca="false">B871/$B$1003</f>
        <v>0.000256494750611058</v>
      </c>
      <c r="K871" s="5" t="n">
        <f aca="false">J871*LOG(J871,2)</f>
        <v>-0.00305967024105134</v>
      </c>
    </row>
    <row r="872" customFormat="false" ht="13" hidden="false" customHeight="false" outlineLevel="0" collapsed="false">
      <c r="A872" s="4" t="n">
        <v>130</v>
      </c>
      <c r="B872" s="5" t="n">
        <v>3.25227997886054</v>
      </c>
      <c r="C872" s="5" t="n">
        <f aca="false">B872</f>
        <v>3.25227997886054</v>
      </c>
      <c r="D872" s="5" t="n">
        <f aca="false">C872*LOG(C872)</f>
        <v>1.66577853590248</v>
      </c>
      <c r="E872" s="5"/>
      <c r="F872" s="5"/>
      <c r="G872" s="4" t="n">
        <v>871</v>
      </c>
      <c r="H872" s="6" t="n">
        <v>0.129</v>
      </c>
      <c r="J872" s="2" t="n">
        <f aca="false">B872/$B$1003</f>
        <v>0.000253618987127724</v>
      </c>
      <c r="K872" s="5" t="n">
        <f aca="false">J872*LOG(J872,2)</f>
        <v>-0.00302949138657394</v>
      </c>
    </row>
    <row r="873" customFormat="false" ht="13" hidden="false" customHeight="false" outlineLevel="0" collapsed="false">
      <c r="A873" s="4" t="n">
        <v>129</v>
      </c>
      <c r="B873" s="5" t="n">
        <v>3.1762932566769</v>
      </c>
      <c r="C873" s="5" t="n">
        <f aca="false">B873</f>
        <v>3.1762932566769</v>
      </c>
      <c r="D873" s="5" t="n">
        <f aca="false">C873*LOG(C873)</f>
        <v>1.59424699360814</v>
      </c>
      <c r="E873" s="5"/>
      <c r="F873" s="5"/>
      <c r="G873" s="4" t="n">
        <v>872</v>
      </c>
      <c r="H873" s="6" t="n">
        <v>0.128</v>
      </c>
      <c r="J873" s="2" t="n">
        <f aca="false">B873/$B$1003</f>
        <v>0.000247693397805576</v>
      </c>
      <c r="K873" s="5" t="n">
        <f aca="false">J873*LOG(J873,2)</f>
        <v>-0.00296715809152285</v>
      </c>
    </row>
    <row r="874" customFormat="false" ht="13" hidden="false" customHeight="false" outlineLevel="0" collapsed="false">
      <c r="A874" s="4" t="n">
        <v>128</v>
      </c>
      <c r="B874" s="5" t="n">
        <v>3.16928852204171</v>
      </c>
      <c r="C874" s="5" t="n">
        <f aca="false">B874</f>
        <v>3.16928852204171</v>
      </c>
      <c r="D874" s="5" t="n">
        <f aca="false">C874*LOG(C874)</f>
        <v>1.58769241233584</v>
      </c>
      <c r="E874" s="5"/>
      <c r="F874" s="5"/>
      <c r="G874" s="4" t="n">
        <v>873</v>
      </c>
      <c r="H874" s="6" t="n">
        <v>0.127</v>
      </c>
      <c r="J874" s="2" t="n">
        <f aca="false">B874/$B$1003</f>
        <v>0.000247147155257326</v>
      </c>
      <c r="K874" s="5" t="n">
        <f aca="false">J874*LOG(J874,2)</f>
        <v>-0.00296140175810961</v>
      </c>
    </row>
    <row r="875" customFormat="false" ht="13" hidden="false" customHeight="false" outlineLevel="0" collapsed="false">
      <c r="A875" s="4" t="n">
        <v>127</v>
      </c>
      <c r="B875" s="5" t="n">
        <v>3.14982371513912</v>
      </c>
      <c r="C875" s="5" t="n">
        <f aca="false">B875</f>
        <v>3.14982371513912</v>
      </c>
      <c r="D875" s="5" t="n">
        <f aca="false">C875*LOG(C875)</f>
        <v>1.56951384243058</v>
      </c>
      <c r="E875" s="5"/>
      <c r="F875" s="5"/>
      <c r="G875" s="4" t="n">
        <v>874</v>
      </c>
      <c r="H875" s="6" t="n">
        <v>0.126</v>
      </c>
      <c r="J875" s="2" t="n">
        <f aca="false">B875/$B$1003</f>
        <v>0.00024562925254189</v>
      </c>
      <c r="K875" s="5" t="n">
        <f aca="false">J875*LOG(J875,2)</f>
        <v>-0.00294539686068115</v>
      </c>
    </row>
    <row r="876" customFormat="false" ht="13" hidden="false" customHeight="false" outlineLevel="0" collapsed="false">
      <c r="A876" s="4" t="n">
        <v>126</v>
      </c>
      <c r="B876" s="5" t="n">
        <v>3.12151408698935</v>
      </c>
      <c r="C876" s="5" t="n">
        <f aca="false">B876</f>
        <v>3.12151408698935</v>
      </c>
      <c r="D876" s="5" t="n">
        <f aca="false">C876*LOG(C876)</f>
        <v>1.54316824552954</v>
      </c>
      <c r="E876" s="5"/>
      <c r="F876" s="5"/>
      <c r="G876" s="4" t="n">
        <v>875</v>
      </c>
      <c r="H876" s="6" t="n">
        <v>0.125</v>
      </c>
      <c r="J876" s="2" t="n">
        <f aca="false">B876/$B$1003</f>
        <v>0.000243421613819524</v>
      </c>
      <c r="K876" s="5" t="n">
        <f aca="false">J876*LOG(J876,2)</f>
        <v>-0.00292209515071612</v>
      </c>
    </row>
    <row r="877" customFormat="false" ht="13" hidden="false" customHeight="false" outlineLevel="0" collapsed="false">
      <c r="A877" s="4" t="n">
        <v>125</v>
      </c>
      <c r="B877" s="5" t="n">
        <v>3.11955060925516</v>
      </c>
      <c r="C877" s="5" t="n">
        <f aca="false">B877</f>
        <v>3.11955060925516</v>
      </c>
      <c r="D877" s="5" t="n">
        <f aca="false">C877*LOG(C877)</f>
        <v>1.54134511097199</v>
      </c>
      <c r="E877" s="5"/>
      <c r="F877" s="5"/>
      <c r="G877" s="4" t="n">
        <v>876</v>
      </c>
      <c r="H877" s="6" t="n">
        <v>0.124</v>
      </c>
      <c r="J877" s="2" t="n">
        <f aca="false">B877/$B$1003</f>
        <v>0.000243268498086122</v>
      </c>
      <c r="K877" s="5" t="n">
        <f aca="false">J877*LOG(J877,2)</f>
        <v>-0.00292047794021179</v>
      </c>
    </row>
    <row r="878" customFormat="false" ht="13" hidden="false" customHeight="false" outlineLevel="0" collapsed="false">
      <c r="A878" s="4" t="n">
        <v>124</v>
      </c>
      <c r="B878" s="5" t="n">
        <v>3.11536427284295</v>
      </c>
      <c r="C878" s="5" t="n">
        <f aca="false">B878</f>
        <v>3.11536427284295</v>
      </c>
      <c r="D878" s="5" t="n">
        <f aca="false">C878*LOG(C878)</f>
        <v>1.53745979315254</v>
      </c>
      <c r="E878" s="5"/>
      <c r="F878" s="5"/>
      <c r="G878" s="4" t="n">
        <v>877</v>
      </c>
      <c r="H878" s="6" t="n">
        <v>0.123</v>
      </c>
      <c r="J878" s="2" t="n">
        <f aca="false">B878/$B$1003</f>
        <v>0.000242942039599294</v>
      </c>
      <c r="K878" s="5" t="n">
        <f aca="false">J878*LOG(J878,2)</f>
        <v>-0.00291702941678626</v>
      </c>
    </row>
    <row r="879" customFormat="false" ht="13" hidden="false" customHeight="false" outlineLevel="0" collapsed="false">
      <c r="A879" s="4" t="n">
        <v>123</v>
      </c>
      <c r="B879" s="5" t="n">
        <v>3.11268115095675</v>
      </c>
      <c r="C879" s="5" t="n">
        <f aca="false">B879</f>
        <v>3.11268115095675</v>
      </c>
      <c r="D879" s="5" t="n">
        <f aca="false">C879*LOG(C879)</f>
        <v>1.5349708857057</v>
      </c>
      <c r="E879" s="5"/>
      <c r="F879" s="5"/>
      <c r="G879" s="4" t="n">
        <v>878</v>
      </c>
      <c r="H879" s="6" t="n">
        <v>0.122</v>
      </c>
      <c r="J879" s="2" t="n">
        <f aca="false">B879/$B$1003</f>
        <v>0.000242732804644264</v>
      </c>
      <c r="K879" s="5" t="n">
        <f aca="false">J879*LOG(J879,2)</f>
        <v>-0.00291481884391653</v>
      </c>
    </row>
    <row r="880" customFormat="false" ht="13" hidden="false" customHeight="false" outlineLevel="0" collapsed="false">
      <c r="A880" s="4" t="n">
        <v>122</v>
      </c>
      <c r="B880" s="5" t="n">
        <v>3.10460526880229</v>
      </c>
      <c r="C880" s="5" t="n">
        <f aca="false">B880</f>
        <v>3.10460526880229</v>
      </c>
      <c r="D880" s="5" t="n">
        <f aca="false">C880*LOG(C880)</f>
        <v>1.5274856312613</v>
      </c>
      <c r="E880" s="5"/>
      <c r="F880" s="5"/>
      <c r="G880" s="4" t="n">
        <v>879</v>
      </c>
      <c r="H880" s="6" t="n">
        <v>0.121</v>
      </c>
      <c r="J880" s="2" t="n">
        <f aca="false">B880/$B$1003</f>
        <v>0.000242103031972327</v>
      </c>
      <c r="K880" s="5" t="n">
        <f aca="false">J880*LOG(J880,2)</f>
        <v>-0.00290816370772562</v>
      </c>
    </row>
    <row r="881" customFormat="false" ht="13" hidden="false" customHeight="false" outlineLevel="0" collapsed="false">
      <c r="A881" s="4" t="n">
        <v>121</v>
      </c>
      <c r="B881" s="5" t="n">
        <v>3.08822452122999</v>
      </c>
      <c r="C881" s="5" t="n">
        <f aca="false">B881</f>
        <v>3.08822452122999</v>
      </c>
      <c r="D881" s="5" t="n">
        <f aca="false">C881*LOG(C881)</f>
        <v>1.51233093148129</v>
      </c>
      <c r="E881" s="5"/>
      <c r="F881" s="5"/>
      <c r="G881" s="4" t="n">
        <v>880</v>
      </c>
      <c r="H881" s="6" t="n">
        <v>0.12</v>
      </c>
      <c r="J881" s="2" t="n">
        <f aca="false">B881/$B$1003</f>
        <v>0.000240825630077445</v>
      </c>
      <c r="K881" s="5" t="n">
        <f aca="false">J881*LOG(J881,2)</f>
        <v>-0.00289465747060308</v>
      </c>
    </row>
    <row r="882" customFormat="false" ht="13" hidden="false" customHeight="false" outlineLevel="0" collapsed="false">
      <c r="A882" s="4" t="n">
        <v>120</v>
      </c>
      <c r="B882" s="5" t="n">
        <v>3.05963524534525</v>
      </c>
      <c r="C882" s="5" t="n">
        <f aca="false">B882</f>
        <v>3.05963524534525</v>
      </c>
      <c r="D882" s="5" t="n">
        <f aca="false">C882*LOG(C882)</f>
        <v>1.48597199439034</v>
      </c>
      <c r="E882" s="5"/>
      <c r="F882" s="5"/>
      <c r="G882" s="4" t="n">
        <v>881</v>
      </c>
      <c r="H882" s="6" t="n">
        <v>0.119</v>
      </c>
      <c r="J882" s="2" t="n">
        <f aca="false">B882/$B$1003</f>
        <v>0.000238596183892082</v>
      </c>
      <c r="K882" s="5" t="n">
        <f aca="false">J882*LOG(J882,2)</f>
        <v>-0.00287106162085057</v>
      </c>
    </row>
    <row r="883" customFormat="false" ht="13" hidden="false" customHeight="false" outlineLevel="0" collapsed="false">
      <c r="A883" s="4" t="n">
        <v>119</v>
      </c>
      <c r="B883" s="5" t="n">
        <v>3.05350121195056</v>
      </c>
      <c r="C883" s="5" t="n">
        <f aca="false">B883</f>
        <v>3.05350121195056</v>
      </c>
      <c r="D883" s="5" t="n">
        <f aca="false">C883*LOG(C883)</f>
        <v>1.48033157584207</v>
      </c>
      <c r="E883" s="5"/>
      <c r="F883" s="5"/>
      <c r="G883" s="4" t="n">
        <v>882</v>
      </c>
      <c r="H883" s="6" t="n">
        <v>0.118</v>
      </c>
      <c r="J883" s="2" t="n">
        <f aca="false">B883/$B$1003</f>
        <v>0.000238117840284927</v>
      </c>
      <c r="K883" s="5" t="n">
        <f aca="false">J883*LOG(J883,2)</f>
        <v>-0.002865995056301</v>
      </c>
    </row>
    <row r="884" customFormat="false" ht="13" hidden="false" customHeight="false" outlineLevel="0" collapsed="false">
      <c r="A884" s="4" t="n">
        <v>118</v>
      </c>
      <c r="B884" s="5" t="n">
        <v>3.04197109684947</v>
      </c>
      <c r="C884" s="5" t="n">
        <f aca="false">B884</f>
        <v>3.04197109684947</v>
      </c>
      <c r="D884" s="5" t="n">
        <f aca="false">C884*LOG(C884)</f>
        <v>1.46974379871653</v>
      </c>
      <c r="E884" s="5"/>
      <c r="F884" s="5"/>
      <c r="G884" s="4" t="n">
        <v>883</v>
      </c>
      <c r="H884" s="6" t="n">
        <v>0.117</v>
      </c>
      <c r="J884" s="2" t="n">
        <f aca="false">B884/$B$1003</f>
        <v>0.000237218699948789</v>
      </c>
      <c r="K884" s="5" t="n">
        <f aca="false">J884*LOG(J884,2)</f>
        <v>-0.00285646770335773</v>
      </c>
    </row>
    <row r="885" customFormat="false" ht="13" hidden="false" customHeight="false" outlineLevel="0" collapsed="false">
      <c r="A885" s="4" t="n">
        <v>117</v>
      </c>
      <c r="B885" s="5" t="n">
        <v>3.01129364140843</v>
      </c>
      <c r="C885" s="5" t="n">
        <f aca="false">B885</f>
        <v>3.01129364140843</v>
      </c>
      <c r="D885" s="5" t="n">
        <f aca="false">C885*LOG(C885)</f>
        <v>1.44166618721093</v>
      </c>
      <c r="E885" s="5"/>
      <c r="F885" s="5"/>
      <c r="G885" s="4" t="n">
        <v>884</v>
      </c>
      <c r="H885" s="6" t="n">
        <v>0.116</v>
      </c>
      <c r="J885" s="2" t="n">
        <f aca="false">B885/$B$1003</f>
        <v>0.000234826413544426</v>
      </c>
      <c r="K885" s="5" t="n">
        <f aca="false">J885*LOG(J885,2)</f>
        <v>-0.0028310948774684</v>
      </c>
    </row>
    <row r="886" customFormat="false" ht="13" hidden="false" customHeight="false" outlineLevel="0" collapsed="false">
      <c r="A886" s="4" t="n">
        <v>116</v>
      </c>
      <c r="B886" s="5" t="n">
        <v>3.00080218481506</v>
      </c>
      <c r="C886" s="5" t="n">
        <f aca="false">B886</f>
        <v>3.00080218481506</v>
      </c>
      <c r="D886" s="5" t="n">
        <f aca="false">C886*LOG(C886)</f>
        <v>1.43209493459708</v>
      </c>
      <c r="E886" s="5"/>
      <c r="F886" s="5"/>
      <c r="G886" s="4" t="n">
        <v>885</v>
      </c>
      <c r="H886" s="6" t="n">
        <v>0.115</v>
      </c>
      <c r="J886" s="2" t="n">
        <f aca="false">B886/$B$1003</f>
        <v>0.000234008269776976</v>
      </c>
      <c r="K886" s="5" t="n">
        <f aca="false">J886*LOG(J886,2)</f>
        <v>-0.00282240951332819</v>
      </c>
    </row>
    <row r="887" customFormat="false" ht="13" hidden="false" customHeight="false" outlineLevel="0" collapsed="false">
      <c r="A887" s="4" t="n">
        <v>115</v>
      </c>
      <c r="B887" s="5" t="n">
        <v>2.99723310543686</v>
      </c>
      <c r="C887" s="5" t="n">
        <f aca="false">B887</f>
        <v>2.99723310543686</v>
      </c>
      <c r="D887" s="5" t="n">
        <f aca="false">C887*LOG(C887)</f>
        <v>1.42884252722145</v>
      </c>
      <c r="E887" s="5"/>
      <c r="F887" s="5"/>
      <c r="G887" s="4" t="n">
        <v>886</v>
      </c>
      <c r="H887" s="6" t="n">
        <v>0.114</v>
      </c>
      <c r="J887" s="2" t="n">
        <f aca="false">B887/$B$1003</f>
        <v>0.000233729946169304</v>
      </c>
      <c r="K887" s="5" t="n">
        <f aca="false">J887*LOG(J887,2)</f>
        <v>-0.00281945390695558</v>
      </c>
    </row>
    <row r="888" customFormat="false" ht="13" hidden="false" customHeight="false" outlineLevel="0" collapsed="false">
      <c r="A888" s="4" t="n">
        <v>114</v>
      </c>
      <c r="B888" s="5" t="n">
        <v>2.88895515649836</v>
      </c>
      <c r="C888" s="5" t="n">
        <f aca="false">B888</f>
        <v>2.88895515649836</v>
      </c>
      <c r="D888" s="5" t="n">
        <f aca="false">C888*LOG(C888)</f>
        <v>1.33105951172057</v>
      </c>
      <c r="E888" s="5"/>
      <c r="F888" s="5"/>
      <c r="G888" s="4" t="n">
        <v>887</v>
      </c>
      <c r="H888" s="6" t="n">
        <v>0.113</v>
      </c>
      <c r="J888" s="2" t="n">
        <f aca="false">B888/$B$1003</f>
        <v>0.00022528622548211</v>
      </c>
      <c r="K888" s="5" t="n">
        <f aca="false">J888*LOG(J888,2)</f>
        <v>-0.00272955738098547</v>
      </c>
    </row>
    <row r="889" customFormat="false" ht="13" hidden="false" customHeight="false" outlineLevel="0" collapsed="false">
      <c r="A889" s="4" t="n">
        <v>113</v>
      </c>
      <c r="B889" s="5" t="n">
        <v>2.88131978650341</v>
      </c>
      <c r="C889" s="5" t="n">
        <f aca="false">B889</f>
        <v>2.88131978650341</v>
      </c>
      <c r="D889" s="5" t="n">
        <f aca="false">C889*LOG(C889)</f>
        <v>1.32422997205895</v>
      </c>
      <c r="E889" s="5"/>
      <c r="F889" s="5"/>
      <c r="G889" s="4" t="n">
        <v>888</v>
      </c>
      <c r="H889" s="6" t="n">
        <v>0.112</v>
      </c>
      <c r="J889" s="2" t="n">
        <f aca="false">B889/$B$1003</f>
        <v>0.000224690804787382</v>
      </c>
      <c r="K889" s="5" t="n">
        <f aca="false">J889*LOG(J889,2)</f>
        <v>-0.00272320116599076</v>
      </c>
    </row>
    <row r="890" customFormat="false" ht="13" hidden="false" customHeight="false" outlineLevel="0" collapsed="false">
      <c r="A890" s="4" t="n">
        <v>112</v>
      </c>
      <c r="B890" s="5" t="n">
        <v>2.86381659934</v>
      </c>
      <c r="C890" s="5" t="n">
        <f aca="false">B890</f>
        <v>2.86381659934</v>
      </c>
      <c r="D890" s="5" t="n">
        <f aca="false">C890*LOG(C890)</f>
        <v>1.30860725455637</v>
      </c>
      <c r="E890" s="5"/>
      <c r="F890" s="5"/>
      <c r="G890" s="4" t="n">
        <v>889</v>
      </c>
      <c r="H890" s="6" t="n">
        <v>0.111</v>
      </c>
      <c r="J890" s="2" t="n">
        <f aca="false">B890/$B$1003</f>
        <v>0.000223325872915358</v>
      </c>
      <c r="K890" s="5" t="n">
        <f aca="false">J890*LOG(J890,2)</f>
        <v>-0.00270862169106237</v>
      </c>
    </row>
    <row r="891" customFormat="false" ht="13" hidden="false" customHeight="false" outlineLevel="0" collapsed="false">
      <c r="A891" s="4" t="n">
        <v>111</v>
      </c>
      <c r="B891" s="5" t="n">
        <v>2.86252151567373</v>
      </c>
      <c r="C891" s="5" t="n">
        <f aca="false">B891</f>
        <v>2.86252151567373</v>
      </c>
      <c r="D891" s="5" t="n">
        <f aca="false">C891*LOG(C891)</f>
        <v>1.30745315179404</v>
      </c>
      <c r="E891" s="5"/>
      <c r="F891" s="5"/>
      <c r="G891" s="4" t="n">
        <v>890</v>
      </c>
      <c r="H891" s="6" t="n">
        <v>0.11</v>
      </c>
      <c r="J891" s="2" t="n">
        <f aca="false">B891/$B$1003</f>
        <v>0.000223224879824413</v>
      </c>
      <c r="K891" s="5" t="n">
        <f aca="false">J891*LOG(J891,2)</f>
        <v>-0.002707542459381</v>
      </c>
    </row>
    <row r="892" customFormat="false" ht="13" hidden="false" customHeight="false" outlineLevel="0" collapsed="false">
      <c r="A892" s="4" t="n">
        <v>110</v>
      </c>
      <c r="B892" s="5" t="n">
        <v>2.77037934688084</v>
      </c>
      <c r="C892" s="5" t="n">
        <f aca="false">B892</f>
        <v>2.77037934688084</v>
      </c>
      <c r="D892" s="5" t="n">
        <f aca="false">C892*LOG(C892)</f>
        <v>1.22600157316631</v>
      </c>
      <c r="E892" s="5"/>
      <c r="F892" s="5"/>
      <c r="G892" s="4" t="n">
        <v>891</v>
      </c>
      <c r="H892" s="6" t="n">
        <v>0.109</v>
      </c>
      <c r="J892" s="2" t="n">
        <f aca="false">B892/$B$1003</f>
        <v>0.000216039458005596</v>
      </c>
      <c r="K892" s="5" t="n">
        <f aca="false">J892*LOG(J892,2)</f>
        <v>-0.00263058664698823</v>
      </c>
    </row>
    <row r="893" customFormat="false" ht="13" hidden="false" customHeight="false" outlineLevel="0" collapsed="false">
      <c r="A893" s="4" t="n">
        <v>109</v>
      </c>
      <c r="B893" s="5" t="n">
        <v>2.75587222404624</v>
      </c>
      <c r="C893" s="5" t="n">
        <f aca="false">B893</f>
        <v>2.75587222404624</v>
      </c>
      <c r="D893" s="5" t="n">
        <f aca="false">C893*LOG(C893)</f>
        <v>1.21329776347567</v>
      </c>
      <c r="E893" s="5"/>
      <c r="F893" s="5"/>
      <c r="G893" s="4" t="n">
        <v>892</v>
      </c>
      <c r="H893" s="6" t="n">
        <v>0.108</v>
      </c>
      <c r="J893" s="2" t="n">
        <f aca="false">B893/$B$1003</f>
        <v>0.000214908164936315</v>
      </c>
      <c r="K893" s="5" t="n">
        <f aca="false">J893*LOG(J893,2)</f>
        <v>-0.0026184393803489</v>
      </c>
    </row>
    <row r="894" customFormat="false" ht="13" hidden="false" customHeight="false" outlineLevel="0" collapsed="false">
      <c r="A894" s="4" t="n">
        <v>108</v>
      </c>
      <c r="B894" s="5" t="n">
        <v>2.75032231639113</v>
      </c>
      <c r="C894" s="5" t="n">
        <f aca="false">B894</f>
        <v>2.75032231639113</v>
      </c>
      <c r="D894" s="5" t="n">
        <f aca="false">C894*LOG(C894)</f>
        <v>1.20844650059464</v>
      </c>
      <c r="E894" s="5"/>
      <c r="F894" s="5"/>
      <c r="G894" s="4" t="n">
        <v>893</v>
      </c>
      <c r="H894" s="6" t="n">
        <v>0.107</v>
      </c>
      <c r="J894" s="2" t="n">
        <f aca="false">B894/$B$1003</f>
        <v>0.000214475372566873</v>
      </c>
      <c r="K894" s="5" t="n">
        <f aca="false">J894*LOG(J894,2)</f>
        <v>-0.00261378999981765</v>
      </c>
    </row>
    <row r="895" customFormat="false" ht="13" hidden="false" customHeight="false" outlineLevel="0" collapsed="false">
      <c r="A895" s="4" t="n">
        <v>107</v>
      </c>
      <c r="B895" s="5" t="n">
        <v>2.72870016292308</v>
      </c>
      <c r="C895" s="5" t="n">
        <f aca="false">B895</f>
        <v>2.72870016292308</v>
      </c>
      <c r="D895" s="5" t="n">
        <f aca="false">C895*LOG(C895)</f>
        <v>1.18959270838331</v>
      </c>
      <c r="E895" s="5"/>
      <c r="F895" s="5"/>
      <c r="G895" s="4" t="n">
        <v>894</v>
      </c>
      <c r="H895" s="6" t="n">
        <v>0.106</v>
      </c>
      <c r="J895" s="2" t="n">
        <f aca="false">B895/$B$1003</f>
        <v>0.000212789235857323</v>
      </c>
      <c r="K895" s="5" t="n">
        <f aca="false">J895*LOG(J895,2)</f>
        <v>-0.00259566421353369</v>
      </c>
    </row>
    <row r="896" customFormat="false" ht="13" hidden="false" customHeight="false" outlineLevel="0" collapsed="false">
      <c r="A896" s="4" t="n">
        <v>106</v>
      </c>
      <c r="B896" s="5" t="n">
        <v>2.71078310294661</v>
      </c>
      <c r="C896" s="5" t="n">
        <f aca="false">B896</f>
        <v>2.71078310294661</v>
      </c>
      <c r="D896" s="5" t="n">
        <f aca="false">C896*LOG(C896)</f>
        <v>1.17402598421945</v>
      </c>
      <c r="E896" s="5"/>
      <c r="F896" s="5"/>
      <c r="G896" s="4" t="n">
        <v>895</v>
      </c>
      <c r="H896" s="6" t="n">
        <v>0.105</v>
      </c>
      <c r="J896" s="2" t="n">
        <f aca="false">B896/$B$1003</f>
        <v>0.000211392029395065</v>
      </c>
      <c r="K896" s="5" t="n">
        <f aca="false">J896*LOG(J896,2)</f>
        <v>-0.00258062979828464</v>
      </c>
    </row>
    <row r="897" customFormat="false" ht="13" hidden="false" customHeight="false" outlineLevel="0" collapsed="false">
      <c r="A897" s="4" t="n">
        <v>105</v>
      </c>
      <c r="B897" s="5" t="n">
        <v>2.70723424769557</v>
      </c>
      <c r="C897" s="5" t="n">
        <f aca="false">B897</f>
        <v>2.70723424769557</v>
      </c>
      <c r="D897" s="5" t="n">
        <f aca="false">C897*LOG(C897)</f>
        <v>1.17094875463115</v>
      </c>
      <c r="E897" s="5"/>
      <c r="F897" s="5"/>
      <c r="G897" s="4" t="n">
        <v>896</v>
      </c>
      <c r="H897" s="6" t="n">
        <v>0.104</v>
      </c>
      <c r="J897" s="2" t="n">
        <f aca="false">B897/$B$1003</f>
        <v>0.000211115282903347</v>
      </c>
      <c r="K897" s="5" t="n">
        <f aca="false">J897*LOG(J897,2)</f>
        <v>-0.00257765033417179</v>
      </c>
    </row>
    <row r="898" customFormat="false" ht="13" hidden="false" customHeight="false" outlineLevel="0" collapsed="false">
      <c r="A898" s="4" t="n">
        <v>104</v>
      </c>
      <c r="B898" s="5" t="n">
        <v>2.69974631838671</v>
      </c>
      <c r="C898" s="5" t="n">
        <f aca="false">B898</f>
        <v>2.69974631838671</v>
      </c>
      <c r="D898" s="5" t="n">
        <f aca="false">C898*LOG(C898)</f>
        <v>1.1644625668247</v>
      </c>
      <c r="E898" s="5"/>
      <c r="F898" s="5"/>
      <c r="G898" s="4" t="n">
        <v>897</v>
      </c>
      <c r="H898" s="6" t="n">
        <v>0.103</v>
      </c>
      <c r="J898" s="2" t="n">
        <f aca="false">B898/$B$1003</f>
        <v>0.00021053135991414</v>
      </c>
      <c r="K898" s="5" t="n">
        <f aca="false">J898*LOG(J898,2)</f>
        <v>-0.00257136207723374</v>
      </c>
    </row>
    <row r="899" customFormat="false" ht="13" hidden="false" customHeight="false" outlineLevel="0" collapsed="false">
      <c r="A899" s="4" t="n">
        <v>103</v>
      </c>
      <c r="B899" s="5" t="n">
        <v>2.68798387478171</v>
      </c>
      <c r="C899" s="5" t="n">
        <f aca="false">B899</f>
        <v>2.68798387478171</v>
      </c>
      <c r="D899" s="5" t="n">
        <f aca="false">C899*LOG(C899)</f>
        <v>1.1542919349453</v>
      </c>
      <c r="E899" s="5"/>
      <c r="F899" s="5"/>
      <c r="G899" s="4" t="n">
        <v>898</v>
      </c>
      <c r="H899" s="6" t="n">
        <v>0.102</v>
      </c>
      <c r="J899" s="2" t="n">
        <f aca="false">B899/$B$1003</f>
        <v>0.000209614102158769</v>
      </c>
      <c r="K899" s="5" t="n">
        <f aca="false">J899*LOG(J899,2)</f>
        <v>-0.00256147942331652</v>
      </c>
    </row>
    <row r="900" customFormat="false" ht="13" hidden="false" customHeight="false" outlineLevel="0" collapsed="false">
      <c r="A900" s="4" t="n">
        <v>102</v>
      </c>
      <c r="B900" s="5" t="n">
        <v>2.66921848846255</v>
      </c>
      <c r="C900" s="5" t="n">
        <f aca="false">B900</f>
        <v>2.66921848846255</v>
      </c>
      <c r="D900" s="5" t="n">
        <f aca="false">C900*LOG(C900)</f>
        <v>1.13811238790064</v>
      </c>
      <c r="E900" s="5"/>
      <c r="F900" s="5"/>
      <c r="G900" s="4" t="n">
        <v>899</v>
      </c>
      <c r="H900" s="6" t="n">
        <v>0.101</v>
      </c>
      <c r="J900" s="2" t="n">
        <f aca="false">B900/$B$1003</f>
        <v>0.000208150741592563</v>
      </c>
      <c r="K900" s="5" t="n">
        <f aca="false">J900*LOG(J900,2)</f>
        <v>-0.00254570098795509</v>
      </c>
    </row>
    <row r="901" customFormat="false" ht="13" hidden="false" customHeight="false" outlineLevel="0" collapsed="false">
      <c r="A901" s="4" t="n">
        <v>101</v>
      </c>
      <c r="B901" s="5" t="n">
        <v>2.66126027371763</v>
      </c>
      <c r="C901" s="5" t="n">
        <f aca="false">B901</f>
        <v>2.66126027371763</v>
      </c>
      <c r="D901" s="5" t="n">
        <f aca="false">C901*LOG(C901)</f>
        <v>1.1312680801581</v>
      </c>
      <c r="E901" s="5"/>
      <c r="F901" s="5"/>
      <c r="G901" s="4" t="n">
        <v>900</v>
      </c>
      <c r="H901" s="6" t="n">
        <v>0.1</v>
      </c>
      <c r="J901" s="2" t="n">
        <f aca="false">B901/$B$1003</f>
        <v>0.000207530144849333</v>
      </c>
      <c r="K901" s="5" t="n">
        <f aca="false">J901*LOG(J901,2)</f>
        <v>-0.00253900503366274</v>
      </c>
      <c r="L901" s="2" t="n">
        <f aca="false">SUM(J852:J901)</f>
        <v>0.0122550712731516</v>
      </c>
    </row>
    <row r="902" customFormat="false" ht="13" hidden="false" customHeight="false" outlineLevel="0" collapsed="false">
      <c r="A902" s="4" t="n">
        <v>100</v>
      </c>
      <c r="B902" s="5" t="n">
        <v>2.65615897045478</v>
      </c>
      <c r="C902" s="5" t="n">
        <f aca="false">B902</f>
        <v>2.65615897045478</v>
      </c>
      <c r="D902" s="5" t="n">
        <f aca="false">C902*LOG(C902)</f>
        <v>1.12688623755525</v>
      </c>
      <c r="E902" s="5"/>
      <c r="F902" s="5"/>
      <c r="G902" s="4" t="n">
        <v>901</v>
      </c>
      <c r="H902" s="6" t="n">
        <v>0.099</v>
      </c>
      <c r="J902" s="2" t="n">
        <f aca="false">B902/$B$1003</f>
        <v>0.000207132335504823</v>
      </c>
      <c r="K902" s="5" t="n">
        <f aca="false">J902*LOG(J902,2)</f>
        <v>-0.00253471144556468</v>
      </c>
    </row>
    <row r="903" customFormat="false" ht="13" hidden="false" customHeight="false" outlineLevel="0" collapsed="false">
      <c r="A903" s="4" t="n">
        <v>99</v>
      </c>
      <c r="B903" s="5" t="n">
        <v>2.58003231207894</v>
      </c>
      <c r="C903" s="5" t="n">
        <f aca="false">B903</f>
        <v>2.58003231207894</v>
      </c>
      <c r="D903" s="5" t="n">
        <f aca="false">C903*LOG(C903)</f>
        <v>1.06200617471902</v>
      </c>
      <c r="E903" s="5"/>
      <c r="F903" s="5"/>
      <c r="G903" s="4" t="n">
        <v>902</v>
      </c>
      <c r="H903" s="6" t="n">
        <v>0.098</v>
      </c>
      <c r="J903" s="2" t="n">
        <f aca="false">B903/$B$1003</f>
        <v>0.000201195833691881</v>
      </c>
      <c r="K903" s="5" t="n">
        <f aca="false">J903*LOG(J903,2)</f>
        <v>-0.00247050616558098</v>
      </c>
    </row>
    <row r="904" customFormat="false" ht="13" hidden="false" customHeight="false" outlineLevel="0" collapsed="false">
      <c r="A904" s="4" t="n">
        <v>98</v>
      </c>
      <c r="B904" s="5" t="n">
        <v>2.57921861646116</v>
      </c>
      <c r="C904" s="5" t="n">
        <f aca="false">B904</f>
        <v>2.57921861646116</v>
      </c>
      <c r="D904" s="5" t="n">
        <f aca="false">C904*LOG(C904)</f>
        <v>1.06131790935682</v>
      </c>
      <c r="E904" s="5"/>
      <c r="F904" s="5"/>
      <c r="G904" s="4" t="n">
        <v>903</v>
      </c>
      <c r="H904" s="6" t="n">
        <v>0.097</v>
      </c>
      <c r="J904" s="2" t="n">
        <f aca="false">B904/$B$1003</f>
        <v>0.000201132380157821</v>
      </c>
      <c r="K904" s="5" t="n">
        <f aca="false">J904*LOG(J904,2)</f>
        <v>-0.00246981854219442</v>
      </c>
    </row>
    <row r="905" customFormat="false" ht="13" hidden="false" customHeight="false" outlineLevel="0" collapsed="false">
      <c r="A905" s="4" t="n">
        <v>97</v>
      </c>
      <c r="B905" s="5" t="n">
        <v>2.57672155020384</v>
      </c>
      <c r="C905" s="5" t="n">
        <f aca="false">B905</f>
        <v>2.57672155020384</v>
      </c>
      <c r="D905" s="5" t="n">
        <f aca="false">C905*LOG(C905)</f>
        <v>1.05920645920323</v>
      </c>
      <c r="E905" s="5"/>
      <c r="F905" s="5"/>
      <c r="G905" s="4" t="n">
        <v>904</v>
      </c>
      <c r="H905" s="6" t="n">
        <v>0.096</v>
      </c>
      <c r="J905" s="2" t="n">
        <f aca="false">B905/$B$1003</f>
        <v>0.000200937654175099</v>
      </c>
      <c r="K905" s="5" t="n">
        <f aca="false">J905*LOG(J905,2)</f>
        <v>-0.00246770818561353</v>
      </c>
    </row>
    <row r="906" customFormat="false" ht="13" hidden="false" customHeight="false" outlineLevel="0" collapsed="false">
      <c r="A906" s="4" t="n">
        <v>96</v>
      </c>
      <c r="B906" s="5" t="n">
        <v>2.53824074517559</v>
      </c>
      <c r="C906" s="5" t="n">
        <f aca="false">B906</f>
        <v>2.53824074517559</v>
      </c>
      <c r="D906" s="5" t="n">
        <f aca="false">C906*LOG(C906)</f>
        <v>1.02680166453704</v>
      </c>
      <c r="E906" s="5"/>
      <c r="F906" s="5"/>
      <c r="G906" s="4" t="n">
        <v>905</v>
      </c>
      <c r="H906" s="6" t="n">
        <v>0.095</v>
      </c>
      <c r="J906" s="2" t="n">
        <f aca="false">B906/$B$1003</f>
        <v>0.000197936847707463</v>
      </c>
      <c r="K906" s="5" t="n">
        <f aca="false">J906*LOG(J906,2)</f>
        <v>-0.00243515214803055</v>
      </c>
    </row>
    <row r="907" customFormat="false" ht="13" hidden="false" customHeight="false" outlineLevel="0" collapsed="false">
      <c r="A907" s="4" t="n">
        <v>95</v>
      </c>
      <c r="B907" s="5" t="n">
        <v>2.50342974340055</v>
      </c>
      <c r="C907" s="5" t="n">
        <f aca="false">B907</f>
        <v>2.50342974340055</v>
      </c>
      <c r="D907" s="5" t="n">
        <f aca="false">C907*LOG(C907)</f>
        <v>0.997705393698274</v>
      </c>
      <c r="E907" s="5"/>
      <c r="F907" s="5"/>
      <c r="G907" s="4" t="n">
        <v>906</v>
      </c>
      <c r="H907" s="6" t="n">
        <v>0.094</v>
      </c>
      <c r="J907" s="2" t="n">
        <f aca="false">B907/$B$1003</f>
        <v>0.000195222219487116</v>
      </c>
      <c r="K907" s="5" t="n">
        <f aca="false">J907*LOG(J907,2)</f>
        <v>-0.00240564436818565</v>
      </c>
    </row>
    <row r="908" customFormat="false" ht="13" hidden="false" customHeight="false" outlineLevel="0" collapsed="false">
      <c r="A908" s="4" t="n">
        <v>94</v>
      </c>
      <c r="B908" s="5" t="n">
        <v>2.4291903648545</v>
      </c>
      <c r="C908" s="5" t="n">
        <f aca="false">B908</f>
        <v>2.4291903648545</v>
      </c>
      <c r="D908" s="5" t="n">
        <f aca="false">C908*LOG(C908)</f>
        <v>0.936359482959877</v>
      </c>
      <c r="E908" s="5"/>
      <c r="F908" s="5"/>
      <c r="G908" s="4" t="n">
        <v>907</v>
      </c>
      <c r="H908" s="6" t="n">
        <v>0.093</v>
      </c>
      <c r="J908" s="2" t="n">
        <f aca="false">B908/$B$1003</f>
        <v>0.000189432891349863</v>
      </c>
      <c r="K908" s="5" t="n">
        <f aca="false">J908*LOG(J908,2)</f>
        <v>-0.00234253197083659</v>
      </c>
    </row>
    <row r="909" customFormat="false" ht="13" hidden="false" customHeight="false" outlineLevel="0" collapsed="false">
      <c r="A909" s="4" t="n">
        <v>93</v>
      </c>
      <c r="B909" s="5" t="n">
        <v>2.40579758002053</v>
      </c>
      <c r="C909" s="5" t="n">
        <f aca="false">B909</f>
        <v>2.40579758002053</v>
      </c>
      <c r="D909" s="5" t="n">
        <f aca="false">C909*LOG(C909)</f>
        <v>0.917232180913007</v>
      </c>
      <c r="E909" s="5"/>
      <c r="F909" s="5"/>
      <c r="G909" s="4" t="n">
        <v>908</v>
      </c>
      <c r="H909" s="6" t="n">
        <v>0.092</v>
      </c>
      <c r="J909" s="2" t="n">
        <f aca="false">B909/$B$1003</f>
        <v>0.00018760867743401</v>
      </c>
      <c r="K909" s="5" t="n">
        <f aca="false">J909*LOG(J909,2)</f>
        <v>-0.00232259276660672</v>
      </c>
    </row>
    <row r="910" customFormat="false" ht="13" hidden="false" customHeight="false" outlineLevel="0" collapsed="false">
      <c r="A910" s="4" t="n">
        <v>92</v>
      </c>
      <c r="B910" s="5" t="n">
        <v>2.39680318786873</v>
      </c>
      <c r="C910" s="5" t="n">
        <f aca="false">B910</f>
        <v>2.39680318786873</v>
      </c>
      <c r="D910" s="5" t="n">
        <f aca="false">C910*LOG(C910)</f>
        <v>0.90990408339028</v>
      </c>
      <c r="E910" s="5"/>
      <c r="F910" s="5"/>
      <c r="G910" s="4" t="n">
        <v>909</v>
      </c>
      <c r="H910" s="6" t="n">
        <v>0.091</v>
      </c>
      <c r="J910" s="2" t="n">
        <f aca="false">B910/$B$1003</f>
        <v>0.000186907277603062</v>
      </c>
      <c r="K910" s="5" t="n">
        <f aca="false">J910*LOG(J910,2)</f>
        <v>-0.00231491945876826</v>
      </c>
    </row>
    <row r="911" customFormat="false" ht="13" hidden="false" customHeight="false" outlineLevel="0" collapsed="false">
      <c r="A911" s="4" t="n">
        <v>91</v>
      </c>
      <c r="B911" s="5" t="n">
        <v>2.39241499595448</v>
      </c>
      <c r="C911" s="5" t="n">
        <f aca="false">B911</f>
        <v>2.39241499595448</v>
      </c>
      <c r="D911" s="5" t="n">
        <f aca="false">C911*LOG(C911)</f>
        <v>0.906334161798763</v>
      </c>
      <c r="E911" s="5"/>
      <c r="F911" s="5"/>
      <c r="G911" s="4" t="n">
        <v>910</v>
      </c>
      <c r="H911" s="6" t="n">
        <v>0.09</v>
      </c>
      <c r="J911" s="2" t="n">
        <f aca="false">B911/$B$1003</f>
        <v>0.000186565078039726</v>
      </c>
      <c r="K911" s="5" t="n">
        <f aca="false">J911*LOG(J911,2)</f>
        <v>-0.00231117442124399</v>
      </c>
    </row>
    <row r="912" customFormat="false" ht="13" hidden="false" customHeight="false" outlineLevel="0" collapsed="false">
      <c r="A912" s="4" t="n">
        <v>90</v>
      </c>
      <c r="B912" s="5" t="n">
        <v>2.39106676289792</v>
      </c>
      <c r="C912" s="5" t="n">
        <f aca="false">B912</f>
        <v>2.39106676289792</v>
      </c>
      <c r="D912" s="5" t="n">
        <f aca="false">C912*LOG(C912)</f>
        <v>0.905238036725373</v>
      </c>
      <c r="E912" s="5"/>
      <c r="F912" s="5"/>
      <c r="G912" s="4" t="n">
        <v>911</v>
      </c>
      <c r="H912" s="6" t="n">
        <v>0.089</v>
      </c>
      <c r="J912" s="2" t="n">
        <f aca="false">B912/$B$1003</f>
        <v>0.000186459940258095</v>
      </c>
      <c r="K912" s="5" t="n">
        <f aca="false">J912*LOG(J912,2)</f>
        <v>-0.00231002360990015</v>
      </c>
    </row>
    <row r="913" customFormat="false" ht="13" hidden="false" customHeight="false" outlineLevel="0" collapsed="false">
      <c r="A913" s="4" t="n">
        <v>89</v>
      </c>
      <c r="B913" s="5" t="n">
        <v>2.35769388650522</v>
      </c>
      <c r="C913" s="5" t="n">
        <f aca="false">B913</f>
        <v>2.35769388650522</v>
      </c>
      <c r="D913" s="5" t="n">
        <f aca="false">C913*LOG(C913)</f>
        <v>0.878211306733129</v>
      </c>
      <c r="E913" s="5"/>
      <c r="F913" s="5"/>
      <c r="G913" s="4" t="n">
        <v>912</v>
      </c>
      <c r="H913" s="6" t="n">
        <v>0.088</v>
      </c>
      <c r="J913" s="2" t="n">
        <f aca="false">B913/$B$1003</f>
        <v>0.000183857459794153</v>
      </c>
      <c r="K913" s="5" t="n">
        <f aca="false">J913*LOG(J913,2)</f>
        <v>-0.002281510139399</v>
      </c>
    </row>
    <row r="914" customFormat="false" ht="13" hidden="false" customHeight="false" outlineLevel="0" collapsed="false">
      <c r="A914" s="4" t="n">
        <v>88</v>
      </c>
      <c r="B914" s="5" t="n">
        <v>2.32972635685144</v>
      </c>
      <c r="C914" s="5" t="n">
        <f aca="false">B914</f>
        <v>2.32972635685144</v>
      </c>
      <c r="D914" s="5" t="n">
        <f aca="false">C914*LOG(C914)</f>
        <v>0.855719936829182</v>
      </c>
      <c r="E914" s="5"/>
      <c r="F914" s="5"/>
      <c r="G914" s="4" t="n">
        <v>913</v>
      </c>
      <c r="H914" s="6" t="n">
        <v>0.087</v>
      </c>
      <c r="J914" s="2" t="n">
        <f aca="false">B914/$B$1003</f>
        <v>0.000181676498564074</v>
      </c>
      <c r="K914" s="5" t="n">
        <f aca="false">J914*LOG(J914,2)</f>
        <v>-0.00225757404527908</v>
      </c>
    </row>
    <row r="915" customFormat="false" ht="13" hidden="false" customHeight="false" outlineLevel="0" collapsed="false">
      <c r="A915" s="4" t="n">
        <v>87</v>
      </c>
      <c r="B915" s="5" t="n">
        <v>2.32100939476095</v>
      </c>
      <c r="C915" s="5" t="n">
        <f aca="false">B915</f>
        <v>2.32100939476095</v>
      </c>
      <c r="D915" s="5" t="n">
        <f aca="false">C915*LOG(C915)</f>
        <v>0.848739516529811</v>
      </c>
      <c r="E915" s="5"/>
      <c r="F915" s="5"/>
      <c r="G915" s="4" t="n">
        <v>914</v>
      </c>
      <c r="H915" s="6" t="n">
        <v>0.086</v>
      </c>
      <c r="J915" s="2" t="n">
        <f aca="false">B915/$B$1003</f>
        <v>0.000180996733257707</v>
      </c>
      <c r="K915" s="5" t="n">
        <f aca="false">J915*LOG(J915,2)</f>
        <v>-0.00225010590712174</v>
      </c>
    </row>
    <row r="916" customFormat="false" ht="13" hidden="false" customHeight="false" outlineLevel="0" collapsed="false">
      <c r="A916" s="4" t="n">
        <v>86</v>
      </c>
      <c r="B916" s="5" t="n">
        <v>2.31857711828684</v>
      </c>
      <c r="C916" s="5" t="n">
        <f aca="false">B916</f>
        <v>2.31857711828684</v>
      </c>
      <c r="D916" s="5" t="n">
        <f aca="false">C916*LOG(C916)</f>
        <v>0.846794318636824</v>
      </c>
      <c r="E916" s="5"/>
      <c r="F916" s="5"/>
      <c r="G916" s="4" t="n">
        <v>915</v>
      </c>
      <c r="H916" s="6" t="n">
        <v>0.085</v>
      </c>
      <c r="J916" s="2" t="n">
        <f aca="false">B916/$B$1003</f>
        <v>0.00018080705970568</v>
      </c>
      <c r="K916" s="5" t="n">
        <f aca="false">J916*LOG(J916,2)</f>
        <v>-0.00224802143084716</v>
      </c>
    </row>
    <row r="917" customFormat="false" ht="13" hidden="false" customHeight="false" outlineLevel="0" collapsed="false">
      <c r="A917" s="4" t="n">
        <v>85</v>
      </c>
      <c r="B917" s="5" t="n">
        <v>2.31446183422031</v>
      </c>
      <c r="C917" s="5" t="n">
        <f aca="false">B917</f>
        <v>2.31446183422031</v>
      </c>
      <c r="D917" s="5" t="n">
        <f aca="false">C917*LOG(C917)</f>
        <v>0.843505670114043</v>
      </c>
      <c r="E917" s="5"/>
      <c r="F917" s="5"/>
      <c r="G917" s="4" t="n">
        <v>916</v>
      </c>
      <c r="H917" s="6" t="n">
        <v>0.084</v>
      </c>
      <c r="J917" s="2" t="n">
        <f aca="false">B917/$B$1003</f>
        <v>0.000180486142016096</v>
      </c>
      <c r="K917" s="5" t="n">
        <f aca="false">J917*LOG(J917,2)</f>
        <v>-0.00224449395256893</v>
      </c>
    </row>
    <row r="918" customFormat="false" ht="13" hidden="false" customHeight="false" outlineLevel="0" collapsed="false">
      <c r="A918" s="4" t="n">
        <v>84</v>
      </c>
      <c r="B918" s="5" t="n">
        <v>2.30885085014676</v>
      </c>
      <c r="C918" s="5" t="n">
        <f aca="false">B918</f>
        <v>2.30885085014676</v>
      </c>
      <c r="D918" s="5" t="n">
        <f aca="false">C918*LOG(C918)</f>
        <v>0.839026883613378</v>
      </c>
      <c r="E918" s="5"/>
      <c r="F918" s="5"/>
      <c r="G918" s="4" t="n">
        <v>917</v>
      </c>
      <c r="H918" s="6" t="n">
        <v>0.083</v>
      </c>
      <c r="J918" s="2" t="n">
        <f aca="false">B918/$B$1003</f>
        <v>0.000180048586791216</v>
      </c>
      <c r="K918" s="5" t="n">
        <f aca="false">J918*LOG(J918,2)</f>
        <v>-0.00223968308561522</v>
      </c>
    </row>
    <row r="919" customFormat="false" ht="13" hidden="false" customHeight="false" outlineLevel="0" collapsed="false">
      <c r="A919" s="4" t="n">
        <v>83</v>
      </c>
      <c r="B919" s="5" t="n">
        <v>2.29792500240046</v>
      </c>
      <c r="C919" s="5" t="n">
        <f aca="false">B919</f>
        <v>2.29792500240046</v>
      </c>
      <c r="D919" s="5" t="n">
        <f aca="false">C919*LOG(C919)</f>
        <v>0.830322685064953</v>
      </c>
      <c r="E919" s="5"/>
      <c r="F919" s="5"/>
      <c r="G919" s="4" t="n">
        <v>918</v>
      </c>
      <c r="H919" s="6" t="n">
        <v>0.082</v>
      </c>
      <c r="J919" s="2" t="n">
        <f aca="false">B919/$B$1003</f>
        <v>0.000179196568374309</v>
      </c>
      <c r="K919" s="5" t="n">
        <f aca="false">J919*LOG(J919,2)</f>
        <v>-0.00223031084043619</v>
      </c>
    </row>
    <row r="920" customFormat="false" ht="13" hidden="false" customHeight="false" outlineLevel="0" collapsed="false">
      <c r="A920" s="4" t="n">
        <v>82</v>
      </c>
      <c r="B920" s="5" t="n">
        <v>2.24260516740378</v>
      </c>
      <c r="C920" s="5" t="n">
        <f aca="false">B920</f>
        <v>2.24260516740378</v>
      </c>
      <c r="D920" s="5" t="n">
        <f aca="false">C920*LOG(C920)</f>
        <v>0.786600083288898</v>
      </c>
      <c r="E920" s="5"/>
      <c r="F920" s="5"/>
      <c r="G920" s="4" t="n">
        <v>919</v>
      </c>
      <c r="H920" s="6" t="n">
        <v>0.081</v>
      </c>
      <c r="J920" s="2" t="n">
        <f aca="false">B920/$B$1003</f>
        <v>0.000174882622277685</v>
      </c>
      <c r="K920" s="5" t="n">
        <f aca="false">J920*LOG(J920,2)</f>
        <v>-0.00218276692258345</v>
      </c>
    </row>
    <row r="921" customFormat="false" ht="13" hidden="false" customHeight="false" outlineLevel="0" collapsed="false">
      <c r="A921" s="4" t="n">
        <v>81</v>
      </c>
      <c r="B921" s="5" t="n">
        <v>2.23886730494246</v>
      </c>
      <c r="C921" s="5" t="n">
        <f aca="false">B921</f>
        <v>2.23886730494246</v>
      </c>
      <c r="D921" s="5" t="n">
        <f aca="false">C921*LOG(C921)</f>
        <v>0.78366703805182</v>
      </c>
      <c r="E921" s="5"/>
      <c r="F921" s="5"/>
      <c r="G921" s="4" t="n">
        <v>920</v>
      </c>
      <c r="H921" s="6" t="n">
        <v>0.08</v>
      </c>
      <c r="J921" s="2" t="n">
        <f aca="false">B921/$B$1003</f>
        <v>0.000174591136643723</v>
      </c>
      <c r="K921" s="5" t="n">
        <f aca="false">J921*LOG(J921,2)</f>
        <v>-0.00217954896975344</v>
      </c>
    </row>
    <row r="922" customFormat="false" ht="13" hidden="false" customHeight="false" outlineLevel="0" collapsed="false">
      <c r="A922" s="4" t="n">
        <v>80</v>
      </c>
      <c r="B922" s="5" t="n">
        <v>2.23836900513379</v>
      </c>
      <c r="C922" s="5" t="n">
        <f aca="false">B922</f>
        <v>2.23836900513379</v>
      </c>
      <c r="D922" s="5" t="n">
        <f aca="false">C922*LOG(C922)</f>
        <v>0.783276234217258</v>
      </c>
      <c r="E922" s="5"/>
      <c r="F922" s="5"/>
      <c r="G922" s="4" t="n">
        <v>921</v>
      </c>
      <c r="H922" s="6" t="n">
        <v>0.079</v>
      </c>
      <c r="J922" s="2" t="n">
        <f aca="false">B922/$B$1003</f>
        <v>0.000174552278275568</v>
      </c>
      <c r="K922" s="5" t="n">
        <f aca="false">J922*LOG(J922,2)</f>
        <v>-0.00217911992683305</v>
      </c>
    </row>
    <row r="923" customFormat="false" ht="13" hidden="false" customHeight="false" outlineLevel="0" collapsed="false">
      <c r="A923" s="4" t="n">
        <v>79</v>
      </c>
      <c r="B923" s="5" t="n">
        <v>2.23702237507473</v>
      </c>
      <c r="C923" s="5" t="n">
        <f aca="false">B923</f>
        <v>2.23702237507473</v>
      </c>
      <c r="D923" s="5" t="n">
        <f aca="false">C923*LOG(C923)</f>
        <v>0.78222034764677</v>
      </c>
      <c r="E923" s="5"/>
      <c r="F923" s="5"/>
      <c r="G923" s="4" t="n">
        <v>922</v>
      </c>
      <c r="H923" s="6" t="n">
        <v>0.078</v>
      </c>
      <c r="J923" s="2" t="n">
        <f aca="false">B923/$B$1003</f>
        <v>0.000174447265498736</v>
      </c>
      <c r="K923" s="5" t="n">
        <f aca="false">J923*LOG(J923,2)</f>
        <v>-0.00217796039757189</v>
      </c>
    </row>
    <row r="924" customFormat="false" ht="13" hidden="false" customHeight="false" outlineLevel="0" collapsed="false">
      <c r="A924" s="4" t="n">
        <v>78</v>
      </c>
      <c r="B924" s="5" t="n">
        <v>2.23541871911471</v>
      </c>
      <c r="C924" s="5" t="n">
        <f aca="false">B924</f>
        <v>2.23541871911471</v>
      </c>
      <c r="D924" s="5" t="n">
        <f aca="false">C924*LOG(C924)</f>
        <v>0.780963387502112</v>
      </c>
      <c r="E924" s="5"/>
      <c r="F924" s="5"/>
      <c r="G924" s="4" t="n">
        <v>923</v>
      </c>
      <c r="H924" s="6" t="n">
        <v>0.077</v>
      </c>
      <c r="J924" s="2" t="n">
        <f aca="false">B924/$B$1003</f>
        <v>0.000174322209352609</v>
      </c>
      <c r="K924" s="5" t="n">
        <f aca="false">J924*LOG(J924,2)</f>
        <v>-0.00217657943461559</v>
      </c>
    </row>
    <row r="925" customFormat="false" ht="13" hidden="false" customHeight="false" outlineLevel="0" collapsed="false">
      <c r="A925" s="4" t="n">
        <v>77</v>
      </c>
      <c r="B925" s="5" t="n">
        <v>2.23101257253165</v>
      </c>
      <c r="C925" s="5" t="n">
        <f aca="false">B925</f>
        <v>2.23101257253165</v>
      </c>
      <c r="D925" s="5" t="n">
        <f aca="false">C925*LOG(C925)</f>
        <v>0.777512383021627</v>
      </c>
      <c r="E925" s="5"/>
      <c r="F925" s="5"/>
      <c r="G925" s="4" t="n">
        <v>924</v>
      </c>
      <c r="H925" s="6" t="n">
        <v>0.076</v>
      </c>
      <c r="J925" s="2" t="n">
        <f aca="false">B925/$B$1003</f>
        <v>0.000173978609650002</v>
      </c>
      <c r="K925" s="5" t="n">
        <f aca="false">J925*LOG(J925,2)</f>
        <v>-0.00217278448457836</v>
      </c>
    </row>
    <row r="926" customFormat="false" ht="13" hidden="false" customHeight="false" outlineLevel="0" collapsed="false">
      <c r="A926" s="4" t="n">
        <v>76</v>
      </c>
      <c r="B926" s="5" t="n">
        <v>2.23013030987704</v>
      </c>
      <c r="C926" s="5" t="n">
        <f aca="false">B926</f>
        <v>2.23013030987704</v>
      </c>
      <c r="D926" s="5" t="n">
        <f aca="false">C926*LOG(C926)</f>
        <v>0.776821826675278</v>
      </c>
      <c r="E926" s="5"/>
      <c r="F926" s="5"/>
      <c r="G926" s="4" t="n">
        <v>925</v>
      </c>
      <c r="H926" s="6" t="n">
        <v>0.075</v>
      </c>
      <c r="J926" s="2" t="n">
        <f aca="false">B926/$B$1003</f>
        <v>0.000173909809127815</v>
      </c>
      <c r="K926" s="5" t="n">
        <f aca="false">J926*LOG(J926,2)</f>
        <v>-0.00217202448699262</v>
      </c>
    </row>
    <row r="927" customFormat="false" ht="13" hidden="false" customHeight="false" outlineLevel="0" collapsed="false">
      <c r="A927" s="4" t="n">
        <v>75</v>
      </c>
      <c r="B927" s="5" t="n">
        <v>2.22012023549632</v>
      </c>
      <c r="C927" s="5" t="n">
        <f aca="false">B927</f>
        <v>2.22012023549632</v>
      </c>
      <c r="D927" s="5" t="n">
        <f aca="false">C927*LOG(C927)</f>
        <v>0.768997466228818</v>
      </c>
      <c r="E927" s="5"/>
      <c r="F927" s="5"/>
      <c r="G927" s="4" t="n">
        <v>926</v>
      </c>
      <c r="H927" s="6" t="n">
        <v>0.074</v>
      </c>
      <c r="J927" s="2" t="n">
        <f aca="false">B927/$B$1003</f>
        <v>0.000173129204462162</v>
      </c>
      <c r="K927" s="5" t="n">
        <f aca="false">J927*LOG(J927,2)</f>
        <v>-0.00216339886734086</v>
      </c>
    </row>
    <row r="928" customFormat="false" ht="13" hidden="false" customHeight="false" outlineLevel="0" collapsed="false">
      <c r="A928" s="4" t="n">
        <v>74</v>
      </c>
      <c r="B928" s="5" t="n">
        <v>2.21509485143906</v>
      </c>
      <c r="C928" s="5" t="n">
        <f aca="false">B928</f>
        <v>2.21509485143906</v>
      </c>
      <c r="D928" s="5" t="n">
        <f aca="false">C928*LOG(C928)</f>
        <v>0.765076766722311</v>
      </c>
      <c r="E928" s="5"/>
      <c r="F928" s="5"/>
      <c r="G928" s="4" t="n">
        <v>927</v>
      </c>
      <c r="H928" s="6" t="n">
        <v>0.073</v>
      </c>
      <c r="J928" s="2" t="n">
        <f aca="false">B928/$B$1003</f>
        <v>0.000172737315441901</v>
      </c>
      <c r="K928" s="5" t="n">
        <f aca="false">J928*LOG(J928,2)</f>
        <v>-0.0021590666117059</v>
      </c>
    </row>
    <row r="929" customFormat="false" ht="13" hidden="false" customHeight="false" outlineLevel="0" collapsed="false">
      <c r="A929" s="4" t="n">
        <v>73</v>
      </c>
      <c r="B929" s="5" t="n">
        <v>2.21487669994576</v>
      </c>
      <c r="C929" s="5" t="n">
        <f aca="false">B929</f>
        <v>2.21487669994576</v>
      </c>
      <c r="D929" s="5" t="n">
        <f aca="false">C929*LOG(C929)</f>
        <v>0.764906681545939</v>
      </c>
      <c r="E929" s="5"/>
      <c r="F929" s="5"/>
      <c r="G929" s="4" t="n">
        <v>928</v>
      </c>
      <c r="H929" s="6" t="n">
        <v>0.072</v>
      </c>
      <c r="J929" s="2" t="n">
        <f aca="false">B929/$B$1003</f>
        <v>0.000172720303572956</v>
      </c>
      <c r="K929" s="5" t="n">
        <f aca="false">J929*LOG(J929,2)</f>
        <v>-0.00215887851983047</v>
      </c>
    </row>
    <row r="930" customFormat="false" ht="13" hidden="false" customHeight="false" outlineLevel="0" collapsed="false">
      <c r="A930" s="4" t="n">
        <v>72</v>
      </c>
      <c r="B930" s="5" t="n">
        <v>2.21157062262</v>
      </c>
      <c r="C930" s="5" t="n">
        <f aca="false">B930</f>
        <v>2.21157062262</v>
      </c>
      <c r="D930" s="5" t="n">
        <f aca="false">C930*LOG(C930)</f>
        <v>0.762330190203916</v>
      </c>
      <c r="E930" s="5"/>
      <c r="F930" s="5"/>
      <c r="G930" s="4" t="n">
        <v>929</v>
      </c>
      <c r="H930" s="6" t="n">
        <v>0.071</v>
      </c>
      <c r="J930" s="2" t="n">
        <f aca="false">B930/$B$1003</f>
        <v>0.000172462489366253</v>
      </c>
      <c r="K930" s="5" t="n">
        <f aca="false">J930*LOG(J930,2)</f>
        <v>-0.00215602769878273</v>
      </c>
    </row>
    <row r="931" customFormat="false" ht="13" hidden="false" customHeight="false" outlineLevel="0" collapsed="false">
      <c r="A931" s="4" t="n">
        <v>71</v>
      </c>
      <c r="B931" s="5" t="n">
        <v>2.19423779975068</v>
      </c>
      <c r="C931" s="5" t="n">
        <f aca="false">B931</f>
        <v>2.19423779975068</v>
      </c>
      <c r="D931" s="5" t="n">
        <f aca="false">C931*LOG(C931)</f>
        <v>0.748857578085746</v>
      </c>
      <c r="E931" s="5"/>
      <c r="F931" s="5"/>
      <c r="G931" s="4" t="n">
        <v>930</v>
      </c>
      <c r="H931" s="6" t="n">
        <v>0.07</v>
      </c>
      <c r="J931" s="2" t="n">
        <f aca="false">B931/$B$1003</f>
        <v>0.000171110842826363</v>
      </c>
      <c r="K931" s="5" t="n">
        <f aca="false">J931*LOG(J931,2)</f>
        <v>-0.00214107253675211</v>
      </c>
    </row>
    <row r="932" customFormat="false" ht="13" hidden="false" customHeight="false" outlineLevel="0" collapsed="false">
      <c r="A932" s="4" t="n">
        <v>70</v>
      </c>
      <c r="B932" s="5" t="n">
        <v>2.18936315111796</v>
      </c>
      <c r="C932" s="5" t="n">
        <f aca="false">B932</f>
        <v>2.18936315111796</v>
      </c>
      <c r="D932" s="5" t="n">
        <f aca="false">C932*LOG(C932)</f>
        <v>0.745079260309077</v>
      </c>
      <c r="E932" s="5"/>
      <c r="F932" s="5"/>
      <c r="G932" s="4" t="n">
        <v>931</v>
      </c>
      <c r="H932" s="6" t="n">
        <v>0.069</v>
      </c>
      <c r="J932" s="2" t="n">
        <f aca="false">B932/$B$1003</f>
        <v>0.000170730708441602</v>
      </c>
      <c r="K932" s="5" t="n">
        <f aca="false">J932*LOG(J932,2)</f>
        <v>-0.00213686380673627</v>
      </c>
    </row>
    <row r="933" customFormat="false" ht="13" hidden="false" customHeight="false" outlineLevel="0" collapsed="false">
      <c r="A933" s="4" t="n">
        <v>69</v>
      </c>
      <c r="B933" s="5" t="n">
        <v>2.18075206565436</v>
      </c>
      <c r="C933" s="5" t="n">
        <f aca="false">B933</f>
        <v>2.18075206565436</v>
      </c>
      <c r="D933" s="5" t="n">
        <f aca="false">C933*LOG(C933)</f>
        <v>0.73841637185864</v>
      </c>
      <c r="E933" s="5"/>
      <c r="F933" s="5"/>
      <c r="G933" s="4" t="n">
        <v>932</v>
      </c>
      <c r="H933" s="6" t="n">
        <v>0.068</v>
      </c>
      <c r="J933" s="2" t="n">
        <f aca="false">B933/$B$1003</f>
        <v>0.000170059199596256</v>
      </c>
      <c r="K933" s="5" t="n">
        <f aca="false">J933*LOG(J933,2)</f>
        <v>-0.00212942608366885</v>
      </c>
    </row>
    <row r="934" customFormat="false" ht="13" hidden="false" customHeight="false" outlineLevel="0" collapsed="false">
      <c r="A934" s="4" t="n">
        <v>68</v>
      </c>
      <c r="B934" s="5" t="n">
        <v>2.17746800613531</v>
      </c>
      <c r="C934" s="5" t="n">
        <f aca="false">B934</f>
        <v>2.17746800613531</v>
      </c>
      <c r="D934" s="5" t="n">
        <f aca="false">C934*LOG(C934)</f>
        <v>0.73587919416798</v>
      </c>
      <c r="E934" s="5"/>
      <c r="F934" s="5"/>
      <c r="G934" s="4" t="n">
        <v>933</v>
      </c>
      <c r="H934" s="6" t="n">
        <v>0.067</v>
      </c>
      <c r="J934" s="2" t="n">
        <f aca="false">B934/$B$1003</f>
        <v>0.000169803102380056</v>
      </c>
      <c r="K934" s="5" t="n">
        <f aca="false">J934*LOG(J934,2)</f>
        <v>-0.00212658850932148</v>
      </c>
    </row>
    <row r="935" customFormat="false" ht="13" hidden="false" customHeight="false" outlineLevel="0" collapsed="false">
      <c r="A935" s="4" t="n">
        <v>67</v>
      </c>
      <c r="B935" s="5" t="n">
        <v>2.17359675543639</v>
      </c>
      <c r="C935" s="5" t="n">
        <f aca="false">B935</f>
        <v>2.17359675543639</v>
      </c>
      <c r="D935" s="5" t="n">
        <f aca="false">C935*LOG(C935)</f>
        <v>0.732891130695055</v>
      </c>
      <c r="E935" s="5"/>
      <c r="F935" s="5"/>
      <c r="G935" s="4" t="n">
        <v>934</v>
      </c>
      <c r="H935" s="6" t="n">
        <v>0.066</v>
      </c>
      <c r="J935" s="2" t="n">
        <f aca="false">B935/$B$1003</f>
        <v>0.00016950121487727</v>
      </c>
      <c r="K935" s="5" t="n">
        <f aca="false">J935*LOG(J935,2)</f>
        <v>-0.00212324285986671</v>
      </c>
    </row>
    <row r="936" customFormat="false" ht="13" hidden="false" customHeight="false" outlineLevel="0" collapsed="false">
      <c r="A936" s="4" t="n">
        <v>66</v>
      </c>
      <c r="B936" s="5" t="n">
        <v>2.17042220953499</v>
      </c>
      <c r="C936" s="5" t="n">
        <f aca="false">B936</f>
        <v>2.17042220953499</v>
      </c>
      <c r="D936" s="5" t="n">
        <f aca="false">C936*LOG(C936)</f>
        <v>0.730443060067362</v>
      </c>
      <c r="E936" s="5"/>
      <c r="F936" s="5"/>
      <c r="G936" s="4" t="n">
        <v>935</v>
      </c>
      <c r="H936" s="6" t="n">
        <v>0.065</v>
      </c>
      <c r="J936" s="2" t="n">
        <f aca="false">B936/$B$1003</f>
        <v>0.000169253657741557</v>
      </c>
      <c r="K936" s="5" t="n">
        <f aca="false">J936*LOG(J936,2)</f>
        <v>-0.00212049874452735</v>
      </c>
    </row>
    <row r="937" customFormat="false" ht="13" hidden="false" customHeight="false" outlineLevel="0" collapsed="false">
      <c r="A937" s="4" t="n">
        <v>65</v>
      </c>
      <c r="B937" s="5" t="n">
        <v>2.16624824371502</v>
      </c>
      <c r="C937" s="5" t="n">
        <f aca="false">B937</f>
        <v>2.16624824371502</v>
      </c>
      <c r="D937" s="5" t="n">
        <f aca="false">C937*LOG(C937)</f>
        <v>0.727227349813228</v>
      </c>
      <c r="E937" s="5"/>
      <c r="F937" s="5"/>
      <c r="G937" s="4" t="n">
        <v>936</v>
      </c>
      <c r="H937" s="6" t="n">
        <v>0.064</v>
      </c>
      <c r="J937" s="2" t="n">
        <f aca="false">B937/$B$1003</f>
        <v>0.000168928163937073</v>
      </c>
      <c r="K937" s="5" t="n">
        <f aca="false">J937*LOG(J937,2)</f>
        <v>-0.00211688992361327</v>
      </c>
    </row>
    <row r="938" customFormat="false" ht="13" hidden="false" customHeight="false" outlineLevel="0" collapsed="false">
      <c r="A938" s="4" t="n">
        <v>64</v>
      </c>
      <c r="B938" s="5" t="n">
        <v>2.16274017943657</v>
      </c>
      <c r="C938" s="5" t="n">
        <f aca="false">B938</f>
        <v>2.16274017943657</v>
      </c>
      <c r="D938" s="5" t="n">
        <f aca="false">C938*LOG(C938)</f>
        <v>0.724527365113495</v>
      </c>
      <c r="E938" s="5"/>
      <c r="F938" s="5"/>
      <c r="G938" s="4" t="n">
        <v>937</v>
      </c>
      <c r="H938" s="6" t="n">
        <v>0.063</v>
      </c>
      <c r="J938" s="2" t="n">
        <f aca="false">B938/$B$1003</f>
        <v>0.00016865459840309</v>
      </c>
      <c r="K938" s="5" t="n">
        <f aca="false">J938*LOG(J938,2)</f>
        <v>-0.00211385614304962</v>
      </c>
    </row>
    <row r="939" customFormat="false" ht="13" hidden="false" customHeight="false" outlineLevel="0" collapsed="false">
      <c r="A939" s="4" t="n">
        <v>63</v>
      </c>
      <c r="B939" s="5" t="n">
        <v>2.15928190942395</v>
      </c>
      <c r="C939" s="5" t="n">
        <f aca="false">B939</f>
        <v>2.15928190942395</v>
      </c>
      <c r="D939" s="5" t="n">
        <f aca="false">C939*LOG(C939)</f>
        <v>0.721868123469534</v>
      </c>
      <c r="E939" s="5"/>
      <c r="F939" s="5"/>
      <c r="G939" s="4" t="n">
        <v>938</v>
      </c>
      <c r="H939" s="6" t="n">
        <v>0.062</v>
      </c>
      <c r="J939" s="2" t="n">
        <f aca="false">B939/$B$1003</f>
        <v>0.000168384915920796</v>
      </c>
      <c r="K939" s="5" t="n">
        <f aca="false">J939*LOG(J939,2)</f>
        <v>-0.00211086479805504</v>
      </c>
    </row>
    <row r="940" customFormat="false" ht="13" hidden="false" customHeight="false" outlineLevel="0" collapsed="false">
      <c r="A940" s="4" t="n">
        <v>62</v>
      </c>
      <c r="B940" s="5" t="n">
        <v>2.1564682865328</v>
      </c>
      <c r="C940" s="5" t="n">
        <f aca="false">B940</f>
        <v>2.1564682865328</v>
      </c>
      <c r="D940" s="5" t="n">
        <f aca="false">C940*LOG(C940)</f>
        <v>0.719706358607204</v>
      </c>
      <c r="E940" s="5"/>
      <c r="F940" s="5"/>
      <c r="G940" s="4" t="n">
        <v>939</v>
      </c>
      <c r="H940" s="6" t="n">
        <v>0.061</v>
      </c>
      <c r="J940" s="2" t="n">
        <f aca="false">B940/$B$1003</f>
        <v>0.000168165504248845</v>
      </c>
      <c r="K940" s="5" t="n">
        <f aca="false">J940*LOG(J940,2)</f>
        <v>-0.00210843060222875</v>
      </c>
    </row>
    <row r="941" customFormat="false" ht="13" hidden="false" customHeight="false" outlineLevel="0" collapsed="false">
      <c r="A941" s="4" t="n">
        <v>61</v>
      </c>
      <c r="B941" s="5" t="n">
        <v>2.15239222131595</v>
      </c>
      <c r="C941" s="5" t="n">
        <f aca="false">B941</f>
        <v>2.15239222131595</v>
      </c>
      <c r="D941" s="5" t="n">
        <f aca="false">C941*LOG(C941)</f>
        <v>0.716577461479024</v>
      </c>
      <c r="E941" s="5"/>
      <c r="F941" s="5"/>
      <c r="G941" s="4" t="n">
        <v>940</v>
      </c>
      <c r="H941" s="6" t="n">
        <v>0.06</v>
      </c>
      <c r="J941" s="2" t="n">
        <f aca="false">B941/$B$1003</f>
        <v>0.000167847644919857</v>
      </c>
      <c r="K941" s="5" t="n">
        <f aca="false">J941*LOG(J941,2)</f>
        <v>-0.00210490347622821</v>
      </c>
    </row>
    <row r="942" customFormat="false" ht="13" hidden="false" customHeight="false" outlineLevel="0" collapsed="false">
      <c r="A942" s="4" t="n">
        <v>60</v>
      </c>
      <c r="B942" s="5" t="n">
        <v>2.14961705846781</v>
      </c>
      <c r="C942" s="5" t="n">
        <f aca="false">B942</f>
        <v>2.14961705846781</v>
      </c>
      <c r="D942" s="5" t="n">
        <f aca="false">C942*LOG(C942)</f>
        <v>0.714449089742789</v>
      </c>
      <c r="E942" s="5"/>
      <c r="F942" s="5"/>
      <c r="G942" s="4" t="n">
        <v>941</v>
      </c>
      <c r="H942" s="6" t="n">
        <v>0.059</v>
      </c>
      <c r="J942" s="2" t="n">
        <f aca="false">B942/$B$1003</f>
        <v>0.000167631232435312</v>
      </c>
      <c r="K942" s="5" t="n">
        <f aca="false">J942*LOG(J942,2)</f>
        <v>-0.00210250155831745</v>
      </c>
    </row>
    <row r="943" customFormat="false" ht="13" hidden="false" customHeight="false" outlineLevel="0" collapsed="false">
      <c r="A943" s="4" t="n">
        <v>59</v>
      </c>
      <c r="B943" s="5" t="n">
        <v>2.14951188734585</v>
      </c>
      <c r="C943" s="5" t="n">
        <f aca="false">B943</f>
        <v>2.14951188734585</v>
      </c>
      <c r="D943" s="5" t="n">
        <f aca="false">C943*LOG(C943)</f>
        <v>0.714368460832463</v>
      </c>
      <c r="E943" s="5"/>
      <c r="F943" s="5"/>
      <c r="G943" s="4" t="n">
        <v>942</v>
      </c>
      <c r="H943" s="6" t="n">
        <v>0.058</v>
      </c>
      <c r="J943" s="2" t="n">
        <f aca="false">B943/$B$1003</f>
        <v>0.00016762303099091</v>
      </c>
      <c r="K943" s="5" t="n">
        <f aca="false">J943*LOG(J943,2)</f>
        <v>-0.00210241052423932</v>
      </c>
    </row>
    <row r="944" customFormat="false" ht="13" hidden="false" customHeight="false" outlineLevel="0" collapsed="false">
      <c r="A944" s="4" t="n">
        <v>58</v>
      </c>
      <c r="B944" s="5" t="n">
        <v>2.1389537428754</v>
      </c>
      <c r="C944" s="5" t="n">
        <f aca="false">B944</f>
        <v>2.1389537428754</v>
      </c>
      <c r="D944" s="5" t="n">
        <f aca="false">C944*LOG(C944)</f>
        <v>0.706285504600353</v>
      </c>
      <c r="E944" s="5"/>
      <c r="F944" s="5"/>
      <c r="G944" s="4" t="n">
        <v>943</v>
      </c>
      <c r="H944" s="6" t="n">
        <v>0.057</v>
      </c>
      <c r="J944" s="2" t="n">
        <f aca="false">B944/$B$1003</f>
        <v>0.000166799686775791</v>
      </c>
      <c r="K944" s="5" t="n">
        <f aca="false">J944*LOG(J944,2)</f>
        <v>-0.00209326864859013</v>
      </c>
    </row>
    <row r="945" customFormat="false" ht="13" hidden="false" customHeight="false" outlineLevel="0" collapsed="false">
      <c r="A945" s="4" t="n">
        <v>57</v>
      </c>
      <c r="B945" s="5" t="n">
        <v>2.11909569502222</v>
      </c>
      <c r="C945" s="5" t="n">
        <f aca="false">B945</f>
        <v>2.11909569502222</v>
      </c>
      <c r="D945" s="5" t="n">
        <f aca="false">C945*LOG(C945)</f>
        <v>0.691144267137838</v>
      </c>
      <c r="E945" s="5"/>
      <c r="F945" s="5"/>
      <c r="G945" s="4" t="n">
        <v>944</v>
      </c>
      <c r="H945" s="6" t="n">
        <v>0.056</v>
      </c>
      <c r="J945" s="2" t="n">
        <f aca="false">B945/$B$1003</f>
        <v>0.000165251118382051</v>
      </c>
      <c r="K945" s="5" t="n">
        <f aca="false">J945*LOG(J945,2)</f>
        <v>-0.00207605845013014</v>
      </c>
    </row>
    <row r="946" customFormat="false" ht="13" hidden="false" customHeight="false" outlineLevel="0" collapsed="false">
      <c r="A946" s="4" t="n">
        <v>56</v>
      </c>
      <c r="B946" s="5" t="n">
        <v>2.08717577836251</v>
      </c>
      <c r="C946" s="5" t="n">
        <f aca="false">B946</f>
        <v>2.08717577836251</v>
      </c>
      <c r="D946" s="5" t="n">
        <f aca="false">C946*LOG(C946)</f>
        <v>0.666975859120133</v>
      </c>
      <c r="E946" s="5"/>
      <c r="F946" s="5"/>
      <c r="G946" s="4" t="n">
        <v>945</v>
      </c>
      <c r="H946" s="6" t="n">
        <v>0.055</v>
      </c>
      <c r="J946" s="2" t="n">
        <f aca="false">B946/$B$1003</f>
        <v>0.000162761942485431</v>
      </c>
      <c r="K946" s="5" t="n">
        <f aca="false">J946*LOG(J946,2)</f>
        <v>-0.0020483507414222</v>
      </c>
    </row>
    <row r="947" customFormat="false" ht="13" hidden="false" customHeight="false" outlineLevel="0" collapsed="false">
      <c r="A947" s="4" t="n">
        <v>55</v>
      </c>
      <c r="B947" s="5" t="n">
        <v>2.08257607692303</v>
      </c>
      <c r="C947" s="5" t="n">
        <f aca="false">B947</f>
        <v>2.08257607692303</v>
      </c>
      <c r="D947" s="5" t="n">
        <f aca="false">C947*LOG(C947)</f>
        <v>0.663510560847808</v>
      </c>
      <c r="E947" s="5"/>
      <c r="F947" s="5"/>
      <c r="G947" s="4" t="n">
        <v>946</v>
      </c>
      <c r="H947" s="6" t="n">
        <v>0.054</v>
      </c>
      <c r="J947" s="2" t="n">
        <f aca="false">B947/$B$1003</f>
        <v>0.000162403249006471</v>
      </c>
      <c r="K947" s="5" t="n">
        <f aca="false">J947*LOG(J947,2)</f>
        <v>-0.0020443535169604</v>
      </c>
    </row>
    <row r="948" customFormat="false" ht="13" hidden="false" customHeight="false" outlineLevel="0" collapsed="false">
      <c r="A948" s="4" t="n">
        <v>54</v>
      </c>
      <c r="B948" s="5" t="n">
        <v>2.07572444922607</v>
      </c>
      <c r="C948" s="5" t="n">
        <f aca="false">B948</f>
        <v>2.07572444922607</v>
      </c>
      <c r="D948" s="5" t="n">
        <f aca="false">C948*LOG(C948)</f>
        <v>0.658356902410429</v>
      </c>
      <c r="E948" s="5"/>
      <c r="F948" s="5"/>
      <c r="G948" s="4" t="n">
        <v>947</v>
      </c>
      <c r="H948" s="6" t="n">
        <v>0.053</v>
      </c>
      <c r="J948" s="2" t="n">
        <f aca="false">B948/$B$1003</f>
        <v>0.000161868946028876</v>
      </c>
      <c r="K948" s="5" t="n">
        <f aca="false">J948*LOG(J948,2)</f>
        <v>-0.00203839720745856</v>
      </c>
    </row>
    <row r="949" customFormat="false" ht="13" hidden="false" customHeight="false" outlineLevel="0" collapsed="false">
      <c r="A949" s="4" t="n">
        <v>53</v>
      </c>
      <c r="B949" s="5" t="n">
        <v>2.07404972533686</v>
      </c>
      <c r="C949" s="5" t="n">
        <f aca="false">B949</f>
        <v>2.07404972533686</v>
      </c>
      <c r="D949" s="5" t="n">
        <f aca="false">C949*LOG(C949)</f>
        <v>0.657098700878175</v>
      </c>
      <c r="E949" s="5"/>
      <c r="F949" s="5"/>
      <c r="G949" s="4" t="n">
        <v>948</v>
      </c>
      <c r="H949" s="6" t="n">
        <v>0.052</v>
      </c>
      <c r="J949" s="2" t="n">
        <f aca="false">B949/$B$1003</f>
        <v>0.000161738347870273</v>
      </c>
      <c r="K949" s="5" t="n">
        <f aca="false">J949*LOG(J949,2)</f>
        <v>-0.00203694093700481</v>
      </c>
    </row>
    <row r="950" customFormat="false" ht="13" hidden="false" customHeight="false" outlineLevel="0" collapsed="false">
      <c r="A950" s="4" t="n">
        <v>52</v>
      </c>
      <c r="B950" s="5" t="n">
        <v>2.06729210970798</v>
      </c>
      <c r="C950" s="5" t="n">
        <f aca="false">B950</f>
        <v>2.06729210970798</v>
      </c>
      <c r="D950" s="5" t="n">
        <f aca="false">C950*LOG(C950)</f>
        <v>0.652027749801091</v>
      </c>
      <c r="E950" s="5"/>
      <c r="F950" s="5"/>
      <c r="G950" s="4" t="n">
        <v>949</v>
      </c>
      <c r="H950" s="6" t="n">
        <v>0.051</v>
      </c>
      <c r="J950" s="2" t="n">
        <f aca="false">B950/$B$1003</f>
        <v>0.000161211376132804</v>
      </c>
      <c r="K950" s="5" t="n">
        <f aca="false">J950*LOG(J950,2)</f>
        <v>-0.00203106324791447</v>
      </c>
    </row>
    <row r="951" customFormat="false" ht="13" hidden="false" customHeight="false" outlineLevel="0" collapsed="false">
      <c r="A951" s="4" t="n">
        <v>51</v>
      </c>
      <c r="B951" s="5" t="n">
        <v>2.06110049213476</v>
      </c>
      <c r="C951" s="5" t="n">
        <f aca="false">B951</f>
        <v>2.06110049213476</v>
      </c>
      <c r="D951" s="5" t="n">
        <f aca="false">C951*LOG(C951)</f>
        <v>0.64738994766841</v>
      </c>
      <c r="E951" s="5"/>
      <c r="F951" s="5"/>
      <c r="G951" s="4" t="n">
        <v>950</v>
      </c>
      <c r="H951" s="6" t="n">
        <v>0.05</v>
      </c>
      <c r="J951" s="2" t="n">
        <f aca="false">B951/$B$1003</f>
        <v>0.000160728542001729</v>
      </c>
      <c r="K951" s="5" t="n">
        <f aca="false">J951*LOG(J951,2)</f>
        <v>-0.00202567567536232</v>
      </c>
      <c r="L951" s="2" t="n">
        <f aca="false">SUM(J902:J951)</f>
        <v>0.00881979045298402</v>
      </c>
    </row>
    <row r="952" customFormat="false" ht="13" hidden="false" customHeight="false" outlineLevel="0" collapsed="false">
      <c r="A952" s="4" t="n">
        <v>50</v>
      </c>
      <c r="B952" s="5" t="n">
        <v>2.05363119535218</v>
      </c>
      <c r="C952" s="5" t="n">
        <f aca="false">B952</f>
        <v>2.05363119535218</v>
      </c>
      <c r="D952" s="5" t="n">
        <f aca="false">C952*LOG(C952)</f>
        <v>0.641805858304725</v>
      </c>
      <c r="E952" s="5"/>
      <c r="F952" s="5"/>
      <c r="G952" s="4" t="n">
        <v>951</v>
      </c>
      <c r="H952" s="6" t="n">
        <v>0.049</v>
      </c>
      <c r="J952" s="2" t="n">
        <f aca="false">B952/$B$1003</f>
        <v>0.000160146072012409</v>
      </c>
      <c r="K952" s="5" t="n">
        <f aca="false">J952*LOG(J952,2)</f>
        <v>-0.00201917355793475</v>
      </c>
    </row>
    <row r="953" customFormat="false" ht="13" hidden="false" customHeight="false" outlineLevel="0" collapsed="false">
      <c r="A953" s="4" t="n">
        <v>49</v>
      </c>
      <c r="B953" s="5" t="n">
        <v>2.04271246385633</v>
      </c>
      <c r="C953" s="5" t="n">
        <f aca="false">B953</f>
        <v>2.04271246385633</v>
      </c>
      <c r="D953" s="5" t="n">
        <f aca="false">C953*LOG(C953)</f>
        <v>0.633664193087928</v>
      </c>
      <c r="E953" s="5"/>
      <c r="F953" s="5"/>
      <c r="G953" s="4" t="n">
        <v>952</v>
      </c>
      <c r="H953" s="6" t="n">
        <v>0.048</v>
      </c>
      <c r="J953" s="2" t="n">
        <f aca="false">B953/$B$1003</f>
        <v>0.000159294608534266</v>
      </c>
      <c r="K953" s="5" t="n">
        <f aca="false">J953*LOG(J953,2)</f>
        <v>-0.00200966316131117</v>
      </c>
    </row>
    <row r="954" customFormat="false" ht="13" hidden="false" customHeight="false" outlineLevel="0" collapsed="false">
      <c r="A954" s="4" t="n">
        <v>48</v>
      </c>
      <c r="B954" s="5" t="n">
        <v>2.04056191676682</v>
      </c>
      <c r="C954" s="5" t="n">
        <f aca="false">B954</f>
        <v>2.04056191676682</v>
      </c>
      <c r="D954" s="5" t="n">
        <f aca="false">C954*LOG(C954)</f>
        <v>0.632063598889426</v>
      </c>
      <c r="E954" s="5"/>
      <c r="F954" s="5"/>
      <c r="G954" s="4" t="n">
        <v>953</v>
      </c>
      <c r="H954" s="6" t="n">
        <v>0.047</v>
      </c>
      <c r="J954" s="2" t="n">
        <f aca="false">B954/$B$1003</f>
        <v>0.000159126904776238</v>
      </c>
      <c r="K954" s="5" t="n">
        <f aca="false">J954*LOG(J954,2)</f>
        <v>-0.00200778922617071</v>
      </c>
    </row>
    <row r="955" customFormat="false" ht="13" hidden="false" customHeight="false" outlineLevel="0" collapsed="false">
      <c r="A955" s="4" t="n">
        <v>47</v>
      </c>
      <c r="B955" s="5" t="n">
        <v>2.04024090725898</v>
      </c>
      <c r="C955" s="5" t="n">
        <f aca="false">B955</f>
        <v>2.04024090725898</v>
      </c>
      <c r="D955" s="5" t="n">
        <f aca="false">C955*LOG(C955)</f>
        <v>0.631824764574404</v>
      </c>
      <c r="E955" s="5"/>
      <c r="F955" s="5"/>
      <c r="G955" s="4" t="n">
        <v>954</v>
      </c>
      <c r="H955" s="6" t="n">
        <v>0.046</v>
      </c>
      <c r="J955" s="2" t="n">
        <f aca="false">B955/$B$1003</f>
        <v>0.000159101871843414</v>
      </c>
      <c r="K955" s="5" t="n">
        <f aca="false">J955*LOG(J955,2)</f>
        <v>-0.00200750948432195</v>
      </c>
    </row>
    <row r="956" customFormat="false" ht="13" hidden="false" customHeight="false" outlineLevel="0" collapsed="false">
      <c r="A956" s="4" t="n">
        <v>46</v>
      </c>
      <c r="B956" s="5" t="n">
        <v>2.03571016252045</v>
      </c>
      <c r="C956" s="5" t="n">
        <f aca="false">B956</f>
        <v>2.03571016252045</v>
      </c>
      <c r="D956" s="5" t="n">
        <f aca="false">C956*LOG(C956)</f>
        <v>0.628456185951655</v>
      </c>
      <c r="E956" s="5"/>
      <c r="F956" s="5"/>
      <c r="G956" s="4" t="n">
        <v>955</v>
      </c>
      <c r="H956" s="6" t="n">
        <v>0.045</v>
      </c>
      <c r="J956" s="2" t="n">
        <f aca="false">B956/$B$1003</f>
        <v>0.00015874855573933</v>
      </c>
      <c r="K956" s="5" t="n">
        <f aca="false">J956*LOG(J956,2)</f>
        <v>-0.00200356058695993</v>
      </c>
    </row>
    <row r="957" customFormat="false" ht="13" hidden="false" customHeight="false" outlineLevel="0" collapsed="false">
      <c r="A957" s="4" t="n">
        <v>45</v>
      </c>
      <c r="B957" s="5" t="n">
        <v>2.03540922122056</v>
      </c>
      <c r="C957" s="5" t="n">
        <f aca="false">B957</f>
        <v>2.03540922122056</v>
      </c>
      <c r="D957" s="5" t="n">
        <f aca="false">C957*LOG(C957)</f>
        <v>0.628232593089075</v>
      </c>
      <c r="E957" s="5"/>
      <c r="F957" s="5"/>
      <c r="G957" s="4" t="n">
        <v>956</v>
      </c>
      <c r="H957" s="6" t="n">
        <v>0.044</v>
      </c>
      <c r="J957" s="2" t="n">
        <f aca="false">B957/$B$1003</f>
        <v>0.000158725087763585</v>
      </c>
      <c r="K957" s="5" t="n">
        <f aca="false">J957*LOG(J957,2)</f>
        <v>-0.00200329825299713</v>
      </c>
    </row>
    <row r="958" customFormat="false" ht="13" hidden="false" customHeight="false" outlineLevel="0" collapsed="false">
      <c r="A958" s="4" t="n">
        <v>44</v>
      </c>
      <c r="B958" s="5" t="n">
        <v>2.03178748071514</v>
      </c>
      <c r="C958" s="5" t="n">
        <f aca="false">B958</f>
        <v>2.03178748071514</v>
      </c>
      <c r="D958" s="5" t="n">
        <f aca="false">C958*LOG(C958)</f>
        <v>0.625543234887959</v>
      </c>
      <c r="E958" s="5"/>
      <c r="F958" s="5"/>
      <c r="G958" s="4" t="n">
        <v>957</v>
      </c>
      <c r="H958" s="6" t="n">
        <v>0.043</v>
      </c>
      <c r="J958" s="2" t="n">
        <f aca="false">B958/$B$1003</f>
        <v>0.000158442657540912</v>
      </c>
      <c r="K958" s="5" t="n">
        <f aca="false">J958*LOG(J958,2)</f>
        <v>-0.00200014074765223</v>
      </c>
    </row>
    <row r="959" customFormat="false" ht="13" hidden="false" customHeight="false" outlineLevel="0" collapsed="false">
      <c r="A959" s="4" t="n">
        <v>43</v>
      </c>
      <c r="B959" s="5" t="n">
        <v>2.03149079381615</v>
      </c>
      <c r="C959" s="5" t="n">
        <f aca="false">B959</f>
        <v>2.03149079381615</v>
      </c>
      <c r="D959" s="5" t="n">
        <f aca="false">C959*LOG(C959)</f>
        <v>0.625323051360641</v>
      </c>
      <c r="E959" s="5"/>
      <c r="F959" s="5"/>
      <c r="G959" s="4" t="n">
        <v>958</v>
      </c>
      <c r="H959" s="6" t="n">
        <v>0.042</v>
      </c>
      <c r="J959" s="2" t="n">
        <f aca="false">B959/$B$1003</f>
        <v>0.000158419521331451</v>
      </c>
      <c r="K959" s="5" t="n">
        <f aca="false">J959*LOG(J959,2)</f>
        <v>-0.00199988205794914</v>
      </c>
    </row>
    <row r="960" customFormat="false" ht="13" hidden="false" customHeight="false" outlineLevel="0" collapsed="false">
      <c r="A960" s="4" t="n">
        <v>42</v>
      </c>
      <c r="B960" s="5" t="n">
        <v>2.02764093560836</v>
      </c>
      <c r="C960" s="5" t="n">
        <f aca="false">B960</f>
        <v>2.02764093560836</v>
      </c>
      <c r="D960" s="5" t="n">
        <f aca="false">C960*LOG(C960)</f>
        <v>0.622467620895924</v>
      </c>
      <c r="E960" s="5"/>
      <c r="F960" s="5"/>
      <c r="G960" s="4" t="n">
        <v>959</v>
      </c>
      <c r="H960" s="6" t="n">
        <v>0.041</v>
      </c>
      <c r="J960" s="2" t="n">
        <f aca="false">B960/$B$1003</f>
        <v>0.000158119302055868</v>
      </c>
      <c r="K960" s="5" t="n">
        <f aca="false">J960*LOG(J960,2)</f>
        <v>-0.00199652481534081</v>
      </c>
    </row>
    <row r="961" customFormat="false" ht="13" hidden="false" customHeight="false" outlineLevel="0" collapsed="false">
      <c r="A961" s="4" t="n">
        <v>41</v>
      </c>
      <c r="B961" s="5" t="n">
        <v>2.0229293254165</v>
      </c>
      <c r="C961" s="5" t="n">
        <f aca="false">B961</f>
        <v>2.0229293254165</v>
      </c>
      <c r="D961" s="5" t="n">
        <f aca="false">C961*LOG(C961)</f>
        <v>0.618977351668299</v>
      </c>
      <c r="E961" s="5"/>
      <c r="F961" s="5"/>
      <c r="G961" s="4" t="n">
        <v>960</v>
      </c>
      <c r="H961" s="6" t="n">
        <v>0.04</v>
      </c>
      <c r="J961" s="2" t="n">
        <f aca="false">B961/$B$1003</f>
        <v>0.000157751881719253</v>
      </c>
      <c r="K961" s="5" t="n">
        <f aca="false">J961*LOG(J961,2)</f>
        <v>-0.00199241496853952</v>
      </c>
    </row>
    <row r="962" customFormat="false" ht="13" hidden="false" customHeight="false" outlineLevel="0" collapsed="false">
      <c r="A962" s="4" t="n">
        <v>40</v>
      </c>
      <c r="B962" s="5" t="n">
        <v>2.01894182509204</v>
      </c>
      <c r="C962" s="5" t="n">
        <f aca="false">B962</f>
        <v>2.01894182509204</v>
      </c>
      <c r="D962" s="5" t="n">
        <f aca="false">C962*LOG(C962)</f>
        <v>0.616027211992421</v>
      </c>
      <c r="E962" s="5"/>
      <c r="F962" s="5"/>
      <c r="G962" s="4" t="n">
        <v>961</v>
      </c>
      <c r="H962" s="6" t="n">
        <v>0.039</v>
      </c>
      <c r="J962" s="2" t="n">
        <f aca="false">B962/$B$1003</f>
        <v>0.000157440928849256</v>
      </c>
      <c r="K962" s="5" t="n">
        <f aca="false">J962*LOG(J962,2)</f>
        <v>-0.00198893578437104</v>
      </c>
    </row>
    <row r="963" customFormat="false" ht="13" hidden="false" customHeight="false" outlineLevel="0" collapsed="false">
      <c r="A963" s="4" t="n">
        <v>39</v>
      </c>
      <c r="B963" s="5" t="n">
        <v>2.00835393071566</v>
      </c>
      <c r="C963" s="5" t="n">
        <f aca="false">B963</f>
        <v>2.00835393071566</v>
      </c>
      <c r="D963" s="5" t="n">
        <f aca="false">C963*LOG(C963)</f>
        <v>0.608210407692253</v>
      </c>
      <c r="E963" s="5"/>
      <c r="F963" s="5"/>
      <c r="G963" s="4" t="n">
        <v>962</v>
      </c>
      <c r="H963" s="6" t="n">
        <v>0.038</v>
      </c>
      <c r="J963" s="2" t="n">
        <f aca="false">B963/$B$1003</f>
        <v>0.000156615264679809</v>
      </c>
      <c r="K963" s="5" t="n">
        <f aca="false">J963*LOG(J963,2)</f>
        <v>-0.00197969330273016</v>
      </c>
    </row>
    <row r="964" customFormat="false" ht="13" hidden="false" customHeight="false" outlineLevel="0" collapsed="false">
      <c r="A964" s="4" t="n">
        <v>38</v>
      </c>
      <c r="B964" s="5" t="n">
        <v>2.00416422020408</v>
      </c>
      <c r="C964" s="5" t="n">
        <f aca="false">B964</f>
        <v>2.00416422020408</v>
      </c>
      <c r="D964" s="5" t="n">
        <f aca="false">C964*LOG(C964)</f>
        <v>0.60512392581449</v>
      </c>
      <c r="E964" s="5"/>
      <c r="F964" s="5"/>
      <c r="G964" s="4" t="n">
        <v>963</v>
      </c>
      <c r="H964" s="6" t="n">
        <v>0.037</v>
      </c>
      <c r="J964" s="2" t="n">
        <f aca="false">B964/$B$1003</f>
        <v>0.000156288543074286</v>
      </c>
      <c r="K964" s="5" t="n">
        <f aca="false">J964*LOG(J964,2)</f>
        <v>-0.0019760342499808</v>
      </c>
    </row>
    <row r="965" customFormat="false" ht="13" hidden="false" customHeight="false" outlineLevel="0" collapsed="false">
      <c r="A965" s="4" t="n">
        <v>37</v>
      </c>
      <c r="B965" s="5" t="n">
        <v>2.0024701243583</v>
      </c>
      <c r="C965" s="5" t="n">
        <f aca="false">B965</f>
        <v>2.0024701243583</v>
      </c>
      <c r="D965" s="5" t="n">
        <f aca="false">C965*LOG(C965)</f>
        <v>0.603876996422196</v>
      </c>
      <c r="E965" s="5"/>
      <c r="F965" s="5"/>
      <c r="G965" s="4" t="n">
        <v>964</v>
      </c>
      <c r="H965" s="6" t="n">
        <v>0.036</v>
      </c>
      <c r="J965" s="2" t="n">
        <f aca="false">B965/$B$1003</f>
        <v>0.000156156434253613</v>
      </c>
      <c r="K965" s="5" t="n">
        <f aca="false">J965*LOG(J965,2)</f>
        <v>-0.00197455444422448</v>
      </c>
    </row>
    <row r="966" customFormat="false" ht="13" hidden="false" customHeight="false" outlineLevel="0" collapsed="false">
      <c r="A966" s="4" t="n">
        <v>36</v>
      </c>
      <c r="B966" s="5" t="n">
        <v>1.98567415756042</v>
      </c>
      <c r="C966" s="5" t="n">
        <f aca="false">B966</f>
        <v>1.98567415756042</v>
      </c>
      <c r="D966" s="5" t="n">
        <f aca="false">C966*LOG(C966)</f>
        <v>0.591548184652673</v>
      </c>
      <c r="E966" s="5"/>
      <c r="F966" s="5"/>
      <c r="G966" s="4" t="n">
        <v>965</v>
      </c>
      <c r="H966" s="6" t="n">
        <v>0.035</v>
      </c>
      <c r="J966" s="2" t="n">
        <f aca="false">B966/$B$1003</f>
        <v>0.000154846652772684</v>
      </c>
      <c r="K966" s="5" t="n">
        <f aca="false">J966*LOG(J966,2)</f>
        <v>-0.00195987429196588</v>
      </c>
    </row>
    <row r="967" customFormat="false" ht="13" hidden="false" customHeight="false" outlineLevel="0" collapsed="false">
      <c r="A967" s="4" t="n">
        <v>35</v>
      </c>
      <c r="B967" s="5" t="n">
        <v>1.9852091272046</v>
      </c>
      <c r="C967" s="5" t="n">
        <f aca="false">B967</f>
        <v>1.9852091272046</v>
      </c>
      <c r="D967" s="5" t="n">
        <f aca="false">C967*LOG(C967)</f>
        <v>0.591207711930173</v>
      </c>
      <c r="E967" s="5"/>
      <c r="F967" s="5"/>
      <c r="G967" s="4" t="n">
        <v>966</v>
      </c>
      <c r="H967" s="6" t="n">
        <v>0.034</v>
      </c>
      <c r="J967" s="2" t="n">
        <f aca="false">B967/$B$1003</f>
        <v>0.000154810388819828</v>
      </c>
      <c r="K967" s="5" t="n">
        <f aca="false">J967*LOG(J967,2)</f>
        <v>-0.00195946761544801</v>
      </c>
    </row>
    <row r="968" customFormat="false" ht="13" hidden="false" customHeight="false" outlineLevel="0" collapsed="false">
      <c r="A968" s="4" t="n">
        <v>34</v>
      </c>
      <c r="B968" s="5" t="n">
        <v>1.98291741393541</v>
      </c>
      <c r="C968" s="5" t="n">
        <f aca="false">B968</f>
        <v>1.98291741393541</v>
      </c>
      <c r="D968" s="5" t="n">
        <f aca="false">C968*LOG(C968)</f>
        <v>0.589530521630983</v>
      </c>
      <c r="E968" s="5"/>
      <c r="F968" s="5"/>
      <c r="G968" s="4" t="n">
        <v>967</v>
      </c>
      <c r="H968" s="6" t="n">
        <v>0.033</v>
      </c>
      <c r="J968" s="2" t="n">
        <f aca="false">B968/$B$1003</f>
        <v>0.000154631676654241</v>
      </c>
      <c r="K968" s="5" t="n">
        <f aca="false">J968*LOG(J968,2)</f>
        <v>-0.00195746329630318</v>
      </c>
    </row>
    <row r="969" customFormat="false" ht="13" hidden="false" customHeight="false" outlineLevel="0" collapsed="false">
      <c r="A969" s="4" t="n">
        <v>33</v>
      </c>
      <c r="B969" s="5" t="n">
        <v>1.98147294205137</v>
      </c>
      <c r="C969" s="5" t="n">
        <f aca="false">B969</f>
        <v>1.98147294205137</v>
      </c>
      <c r="D969" s="5" t="n">
        <f aca="false">C969*LOG(C969)</f>
        <v>0.588473975833998</v>
      </c>
      <c r="E969" s="5"/>
      <c r="F969" s="5"/>
      <c r="G969" s="4" t="n">
        <v>968</v>
      </c>
      <c r="H969" s="6" t="n">
        <v>0.032</v>
      </c>
      <c r="J969" s="2" t="n">
        <f aca="false">B969/$B$1003</f>
        <v>0.000154519033985545</v>
      </c>
      <c r="K969" s="5" t="n">
        <f aca="false">J969*LOG(J969,2)</f>
        <v>-0.00195619981648723</v>
      </c>
    </row>
    <row r="970" customFormat="false" ht="13" hidden="false" customHeight="false" outlineLevel="0" collapsed="false">
      <c r="A970" s="4" t="n">
        <v>32</v>
      </c>
      <c r="B970" s="5" t="n">
        <v>1.96472182573143</v>
      </c>
      <c r="C970" s="5" t="n">
        <f aca="false">B970</f>
        <v>1.96472182573143</v>
      </c>
      <c r="D970" s="5" t="n">
        <f aca="false">C970*LOG(C970)</f>
        <v>0.576255013095637</v>
      </c>
      <c r="E970" s="5"/>
      <c r="F970" s="5"/>
      <c r="G970" s="4" t="n">
        <v>969</v>
      </c>
      <c r="H970" s="6" t="n">
        <v>0.031</v>
      </c>
      <c r="J970" s="2" t="n">
        <f aca="false">B970/$B$1003</f>
        <v>0.000153212750030309</v>
      </c>
      <c r="K970" s="5" t="n">
        <f aca="false">J970*LOG(J970,2)</f>
        <v>-0.00194153893679452</v>
      </c>
    </row>
    <row r="971" customFormat="false" ht="13" hidden="false" customHeight="false" outlineLevel="0" collapsed="false">
      <c r="A971" s="4" t="n">
        <v>31</v>
      </c>
      <c r="B971" s="5" t="n">
        <v>1.96309070068628</v>
      </c>
      <c r="C971" s="5" t="n">
        <f aca="false">B971</f>
        <v>1.96309070068628</v>
      </c>
      <c r="D971" s="5" t="n">
        <f aca="false">C971*LOG(C971)</f>
        <v>0.575068507904582</v>
      </c>
      <c r="E971" s="5"/>
      <c r="F971" s="5"/>
      <c r="G971" s="4" t="n">
        <v>970</v>
      </c>
      <c r="H971" s="6" t="n">
        <v>0.03</v>
      </c>
      <c r="J971" s="2" t="n">
        <f aca="false">B971/$B$1003</f>
        <v>0.000153085551792605</v>
      </c>
      <c r="K971" s="5" t="n">
        <f aca="false">J971*LOG(J971,2)</f>
        <v>-0.00194011049040776</v>
      </c>
    </row>
    <row r="972" customFormat="false" ht="13" hidden="false" customHeight="false" outlineLevel="0" collapsed="false">
      <c r="A972" s="4" t="n">
        <v>30</v>
      </c>
      <c r="B972" s="5" t="n">
        <v>1.95887848206576</v>
      </c>
      <c r="C972" s="5" t="n">
        <f aca="false">B972</f>
        <v>1.95887848206576</v>
      </c>
      <c r="D972" s="5" t="n">
        <f aca="false">C972*LOG(C972)</f>
        <v>0.572007199760857</v>
      </c>
      <c r="E972" s="5"/>
      <c r="F972" s="5"/>
      <c r="G972" s="4" t="n">
        <v>971</v>
      </c>
      <c r="H972" s="6" t="n">
        <v>0.029</v>
      </c>
      <c r="J972" s="2" t="n">
        <f aca="false">B972/$B$1003</f>
        <v>0.000152757074961877</v>
      </c>
      <c r="K972" s="5" t="n">
        <f aca="false">J972*LOG(J972,2)</f>
        <v>-0.00193642096371289</v>
      </c>
    </row>
    <row r="973" customFormat="false" ht="13" hidden="false" customHeight="false" outlineLevel="0" collapsed="false">
      <c r="A973" s="4" t="n">
        <v>29</v>
      </c>
      <c r="B973" s="5" t="n">
        <v>1.95611536561955</v>
      </c>
      <c r="C973" s="5" t="n">
        <f aca="false">B973</f>
        <v>1.95611536561955</v>
      </c>
      <c r="D973" s="5" t="n">
        <f aca="false">C973*LOG(C973)</f>
        <v>0.570001189560727</v>
      </c>
      <c r="E973" s="5"/>
      <c r="F973" s="5"/>
      <c r="G973" s="4" t="n">
        <v>972</v>
      </c>
      <c r="H973" s="6" t="n">
        <v>0.028</v>
      </c>
      <c r="J973" s="2" t="n">
        <f aca="false">B973/$B$1003</f>
        <v>0.000152541601878699</v>
      </c>
      <c r="K973" s="5" t="n">
        <f aca="false">J973*LOG(J973,2)</f>
        <v>-0.00193400016755372</v>
      </c>
    </row>
    <row r="974" customFormat="false" ht="13" hidden="false" customHeight="false" outlineLevel="0" collapsed="false">
      <c r="A974" s="4" t="n">
        <v>28</v>
      </c>
      <c r="B974" s="5" t="n">
        <v>1.95366673009312</v>
      </c>
      <c r="C974" s="5" t="n">
        <f aca="false">B974</f>
        <v>1.95366673009312</v>
      </c>
      <c r="D974" s="5" t="n">
        <f aca="false">C974*LOG(C974)</f>
        <v>0.56822490769528</v>
      </c>
      <c r="E974" s="5"/>
      <c r="F974" s="5"/>
      <c r="G974" s="4" t="n">
        <v>973</v>
      </c>
      <c r="H974" s="6" t="n">
        <v>0.027</v>
      </c>
      <c r="J974" s="2" t="n">
        <f aca="false">B974/$B$1003</f>
        <v>0.000152350652616614</v>
      </c>
      <c r="K974" s="5" t="n">
        <f aca="false">J974*LOG(J974,2)</f>
        <v>-0.00193185452455625</v>
      </c>
    </row>
    <row r="975" customFormat="false" ht="13" hidden="false" customHeight="false" outlineLevel="0" collapsed="false">
      <c r="A975" s="4" t="n">
        <v>27</v>
      </c>
      <c r="B975" s="5" t="n">
        <v>1.94721130094285</v>
      </c>
      <c r="C975" s="5" t="n">
        <f aca="false">B975</f>
        <v>1.94721130094285</v>
      </c>
      <c r="D975" s="5" t="n">
        <f aca="false">C975*LOG(C975)</f>
        <v>0.563548422720773</v>
      </c>
      <c r="E975" s="5"/>
      <c r="F975" s="5"/>
      <c r="G975" s="4" t="n">
        <v>974</v>
      </c>
      <c r="H975" s="6" t="n">
        <v>0.026</v>
      </c>
      <c r="J975" s="2" t="n">
        <f aca="false">B975/$B$1003</f>
        <v>0.000151847245956299</v>
      </c>
      <c r="K975" s="5" t="n">
        <f aca="false">J975*LOG(J975,2)</f>
        <v>-0.00192619622976255</v>
      </c>
    </row>
    <row r="976" customFormat="false" ht="13" hidden="false" customHeight="false" outlineLevel="0" collapsed="false">
      <c r="A976" s="4" t="n">
        <v>26</v>
      </c>
      <c r="B976" s="5" t="n">
        <v>1.94514775531843</v>
      </c>
      <c r="C976" s="5" t="n">
        <f aca="false">B976</f>
        <v>1.94514775531843</v>
      </c>
      <c r="D976" s="5" t="n">
        <f aca="false">C976*LOG(C976)</f>
        <v>0.562055494177165</v>
      </c>
      <c r="E976" s="5"/>
      <c r="F976" s="5"/>
      <c r="G976" s="4" t="n">
        <v>975</v>
      </c>
      <c r="H976" s="6" t="n">
        <v>0.025</v>
      </c>
      <c r="J976" s="2" t="n">
        <f aca="false">B976/$B$1003</f>
        <v>0.000151686326738225</v>
      </c>
      <c r="K976" s="5" t="n">
        <f aca="false">J976*LOG(J976,2)</f>
        <v>-0.00192438698903587</v>
      </c>
    </row>
    <row r="977" customFormat="false" ht="13" hidden="false" customHeight="false" outlineLevel="0" collapsed="false">
      <c r="A977" s="4" t="n">
        <v>25</v>
      </c>
      <c r="B977" s="5" t="n">
        <v>1.94306100327231</v>
      </c>
      <c r="C977" s="5" t="n">
        <f aca="false">B977</f>
        <v>1.94306100327231</v>
      </c>
      <c r="D977" s="5" t="n">
        <f aca="false">C977*LOG(C977)</f>
        <v>0.56054674315062</v>
      </c>
      <c r="E977" s="5"/>
      <c r="F977" s="5"/>
      <c r="G977" s="4" t="n">
        <v>976</v>
      </c>
      <c r="H977" s="6" t="n">
        <v>0.024</v>
      </c>
      <c r="J977" s="2" t="n">
        <f aca="false">B977/$B$1003</f>
        <v>0.000151523597839186</v>
      </c>
      <c r="K977" s="5" t="n">
        <f aca="false">J977*LOG(J977,2)</f>
        <v>-0.00192255715131459</v>
      </c>
    </row>
    <row r="978" customFormat="false" ht="13" hidden="false" customHeight="false" outlineLevel="0" collapsed="false">
      <c r="A978" s="4" t="n">
        <v>24</v>
      </c>
      <c r="B978" s="5" t="n">
        <v>1.94212981032047</v>
      </c>
      <c r="C978" s="5" t="n">
        <f aca="false">B978</f>
        <v>1.94212981032047</v>
      </c>
      <c r="D978" s="5" t="n">
        <f aca="false">C978*LOG(C978)</f>
        <v>0.559873791575163</v>
      </c>
      <c r="E978" s="5"/>
      <c r="F978" s="5"/>
      <c r="G978" s="4" t="n">
        <v>977</v>
      </c>
      <c r="H978" s="6" t="n">
        <v>0.023</v>
      </c>
      <c r="J978" s="2" t="n">
        <f aca="false">B978/$B$1003</f>
        <v>0.000151450981639228</v>
      </c>
      <c r="K978" s="5" t="n">
        <f aca="false">J978*LOG(J978,2)</f>
        <v>-0.00192174052255718</v>
      </c>
    </row>
    <row r="979" customFormat="false" ht="13" hidden="false" customHeight="false" outlineLevel="0" collapsed="false">
      <c r="A979" s="4" t="n">
        <v>23</v>
      </c>
      <c r="B979" s="5" t="n">
        <v>1.93616546651595</v>
      </c>
      <c r="C979" s="5" t="n">
        <f aca="false">B979</f>
        <v>1.93616546651595</v>
      </c>
      <c r="D979" s="5" t="n">
        <f aca="false">C979*LOG(C979)</f>
        <v>0.555568100849332</v>
      </c>
      <c r="E979" s="5"/>
      <c r="F979" s="5"/>
      <c r="G979" s="4" t="n">
        <v>978</v>
      </c>
      <c r="H979" s="6" t="n">
        <v>0.022</v>
      </c>
      <c r="J979" s="2" t="n">
        <f aca="false">B979/$B$1003</f>
        <v>0.000150985870749508</v>
      </c>
      <c r="K979" s="5" t="n">
        <f aca="false">J979*LOG(J979,2)</f>
        <v>-0.00191650877668448</v>
      </c>
    </row>
    <row r="980" customFormat="false" ht="13" hidden="false" customHeight="false" outlineLevel="0" collapsed="false">
      <c r="A980" s="4" t="n">
        <v>22</v>
      </c>
      <c r="B980" s="5" t="n">
        <v>1.91998392686446</v>
      </c>
      <c r="C980" s="5" t="n">
        <f aca="false">B980</f>
        <v>1.91998392686446</v>
      </c>
      <c r="D980" s="5" t="n">
        <f aca="false">C980*LOG(C980)</f>
        <v>0.543926825126915</v>
      </c>
      <c r="E980" s="5"/>
      <c r="F980" s="5"/>
      <c r="G980" s="4" t="n">
        <v>979</v>
      </c>
      <c r="H980" s="6" t="n">
        <v>0.021</v>
      </c>
      <c r="J980" s="2" t="n">
        <f aca="false">B980/$B$1003</f>
        <v>0.000149724003467709</v>
      </c>
      <c r="K980" s="5" t="n">
        <f aca="false">J980*LOG(J980,2)</f>
        <v>-0.00190230437919076</v>
      </c>
    </row>
    <row r="981" customFormat="false" ht="13" hidden="false" customHeight="false" outlineLevel="0" collapsed="false">
      <c r="A981" s="4" t="n">
        <v>21</v>
      </c>
      <c r="B981" s="5" t="n">
        <v>1.9045777773822</v>
      </c>
      <c r="C981" s="5" t="n">
        <f aca="false">B981</f>
        <v>1.9045777773822</v>
      </c>
      <c r="D981" s="5" t="n">
        <f aca="false">C981*LOG(C981)</f>
        <v>0.532898410300329</v>
      </c>
      <c r="E981" s="5"/>
      <c r="F981" s="5"/>
      <c r="G981" s="4" t="n">
        <v>980</v>
      </c>
      <c r="H981" s="6" t="n">
        <v>0.02</v>
      </c>
      <c r="J981" s="2" t="n">
        <f aca="false">B981/$B$1003</f>
        <v>0.000148522602588133</v>
      </c>
      <c r="K981" s="5" t="n">
        <f aca="false">J981*LOG(J981,2)</f>
        <v>-0.0018887663747339</v>
      </c>
    </row>
    <row r="982" customFormat="false" ht="13" hidden="false" customHeight="false" outlineLevel="0" collapsed="false">
      <c r="A982" s="4" t="n">
        <v>20</v>
      </c>
      <c r="B982" s="5" t="n">
        <v>1.90439887360571</v>
      </c>
      <c r="C982" s="5" t="n">
        <f aca="false">B982</f>
        <v>1.90439887360571</v>
      </c>
      <c r="D982" s="5" t="n">
        <f aca="false">C982*LOG(C982)</f>
        <v>0.532770659980345</v>
      </c>
      <c r="E982" s="5"/>
      <c r="F982" s="5"/>
      <c r="G982" s="4" t="n">
        <v>981</v>
      </c>
      <c r="H982" s="6" t="n">
        <v>0.019</v>
      </c>
      <c r="J982" s="2" t="n">
        <f aca="false">B982/$B$1003</f>
        <v>0.000148508651330898</v>
      </c>
      <c r="K982" s="5" t="n">
        <f aca="false">J982*LOG(J982,2)</f>
        <v>-0.00188860908264307</v>
      </c>
    </row>
    <row r="983" customFormat="false" ht="13" hidden="false" customHeight="false" outlineLevel="0" collapsed="false">
      <c r="A983" s="4" t="n">
        <v>19</v>
      </c>
      <c r="B983" s="5" t="n">
        <v>1.89609639192622</v>
      </c>
      <c r="C983" s="5" t="n">
        <f aca="false">B983</f>
        <v>1.89609639192622</v>
      </c>
      <c r="D983" s="5" t="n">
        <f aca="false">C983*LOG(C983)</f>
        <v>0.526850124289754</v>
      </c>
      <c r="E983" s="5"/>
      <c r="F983" s="5"/>
      <c r="G983" s="4" t="n">
        <v>982</v>
      </c>
      <c r="H983" s="6" t="n">
        <v>0.018</v>
      </c>
      <c r="J983" s="2" t="n">
        <f aca="false">B983/$B$1003</f>
        <v>0.000147861207996411</v>
      </c>
      <c r="K983" s="5" t="n">
        <f aca="false">J983*LOG(J983,2)</f>
        <v>-0.00188130746290546</v>
      </c>
    </row>
    <row r="984" customFormat="false" ht="13" hidden="false" customHeight="false" outlineLevel="0" collapsed="false">
      <c r="A984" s="4" t="n">
        <v>18</v>
      </c>
      <c r="B984" s="5" t="n">
        <v>1.88362735873352</v>
      </c>
      <c r="C984" s="5" t="n">
        <f aca="false">B984</f>
        <v>1.88362735873352</v>
      </c>
      <c r="D984" s="5" t="n">
        <f aca="false">C984*LOG(C984)</f>
        <v>0.517988086158616</v>
      </c>
      <c r="E984" s="5"/>
      <c r="F984" s="5"/>
      <c r="G984" s="4" t="n">
        <v>983</v>
      </c>
      <c r="H984" s="6" t="n">
        <v>0.017</v>
      </c>
      <c r="J984" s="2" t="n">
        <f aca="false">B984/$B$1003</f>
        <v>0.000146888849039202</v>
      </c>
      <c r="K984" s="5" t="n">
        <f aca="false">J984*LOG(J984,2)</f>
        <v>-0.00187033387880096</v>
      </c>
    </row>
    <row r="985" customFormat="false" ht="13" hidden="false" customHeight="false" outlineLevel="0" collapsed="false">
      <c r="A985" s="4" t="n">
        <v>17</v>
      </c>
      <c r="B985" s="5" t="n">
        <v>1.86807443827774</v>
      </c>
      <c r="C985" s="5" t="n">
        <f aca="false">B985</f>
        <v>1.86807443827774</v>
      </c>
      <c r="D985" s="5" t="n">
        <f aca="false">C985*LOG(C985)</f>
        <v>0.506984526302478</v>
      </c>
      <c r="E985" s="5"/>
      <c r="F985" s="5"/>
      <c r="G985" s="4" t="n">
        <v>984</v>
      </c>
      <c r="H985" s="6" t="n">
        <v>0.016</v>
      </c>
      <c r="J985" s="2" t="n">
        <f aca="false">B985/$B$1003</f>
        <v>0.000145676002679568</v>
      </c>
      <c r="K985" s="5" t="n">
        <f aca="false">J985*LOG(J985,2)</f>
        <v>-0.00185663324490103</v>
      </c>
    </row>
    <row r="986" customFormat="false" ht="13" hidden="false" customHeight="false" outlineLevel="0" collapsed="false">
      <c r="A986" s="4" t="n">
        <v>16</v>
      </c>
      <c r="B986" s="5" t="n">
        <v>1.86628582237701</v>
      </c>
      <c r="C986" s="5" t="n">
        <f aca="false">B986</f>
        <v>1.86628582237701</v>
      </c>
      <c r="D986" s="5" t="n">
        <f aca="false">C986*LOG(C986)</f>
        <v>0.505722692336164</v>
      </c>
      <c r="E986" s="5"/>
      <c r="F986" s="5"/>
      <c r="G986" s="4" t="n">
        <v>985</v>
      </c>
      <c r="H986" s="6" t="n">
        <v>0.015</v>
      </c>
      <c r="J986" s="2" t="n">
        <f aca="false">B986/$B$1003</f>
        <v>0.000145536523004985</v>
      </c>
      <c r="K986" s="5" t="n">
        <f aca="false">J986*LOG(J986,2)</f>
        <v>-0.0018550567138129</v>
      </c>
    </row>
    <row r="987" customFormat="false" ht="13" hidden="false" customHeight="false" outlineLevel="0" collapsed="false">
      <c r="A987" s="4" t="n">
        <v>15</v>
      </c>
      <c r="B987" s="5" t="n">
        <v>1.86475482283231</v>
      </c>
      <c r="C987" s="5" t="n">
        <f aca="false">B987</f>
        <v>1.86475482283231</v>
      </c>
      <c r="D987" s="5" t="n">
        <f aca="false">C987*LOG(C987)</f>
        <v>0.504643193047761</v>
      </c>
      <c r="E987" s="5"/>
      <c r="F987" s="5"/>
      <c r="G987" s="4" t="n">
        <v>986</v>
      </c>
      <c r="H987" s="6" t="n">
        <v>0.014</v>
      </c>
      <c r="J987" s="2" t="n">
        <f aca="false">B987/$B$1003</f>
        <v>0.000145417132744508</v>
      </c>
      <c r="K987" s="5" t="n">
        <f aca="false">J987*LOG(J987,2)</f>
        <v>-0.00185370709908679</v>
      </c>
    </row>
    <row r="988" customFormat="false" ht="13" hidden="false" customHeight="false" outlineLevel="0" collapsed="false">
      <c r="A988" s="4" t="n">
        <v>14</v>
      </c>
      <c r="B988" s="5" t="n">
        <v>1.85962510713398</v>
      </c>
      <c r="C988" s="5" t="n">
        <f aca="false">B988</f>
        <v>1.85962510713398</v>
      </c>
      <c r="D988" s="5" t="n">
        <f aca="false">C988*LOG(C988)</f>
        <v>0.501030240271325</v>
      </c>
      <c r="E988" s="5"/>
      <c r="F988" s="5"/>
      <c r="G988" s="4" t="n">
        <v>987</v>
      </c>
      <c r="H988" s="6" t="n">
        <v>0.013</v>
      </c>
      <c r="J988" s="2" t="n">
        <f aca="false">B988/$B$1003</f>
        <v>0.000145017107744164</v>
      </c>
      <c r="K988" s="5" t="n">
        <f aca="false">J988*LOG(J988,2)</f>
        <v>-0.00184918409391426</v>
      </c>
    </row>
    <row r="989" customFormat="false" ht="13" hidden="false" customHeight="false" outlineLevel="0" collapsed="false">
      <c r="A989" s="4" t="n">
        <v>13</v>
      </c>
      <c r="B989" s="5" t="n">
        <v>1.8423481039199</v>
      </c>
      <c r="C989" s="5" t="n">
        <f aca="false">B989</f>
        <v>1.8423481039199</v>
      </c>
      <c r="D989" s="5" t="n">
        <f aca="false">C989*LOG(C989)</f>
        <v>0.488907033090039</v>
      </c>
      <c r="E989" s="5"/>
      <c r="F989" s="5"/>
      <c r="G989" s="4" t="n">
        <v>988</v>
      </c>
      <c r="H989" s="6" t="n">
        <v>0.012</v>
      </c>
      <c r="J989" s="2" t="n">
        <f aca="false">B989/$B$1003</f>
        <v>0.000143669814127305</v>
      </c>
      <c r="K989" s="5" t="n">
        <f aca="false">J989*LOG(J989,2)</f>
        <v>-0.00183393877032595</v>
      </c>
    </row>
    <row r="990" customFormat="false" ht="13" hidden="false" customHeight="false" outlineLevel="0" collapsed="false">
      <c r="A990" s="4" t="n">
        <v>12</v>
      </c>
      <c r="B990" s="5" t="n">
        <v>1.83758575967022</v>
      </c>
      <c r="C990" s="5" t="n">
        <f aca="false">B990</f>
        <v>1.83758575967022</v>
      </c>
      <c r="D990" s="5" t="n">
        <f aca="false">C990*LOG(C990)</f>
        <v>0.485577657372963</v>
      </c>
      <c r="E990" s="5"/>
      <c r="F990" s="5"/>
      <c r="G990" s="4" t="n">
        <v>989</v>
      </c>
      <c r="H990" s="6" t="n">
        <v>0.011</v>
      </c>
      <c r="J990" s="2" t="n">
        <f aca="false">B990/$B$1003</f>
        <v>0.000143298437452231</v>
      </c>
      <c r="K990" s="5" t="n">
        <f aca="false">J990*LOG(J990,2)</f>
        <v>-0.00182973325383866</v>
      </c>
    </row>
    <row r="991" customFormat="false" ht="13" hidden="false" customHeight="false" outlineLevel="0" collapsed="false">
      <c r="A991" s="4" t="n">
        <v>11</v>
      </c>
      <c r="B991" s="5" t="n">
        <v>1.83532860777996</v>
      </c>
      <c r="C991" s="5" t="n">
        <f aca="false">B991</f>
        <v>1.83532860777996</v>
      </c>
      <c r="D991" s="5" t="n">
        <f aca="false">C991*LOG(C991)</f>
        <v>0.484001544045502</v>
      </c>
      <c r="E991" s="5"/>
      <c r="F991" s="5"/>
      <c r="G991" s="4" t="n">
        <v>990</v>
      </c>
      <c r="H991" s="6" t="n">
        <v>0.01</v>
      </c>
      <c r="J991" s="2" t="n">
        <f aca="false">B991/$B$1003</f>
        <v>0.000143122420448799</v>
      </c>
      <c r="K991" s="5" t="n">
        <f aca="false">J991*LOG(J991,2)</f>
        <v>-0.00182773953020929</v>
      </c>
    </row>
    <row r="992" customFormat="false" ht="13" hidden="false" customHeight="false" outlineLevel="0" collapsed="false">
      <c r="A992" s="4" t="n">
        <v>10</v>
      </c>
      <c r="B992" s="5" t="n">
        <v>1.81541043164316</v>
      </c>
      <c r="C992" s="5" t="n">
        <f aca="false">B992</f>
        <v>1.81541043164316</v>
      </c>
      <c r="D992" s="5" t="n">
        <f aca="false">C992*LOG(C992)</f>
        <v>0.470145601821002</v>
      </c>
      <c r="E992" s="5"/>
      <c r="F992" s="5"/>
      <c r="G992" s="4" t="n">
        <v>991</v>
      </c>
      <c r="H992" s="6" t="n">
        <v>0.009</v>
      </c>
      <c r="J992" s="2" t="n">
        <f aca="false">B992/$B$1003</f>
        <v>0.00014156916313698</v>
      </c>
      <c r="K992" s="5" t="n">
        <f aca="false">J992*LOG(J992,2)</f>
        <v>-0.00181013238833254</v>
      </c>
    </row>
    <row r="993" customFormat="false" ht="13" hidden="false" customHeight="false" outlineLevel="0" collapsed="false">
      <c r="A993" s="4" t="n">
        <v>9</v>
      </c>
      <c r="B993" s="5" t="n">
        <v>1.80591813231194</v>
      </c>
      <c r="C993" s="5" t="n">
        <f aca="false">B993</f>
        <v>1.80591813231194</v>
      </c>
      <c r="D993" s="5" t="n">
        <f aca="false">C993*LOG(C993)</f>
        <v>0.463575678467703</v>
      </c>
      <c r="E993" s="5"/>
      <c r="F993" s="5"/>
      <c r="G993" s="4" t="n">
        <v>992</v>
      </c>
      <c r="H993" s="6" t="n">
        <v>0.008</v>
      </c>
      <c r="J993" s="2" t="n">
        <f aca="false">B993/$B$1003</f>
        <v>0.000140828935555854</v>
      </c>
      <c r="K993" s="5" t="n">
        <f aca="false">J993*LOG(J993,2)</f>
        <v>-0.00180173281232845</v>
      </c>
    </row>
    <row r="994" customFormat="false" ht="13" hidden="false" customHeight="false" outlineLevel="0" collapsed="false">
      <c r="A994" s="4" t="n">
        <v>8</v>
      </c>
      <c r="B994" s="5" t="n">
        <v>1.79609386852644</v>
      </c>
      <c r="C994" s="5" t="n">
        <f aca="false">B994</f>
        <v>1.79609386852644</v>
      </c>
      <c r="D994" s="5" t="n">
        <f aca="false">C994*LOG(C994)</f>
        <v>0.456798811876048</v>
      </c>
      <c r="E994" s="5"/>
      <c r="F994" s="5"/>
      <c r="G994" s="4" t="n">
        <v>993</v>
      </c>
      <c r="H994" s="6" t="n">
        <v>0.007</v>
      </c>
      <c r="J994" s="2" t="n">
        <f aca="false">B994/$B$1003</f>
        <v>0.000140062820754315</v>
      </c>
      <c r="K994" s="5" t="n">
        <f aca="false">J994*LOG(J994,2)</f>
        <v>-0.00179303357504677</v>
      </c>
    </row>
    <row r="995" customFormat="false" ht="13" hidden="false" customHeight="false" outlineLevel="0" collapsed="false">
      <c r="A995" s="4" t="n">
        <v>7</v>
      </c>
      <c r="B995" s="5" t="n">
        <v>1.79547934939728</v>
      </c>
      <c r="C995" s="5" t="n">
        <f aca="false">B995</f>
        <v>1.79547934939728</v>
      </c>
      <c r="D995" s="5" t="n">
        <f aca="false">C995*LOG(C995)</f>
        <v>0.456375685216045</v>
      </c>
      <c r="E995" s="5"/>
      <c r="F995" s="5"/>
      <c r="G995" s="4" t="n">
        <v>994</v>
      </c>
      <c r="H995" s="6" t="n">
        <v>0.006</v>
      </c>
      <c r="J995" s="2" t="n">
        <f aca="false">B995/$B$1003</f>
        <v>0.000140014899382194</v>
      </c>
      <c r="K995" s="5" t="n">
        <f aca="false">J995*LOG(J995,2)</f>
        <v>-0.00179248922706992</v>
      </c>
    </row>
    <row r="996" customFormat="false" ht="13" hidden="false" customHeight="false" outlineLevel="0" collapsed="false">
      <c r="A996" s="4" t="n">
        <v>6</v>
      </c>
      <c r="B996" s="5" t="n">
        <v>1.79020950438735</v>
      </c>
      <c r="C996" s="5" t="n">
        <f aca="false">B996</f>
        <v>1.79020950438735</v>
      </c>
      <c r="D996" s="5" t="n">
        <f aca="false">C996*LOG(C996)</f>
        <v>0.452750891197113</v>
      </c>
      <c r="E996" s="5"/>
      <c r="F996" s="5"/>
      <c r="G996" s="4" t="n">
        <v>995</v>
      </c>
      <c r="H996" s="6" t="n">
        <v>0.005</v>
      </c>
      <c r="J996" s="2" t="n">
        <f aca="false">B996/$B$1003</f>
        <v>0.000139603946831237</v>
      </c>
      <c r="K996" s="5" t="n">
        <f aca="false">J996*LOG(J996,2)</f>
        <v>-0.00178782016654331</v>
      </c>
    </row>
    <row r="997" customFormat="false" ht="13" hidden="false" customHeight="false" outlineLevel="0" collapsed="false">
      <c r="A997" s="4" t="n">
        <v>5</v>
      </c>
      <c r="B997" s="5" t="n">
        <v>1.78077854884805</v>
      </c>
      <c r="C997" s="5" t="n">
        <f aca="false">B997</f>
        <v>1.78077854884805</v>
      </c>
      <c r="D997" s="5" t="n">
        <f aca="false">C997*LOG(C997)</f>
        <v>0.446280761716507</v>
      </c>
      <c r="E997" s="5"/>
      <c r="F997" s="5"/>
      <c r="G997" s="4" t="n">
        <v>996</v>
      </c>
      <c r="H997" s="6" t="n">
        <v>0.004</v>
      </c>
      <c r="J997" s="2" t="n">
        <f aca="false">B997/$B$1003</f>
        <v>0.000138868502955842</v>
      </c>
      <c r="K997" s="5" t="n">
        <f aca="false">J997*LOG(J997,2)</f>
        <v>-0.00177946001975401</v>
      </c>
    </row>
    <row r="998" customFormat="false" ht="13" hidden="false" customHeight="false" outlineLevel="0" collapsed="false">
      <c r="A998" s="4" t="n">
        <v>4</v>
      </c>
      <c r="B998" s="5" t="n">
        <v>1.77004627500355</v>
      </c>
      <c r="C998" s="5" t="n">
        <f aca="false">B998</f>
        <v>1.77004627500355</v>
      </c>
      <c r="D998" s="5" t="n">
        <f aca="false">C998*LOG(C998)</f>
        <v>0.438944253665578</v>
      </c>
      <c r="E998" s="5"/>
      <c r="F998" s="5"/>
      <c r="G998" s="4" t="n">
        <v>997</v>
      </c>
      <c r="H998" s="6" t="n">
        <v>0.003</v>
      </c>
      <c r="J998" s="2" t="n">
        <f aca="false">B998/$B$1003</f>
        <v>0.000138031579800483</v>
      </c>
      <c r="K998" s="5" t="n">
        <f aca="false">J998*LOG(J998,2)</f>
        <v>-0.0017699394714719</v>
      </c>
    </row>
    <row r="999" customFormat="false" ht="13" hidden="false" customHeight="false" outlineLevel="0" collapsed="false">
      <c r="A999" s="4" t="n">
        <v>3</v>
      </c>
      <c r="B999" s="5" t="n">
        <v>1.76754204935651</v>
      </c>
      <c r="C999" s="5" t="n">
        <f aca="false">B999</f>
        <v>1.76754204935651</v>
      </c>
      <c r="D999" s="5" t="n">
        <f aca="false">C999*LOG(C999)</f>
        <v>0.437236442539111</v>
      </c>
      <c r="E999" s="5"/>
      <c r="F999" s="5"/>
      <c r="G999" s="4" t="n">
        <v>998</v>
      </c>
      <c r="H999" s="6" t="n">
        <v>0.002</v>
      </c>
      <c r="J999" s="2" t="n">
        <f aca="false">B999/$B$1003</f>
        <v>0.000137836295514914</v>
      </c>
      <c r="K999" s="5" t="n">
        <f aca="false">J999*LOG(J999,2)</f>
        <v>-0.00176771693320767</v>
      </c>
    </row>
    <row r="1000" customFormat="false" ht="13" hidden="false" customHeight="false" outlineLevel="0" collapsed="false">
      <c r="A1000" s="4" t="n">
        <v>2</v>
      </c>
      <c r="B1000" s="5" t="n">
        <v>1.76118438765707</v>
      </c>
      <c r="C1000" s="5" t="n">
        <f aca="false">B1000</f>
        <v>1.76118438765707</v>
      </c>
      <c r="D1000" s="5" t="n">
        <f aca="false">C1000*LOG(C1000)</f>
        <v>0.432907623584434</v>
      </c>
      <c r="E1000" s="5"/>
      <c r="F1000" s="5"/>
      <c r="G1000" s="4" t="n">
        <v>999</v>
      </c>
      <c r="H1000" s="6" t="n">
        <v>0.001</v>
      </c>
      <c r="J1000" s="2" t="n">
        <f aca="false">B1000/$B$1003</f>
        <v>0.000137340512946625</v>
      </c>
      <c r="K1000" s="5" t="n">
        <f aca="false">J1000*LOG(J1000,2)</f>
        <v>-0.00176207261761431</v>
      </c>
    </row>
    <row r="1001" customFormat="false" ht="14" hidden="false" customHeight="false" outlineLevel="0" collapsed="false">
      <c r="A1001" s="8" t="n">
        <v>1</v>
      </c>
      <c r="B1001" s="9" t="n">
        <v>1.75151266745979</v>
      </c>
      <c r="C1001" s="5" t="n">
        <f aca="false">B1001</f>
        <v>1.75151266745979</v>
      </c>
      <c r="D1001" s="5" t="n">
        <f aca="false">C1001*LOG(C1001)</f>
        <v>0.426341447922439</v>
      </c>
      <c r="E1001" s="9"/>
      <c r="F1001" s="9"/>
      <c r="G1001" s="8" t="n">
        <v>1000</v>
      </c>
      <c r="H1001" s="10" t="n">
        <v>0</v>
      </c>
      <c r="J1001" s="2" t="n">
        <f aca="false">B1001/$B$1003</f>
        <v>0.000136586293784634</v>
      </c>
      <c r="K1001" s="5" t="n">
        <f aca="false">J1001*LOG(J1001,2)</f>
        <v>-0.00175348113464632</v>
      </c>
      <c r="L1001" s="2" t="n">
        <f aca="false">SUM(J952:J1001)</f>
        <v>0.00749861274389553</v>
      </c>
    </row>
    <row r="1002" customFormat="false" ht="13" hidden="false" customHeight="false" outlineLevel="0" collapsed="false">
      <c r="D1002" s="2" t="n">
        <f aca="false">-SUM(D2:D1001)</f>
        <v>-15425.4836775755</v>
      </c>
      <c r="K1002" s="2" t="n">
        <f aca="false">-SUM(K2:K1001)</f>
        <v>9.65052521917468</v>
      </c>
    </row>
    <row r="1003" customFormat="false" ht="13" hidden="false" customHeight="false" outlineLevel="0" collapsed="false">
      <c r="B1003" s="2" t="n">
        <f aca="false">SUM(B2:B1001)</f>
        <v>12823.4877667999</v>
      </c>
      <c r="L1003" s="2" t="n">
        <f aca="false">SUM(L1:L1001)</f>
        <v>1.05</v>
      </c>
    </row>
    <row r="1005" customFormat="false" ht="13" hidden="false" customHeight="false" outlineLevel="0" collapsed="false">
      <c r="B1005" s="2" t="n">
        <f aca="false">AVERAGE(B2:B1001)</f>
        <v>12.8234877667999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00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2" t="s">
        <v>48</v>
      </c>
      <c r="B1" s="2" t="s">
        <v>109</v>
      </c>
      <c r="C1" s="2" t="s">
        <v>110</v>
      </c>
      <c r="D1" s="2" t="s">
        <v>108</v>
      </c>
    </row>
    <row r="2" customFormat="false" ht="13" hidden="false" customHeight="false" outlineLevel="0" collapsed="false">
      <c r="A2" s="2" t="n">
        <v>129</v>
      </c>
      <c r="B2" s="2" t="n">
        <v>1.75151266745979</v>
      </c>
      <c r="C2" s="2" t="n">
        <v>0</v>
      </c>
      <c r="D2" s="2" t="n">
        <v>1.75151266745979</v>
      </c>
    </row>
    <row r="3" customFormat="false" ht="13" hidden="false" customHeight="false" outlineLevel="0" collapsed="false">
      <c r="A3" s="2" t="n">
        <v>527</v>
      </c>
      <c r="B3" s="2" t="n">
        <v>0</v>
      </c>
      <c r="C3" s="2" t="n">
        <v>1.76118438765707</v>
      </c>
      <c r="D3" s="2" t="n">
        <v>1.76118438765707</v>
      </c>
    </row>
    <row r="4" customFormat="false" ht="13" hidden="false" customHeight="false" outlineLevel="0" collapsed="false">
      <c r="A4" s="2" t="n">
        <v>51</v>
      </c>
      <c r="B4" s="2" t="n">
        <v>1.76754204935651</v>
      </c>
      <c r="C4" s="2" t="n">
        <v>0</v>
      </c>
      <c r="D4" s="2" t="n">
        <v>1.76754204935651</v>
      </c>
    </row>
    <row r="5" customFormat="false" ht="13" hidden="false" customHeight="false" outlineLevel="0" collapsed="false">
      <c r="A5" s="2" t="n">
        <v>897</v>
      </c>
      <c r="B5" s="2" t="n">
        <v>1.77004627500355</v>
      </c>
      <c r="C5" s="2" t="n">
        <v>0</v>
      </c>
      <c r="D5" s="2" t="n">
        <v>1.77004627500355</v>
      </c>
    </row>
    <row r="6" customFormat="false" ht="13" hidden="false" customHeight="false" outlineLevel="0" collapsed="false">
      <c r="A6" s="2" t="n">
        <v>844</v>
      </c>
      <c r="B6" s="2" t="n">
        <v>1.78077854884805</v>
      </c>
      <c r="C6" s="2" t="n">
        <v>0</v>
      </c>
      <c r="D6" s="2" t="n">
        <v>1.78077854884805</v>
      </c>
    </row>
    <row r="7" customFormat="false" ht="13" hidden="false" customHeight="false" outlineLevel="0" collapsed="false">
      <c r="A7" s="2" t="n">
        <v>617</v>
      </c>
      <c r="B7" s="2" t="n">
        <v>0</v>
      </c>
      <c r="C7" s="2" t="n">
        <v>1.79020950438735</v>
      </c>
      <c r="D7" s="2" t="n">
        <v>1.79020950438735</v>
      </c>
    </row>
    <row r="8" customFormat="false" ht="13" hidden="false" customHeight="false" outlineLevel="0" collapsed="false">
      <c r="A8" s="2" t="n">
        <v>958</v>
      </c>
      <c r="B8" s="2" t="n">
        <v>1.79547934939728</v>
      </c>
      <c r="C8" s="2" t="n">
        <v>0</v>
      </c>
      <c r="D8" s="2" t="n">
        <v>1.79547934939728</v>
      </c>
    </row>
    <row r="9" customFormat="false" ht="13" hidden="false" customHeight="false" outlineLevel="0" collapsed="false">
      <c r="A9" s="2" t="n">
        <v>679</v>
      </c>
      <c r="B9" s="2" t="n">
        <v>0</v>
      </c>
      <c r="C9" s="2" t="n">
        <v>1.79609386852644</v>
      </c>
      <c r="D9" s="2" t="n">
        <v>1.79609386852644</v>
      </c>
    </row>
    <row r="10" customFormat="false" ht="13" hidden="false" customHeight="false" outlineLevel="0" collapsed="false">
      <c r="A10" s="2" t="n">
        <v>16</v>
      </c>
      <c r="B10" s="2" t="n">
        <v>1.80591813231194</v>
      </c>
      <c r="C10" s="2" t="n">
        <v>0</v>
      </c>
      <c r="D10" s="2" t="n">
        <v>1.80591813231194</v>
      </c>
    </row>
    <row r="11" customFormat="false" ht="13" hidden="false" customHeight="false" outlineLevel="0" collapsed="false">
      <c r="A11" s="2" t="n">
        <v>127</v>
      </c>
      <c r="B11" s="2" t="n">
        <v>1.81541043164316</v>
      </c>
      <c r="C11" s="2" t="n">
        <v>0</v>
      </c>
      <c r="D11" s="2" t="n">
        <v>1.81541043164316</v>
      </c>
    </row>
    <row r="12" customFormat="false" ht="13" hidden="false" customHeight="false" outlineLevel="0" collapsed="false">
      <c r="A12" s="2" t="n">
        <v>694</v>
      </c>
      <c r="B12" s="2" t="n">
        <v>0</v>
      </c>
      <c r="C12" s="2" t="n">
        <v>1.83532860777996</v>
      </c>
      <c r="D12" s="2" t="n">
        <v>1.83532860777996</v>
      </c>
    </row>
    <row r="13" customFormat="false" ht="13" hidden="false" customHeight="false" outlineLevel="0" collapsed="false">
      <c r="A13" s="2" t="n">
        <v>352</v>
      </c>
      <c r="B13" s="2" t="n">
        <v>1.83758575967022</v>
      </c>
      <c r="C13" s="2" t="n">
        <v>0</v>
      </c>
      <c r="D13" s="2" t="n">
        <v>1.83758575967022</v>
      </c>
    </row>
    <row r="14" customFormat="false" ht="13" hidden="false" customHeight="false" outlineLevel="0" collapsed="false">
      <c r="A14" s="2" t="n">
        <v>830</v>
      </c>
      <c r="B14" s="2" t="n">
        <v>1.8423481039199</v>
      </c>
      <c r="C14" s="2" t="n">
        <v>0</v>
      </c>
      <c r="D14" s="2" t="n">
        <v>1.8423481039199</v>
      </c>
    </row>
    <row r="15" customFormat="false" ht="13" hidden="false" customHeight="false" outlineLevel="0" collapsed="false">
      <c r="A15" s="2" t="n">
        <v>357</v>
      </c>
      <c r="B15" s="2" t="n">
        <v>1.85962510713398</v>
      </c>
      <c r="C15" s="2" t="n">
        <v>0</v>
      </c>
      <c r="D15" s="2" t="n">
        <v>1.85962510713398</v>
      </c>
    </row>
    <row r="16" customFormat="false" ht="13" hidden="false" customHeight="false" outlineLevel="0" collapsed="false">
      <c r="A16" s="2" t="n">
        <v>144</v>
      </c>
      <c r="B16" s="2" t="n">
        <v>1.86475482283231</v>
      </c>
      <c r="C16" s="2" t="n">
        <v>0</v>
      </c>
      <c r="D16" s="2" t="n">
        <v>1.86475482283231</v>
      </c>
    </row>
    <row r="17" customFormat="false" ht="13" hidden="false" customHeight="false" outlineLevel="0" collapsed="false">
      <c r="A17" s="2" t="n">
        <v>2</v>
      </c>
      <c r="B17" s="2" t="n">
        <v>0</v>
      </c>
      <c r="C17" s="2" t="n">
        <v>1.86628582237701</v>
      </c>
      <c r="D17" s="2" t="n">
        <v>1.86628582237701</v>
      </c>
    </row>
    <row r="18" customFormat="false" ht="13" hidden="false" customHeight="false" outlineLevel="0" collapsed="false">
      <c r="A18" s="2" t="n">
        <v>995</v>
      </c>
      <c r="B18" s="2" t="n">
        <v>1.86807443827774</v>
      </c>
      <c r="C18" s="2" t="n">
        <v>0</v>
      </c>
      <c r="D18" s="2" t="n">
        <v>1.86807443827774</v>
      </c>
    </row>
    <row r="19" customFormat="false" ht="13" hidden="false" customHeight="false" outlineLevel="0" collapsed="false">
      <c r="A19" s="2" t="n">
        <v>616</v>
      </c>
      <c r="B19" s="2" t="n">
        <v>0</v>
      </c>
      <c r="C19" s="2" t="n">
        <v>1.88362735873352</v>
      </c>
      <c r="D19" s="2" t="n">
        <v>1.88362735873352</v>
      </c>
    </row>
    <row r="20" customFormat="false" ht="13" hidden="false" customHeight="false" outlineLevel="0" collapsed="false">
      <c r="A20" s="2" t="n">
        <v>363</v>
      </c>
      <c r="B20" s="2" t="n">
        <v>0</v>
      </c>
      <c r="C20" s="2" t="n">
        <v>1.89609639192622</v>
      </c>
      <c r="D20" s="2" t="n">
        <v>1.89609639192622</v>
      </c>
    </row>
    <row r="21" customFormat="false" ht="13" hidden="false" customHeight="false" outlineLevel="0" collapsed="false">
      <c r="A21" s="2" t="n">
        <v>226</v>
      </c>
      <c r="B21" s="2" t="n">
        <v>0</v>
      </c>
      <c r="C21" s="2" t="n">
        <v>1.90439887360571</v>
      </c>
      <c r="D21" s="2" t="n">
        <v>1.90439887360571</v>
      </c>
    </row>
    <row r="22" customFormat="false" ht="13" hidden="false" customHeight="false" outlineLevel="0" collapsed="false">
      <c r="A22" s="2" t="n">
        <v>396</v>
      </c>
      <c r="B22" s="2" t="n">
        <v>0</v>
      </c>
      <c r="C22" s="2" t="n">
        <v>1.9045777773822</v>
      </c>
      <c r="D22" s="2" t="n">
        <v>1.9045777773822</v>
      </c>
    </row>
    <row r="23" customFormat="false" ht="13" hidden="false" customHeight="false" outlineLevel="0" collapsed="false">
      <c r="A23" s="2" t="n">
        <v>676</v>
      </c>
      <c r="B23" s="2" t="n">
        <v>0</v>
      </c>
      <c r="C23" s="2" t="n">
        <v>1.91998392686446</v>
      </c>
      <c r="D23" s="2" t="n">
        <v>1.91998392686446</v>
      </c>
    </row>
    <row r="24" customFormat="false" ht="13" hidden="false" customHeight="false" outlineLevel="0" collapsed="false">
      <c r="A24" s="2" t="n">
        <v>410</v>
      </c>
      <c r="B24" s="2" t="n">
        <v>1.93616546651595</v>
      </c>
      <c r="C24" s="2" t="n">
        <v>0</v>
      </c>
      <c r="D24" s="2" t="n">
        <v>1.93616546651595</v>
      </c>
    </row>
    <row r="25" customFormat="false" ht="13" hidden="false" customHeight="false" outlineLevel="0" collapsed="false">
      <c r="A25" s="2" t="n">
        <v>41</v>
      </c>
      <c r="B25" s="2" t="n">
        <v>1.94212981032047</v>
      </c>
      <c r="C25" s="2" t="n">
        <v>0</v>
      </c>
      <c r="D25" s="2" t="n">
        <v>1.94212981032047</v>
      </c>
    </row>
    <row r="26" customFormat="false" ht="13" hidden="false" customHeight="false" outlineLevel="0" collapsed="false">
      <c r="A26" s="2" t="n">
        <v>45</v>
      </c>
      <c r="B26" s="2" t="n">
        <v>1.94306100327231</v>
      </c>
      <c r="C26" s="2" t="n">
        <v>0</v>
      </c>
      <c r="D26" s="2" t="n">
        <v>1.94306100327231</v>
      </c>
    </row>
    <row r="27" customFormat="false" ht="13" hidden="false" customHeight="false" outlineLevel="0" collapsed="false">
      <c r="A27" s="2" t="n">
        <v>250</v>
      </c>
      <c r="B27" s="2" t="n">
        <v>0</v>
      </c>
      <c r="C27" s="2" t="n">
        <v>1.94514775531843</v>
      </c>
      <c r="D27" s="2" t="n">
        <v>1.94514775531843</v>
      </c>
    </row>
    <row r="28" customFormat="false" ht="13" hidden="false" customHeight="false" outlineLevel="0" collapsed="false">
      <c r="A28" s="2" t="n">
        <v>165</v>
      </c>
      <c r="B28" s="2" t="n">
        <v>1.94721130094285</v>
      </c>
      <c r="C28" s="2" t="n">
        <v>0</v>
      </c>
      <c r="D28" s="2" t="n">
        <v>1.94721130094285</v>
      </c>
    </row>
    <row r="29" customFormat="false" ht="13" hidden="false" customHeight="false" outlineLevel="0" collapsed="false">
      <c r="A29" s="2" t="n">
        <v>150</v>
      </c>
      <c r="B29" s="2" t="n">
        <v>1.95366673009312</v>
      </c>
      <c r="C29" s="2" t="n">
        <v>0</v>
      </c>
      <c r="D29" s="2" t="n">
        <v>1.95366673009312</v>
      </c>
    </row>
    <row r="30" customFormat="false" ht="13" hidden="false" customHeight="false" outlineLevel="0" collapsed="false">
      <c r="A30" s="2" t="n">
        <v>381</v>
      </c>
      <c r="B30" s="2" t="n">
        <v>0</v>
      </c>
      <c r="C30" s="2" t="n">
        <v>1.95611536561955</v>
      </c>
      <c r="D30" s="2" t="n">
        <v>1.95611536561955</v>
      </c>
    </row>
    <row r="31" customFormat="false" ht="13" hidden="false" customHeight="false" outlineLevel="0" collapsed="false">
      <c r="A31" s="2" t="n">
        <v>379</v>
      </c>
      <c r="B31" s="2" t="n">
        <v>0</v>
      </c>
      <c r="C31" s="2" t="n">
        <v>1.95887848206576</v>
      </c>
      <c r="D31" s="2" t="n">
        <v>1.95887848206576</v>
      </c>
    </row>
    <row r="32" customFormat="false" ht="13" hidden="false" customHeight="false" outlineLevel="0" collapsed="false">
      <c r="A32" s="2" t="n">
        <v>323</v>
      </c>
      <c r="B32" s="2" t="n">
        <v>0</v>
      </c>
      <c r="C32" s="2" t="n">
        <v>1.96309070068628</v>
      </c>
      <c r="D32" s="2" t="n">
        <v>1.96309070068628</v>
      </c>
    </row>
    <row r="33" customFormat="false" ht="13" hidden="false" customHeight="false" outlineLevel="0" collapsed="false">
      <c r="A33" s="2" t="n">
        <v>998</v>
      </c>
      <c r="B33" s="2" t="n">
        <v>1.96472182573143</v>
      </c>
      <c r="C33" s="2" t="n">
        <v>0</v>
      </c>
      <c r="D33" s="2" t="n">
        <v>1.96472182573143</v>
      </c>
    </row>
    <row r="34" customFormat="false" ht="13" hidden="false" customHeight="false" outlineLevel="0" collapsed="false">
      <c r="A34" s="2" t="n">
        <v>25</v>
      </c>
      <c r="B34" s="2" t="n">
        <v>1.98147294205137</v>
      </c>
      <c r="C34" s="2" t="n">
        <v>0</v>
      </c>
      <c r="D34" s="2" t="n">
        <v>1.98147294205137</v>
      </c>
    </row>
    <row r="35" customFormat="false" ht="13" hidden="false" customHeight="false" outlineLevel="0" collapsed="false">
      <c r="A35" s="2" t="n">
        <v>349</v>
      </c>
      <c r="B35" s="2" t="n">
        <v>1.98291741393541</v>
      </c>
      <c r="C35" s="2" t="n">
        <v>0</v>
      </c>
      <c r="D35" s="2" t="n">
        <v>1.98291741393541</v>
      </c>
    </row>
    <row r="36" customFormat="false" ht="13" hidden="false" customHeight="false" outlineLevel="0" collapsed="false">
      <c r="A36" s="2" t="n">
        <v>675</v>
      </c>
      <c r="B36" s="2" t="n">
        <v>0</v>
      </c>
      <c r="C36" s="2" t="n">
        <v>1.9852091272046</v>
      </c>
      <c r="D36" s="2" t="n">
        <v>1.9852091272046</v>
      </c>
    </row>
    <row r="37" customFormat="false" ht="13" hidden="false" customHeight="false" outlineLevel="0" collapsed="false">
      <c r="A37" s="2" t="n">
        <v>248</v>
      </c>
      <c r="B37" s="2" t="n">
        <v>0</v>
      </c>
      <c r="C37" s="2" t="n">
        <v>1.98567415756042</v>
      </c>
      <c r="D37" s="2" t="n">
        <v>1.98567415756042</v>
      </c>
    </row>
    <row r="38" customFormat="false" ht="13" hidden="false" customHeight="false" outlineLevel="0" collapsed="false">
      <c r="A38" s="2" t="n">
        <v>143</v>
      </c>
      <c r="B38" s="2" t="n">
        <v>2.0024701243583</v>
      </c>
      <c r="C38" s="2" t="n">
        <v>0</v>
      </c>
      <c r="D38" s="2" t="n">
        <v>2.0024701243583</v>
      </c>
    </row>
    <row r="39" customFormat="false" ht="13" hidden="false" customHeight="false" outlineLevel="0" collapsed="false">
      <c r="A39" s="2" t="n">
        <v>142</v>
      </c>
      <c r="B39" s="2" t="n">
        <v>2.00416422020408</v>
      </c>
      <c r="C39" s="2" t="n">
        <v>0</v>
      </c>
      <c r="D39" s="2" t="n">
        <v>2.00416422020408</v>
      </c>
    </row>
    <row r="40" customFormat="false" ht="13" hidden="false" customHeight="false" outlineLevel="0" collapsed="false">
      <c r="A40" s="2" t="n">
        <v>959</v>
      </c>
      <c r="B40" s="2" t="n">
        <v>2.00835393071566</v>
      </c>
      <c r="C40" s="2" t="n">
        <v>0</v>
      </c>
      <c r="D40" s="2" t="n">
        <v>2.00835393071566</v>
      </c>
    </row>
    <row r="41" customFormat="false" ht="13" hidden="false" customHeight="false" outlineLevel="0" collapsed="false">
      <c r="A41" s="2" t="n">
        <v>343</v>
      </c>
      <c r="B41" s="2" t="n">
        <v>0</v>
      </c>
      <c r="C41" s="2" t="n">
        <v>2.01894182509204</v>
      </c>
      <c r="D41" s="2" t="n">
        <v>2.01894182509204</v>
      </c>
    </row>
    <row r="42" customFormat="false" ht="13" hidden="false" customHeight="false" outlineLevel="0" collapsed="false">
      <c r="A42" s="2" t="n">
        <v>399</v>
      </c>
      <c r="B42" s="2" t="n">
        <v>0</v>
      </c>
      <c r="C42" s="2" t="n">
        <v>2.0229293254165</v>
      </c>
      <c r="D42" s="2" t="n">
        <v>2.0229293254165</v>
      </c>
    </row>
    <row r="43" customFormat="false" ht="13" hidden="false" customHeight="false" outlineLevel="0" collapsed="false">
      <c r="A43" s="2" t="n">
        <v>18</v>
      </c>
      <c r="B43" s="2" t="n">
        <v>2.02764093560836</v>
      </c>
      <c r="C43" s="2" t="n">
        <v>0</v>
      </c>
      <c r="D43" s="2" t="n">
        <v>2.02764093560836</v>
      </c>
    </row>
    <row r="44" customFormat="false" ht="13" hidden="false" customHeight="false" outlineLevel="0" collapsed="false">
      <c r="A44" s="2" t="n">
        <v>529</v>
      </c>
      <c r="B44" s="2" t="n">
        <v>0</v>
      </c>
      <c r="C44" s="2" t="n">
        <v>2.03149079381615</v>
      </c>
      <c r="D44" s="2" t="n">
        <v>2.03149079381615</v>
      </c>
    </row>
    <row r="45" customFormat="false" ht="13" hidden="false" customHeight="false" outlineLevel="0" collapsed="false">
      <c r="A45" s="2" t="n">
        <v>1</v>
      </c>
      <c r="B45" s="2" t="n">
        <v>2.03178748071514</v>
      </c>
      <c r="C45" s="2" t="n">
        <v>0</v>
      </c>
      <c r="D45" s="2" t="n">
        <v>2.03178748071514</v>
      </c>
    </row>
    <row r="46" customFormat="false" ht="13" hidden="false" customHeight="false" outlineLevel="0" collapsed="false">
      <c r="A46" s="2" t="n">
        <v>356</v>
      </c>
      <c r="B46" s="2" t="n">
        <v>2.03540922122056</v>
      </c>
      <c r="C46" s="2" t="n">
        <v>0</v>
      </c>
      <c r="D46" s="2" t="n">
        <v>2.03540922122056</v>
      </c>
    </row>
    <row r="47" customFormat="false" ht="13" hidden="false" customHeight="false" outlineLevel="0" collapsed="false">
      <c r="A47" s="2" t="n">
        <v>374</v>
      </c>
      <c r="B47" s="2" t="n">
        <v>0</v>
      </c>
      <c r="C47" s="2" t="n">
        <v>2.03571016252045</v>
      </c>
      <c r="D47" s="2" t="n">
        <v>2.03571016252045</v>
      </c>
    </row>
    <row r="48" customFormat="false" ht="13" hidden="false" customHeight="false" outlineLevel="0" collapsed="false">
      <c r="A48" s="2" t="n">
        <v>891</v>
      </c>
      <c r="B48" s="2" t="n">
        <v>2.04024090725898</v>
      </c>
      <c r="C48" s="2" t="n">
        <v>0</v>
      </c>
      <c r="D48" s="2" t="n">
        <v>2.04024090725898</v>
      </c>
    </row>
    <row r="49" customFormat="false" ht="13" hidden="false" customHeight="false" outlineLevel="0" collapsed="false">
      <c r="A49" s="2" t="n">
        <v>331</v>
      </c>
      <c r="B49" s="2" t="n">
        <v>0</v>
      </c>
      <c r="C49" s="2" t="n">
        <v>2.04056191676682</v>
      </c>
      <c r="D49" s="2" t="n">
        <v>2.04056191676682</v>
      </c>
    </row>
    <row r="50" customFormat="false" ht="13" hidden="false" customHeight="false" outlineLevel="0" collapsed="false">
      <c r="A50" s="2" t="n">
        <v>706</v>
      </c>
      <c r="B50" s="2" t="n">
        <v>0</v>
      </c>
      <c r="C50" s="2" t="n">
        <v>2.04271246385633</v>
      </c>
      <c r="D50" s="2" t="n">
        <v>2.04271246385633</v>
      </c>
    </row>
    <row r="51" customFormat="false" ht="13" hidden="false" customHeight="false" outlineLevel="0" collapsed="false">
      <c r="A51" s="2" t="n">
        <v>952</v>
      </c>
      <c r="B51" s="2" t="n">
        <v>2.05363119535218</v>
      </c>
      <c r="C51" s="2" t="n">
        <v>0</v>
      </c>
      <c r="D51" s="2" t="n">
        <v>2.05363119535218</v>
      </c>
    </row>
    <row r="52" customFormat="false" ht="13" hidden="false" customHeight="false" outlineLevel="0" collapsed="false">
      <c r="A52" s="2" t="n">
        <v>171</v>
      </c>
      <c r="B52" s="2" t="n">
        <v>2.06110049213476</v>
      </c>
      <c r="C52" s="2" t="n">
        <v>0</v>
      </c>
      <c r="D52" s="2" t="n">
        <v>2.06110049213476</v>
      </c>
    </row>
    <row r="53" customFormat="false" ht="13" hidden="false" customHeight="false" outlineLevel="0" collapsed="false">
      <c r="A53" s="2" t="n">
        <v>21</v>
      </c>
      <c r="B53" s="2" t="n">
        <v>2.06729210970798</v>
      </c>
      <c r="C53" s="2" t="n">
        <v>0</v>
      </c>
      <c r="D53" s="2" t="n">
        <v>2.06729210970798</v>
      </c>
    </row>
    <row r="54" customFormat="false" ht="13" hidden="false" customHeight="false" outlineLevel="0" collapsed="false">
      <c r="A54" s="2" t="n">
        <v>246</v>
      </c>
      <c r="B54" s="2" t="n">
        <v>0</v>
      </c>
      <c r="C54" s="2" t="n">
        <v>2.07404972533686</v>
      </c>
      <c r="D54" s="2" t="n">
        <v>2.07404972533686</v>
      </c>
    </row>
    <row r="55" customFormat="false" ht="13" hidden="false" customHeight="false" outlineLevel="0" collapsed="false">
      <c r="A55" s="2" t="n">
        <v>955</v>
      </c>
      <c r="B55" s="2" t="n">
        <v>2.07572444922607</v>
      </c>
      <c r="C55" s="2" t="n">
        <v>0</v>
      </c>
      <c r="D55" s="2" t="n">
        <v>2.07572444922607</v>
      </c>
    </row>
    <row r="56" customFormat="false" ht="13" hidden="false" customHeight="false" outlineLevel="0" collapsed="false">
      <c r="A56" s="2" t="n">
        <v>389</v>
      </c>
      <c r="B56" s="2" t="n">
        <v>0</v>
      </c>
      <c r="C56" s="2" t="n">
        <v>2.08257607692303</v>
      </c>
      <c r="D56" s="2" t="n">
        <v>2.08257607692303</v>
      </c>
    </row>
    <row r="57" customFormat="false" ht="13" hidden="false" customHeight="false" outlineLevel="0" collapsed="false">
      <c r="A57" s="2" t="n">
        <v>949</v>
      </c>
      <c r="B57" s="2" t="n">
        <v>2.08717577836251</v>
      </c>
      <c r="C57" s="2" t="n">
        <v>0</v>
      </c>
      <c r="D57" s="2" t="n">
        <v>2.08717577836251</v>
      </c>
    </row>
    <row r="58" customFormat="false" ht="13" hidden="false" customHeight="false" outlineLevel="0" collapsed="false">
      <c r="A58" s="2" t="n">
        <v>839</v>
      </c>
      <c r="B58" s="2" t="n">
        <v>2.11909569502222</v>
      </c>
      <c r="C58" s="2" t="n">
        <v>0</v>
      </c>
      <c r="D58" s="2" t="n">
        <v>2.11909569502222</v>
      </c>
    </row>
    <row r="59" customFormat="false" ht="13" hidden="false" customHeight="false" outlineLevel="0" collapsed="false">
      <c r="A59" s="2" t="n">
        <v>146</v>
      </c>
      <c r="B59" s="2" t="n">
        <v>0</v>
      </c>
      <c r="C59" s="2" t="n">
        <v>2.1389537428754</v>
      </c>
      <c r="D59" s="2" t="n">
        <v>2.1389537428754</v>
      </c>
    </row>
    <row r="60" customFormat="false" ht="13" hidden="false" customHeight="false" outlineLevel="0" collapsed="false">
      <c r="A60" s="2" t="n">
        <v>348</v>
      </c>
      <c r="B60" s="2" t="n">
        <v>0</v>
      </c>
      <c r="C60" s="2" t="n">
        <v>2.14951188734585</v>
      </c>
      <c r="D60" s="2" t="n">
        <v>2.14951188734585</v>
      </c>
    </row>
    <row r="61" customFormat="false" ht="13" hidden="false" customHeight="false" outlineLevel="0" collapsed="false">
      <c r="A61" s="2" t="n">
        <v>962</v>
      </c>
      <c r="B61" s="2" t="n">
        <v>2.14961705846781</v>
      </c>
      <c r="C61" s="2" t="n">
        <v>0</v>
      </c>
      <c r="D61" s="2" t="n">
        <v>2.14961705846781</v>
      </c>
    </row>
    <row r="62" customFormat="false" ht="13" hidden="false" customHeight="false" outlineLevel="0" collapsed="false">
      <c r="A62" s="2" t="n">
        <v>322</v>
      </c>
      <c r="B62" s="2" t="n">
        <v>2.15239222131595</v>
      </c>
      <c r="C62" s="2" t="n">
        <v>0</v>
      </c>
      <c r="D62" s="2" t="n">
        <v>2.15239222131595</v>
      </c>
    </row>
    <row r="63" customFormat="false" ht="13" hidden="false" customHeight="false" outlineLevel="0" collapsed="false">
      <c r="A63" s="2" t="n">
        <v>159</v>
      </c>
      <c r="B63" s="2" t="n">
        <v>2.1564682865328</v>
      </c>
      <c r="C63" s="2" t="n">
        <v>0</v>
      </c>
      <c r="D63" s="2" t="n">
        <v>2.1564682865328</v>
      </c>
    </row>
    <row r="64" customFormat="false" ht="13" hidden="false" customHeight="false" outlineLevel="0" collapsed="false">
      <c r="A64" s="2" t="n">
        <v>255</v>
      </c>
      <c r="B64" s="2" t="n">
        <v>0</v>
      </c>
      <c r="C64" s="2" t="n">
        <v>2.15928190942395</v>
      </c>
      <c r="D64" s="2" t="n">
        <v>2.15928190942395</v>
      </c>
    </row>
    <row r="65" customFormat="false" ht="13" hidden="false" customHeight="false" outlineLevel="0" collapsed="false">
      <c r="A65" s="2" t="n">
        <v>13</v>
      </c>
      <c r="B65" s="2" t="n">
        <v>2.16274017943657</v>
      </c>
      <c r="C65" s="2" t="n">
        <v>0</v>
      </c>
      <c r="D65" s="2" t="n">
        <v>2.16274017943657</v>
      </c>
    </row>
    <row r="66" customFormat="false" ht="13" hidden="false" customHeight="false" outlineLevel="0" collapsed="false">
      <c r="A66" s="2" t="n">
        <v>528</v>
      </c>
      <c r="B66" s="2" t="n">
        <v>0</v>
      </c>
      <c r="C66" s="2" t="n">
        <v>2.16624824371502</v>
      </c>
      <c r="D66" s="2" t="n">
        <v>2.16624824371502</v>
      </c>
    </row>
    <row r="67" customFormat="false" ht="13" hidden="false" customHeight="false" outlineLevel="0" collapsed="false">
      <c r="A67" s="2" t="n">
        <v>405</v>
      </c>
      <c r="B67" s="2" t="n">
        <v>0</v>
      </c>
      <c r="C67" s="2" t="n">
        <v>2.17042220953499</v>
      </c>
      <c r="D67" s="2" t="n">
        <v>2.17042220953499</v>
      </c>
    </row>
    <row r="68" customFormat="false" ht="13" hidden="false" customHeight="false" outlineLevel="0" collapsed="false">
      <c r="A68" s="2" t="n">
        <v>175</v>
      </c>
      <c r="B68" s="2" t="n">
        <v>2.17359675543639</v>
      </c>
      <c r="C68" s="2" t="n">
        <v>0</v>
      </c>
      <c r="D68" s="2" t="n">
        <v>2.17359675543639</v>
      </c>
    </row>
    <row r="69" customFormat="false" ht="13" hidden="false" customHeight="false" outlineLevel="0" collapsed="false">
      <c r="A69" s="2" t="n">
        <v>628</v>
      </c>
      <c r="B69" s="2" t="n">
        <v>0</v>
      </c>
      <c r="C69" s="2" t="n">
        <v>2.17746800613531</v>
      </c>
      <c r="D69" s="2" t="n">
        <v>2.17746800613531</v>
      </c>
    </row>
    <row r="70" customFormat="false" ht="13" hidden="false" customHeight="false" outlineLevel="0" collapsed="false">
      <c r="A70" s="2" t="n">
        <v>353</v>
      </c>
      <c r="B70" s="2" t="n">
        <v>0</v>
      </c>
      <c r="C70" s="2" t="n">
        <v>2.18075206565436</v>
      </c>
      <c r="D70" s="2" t="n">
        <v>2.18075206565436</v>
      </c>
    </row>
    <row r="71" customFormat="false" ht="13" hidden="false" customHeight="false" outlineLevel="0" collapsed="false">
      <c r="A71" s="2" t="n">
        <v>330</v>
      </c>
      <c r="B71" s="2" t="n">
        <v>2.18936315111796</v>
      </c>
      <c r="C71" s="2" t="n">
        <v>0</v>
      </c>
      <c r="D71" s="2" t="n">
        <v>2.18936315111796</v>
      </c>
    </row>
    <row r="72" customFormat="false" ht="13" hidden="false" customHeight="false" outlineLevel="0" collapsed="false">
      <c r="A72" s="2" t="n">
        <v>136</v>
      </c>
      <c r="B72" s="2" t="n">
        <v>2.19423779975068</v>
      </c>
      <c r="C72" s="2" t="n">
        <v>0</v>
      </c>
      <c r="D72" s="2" t="n">
        <v>2.19423779975068</v>
      </c>
    </row>
    <row r="73" customFormat="false" ht="13" hidden="false" customHeight="false" outlineLevel="0" collapsed="false">
      <c r="A73" s="2" t="n">
        <v>131</v>
      </c>
      <c r="B73" s="2" t="n">
        <v>2.21157062262</v>
      </c>
      <c r="C73" s="2" t="n">
        <v>0</v>
      </c>
      <c r="D73" s="2" t="n">
        <v>2.21157062262</v>
      </c>
    </row>
    <row r="74" customFormat="false" ht="13" hidden="false" customHeight="false" outlineLevel="0" collapsed="false">
      <c r="A74" s="2" t="n">
        <v>682</v>
      </c>
      <c r="B74" s="2" t="n">
        <v>0</v>
      </c>
      <c r="C74" s="2" t="n">
        <v>2.21487669994576</v>
      </c>
      <c r="D74" s="2" t="n">
        <v>2.21487669994576</v>
      </c>
    </row>
    <row r="75" customFormat="false" ht="13" hidden="false" customHeight="false" outlineLevel="0" collapsed="false">
      <c r="A75" s="2" t="n">
        <v>137</v>
      </c>
      <c r="B75" s="2" t="n">
        <v>2.21509485143906</v>
      </c>
      <c r="C75" s="2" t="n">
        <v>0</v>
      </c>
      <c r="D75" s="2" t="n">
        <v>2.21509485143906</v>
      </c>
    </row>
    <row r="76" customFormat="false" ht="13" hidden="false" customHeight="false" outlineLevel="0" collapsed="false">
      <c r="A76" s="2" t="n">
        <v>12</v>
      </c>
      <c r="B76" s="2" t="n">
        <v>2.22012023549632</v>
      </c>
      <c r="C76" s="2" t="n">
        <v>0</v>
      </c>
      <c r="D76" s="2" t="n">
        <v>2.22012023549632</v>
      </c>
    </row>
    <row r="77" customFormat="false" ht="13" hidden="false" customHeight="false" outlineLevel="0" collapsed="false">
      <c r="A77" s="2" t="n">
        <v>900</v>
      </c>
      <c r="B77" s="2" t="n">
        <v>2.23013030987704</v>
      </c>
      <c r="C77" s="2" t="n">
        <v>0</v>
      </c>
      <c r="D77" s="2" t="n">
        <v>2.23013030987704</v>
      </c>
    </row>
    <row r="78" customFormat="false" ht="13" hidden="false" customHeight="false" outlineLevel="0" collapsed="false">
      <c r="A78" s="2" t="n">
        <v>40</v>
      </c>
      <c r="B78" s="2" t="n">
        <v>2.23101257253165</v>
      </c>
      <c r="C78" s="2" t="n">
        <v>0</v>
      </c>
      <c r="D78" s="2" t="n">
        <v>2.23101257253165</v>
      </c>
    </row>
    <row r="79" customFormat="false" ht="13" hidden="false" customHeight="false" outlineLevel="0" collapsed="false">
      <c r="A79" s="2" t="n">
        <v>999</v>
      </c>
      <c r="B79" s="2" t="n">
        <v>2.23541871911471</v>
      </c>
      <c r="C79" s="2" t="n">
        <v>0</v>
      </c>
      <c r="D79" s="2" t="n">
        <v>2.23541871911471</v>
      </c>
    </row>
    <row r="80" customFormat="false" ht="13" hidden="false" customHeight="false" outlineLevel="0" collapsed="false">
      <c r="A80" s="2" t="n">
        <v>696</v>
      </c>
      <c r="B80" s="2" t="n">
        <v>0</v>
      </c>
      <c r="C80" s="2" t="n">
        <v>2.23702237507473</v>
      </c>
      <c r="D80" s="2" t="n">
        <v>2.23702237507473</v>
      </c>
    </row>
    <row r="81" customFormat="false" ht="13" hidden="false" customHeight="false" outlineLevel="0" collapsed="false">
      <c r="A81" s="2" t="n">
        <v>350</v>
      </c>
      <c r="B81" s="2" t="n">
        <v>0</v>
      </c>
      <c r="C81" s="2" t="n">
        <v>2.23836900513379</v>
      </c>
      <c r="D81" s="2" t="n">
        <v>2.23836900513379</v>
      </c>
    </row>
    <row r="82" customFormat="false" ht="13" hidden="false" customHeight="false" outlineLevel="0" collapsed="false">
      <c r="A82" s="2" t="n">
        <v>402</v>
      </c>
      <c r="B82" s="2" t="n">
        <v>0</v>
      </c>
      <c r="C82" s="2" t="n">
        <v>2.23886730494246</v>
      </c>
      <c r="D82" s="2" t="n">
        <v>2.23886730494246</v>
      </c>
    </row>
    <row r="83" customFormat="false" ht="13" hidden="false" customHeight="false" outlineLevel="0" collapsed="false">
      <c r="A83" s="2" t="n">
        <v>37</v>
      </c>
      <c r="B83" s="2" t="n">
        <v>2.24260516740378</v>
      </c>
      <c r="C83" s="2" t="n">
        <v>0</v>
      </c>
      <c r="D83" s="2" t="n">
        <v>2.24260516740378</v>
      </c>
    </row>
    <row r="84" customFormat="false" ht="13" hidden="false" customHeight="false" outlineLevel="0" collapsed="false">
      <c r="A84" s="2" t="n">
        <v>964</v>
      </c>
      <c r="B84" s="2" t="n">
        <v>2.29792500240046</v>
      </c>
      <c r="C84" s="2" t="n">
        <v>0</v>
      </c>
      <c r="D84" s="2" t="n">
        <v>2.29792500240046</v>
      </c>
    </row>
    <row r="85" customFormat="false" ht="13" hidden="false" customHeight="false" outlineLevel="0" collapsed="false">
      <c r="A85" s="2" t="n">
        <v>42</v>
      </c>
      <c r="B85" s="2" t="n">
        <v>2.30885085014676</v>
      </c>
      <c r="C85" s="2" t="n">
        <v>0</v>
      </c>
      <c r="D85" s="2" t="n">
        <v>2.30885085014676</v>
      </c>
    </row>
    <row r="86" customFormat="false" ht="13" hidden="false" customHeight="false" outlineLevel="0" collapsed="false">
      <c r="A86" s="2" t="n">
        <v>692</v>
      </c>
      <c r="B86" s="2" t="n">
        <v>0</v>
      </c>
      <c r="C86" s="2" t="n">
        <v>2.31446183422031</v>
      </c>
      <c r="D86" s="2" t="n">
        <v>2.31446183422031</v>
      </c>
    </row>
    <row r="87" customFormat="false" ht="13" hidden="false" customHeight="false" outlineLevel="0" collapsed="false">
      <c r="A87" s="2" t="n">
        <v>966</v>
      </c>
      <c r="B87" s="2" t="n">
        <v>2.31857711828684</v>
      </c>
      <c r="C87" s="2" t="n">
        <v>0</v>
      </c>
      <c r="D87" s="2" t="n">
        <v>2.31857711828684</v>
      </c>
    </row>
    <row r="88" customFormat="false" ht="13" hidden="false" customHeight="false" outlineLevel="0" collapsed="false">
      <c r="A88" s="2" t="n">
        <v>845</v>
      </c>
      <c r="B88" s="2" t="n">
        <v>2.32100939476095</v>
      </c>
      <c r="C88" s="2" t="n">
        <v>0</v>
      </c>
      <c r="D88" s="2" t="n">
        <v>2.32100939476095</v>
      </c>
    </row>
    <row r="89" customFormat="false" ht="13" hidden="false" customHeight="false" outlineLevel="0" collapsed="false">
      <c r="A89" s="2" t="n">
        <v>480</v>
      </c>
      <c r="B89" s="2" t="n">
        <v>0</v>
      </c>
      <c r="C89" s="2" t="n">
        <v>2.32972635685144</v>
      </c>
      <c r="D89" s="2" t="n">
        <v>2.32972635685144</v>
      </c>
    </row>
    <row r="90" customFormat="false" ht="13" hidden="false" customHeight="false" outlineLevel="0" collapsed="false">
      <c r="A90" s="2" t="n">
        <v>176</v>
      </c>
      <c r="B90" s="2" t="n">
        <v>2.35769388650522</v>
      </c>
      <c r="C90" s="2" t="n">
        <v>0</v>
      </c>
      <c r="D90" s="2" t="n">
        <v>2.35769388650522</v>
      </c>
    </row>
    <row r="91" customFormat="false" ht="13" hidden="false" customHeight="false" outlineLevel="0" collapsed="false">
      <c r="A91" s="2" t="n">
        <v>3</v>
      </c>
      <c r="B91" s="2" t="n">
        <v>2.39106676289792</v>
      </c>
      <c r="C91" s="2" t="n">
        <v>0</v>
      </c>
      <c r="D91" s="2" t="n">
        <v>2.39106676289792</v>
      </c>
    </row>
    <row r="92" customFormat="false" ht="13" hidden="false" customHeight="false" outlineLevel="0" collapsed="false">
      <c r="A92" s="2" t="n">
        <v>838</v>
      </c>
      <c r="B92" s="2" t="n">
        <v>2.39241499595448</v>
      </c>
      <c r="C92" s="2" t="n">
        <v>0</v>
      </c>
      <c r="D92" s="2" t="n">
        <v>2.39241499595448</v>
      </c>
    </row>
    <row r="93" customFormat="false" ht="13" hidden="false" customHeight="false" outlineLevel="0" collapsed="false">
      <c r="A93" s="2" t="n">
        <v>347</v>
      </c>
      <c r="B93" s="2" t="n">
        <v>2.39680318786873</v>
      </c>
      <c r="C93" s="2" t="n">
        <v>0</v>
      </c>
      <c r="D93" s="2" t="n">
        <v>2.39680318786873</v>
      </c>
    </row>
    <row r="94" customFormat="false" ht="13" hidden="false" customHeight="false" outlineLevel="0" collapsed="false">
      <c r="A94" s="2" t="n">
        <v>354</v>
      </c>
      <c r="B94" s="2" t="n">
        <v>0</v>
      </c>
      <c r="C94" s="2" t="n">
        <v>2.40579758002053</v>
      </c>
      <c r="D94" s="2" t="n">
        <v>2.40579758002053</v>
      </c>
    </row>
    <row r="95" customFormat="false" ht="13" hidden="false" customHeight="false" outlineLevel="0" collapsed="false">
      <c r="A95" s="2" t="n">
        <v>46</v>
      </c>
      <c r="B95" s="2" t="n">
        <v>2.4291903648545</v>
      </c>
      <c r="C95" s="2" t="n">
        <v>0</v>
      </c>
      <c r="D95" s="2" t="n">
        <v>2.4291903648545</v>
      </c>
    </row>
    <row r="96" customFormat="false" ht="13" hidden="false" customHeight="false" outlineLevel="0" collapsed="false">
      <c r="A96" s="2" t="n">
        <v>145</v>
      </c>
      <c r="B96" s="2" t="n">
        <v>2.50342974340055</v>
      </c>
      <c r="C96" s="2" t="n">
        <v>0</v>
      </c>
      <c r="D96" s="2" t="n">
        <v>2.50342974340055</v>
      </c>
    </row>
    <row r="97" customFormat="false" ht="13" hidden="false" customHeight="false" outlineLevel="0" collapsed="false">
      <c r="A97" s="2" t="n">
        <v>835</v>
      </c>
      <c r="B97" s="2" t="n">
        <v>2.53824074517559</v>
      </c>
      <c r="C97" s="2" t="n">
        <v>0</v>
      </c>
      <c r="D97" s="2" t="n">
        <v>2.53824074517559</v>
      </c>
    </row>
    <row r="98" customFormat="false" ht="13" hidden="false" customHeight="false" outlineLevel="0" collapsed="false">
      <c r="A98" s="2" t="n">
        <v>894</v>
      </c>
      <c r="B98" s="2" t="n">
        <v>2.57672155020384</v>
      </c>
      <c r="C98" s="2" t="n">
        <v>0</v>
      </c>
      <c r="D98" s="2" t="n">
        <v>2.57672155020384</v>
      </c>
    </row>
    <row r="99" customFormat="false" ht="13" hidden="false" customHeight="false" outlineLevel="0" collapsed="false">
      <c r="A99" s="2" t="n">
        <v>697</v>
      </c>
      <c r="B99" s="2" t="n">
        <v>0</v>
      </c>
      <c r="C99" s="2" t="n">
        <v>2.57921861646116</v>
      </c>
      <c r="D99" s="2" t="n">
        <v>2.57921861646116</v>
      </c>
    </row>
    <row r="100" customFormat="false" ht="13" hidden="false" customHeight="false" outlineLevel="0" collapsed="false">
      <c r="A100" s="2" t="n">
        <v>162</v>
      </c>
      <c r="B100" s="2" t="n">
        <v>2.58003231207894</v>
      </c>
      <c r="C100" s="2" t="n">
        <v>0</v>
      </c>
      <c r="D100" s="2" t="n">
        <v>2.58003231207894</v>
      </c>
    </row>
    <row r="101" customFormat="false" ht="13" hidden="false" customHeight="false" outlineLevel="0" collapsed="false">
      <c r="A101" s="2" t="n">
        <v>325</v>
      </c>
      <c r="B101" s="2" t="n">
        <v>0</v>
      </c>
      <c r="C101" s="2" t="n">
        <v>2.65615897045478</v>
      </c>
      <c r="D101" s="2" t="n">
        <v>2.65615897045478</v>
      </c>
    </row>
    <row r="102" customFormat="false" ht="13" hidden="false" customHeight="false" outlineLevel="0" collapsed="false">
      <c r="A102" s="2" t="n">
        <v>893</v>
      </c>
      <c r="B102" s="2" t="n">
        <v>2.66126027371763</v>
      </c>
      <c r="C102" s="2" t="n">
        <v>0</v>
      </c>
      <c r="D102" s="2" t="n">
        <v>2.66126027371763</v>
      </c>
    </row>
    <row r="103" customFormat="false" ht="13" hidden="false" customHeight="false" outlineLevel="0" collapsed="false">
      <c r="A103" s="2" t="n">
        <v>153</v>
      </c>
      <c r="B103" s="2" t="n">
        <v>2.66921848846255</v>
      </c>
      <c r="C103" s="2" t="n">
        <v>0</v>
      </c>
      <c r="D103" s="2" t="n">
        <v>2.66921848846255</v>
      </c>
    </row>
    <row r="104" customFormat="false" ht="13" hidden="false" customHeight="false" outlineLevel="0" collapsed="false">
      <c r="A104" s="2" t="n">
        <v>618</v>
      </c>
      <c r="B104" s="2" t="n">
        <v>0</v>
      </c>
      <c r="C104" s="2" t="n">
        <v>2.68798387478171</v>
      </c>
      <c r="D104" s="2" t="n">
        <v>2.68798387478171</v>
      </c>
    </row>
    <row r="105" customFormat="false" ht="13" hidden="false" customHeight="false" outlineLevel="0" collapsed="false">
      <c r="A105" s="2" t="n">
        <v>6</v>
      </c>
      <c r="B105" s="2" t="n">
        <v>0</v>
      </c>
      <c r="C105" s="2" t="n">
        <v>2.69974631838671</v>
      </c>
      <c r="D105" s="2" t="n">
        <v>2.69974631838671</v>
      </c>
    </row>
    <row r="106" customFormat="false" ht="13" hidden="false" customHeight="false" outlineLevel="0" collapsed="false">
      <c r="A106" s="2" t="n">
        <v>329</v>
      </c>
      <c r="B106" s="2" t="n">
        <v>0</v>
      </c>
      <c r="C106" s="2" t="n">
        <v>2.70723424769557</v>
      </c>
      <c r="D106" s="2" t="n">
        <v>2.70723424769557</v>
      </c>
    </row>
    <row r="107" customFormat="false" ht="13" hidden="false" customHeight="false" outlineLevel="0" collapsed="false">
      <c r="A107" s="2" t="n">
        <v>336</v>
      </c>
      <c r="B107" s="2" t="n">
        <v>0</v>
      </c>
      <c r="C107" s="2" t="n">
        <v>2.71078310294661</v>
      </c>
      <c r="D107" s="2" t="n">
        <v>2.71078310294661</v>
      </c>
    </row>
    <row r="108" customFormat="false" ht="13" hidden="false" customHeight="false" outlineLevel="0" collapsed="false">
      <c r="A108" s="2" t="n">
        <v>138</v>
      </c>
      <c r="B108" s="2" t="n">
        <v>2.72870016292308</v>
      </c>
      <c r="C108" s="2" t="n">
        <v>0</v>
      </c>
      <c r="D108" s="2" t="n">
        <v>2.72870016292308</v>
      </c>
    </row>
    <row r="109" customFormat="false" ht="13" hidden="false" customHeight="false" outlineLevel="0" collapsed="false">
      <c r="A109" s="2" t="n">
        <v>831</v>
      </c>
      <c r="B109" s="2" t="n">
        <v>2.75032231639113</v>
      </c>
      <c r="C109" s="2" t="n">
        <v>0</v>
      </c>
      <c r="D109" s="2" t="n">
        <v>2.75032231639113</v>
      </c>
    </row>
    <row r="110" customFormat="false" ht="13" hidden="false" customHeight="false" outlineLevel="0" collapsed="false">
      <c r="A110" s="2" t="n">
        <v>256</v>
      </c>
      <c r="B110" s="2" t="n">
        <v>0</v>
      </c>
      <c r="C110" s="2" t="n">
        <v>2.75587222404624</v>
      </c>
      <c r="D110" s="2" t="n">
        <v>2.75587222404624</v>
      </c>
    </row>
    <row r="111" customFormat="false" ht="13" hidden="false" customHeight="false" outlineLevel="0" collapsed="false">
      <c r="A111" s="2" t="n">
        <v>28</v>
      </c>
      <c r="B111" s="2" t="n">
        <v>2.77037934688084</v>
      </c>
      <c r="C111" s="2" t="n">
        <v>0</v>
      </c>
      <c r="D111" s="2" t="n">
        <v>2.77037934688084</v>
      </c>
    </row>
    <row r="112" customFormat="false" ht="13" hidden="false" customHeight="false" outlineLevel="0" collapsed="false">
      <c r="A112" s="2" t="n">
        <v>530</v>
      </c>
      <c r="B112" s="2" t="n">
        <v>0</v>
      </c>
      <c r="C112" s="2" t="n">
        <v>2.86252151567373</v>
      </c>
      <c r="D112" s="2" t="n">
        <v>2.86252151567373</v>
      </c>
    </row>
    <row r="113" customFormat="false" ht="13" hidden="false" customHeight="false" outlineLevel="0" collapsed="false">
      <c r="A113" s="2" t="n">
        <v>852</v>
      </c>
      <c r="B113" s="2" t="n">
        <v>2.86381659934</v>
      </c>
      <c r="C113" s="2" t="n">
        <v>0</v>
      </c>
      <c r="D113" s="2" t="n">
        <v>2.86381659934</v>
      </c>
    </row>
    <row r="114" customFormat="false" ht="13" hidden="false" customHeight="false" outlineLevel="0" collapsed="false">
      <c r="A114" s="2" t="n">
        <v>333</v>
      </c>
      <c r="B114" s="2" t="n">
        <v>2.88131978650341</v>
      </c>
      <c r="C114" s="2" t="n">
        <v>0</v>
      </c>
      <c r="D114" s="2" t="n">
        <v>2.88131978650341</v>
      </c>
    </row>
    <row r="115" customFormat="false" ht="13" hidden="false" customHeight="false" outlineLevel="0" collapsed="false">
      <c r="A115" s="2" t="n">
        <v>873</v>
      </c>
      <c r="B115" s="2" t="n">
        <v>2.88895515649836</v>
      </c>
      <c r="C115" s="2" t="n">
        <v>0</v>
      </c>
      <c r="D115" s="2" t="n">
        <v>2.88895515649836</v>
      </c>
    </row>
    <row r="116" customFormat="false" ht="13" hidden="false" customHeight="false" outlineLevel="0" collapsed="false">
      <c r="A116" s="2" t="n">
        <v>358</v>
      </c>
      <c r="B116" s="2" t="n">
        <v>2.99723310543686</v>
      </c>
      <c r="C116" s="2" t="n">
        <v>0</v>
      </c>
      <c r="D116" s="2" t="n">
        <v>2.99723310543686</v>
      </c>
    </row>
    <row r="117" customFormat="false" ht="13" hidden="false" customHeight="false" outlineLevel="0" collapsed="false">
      <c r="A117" s="2" t="n">
        <v>163</v>
      </c>
      <c r="B117" s="2" t="n">
        <v>3.00080218481506</v>
      </c>
      <c r="C117" s="2" t="n">
        <v>0</v>
      </c>
      <c r="D117" s="2" t="n">
        <v>3.00080218481506</v>
      </c>
    </row>
    <row r="118" customFormat="false" ht="13" hidden="false" customHeight="false" outlineLevel="0" collapsed="false">
      <c r="A118" s="2" t="n">
        <v>707</v>
      </c>
      <c r="B118" s="2" t="n">
        <v>0</v>
      </c>
      <c r="C118" s="2" t="n">
        <v>3.01129364140843</v>
      </c>
      <c r="D118" s="2" t="n">
        <v>3.01129364140843</v>
      </c>
    </row>
    <row r="119" customFormat="false" ht="13" hidden="false" customHeight="false" outlineLevel="0" collapsed="false">
      <c r="A119" s="2" t="n">
        <v>630</v>
      </c>
      <c r="B119" s="2" t="n">
        <v>0</v>
      </c>
      <c r="C119" s="2" t="n">
        <v>3.04197109684947</v>
      </c>
      <c r="D119" s="2" t="n">
        <v>3.04197109684947</v>
      </c>
    </row>
    <row r="120" customFormat="false" ht="13" hidden="false" customHeight="false" outlineLevel="0" collapsed="false">
      <c r="A120" s="2" t="n">
        <v>251</v>
      </c>
      <c r="B120" s="2" t="n">
        <v>0</v>
      </c>
      <c r="C120" s="2" t="n">
        <v>3.05350121195056</v>
      </c>
      <c r="D120" s="2" t="n">
        <v>3.05350121195056</v>
      </c>
    </row>
    <row r="121" customFormat="false" ht="13" hidden="false" customHeight="false" outlineLevel="0" collapsed="false">
      <c r="A121" s="2" t="n">
        <v>683</v>
      </c>
      <c r="B121" s="2" t="n">
        <v>0</v>
      </c>
      <c r="C121" s="2" t="n">
        <v>3.05963524534525</v>
      </c>
      <c r="D121" s="2" t="n">
        <v>3.05963524534525</v>
      </c>
    </row>
    <row r="122" customFormat="false" ht="13" hidden="false" customHeight="false" outlineLevel="0" collapsed="false">
      <c r="A122" s="2" t="n">
        <v>234</v>
      </c>
      <c r="B122" s="2" t="n">
        <v>0</v>
      </c>
      <c r="C122" s="2" t="n">
        <v>3.08822452122999</v>
      </c>
      <c r="D122" s="2" t="n">
        <v>3.08822452122999</v>
      </c>
    </row>
    <row r="123" customFormat="false" ht="13" hidden="false" customHeight="false" outlineLevel="0" collapsed="false">
      <c r="A123" s="2" t="n">
        <v>340</v>
      </c>
      <c r="B123" s="2" t="n">
        <v>0</v>
      </c>
      <c r="C123" s="2" t="n">
        <v>3.10460526880229</v>
      </c>
      <c r="D123" s="2" t="n">
        <v>3.10460526880229</v>
      </c>
    </row>
    <row r="124" customFormat="false" ht="13" hidden="false" customHeight="false" outlineLevel="0" collapsed="false">
      <c r="A124" s="2" t="n">
        <v>320</v>
      </c>
      <c r="B124" s="2" t="n">
        <v>0</v>
      </c>
      <c r="C124" s="2" t="n">
        <v>3.11268115095675</v>
      </c>
      <c r="D124" s="2" t="n">
        <v>3.11268115095675</v>
      </c>
    </row>
    <row r="125" customFormat="false" ht="13" hidden="false" customHeight="false" outlineLevel="0" collapsed="false">
      <c r="A125" s="2" t="n">
        <v>147</v>
      </c>
      <c r="B125" s="2" t="n">
        <v>0</v>
      </c>
      <c r="C125" s="2" t="n">
        <v>3.11536427284295</v>
      </c>
      <c r="D125" s="2" t="n">
        <v>3.11536427284295</v>
      </c>
    </row>
    <row r="126" customFormat="false" ht="13" hidden="false" customHeight="false" outlineLevel="0" collapsed="false">
      <c r="A126" s="2" t="n">
        <v>468</v>
      </c>
      <c r="B126" s="2" t="n">
        <v>0</v>
      </c>
      <c r="C126" s="2" t="n">
        <v>3.11955060925516</v>
      </c>
      <c r="D126" s="2" t="n">
        <v>3.11955060925516</v>
      </c>
    </row>
    <row r="127" customFormat="false" ht="13" hidden="false" customHeight="false" outlineLevel="0" collapsed="false">
      <c r="A127" s="2" t="n">
        <v>321</v>
      </c>
      <c r="B127" s="2" t="n">
        <v>0</v>
      </c>
      <c r="C127" s="2" t="n">
        <v>3.12151408698935</v>
      </c>
      <c r="D127" s="2" t="n">
        <v>3.12151408698935</v>
      </c>
    </row>
    <row r="128" customFormat="false" ht="13" hidden="false" customHeight="false" outlineLevel="0" collapsed="false">
      <c r="A128" s="2" t="n">
        <v>382</v>
      </c>
      <c r="B128" s="2" t="n">
        <v>0</v>
      </c>
      <c r="C128" s="2" t="n">
        <v>3.14982371513912</v>
      </c>
      <c r="D128" s="2" t="n">
        <v>3.14982371513912</v>
      </c>
    </row>
    <row r="129" customFormat="false" ht="13" hidden="false" customHeight="false" outlineLevel="0" collapsed="false">
      <c r="A129" s="2" t="n">
        <v>344</v>
      </c>
      <c r="B129" s="2" t="n">
        <v>0</v>
      </c>
      <c r="C129" s="2" t="n">
        <v>3.16928852204171</v>
      </c>
      <c r="D129" s="2" t="n">
        <v>3.16928852204171</v>
      </c>
    </row>
    <row r="130" customFormat="false" ht="13" hidden="false" customHeight="false" outlineLevel="0" collapsed="false">
      <c r="A130" s="2" t="n">
        <v>976</v>
      </c>
      <c r="B130" s="2" t="n">
        <v>3.1762932566769</v>
      </c>
      <c r="C130" s="2" t="n">
        <v>0</v>
      </c>
      <c r="D130" s="2" t="n">
        <v>3.1762932566769</v>
      </c>
    </row>
    <row r="131" customFormat="false" ht="13" hidden="false" customHeight="false" outlineLevel="0" collapsed="false">
      <c r="A131" s="2" t="n">
        <v>154</v>
      </c>
      <c r="B131" s="2" t="n">
        <v>3.25227997886054</v>
      </c>
      <c r="C131" s="2" t="n">
        <v>0</v>
      </c>
      <c r="D131" s="2" t="n">
        <v>3.25227997886054</v>
      </c>
    </row>
    <row r="132" customFormat="false" ht="13" hidden="false" customHeight="false" outlineLevel="0" collapsed="false">
      <c r="A132" s="2" t="n">
        <v>133</v>
      </c>
      <c r="B132" s="2" t="n">
        <v>3.28915729670928</v>
      </c>
      <c r="C132" s="2" t="n">
        <v>0</v>
      </c>
      <c r="D132" s="2" t="n">
        <v>3.28915729670928</v>
      </c>
    </row>
    <row r="133" customFormat="false" ht="13" hidden="false" customHeight="false" outlineLevel="0" collapsed="false">
      <c r="A133" s="2" t="n">
        <v>47</v>
      </c>
      <c r="B133" s="2" t="n">
        <v>3.29817946181857</v>
      </c>
      <c r="C133" s="2" t="n">
        <v>0</v>
      </c>
      <c r="D133" s="2" t="n">
        <v>3.29817946181857</v>
      </c>
    </row>
    <row r="134" customFormat="false" ht="13" hidden="false" customHeight="false" outlineLevel="0" collapsed="false">
      <c r="A134" s="2" t="n">
        <v>243</v>
      </c>
      <c r="B134" s="2" t="n">
        <v>0</v>
      </c>
      <c r="C134" s="2" t="n">
        <v>3.31865451010816</v>
      </c>
      <c r="D134" s="2" t="n">
        <v>3.31865451010816</v>
      </c>
    </row>
    <row r="135" customFormat="false" ht="13" hidden="false" customHeight="false" outlineLevel="0" collapsed="false">
      <c r="A135" s="2" t="n">
        <v>990</v>
      </c>
      <c r="B135" s="2" t="n">
        <v>3.32198265497391</v>
      </c>
      <c r="C135" s="2" t="n">
        <v>0</v>
      </c>
      <c r="D135" s="2" t="n">
        <v>3.32198265497391</v>
      </c>
    </row>
    <row r="136" customFormat="false" ht="13" hidden="false" customHeight="false" outlineLevel="0" collapsed="false">
      <c r="A136" s="2" t="n">
        <v>364</v>
      </c>
      <c r="B136" s="2" t="n">
        <v>0</v>
      </c>
      <c r="C136" s="2" t="n">
        <v>3.32635543623945</v>
      </c>
      <c r="D136" s="2" t="n">
        <v>3.32635543623945</v>
      </c>
    </row>
    <row r="137" customFormat="false" ht="13" hidden="false" customHeight="false" outlineLevel="0" collapsed="false">
      <c r="A137" s="2" t="n">
        <v>327</v>
      </c>
      <c r="B137" s="2" t="n">
        <v>3.33818731923105</v>
      </c>
      <c r="C137" s="2" t="n">
        <v>0</v>
      </c>
      <c r="D137" s="2" t="n">
        <v>3.33818731923105</v>
      </c>
    </row>
    <row r="138" customFormat="false" ht="13" hidden="false" customHeight="false" outlineLevel="0" collapsed="false">
      <c r="A138" s="2" t="n">
        <v>718</v>
      </c>
      <c r="B138" s="2" t="n">
        <v>0</v>
      </c>
      <c r="C138" s="2" t="n">
        <v>3.39236388383188</v>
      </c>
      <c r="D138" s="2" t="n">
        <v>3.39236388383188</v>
      </c>
    </row>
    <row r="139" customFormat="false" ht="13" hidden="false" customHeight="false" outlineLevel="0" collapsed="false">
      <c r="A139" s="2" t="n">
        <v>4</v>
      </c>
      <c r="B139" s="2" t="n">
        <v>0</v>
      </c>
      <c r="C139" s="2" t="n">
        <v>3.40753605585871</v>
      </c>
      <c r="D139" s="2" t="n">
        <v>3.40753605585871</v>
      </c>
    </row>
    <row r="140" customFormat="false" ht="13" hidden="false" customHeight="false" outlineLevel="0" collapsed="false">
      <c r="A140" s="2" t="n">
        <v>878</v>
      </c>
      <c r="B140" s="2" t="n">
        <v>3.40879882569823</v>
      </c>
      <c r="C140" s="2" t="n">
        <v>0</v>
      </c>
      <c r="D140" s="2" t="n">
        <v>3.40879882569823</v>
      </c>
    </row>
    <row r="141" customFormat="false" ht="13" hidden="false" customHeight="false" outlineLevel="0" collapsed="false">
      <c r="A141" s="2" t="n">
        <v>346</v>
      </c>
      <c r="B141" s="2" t="n">
        <v>3.41248658991572</v>
      </c>
      <c r="C141" s="2" t="n">
        <v>0</v>
      </c>
      <c r="D141" s="2" t="n">
        <v>3.41248658991572</v>
      </c>
    </row>
    <row r="142" customFormat="false" ht="13" hidden="false" customHeight="false" outlineLevel="0" collapsed="false">
      <c r="A142" s="2" t="n">
        <v>501</v>
      </c>
      <c r="B142" s="2" t="n">
        <v>0</v>
      </c>
      <c r="C142" s="2" t="n">
        <v>3.44810664643683</v>
      </c>
      <c r="D142" s="2" t="n">
        <v>3.44810664643683</v>
      </c>
    </row>
    <row r="143" customFormat="false" ht="13" hidden="false" customHeight="false" outlineLevel="0" collapsed="false">
      <c r="A143" s="2" t="n">
        <v>235</v>
      </c>
      <c r="B143" s="2" t="n">
        <v>0</v>
      </c>
      <c r="C143" s="2" t="n">
        <v>3.44980670727114</v>
      </c>
      <c r="D143" s="2" t="n">
        <v>3.44980670727114</v>
      </c>
    </row>
    <row r="144" customFormat="false" ht="13" hidden="false" customHeight="false" outlineLevel="0" collapsed="false">
      <c r="A144" s="2" t="n">
        <v>700</v>
      </c>
      <c r="B144" s="2" t="n">
        <v>0</v>
      </c>
      <c r="C144" s="2" t="n">
        <v>3.45251138110075</v>
      </c>
      <c r="D144" s="2" t="n">
        <v>3.45251138110075</v>
      </c>
    </row>
    <row r="145" customFormat="false" ht="13" hidden="false" customHeight="false" outlineLevel="0" collapsed="false">
      <c r="A145" s="2" t="n">
        <v>52</v>
      </c>
      <c r="B145" s="2" t="n">
        <v>3.45312851636119</v>
      </c>
      <c r="C145" s="2" t="n">
        <v>0</v>
      </c>
      <c r="D145" s="2" t="n">
        <v>3.45312851636119</v>
      </c>
    </row>
    <row r="146" customFormat="false" ht="13" hidden="false" customHeight="false" outlineLevel="0" collapsed="false">
      <c r="A146" s="2" t="n">
        <v>509</v>
      </c>
      <c r="B146" s="2" t="n">
        <v>0</v>
      </c>
      <c r="C146" s="2" t="n">
        <v>3.50389294823094</v>
      </c>
      <c r="D146" s="2" t="n">
        <v>3.50389294823094</v>
      </c>
    </row>
    <row r="147" customFormat="false" ht="13" hidden="false" customHeight="false" outlineLevel="0" collapsed="false">
      <c r="A147" s="2" t="n">
        <v>227</v>
      </c>
      <c r="B147" s="2" t="n">
        <v>0</v>
      </c>
      <c r="C147" s="2" t="n">
        <v>3.51100406677952</v>
      </c>
      <c r="D147" s="2" t="n">
        <v>3.51100406677952</v>
      </c>
    </row>
    <row r="148" customFormat="false" ht="13" hidden="false" customHeight="false" outlineLevel="0" collapsed="false">
      <c r="A148" s="2" t="n">
        <v>166</v>
      </c>
      <c r="B148" s="2" t="n">
        <v>3.58861035236251</v>
      </c>
      <c r="C148" s="2" t="n">
        <v>0</v>
      </c>
      <c r="D148" s="2" t="n">
        <v>3.58861035236251</v>
      </c>
    </row>
    <row r="149" customFormat="false" ht="13" hidden="false" customHeight="false" outlineLevel="0" collapsed="false">
      <c r="A149" s="2" t="n">
        <v>179</v>
      </c>
      <c r="B149" s="2" t="n">
        <v>3.63645837104991</v>
      </c>
      <c r="C149" s="2" t="n">
        <v>0</v>
      </c>
      <c r="D149" s="2" t="n">
        <v>3.63645837104991</v>
      </c>
    </row>
    <row r="150" customFormat="false" ht="13" hidden="false" customHeight="false" outlineLevel="0" collapsed="false">
      <c r="A150" s="2" t="n">
        <v>390</v>
      </c>
      <c r="B150" s="2" t="n">
        <v>0</v>
      </c>
      <c r="C150" s="2" t="n">
        <v>3.66338988219223</v>
      </c>
      <c r="D150" s="2" t="n">
        <v>3.66338988219223</v>
      </c>
    </row>
    <row r="151" customFormat="false" ht="13" hidden="false" customHeight="false" outlineLevel="0" collapsed="false">
      <c r="A151" s="2" t="n">
        <v>470</v>
      </c>
      <c r="B151" s="2" t="n">
        <v>0</v>
      </c>
      <c r="C151" s="2" t="n">
        <v>3.71997036350217</v>
      </c>
      <c r="D151" s="2" t="n">
        <v>3.71997036350217</v>
      </c>
    </row>
    <row r="152" customFormat="false" ht="13" hidden="false" customHeight="false" outlineLevel="0" collapsed="false">
      <c r="A152" s="2" t="n">
        <v>621</v>
      </c>
      <c r="B152" s="2" t="n">
        <v>0</v>
      </c>
      <c r="C152" s="2" t="n">
        <v>3.72735714271346</v>
      </c>
      <c r="D152" s="2" t="n">
        <v>3.72735714271346</v>
      </c>
    </row>
    <row r="153" customFormat="false" ht="13" hidden="false" customHeight="false" outlineLevel="0" collapsed="false">
      <c r="A153" s="2" t="n">
        <v>328</v>
      </c>
      <c r="B153" s="2" t="n">
        <v>0</v>
      </c>
      <c r="C153" s="2" t="n">
        <v>3.75040919693015</v>
      </c>
      <c r="D153" s="2" t="n">
        <v>3.75040919693015</v>
      </c>
    </row>
    <row r="154" customFormat="false" ht="13" hidden="false" customHeight="false" outlineLevel="0" collapsed="false">
      <c r="A154" s="2" t="n">
        <v>849</v>
      </c>
      <c r="B154" s="2" t="n">
        <v>3.77324345743477</v>
      </c>
      <c r="C154" s="2" t="n">
        <v>0</v>
      </c>
      <c r="D154" s="2" t="n">
        <v>3.77324345743477</v>
      </c>
    </row>
    <row r="155" customFormat="false" ht="13" hidden="false" customHeight="false" outlineLevel="0" collapsed="false">
      <c r="A155" s="2" t="n">
        <v>151</v>
      </c>
      <c r="B155" s="2" t="n">
        <v>0</v>
      </c>
      <c r="C155" s="2" t="n">
        <v>3.81229764076394</v>
      </c>
      <c r="D155" s="2" t="n">
        <v>3.81229764076394</v>
      </c>
    </row>
    <row r="156" customFormat="false" ht="13" hidden="false" customHeight="false" outlineLevel="0" collapsed="false">
      <c r="A156" s="2" t="n">
        <v>139</v>
      </c>
      <c r="B156" s="2" t="n">
        <v>3.82604970342774</v>
      </c>
      <c r="C156" s="2" t="n">
        <v>0</v>
      </c>
      <c r="D156" s="2" t="n">
        <v>3.82604970342774</v>
      </c>
    </row>
    <row r="157" customFormat="false" ht="13" hidden="false" customHeight="false" outlineLevel="0" collapsed="false">
      <c r="A157" s="2" t="n">
        <v>332</v>
      </c>
      <c r="B157" s="2" t="n">
        <v>0</v>
      </c>
      <c r="C157" s="2" t="n">
        <v>3.8443260797809</v>
      </c>
      <c r="D157" s="2" t="n">
        <v>3.8443260797809</v>
      </c>
    </row>
    <row r="158" customFormat="false" ht="13" hidden="false" customHeight="false" outlineLevel="0" collapsed="false">
      <c r="A158" s="2" t="n">
        <v>387</v>
      </c>
      <c r="B158" s="2" t="n">
        <v>3.84638762489215</v>
      </c>
      <c r="C158" s="2" t="n">
        <v>0</v>
      </c>
      <c r="D158" s="2" t="n">
        <v>3.84638762489215</v>
      </c>
    </row>
    <row r="159" customFormat="false" ht="13" hidden="false" customHeight="false" outlineLevel="0" collapsed="false">
      <c r="A159" s="2" t="n">
        <v>342</v>
      </c>
      <c r="B159" s="2" t="n">
        <v>3.85030577644994</v>
      </c>
      <c r="C159" s="2" t="n">
        <v>0</v>
      </c>
      <c r="D159" s="2" t="n">
        <v>3.85030577644994</v>
      </c>
    </row>
    <row r="160" customFormat="false" ht="13" hidden="false" customHeight="false" outlineLevel="0" collapsed="false">
      <c r="A160" s="2" t="n">
        <v>629</v>
      </c>
      <c r="B160" s="2" t="n">
        <v>0</v>
      </c>
      <c r="C160" s="2" t="n">
        <v>3.85314834719679</v>
      </c>
      <c r="D160" s="2" t="n">
        <v>3.85314834719679</v>
      </c>
    </row>
    <row r="161" customFormat="false" ht="13" hidden="false" customHeight="false" outlineLevel="0" collapsed="false">
      <c r="A161" s="2" t="n">
        <v>345</v>
      </c>
      <c r="B161" s="2" t="n">
        <v>0</v>
      </c>
      <c r="C161" s="2" t="n">
        <v>3.85953574515594</v>
      </c>
      <c r="D161" s="2" t="n">
        <v>3.85953574515594</v>
      </c>
    </row>
    <row r="162" customFormat="false" ht="13" hidden="false" customHeight="false" outlineLevel="0" collapsed="false">
      <c r="A162" s="2" t="n">
        <v>351</v>
      </c>
      <c r="B162" s="2" t="n">
        <v>0</v>
      </c>
      <c r="C162" s="2" t="n">
        <v>3.86842157735788</v>
      </c>
      <c r="D162" s="2" t="n">
        <v>3.86842157735788</v>
      </c>
    </row>
    <row r="163" customFormat="false" ht="13" hidden="false" customHeight="false" outlineLevel="0" collapsed="false">
      <c r="A163" s="2" t="n">
        <v>406</v>
      </c>
      <c r="B163" s="2" t="n">
        <v>0</v>
      </c>
      <c r="C163" s="2" t="n">
        <v>3.889716107769</v>
      </c>
      <c r="D163" s="2" t="n">
        <v>3.889716107769</v>
      </c>
    </row>
    <row r="164" customFormat="false" ht="13" hidden="false" customHeight="false" outlineLevel="0" collapsed="false">
      <c r="A164" s="2" t="n">
        <v>633</v>
      </c>
      <c r="B164" s="2" t="n">
        <v>0</v>
      </c>
      <c r="C164" s="2" t="n">
        <v>3.89086133769342</v>
      </c>
      <c r="D164" s="2" t="n">
        <v>3.89086133769342</v>
      </c>
    </row>
    <row r="165" customFormat="false" ht="13" hidden="false" customHeight="false" outlineLevel="0" collapsed="false">
      <c r="A165" s="2" t="n">
        <v>384</v>
      </c>
      <c r="B165" s="2" t="n">
        <v>3.90937003709132</v>
      </c>
      <c r="C165" s="2" t="n">
        <v>0</v>
      </c>
      <c r="D165" s="2" t="n">
        <v>3.90937003709132</v>
      </c>
    </row>
    <row r="166" customFormat="false" ht="13" hidden="false" customHeight="false" outlineLevel="0" collapsed="false">
      <c r="A166" s="2" t="n">
        <v>334</v>
      </c>
      <c r="B166" s="2" t="n">
        <v>3.92493247466382</v>
      </c>
      <c r="C166" s="2" t="n">
        <v>0</v>
      </c>
      <c r="D166" s="2" t="n">
        <v>3.92493247466382</v>
      </c>
    </row>
    <row r="167" customFormat="false" ht="13" hidden="false" customHeight="false" outlineLevel="0" collapsed="false">
      <c r="A167" s="2" t="n">
        <v>411</v>
      </c>
      <c r="B167" s="2" t="n">
        <v>3.94972872707245</v>
      </c>
      <c r="C167" s="2" t="n">
        <v>0</v>
      </c>
      <c r="D167" s="2" t="n">
        <v>3.94972872707245</v>
      </c>
    </row>
    <row r="168" customFormat="false" ht="13" hidden="false" customHeight="false" outlineLevel="0" collapsed="false">
      <c r="A168" s="2" t="n">
        <v>471</v>
      </c>
      <c r="B168" s="2" t="n">
        <v>0</v>
      </c>
      <c r="C168" s="2" t="n">
        <v>3.95512396831924</v>
      </c>
      <c r="D168" s="2" t="n">
        <v>3.95512396831924</v>
      </c>
    </row>
    <row r="169" customFormat="false" ht="13" hidden="false" customHeight="false" outlineLevel="0" collapsed="false">
      <c r="A169" s="2" t="n">
        <v>521</v>
      </c>
      <c r="B169" s="2" t="n">
        <v>0</v>
      </c>
      <c r="C169" s="2" t="n">
        <v>3.97835224867663</v>
      </c>
      <c r="D169" s="2" t="n">
        <v>3.97835224867663</v>
      </c>
    </row>
    <row r="170" customFormat="false" ht="13" hidden="false" customHeight="false" outlineLevel="0" collapsed="false">
      <c r="A170" s="2" t="n">
        <v>375</v>
      </c>
      <c r="B170" s="2" t="n">
        <v>0</v>
      </c>
      <c r="C170" s="2" t="n">
        <v>3.99641593084453</v>
      </c>
      <c r="D170" s="2" t="n">
        <v>3.99641593084453</v>
      </c>
    </row>
    <row r="171" customFormat="false" ht="13" hidden="false" customHeight="false" outlineLevel="0" collapsed="false">
      <c r="A171" s="2" t="n">
        <v>901</v>
      </c>
      <c r="B171" s="2" t="n">
        <v>4.0170348242815</v>
      </c>
      <c r="C171" s="2" t="n">
        <v>0</v>
      </c>
      <c r="D171" s="2" t="n">
        <v>4.0170348242815</v>
      </c>
    </row>
    <row r="172" customFormat="false" ht="13" hidden="false" customHeight="false" outlineLevel="0" collapsed="false">
      <c r="A172" s="2" t="n">
        <v>324</v>
      </c>
      <c r="B172" s="2" t="n">
        <v>4.03023143450457</v>
      </c>
      <c r="C172" s="2" t="n">
        <v>0</v>
      </c>
      <c r="D172" s="2" t="n">
        <v>4.03023143450457</v>
      </c>
    </row>
    <row r="173" customFormat="false" ht="13" hidden="false" customHeight="false" outlineLevel="0" collapsed="false">
      <c r="A173" s="2" t="n">
        <v>407</v>
      </c>
      <c r="B173" s="2" t="n">
        <v>0</v>
      </c>
      <c r="C173" s="2" t="n">
        <v>4.04371562388252</v>
      </c>
      <c r="D173" s="2" t="n">
        <v>4.04371562388252</v>
      </c>
    </row>
    <row r="174" customFormat="false" ht="13" hidden="false" customHeight="false" outlineLevel="0" collapsed="false">
      <c r="A174" s="2" t="n">
        <v>29</v>
      </c>
      <c r="B174" s="2" t="n">
        <v>4.0606208080233</v>
      </c>
      <c r="C174" s="2" t="n">
        <v>0</v>
      </c>
      <c r="D174" s="2" t="n">
        <v>4.0606208080233</v>
      </c>
    </row>
    <row r="175" customFormat="false" ht="13" hidden="false" customHeight="false" outlineLevel="0" collapsed="false">
      <c r="A175" s="2" t="n">
        <v>326</v>
      </c>
      <c r="B175" s="2" t="n">
        <v>0</v>
      </c>
      <c r="C175" s="2" t="n">
        <v>4.07195841280526</v>
      </c>
      <c r="D175" s="2" t="n">
        <v>4.07195841280526</v>
      </c>
    </row>
    <row r="176" customFormat="false" ht="13" hidden="false" customHeight="false" outlineLevel="0" collapsed="false">
      <c r="A176" s="2" t="n">
        <v>698</v>
      </c>
      <c r="B176" s="2" t="n">
        <v>0</v>
      </c>
      <c r="C176" s="2" t="n">
        <v>4.11257741150178</v>
      </c>
      <c r="D176" s="2" t="n">
        <v>4.11257741150178</v>
      </c>
    </row>
    <row r="177" customFormat="false" ht="13" hidden="false" customHeight="false" outlineLevel="0" collapsed="false">
      <c r="A177" s="2" t="n">
        <v>535</v>
      </c>
      <c r="B177" s="2" t="n">
        <v>0</v>
      </c>
      <c r="C177" s="2" t="n">
        <v>4.11975225188951</v>
      </c>
      <c r="D177" s="2" t="n">
        <v>4.11975225188951</v>
      </c>
    </row>
    <row r="178" customFormat="false" ht="13" hidden="false" customHeight="false" outlineLevel="0" collapsed="false">
      <c r="A178" s="2" t="n">
        <v>722</v>
      </c>
      <c r="B178" s="2" t="n">
        <v>0</v>
      </c>
      <c r="C178" s="2" t="n">
        <v>4.1227133369606</v>
      </c>
      <c r="D178" s="2" t="n">
        <v>4.1227133369606</v>
      </c>
    </row>
    <row r="179" customFormat="false" ht="13" hidden="false" customHeight="false" outlineLevel="0" collapsed="false">
      <c r="A179" s="2" t="n">
        <v>481</v>
      </c>
      <c r="B179" s="2" t="n">
        <v>0</v>
      </c>
      <c r="C179" s="2" t="n">
        <v>4.14013257402212</v>
      </c>
      <c r="D179" s="2" t="n">
        <v>4.14013257402212</v>
      </c>
    </row>
    <row r="180" customFormat="false" ht="13" hidden="false" customHeight="false" outlineLevel="0" collapsed="false">
      <c r="A180" s="2" t="n">
        <v>383</v>
      </c>
      <c r="B180" s="2" t="n">
        <v>4.14258489987765</v>
      </c>
      <c r="C180" s="2" t="n">
        <v>0</v>
      </c>
      <c r="D180" s="2" t="n">
        <v>4.14258489987765</v>
      </c>
    </row>
    <row r="181" customFormat="false" ht="13" hidden="false" customHeight="false" outlineLevel="0" collapsed="false">
      <c r="A181" s="2" t="n">
        <v>846</v>
      </c>
      <c r="B181" s="2" t="n">
        <v>4.1430083880183</v>
      </c>
      <c r="C181" s="2" t="n">
        <v>0</v>
      </c>
      <c r="D181" s="2" t="n">
        <v>4.1430083880183</v>
      </c>
    </row>
    <row r="182" customFormat="false" ht="13" hidden="false" customHeight="false" outlineLevel="0" collapsed="false">
      <c r="A182" s="2" t="n">
        <v>522</v>
      </c>
      <c r="B182" s="2" t="n">
        <v>0</v>
      </c>
      <c r="C182" s="2" t="n">
        <v>4.15258965313399</v>
      </c>
      <c r="D182" s="2" t="n">
        <v>4.15258965313399</v>
      </c>
    </row>
    <row r="183" customFormat="false" ht="13" hidden="false" customHeight="false" outlineLevel="0" collapsed="false">
      <c r="A183" s="2" t="n">
        <v>252</v>
      </c>
      <c r="B183" s="2" t="n">
        <v>0</v>
      </c>
      <c r="C183" s="2" t="n">
        <v>4.15805282613985</v>
      </c>
      <c r="D183" s="2" t="n">
        <v>4.15805282613985</v>
      </c>
    </row>
    <row r="184" customFormat="false" ht="13" hidden="false" customHeight="false" outlineLevel="0" collapsed="false">
      <c r="A184" s="2" t="n">
        <v>180</v>
      </c>
      <c r="B184" s="2" t="n">
        <v>4.16749931061474</v>
      </c>
      <c r="C184" s="2" t="n">
        <v>0</v>
      </c>
      <c r="D184" s="2" t="n">
        <v>4.16749931061474</v>
      </c>
    </row>
    <row r="185" customFormat="false" ht="13" hidden="false" customHeight="false" outlineLevel="0" collapsed="false">
      <c r="A185" s="2" t="n">
        <v>5</v>
      </c>
      <c r="B185" s="2" t="n">
        <v>0</v>
      </c>
      <c r="C185" s="2" t="n">
        <v>4.18134184642202</v>
      </c>
      <c r="D185" s="2" t="n">
        <v>4.18134184642202</v>
      </c>
    </row>
    <row r="186" customFormat="false" ht="13" hidden="false" customHeight="false" outlineLevel="0" collapsed="false">
      <c r="A186" s="2" t="n">
        <v>355</v>
      </c>
      <c r="B186" s="2" t="n">
        <v>0</v>
      </c>
      <c r="C186" s="2" t="n">
        <v>4.2164083047968</v>
      </c>
      <c r="D186" s="2" t="n">
        <v>4.2164083047968</v>
      </c>
    </row>
    <row r="187" customFormat="false" ht="13" hidden="false" customHeight="false" outlineLevel="0" collapsed="false">
      <c r="A187" s="2" t="n">
        <v>533</v>
      </c>
      <c r="B187" s="2" t="n">
        <v>0</v>
      </c>
      <c r="C187" s="2" t="n">
        <v>4.22240149300001</v>
      </c>
      <c r="D187" s="2" t="n">
        <v>4.22240149300001</v>
      </c>
    </row>
    <row r="188" customFormat="false" ht="13" hidden="false" customHeight="false" outlineLevel="0" collapsed="false">
      <c r="A188" s="2" t="n">
        <v>874</v>
      </c>
      <c r="B188" s="2" t="n">
        <v>4.22688353222895</v>
      </c>
      <c r="C188" s="2" t="n">
        <v>0</v>
      </c>
      <c r="D188" s="2" t="n">
        <v>4.22688353222895</v>
      </c>
    </row>
    <row r="189" customFormat="false" ht="13" hidden="false" customHeight="false" outlineLevel="0" collapsed="false">
      <c r="A189" s="2" t="n">
        <v>318</v>
      </c>
      <c r="B189" s="2" t="n">
        <v>4.23379450520059</v>
      </c>
      <c r="C189" s="2" t="n">
        <v>0</v>
      </c>
      <c r="D189" s="2" t="n">
        <v>4.23379450520059</v>
      </c>
    </row>
    <row r="190" customFormat="false" ht="13" hidden="false" customHeight="false" outlineLevel="0" collapsed="false">
      <c r="A190" s="2" t="n">
        <v>977</v>
      </c>
      <c r="B190" s="2" t="n">
        <v>4.23571730121898</v>
      </c>
      <c r="C190" s="2" t="n">
        <v>0</v>
      </c>
      <c r="D190" s="2" t="n">
        <v>4.23571730121898</v>
      </c>
    </row>
    <row r="191" customFormat="false" ht="13" hidden="false" customHeight="false" outlineLevel="0" collapsed="false">
      <c r="A191" s="2" t="n">
        <v>403</v>
      </c>
      <c r="B191" s="2" t="n">
        <v>0</v>
      </c>
      <c r="C191" s="2" t="n">
        <v>4.26206374952307</v>
      </c>
      <c r="D191" s="2" t="n">
        <v>4.26206374952307</v>
      </c>
    </row>
    <row r="192" customFormat="false" ht="13" hidden="false" customHeight="false" outlineLevel="0" collapsed="false">
      <c r="A192" s="2" t="n">
        <v>257</v>
      </c>
      <c r="B192" s="2" t="n">
        <v>0</v>
      </c>
      <c r="C192" s="2" t="n">
        <v>4.28836980663482</v>
      </c>
      <c r="D192" s="2" t="n">
        <v>4.28836980663482</v>
      </c>
    </row>
    <row r="193" customFormat="false" ht="13" hidden="false" customHeight="false" outlineLevel="0" collapsed="false">
      <c r="A193" s="2" t="n">
        <v>828</v>
      </c>
      <c r="B193" s="2" t="n">
        <v>4.31763827880752</v>
      </c>
      <c r="C193" s="2" t="n">
        <v>0</v>
      </c>
      <c r="D193" s="2" t="n">
        <v>4.31763827880752</v>
      </c>
    </row>
    <row r="194" customFormat="false" ht="13" hidden="false" customHeight="false" outlineLevel="0" collapsed="false">
      <c r="A194" s="2" t="n">
        <v>885</v>
      </c>
      <c r="B194" s="2" t="n">
        <v>4.33930651996582</v>
      </c>
      <c r="C194" s="2" t="n">
        <v>0</v>
      </c>
      <c r="D194" s="2" t="n">
        <v>4.33930651996582</v>
      </c>
    </row>
    <row r="195" customFormat="false" ht="13" hidden="false" customHeight="false" outlineLevel="0" collapsed="false">
      <c r="A195" s="2" t="n">
        <v>385</v>
      </c>
      <c r="B195" s="2" t="n">
        <v>4.35547006427686</v>
      </c>
      <c r="C195" s="2" t="n">
        <v>0</v>
      </c>
      <c r="D195" s="2" t="n">
        <v>4.35547006427686</v>
      </c>
    </row>
    <row r="196" customFormat="false" ht="13" hidden="false" customHeight="false" outlineLevel="0" collapsed="false">
      <c r="A196" s="2" t="n">
        <v>967</v>
      </c>
      <c r="B196" s="2" t="n">
        <v>4.39398732999769</v>
      </c>
      <c r="C196" s="2" t="n">
        <v>0</v>
      </c>
      <c r="D196" s="2" t="n">
        <v>4.39398732999769</v>
      </c>
    </row>
    <row r="197" customFormat="false" ht="13" hidden="false" customHeight="false" outlineLevel="0" collapsed="false">
      <c r="A197" s="2" t="n">
        <v>433</v>
      </c>
      <c r="B197" s="2" t="n">
        <v>0</v>
      </c>
      <c r="C197" s="2" t="n">
        <v>4.41019111880053</v>
      </c>
      <c r="D197" s="2" t="n">
        <v>4.41019111880053</v>
      </c>
    </row>
    <row r="198" customFormat="false" ht="13" hidden="false" customHeight="false" outlineLevel="0" collapsed="false">
      <c r="A198" s="2" t="n">
        <v>503</v>
      </c>
      <c r="B198" s="2" t="n">
        <v>0</v>
      </c>
      <c r="C198" s="2" t="n">
        <v>4.42268396959514</v>
      </c>
      <c r="D198" s="2" t="n">
        <v>4.42268396959514</v>
      </c>
    </row>
    <row r="199" customFormat="false" ht="13" hidden="false" customHeight="false" outlineLevel="0" collapsed="false">
      <c r="A199" s="2" t="n">
        <v>440</v>
      </c>
      <c r="B199" s="2" t="n">
        <v>0</v>
      </c>
      <c r="C199" s="2" t="n">
        <v>4.42445316698559</v>
      </c>
      <c r="D199" s="2" t="n">
        <v>4.42445316698559</v>
      </c>
    </row>
    <row r="200" customFormat="false" ht="13" hidden="false" customHeight="false" outlineLevel="0" collapsed="false">
      <c r="A200" s="2" t="n">
        <v>836</v>
      </c>
      <c r="B200" s="2" t="n">
        <v>4.43424498143429</v>
      </c>
      <c r="C200" s="2" t="n">
        <v>0</v>
      </c>
      <c r="D200" s="2" t="n">
        <v>4.43424498143429</v>
      </c>
    </row>
    <row r="201" customFormat="false" ht="13" hidden="false" customHeight="false" outlineLevel="0" collapsed="false">
      <c r="A201" s="2" t="n">
        <v>442</v>
      </c>
      <c r="B201" s="2" t="n">
        <v>0</v>
      </c>
      <c r="C201" s="2" t="n">
        <v>4.47714201787551</v>
      </c>
      <c r="D201" s="2" t="n">
        <v>4.47714201787551</v>
      </c>
    </row>
    <row r="202" customFormat="false" ht="13" hidden="false" customHeight="false" outlineLevel="0" collapsed="false">
      <c r="A202" s="2" t="n">
        <v>635</v>
      </c>
      <c r="B202" s="2" t="n">
        <v>0</v>
      </c>
      <c r="C202" s="2" t="n">
        <v>4.5129329836675</v>
      </c>
      <c r="D202" s="2" t="n">
        <v>4.5129329836675</v>
      </c>
    </row>
    <row r="203" customFormat="false" ht="13" hidden="false" customHeight="false" outlineLevel="0" collapsed="false">
      <c r="A203" s="2" t="n">
        <v>7</v>
      </c>
      <c r="B203" s="2" t="n">
        <v>0</v>
      </c>
      <c r="C203" s="2" t="n">
        <v>4.52428804104374</v>
      </c>
      <c r="D203" s="2" t="n">
        <v>4.52428804104374</v>
      </c>
    </row>
    <row r="204" customFormat="false" ht="13" hidden="false" customHeight="false" outlineLevel="0" collapsed="false">
      <c r="A204" s="2" t="n">
        <v>319</v>
      </c>
      <c r="B204" s="2" t="n">
        <v>4.5403120267444</v>
      </c>
      <c r="C204" s="2" t="n">
        <v>0</v>
      </c>
      <c r="D204" s="2" t="n">
        <v>4.5403120267444</v>
      </c>
    </row>
    <row r="205" customFormat="false" ht="13" hidden="false" customHeight="false" outlineLevel="0" collapsed="false">
      <c r="A205" s="2" t="n">
        <v>337</v>
      </c>
      <c r="B205" s="2" t="n">
        <v>0</v>
      </c>
      <c r="C205" s="2" t="n">
        <v>4.61572574393716</v>
      </c>
      <c r="D205" s="2" t="n">
        <v>4.61572574393716</v>
      </c>
    </row>
    <row r="206" customFormat="false" ht="13" hidden="false" customHeight="false" outlineLevel="0" collapsed="false">
      <c r="A206" s="2" t="n">
        <v>120</v>
      </c>
      <c r="B206" s="2" t="n">
        <v>4.7164628253406</v>
      </c>
      <c r="C206" s="2" t="n">
        <v>0</v>
      </c>
      <c r="D206" s="2" t="n">
        <v>4.7164628253406</v>
      </c>
    </row>
    <row r="207" customFormat="false" ht="13" hidden="false" customHeight="false" outlineLevel="0" collapsed="false">
      <c r="A207" s="2" t="n">
        <v>865</v>
      </c>
      <c r="B207" s="2" t="n">
        <v>4.73218295089407</v>
      </c>
      <c r="C207" s="2" t="n">
        <v>0</v>
      </c>
      <c r="D207" s="2" t="n">
        <v>4.73218295089407</v>
      </c>
    </row>
    <row r="208" customFormat="false" ht="13" hidden="false" customHeight="false" outlineLevel="0" collapsed="false">
      <c r="A208" s="2" t="n">
        <v>317</v>
      </c>
      <c r="B208" s="2" t="n">
        <v>0</v>
      </c>
      <c r="C208" s="2" t="n">
        <v>4.73880488367428</v>
      </c>
      <c r="D208" s="2" t="n">
        <v>4.73880488367428</v>
      </c>
    </row>
    <row r="209" customFormat="false" ht="13" hidden="false" customHeight="false" outlineLevel="0" collapsed="false">
      <c r="A209" s="2" t="n">
        <v>315</v>
      </c>
      <c r="B209" s="2" t="n">
        <v>4.78615208372344</v>
      </c>
      <c r="C209" s="2" t="n">
        <v>0</v>
      </c>
      <c r="D209" s="2" t="n">
        <v>4.78615208372344</v>
      </c>
    </row>
    <row r="210" customFormat="false" ht="13" hidden="false" customHeight="false" outlineLevel="0" collapsed="false">
      <c r="A210" s="2" t="n">
        <v>684</v>
      </c>
      <c r="B210" s="2" t="n">
        <v>0</v>
      </c>
      <c r="C210" s="2" t="n">
        <v>4.8189717772533</v>
      </c>
      <c r="D210" s="2" t="n">
        <v>4.8189717772533</v>
      </c>
    </row>
    <row r="211" customFormat="false" ht="13" hidden="false" customHeight="false" outlineLevel="0" collapsed="false">
      <c r="A211" s="2" t="n">
        <v>511</v>
      </c>
      <c r="B211" s="2" t="n">
        <v>0</v>
      </c>
      <c r="C211" s="2" t="n">
        <v>4.84961777774811</v>
      </c>
      <c r="D211" s="2" t="n">
        <v>4.84961777774811</v>
      </c>
    </row>
    <row r="212" customFormat="false" ht="13" hidden="false" customHeight="false" outlineLevel="0" collapsed="false">
      <c r="A212" s="2" t="n">
        <v>604</v>
      </c>
      <c r="B212" s="2" t="n">
        <v>0</v>
      </c>
      <c r="C212" s="2" t="n">
        <v>4.85155690344641</v>
      </c>
      <c r="D212" s="2" t="n">
        <v>4.85155690344641</v>
      </c>
    </row>
    <row r="213" customFormat="false" ht="13" hidden="false" customHeight="false" outlineLevel="0" collapsed="false">
      <c r="A213" s="2" t="n">
        <v>853</v>
      </c>
      <c r="B213" s="2" t="n">
        <v>4.85346678039059</v>
      </c>
      <c r="C213" s="2" t="n">
        <v>0</v>
      </c>
      <c r="D213" s="2" t="n">
        <v>4.85346678039059</v>
      </c>
    </row>
    <row r="214" customFormat="false" ht="13" hidden="false" customHeight="false" outlineLevel="0" collapsed="false">
      <c r="A214" s="2" t="n">
        <v>720</v>
      </c>
      <c r="B214" s="2" t="n">
        <v>0</v>
      </c>
      <c r="C214" s="2" t="n">
        <v>4.86660922466388</v>
      </c>
      <c r="D214" s="2" t="n">
        <v>4.86660922466388</v>
      </c>
    </row>
    <row r="215" customFormat="false" ht="13" hidden="false" customHeight="false" outlineLevel="0" collapsed="false">
      <c r="A215" s="2" t="n">
        <v>359</v>
      </c>
      <c r="B215" s="2" t="n">
        <v>4.88088891382421</v>
      </c>
      <c r="C215" s="2" t="n">
        <v>0</v>
      </c>
      <c r="D215" s="2" t="n">
        <v>4.88088891382421</v>
      </c>
    </row>
    <row r="216" customFormat="false" ht="13" hidden="false" customHeight="false" outlineLevel="0" collapsed="false">
      <c r="A216" s="2" t="n">
        <v>829</v>
      </c>
      <c r="B216" s="2" t="n">
        <v>4.9154754046134</v>
      </c>
      <c r="C216" s="2" t="n">
        <v>0</v>
      </c>
      <c r="D216" s="2" t="n">
        <v>4.9154754046134</v>
      </c>
    </row>
    <row r="217" customFormat="false" ht="13" hidden="false" customHeight="false" outlineLevel="0" collapsed="false">
      <c r="A217" s="2" t="n">
        <v>991</v>
      </c>
      <c r="B217" s="2" t="n">
        <v>4.91764418727098</v>
      </c>
      <c r="C217" s="2" t="n">
        <v>0</v>
      </c>
      <c r="D217" s="2" t="n">
        <v>4.91764418727098</v>
      </c>
    </row>
    <row r="218" customFormat="false" ht="13" hidden="false" customHeight="false" outlineLevel="0" collapsed="false">
      <c r="A218" s="2" t="n">
        <v>708</v>
      </c>
      <c r="B218" s="2" t="n">
        <v>0</v>
      </c>
      <c r="C218" s="2" t="n">
        <v>4.93226975664015</v>
      </c>
      <c r="D218" s="2" t="n">
        <v>4.93226975664015</v>
      </c>
    </row>
    <row r="219" customFormat="false" ht="13" hidden="false" customHeight="false" outlineLevel="0" collapsed="false">
      <c r="A219" s="2" t="n">
        <v>366</v>
      </c>
      <c r="B219" s="2" t="n">
        <v>0</v>
      </c>
      <c r="C219" s="2" t="n">
        <v>4.96647658851492</v>
      </c>
      <c r="D219" s="2" t="n">
        <v>4.96647658851492</v>
      </c>
    </row>
    <row r="220" customFormat="false" ht="13" hidden="false" customHeight="false" outlineLevel="0" collapsed="false">
      <c r="A220" s="2" t="n">
        <v>969</v>
      </c>
      <c r="B220" s="2" t="n">
        <v>4.98400988869867</v>
      </c>
      <c r="C220" s="2" t="n">
        <v>0</v>
      </c>
      <c r="D220" s="2" t="n">
        <v>4.98400988869867</v>
      </c>
    </row>
    <row r="221" customFormat="false" ht="13" hidden="false" customHeight="false" outlineLevel="0" collapsed="false">
      <c r="A221" s="2" t="n">
        <v>827</v>
      </c>
      <c r="B221" s="2" t="n">
        <v>4.99543045831183</v>
      </c>
      <c r="C221" s="2" t="n">
        <v>0</v>
      </c>
      <c r="D221" s="2" t="n">
        <v>4.99543045831183</v>
      </c>
    </row>
    <row r="222" customFormat="false" ht="13" hidden="false" customHeight="false" outlineLevel="0" collapsed="false">
      <c r="A222" s="2" t="n">
        <v>879</v>
      </c>
      <c r="B222" s="2" t="n">
        <v>5.00361841930896</v>
      </c>
      <c r="C222" s="2" t="n">
        <v>0</v>
      </c>
      <c r="D222" s="2" t="n">
        <v>5.00361841930896</v>
      </c>
    </row>
    <row r="223" customFormat="false" ht="13" hidden="false" customHeight="false" outlineLevel="0" collapsed="false">
      <c r="A223" s="2" t="n">
        <v>236</v>
      </c>
      <c r="B223" s="2" t="n">
        <v>0</v>
      </c>
      <c r="C223" s="2" t="n">
        <v>5.03797741225523</v>
      </c>
      <c r="D223" s="2" t="n">
        <v>5.03797741225523</v>
      </c>
    </row>
    <row r="224" customFormat="false" ht="13" hidden="false" customHeight="false" outlineLevel="0" collapsed="false">
      <c r="A224" s="2" t="n">
        <v>53</v>
      </c>
      <c r="B224" s="2" t="n">
        <v>5.09173952494982</v>
      </c>
      <c r="C224" s="2" t="n">
        <v>0</v>
      </c>
      <c r="D224" s="2" t="n">
        <v>5.09173952494982</v>
      </c>
    </row>
    <row r="225" customFormat="false" ht="13" hidden="false" customHeight="false" outlineLevel="0" collapsed="false">
      <c r="A225" s="2" t="n">
        <v>309</v>
      </c>
      <c r="B225" s="2" t="n">
        <v>5.09440810437195</v>
      </c>
      <c r="C225" s="2" t="n">
        <v>0</v>
      </c>
      <c r="D225" s="2" t="n">
        <v>5.09440810437195</v>
      </c>
    </row>
    <row r="226" customFormat="false" ht="13" hidden="false" customHeight="false" outlineLevel="0" collapsed="false">
      <c r="A226" s="2" t="n">
        <v>413</v>
      </c>
      <c r="B226" s="2" t="n">
        <v>5.11609343319134</v>
      </c>
      <c r="C226" s="2" t="n">
        <v>0</v>
      </c>
      <c r="D226" s="2" t="n">
        <v>5.11609343319134</v>
      </c>
    </row>
    <row r="227" customFormat="false" ht="13" hidden="false" customHeight="false" outlineLevel="0" collapsed="false">
      <c r="A227" s="2" t="n">
        <v>341</v>
      </c>
      <c r="B227" s="2" t="n">
        <v>5.11946284029318</v>
      </c>
      <c r="C227" s="2" t="n">
        <v>0</v>
      </c>
      <c r="D227" s="2" t="n">
        <v>5.11946284029318</v>
      </c>
    </row>
    <row r="228" customFormat="false" ht="13" hidden="false" customHeight="false" outlineLevel="0" collapsed="false">
      <c r="A228" s="2" t="n">
        <v>460</v>
      </c>
      <c r="B228" s="2" t="n">
        <v>0</v>
      </c>
      <c r="C228" s="2" t="n">
        <v>5.12205068366143</v>
      </c>
      <c r="D228" s="2" t="n">
        <v>5.12205068366143</v>
      </c>
    </row>
    <row r="229" customFormat="false" ht="13" hidden="false" customHeight="false" outlineLevel="0" collapsed="false">
      <c r="A229" s="2" t="n">
        <v>65</v>
      </c>
      <c r="B229" s="2" t="n">
        <v>5.14238414177187</v>
      </c>
      <c r="C229" s="2" t="n">
        <v>0</v>
      </c>
      <c r="D229" s="2" t="n">
        <v>5.14238414177187</v>
      </c>
    </row>
    <row r="230" customFormat="false" ht="13" hidden="false" customHeight="false" outlineLevel="0" collapsed="false">
      <c r="A230" s="2" t="n">
        <v>386</v>
      </c>
      <c r="B230" s="2" t="n">
        <v>5.17056807865646</v>
      </c>
      <c r="C230" s="2" t="n">
        <v>0</v>
      </c>
      <c r="D230" s="2" t="n">
        <v>5.17056807865646</v>
      </c>
    </row>
    <row r="231" customFormat="false" ht="13" hidden="false" customHeight="false" outlineLevel="0" collapsed="false">
      <c r="A231" s="2" t="n">
        <v>312</v>
      </c>
      <c r="B231" s="2" t="n">
        <v>5.19428780710837</v>
      </c>
      <c r="C231" s="2" t="n">
        <v>0</v>
      </c>
      <c r="D231" s="2" t="n">
        <v>5.19428780710837</v>
      </c>
    </row>
    <row r="232" customFormat="false" ht="13" hidden="false" customHeight="false" outlineLevel="0" collapsed="false">
      <c r="A232" s="2" t="n">
        <v>477</v>
      </c>
      <c r="B232" s="2" t="n">
        <v>0</v>
      </c>
      <c r="C232" s="2" t="n">
        <v>5.20576095412048</v>
      </c>
      <c r="D232" s="2" t="n">
        <v>5.20576095412048</v>
      </c>
    </row>
    <row r="233" customFormat="false" ht="13" hidden="false" customHeight="false" outlineLevel="0" collapsed="false">
      <c r="A233" s="2" t="n">
        <v>388</v>
      </c>
      <c r="B233" s="2" t="n">
        <v>5.21485665062761</v>
      </c>
      <c r="C233" s="2" t="n">
        <v>0</v>
      </c>
      <c r="D233" s="2" t="n">
        <v>5.21485665062761</v>
      </c>
    </row>
    <row r="234" customFormat="false" ht="13" hidden="false" customHeight="false" outlineLevel="0" collapsed="false">
      <c r="A234" s="2" t="n">
        <v>148</v>
      </c>
      <c r="B234" s="2" t="n">
        <v>0</v>
      </c>
      <c r="C234" s="2" t="n">
        <v>5.24831746910655</v>
      </c>
      <c r="D234" s="2" t="n">
        <v>5.24831746910655</v>
      </c>
    </row>
    <row r="235" customFormat="false" ht="13" hidden="false" customHeight="false" outlineLevel="0" collapsed="false">
      <c r="A235" s="2" t="n">
        <v>31</v>
      </c>
      <c r="B235" s="2" t="n">
        <v>5.26642668072923</v>
      </c>
      <c r="C235" s="2" t="n">
        <v>0</v>
      </c>
      <c r="D235" s="2" t="n">
        <v>5.26642668072923</v>
      </c>
    </row>
    <row r="236" customFormat="false" ht="13" hidden="false" customHeight="false" outlineLevel="0" collapsed="false">
      <c r="A236" s="2" t="n">
        <v>483</v>
      </c>
      <c r="B236" s="2" t="n">
        <v>0</v>
      </c>
      <c r="C236" s="2" t="n">
        <v>5.27429206501506</v>
      </c>
      <c r="D236" s="2" t="n">
        <v>5.27429206501506</v>
      </c>
    </row>
    <row r="237" customFormat="false" ht="13" hidden="false" customHeight="false" outlineLevel="0" collapsed="false">
      <c r="A237" s="2" t="n">
        <v>239</v>
      </c>
      <c r="B237" s="2" t="n">
        <v>0</v>
      </c>
      <c r="C237" s="2" t="n">
        <v>5.28557902121409</v>
      </c>
      <c r="D237" s="2" t="n">
        <v>5.28557902121409</v>
      </c>
    </row>
    <row r="238" customFormat="false" ht="13" hidden="false" customHeight="false" outlineLevel="0" collapsed="false">
      <c r="A238" s="2" t="n">
        <v>472</v>
      </c>
      <c r="B238" s="2" t="n">
        <v>0</v>
      </c>
      <c r="C238" s="2" t="n">
        <v>5.29464403446332</v>
      </c>
      <c r="D238" s="2" t="n">
        <v>5.29464403446332</v>
      </c>
    </row>
    <row r="239" customFormat="false" ht="13" hidden="false" customHeight="false" outlineLevel="0" collapsed="false">
      <c r="A239" s="2" t="n">
        <v>258</v>
      </c>
      <c r="B239" s="2" t="n">
        <v>0</v>
      </c>
      <c r="C239" s="2" t="n">
        <v>5.33011527591839</v>
      </c>
      <c r="D239" s="2" t="n">
        <v>5.33011527591839</v>
      </c>
    </row>
    <row r="240" customFormat="false" ht="13" hidden="false" customHeight="false" outlineLevel="0" collapsed="false">
      <c r="A240" s="2" t="n">
        <v>856</v>
      </c>
      <c r="B240" s="2" t="n">
        <v>5.3487586118905</v>
      </c>
      <c r="C240" s="2" t="n">
        <v>0</v>
      </c>
      <c r="D240" s="2" t="n">
        <v>5.3487586118905</v>
      </c>
    </row>
    <row r="241" customFormat="false" ht="13" hidden="false" customHeight="false" outlineLevel="0" collapsed="false">
      <c r="A241" s="2" t="n">
        <v>68</v>
      </c>
      <c r="B241" s="2" t="n">
        <v>5.40087553109842</v>
      </c>
      <c r="C241" s="2" t="n">
        <v>0</v>
      </c>
      <c r="D241" s="2" t="n">
        <v>5.40087553109842</v>
      </c>
    </row>
    <row r="242" customFormat="false" ht="13" hidden="false" customHeight="false" outlineLevel="0" collapsed="false">
      <c r="A242" s="2" t="n">
        <v>623</v>
      </c>
      <c r="B242" s="2" t="n">
        <v>0</v>
      </c>
      <c r="C242" s="2" t="n">
        <v>5.42140599896015</v>
      </c>
      <c r="D242" s="2" t="n">
        <v>5.42140599896015</v>
      </c>
    </row>
    <row r="243" customFormat="false" ht="13" hidden="false" customHeight="false" outlineLevel="0" collapsed="false">
      <c r="A243" s="2" t="n">
        <v>335</v>
      </c>
      <c r="B243" s="2" t="n">
        <v>5.45741552973385</v>
      </c>
      <c r="C243" s="2" t="n">
        <v>0</v>
      </c>
      <c r="D243" s="2" t="n">
        <v>5.45741552973385</v>
      </c>
    </row>
    <row r="244" customFormat="false" ht="13" hidden="false" customHeight="false" outlineLevel="0" collapsed="false">
      <c r="A244" s="2" t="n">
        <v>152</v>
      </c>
      <c r="B244" s="2" t="n">
        <v>0</v>
      </c>
      <c r="C244" s="2" t="n">
        <v>5.47207461642063</v>
      </c>
      <c r="D244" s="2" t="n">
        <v>5.47207461642063</v>
      </c>
    </row>
    <row r="245" customFormat="false" ht="13" hidden="false" customHeight="false" outlineLevel="0" collapsed="false">
      <c r="A245" s="2" t="n">
        <v>228</v>
      </c>
      <c r="B245" s="2" t="n">
        <v>0</v>
      </c>
      <c r="C245" s="2" t="n">
        <v>5.53166311635951</v>
      </c>
      <c r="D245" s="2" t="n">
        <v>5.53166311635951</v>
      </c>
    </row>
    <row r="246" customFormat="false" ht="13" hidden="false" customHeight="false" outlineLevel="0" collapsed="false">
      <c r="A246" s="2" t="n">
        <v>338</v>
      </c>
      <c r="B246" s="2" t="n">
        <v>5.5782189857448</v>
      </c>
      <c r="C246" s="2" t="n">
        <v>0</v>
      </c>
      <c r="D246" s="2" t="n">
        <v>5.5782189857448</v>
      </c>
    </row>
    <row r="247" customFormat="false" ht="13" hidden="false" customHeight="false" outlineLevel="0" collapsed="false">
      <c r="A247" s="2" t="n">
        <v>380</v>
      </c>
      <c r="B247" s="2" t="n">
        <v>5.57957517585777</v>
      </c>
      <c r="C247" s="2" t="n">
        <v>0</v>
      </c>
      <c r="D247" s="2" t="n">
        <v>5.57957517585777</v>
      </c>
    </row>
    <row r="248" customFormat="false" ht="13" hidden="false" customHeight="false" outlineLevel="0" collapsed="false">
      <c r="A248" s="2" t="n">
        <v>149</v>
      </c>
      <c r="B248" s="2" t="n">
        <v>0</v>
      </c>
      <c r="C248" s="2" t="n">
        <v>5.59929514076683</v>
      </c>
      <c r="D248" s="2" t="n">
        <v>5.59929514076683</v>
      </c>
    </row>
    <row r="249" customFormat="false" ht="13" hidden="false" customHeight="false" outlineLevel="0" collapsed="false">
      <c r="A249" s="2" t="n">
        <v>971</v>
      </c>
      <c r="B249" s="2" t="n">
        <v>5.62651104812915</v>
      </c>
      <c r="C249" s="2" t="n">
        <v>0</v>
      </c>
      <c r="D249" s="2" t="n">
        <v>5.62651104812915</v>
      </c>
    </row>
    <row r="250" customFormat="false" ht="13" hidden="false" customHeight="false" outlineLevel="0" collapsed="false">
      <c r="A250" s="2" t="n">
        <v>84</v>
      </c>
      <c r="B250" s="2" t="n">
        <v>5.63755264100706</v>
      </c>
      <c r="C250" s="2" t="n">
        <v>0</v>
      </c>
      <c r="D250" s="2" t="n">
        <v>5.63755264100706</v>
      </c>
    </row>
    <row r="251" customFormat="false" ht="13" hidden="false" customHeight="false" outlineLevel="0" collapsed="false">
      <c r="A251" s="2" t="n">
        <v>486</v>
      </c>
      <c r="B251" s="2" t="n">
        <v>0</v>
      </c>
      <c r="C251" s="2" t="n">
        <v>5.70125028690813</v>
      </c>
      <c r="D251" s="2" t="n">
        <v>5.70125028690813</v>
      </c>
    </row>
    <row r="252" customFormat="false" ht="13" hidden="false" customHeight="false" outlineLevel="0" collapsed="false">
      <c r="A252" s="2" t="n">
        <v>902</v>
      </c>
      <c r="B252" s="2" t="n">
        <v>5.70849702219698</v>
      </c>
      <c r="C252" s="2" t="n">
        <v>0</v>
      </c>
      <c r="D252" s="2" t="n">
        <v>5.70849702219698</v>
      </c>
    </row>
    <row r="253" customFormat="false" ht="13" hidden="false" customHeight="false" outlineLevel="0" collapsed="false">
      <c r="A253" s="2" t="n">
        <v>443</v>
      </c>
      <c r="B253" s="2" t="n">
        <v>0</v>
      </c>
      <c r="C253" s="2" t="n">
        <v>5.71110242250592</v>
      </c>
      <c r="D253" s="2" t="n">
        <v>5.71110242250592</v>
      </c>
    </row>
    <row r="254" customFormat="false" ht="13" hidden="false" customHeight="false" outlineLevel="0" collapsed="false">
      <c r="A254" s="2" t="n">
        <v>514</v>
      </c>
      <c r="B254" s="2" t="n">
        <v>0</v>
      </c>
      <c r="C254" s="2" t="n">
        <v>5.73152160919142</v>
      </c>
      <c r="D254" s="2" t="n">
        <v>5.73152160919142</v>
      </c>
    </row>
    <row r="255" customFormat="false" ht="13" hidden="false" customHeight="false" outlineLevel="0" collapsed="false">
      <c r="A255" s="2" t="n">
        <v>167</v>
      </c>
      <c r="B255" s="2" t="n">
        <v>0</v>
      </c>
      <c r="C255" s="2" t="n">
        <v>5.73508898243696</v>
      </c>
      <c r="D255" s="2" t="n">
        <v>5.73508898243696</v>
      </c>
    </row>
    <row r="256" customFormat="false" ht="13" hidden="false" customHeight="false" outlineLevel="0" collapsed="false">
      <c r="A256" s="2" t="n">
        <v>636</v>
      </c>
      <c r="B256" s="2" t="n">
        <v>0</v>
      </c>
      <c r="C256" s="2" t="n">
        <v>5.74492750356831</v>
      </c>
      <c r="D256" s="2" t="n">
        <v>5.74492750356831</v>
      </c>
    </row>
    <row r="257" customFormat="false" ht="13" hidden="false" customHeight="false" outlineLevel="0" collapsed="false">
      <c r="A257" s="2" t="n">
        <v>724</v>
      </c>
      <c r="B257" s="2" t="n">
        <v>0</v>
      </c>
      <c r="C257" s="2" t="n">
        <v>5.76662790059834</v>
      </c>
      <c r="D257" s="2" t="n">
        <v>5.76662790059834</v>
      </c>
    </row>
    <row r="258" customFormat="false" ht="13" hidden="false" customHeight="false" outlineLevel="0" collapsed="false">
      <c r="A258" s="2" t="n">
        <v>188</v>
      </c>
      <c r="B258" s="2" t="n">
        <v>5.77642163998408</v>
      </c>
      <c r="C258" s="2" t="n">
        <v>0</v>
      </c>
      <c r="D258" s="2" t="n">
        <v>5.77642163998408</v>
      </c>
    </row>
    <row r="259" customFormat="false" ht="13" hidden="false" customHeight="false" outlineLevel="0" collapsed="false">
      <c r="A259" s="2" t="n">
        <v>79</v>
      </c>
      <c r="B259" s="2" t="n">
        <v>5.80261354117386</v>
      </c>
      <c r="C259" s="2" t="n">
        <v>0</v>
      </c>
      <c r="D259" s="2" t="n">
        <v>5.80261354117386</v>
      </c>
    </row>
    <row r="260" customFormat="false" ht="13" hidden="false" customHeight="false" outlineLevel="0" collapsed="false">
      <c r="A260" s="2" t="n">
        <v>716</v>
      </c>
      <c r="B260" s="2" t="n">
        <v>0</v>
      </c>
      <c r="C260" s="2" t="n">
        <v>5.82438981197481</v>
      </c>
      <c r="D260" s="2" t="n">
        <v>5.82438981197481</v>
      </c>
    </row>
    <row r="261" customFormat="false" ht="13" hidden="false" customHeight="false" outlineLevel="0" collapsed="false">
      <c r="A261" s="2" t="n">
        <v>182</v>
      </c>
      <c r="B261" s="2" t="n">
        <v>5.84983955364311</v>
      </c>
      <c r="C261" s="2" t="n">
        <v>0</v>
      </c>
      <c r="D261" s="2" t="n">
        <v>5.84983955364311</v>
      </c>
    </row>
    <row r="262" customFormat="false" ht="13" hidden="false" customHeight="false" outlineLevel="0" collapsed="false">
      <c r="A262" s="2" t="n">
        <v>400</v>
      </c>
      <c r="B262" s="2" t="n">
        <v>5.85040580207703</v>
      </c>
      <c r="C262" s="2" t="n">
        <v>0</v>
      </c>
      <c r="D262" s="2" t="n">
        <v>5.85040580207703</v>
      </c>
    </row>
    <row r="263" customFormat="false" ht="13" hidden="false" customHeight="false" outlineLevel="0" collapsed="false">
      <c r="A263" s="2" t="n">
        <v>155</v>
      </c>
      <c r="B263" s="2" t="n">
        <v>0</v>
      </c>
      <c r="C263" s="2" t="n">
        <v>5.87535659986924</v>
      </c>
      <c r="D263" s="2" t="n">
        <v>5.87535659986924</v>
      </c>
    </row>
    <row r="264" customFormat="false" ht="13" hidden="false" customHeight="false" outlineLevel="0" collapsed="false">
      <c r="A264" s="2" t="n">
        <v>923</v>
      </c>
      <c r="B264" s="2" t="n">
        <v>5.89189569499422</v>
      </c>
      <c r="C264" s="2" t="n">
        <v>0</v>
      </c>
      <c r="D264" s="2" t="n">
        <v>5.89189569499422</v>
      </c>
    </row>
    <row r="265" customFormat="false" ht="13" hidden="false" customHeight="false" outlineLevel="0" collapsed="false">
      <c r="A265" s="2" t="n">
        <v>488</v>
      </c>
      <c r="B265" s="2" t="n">
        <v>0</v>
      </c>
      <c r="C265" s="2" t="n">
        <v>5.91062168644601</v>
      </c>
      <c r="D265" s="2" t="n">
        <v>5.91062168644601</v>
      </c>
    </row>
    <row r="266" customFormat="false" ht="13" hidden="false" customHeight="false" outlineLevel="0" collapsed="false">
      <c r="A266" s="2" t="n">
        <v>979</v>
      </c>
      <c r="B266" s="2" t="n">
        <v>5.92770443437007</v>
      </c>
      <c r="C266" s="2" t="n">
        <v>0</v>
      </c>
      <c r="D266" s="2" t="n">
        <v>5.92770443437007</v>
      </c>
    </row>
    <row r="267" customFormat="false" ht="13" hidden="false" customHeight="false" outlineLevel="0" collapsed="false">
      <c r="A267" s="2" t="n">
        <v>376</v>
      </c>
      <c r="B267" s="2" t="n">
        <v>0</v>
      </c>
      <c r="C267" s="2" t="n">
        <v>5.94214859708836</v>
      </c>
      <c r="D267" s="2" t="n">
        <v>5.94214859708836</v>
      </c>
    </row>
    <row r="268" customFormat="false" ht="13" hidden="false" customHeight="false" outlineLevel="0" collapsed="false">
      <c r="A268" s="2" t="n">
        <v>943</v>
      </c>
      <c r="B268" s="2" t="n">
        <v>5.96851624184592</v>
      </c>
      <c r="C268" s="2" t="n">
        <v>0</v>
      </c>
      <c r="D268" s="2" t="n">
        <v>5.96851624184592</v>
      </c>
    </row>
    <row r="269" customFormat="false" ht="13" hidden="false" customHeight="false" outlineLevel="0" collapsed="false">
      <c r="A269" s="2" t="n">
        <v>393</v>
      </c>
      <c r="B269" s="2" t="n">
        <v>5.97637237109336</v>
      </c>
      <c r="C269" s="2" t="n">
        <v>0</v>
      </c>
      <c r="D269" s="2" t="n">
        <v>5.97637237109336</v>
      </c>
    </row>
    <row r="270" customFormat="false" ht="13" hidden="false" customHeight="false" outlineLevel="0" collapsed="false">
      <c r="A270" s="2" t="n">
        <v>536</v>
      </c>
      <c r="B270" s="2" t="n">
        <v>0</v>
      </c>
      <c r="C270" s="2" t="n">
        <v>5.97782939873832</v>
      </c>
      <c r="D270" s="2" t="n">
        <v>5.97782939873832</v>
      </c>
    </row>
    <row r="271" customFormat="false" ht="13" hidden="false" customHeight="false" outlineLevel="0" collapsed="false">
      <c r="A271" s="2" t="n">
        <v>260</v>
      </c>
      <c r="B271" s="2" t="n">
        <v>0</v>
      </c>
      <c r="C271" s="2" t="n">
        <v>5.98803987758134</v>
      </c>
      <c r="D271" s="2" t="n">
        <v>5.98803987758134</v>
      </c>
    </row>
    <row r="272" customFormat="false" ht="13" hidden="false" customHeight="false" outlineLevel="0" collapsed="false">
      <c r="A272" s="2" t="n">
        <v>984</v>
      </c>
      <c r="B272" s="2" t="n">
        <v>6.0115614083395</v>
      </c>
      <c r="C272" s="2" t="n">
        <v>0</v>
      </c>
      <c r="D272" s="2" t="n">
        <v>6.0115614083395</v>
      </c>
    </row>
    <row r="273" customFormat="false" ht="13" hidden="false" customHeight="false" outlineLevel="0" collapsed="false">
      <c r="A273" s="2" t="n">
        <v>434</v>
      </c>
      <c r="B273" s="2" t="n">
        <v>0</v>
      </c>
      <c r="C273" s="2" t="n">
        <v>6.0371859282381</v>
      </c>
      <c r="D273" s="2" t="n">
        <v>6.0371859282381</v>
      </c>
    </row>
    <row r="274" customFormat="false" ht="13" hidden="false" customHeight="false" outlineLevel="0" collapsed="false">
      <c r="A274" s="2" t="n">
        <v>605</v>
      </c>
      <c r="B274" s="2" t="n">
        <v>0</v>
      </c>
      <c r="C274" s="2" t="n">
        <v>6.04225334698685</v>
      </c>
      <c r="D274" s="2" t="n">
        <v>6.04225334698685</v>
      </c>
    </row>
    <row r="275" customFormat="false" ht="13" hidden="false" customHeight="false" outlineLevel="0" collapsed="false">
      <c r="A275" s="2" t="n">
        <v>512</v>
      </c>
      <c r="B275" s="2" t="n">
        <v>0</v>
      </c>
      <c r="C275" s="2" t="n">
        <v>6.07021091386969</v>
      </c>
      <c r="D275" s="2" t="n">
        <v>6.07021091386969</v>
      </c>
    </row>
    <row r="276" customFormat="false" ht="13" hidden="false" customHeight="false" outlineLevel="0" collapsed="false">
      <c r="A276" s="2" t="n">
        <v>408</v>
      </c>
      <c r="B276" s="2" t="n">
        <v>0</v>
      </c>
      <c r="C276" s="2" t="n">
        <v>6.0927517025155</v>
      </c>
      <c r="D276" s="2" t="n">
        <v>6.0927517025155</v>
      </c>
    </row>
    <row r="277" customFormat="false" ht="13" hidden="false" customHeight="false" outlineLevel="0" collapsed="false">
      <c r="A277" s="2" t="n">
        <v>391</v>
      </c>
      <c r="B277" s="2" t="n">
        <v>6.10347165022068</v>
      </c>
      <c r="C277" s="2" t="n">
        <v>0</v>
      </c>
      <c r="D277" s="2" t="n">
        <v>6.10347165022068</v>
      </c>
    </row>
    <row r="278" customFormat="false" ht="13" hidden="false" customHeight="false" outlineLevel="0" collapsed="false">
      <c r="A278" s="2" t="n">
        <v>8</v>
      </c>
      <c r="B278" s="2" t="n">
        <v>0</v>
      </c>
      <c r="C278" s="2" t="n">
        <v>6.13980664515161</v>
      </c>
      <c r="D278" s="2" t="n">
        <v>6.13980664515161</v>
      </c>
    </row>
    <row r="279" customFormat="false" ht="13" hidden="false" customHeight="false" outlineLevel="0" collapsed="false">
      <c r="A279" s="2" t="n">
        <v>968</v>
      </c>
      <c r="B279" s="2" t="n">
        <v>6.15422319866059</v>
      </c>
      <c r="C279" s="2" t="n">
        <v>0</v>
      </c>
      <c r="D279" s="2" t="n">
        <v>6.15422319866059</v>
      </c>
    </row>
    <row r="280" customFormat="false" ht="13" hidden="false" customHeight="false" outlineLevel="0" collapsed="false">
      <c r="A280" s="2" t="n">
        <v>980</v>
      </c>
      <c r="B280" s="2" t="n">
        <v>6.18358263869709</v>
      </c>
      <c r="C280" s="2" t="n">
        <v>0</v>
      </c>
      <c r="D280" s="2" t="n">
        <v>6.18358263869709</v>
      </c>
    </row>
    <row r="281" customFormat="false" ht="13" hidden="false" customHeight="false" outlineLevel="0" collapsed="false">
      <c r="A281" s="2" t="n">
        <v>498</v>
      </c>
      <c r="B281" s="2" t="n">
        <v>0</v>
      </c>
      <c r="C281" s="2" t="n">
        <v>6.2023837380583</v>
      </c>
      <c r="D281" s="2" t="n">
        <v>6.2023837380583</v>
      </c>
    </row>
    <row r="282" customFormat="false" ht="13" hidden="false" customHeight="false" outlineLevel="0" collapsed="false">
      <c r="A282" s="2" t="n">
        <v>447</v>
      </c>
      <c r="B282" s="2" t="n">
        <v>0</v>
      </c>
      <c r="C282" s="2" t="n">
        <v>6.20742816836463</v>
      </c>
      <c r="D282" s="2" t="n">
        <v>6.20742816836463</v>
      </c>
    </row>
    <row r="283" customFormat="false" ht="13" hidden="false" customHeight="false" outlineLevel="0" collapsed="false">
      <c r="A283" s="2" t="n">
        <v>457</v>
      </c>
      <c r="B283" s="2" t="n">
        <v>0</v>
      </c>
      <c r="C283" s="2" t="n">
        <v>6.26249950820119</v>
      </c>
      <c r="D283" s="2" t="n">
        <v>6.26249950820119</v>
      </c>
    </row>
    <row r="284" customFormat="false" ht="13" hidden="false" customHeight="false" outlineLevel="0" collapsed="false">
      <c r="A284" s="2" t="n">
        <v>55</v>
      </c>
      <c r="B284" s="2" t="n">
        <v>6.26953531072233</v>
      </c>
      <c r="C284" s="2" t="n">
        <v>0</v>
      </c>
      <c r="D284" s="2" t="n">
        <v>6.26953531072233</v>
      </c>
    </row>
    <row r="285" customFormat="false" ht="13" hidden="false" customHeight="false" outlineLevel="0" collapsed="false">
      <c r="A285" s="2" t="n">
        <v>709</v>
      </c>
      <c r="B285" s="2" t="n">
        <v>0</v>
      </c>
      <c r="C285" s="2" t="n">
        <v>6.28217761176256</v>
      </c>
      <c r="D285" s="2" t="n">
        <v>6.28217761176256</v>
      </c>
    </row>
    <row r="286" customFormat="false" ht="13" hidden="false" customHeight="false" outlineLevel="0" collapsed="false">
      <c r="A286" s="2" t="n">
        <v>867</v>
      </c>
      <c r="B286" s="2" t="n">
        <v>6.30059241839888</v>
      </c>
      <c r="C286" s="2" t="n">
        <v>0</v>
      </c>
      <c r="D286" s="2" t="n">
        <v>6.30059241839888</v>
      </c>
    </row>
    <row r="287" customFormat="false" ht="13" hidden="false" customHeight="false" outlineLevel="0" collapsed="false">
      <c r="A287" s="2" t="n">
        <v>360</v>
      </c>
      <c r="B287" s="2" t="n">
        <v>6.33842882886682</v>
      </c>
      <c r="C287" s="2" t="n">
        <v>0</v>
      </c>
      <c r="D287" s="2" t="n">
        <v>6.33842882886682</v>
      </c>
    </row>
    <row r="288" customFormat="false" ht="13" hidden="false" customHeight="false" outlineLevel="0" collapsed="false">
      <c r="A288" s="2" t="n">
        <v>685</v>
      </c>
      <c r="B288" s="2" t="n">
        <v>0</v>
      </c>
      <c r="C288" s="2" t="n">
        <v>6.33979013550356</v>
      </c>
      <c r="D288" s="2" t="n">
        <v>6.33979013550356</v>
      </c>
    </row>
    <row r="289" customFormat="false" ht="13" hidden="false" customHeight="false" outlineLevel="0" collapsed="false">
      <c r="A289" s="2" t="n">
        <v>19</v>
      </c>
      <c r="B289" s="2" t="n">
        <v>0</v>
      </c>
      <c r="C289" s="2" t="n">
        <v>6.40173036109732</v>
      </c>
      <c r="D289" s="2" t="n">
        <v>6.40173036109732</v>
      </c>
    </row>
    <row r="290" customFormat="false" ht="13" hidden="false" customHeight="false" outlineLevel="0" collapsed="false">
      <c r="A290" s="2" t="n">
        <v>89</v>
      </c>
      <c r="B290" s="2" t="n">
        <v>6.40243272643528</v>
      </c>
      <c r="C290" s="2" t="n">
        <v>0</v>
      </c>
      <c r="D290" s="2" t="n">
        <v>6.40243272643528</v>
      </c>
    </row>
    <row r="291" customFormat="false" ht="13" hidden="false" customHeight="false" outlineLevel="0" collapsed="false">
      <c r="A291" s="2" t="n">
        <v>310</v>
      </c>
      <c r="B291" s="2" t="n">
        <v>6.40743416488692</v>
      </c>
      <c r="C291" s="2" t="n">
        <v>0</v>
      </c>
      <c r="D291" s="2" t="n">
        <v>6.40743416488692</v>
      </c>
    </row>
    <row r="292" customFormat="false" ht="13" hidden="false" customHeight="false" outlineLevel="0" collapsed="false">
      <c r="A292" s="2" t="n">
        <v>416</v>
      </c>
      <c r="B292" s="2" t="n">
        <v>6.44140447293376</v>
      </c>
      <c r="C292" s="2" t="n">
        <v>0</v>
      </c>
      <c r="D292" s="2" t="n">
        <v>6.44140447293376</v>
      </c>
    </row>
    <row r="293" customFormat="false" ht="13" hidden="false" customHeight="false" outlineLevel="0" collapsed="false">
      <c r="A293" s="2" t="n">
        <v>72</v>
      </c>
      <c r="B293" s="2" t="n">
        <v>6.47685782180133</v>
      </c>
      <c r="C293" s="2" t="n">
        <v>0</v>
      </c>
      <c r="D293" s="2" t="n">
        <v>6.47685782180133</v>
      </c>
    </row>
    <row r="294" customFormat="false" ht="13" hidden="false" customHeight="false" outlineLevel="0" collapsed="false">
      <c r="A294" s="2" t="n">
        <v>311</v>
      </c>
      <c r="B294" s="2" t="n">
        <v>6.51744611726144</v>
      </c>
      <c r="C294" s="2" t="n">
        <v>0</v>
      </c>
      <c r="D294" s="2" t="n">
        <v>6.51744611726144</v>
      </c>
    </row>
    <row r="295" customFormat="false" ht="13" hidden="false" customHeight="false" outlineLevel="0" collapsed="false">
      <c r="A295" s="2" t="n">
        <v>316</v>
      </c>
      <c r="B295" s="2" t="n">
        <v>6.5194246666822</v>
      </c>
      <c r="C295" s="2" t="n">
        <v>0</v>
      </c>
      <c r="D295" s="2" t="n">
        <v>6.5194246666822</v>
      </c>
    </row>
    <row r="296" customFormat="false" ht="13" hidden="false" customHeight="false" outlineLevel="0" collapsed="false">
      <c r="A296" s="2" t="n">
        <v>656</v>
      </c>
      <c r="B296" s="2" t="n">
        <v>0</v>
      </c>
      <c r="C296" s="2" t="n">
        <v>6.53867701615911</v>
      </c>
      <c r="D296" s="2" t="n">
        <v>6.53867701615911</v>
      </c>
    </row>
    <row r="297" customFormat="false" ht="13" hidden="false" customHeight="false" outlineLevel="0" collapsed="false">
      <c r="A297" s="2" t="n">
        <v>268</v>
      </c>
      <c r="B297" s="2" t="n">
        <v>0</v>
      </c>
      <c r="C297" s="2" t="n">
        <v>6.5552491992965</v>
      </c>
      <c r="D297" s="2" t="n">
        <v>6.5552491992965</v>
      </c>
    </row>
    <row r="298" customFormat="false" ht="13" hidden="false" customHeight="false" outlineLevel="0" collapsed="false">
      <c r="A298" s="2" t="n">
        <v>517</v>
      </c>
      <c r="B298" s="2" t="n">
        <v>0</v>
      </c>
      <c r="C298" s="2" t="n">
        <v>6.57008454154925</v>
      </c>
      <c r="D298" s="2" t="n">
        <v>6.57008454154925</v>
      </c>
    </row>
    <row r="299" customFormat="false" ht="13" hidden="false" customHeight="false" outlineLevel="0" collapsed="false">
      <c r="A299" s="2" t="n">
        <v>734</v>
      </c>
      <c r="B299" s="2" t="n">
        <v>0</v>
      </c>
      <c r="C299" s="2" t="n">
        <v>6.64420813751838</v>
      </c>
      <c r="D299" s="2" t="n">
        <v>6.64420813751838</v>
      </c>
    </row>
    <row r="300" customFormat="false" ht="13" hidden="false" customHeight="false" outlineLevel="0" collapsed="false">
      <c r="A300" s="2" t="n">
        <v>944</v>
      </c>
      <c r="B300" s="2" t="n">
        <v>6.71007524837</v>
      </c>
      <c r="C300" s="2" t="n">
        <v>0</v>
      </c>
      <c r="D300" s="2" t="n">
        <v>6.71007524837</v>
      </c>
    </row>
    <row r="301" customFormat="false" ht="13" hidden="false" customHeight="false" outlineLevel="0" collapsed="false">
      <c r="A301" s="2" t="n">
        <v>81</v>
      </c>
      <c r="B301" s="2" t="n">
        <v>6.73632184405197</v>
      </c>
      <c r="C301" s="2" t="n">
        <v>0</v>
      </c>
      <c r="D301" s="2" t="n">
        <v>6.73632184405197</v>
      </c>
    </row>
    <row r="302" customFormat="false" ht="13" hidden="false" customHeight="false" outlineLevel="0" collapsed="false">
      <c r="A302" s="2" t="n">
        <v>657</v>
      </c>
      <c r="B302" s="2" t="n">
        <v>0</v>
      </c>
      <c r="C302" s="2" t="n">
        <v>6.74980509864815</v>
      </c>
      <c r="D302" s="2" t="n">
        <v>6.74980509864815</v>
      </c>
    </row>
    <row r="303" customFormat="false" ht="13" hidden="false" customHeight="false" outlineLevel="0" collapsed="false">
      <c r="A303" s="2" t="n">
        <v>484</v>
      </c>
      <c r="B303" s="2" t="n">
        <v>0</v>
      </c>
      <c r="C303" s="2" t="n">
        <v>6.77165748773302</v>
      </c>
      <c r="D303" s="2" t="n">
        <v>6.77165748773302</v>
      </c>
    </row>
    <row r="304" customFormat="false" ht="13" hidden="false" customHeight="false" outlineLevel="0" collapsed="false">
      <c r="A304" s="2" t="n">
        <v>461</v>
      </c>
      <c r="B304" s="2" t="n">
        <v>0</v>
      </c>
      <c r="C304" s="2" t="n">
        <v>6.7744287551738</v>
      </c>
      <c r="D304" s="2" t="n">
        <v>6.7744287551738</v>
      </c>
    </row>
    <row r="305" customFormat="false" ht="13" hidden="false" customHeight="false" outlineLevel="0" collapsed="false">
      <c r="A305" s="2" t="n">
        <v>608</v>
      </c>
      <c r="B305" s="2" t="n">
        <v>0</v>
      </c>
      <c r="C305" s="2" t="n">
        <v>6.84787576030305</v>
      </c>
      <c r="D305" s="2" t="n">
        <v>6.84787576030305</v>
      </c>
    </row>
    <row r="306" customFormat="false" ht="13" hidden="false" customHeight="false" outlineLevel="0" collapsed="false">
      <c r="A306" s="2" t="n">
        <v>445</v>
      </c>
      <c r="B306" s="2" t="n">
        <v>0</v>
      </c>
      <c r="C306" s="2" t="n">
        <v>6.87233138933118</v>
      </c>
      <c r="D306" s="2" t="n">
        <v>6.87233138933118</v>
      </c>
    </row>
    <row r="307" customFormat="false" ht="13" hidden="false" customHeight="false" outlineLevel="0" collapsed="false">
      <c r="A307" s="2" t="n">
        <v>880</v>
      </c>
      <c r="B307" s="2" t="n">
        <v>6.9160125001597</v>
      </c>
      <c r="C307" s="2" t="n">
        <v>0</v>
      </c>
      <c r="D307" s="2" t="n">
        <v>6.9160125001597</v>
      </c>
    </row>
    <row r="308" customFormat="false" ht="13" hidden="false" customHeight="false" outlineLevel="0" collapsed="false">
      <c r="A308" s="2" t="n">
        <v>404</v>
      </c>
      <c r="B308" s="2" t="n">
        <v>6.94225977430796</v>
      </c>
      <c r="C308" s="2" t="n">
        <v>0</v>
      </c>
      <c r="D308" s="2" t="n">
        <v>6.94225977430796</v>
      </c>
    </row>
    <row r="309" customFormat="false" ht="13" hidden="false" customHeight="false" outlineLevel="0" collapsed="false">
      <c r="A309" s="2" t="n">
        <v>518</v>
      </c>
      <c r="B309" s="2" t="n">
        <v>0</v>
      </c>
      <c r="C309" s="2" t="n">
        <v>6.94700609288407</v>
      </c>
      <c r="D309" s="2" t="n">
        <v>6.94700609288407</v>
      </c>
    </row>
    <row r="310" customFormat="false" ht="13" hidden="false" customHeight="false" outlineLevel="0" collapsed="false">
      <c r="A310" s="2" t="n">
        <v>624</v>
      </c>
      <c r="B310" s="2" t="n">
        <v>0</v>
      </c>
      <c r="C310" s="2" t="n">
        <v>6.9493984411522</v>
      </c>
      <c r="D310" s="2" t="n">
        <v>6.9493984411522</v>
      </c>
    </row>
    <row r="311" customFormat="false" ht="13" hidden="false" customHeight="false" outlineLevel="0" collapsed="false">
      <c r="A311" s="2" t="n">
        <v>741</v>
      </c>
      <c r="B311" s="2" t="n">
        <v>0</v>
      </c>
      <c r="C311" s="2" t="n">
        <v>6.96141568584483</v>
      </c>
      <c r="D311" s="2" t="n">
        <v>6.96141568584483</v>
      </c>
    </row>
    <row r="312" customFormat="false" ht="13" hidden="false" customHeight="false" outlineLevel="0" collapsed="false">
      <c r="A312" s="2" t="n">
        <v>714</v>
      </c>
      <c r="B312" s="2" t="n">
        <v>0</v>
      </c>
      <c r="C312" s="2" t="n">
        <v>6.97156573095163</v>
      </c>
      <c r="D312" s="2" t="n">
        <v>6.97156573095163</v>
      </c>
    </row>
    <row r="313" customFormat="false" ht="13" hidden="false" customHeight="false" outlineLevel="0" collapsed="false">
      <c r="A313" s="2" t="n">
        <v>727</v>
      </c>
      <c r="B313" s="2" t="n">
        <v>0</v>
      </c>
      <c r="C313" s="2" t="n">
        <v>7.00544407172845</v>
      </c>
      <c r="D313" s="2" t="n">
        <v>7.00544407172845</v>
      </c>
    </row>
    <row r="314" customFormat="false" ht="13" hidden="false" customHeight="false" outlineLevel="0" collapsed="false">
      <c r="A314" s="2" t="n">
        <v>710</v>
      </c>
      <c r="B314" s="2" t="n">
        <v>0</v>
      </c>
      <c r="C314" s="2" t="n">
        <v>7.00666590641868</v>
      </c>
      <c r="D314" s="2" t="n">
        <v>7.00666590641868</v>
      </c>
    </row>
    <row r="315" customFormat="false" ht="13" hidden="false" customHeight="false" outlineLevel="0" collapsed="false">
      <c r="A315" s="2" t="n">
        <v>339</v>
      </c>
      <c r="B315" s="2" t="n">
        <v>7.02240592012134</v>
      </c>
      <c r="C315" s="2" t="n">
        <v>0</v>
      </c>
      <c r="D315" s="2" t="n">
        <v>7.02240592012134</v>
      </c>
    </row>
    <row r="316" customFormat="false" ht="13" hidden="false" customHeight="false" outlineLevel="0" collapsed="false">
      <c r="A316" s="2" t="n">
        <v>156</v>
      </c>
      <c r="B316" s="2" t="n">
        <v>0</v>
      </c>
      <c r="C316" s="2" t="n">
        <v>7.0458697588696</v>
      </c>
      <c r="D316" s="2" t="n">
        <v>7.0458697588696</v>
      </c>
    </row>
    <row r="317" customFormat="false" ht="13" hidden="false" customHeight="false" outlineLevel="0" collapsed="false">
      <c r="A317" s="2" t="n">
        <v>91</v>
      </c>
      <c r="B317" s="2" t="n">
        <v>7.09805795123938</v>
      </c>
      <c r="C317" s="2" t="n">
        <v>0</v>
      </c>
      <c r="D317" s="2" t="n">
        <v>7.09805795123938</v>
      </c>
    </row>
    <row r="318" customFormat="false" ht="13" hidden="false" customHeight="false" outlineLevel="0" collapsed="false">
      <c r="A318" s="2" t="n">
        <v>861</v>
      </c>
      <c r="B318" s="2" t="n">
        <v>7.119327131928</v>
      </c>
      <c r="C318" s="2" t="n">
        <v>0</v>
      </c>
      <c r="D318" s="2" t="n">
        <v>7.119327131928</v>
      </c>
    </row>
    <row r="319" customFormat="false" ht="13" hidden="false" customHeight="false" outlineLevel="0" collapsed="false">
      <c r="A319" s="2" t="n">
        <v>96</v>
      </c>
      <c r="B319" s="2" t="n">
        <v>7.18624472033203</v>
      </c>
      <c r="C319" s="2" t="n">
        <v>0</v>
      </c>
      <c r="D319" s="2" t="n">
        <v>7.18624472033203</v>
      </c>
    </row>
    <row r="320" customFormat="false" ht="13" hidden="false" customHeight="false" outlineLevel="0" collapsed="false">
      <c r="A320" s="2" t="n">
        <v>184</v>
      </c>
      <c r="B320" s="2" t="n">
        <v>7.18939590653707</v>
      </c>
      <c r="C320" s="2" t="n">
        <v>0</v>
      </c>
      <c r="D320" s="2" t="n">
        <v>7.18939590653707</v>
      </c>
    </row>
    <row r="321" customFormat="false" ht="13" hidden="false" customHeight="false" outlineLevel="0" collapsed="false">
      <c r="A321" s="2" t="n">
        <v>313</v>
      </c>
      <c r="B321" s="2" t="n">
        <v>7.23199060696118</v>
      </c>
      <c r="C321" s="2" t="n">
        <v>0</v>
      </c>
      <c r="D321" s="2" t="n">
        <v>7.23199060696118</v>
      </c>
    </row>
    <row r="322" customFormat="false" ht="13" hidden="false" customHeight="false" outlineLevel="0" collapsed="false">
      <c r="A322" s="2" t="n">
        <v>593</v>
      </c>
      <c r="B322" s="2" t="n">
        <v>0</v>
      </c>
      <c r="C322" s="2" t="n">
        <v>7.26041688164685</v>
      </c>
      <c r="D322" s="2" t="n">
        <v>7.26041688164685</v>
      </c>
    </row>
    <row r="323" customFormat="false" ht="13" hidden="false" customHeight="false" outlineLevel="0" collapsed="false">
      <c r="A323" s="2" t="n">
        <v>401</v>
      </c>
      <c r="B323" s="2" t="n">
        <v>7.26496282994691</v>
      </c>
      <c r="C323" s="2" t="n">
        <v>0</v>
      </c>
      <c r="D323" s="2" t="n">
        <v>7.26496282994691</v>
      </c>
    </row>
    <row r="324" customFormat="false" ht="13" hidden="false" customHeight="false" outlineLevel="0" collapsed="false">
      <c r="A324" s="2" t="n">
        <v>857</v>
      </c>
      <c r="B324" s="2" t="n">
        <v>7.28417497218891</v>
      </c>
      <c r="C324" s="2" t="n">
        <v>0</v>
      </c>
      <c r="D324" s="2" t="n">
        <v>7.28417497218891</v>
      </c>
    </row>
    <row r="325" customFormat="false" ht="13" hidden="false" customHeight="false" outlineLevel="0" collapsed="false">
      <c r="A325" s="2" t="n">
        <v>641</v>
      </c>
      <c r="B325" s="2" t="n">
        <v>0</v>
      </c>
      <c r="C325" s="2" t="n">
        <v>7.28440939183508</v>
      </c>
      <c r="D325" s="2" t="n">
        <v>7.28440939183508</v>
      </c>
    </row>
    <row r="326" customFormat="false" ht="13" hidden="false" customHeight="false" outlineLevel="0" collapsed="false">
      <c r="A326" s="2" t="n">
        <v>377</v>
      </c>
      <c r="B326" s="2" t="n">
        <v>0</v>
      </c>
      <c r="C326" s="2" t="n">
        <v>7.28770889940455</v>
      </c>
      <c r="D326" s="2" t="n">
        <v>7.28770889940455</v>
      </c>
    </row>
    <row r="327" customFormat="false" ht="13" hidden="false" customHeight="false" outlineLevel="0" collapsed="false">
      <c r="A327" s="2" t="n">
        <v>189</v>
      </c>
      <c r="B327" s="2" t="n">
        <v>7.28895550856259</v>
      </c>
      <c r="C327" s="2" t="n">
        <v>0</v>
      </c>
      <c r="D327" s="2" t="n">
        <v>7.28895550856259</v>
      </c>
    </row>
    <row r="328" customFormat="false" ht="13" hidden="false" customHeight="false" outlineLevel="0" collapsed="false">
      <c r="A328" s="2" t="n">
        <v>168</v>
      </c>
      <c r="B328" s="2" t="n">
        <v>0</v>
      </c>
      <c r="C328" s="2" t="n">
        <v>7.29193793782648</v>
      </c>
      <c r="D328" s="2" t="n">
        <v>7.29193793782648</v>
      </c>
    </row>
    <row r="329" customFormat="false" ht="13" hidden="false" customHeight="false" outlineLevel="0" collapsed="false">
      <c r="A329" s="2" t="n">
        <v>746</v>
      </c>
      <c r="B329" s="2" t="n">
        <v>0</v>
      </c>
      <c r="C329" s="2" t="n">
        <v>7.31049178223668</v>
      </c>
      <c r="D329" s="2" t="n">
        <v>7.31049178223668</v>
      </c>
    </row>
    <row r="330" customFormat="false" ht="13" hidden="false" customHeight="false" outlineLevel="0" collapsed="false">
      <c r="A330" s="2" t="n">
        <v>85</v>
      </c>
      <c r="B330" s="2" t="n">
        <v>7.31224788074329</v>
      </c>
      <c r="C330" s="2" t="n">
        <v>0</v>
      </c>
      <c r="D330" s="2" t="n">
        <v>7.31224788074329</v>
      </c>
    </row>
    <row r="331" customFormat="false" ht="13" hidden="false" customHeight="false" outlineLevel="0" collapsed="false">
      <c r="A331" s="2" t="n">
        <v>394</v>
      </c>
      <c r="B331" s="2" t="n">
        <v>7.31288047116254</v>
      </c>
      <c r="C331" s="2" t="n">
        <v>0</v>
      </c>
      <c r="D331" s="2" t="n">
        <v>7.31288047116254</v>
      </c>
    </row>
    <row r="332" customFormat="false" ht="13" hidden="false" customHeight="false" outlineLevel="0" collapsed="false">
      <c r="A332" s="2" t="n">
        <v>229</v>
      </c>
      <c r="B332" s="2" t="n">
        <v>0</v>
      </c>
      <c r="C332" s="2" t="n">
        <v>7.3570385307286</v>
      </c>
      <c r="D332" s="2" t="n">
        <v>7.3570385307286</v>
      </c>
    </row>
    <row r="333" customFormat="false" ht="13" hidden="false" customHeight="false" outlineLevel="0" collapsed="false">
      <c r="A333" s="2" t="n">
        <v>365</v>
      </c>
      <c r="B333" s="2" t="n">
        <v>7.3693938952747</v>
      </c>
      <c r="C333" s="2" t="n">
        <v>0</v>
      </c>
      <c r="D333" s="2" t="n">
        <v>7.3693938952747</v>
      </c>
    </row>
    <row r="334" customFormat="false" ht="13" hidden="false" customHeight="false" outlineLevel="0" collapsed="false">
      <c r="A334" s="2" t="n">
        <v>409</v>
      </c>
      <c r="B334" s="2" t="n">
        <v>0</v>
      </c>
      <c r="C334" s="2" t="n">
        <v>7.38231951713408</v>
      </c>
      <c r="D334" s="2" t="n">
        <v>7.38231951713408</v>
      </c>
    </row>
    <row r="335" customFormat="false" ht="13" hidden="false" customHeight="false" outlineLevel="0" collapsed="false">
      <c r="A335" s="2" t="n">
        <v>736</v>
      </c>
      <c r="B335" s="2" t="n">
        <v>0</v>
      </c>
      <c r="C335" s="2" t="n">
        <v>7.38385316111442</v>
      </c>
      <c r="D335" s="2" t="n">
        <v>7.38385316111442</v>
      </c>
    </row>
    <row r="336" customFormat="false" ht="13" hidden="false" customHeight="false" outlineLevel="0" collapsed="false">
      <c r="A336" s="2" t="n">
        <v>972</v>
      </c>
      <c r="B336" s="2" t="n">
        <v>7.3856564624266</v>
      </c>
      <c r="C336" s="2" t="n">
        <v>0</v>
      </c>
      <c r="D336" s="2" t="n">
        <v>7.3856564624266</v>
      </c>
    </row>
    <row r="337" customFormat="false" ht="13" hidden="false" customHeight="false" outlineLevel="0" collapsed="false">
      <c r="A337" s="2" t="n">
        <v>398</v>
      </c>
      <c r="B337" s="2" t="n">
        <v>7.39421684778978</v>
      </c>
      <c r="C337" s="2" t="n">
        <v>0</v>
      </c>
      <c r="D337" s="2" t="n">
        <v>7.39421684778978</v>
      </c>
    </row>
    <row r="338" customFormat="false" ht="13" hidden="false" customHeight="false" outlineLevel="0" collapsed="false">
      <c r="A338" s="2" t="n">
        <v>687</v>
      </c>
      <c r="B338" s="2" t="n">
        <v>0</v>
      </c>
      <c r="C338" s="2" t="n">
        <v>7.39787507751169</v>
      </c>
      <c r="D338" s="2" t="n">
        <v>7.39787507751169</v>
      </c>
    </row>
    <row r="339" customFormat="false" ht="13" hidden="false" customHeight="false" outlineLevel="0" collapsed="false">
      <c r="A339" s="2" t="n">
        <v>158</v>
      </c>
      <c r="B339" s="2" t="n">
        <v>0</v>
      </c>
      <c r="C339" s="2" t="n">
        <v>7.40062920538782</v>
      </c>
      <c r="D339" s="2" t="n">
        <v>7.40062920538782</v>
      </c>
    </row>
    <row r="340" customFormat="false" ht="13" hidden="false" customHeight="false" outlineLevel="0" collapsed="false">
      <c r="A340" s="2" t="n">
        <v>262</v>
      </c>
      <c r="B340" s="2" t="n">
        <v>0</v>
      </c>
      <c r="C340" s="2" t="n">
        <v>7.4239158598819</v>
      </c>
      <c r="D340" s="2" t="n">
        <v>7.4239158598819</v>
      </c>
    </row>
    <row r="341" customFormat="false" ht="13" hidden="false" customHeight="false" outlineLevel="0" collapsed="false">
      <c r="A341" s="2" t="n">
        <v>69</v>
      </c>
      <c r="B341" s="2" t="n">
        <v>7.43333035369084</v>
      </c>
      <c r="C341" s="2" t="n">
        <v>0</v>
      </c>
      <c r="D341" s="2" t="n">
        <v>7.43333035369084</v>
      </c>
    </row>
    <row r="342" customFormat="false" ht="13" hidden="false" customHeight="false" outlineLevel="0" collapsed="false">
      <c r="A342" s="2" t="n">
        <v>454</v>
      </c>
      <c r="B342" s="2" t="n">
        <v>0</v>
      </c>
      <c r="C342" s="2" t="n">
        <v>7.51770316503064</v>
      </c>
      <c r="D342" s="2" t="n">
        <v>7.51770316503064</v>
      </c>
    </row>
    <row r="343" customFormat="false" ht="13" hidden="false" customHeight="false" outlineLevel="0" collapsed="false">
      <c r="A343" s="2" t="n">
        <v>925</v>
      </c>
      <c r="B343" s="2" t="n">
        <v>7.52313562907489</v>
      </c>
      <c r="C343" s="2" t="n">
        <v>0</v>
      </c>
      <c r="D343" s="2" t="n">
        <v>7.52313562907489</v>
      </c>
    </row>
    <row r="344" customFormat="false" ht="13" hidden="false" customHeight="false" outlineLevel="0" collapsed="false">
      <c r="A344" s="2" t="n">
        <v>603</v>
      </c>
      <c r="B344" s="2" t="n">
        <v>0</v>
      </c>
      <c r="C344" s="2" t="n">
        <v>7.54914068009907</v>
      </c>
      <c r="D344" s="2" t="n">
        <v>7.54914068009907</v>
      </c>
    </row>
    <row r="345" customFormat="false" ht="13" hidden="false" customHeight="false" outlineLevel="0" collapsed="false">
      <c r="A345" s="2" t="n">
        <v>56</v>
      </c>
      <c r="B345" s="2" t="n">
        <v>7.5635441463535</v>
      </c>
      <c r="C345" s="2" t="n">
        <v>0</v>
      </c>
      <c r="D345" s="2" t="n">
        <v>7.5635441463535</v>
      </c>
    </row>
    <row r="346" customFormat="false" ht="13" hidden="false" customHeight="false" outlineLevel="0" collapsed="false">
      <c r="A346" s="2" t="n">
        <v>591</v>
      </c>
      <c r="B346" s="2" t="n">
        <v>0</v>
      </c>
      <c r="C346" s="2" t="n">
        <v>7.57184968103422</v>
      </c>
      <c r="D346" s="2" t="n">
        <v>7.57184968103422</v>
      </c>
    </row>
    <row r="347" customFormat="false" ht="13" hidden="false" customHeight="false" outlineLevel="0" collapsed="false">
      <c r="A347" s="2" t="n">
        <v>515</v>
      </c>
      <c r="B347" s="2" t="n">
        <v>0</v>
      </c>
      <c r="C347" s="2" t="n">
        <v>7.67412988234992</v>
      </c>
      <c r="D347" s="2" t="n">
        <v>7.67412988234992</v>
      </c>
    </row>
    <row r="348" customFormat="false" ht="13" hidden="false" customHeight="false" outlineLevel="0" collapsed="false">
      <c r="A348" s="2" t="n">
        <v>426</v>
      </c>
      <c r="B348" s="2" t="n">
        <v>0</v>
      </c>
      <c r="C348" s="2" t="n">
        <v>7.71546441652583</v>
      </c>
      <c r="D348" s="2" t="n">
        <v>7.71546441652583</v>
      </c>
    </row>
    <row r="349" customFormat="false" ht="13" hidden="false" customHeight="false" outlineLevel="0" collapsed="false">
      <c r="A349" s="2" t="n">
        <v>465</v>
      </c>
      <c r="B349" s="2" t="n">
        <v>0</v>
      </c>
      <c r="C349" s="2" t="n">
        <v>7.72394054285849</v>
      </c>
      <c r="D349" s="2" t="n">
        <v>7.72394054285849</v>
      </c>
    </row>
    <row r="350" customFormat="false" ht="13" hidden="false" customHeight="false" outlineLevel="0" collapsed="false">
      <c r="A350" s="2" t="n">
        <v>20</v>
      </c>
      <c r="B350" s="2" t="n">
        <v>0</v>
      </c>
      <c r="C350" s="2" t="n">
        <v>7.74033639928544</v>
      </c>
      <c r="D350" s="2" t="n">
        <v>7.74033639928544</v>
      </c>
    </row>
    <row r="351" customFormat="false" ht="13" hidden="false" customHeight="false" outlineLevel="0" collapsed="false">
      <c r="A351" s="2" t="n">
        <v>689</v>
      </c>
      <c r="B351" s="2" t="n">
        <v>0</v>
      </c>
      <c r="C351" s="2" t="n">
        <v>7.76502608115777</v>
      </c>
      <c r="D351" s="2" t="n">
        <v>7.76502608115777</v>
      </c>
    </row>
    <row r="352" customFormat="false" ht="13" hidden="false" customHeight="false" outlineLevel="0" collapsed="false">
      <c r="A352" s="2" t="n">
        <v>659</v>
      </c>
      <c r="B352" s="2" t="n">
        <v>0</v>
      </c>
      <c r="C352" s="2" t="n">
        <v>7.78590546406713</v>
      </c>
      <c r="D352" s="2" t="n">
        <v>7.78590546406713</v>
      </c>
    </row>
    <row r="353" customFormat="false" ht="13" hidden="false" customHeight="false" outlineLevel="0" collapsed="false">
      <c r="A353" s="2" t="n">
        <v>637</v>
      </c>
      <c r="B353" s="2" t="n">
        <v>0</v>
      </c>
      <c r="C353" s="2" t="n">
        <v>7.79637324791042</v>
      </c>
      <c r="D353" s="2" t="n">
        <v>7.79637324791042</v>
      </c>
    </row>
    <row r="354" customFormat="false" ht="13" hidden="false" customHeight="false" outlineLevel="0" collapsed="false">
      <c r="A354" s="2" t="n">
        <v>537</v>
      </c>
      <c r="B354" s="2" t="n">
        <v>0</v>
      </c>
      <c r="C354" s="2" t="n">
        <v>7.8006615202936</v>
      </c>
      <c r="D354" s="2" t="n">
        <v>7.8006615202936</v>
      </c>
    </row>
    <row r="355" customFormat="false" ht="13" hidden="false" customHeight="false" outlineLevel="0" collapsed="false">
      <c r="A355" s="2" t="n">
        <v>9</v>
      </c>
      <c r="B355" s="2" t="n">
        <v>0</v>
      </c>
      <c r="C355" s="2" t="n">
        <v>7.80399378607798</v>
      </c>
      <c r="D355" s="2" t="n">
        <v>7.80399378607798</v>
      </c>
    </row>
    <row r="356" customFormat="false" ht="13" hidden="false" customHeight="false" outlineLevel="0" collapsed="false">
      <c r="A356" s="2" t="n">
        <v>924</v>
      </c>
      <c r="B356" s="2" t="n">
        <v>7.81632347463699</v>
      </c>
      <c r="C356" s="2" t="n">
        <v>0</v>
      </c>
      <c r="D356" s="2" t="n">
        <v>7.81632347463699</v>
      </c>
    </row>
    <row r="357" customFormat="false" ht="13" hidden="false" customHeight="false" outlineLevel="0" collapsed="false">
      <c r="A357" s="2" t="n">
        <v>157</v>
      </c>
      <c r="B357" s="2" t="n">
        <v>0</v>
      </c>
      <c r="C357" s="2" t="n">
        <v>7.81658237322333</v>
      </c>
      <c r="D357" s="2" t="n">
        <v>7.81658237322333</v>
      </c>
    </row>
    <row r="358" customFormat="false" ht="13" hidden="false" customHeight="false" outlineLevel="0" collapsed="false">
      <c r="A358" s="2" t="n">
        <v>903</v>
      </c>
      <c r="B358" s="2" t="n">
        <v>7.8191093858344</v>
      </c>
      <c r="C358" s="2" t="n">
        <v>0</v>
      </c>
      <c r="D358" s="2" t="n">
        <v>7.8191093858344</v>
      </c>
    </row>
    <row r="359" customFormat="false" ht="13" hidden="false" customHeight="false" outlineLevel="0" collapsed="false">
      <c r="A359" s="2" t="n">
        <v>489</v>
      </c>
      <c r="B359" s="2" t="n">
        <v>0</v>
      </c>
      <c r="C359" s="2" t="n">
        <v>7.82266501075242</v>
      </c>
      <c r="D359" s="2" t="n">
        <v>7.82266501075242</v>
      </c>
    </row>
    <row r="360" customFormat="false" ht="13" hidden="false" customHeight="false" outlineLevel="0" collapsed="false">
      <c r="A360" s="2" t="n">
        <v>306</v>
      </c>
      <c r="B360" s="2" t="n">
        <v>7.82823735672031</v>
      </c>
      <c r="C360" s="2" t="n">
        <v>0</v>
      </c>
      <c r="D360" s="2" t="n">
        <v>7.82823735672031</v>
      </c>
    </row>
    <row r="361" customFormat="false" ht="13" hidden="false" customHeight="false" outlineLevel="0" collapsed="false">
      <c r="A361" s="2" t="n">
        <v>392</v>
      </c>
      <c r="B361" s="2" t="n">
        <v>7.83478506297422</v>
      </c>
      <c r="C361" s="2" t="n">
        <v>0</v>
      </c>
      <c r="D361" s="2" t="n">
        <v>7.83478506297422</v>
      </c>
    </row>
    <row r="362" customFormat="false" ht="13" hidden="false" customHeight="false" outlineLevel="0" collapsed="false">
      <c r="A362" s="2" t="n">
        <v>22</v>
      </c>
      <c r="B362" s="2" t="n">
        <v>0</v>
      </c>
      <c r="C362" s="2" t="n">
        <v>7.83704947413099</v>
      </c>
      <c r="D362" s="2" t="n">
        <v>7.83704947413099</v>
      </c>
    </row>
    <row r="363" customFormat="false" ht="13" hidden="false" customHeight="false" outlineLevel="0" collapsed="false">
      <c r="A363" s="2" t="n">
        <v>10</v>
      </c>
      <c r="B363" s="2" t="n">
        <v>0</v>
      </c>
      <c r="C363" s="2" t="n">
        <v>7.84654715116016</v>
      </c>
      <c r="D363" s="2" t="n">
        <v>7.84654715116016</v>
      </c>
    </row>
    <row r="364" customFormat="false" ht="13" hidden="false" customHeight="false" outlineLevel="0" collapsed="false">
      <c r="A364" s="2" t="n">
        <v>73</v>
      </c>
      <c r="B364" s="2" t="n">
        <v>7.84953618627067</v>
      </c>
      <c r="C364" s="2" t="n">
        <v>0</v>
      </c>
      <c r="D364" s="2" t="n">
        <v>7.84953618627067</v>
      </c>
    </row>
    <row r="365" customFormat="false" ht="13" hidden="false" customHeight="false" outlineLevel="0" collapsed="false">
      <c r="A365" s="2" t="n">
        <v>493</v>
      </c>
      <c r="B365" s="2" t="n">
        <v>0</v>
      </c>
      <c r="C365" s="2" t="n">
        <v>7.92057187245598</v>
      </c>
      <c r="D365" s="2" t="n">
        <v>7.92057187245598</v>
      </c>
    </row>
    <row r="366" customFormat="false" ht="13" hidden="false" customHeight="false" outlineLevel="0" collapsed="false">
      <c r="A366" s="2" t="n">
        <v>921</v>
      </c>
      <c r="B366" s="2" t="n">
        <v>7.92572962339102</v>
      </c>
      <c r="C366" s="2" t="n">
        <v>0</v>
      </c>
      <c r="D366" s="2" t="n">
        <v>7.92572962339102</v>
      </c>
    </row>
    <row r="367" customFormat="false" ht="13" hidden="false" customHeight="false" outlineLevel="0" collapsed="false">
      <c r="A367" s="2" t="n">
        <v>492</v>
      </c>
      <c r="B367" s="2" t="n">
        <v>0</v>
      </c>
      <c r="C367" s="2" t="n">
        <v>7.93376851409232</v>
      </c>
      <c r="D367" s="2" t="n">
        <v>7.93376851409232</v>
      </c>
    </row>
    <row r="368" customFormat="false" ht="13" hidden="false" customHeight="false" outlineLevel="0" collapsed="false">
      <c r="A368" s="2" t="n">
        <v>516</v>
      </c>
      <c r="B368" s="2" t="n">
        <v>0</v>
      </c>
      <c r="C368" s="2" t="n">
        <v>7.95713466127825</v>
      </c>
      <c r="D368" s="2" t="n">
        <v>7.95713466127825</v>
      </c>
    </row>
    <row r="369" customFormat="false" ht="13" hidden="false" customHeight="false" outlineLevel="0" collapsed="false">
      <c r="A369" s="2" t="n">
        <v>417</v>
      </c>
      <c r="B369" s="2" t="n">
        <v>7.95909707135718</v>
      </c>
      <c r="C369" s="2" t="n">
        <v>0</v>
      </c>
      <c r="D369" s="2" t="n">
        <v>7.95909707135718</v>
      </c>
    </row>
    <row r="370" customFormat="false" ht="13" hidden="false" customHeight="false" outlineLevel="0" collapsed="false">
      <c r="A370" s="2" t="n">
        <v>600</v>
      </c>
      <c r="B370" s="2" t="n">
        <v>0</v>
      </c>
      <c r="C370" s="2" t="n">
        <v>7.96369096773526</v>
      </c>
      <c r="D370" s="2" t="n">
        <v>7.96369096773526</v>
      </c>
    </row>
    <row r="371" customFormat="false" ht="13" hidden="false" customHeight="false" outlineLevel="0" collapsed="false">
      <c r="A371" s="2" t="n">
        <v>397</v>
      </c>
      <c r="B371" s="2" t="n">
        <v>7.97209039977395</v>
      </c>
      <c r="C371" s="2" t="n">
        <v>0</v>
      </c>
      <c r="D371" s="2" t="n">
        <v>7.97209039977395</v>
      </c>
    </row>
    <row r="372" customFormat="false" ht="13" hidden="false" customHeight="false" outlineLevel="0" collapsed="false">
      <c r="A372" s="2" t="n">
        <v>395</v>
      </c>
      <c r="B372" s="2" t="n">
        <v>8.00477167309987</v>
      </c>
      <c r="C372" s="2" t="n">
        <v>0</v>
      </c>
      <c r="D372" s="2" t="n">
        <v>8.00477167309987</v>
      </c>
    </row>
    <row r="373" customFormat="false" ht="13" hidden="false" customHeight="false" outlineLevel="0" collapsed="false">
      <c r="A373" s="2" t="n">
        <v>639</v>
      </c>
      <c r="B373" s="2" t="n">
        <v>0</v>
      </c>
      <c r="C373" s="2" t="n">
        <v>8.03860774762859</v>
      </c>
      <c r="D373" s="2" t="n">
        <v>8.03860774762859</v>
      </c>
    </row>
    <row r="374" customFormat="false" ht="13" hidden="false" customHeight="false" outlineLevel="0" collapsed="false">
      <c r="A374" s="2" t="n">
        <v>369</v>
      </c>
      <c r="B374" s="2" t="n">
        <v>8.04019817851679</v>
      </c>
      <c r="C374" s="2" t="n">
        <v>0</v>
      </c>
      <c r="D374" s="2" t="n">
        <v>8.04019817851679</v>
      </c>
    </row>
    <row r="375" customFormat="false" ht="13" hidden="false" customHeight="false" outlineLevel="0" collapsed="false">
      <c r="A375" s="2" t="n">
        <v>609</v>
      </c>
      <c r="B375" s="2" t="n">
        <v>0</v>
      </c>
      <c r="C375" s="2" t="n">
        <v>8.05080106710136</v>
      </c>
      <c r="D375" s="2" t="n">
        <v>8.05080106710136</v>
      </c>
    </row>
    <row r="376" customFormat="false" ht="13" hidden="false" customHeight="false" outlineLevel="0" collapsed="false">
      <c r="A376" s="2" t="n">
        <v>170</v>
      </c>
      <c r="B376" s="2" t="n">
        <v>0</v>
      </c>
      <c r="C376" s="2" t="n">
        <v>8.06735608526628</v>
      </c>
      <c r="D376" s="2" t="n">
        <v>8.06735608526628</v>
      </c>
    </row>
    <row r="377" customFormat="false" ht="13" hidden="false" customHeight="false" outlineLevel="0" collapsed="false">
      <c r="A377" s="2" t="n">
        <v>742</v>
      </c>
      <c r="B377" s="2" t="n">
        <v>0</v>
      </c>
      <c r="C377" s="2" t="n">
        <v>8.1067884475035</v>
      </c>
      <c r="D377" s="2" t="n">
        <v>8.1067884475035</v>
      </c>
    </row>
    <row r="378" customFormat="false" ht="13" hidden="false" customHeight="false" outlineLevel="0" collapsed="false">
      <c r="A378" s="2" t="n">
        <v>973</v>
      </c>
      <c r="B378" s="2" t="n">
        <v>8.1302178170713</v>
      </c>
      <c r="C378" s="2" t="n">
        <v>0</v>
      </c>
      <c r="D378" s="2" t="n">
        <v>8.1302178170713</v>
      </c>
    </row>
    <row r="379" customFormat="false" ht="13" hidden="false" customHeight="false" outlineLevel="0" collapsed="false">
      <c r="A379" s="2" t="n">
        <v>743</v>
      </c>
      <c r="B379" s="2" t="n">
        <v>0</v>
      </c>
      <c r="C379" s="2" t="n">
        <v>8.15093672255148</v>
      </c>
      <c r="D379" s="2" t="n">
        <v>8.15093672255148</v>
      </c>
    </row>
    <row r="380" customFormat="false" ht="13" hidden="false" customHeight="false" outlineLevel="0" collapsed="false">
      <c r="A380" s="2" t="n">
        <v>448</v>
      </c>
      <c r="B380" s="2" t="n">
        <v>0</v>
      </c>
      <c r="C380" s="2" t="n">
        <v>8.1702086548317</v>
      </c>
      <c r="D380" s="2" t="n">
        <v>8.1702086548317</v>
      </c>
    </row>
    <row r="381" customFormat="false" ht="13" hidden="false" customHeight="false" outlineLevel="0" collapsed="false">
      <c r="A381" s="2" t="n">
        <v>361</v>
      </c>
      <c r="B381" s="2" t="n">
        <v>8.26280608011325</v>
      </c>
      <c r="C381" s="2" t="n">
        <v>0</v>
      </c>
      <c r="D381" s="2" t="n">
        <v>8.26280608011325</v>
      </c>
    </row>
    <row r="382" customFormat="false" ht="13" hidden="false" customHeight="false" outlineLevel="0" collapsed="false">
      <c r="A382" s="2" t="n">
        <v>458</v>
      </c>
      <c r="B382" s="2" t="n">
        <v>0</v>
      </c>
      <c r="C382" s="2" t="n">
        <v>8.28188781601637</v>
      </c>
      <c r="D382" s="2" t="n">
        <v>8.28188781601637</v>
      </c>
    </row>
    <row r="383" customFormat="false" ht="13" hidden="false" customHeight="false" outlineLevel="0" collapsed="false">
      <c r="A383" s="2" t="n">
        <v>594</v>
      </c>
      <c r="B383" s="2" t="n">
        <v>0</v>
      </c>
      <c r="C383" s="2" t="n">
        <v>8.287143811178</v>
      </c>
      <c r="D383" s="2" t="n">
        <v>8.287143811178</v>
      </c>
    </row>
    <row r="384" customFormat="false" ht="13" hidden="false" customHeight="false" outlineLevel="0" collapsed="false">
      <c r="A384" s="2" t="n">
        <v>281</v>
      </c>
      <c r="B384" s="2" t="n">
        <v>0</v>
      </c>
      <c r="C384" s="2" t="n">
        <v>8.29756295075487</v>
      </c>
      <c r="D384" s="2" t="n">
        <v>8.29756295075487</v>
      </c>
    </row>
    <row r="385" customFormat="false" ht="13" hidden="false" customHeight="false" outlineLevel="0" collapsed="false">
      <c r="A385" s="2" t="n">
        <v>917</v>
      </c>
      <c r="B385" s="2" t="n">
        <v>8.32321657995647</v>
      </c>
      <c r="C385" s="2" t="n">
        <v>0</v>
      </c>
      <c r="D385" s="2" t="n">
        <v>8.32321657995647</v>
      </c>
    </row>
    <row r="386" customFormat="false" ht="13" hidden="false" customHeight="false" outlineLevel="0" collapsed="false">
      <c r="A386" s="2" t="n">
        <v>860</v>
      </c>
      <c r="B386" s="2" t="n">
        <v>8.37098156406216</v>
      </c>
      <c r="C386" s="2" t="n">
        <v>0</v>
      </c>
      <c r="D386" s="2" t="n">
        <v>8.37098156406216</v>
      </c>
    </row>
    <row r="387" customFormat="false" ht="13" hidden="false" customHeight="false" outlineLevel="0" collapsed="false">
      <c r="A387" s="2" t="n">
        <v>160</v>
      </c>
      <c r="B387" s="2" t="n">
        <v>0</v>
      </c>
      <c r="C387" s="2" t="n">
        <v>8.42274356290614</v>
      </c>
      <c r="D387" s="2" t="n">
        <v>8.42274356290614</v>
      </c>
    </row>
    <row r="388" customFormat="false" ht="13" hidden="false" customHeight="false" outlineLevel="0" collapsed="false">
      <c r="A388" s="2" t="n">
        <v>269</v>
      </c>
      <c r="B388" s="2" t="n">
        <v>0</v>
      </c>
      <c r="C388" s="2" t="n">
        <v>8.45636232490188</v>
      </c>
      <c r="D388" s="2" t="n">
        <v>8.45636232490188</v>
      </c>
    </row>
    <row r="389" customFormat="false" ht="13" hidden="false" customHeight="false" outlineLevel="0" collapsed="false">
      <c r="A389" s="2" t="n">
        <v>17</v>
      </c>
      <c r="B389" s="2" t="n">
        <v>0</v>
      </c>
      <c r="C389" s="2" t="n">
        <v>8.47374350481369</v>
      </c>
      <c r="D389" s="2" t="n">
        <v>8.47374350481369</v>
      </c>
    </row>
    <row r="390" customFormat="false" ht="13" hidden="false" customHeight="false" outlineLevel="0" collapsed="false">
      <c r="A390" s="2" t="n">
        <v>57</v>
      </c>
      <c r="B390" s="2" t="n">
        <v>8.51552695537224</v>
      </c>
      <c r="C390" s="2" t="n">
        <v>0</v>
      </c>
      <c r="D390" s="2" t="n">
        <v>8.51552695537224</v>
      </c>
    </row>
    <row r="391" customFormat="false" ht="13" hidden="false" customHeight="false" outlineLevel="0" collapsed="false">
      <c r="A391" s="2" t="n">
        <v>14</v>
      </c>
      <c r="B391" s="2" t="n">
        <v>0</v>
      </c>
      <c r="C391" s="2" t="n">
        <v>8.5325904648312</v>
      </c>
      <c r="D391" s="2" t="n">
        <v>8.5325904648312</v>
      </c>
    </row>
    <row r="392" customFormat="false" ht="13" hidden="false" customHeight="false" outlineLevel="0" collapsed="false">
      <c r="A392" s="2" t="n">
        <v>430</v>
      </c>
      <c r="B392" s="2" t="n">
        <v>0</v>
      </c>
      <c r="C392" s="2" t="n">
        <v>8.53943603159451</v>
      </c>
      <c r="D392" s="2" t="n">
        <v>8.53943603159451</v>
      </c>
    </row>
    <row r="393" customFormat="false" ht="13" hidden="false" customHeight="false" outlineLevel="0" collapsed="false">
      <c r="A393" s="2" t="n">
        <v>452</v>
      </c>
      <c r="B393" s="2" t="n">
        <v>0</v>
      </c>
      <c r="C393" s="2" t="n">
        <v>8.57896504122942</v>
      </c>
      <c r="D393" s="2" t="n">
        <v>8.57896504122942</v>
      </c>
    </row>
    <row r="394" customFormat="false" ht="13" hidden="false" customHeight="false" outlineLevel="0" collapsed="false">
      <c r="A394" s="2" t="n">
        <v>595</v>
      </c>
      <c r="B394" s="2" t="n">
        <v>0</v>
      </c>
      <c r="C394" s="2" t="n">
        <v>8.58141929530336</v>
      </c>
      <c r="D394" s="2" t="n">
        <v>8.58141929530336</v>
      </c>
    </row>
    <row r="395" customFormat="false" ht="13" hidden="false" customHeight="false" outlineLevel="0" collapsed="false">
      <c r="A395" s="2" t="n">
        <v>141</v>
      </c>
      <c r="B395" s="2" t="n">
        <v>0</v>
      </c>
      <c r="C395" s="2" t="n">
        <v>8.58673503806216</v>
      </c>
      <c r="D395" s="2" t="n">
        <v>8.58673503806216</v>
      </c>
    </row>
    <row r="396" customFormat="false" ht="13" hidden="false" customHeight="false" outlineLevel="0" collapsed="false">
      <c r="A396" s="2" t="n">
        <v>643</v>
      </c>
      <c r="B396" s="2" t="n">
        <v>0</v>
      </c>
      <c r="C396" s="2" t="n">
        <v>8.60980928137155</v>
      </c>
      <c r="D396" s="2" t="n">
        <v>8.60980928137155</v>
      </c>
    </row>
    <row r="397" customFormat="false" ht="13" hidden="false" customHeight="false" outlineLevel="0" collapsed="false">
      <c r="A397" s="2" t="n">
        <v>539</v>
      </c>
      <c r="B397" s="2" t="n">
        <v>0</v>
      </c>
      <c r="C397" s="2" t="n">
        <v>8.62258810021694</v>
      </c>
      <c r="D397" s="2" t="n">
        <v>8.62258810021694</v>
      </c>
    </row>
    <row r="398" customFormat="false" ht="13" hidden="false" customHeight="false" outlineLevel="0" collapsed="false">
      <c r="A398" s="2" t="n">
        <v>117</v>
      </c>
      <c r="B398" s="2" t="n">
        <v>8.68886529644483</v>
      </c>
      <c r="C398" s="2" t="n">
        <v>0</v>
      </c>
      <c r="D398" s="2" t="n">
        <v>8.68886529644483</v>
      </c>
    </row>
    <row r="399" customFormat="false" ht="13" hidden="false" customHeight="false" outlineLevel="0" collapsed="false">
      <c r="A399" s="2" t="n">
        <v>737</v>
      </c>
      <c r="B399" s="2" t="n">
        <v>0</v>
      </c>
      <c r="C399" s="2" t="n">
        <v>8.70922847462589</v>
      </c>
      <c r="D399" s="2" t="n">
        <v>8.70922847462589</v>
      </c>
    </row>
    <row r="400" customFormat="false" ht="13" hidden="false" customHeight="false" outlineLevel="0" collapsed="false">
      <c r="A400" s="2" t="n">
        <v>367</v>
      </c>
      <c r="B400" s="2" t="n">
        <v>8.72949580511033</v>
      </c>
      <c r="C400" s="2" t="n">
        <v>0</v>
      </c>
      <c r="D400" s="2" t="n">
        <v>8.72949580511033</v>
      </c>
    </row>
    <row r="401" customFormat="false" ht="13" hidden="false" customHeight="false" outlineLevel="0" collapsed="false">
      <c r="A401" s="2" t="n">
        <v>412</v>
      </c>
      <c r="B401" s="2" t="n">
        <v>0</v>
      </c>
      <c r="C401" s="2" t="n">
        <v>8.74418356254307</v>
      </c>
      <c r="D401" s="2" t="n">
        <v>8.74418356254307</v>
      </c>
    </row>
    <row r="402" customFormat="false" ht="13" hidden="false" customHeight="false" outlineLevel="0" collapsed="false">
      <c r="A402" s="2" t="n">
        <v>610</v>
      </c>
      <c r="B402" s="2" t="n">
        <v>0</v>
      </c>
      <c r="C402" s="2" t="n">
        <v>8.7496604164329</v>
      </c>
      <c r="D402" s="2" t="n">
        <v>8.7496604164329</v>
      </c>
    </row>
    <row r="403" customFormat="false" ht="13" hidden="false" customHeight="false" outlineLevel="0" collapsed="false">
      <c r="A403" s="2" t="n">
        <v>284</v>
      </c>
      <c r="B403" s="2" t="n">
        <v>0</v>
      </c>
      <c r="C403" s="2" t="n">
        <v>8.77671785506993</v>
      </c>
      <c r="D403" s="2" t="n">
        <v>8.77671785506993</v>
      </c>
    </row>
    <row r="404" customFormat="false" ht="13" hidden="false" customHeight="false" outlineLevel="0" collapsed="false">
      <c r="A404" s="2" t="n">
        <v>169</v>
      </c>
      <c r="B404" s="2" t="n">
        <v>0</v>
      </c>
      <c r="C404" s="2" t="n">
        <v>8.80827435373465</v>
      </c>
      <c r="D404" s="2" t="n">
        <v>8.80827435373465</v>
      </c>
    </row>
    <row r="405" customFormat="false" ht="13" hidden="false" customHeight="false" outlineLevel="0" collapsed="false">
      <c r="A405" s="2" t="n">
        <v>62</v>
      </c>
      <c r="B405" s="2" t="n">
        <v>8.80880503915273</v>
      </c>
      <c r="C405" s="2" t="n">
        <v>0</v>
      </c>
      <c r="D405" s="2" t="n">
        <v>8.80880503915273</v>
      </c>
    </row>
    <row r="406" customFormat="false" ht="13" hidden="false" customHeight="false" outlineLevel="0" collapsed="false">
      <c r="A406" s="2" t="n">
        <v>74</v>
      </c>
      <c r="B406" s="2" t="n">
        <v>8.82619892681434</v>
      </c>
      <c r="C406" s="2" t="n">
        <v>0</v>
      </c>
      <c r="D406" s="2" t="n">
        <v>8.82619892681434</v>
      </c>
    </row>
    <row r="407" customFormat="false" ht="13" hidden="false" customHeight="false" outlineLevel="0" collapsed="false">
      <c r="A407" s="2" t="n">
        <v>449</v>
      </c>
      <c r="B407" s="2" t="n">
        <v>0</v>
      </c>
      <c r="C407" s="2" t="n">
        <v>8.84805644060475</v>
      </c>
      <c r="D407" s="2" t="n">
        <v>8.84805644060475</v>
      </c>
    </row>
    <row r="408" customFormat="false" ht="13" hidden="false" customHeight="false" outlineLevel="0" collapsed="false">
      <c r="A408" s="2" t="n">
        <v>660</v>
      </c>
      <c r="B408" s="2" t="n">
        <v>0</v>
      </c>
      <c r="C408" s="2" t="n">
        <v>8.84935135767489</v>
      </c>
      <c r="D408" s="2" t="n">
        <v>8.84935135767489</v>
      </c>
    </row>
    <row r="409" customFormat="false" ht="13" hidden="false" customHeight="false" outlineLevel="0" collapsed="false">
      <c r="A409" s="2" t="n">
        <v>858</v>
      </c>
      <c r="B409" s="2" t="n">
        <v>8.86689251150847</v>
      </c>
      <c r="C409" s="2" t="n">
        <v>0</v>
      </c>
      <c r="D409" s="2" t="n">
        <v>8.86689251150847</v>
      </c>
    </row>
    <row r="410" customFormat="false" ht="13" hidden="false" customHeight="false" outlineLevel="0" collapsed="false">
      <c r="A410" s="2" t="n">
        <v>663</v>
      </c>
      <c r="B410" s="2" t="n">
        <v>0</v>
      </c>
      <c r="C410" s="2" t="n">
        <v>8.86794860333555</v>
      </c>
      <c r="D410" s="2" t="n">
        <v>8.86794860333555</v>
      </c>
    </row>
    <row r="411" customFormat="false" ht="13" hidden="false" customHeight="false" outlineLevel="0" collapsed="false">
      <c r="A411" s="2" t="n">
        <v>601</v>
      </c>
      <c r="B411" s="2" t="n">
        <v>0</v>
      </c>
      <c r="C411" s="2" t="n">
        <v>8.8854963906216</v>
      </c>
      <c r="D411" s="2" t="n">
        <v>8.8854963906216</v>
      </c>
    </row>
    <row r="412" customFormat="false" ht="13" hidden="false" customHeight="false" outlineLevel="0" collapsed="false">
      <c r="A412" s="2" t="n">
        <v>97</v>
      </c>
      <c r="B412" s="2" t="n">
        <v>8.89859913410362</v>
      </c>
      <c r="C412" s="2" t="n">
        <v>0</v>
      </c>
      <c r="D412" s="2" t="n">
        <v>8.89859913410362</v>
      </c>
    </row>
    <row r="413" customFormat="false" ht="13" hidden="false" customHeight="false" outlineLevel="0" collapsed="false">
      <c r="A413" s="2" t="n">
        <v>263</v>
      </c>
      <c r="B413" s="2" t="n">
        <v>0</v>
      </c>
      <c r="C413" s="2" t="n">
        <v>8.9170462078016</v>
      </c>
      <c r="D413" s="2" t="n">
        <v>8.9170462078016</v>
      </c>
    </row>
    <row r="414" customFormat="false" ht="13" hidden="false" customHeight="false" outlineLevel="0" collapsed="false">
      <c r="A414" s="2" t="n">
        <v>92</v>
      </c>
      <c r="B414" s="2" t="n">
        <v>8.93605875506547</v>
      </c>
      <c r="C414" s="2" t="n">
        <v>0</v>
      </c>
      <c r="D414" s="2" t="n">
        <v>8.93605875506547</v>
      </c>
    </row>
    <row r="415" customFormat="false" ht="13" hidden="false" customHeight="false" outlineLevel="0" collapsed="false">
      <c r="A415" s="2" t="n">
        <v>75</v>
      </c>
      <c r="B415" s="2" t="n">
        <v>8.9547385111328</v>
      </c>
      <c r="C415" s="2" t="n">
        <v>0</v>
      </c>
      <c r="D415" s="2" t="n">
        <v>8.9547385111328</v>
      </c>
    </row>
    <row r="416" customFormat="false" ht="13" hidden="false" customHeight="false" outlineLevel="0" collapsed="false">
      <c r="A416" s="2" t="n">
        <v>728</v>
      </c>
      <c r="B416" s="2" t="n">
        <v>0</v>
      </c>
      <c r="C416" s="2" t="n">
        <v>9.00976962931247</v>
      </c>
      <c r="D416" s="2" t="n">
        <v>9.00976962931247</v>
      </c>
    </row>
    <row r="417" customFormat="false" ht="13" hidden="false" customHeight="false" outlineLevel="0" collapsed="false">
      <c r="A417" s="2" t="n">
        <v>59</v>
      </c>
      <c r="B417" s="2" t="n">
        <v>9.01561179955721</v>
      </c>
      <c r="C417" s="2" t="n">
        <v>0</v>
      </c>
      <c r="D417" s="2" t="n">
        <v>9.01561179955721</v>
      </c>
    </row>
    <row r="418" customFormat="false" ht="13" hidden="false" customHeight="false" outlineLevel="0" collapsed="false">
      <c r="A418" s="2" t="n">
        <v>731</v>
      </c>
      <c r="B418" s="2" t="n">
        <v>0</v>
      </c>
      <c r="C418" s="2" t="n">
        <v>9.02617020688035</v>
      </c>
      <c r="D418" s="2" t="n">
        <v>9.02617020688035</v>
      </c>
    </row>
    <row r="419" customFormat="false" ht="13" hidden="false" customHeight="false" outlineLevel="0" collapsed="false">
      <c r="A419" s="2" t="n">
        <v>190</v>
      </c>
      <c r="B419" s="2" t="n">
        <v>9.09909263288228</v>
      </c>
      <c r="C419" s="2" t="n">
        <v>0</v>
      </c>
      <c r="D419" s="2" t="n">
        <v>9.09909263288228</v>
      </c>
    </row>
    <row r="420" customFormat="false" ht="13" hidden="false" customHeight="false" outlineLevel="0" collapsed="false">
      <c r="A420" s="2" t="n">
        <v>216</v>
      </c>
      <c r="B420" s="2" t="n">
        <v>0</v>
      </c>
      <c r="C420" s="2" t="n">
        <v>9.10298077144304</v>
      </c>
      <c r="D420" s="2" t="n">
        <v>9.10298077144304</v>
      </c>
    </row>
    <row r="421" customFormat="false" ht="13" hidden="false" customHeight="false" outlineLevel="0" collapsed="false">
      <c r="A421" s="2" t="n">
        <v>645</v>
      </c>
      <c r="B421" s="2" t="n">
        <v>0</v>
      </c>
      <c r="C421" s="2" t="n">
        <v>9.23705867583874</v>
      </c>
      <c r="D421" s="2" t="n">
        <v>9.23705867583874</v>
      </c>
    </row>
    <row r="422" customFormat="false" ht="13" hidden="false" customHeight="false" outlineLevel="0" collapsed="false">
      <c r="A422" s="2" t="n">
        <v>11</v>
      </c>
      <c r="B422" s="2" t="n">
        <v>0</v>
      </c>
      <c r="C422" s="2" t="n">
        <v>9.25296629334002</v>
      </c>
      <c r="D422" s="2" t="n">
        <v>9.25296629334002</v>
      </c>
    </row>
    <row r="423" customFormat="false" ht="13" hidden="false" customHeight="false" outlineLevel="0" collapsed="false">
      <c r="A423" s="2" t="n">
        <v>23</v>
      </c>
      <c r="B423" s="2" t="n">
        <v>0</v>
      </c>
      <c r="C423" s="2" t="n">
        <v>9.28023790828938</v>
      </c>
      <c r="D423" s="2" t="n">
        <v>9.28023790828938</v>
      </c>
    </row>
    <row r="424" customFormat="false" ht="13" hidden="false" customHeight="false" outlineLevel="0" collapsed="false">
      <c r="A424" s="2" t="n">
        <v>368</v>
      </c>
      <c r="B424" s="2" t="n">
        <v>9.28292853876593</v>
      </c>
      <c r="C424" s="2" t="n">
        <v>0</v>
      </c>
      <c r="D424" s="2" t="n">
        <v>9.28292853876593</v>
      </c>
    </row>
    <row r="425" customFormat="false" ht="13" hidden="false" customHeight="false" outlineLevel="0" collapsed="false">
      <c r="A425" s="2" t="n">
        <v>116</v>
      </c>
      <c r="B425" s="2" t="n">
        <v>9.31389921077899</v>
      </c>
      <c r="C425" s="2" t="n">
        <v>0</v>
      </c>
      <c r="D425" s="2" t="n">
        <v>9.31389921077899</v>
      </c>
    </row>
    <row r="426" customFormat="false" ht="13" hidden="false" customHeight="false" outlineLevel="0" collapsed="false">
      <c r="A426" s="2" t="n">
        <v>418</v>
      </c>
      <c r="B426" s="2" t="n">
        <v>9.38730302578648</v>
      </c>
      <c r="C426" s="2" t="n">
        <v>0</v>
      </c>
      <c r="D426" s="2" t="n">
        <v>9.38730302578648</v>
      </c>
    </row>
    <row r="427" customFormat="false" ht="13" hidden="false" customHeight="false" outlineLevel="0" collapsed="false">
      <c r="A427" s="2" t="n">
        <v>747</v>
      </c>
      <c r="B427" s="2" t="n">
        <v>0</v>
      </c>
      <c r="C427" s="2" t="n">
        <v>9.39943451240094</v>
      </c>
      <c r="D427" s="2" t="n">
        <v>9.39943451240094</v>
      </c>
    </row>
    <row r="428" customFormat="false" ht="13" hidden="false" customHeight="false" outlineLevel="0" collapsed="false">
      <c r="A428" s="2" t="n">
        <v>823</v>
      </c>
      <c r="B428" s="2" t="n">
        <v>9.41905319689124</v>
      </c>
      <c r="C428" s="2" t="n">
        <v>0</v>
      </c>
      <c r="D428" s="2" t="n">
        <v>9.41905319689124</v>
      </c>
    </row>
    <row r="429" customFormat="false" ht="13" hidden="false" customHeight="false" outlineLevel="0" collapsed="false">
      <c r="A429" s="2" t="n">
        <v>915</v>
      </c>
      <c r="B429" s="2" t="n">
        <v>9.43599532948736</v>
      </c>
      <c r="C429" s="2" t="n">
        <v>0</v>
      </c>
      <c r="D429" s="2" t="n">
        <v>9.43599532948736</v>
      </c>
    </row>
    <row r="430" customFormat="false" ht="13" hidden="false" customHeight="false" outlineLevel="0" collapsed="false">
      <c r="A430" s="2" t="n">
        <v>422</v>
      </c>
      <c r="B430" s="2" t="n">
        <v>9.53562169508774</v>
      </c>
      <c r="C430" s="2" t="n">
        <v>0</v>
      </c>
      <c r="D430" s="2" t="n">
        <v>9.53562169508774</v>
      </c>
    </row>
    <row r="431" customFormat="false" ht="13" hidden="false" customHeight="false" outlineLevel="0" collapsed="false">
      <c r="A431" s="2" t="n">
        <v>172</v>
      </c>
      <c r="B431" s="2" t="n">
        <v>0</v>
      </c>
      <c r="C431" s="2" t="n">
        <v>9.57954631713804</v>
      </c>
      <c r="D431" s="2" t="n">
        <v>9.57954631713804</v>
      </c>
    </row>
    <row r="432" customFormat="false" ht="13" hidden="false" customHeight="false" outlineLevel="0" collapsed="false">
      <c r="A432" s="2" t="n">
        <v>15</v>
      </c>
      <c r="B432" s="2" t="n">
        <v>0</v>
      </c>
      <c r="C432" s="2" t="n">
        <v>9.60034936112814</v>
      </c>
      <c r="D432" s="2" t="n">
        <v>9.60034936112814</v>
      </c>
    </row>
    <row r="433" customFormat="false" ht="13" hidden="false" customHeight="false" outlineLevel="0" collapsed="false">
      <c r="A433" s="2" t="n">
        <v>648</v>
      </c>
      <c r="B433" s="2" t="n">
        <v>0</v>
      </c>
      <c r="C433" s="2" t="n">
        <v>9.60812236146069</v>
      </c>
      <c r="D433" s="2" t="n">
        <v>9.60812236146069</v>
      </c>
    </row>
    <row r="434" customFormat="false" ht="13" hidden="false" customHeight="false" outlineLevel="0" collapsed="false">
      <c r="A434" s="2" t="n">
        <v>282</v>
      </c>
      <c r="B434" s="2" t="n">
        <v>0</v>
      </c>
      <c r="C434" s="2" t="n">
        <v>9.60887304767874</v>
      </c>
      <c r="D434" s="2" t="n">
        <v>9.60887304767874</v>
      </c>
    </row>
    <row r="435" customFormat="false" ht="13" hidden="false" customHeight="false" outlineLevel="0" collapsed="false">
      <c r="A435" s="2" t="n">
        <v>164</v>
      </c>
      <c r="B435" s="2" t="n">
        <v>0</v>
      </c>
      <c r="C435" s="2" t="n">
        <v>9.61466032325623</v>
      </c>
      <c r="D435" s="2" t="n">
        <v>9.61466032325623</v>
      </c>
    </row>
    <row r="436" customFormat="false" ht="13" hidden="false" customHeight="false" outlineLevel="0" collapsed="false">
      <c r="A436" s="2" t="n">
        <v>271</v>
      </c>
      <c r="B436" s="2" t="n">
        <v>0</v>
      </c>
      <c r="C436" s="2" t="n">
        <v>9.62122334221084</v>
      </c>
      <c r="D436" s="2" t="n">
        <v>9.62122334221084</v>
      </c>
    </row>
    <row r="437" customFormat="false" ht="13" hidden="false" customHeight="false" outlineLevel="0" collapsed="false">
      <c r="A437" s="2" t="n">
        <v>100</v>
      </c>
      <c r="B437" s="2" t="n">
        <v>9.63548266296266</v>
      </c>
      <c r="C437" s="2" t="n">
        <v>0</v>
      </c>
      <c r="D437" s="2" t="n">
        <v>9.63548266296266</v>
      </c>
    </row>
    <row r="438" customFormat="false" ht="13" hidden="false" customHeight="false" outlineLevel="0" collapsed="false">
      <c r="A438" s="2" t="n">
        <v>221</v>
      </c>
      <c r="B438" s="2" t="n">
        <v>0</v>
      </c>
      <c r="C438" s="2" t="n">
        <v>9.64014228962435</v>
      </c>
      <c r="D438" s="2" t="n">
        <v>9.64014228962435</v>
      </c>
    </row>
    <row r="439" customFormat="false" ht="13" hidden="false" customHeight="false" outlineLevel="0" collapsed="false">
      <c r="A439" s="2" t="n">
        <v>490</v>
      </c>
      <c r="B439" s="2" t="n">
        <v>0</v>
      </c>
      <c r="C439" s="2" t="n">
        <v>9.65659577309521</v>
      </c>
      <c r="D439" s="2" t="n">
        <v>9.65659577309521</v>
      </c>
    </row>
    <row r="440" customFormat="false" ht="13" hidden="false" customHeight="false" outlineLevel="0" collapsed="false">
      <c r="A440" s="2" t="n">
        <v>929</v>
      </c>
      <c r="B440" s="2" t="n">
        <v>9.66980505038657</v>
      </c>
      <c r="C440" s="2" t="n">
        <v>0</v>
      </c>
      <c r="D440" s="2" t="n">
        <v>9.66980505038657</v>
      </c>
    </row>
    <row r="441" customFormat="false" ht="13" hidden="false" customHeight="false" outlineLevel="0" collapsed="false">
      <c r="A441" s="2" t="n">
        <v>651</v>
      </c>
      <c r="B441" s="2" t="n">
        <v>0</v>
      </c>
      <c r="C441" s="2" t="n">
        <v>9.74453040875835</v>
      </c>
      <c r="D441" s="2" t="n">
        <v>9.74453040875835</v>
      </c>
    </row>
    <row r="442" customFormat="false" ht="13" hidden="false" customHeight="false" outlineLevel="0" collapsed="false">
      <c r="A442" s="2" t="n">
        <v>926</v>
      </c>
      <c r="B442" s="2" t="n">
        <v>9.74503031815164</v>
      </c>
      <c r="C442" s="2" t="n">
        <v>0</v>
      </c>
      <c r="D442" s="2" t="n">
        <v>9.74503031815164</v>
      </c>
    </row>
    <row r="443" customFormat="false" ht="13" hidden="false" customHeight="false" outlineLevel="0" collapsed="false">
      <c r="A443" s="2" t="n">
        <v>314</v>
      </c>
      <c r="B443" s="2" t="n">
        <v>0</v>
      </c>
      <c r="C443" s="2" t="n">
        <v>9.75334569010613</v>
      </c>
      <c r="D443" s="2" t="n">
        <v>9.75334569010613</v>
      </c>
    </row>
    <row r="444" customFormat="false" ht="13" hidden="false" customHeight="false" outlineLevel="0" collapsed="false">
      <c r="A444" s="2" t="n">
        <v>904</v>
      </c>
      <c r="B444" s="2" t="n">
        <v>9.77440007809832</v>
      </c>
      <c r="C444" s="2" t="n">
        <v>0</v>
      </c>
      <c r="D444" s="2" t="n">
        <v>9.77440007809832</v>
      </c>
    </row>
    <row r="445" customFormat="false" ht="13" hidden="false" customHeight="false" outlineLevel="0" collapsed="false">
      <c r="A445" s="2" t="n">
        <v>102</v>
      </c>
      <c r="B445" s="2" t="n">
        <v>9.7805630702747</v>
      </c>
      <c r="C445" s="2" t="n">
        <v>0</v>
      </c>
      <c r="D445" s="2" t="n">
        <v>9.7805630702747</v>
      </c>
    </row>
    <row r="446" customFormat="false" ht="13" hidden="false" customHeight="false" outlineLevel="0" collapsed="false">
      <c r="A446" s="2" t="n">
        <v>370</v>
      </c>
      <c r="B446" s="2" t="n">
        <v>9.7937666979409</v>
      </c>
      <c r="C446" s="2" t="n">
        <v>0</v>
      </c>
      <c r="D446" s="2" t="n">
        <v>9.7937666979409</v>
      </c>
    </row>
    <row r="447" customFormat="false" ht="13" hidden="false" customHeight="false" outlineLevel="0" collapsed="false">
      <c r="A447" s="2" t="n">
        <v>450</v>
      </c>
      <c r="B447" s="2" t="n">
        <v>0</v>
      </c>
      <c r="C447" s="2" t="n">
        <v>9.82317411621949</v>
      </c>
      <c r="D447" s="2" t="n">
        <v>9.82317411621949</v>
      </c>
    </row>
    <row r="448" customFormat="false" ht="13" hidden="false" customHeight="false" outlineLevel="0" collapsed="false">
      <c r="A448" s="2" t="n">
        <v>362</v>
      </c>
      <c r="B448" s="2" t="n">
        <v>9.88425570360522</v>
      </c>
      <c r="C448" s="2" t="n">
        <v>0</v>
      </c>
      <c r="D448" s="2" t="n">
        <v>9.88425570360522</v>
      </c>
    </row>
    <row r="449" customFormat="false" ht="13" hidden="false" customHeight="false" outlineLevel="0" collapsed="false">
      <c r="A449" s="2" t="n">
        <v>285</v>
      </c>
      <c r="B449" s="2" t="n">
        <v>0</v>
      </c>
      <c r="C449" s="2" t="n">
        <v>9.88621258258917</v>
      </c>
      <c r="D449" s="2" t="n">
        <v>9.88621258258917</v>
      </c>
    </row>
    <row r="450" customFormat="false" ht="13" hidden="false" customHeight="false" outlineLevel="0" collapsed="false">
      <c r="A450" s="2" t="n">
        <v>191</v>
      </c>
      <c r="B450" s="2" t="n">
        <v>9.9270712283994</v>
      </c>
      <c r="C450" s="2" t="n">
        <v>0</v>
      </c>
      <c r="D450" s="2" t="n">
        <v>9.9270712283994</v>
      </c>
    </row>
    <row r="451" customFormat="false" ht="13" hidden="false" customHeight="false" outlineLevel="0" collapsed="false">
      <c r="A451" s="2" t="n">
        <v>540</v>
      </c>
      <c r="B451" s="2" t="n">
        <v>0</v>
      </c>
      <c r="C451" s="2" t="n">
        <v>9.98963777791801</v>
      </c>
      <c r="D451" s="2" t="n">
        <v>9.98963777791801</v>
      </c>
    </row>
    <row r="452" customFormat="false" ht="13" hidden="false" customHeight="false" outlineLevel="0" collapsed="false">
      <c r="A452" s="2" t="n">
        <v>206</v>
      </c>
      <c r="B452" s="2" t="n">
        <v>10.0025437302412</v>
      </c>
      <c r="C452" s="2" t="n">
        <v>0</v>
      </c>
      <c r="D452" s="2" t="n">
        <v>10.0025437302412</v>
      </c>
    </row>
    <row r="453" customFormat="false" ht="13" hidden="false" customHeight="false" outlineLevel="0" collapsed="false">
      <c r="A453" s="2" t="n">
        <v>588</v>
      </c>
      <c r="B453" s="2" t="n">
        <v>0</v>
      </c>
      <c r="C453" s="2" t="n">
        <v>10.0026699119406</v>
      </c>
      <c r="D453" s="2" t="n">
        <v>10.0026699119406</v>
      </c>
    </row>
    <row r="454" customFormat="false" ht="13" hidden="false" customHeight="false" outlineLevel="0" collapsed="false">
      <c r="A454" s="2" t="n">
        <v>214</v>
      </c>
      <c r="B454" s="2" t="n">
        <v>10.0380420379703</v>
      </c>
      <c r="C454" s="2" t="n">
        <v>0</v>
      </c>
      <c r="D454" s="2" t="n">
        <v>10.0380420379703</v>
      </c>
    </row>
    <row r="455" customFormat="false" ht="13" hidden="false" customHeight="false" outlineLevel="0" collapsed="false">
      <c r="A455" s="2" t="n">
        <v>928</v>
      </c>
      <c r="B455" s="2" t="n">
        <v>10.0544553823721</v>
      </c>
      <c r="C455" s="2" t="n">
        <v>0</v>
      </c>
      <c r="D455" s="2" t="n">
        <v>10.0544553823721</v>
      </c>
    </row>
    <row r="456" customFormat="false" ht="13" hidden="false" customHeight="false" outlineLevel="0" collapsed="false">
      <c r="A456" s="2" t="n">
        <v>161</v>
      </c>
      <c r="B456" s="2" t="n">
        <v>0</v>
      </c>
      <c r="C456" s="2" t="n">
        <v>10.0908924142652</v>
      </c>
      <c r="D456" s="2" t="n">
        <v>10.0908924142652</v>
      </c>
    </row>
    <row r="457" customFormat="false" ht="13" hidden="false" customHeight="false" outlineLevel="0" collapsed="false">
      <c r="A457" s="2" t="n">
        <v>98</v>
      </c>
      <c r="B457" s="2" t="n">
        <v>10.1141779075478</v>
      </c>
      <c r="C457" s="2" t="n">
        <v>0</v>
      </c>
      <c r="D457" s="2" t="n">
        <v>10.1141779075478</v>
      </c>
    </row>
    <row r="458" customFormat="false" ht="13" hidden="false" customHeight="false" outlineLevel="0" collapsed="false">
      <c r="A458" s="2" t="n">
        <v>420</v>
      </c>
      <c r="B458" s="2" t="n">
        <v>0</v>
      </c>
      <c r="C458" s="2" t="n">
        <v>10.1226076793931</v>
      </c>
      <c r="D458" s="2" t="n">
        <v>10.1226076793931</v>
      </c>
    </row>
    <row r="459" customFormat="false" ht="13" hidden="false" customHeight="false" outlineLevel="0" collapsed="false">
      <c r="A459" s="2" t="n">
        <v>423</v>
      </c>
      <c r="B459" s="2" t="n">
        <v>10.1845221363066</v>
      </c>
      <c r="C459" s="2" t="n">
        <v>0</v>
      </c>
      <c r="D459" s="2" t="n">
        <v>10.1845221363066</v>
      </c>
    </row>
    <row r="460" customFormat="false" ht="13" hidden="false" customHeight="false" outlineLevel="0" collapsed="false">
      <c r="A460" s="2" t="n">
        <v>414</v>
      </c>
      <c r="B460" s="2" t="n">
        <v>0</v>
      </c>
      <c r="C460" s="2" t="n">
        <v>10.2035295565389</v>
      </c>
      <c r="D460" s="2" t="n">
        <v>10.2035295565389</v>
      </c>
    </row>
    <row r="461" customFormat="false" ht="13" hidden="false" customHeight="false" outlineLevel="0" collapsed="false">
      <c r="A461" s="2" t="n">
        <v>597</v>
      </c>
      <c r="B461" s="2" t="n">
        <v>0</v>
      </c>
      <c r="C461" s="2" t="n">
        <v>10.2500762916444</v>
      </c>
      <c r="D461" s="2" t="n">
        <v>10.2500762916444</v>
      </c>
    </row>
    <row r="462" customFormat="false" ht="13" hidden="false" customHeight="false" outlineLevel="0" collapsed="false">
      <c r="A462" s="2" t="n">
        <v>431</v>
      </c>
      <c r="B462" s="2" t="n">
        <v>0</v>
      </c>
      <c r="C462" s="2" t="n">
        <v>10.2593736136237</v>
      </c>
      <c r="D462" s="2" t="n">
        <v>10.2593736136237</v>
      </c>
    </row>
    <row r="463" customFormat="false" ht="13" hidden="false" customHeight="false" outlineLevel="0" collapsed="false">
      <c r="A463" s="2" t="n">
        <v>748</v>
      </c>
      <c r="B463" s="2" t="n">
        <v>0</v>
      </c>
      <c r="C463" s="2" t="n">
        <v>10.315906244861</v>
      </c>
      <c r="D463" s="2" t="n">
        <v>10.315906244861</v>
      </c>
    </row>
    <row r="464" customFormat="false" ht="13" hidden="false" customHeight="false" outlineLevel="0" collapsed="false">
      <c r="A464" s="2" t="n">
        <v>294</v>
      </c>
      <c r="B464" s="2" t="n">
        <v>10.4261932699305</v>
      </c>
      <c r="C464" s="2" t="n">
        <v>0</v>
      </c>
      <c r="D464" s="2" t="n">
        <v>10.4261932699305</v>
      </c>
    </row>
    <row r="465" customFormat="false" ht="13" hidden="false" customHeight="false" outlineLevel="0" collapsed="false">
      <c r="A465" s="2" t="n">
        <v>24</v>
      </c>
      <c r="B465" s="2" t="n">
        <v>0</v>
      </c>
      <c r="C465" s="2" t="n">
        <v>10.4289869285856</v>
      </c>
      <c r="D465" s="2" t="n">
        <v>10.4289869285856</v>
      </c>
    </row>
    <row r="466" customFormat="false" ht="13" hidden="false" customHeight="false" outlineLevel="0" collapsed="false">
      <c r="A466" s="2" t="n">
        <v>302</v>
      </c>
      <c r="B466" s="2" t="n">
        <v>10.4378041659796</v>
      </c>
      <c r="C466" s="2" t="n">
        <v>0</v>
      </c>
      <c r="D466" s="2" t="n">
        <v>10.4378041659796</v>
      </c>
    </row>
    <row r="467" customFormat="false" ht="13" hidden="false" customHeight="false" outlineLevel="0" collapsed="false">
      <c r="A467" s="2" t="n">
        <v>289</v>
      </c>
      <c r="B467" s="2" t="n">
        <v>0</v>
      </c>
      <c r="C467" s="2" t="n">
        <v>10.5260146508663</v>
      </c>
      <c r="D467" s="2" t="n">
        <v>10.5260146508663</v>
      </c>
    </row>
    <row r="468" customFormat="false" ht="13" hidden="false" customHeight="false" outlineLevel="0" collapsed="false">
      <c r="A468" s="2" t="n">
        <v>193</v>
      </c>
      <c r="B468" s="2" t="n">
        <v>10.6791398953744</v>
      </c>
      <c r="C468" s="2" t="n">
        <v>0</v>
      </c>
      <c r="D468" s="2" t="n">
        <v>10.6791398953744</v>
      </c>
    </row>
    <row r="469" customFormat="false" ht="13" hidden="false" customHeight="false" outlineLevel="0" collapsed="false">
      <c r="A469" s="2" t="n">
        <v>287</v>
      </c>
      <c r="B469" s="2" t="n">
        <v>0</v>
      </c>
      <c r="C469" s="2" t="n">
        <v>10.7022725455808</v>
      </c>
      <c r="D469" s="2" t="n">
        <v>10.7022725455808</v>
      </c>
    </row>
    <row r="470" customFormat="false" ht="13" hidden="false" customHeight="false" outlineLevel="0" collapsed="false">
      <c r="A470" s="2" t="n">
        <v>462</v>
      </c>
      <c r="B470" s="2" t="n">
        <v>10.705542649935</v>
      </c>
      <c r="C470" s="2" t="n">
        <v>0</v>
      </c>
      <c r="D470" s="2" t="n">
        <v>10.705542649935</v>
      </c>
    </row>
    <row r="471" customFormat="false" ht="13" hidden="false" customHeight="false" outlineLevel="0" collapsed="false">
      <c r="A471" s="2" t="n">
        <v>140</v>
      </c>
      <c r="B471" s="2" t="n">
        <v>0</v>
      </c>
      <c r="C471" s="2" t="n">
        <v>10.7147320084023</v>
      </c>
      <c r="D471" s="2" t="n">
        <v>10.7147320084023</v>
      </c>
    </row>
    <row r="472" customFormat="false" ht="13" hidden="false" customHeight="false" outlineLevel="0" collapsed="false">
      <c r="A472" s="2" t="n">
        <v>371</v>
      </c>
      <c r="B472" s="2" t="n">
        <v>10.7572887846463</v>
      </c>
      <c r="C472" s="2" t="n">
        <v>0</v>
      </c>
      <c r="D472" s="2" t="n">
        <v>10.7572887846463</v>
      </c>
    </row>
    <row r="473" customFormat="false" ht="13" hidden="false" customHeight="false" outlineLevel="0" collapsed="false">
      <c r="A473" s="2" t="n">
        <v>931</v>
      </c>
      <c r="B473" s="2" t="n">
        <v>10.785624242248</v>
      </c>
      <c r="C473" s="2" t="n">
        <v>0</v>
      </c>
      <c r="D473" s="2" t="n">
        <v>10.785624242248</v>
      </c>
    </row>
    <row r="474" customFormat="false" ht="13" hidden="false" customHeight="false" outlineLevel="0" collapsed="false">
      <c r="A474" s="2" t="n">
        <v>205</v>
      </c>
      <c r="B474" s="2" t="n">
        <v>10.8606418400746</v>
      </c>
      <c r="C474" s="2" t="n">
        <v>0</v>
      </c>
      <c r="D474" s="2" t="n">
        <v>10.8606418400746</v>
      </c>
    </row>
    <row r="475" customFormat="false" ht="13" hidden="false" customHeight="false" outlineLevel="0" collapsed="false">
      <c r="A475" s="2" t="n">
        <v>729</v>
      </c>
      <c r="B475" s="2" t="n">
        <v>0</v>
      </c>
      <c r="C475" s="2" t="n">
        <v>10.8878494885994</v>
      </c>
      <c r="D475" s="2" t="n">
        <v>10.8878494885994</v>
      </c>
    </row>
    <row r="476" customFormat="false" ht="13" hidden="false" customHeight="false" outlineLevel="0" collapsed="false">
      <c r="A476" s="2" t="n">
        <v>906</v>
      </c>
      <c r="B476" s="2" t="n">
        <v>10.8895639996593</v>
      </c>
      <c r="C476" s="2" t="n">
        <v>0</v>
      </c>
      <c r="D476" s="2" t="n">
        <v>10.8895639996593</v>
      </c>
    </row>
    <row r="477" customFormat="false" ht="13" hidden="false" customHeight="false" outlineLevel="0" collapsed="false">
      <c r="A477" s="2" t="n">
        <v>581</v>
      </c>
      <c r="B477" s="2" t="n">
        <v>0</v>
      </c>
      <c r="C477" s="2" t="n">
        <v>10.9862630036012</v>
      </c>
      <c r="D477" s="2" t="n">
        <v>10.9862630036012</v>
      </c>
    </row>
    <row r="478" customFormat="false" ht="13" hidden="false" customHeight="false" outlineLevel="0" collapsed="false">
      <c r="A478" s="2" t="n">
        <v>936</v>
      </c>
      <c r="B478" s="2" t="n">
        <v>10.9972845740676</v>
      </c>
      <c r="C478" s="2" t="n">
        <v>0</v>
      </c>
      <c r="D478" s="2" t="n">
        <v>10.9972845740676</v>
      </c>
    </row>
    <row r="479" customFormat="false" ht="13" hidden="false" customHeight="false" outlineLevel="0" collapsed="false">
      <c r="A479" s="2" t="n">
        <v>103</v>
      </c>
      <c r="B479" s="2" t="n">
        <v>11.0430724787002</v>
      </c>
      <c r="C479" s="2" t="n">
        <v>0</v>
      </c>
      <c r="D479" s="2" t="n">
        <v>11.0430724787002</v>
      </c>
    </row>
    <row r="480" customFormat="false" ht="13" hidden="false" customHeight="false" outlineLevel="0" collapsed="false">
      <c r="A480" s="2" t="n">
        <v>907</v>
      </c>
      <c r="B480" s="2" t="n">
        <v>11.0436019737185</v>
      </c>
      <c r="C480" s="2" t="n">
        <v>0</v>
      </c>
      <c r="D480" s="2" t="n">
        <v>11.0436019737185</v>
      </c>
    </row>
    <row r="481" customFormat="false" ht="13" hidden="false" customHeight="false" outlineLevel="0" collapsed="false">
      <c r="A481" s="2" t="n">
        <v>276</v>
      </c>
      <c r="B481" s="2" t="n">
        <v>0</v>
      </c>
      <c r="C481" s="2" t="n">
        <v>11.0849238081096</v>
      </c>
      <c r="D481" s="2" t="n">
        <v>11.0849238081096</v>
      </c>
    </row>
    <row r="482" customFormat="false" ht="13" hidden="false" customHeight="false" outlineLevel="0" collapsed="false">
      <c r="A482" s="2" t="n">
        <v>910</v>
      </c>
      <c r="B482" s="2" t="n">
        <v>11.2333204185808</v>
      </c>
      <c r="C482" s="2" t="n">
        <v>0</v>
      </c>
      <c r="D482" s="2" t="n">
        <v>11.2333204185808</v>
      </c>
    </row>
    <row r="483" customFormat="false" ht="13" hidden="false" customHeight="false" outlineLevel="0" collapsed="false">
      <c r="A483" s="2" t="n">
        <v>297</v>
      </c>
      <c r="B483" s="2" t="n">
        <v>11.2666916069828</v>
      </c>
      <c r="C483" s="2" t="n">
        <v>0</v>
      </c>
      <c r="D483" s="2" t="n">
        <v>11.2666916069828</v>
      </c>
    </row>
    <row r="484" customFormat="false" ht="13" hidden="false" customHeight="false" outlineLevel="0" collapsed="false">
      <c r="A484" s="2" t="n">
        <v>174</v>
      </c>
      <c r="B484" s="2" t="n">
        <v>0</v>
      </c>
      <c r="C484" s="2" t="n">
        <v>11.2790909655432</v>
      </c>
      <c r="D484" s="2" t="n">
        <v>11.2790909655432</v>
      </c>
    </row>
    <row r="485" customFormat="false" ht="13" hidden="false" customHeight="false" outlineLevel="0" collapsed="false">
      <c r="A485" s="2" t="n">
        <v>419</v>
      </c>
      <c r="B485" s="2" t="n">
        <v>11.2840525083694</v>
      </c>
      <c r="C485" s="2" t="n">
        <v>0</v>
      </c>
      <c r="D485" s="2" t="n">
        <v>11.2840525083694</v>
      </c>
    </row>
    <row r="486" customFormat="false" ht="13" hidden="false" customHeight="false" outlineLevel="0" collapsed="false">
      <c r="A486" s="2" t="n">
        <v>177</v>
      </c>
      <c r="B486" s="2" t="n">
        <v>0</v>
      </c>
      <c r="C486" s="2" t="n">
        <v>11.284798267224</v>
      </c>
      <c r="D486" s="2" t="n">
        <v>11.284798267224</v>
      </c>
    </row>
    <row r="487" customFormat="false" ht="13" hidden="false" customHeight="false" outlineLevel="0" collapsed="false">
      <c r="A487" s="2" t="n">
        <v>290</v>
      </c>
      <c r="B487" s="2" t="n">
        <v>0</v>
      </c>
      <c r="C487" s="2" t="n">
        <v>11.2911711071416</v>
      </c>
      <c r="D487" s="2" t="n">
        <v>11.2911711071416</v>
      </c>
    </row>
    <row r="488" customFormat="false" ht="13" hidden="false" customHeight="false" outlineLevel="0" collapsed="false">
      <c r="A488" s="2" t="n">
        <v>908</v>
      </c>
      <c r="B488" s="2" t="n">
        <v>11.3241095236615</v>
      </c>
      <c r="C488" s="2" t="n">
        <v>0</v>
      </c>
      <c r="D488" s="2" t="n">
        <v>11.3241095236615</v>
      </c>
    </row>
    <row r="489" customFormat="false" ht="13" hidden="false" customHeight="false" outlineLevel="0" collapsed="false">
      <c r="A489" s="2" t="n">
        <v>847</v>
      </c>
      <c r="B489" s="2" t="n">
        <v>0</v>
      </c>
      <c r="C489" s="2" t="n">
        <v>11.3367795100255</v>
      </c>
      <c r="D489" s="2" t="n">
        <v>11.3367795100255</v>
      </c>
    </row>
    <row r="490" customFormat="false" ht="13" hidden="false" customHeight="false" outlineLevel="0" collapsed="false">
      <c r="A490" s="2" t="n">
        <v>435</v>
      </c>
      <c r="B490" s="2" t="n">
        <v>11.3942277006349</v>
      </c>
      <c r="C490" s="2" t="n">
        <v>0</v>
      </c>
      <c r="D490" s="2" t="n">
        <v>11.3942277006349</v>
      </c>
    </row>
    <row r="491" customFormat="false" ht="13" hidden="false" customHeight="false" outlineLevel="0" collapsed="false">
      <c r="A491" s="2" t="n">
        <v>541</v>
      </c>
      <c r="B491" s="2" t="n">
        <v>0</v>
      </c>
      <c r="C491" s="2" t="n">
        <v>11.4106182463951</v>
      </c>
      <c r="D491" s="2" t="n">
        <v>11.4106182463951</v>
      </c>
    </row>
    <row r="492" customFormat="false" ht="13" hidden="false" customHeight="false" outlineLevel="0" collapsed="false">
      <c r="A492" s="2" t="n">
        <v>272</v>
      </c>
      <c r="B492" s="2" t="n">
        <v>0</v>
      </c>
      <c r="C492" s="2" t="n">
        <v>11.4471626957229</v>
      </c>
      <c r="D492" s="2" t="n">
        <v>11.4471626957229</v>
      </c>
    </row>
    <row r="493" customFormat="false" ht="13" hidden="false" customHeight="false" outlineLevel="0" collapsed="false">
      <c r="A493" s="2" t="n">
        <v>432</v>
      </c>
      <c r="B493" s="2" t="n">
        <v>11.5204183939471</v>
      </c>
      <c r="C493" s="2" t="n">
        <v>0</v>
      </c>
      <c r="D493" s="2" t="n">
        <v>11.5204183939471</v>
      </c>
    </row>
    <row r="494" customFormat="false" ht="13" hidden="false" customHeight="false" outlineLevel="0" collapsed="false">
      <c r="A494" s="2" t="n">
        <v>173</v>
      </c>
      <c r="B494" s="2" t="n">
        <v>0</v>
      </c>
      <c r="C494" s="2" t="n">
        <v>11.5954641233717</v>
      </c>
      <c r="D494" s="2" t="n">
        <v>11.5954641233717</v>
      </c>
    </row>
    <row r="495" customFormat="false" ht="13" hidden="false" customHeight="false" outlineLevel="0" collapsed="false">
      <c r="A495" s="2" t="n">
        <v>108</v>
      </c>
      <c r="B495" s="2" t="n">
        <v>11.5997980176244</v>
      </c>
      <c r="C495" s="2" t="n">
        <v>0</v>
      </c>
      <c r="D495" s="2" t="n">
        <v>11.5997980176244</v>
      </c>
    </row>
    <row r="496" customFormat="false" ht="13" hidden="false" customHeight="false" outlineLevel="0" collapsed="false">
      <c r="A496" s="2" t="n">
        <v>291</v>
      </c>
      <c r="B496" s="2" t="n">
        <v>0</v>
      </c>
      <c r="C496" s="2" t="n">
        <v>11.6579551859311</v>
      </c>
      <c r="D496" s="2" t="n">
        <v>11.6579551859311</v>
      </c>
    </row>
    <row r="497" customFormat="false" ht="13" hidden="false" customHeight="false" outlineLevel="0" collapsed="false">
      <c r="A497" s="2" t="n">
        <v>259</v>
      </c>
      <c r="B497" s="2" t="n">
        <v>11.6923545786255</v>
      </c>
      <c r="C497" s="2" t="n">
        <v>0</v>
      </c>
      <c r="D497" s="2" t="n">
        <v>11.6923545786255</v>
      </c>
    </row>
    <row r="498" customFormat="false" ht="13" hidden="false" customHeight="false" outlineLevel="0" collapsed="false">
      <c r="A498" s="2" t="n">
        <v>104</v>
      </c>
      <c r="B498" s="2" t="n">
        <v>11.7011037860542</v>
      </c>
      <c r="C498" s="2" t="n">
        <v>0</v>
      </c>
      <c r="D498" s="2" t="n">
        <v>11.7011037860542</v>
      </c>
    </row>
    <row r="499" customFormat="false" ht="13" hidden="false" customHeight="false" outlineLevel="0" collapsed="false">
      <c r="A499" s="2" t="n">
        <v>215</v>
      </c>
      <c r="B499" s="2" t="n">
        <v>11.7171332543466</v>
      </c>
      <c r="C499" s="2" t="n">
        <v>0</v>
      </c>
      <c r="D499" s="2" t="n">
        <v>11.7171332543466</v>
      </c>
    </row>
    <row r="500" customFormat="false" ht="13" hidden="false" customHeight="false" outlineLevel="0" collapsed="false">
      <c r="A500" s="2" t="n">
        <v>207</v>
      </c>
      <c r="B500" s="2" t="n">
        <v>11.7362006836333</v>
      </c>
      <c r="C500" s="2" t="n">
        <v>0</v>
      </c>
      <c r="D500" s="2" t="n">
        <v>11.7362006836333</v>
      </c>
    </row>
    <row r="501" customFormat="false" ht="13" hidden="false" customHeight="false" outlineLevel="0" collapsed="false">
      <c r="A501" s="2" t="n">
        <v>494</v>
      </c>
      <c r="B501" s="2" t="n">
        <v>11.7984735664503</v>
      </c>
      <c r="C501" s="2" t="n">
        <v>0</v>
      </c>
      <c r="D501" s="2" t="n">
        <v>11.7984735664503</v>
      </c>
    </row>
    <row r="502" customFormat="false" ht="13" hidden="false" customHeight="false" outlineLevel="0" collapsed="false">
      <c r="A502" s="2" t="n">
        <v>26</v>
      </c>
      <c r="B502" s="2" t="n">
        <v>0</v>
      </c>
      <c r="C502" s="2" t="n">
        <v>11.8538896237436</v>
      </c>
      <c r="D502" s="2" t="n">
        <v>11.8538896237436</v>
      </c>
    </row>
    <row r="503" customFormat="false" ht="13" hidden="false" customHeight="false" outlineLevel="0" collapsed="false">
      <c r="A503" s="2" t="n">
        <v>473</v>
      </c>
      <c r="B503" s="2" t="n">
        <v>11.8595284585267</v>
      </c>
      <c r="C503" s="2" t="n">
        <v>0</v>
      </c>
      <c r="D503" s="2" t="n">
        <v>11.8595284585267</v>
      </c>
    </row>
    <row r="504" customFormat="false" ht="13" hidden="false" customHeight="false" outlineLevel="0" collapsed="false">
      <c r="A504" s="2" t="n">
        <v>421</v>
      </c>
      <c r="B504" s="2" t="n">
        <v>0</v>
      </c>
      <c r="C504" s="2" t="n">
        <v>11.8786858679355</v>
      </c>
      <c r="D504" s="2" t="n">
        <v>11.8786858679355</v>
      </c>
    </row>
    <row r="505" customFormat="false" ht="13" hidden="false" customHeight="false" outlineLevel="0" collapsed="false">
      <c r="A505" s="2" t="n">
        <v>932</v>
      </c>
      <c r="B505" s="2" t="n">
        <v>11.8948263007301</v>
      </c>
      <c r="C505" s="2" t="n">
        <v>0</v>
      </c>
      <c r="D505" s="2" t="n">
        <v>11.8948263007301</v>
      </c>
    </row>
    <row r="506" customFormat="false" ht="13" hidden="false" customHeight="false" outlineLevel="0" collapsed="false">
      <c r="A506" s="2" t="n">
        <v>303</v>
      </c>
      <c r="B506" s="2" t="n">
        <v>0</v>
      </c>
      <c r="C506" s="2" t="n">
        <v>11.9550453926836</v>
      </c>
      <c r="D506" s="2" t="n">
        <v>11.9550453926836</v>
      </c>
    </row>
    <row r="507" customFormat="false" ht="13" hidden="false" customHeight="false" outlineLevel="0" collapsed="false">
      <c r="A507" s="2" t="n">
        <v>459</v>
      </c>
      <c r="B507" s="2" t="n">
        <v>12.0002145301829</v>
      </c>
      <c r="C507" s="2" t="n">
        <v>0</v>
      </c>
      <c r="D507" s="2" t="n">
        <v>12.0002145301829</v>
      </c>
    </row>
    <row r="508" customFormat="false" ht="13" hidden="false" customHeight="false" outlineLevel="0" collapsed="false">
      <c r="A508" s="2" t="n">
        <v>113</v>
      </c>
      <c r="B508" s="2" t="n">
        <v>12.0302078793773</v>
      </c>
      <c r="C508" s="2" t="n">
        <v>0</v>
      </c>
      <c r="D508" s="2" t="n">
        <v>12.0302078793773</v>
      </c>
    </row>
    <row r="509" customFormat="false" ht="13" hidden="false" customHeight="false" outlineLevel="0" collapsed="false">
      <c r="A509" s="2" t="n">
        <v>415</v>
      </c>
      <c r="B509" s="2" t="n">
        <v>0</v>
      </c>
      <c r="C509" s="2" t="n">
        <v>12.0661111031825</v>
      </c>
      <c r="D509" s="2" t="n">
        <v>12.0661111031825</v>
      </c>
    </row>
    <row r="510" customFormat="false" ht="13" hidden="false" customHeight="false" outlineLevel="0" collapsed="false">
      <c r="A510" s="2" t="n">
        <v>48</v>
      </c>
      <c r="B510" s="2" t="n">
        <v>0</v>
      </c>
      <c r="C510" s="2" t="n">
        <v>12.0891589239313</v>
      </c>
      <c r="D510" s="2" t="n">
        <v>12.0891589239313</v>
      </c>
    </row>
    <row r="511" customFormat="false" ht="13" hidden="false" customHeight="false" outlineLevel="0" collapsed="false">
      <c r="A511" s="2" t="n">
        <v>372</v>
      </c>
      <c r="B511" s="2" t="n">
        <v>12.1470804319412</v>
      </c>
      <c r="C511" s="2" t="n">
        <v>0</v>
      </c>
      <c r="D511" s="2" t="n">
        <v>12.1470804319412</v>
      </c>
    </row>
    <row r="512" customFormat="false" ht="13" hidden="false" customHeight="false" outlineLevel="0" collapsed="false">
      <c r="A512" s="2" t="n">
        <v>862</v>
      </c>
      <c r="B512" s="2" t="n">
        <v>0</v>
      </c>
      <c r="C512" s="2" t="n">
        <v>12.181127876659</v>
      </c>
      <c r="D512" s="2" t="n">
        <v>12.181127876659</v>
      </c>
    </row>
    <row r="513" customFormat="false" ht="13" hidden="false" customHeight="false" outlineLevel="0" collapsed="false">
      <c r="A513" s="2" t="n">
        <v>194</v>
      </c>
      <c r="B513" s="2" t="n">
        <v>12.2563883423525</v>
      </c>
      <c r="C513" s="2" t="n">
        <v>0</v>
      </c>
      <c r="D513" s="2" t="n">
        <v>12.2563883423525</v>
      </c>
    </row>
    <row r="514" customFormat="false" ht="13" hidden="false" customHeight="false" outlineLevel="0" collapsed="false">
      <c r="A514" s="2" t="n">
        <v>378</v>
      </c>
      <c r="B514" s="2" t="n">
        <v>12.2769327857662</v>
      </c>
      <c r="C514" s="2" t="n">
        <v>0</v>
      </c>
      <c r="D514" s="2" t="n">
        <v>12.2769327857662</v>
      </c>
    </row>
    <row r="515" customFormat="false" ht="13" hidden="false" customHeight="false" outlineLevel="0" collapsed="false">
      <c r="A515" s="2" t="n">
        <v>261</v>
      </c>
      <c r="B515" s="2" t="n">
        <v>12.2906107143197</v>
      </c>
      <c r="C515" s="2" t="n">
        <v>0</v>
      </c>
      <c r="D515" s="2" t="n">
        <v>12.2906107143197</v>
      </c>
    </row>
    <row r="516" customFormat="false" ht="13" hidden="false" customHeight="false" outlineLevel="0" collapsed="false">
      <c r="A516" s="2" t="n">
        <v>863</v>
      </c>
      <c r="B516" s="2" t="n">
        <v>0</v>
      </c>
      <c r="C516" s="2" t="n">
        <v>12.2950842934697</v>
      </c>
      <c r="D516" s="2" t="n">
        <v>12.2950842934697</v>
      </c>
    </row>
    <row r="517" customFormat="false" ht="13" hidden="false" customHeight="false" outlineLevel="0" collapsed="false">
      <c r="A517" s="2" t="n">
        <v>749</v>
      </c>
      <c r="B517" s="2" t="n">
        <v>0</v>
      </c>
      <c r="C517" s="2" t="n">
        <v>12.3108919982253</v>
      </c>
      <c r="D517" s="2" t="n">
        <v>12.3108919982253</v>
      </c>
    </row>
    <row r="518" customFormat="false" ht="13" hidden="false" customHeight="false" outlineLevel="0" collapsed="false">
      <c r="A518" s="2" t="n">
        <v>424</v>
      </c>
      <c r="B518" s="2" t="n">
        <v>12.3141847166904</v>
      </c>
      <c r="C518" s="2" t="n">
        <v>0</v>
      </c>
      <c r="D518" s="2" t="n">
        <v>12.3141847166904</v>
      </c>
    </row>
    <row r="519" customFormat="false" ht="13" hidden="false" customHeight="false" outlineLevel="0" collapsed="false">
      <c r="A519" s="2" t="n">
        <v>77</v>
      </c>
      <c r="B519" s="2" t="n">
        <v>0</v>
      </c>
      <c r="C519" s="2" t="n">
        <v>12.334848133927</v>
      </c>
      <c r="D519" s="2" t="n">
        <v>12.334848133927</v>
      </c>
    </row>
    <row r="520" customFormat="false" ht="13" hidden="false" customHeight="false" outlineLevel="0" collapsed="false">
      <c r="A520" s="2" t="n">
        <v>933</v>
      </c>
      <c r="B520" s="2" t="n">
        <v>12.3759154203357</v>
      </c>
      <c r="C520" s="2" t="n">
        <v>0</v>
      </c>
      <c r="D520" s="2" t="n">
        <v>12.3759154203357</v>
      </c>
    </row>
    <row r="521" customFormat="false" ht="13" hidden="false" customHeight="false" outlineLevel="0" collapsed="false">
      <c r="A521" s="2" t="n">
        <v>279</v>
      </c>
      <c r="B521" s="2" t="n">
        <v>0</v>
      </c>
      <c r="C521" s="2" t="n">
        <v>12.3977036517144</v>
      </c>
      <c r="D521" s="2" t="n">
        <v>12.3977036517144</v>
      </c>
    </row>
    <row r="522" customFormat="false" ht="13" hidden="false" customHeight="false" outlineLevel="0" collapsed="false">
      <c r="A522" s="2" t="n">
        <v>848</v>
      </c>
      <c r="B522" s="2" t="n">
        <v>0</v>
      </c>
      <c r="C522" s="2" t="n">
        <v>12.4662020942822</v>
      </c>
      <c r="D522" s="2" t="n">
        <v>12.4662020942822</v>
      </c>
    </row>
    <row r="523" customFormat="false" ht="13" hidden="false" customHeight="false" outlineLevel="0" collapsed="false">
      <c r="A523" s="2" t="n">
        <v>463</v>
      </c>
      <c r="B523" s="2" t="n">
        <v>12.5139839362759</v>
      </c>
      <c r="C523" s="2" t="n">
        <v>0</v>
      </c>
      <c r="D523" s="2" t="n">
        <v>12.5139839362759</v>
      </c>
    </row>
    <row r="524" customFormat="false" ht="13" hidden="false" customHeight="false" outlineLevel="0" collapsed="false">
      <c r="A524" s="2" t="n">
        <v>840</v>
      </c>
      <c r="B524" s="2" t="n">
        <v>0</v>
      </c>
      <c r="C524" s="2" t="n">
        <v>12.5162260880885</v>
      </c>
      <c r="D524" s="2" t="n">
        <v>12.5162260880885</v>
      </c>
    </row>
    <row r="525" customFormat="false" ht="13" hidden="false" customHeight="false" outlineLevel="0" collapsed="false">
      <c r="A525" s="2" t="n">
        <v>582</v>
      </c>
      <c r="B525" s="2" t="n">
        <v>0</v>
      </c>
      <c r="C525" s="2" t="n">
        <v>12.5335627571066</v>
      </c>
      <c r="D525" s="2" t="n">
        <v>12.5335627571066</v>
      </c>
    </row>
    <row r="526" customFormat="false" ht="13" hidden="false" customHeight="false" outlineLevel="0" collapsed="false">
      <c r="A526" s="2" t="n">
        <v>469</v>
      </c>
      <c r="B526" s="2" t="n">
        <v>12.5371903908355</v>
      </c>
      <c r="C526" s="2" t="n">
        <v>0</v>
      </c>
      <c r="D526" s="2" t="n">
        <v>12.5371903908355</v>
      </c>
    </row>
    <row r="527" customFormat="false" ht="13" hidden="false" customHeight="false" outlineLevel="0" collapsed="false">
      <c r="A527" s="2" t="n">
        <v>196</v>
      </c>
      <c r="B527" s="2" t="n">
        <v>12.5688529853041</v>
      </c>
      <c r="C527" s="2" t="n">
        <v>0</v>
      </c>
      <c r="D527" s="2" t="n">
        <v>12.5688529853041</v>
      </c>
    </row>
    <row r="528" customFormat="false" ht="13" hidden="false" customHeight="false" outlineLevel="0" collapsed="false">
      <c r="A528" s="2" t="n">
        <v>288</v>
      </c>
      <c r="B528" s="2" t="n">
        <v>0</v>
      </c>
      <c r="C528" s="2" t="n">
        <v>12.5809156378578</v>
      </c>
      <c r="D528" s="2" t="n">
        <v>12.5809156378578</v>
      </c>
    </row>
    <row r="529" customFormat="false" ht="13" hidden="false" customHeight="false" outlineLevel="0" collapsed="false">
      <c r="A529" s="2" t="n">
        <v>217</v>
      </c>
      <c r="B529" s="2" t="n">
        <v>12.6022783081504</v>
      </c>
      <c r="C529" s="2" t="n">
        <v>0</v>
      </c>
      <c r="D529" s="2" t="n">
        <v>12.6022783081504</v>
      </c>
    </row>
    <row r="530" customFormat="false" ht="13" hidden="false" customHeight="false" outlineLevel="0" collapsed="false">
      <c r="A530" s="2" t="n">
        <v>213</v>
      </c>
      <c r="B530" s="2" t="n">
        <v>0</v>
      </c>
      <c r="C530" s="2" t="n">
        <v>12.6625881811834</v>
      </c>
      <c r="D530" s="2" t="n">
        <v>12.6625881811834</v>
      </c>
    </row>
    <row r="531" customFormat="false" ht="13" hidden="false" customHeight="false" outlineLevel="0" collapsed="false">
      <c r="A531" s="2" t="n">
        <v>455</v>
      </c>
      <c r="B531" s="2" t="n">
        <v>12.6656347171646</v>
      </c>
      <c r="C531" s="2" t="n">
        <v>0</v>
      </c>
      <c r="D531" s="2" t="n">
        <v>12.6656347171646</v>
      </c>
    </row>
    <row r="532" customFormat="false" ht="13" hidden="false" customHeight="false" outlineLevel="0" collapsed="false">
      <c r="A532" s="2" t="n">
        <v>542</v>
      </c>
      <c r="B532" s="2" t="n">
        <v>0</v>
      </c>
      <c r="C532" s="2" t="n">
        <v>12.6800905797749</v>
      </c>
      <c r="D532" s="2" t="n">
        <v>12.6800905797749</v>
      </c>
    </row>
    <row r="533" customFormat="false" ht="13" hidden="false" customHeight="false" outlineLevel="0" collapsed="false">
      <c r="A533" s="2" t="n">
        <v>264</v>
      </c>
      <c r="B533" s="2" t="n">
        <v>12.7365840989416</v>
      </c>
      <c r="C533" s="2" t="n">
        <v>0</v>
      </c>
      <c r="D533" s="2" t="n">
        <v>12.7365840989416</v>
      </c>
    </row>
    <row r="534" customFormat="false" ht="13" hidden="false" customHeight="false" outlineLevel="0" collapsed="false">
      <c r="A534" s="2" t="n">
        <v>212</v>
      </c>
      <c r="B534" s="2" t="n">
        <v>12.7748529239535</v>
      </c>
      <c r="C534" s="2" t="n">
        <v>0</v>
      </c>
      <c r="D534" s="2" t="n">
        <v>12.7748529239535</v>
      </c>
    </row>
    <row r="535" customFormat="false" ht="13" hidden="false" customHeight="false" outlineLevel="0" collapsed="false">
      <c r="A535" s="2" t="n">
        <v>850</v>
      </c>
      <c r="B535" s="2" t="n">
        <v>0</v>
      </c>
      <c r="C535" s="2" t="n">
        <v>12.8133769365339</v>
      </c>
      <c r="D535" s="2" t="n">
        <v>12.8133769365339</v>
      </c>
    </row>
    <row r="536" customFormat="false" ht="13" hidden="false" customHeight="false" outlineLevel="0" collapsed="false">
      <c r="A536" s="2" t="n">
        <v>495</v>
      </c>
      <c r="B536" s="2" t="n">
        <v>12.8175589448978</v>
      </c>
      <c r="C536" s="2" t="n">
        <v>0</v>
      </c>
      <c r="D536" s="2" t="n">
        <v>12.8175589448978</v>
      </c>
    </row>
    <row r="537" customFormat="false" ht="13" hidden="false" customHeight="false" outlineLevel="0" collapsed="false">
      <c r="A537" s="2" t="n">
        <v>76</v>
      </c>
      <c r="B537" s="2" t="n">
        <v>0</v>
      </c>
      <c r="C537" s="2" t="n">
        <v>12.8401495055392</v>
      </c>
      <c r="D537" s="2" t="n">
        <v>12.8401495055392</v>
      </c>
    </row>
    <row r="538" customFormat="false" ht="13" hidden="false" customHeight="false" outlineLevel="0" collapsed="false">
      <c r="A538" s="2" t="n">
        <v>49</v>
      </c>
      <c r="B538" s="2" t="n">
        <v>0</v>
      </c>
      <c r="C538" s="2" t="n">
        <v>12.8696225777744</v>
      </c>
      <c r="D538" s="2" t="n">
        <v>12.8696225777744</v>
      </c>
    </row>
    <row r="539" customFormat="false" ht="13" hidden="false" customHeight="false" outlineLevel="0" collapsed="false">
      <c r="A539" s="2" t="n">
        <v>864</v>
      </c>
      <c r="B539" s="2" t="n">
        <v>0</v>
      </c>
      <c r="C539" s="2" t="n">
        <v>12.8734288022217</v>
      </c>
      <c r="D539" s="2" t="n">
        <v>12.8734288022217</v>
      </c>
    </row>
    <row r="540" customFormat="false" ht="13" hidden="false" customHeight="false" outlineLevel="0" collapsed="false">
      <c r="A540" s="2" t="n">
        <v>201</v>
      </c>
      <c r="B540" s="2" t="n">
        <v>12.9555656243179</v>
      </c>
      <c r="C540" s="2" t="n">
        <v>0</v>
      </c>
      <c r="D540" s="2" t="n">
        <v>12.9555656243179</v>
      </c>
    </row>
    <row r="541" customFormat="false" ht="13" hidden="false" customHeight="false" outlineLevel="0" collapsed="false">
      <c r="A541" s="2" t="n">
        <v>753</v>
      </c>
      <c r="B541" s="2" t="n">
        <v>0</v>
      </c>
      <c r="C541" s="2" t="n">
        <v>12.9577725959521</v>
      </c>
      <c r="D541" s="2" t="n">
        <v>12.9577725959521</v>
      </c>
    </row>
    <row r="542" customFormat="false" ht="13" hidden="false" customHeight="false" outlineLevel="0" collapsed="false">
      <c r="A542" s="2" t="n">
        <v>298</v>
      </c>
      <c r="B542" s="2" t="n">
        <v>12.9676620228327</v>
      </c>
      <c r="C542" s="2" t="n">
        <v>0</v>
      </c>
      <c r="D542" s="2" t="n">
        <v>12.9676620228327</v>
      </c>
    </row>
    <row r="543" customFormat="false" ht="13" hidden="false" customHeight="false" outlineLevel="0" collapsed="false">
      <c r="A543" s="2" t="n">
        <v>208</v>
      </c>
      <c r="B543" s="2" t="n">
        <v>13.0042816153735</v>
      </c>
      <c r="C543" s="2" t="n">
        <v>0</v>
      </c>
      <c r="D543" s="2" t="n">
        <v>13.0042816153735</v>
      </c>
    </row>
    <row r="544" customFormat="false" ht="13" hidden="false" customHeight="false" outlineLevel="0" collapsed="false">
      <c r="A544" s="2" t="n">
        <v>427</v>
      </c>
      <c r="B544" s="2" t="n">
        <v>13.0579922379479</v>
      </c>
      <c r="C544" s="2" t="n">
        <v>0</v>
      </c>
      <c r="D544" s="2" t="n">
        <v>13.0579922379479</v>
      </c>
    </row>
    <row r="545" customFormat="false" ht="13" hidden="false" customHeight="false" outlineLevel="0" collapsed="false">
      <c r="A545" s="2" t="n">
        <v>531</v>
      </c>
      <c r="B545" s="2" t="n">
        <v>13.0843140891154</v>
      </c>
      <c r="C545" s="2" t="n">
        <v>0</v>
      </c>
      <c r="D545" s="2" t="n">
        <v>13.0843140891154</v>
      </c>
    </row>
    <row r="546" customFormat="false" ht="13" hidden="false" customHeight="false" outlineLevel="0" collapsed="false">
      <c r="A546" s="2" t="n">
        <v>544</v>
      </c>
      <c r="B546" s="2" t="n">
        <v>13.1019755051817</v>
      </c>
      <c r="C546" s="2" t="n">
        <v>0</v>
      </c>
      <c r="D546" s="2" t="n">
        <v>13.1019755051817</v>
      </c>
    </row>
    <row r="547" customFormat="false" ht="13" hidden="false" customHeight="false" outlineLevel="0" collapsed="false">
      <c r="A547" s="2" t="n">
        <v>436</v>
      </c>
      <c r="B547" s="2" t="n">
        <v>13.1340336467536</v>
      </c>
      <c r="C547" s="2" t="n">
        <v>0</v>
      </c>
      <c r="D547" s="2" t="n">
        <v>13.1340336467536</v>
      </c>
    </row>
    <row r="548" customFormat="false" ht="13" hidden="false" customHeight="false" outlineLevel="0" collapsed="false">
      <c r="A548" s="2" t="n">
        <v>832</v>
      </c>
      <c r="B548" s="2" t="n">
        <v>0</v>
      </c>
      <c r="C548" s="2" t="n">
        <v>13.1620544110476</v>
      </c>
      <c r="D548" s="2" t="n">
        <v>13.1620544110476</v>
      </c>
    </row>
    <row r="549" customFormat="false" ht="13" hidden="false" customHeight="false" outlineLevel="0" collapsed="false">
      <c r="A549" s="2" t="n">
        <v>750</v>
      </c>
      <c r="B549" s="2" t="n">
        <v>0</v>
      </c>
      <c r="C549" s="2" t="n">
        <v>13.1711403973449</v>
      </c>
      <c r="D549" s="2" t="n">
        <v>13.1711403973449</v>
      </c>
    </row>
    <row r="550" customFormat="false" ht="13" hidden="false" customHeight="false" outlineLevel="0" collapsed="false">
      <c r="A550" s="2" t="n">
        <v>178</v>
      </c>
      <c r="B550" s="2" t="n">
        <v>0</v>
      </c>
      <c r="C550" s="2" t="n">
        <v>13.1974620448395</v>
      </c>
      <c r="D550" s="2" t="n">
        <v>13.1974620448395</v>
      </c>
    </row>
    <row r="551" customFormat="false" ht="13" hidden="false" customHeight="false" outlineLevel="0" collapsed="false">
      <c r="A551" s="2" t="n">
        <v>110</v>
      </c>
      <c r="B551" s="2" t="n">
        <v>13.2292348131783</v>
      </c>
      <c r="C551" s="2" t="n">
        <v>0</v>
      </c>
      <c r="D551" s="2" t="n">
        <v>13.2292348131783</v>
      </c>
    </row>
    <row r="552" customFormat="false" ht="13" hidden="false" customHeight="false" outlineLevel="0" collapsed="false">
      <c r="A552" s="2" t="n">
        <v>181</v>
      </c>
      <c r="B552" s="2" t="n">
        <v>0</v>
      </c>
      <c r="C552" s="2" t="n">
        <v>13.2631544501461</v>
      </c>
      <c r="D552" s="2" t="n">
        <v>13.2631544501461</v>
      </c>
    </row>
    <row r="553" customFormat="false" ht="13" hidden="false" customHeight="false" outlineLevel="0" collapsed="false">
      <c r="A553" s="2" t="n">
        <v>466</v>
      </c>
      <c r="B553" s="2" t="n">
        <v>13.2864177713307</v>
      </c>
      <c r="C553" s="2" t="n">
        <v>0</v>
      </c>
      <c r="D553" s="2" t="n">
        <v>13.2864177713307</v>
      </c>
    </row>
    <row r="554" customFormat="false" ht="13" hidden="false" customHeight="false" outlineLevel="0" collapsed="false">
      <c r="A554" s="2" t="n">
        <v>425</v>
      </c>
      <c r="B554" s="2" t="n">
        <v>13.3058382433886</v>
      </c>
      <c r="C554" s="2" t="n">
        <v>0</v>
      </c>
      <c r="D554" s="2" t="n">
        <v>13.3058382433886</v>
      </c>
    </row>
    <row r="555" customFormat="false" ht="13" hidden="false" customHeight="false" outlineLevel="0" collapsed="false">
      <c r="A555" s="2" t="n">
        <v>209</v>
      </c>
      <c r="B555" s="2" t="n">
        <v>0</v>
      </c>
      <c r="C555" s="2" t="n">
        <v>13.3334732454493</v>
      </c>
      <c r="D555" s="2" t="n">
        <v>13.3334732454493</v>
      </c>
    </row>
    <row r="556" customFormat="false" ht="13" hidden="false" customHeight="false" outlineLevel="0" collapsed="false">
      <c r="A556" s="2" t="n">
        <v>292</v>
      </c>
      <c r="B556" s="2" t="n">
        <v>0</v>
      </c>
      <c r="C556" s="2" t="n">
        <v>13.3525225738883</v>
      </c>
      <c r="D556" s="2" t="n">
        <v>13.3525225738883</v>
      </c>
    </row>
    <row r="557" customFormat="false" ht="13" hidden="false" customHeight="false" outlineLevel="0" collapsed="false">
      <c r="A557" s="2" t="n">
        <v>467</v>
      </c>
      <c r="B557" s="2" t="n">
        <v>13.4006110485253</v>
      </c>
      <c r="C557" s="2" t="n">
        <v>0</v>
      </c>
      <c r="D557" s="2" t="n">
        <v>13.4006110485253</v>
      </c>
    </row>
    <row r="558" customFormat="false" ht="13" hidden="false" customHeight="false" outlineLevel="0" collapsed="false">
      <c r="A558" s="2" t="n">
        <v>496</v>
      </c>
      <c r="B558" s="2" t="n">
        <v>13.4525284213538</v>
      </c>
      <c r="C558" s="2" t="n">
        <v>0</v>
      </c>
      <c r="D558" s="2" t="n">
        <v>13.4525284213538</v>
      </c>
    </row>
    <row r="559" customFormat="false" ht="13" hidden="false" customHeight="false" outlineLevel="0" collapsed="false">
      <c r="A559" s="2" t="n">
        <v>758</v>
      </c>
      <c r="B559" s="2" t="n">
        <v>0</v>
      </c>
      <c r="C559" s="2" t="n">
        <v>13.4848282149954</v>
      </c>
      <c r="D559" s="2" t="n">
        <v>13.4848282149954</v>
      </c>
    </row>
    <row r="560" customFormat="false" ht="13" hidden="false" customHeight="false" outlineLevel="0" collapsed="false">
      <c r="A560" s="2" t="n">
        <v>456</v>
      </c>
      <c r="B560" s="2" t="n">
        <v>13.5070309481013</v>
      </c>
      <c r="C560" s="2" t="n">
        <v>0</v>
      </c>
      <c r="D560" s="2" t="n">
        <v>13.5070309481013</v>
      </c>
    </row>
    <row r="561" customFormat="false" ht="13" hidden="false" customHeight="false" outlineLevel="0" collapsed="false">
      <c r="A561" s="2" t="n">
        <v>203</v>
      </c>
      <c r="B561" s="2" t="n">
        <v>13.5262090557982</v>
      </c>
      <c r="C561" s="2" t="n">
        <v>0</v>
      </c>
      <c r="D561" s="2" t="n">
        <v>13.5262090557982</v>
      </c>
    </row>
    <row r="562" customFormat="false" ht="13" hidden="false" customHeight="false" outlineLevel="0" collapsed="false">
      <c r="A562" s="2" t="n">
        <v>30</v>
      </c>
      <c r="B562" s="2" t="n">
        <v>0</v>
      </c>
      <c r="C562" s="2" t="n">
        <v>13.576563789716</v>
      </c>
      <c r="D562" s="2" t="n">
        <v>13.576563789716</v>
      </c>
    </row>
    <row r="563" customFormat="false" ht="13" hidden="false" customHeight="false" outlineLevel="0" collapsed="false">
      <c r="A563" s="2" t="n">
        <v>551</v>
      </c>
      <c r="B563" s="2" t="n">
        <v>0</v>
      </c>
      <c r="C563" s="2" t="n">
        <v>13.6145536755387</v>
      </c>
      <c r="D563" s="2" t="n">
        <v>13.6145536755387</v>
      </c>
    </row>
    <row r="564" customFormat="false" ht="13" hidden="false" customHeight="false" outlineLevel="0" collapsed="false">
      <c r="A564" s="2" t="n">
        <v>32</v>
      </c>
      <c r="B564" s="2" t="n">
        <v>0</v>
      </c>
      <c r="C564" s="2" t="n">
        <v>13.6358791785342</v>
      </c>
      <c r="D564" s="2" t="n">
        <v>13.6358791785342</v>
      </c>
    </row>
    <row r="565" customFormat="false" ht="13" hidden="false" customHeight="false" outlineLevel="0" collapsed="false">
      <c r="A565" s="2" t="n">
        <v>474</v>
      </c>
      <c r="B565" s="2" t="n">
        <v>13.6647407754599</v>
      </c>
      <c r="C565" s="2" t="n">
        <v>0</v>
      </c>
      <c r="D565" s="2" t="n">
        <v>13.6647407754599</v>
      </c>
    </row>
    <row r="566" customFormat="false" ht="13" hidden="false" customHeight="false" outlineLevel="0" collapsed="false">
      <c r="A566" s="2" t="n">
        <v>211</v>
      </c>
      <c r="B566" s="2" t="n">
        <v>0</v>
      </c>
      <c r="C566" s="2" t="n">
        <v>13.6834712726676</v>
      </c>
      <c r="D566" s="2" t="n">
        <v>13.6834712726676</v>
      </c>
    </row>
    <row r="567" customFormat="false" ht="13" hidden="false" customHeight="false" outlineLevel="0" collapsed="false">
      <c r="A567" s="2" t="n">
        <v>550</v>
      </c>
      <c r="B567" s="2" t="n">
        <v>0</v>
      </c>
      <c r="C567" s="2" t="n">
        <v>13.691211111372</v>
      </c>
      <c r="D567" s="2" t="n">
        <v>13.691211111372</v>
      </c>
    </row>
    <row r="568" customFormat="false" ht="13" hidden="false" customHeight="false" outlineLevel="0" collapsed="false">
      <c r="A568" s="2" t="n">
        <v>210</v>
      </c>
      <c r="B568" s="2" t="n">
        <v>13.7266263126603</v>
      </c>
      <c r="C568" s="2" t="n">
        <v>0</v>
      </c>
      <c r="D568" s="2" t="n">
        <v>13.7266263126603</v>
      </c>
    </row>
    <row r="569" customFormat="false" ht="13" hidden="false" customHeight="false" outlineLevel="0" collapsed="false">
      <c r="A569" s="2" t="n">
        <v>66</v>
      </c>
      <c r="B569" s="2" t="n">
        <v>0</v>
      </c>
      <c r="C569" s="2" t="n">
        <v>13.7697438615959</v>
      </c>
      <c r="D569" s="2" t="n">
        <v>13.7697438615959</v>
      </c>
    </row>
    <row r="570" customFormat="false" ht="13" hidden="false" customHeight="false" outlineLevel="0" collapsed="false">
      <c r="A570" s="2" t="n">
        <v>119</v>
      </c>
      <c r="B570" s="2" t="n">
        <v>0</v>
      </c>
      <c r="C570" s="2" t="n">
        <v>13.7826408285453</v>
      </c>
      <c r="D570" s="2" t="n">
        <v>13.7826408285453</v>
      </c>
    </row>
    <row r="571" customFormat="false" ht="13" hidden="false" customHeight="false" outlineLevel="0" collapsed="false">
      <c r="A571" s="2" t="n">
        <v>499</v>
      </c>
      <c r="B571" s="2" t="n">
        <v>13.817262942092</v>
      </c>
      <c r="C571" s="2" t="n">
        <v>0</v>
      </c>
      <c r="D571" s="2" t="n">
        <v>13.817262942092</v>
      </c>
    </row>
    <row r="572" customFormat="false" ht="13" hidden="false" customHeight="false" outlineLevel="0" collapsed="false">
      <c r="A572" s="2" t="n">
        <v>80</v>
      </c>
      <c r="B572" s="2" t="n">
        <v>0</v>
      </c>
      <c r="C572" s="2" t="n">
        <v>13.8393657873285</v>
      </c>
      <c r="D572" s="2" t="n">
        <v>13.8393657873285</v>
      </c>
    </row>
    <row r="573" customFormat="false" ht="13" hidden="false" customHeight="false" outlineLevel="0" collapsed="false">
      <c r="A573" s="2" t="n">
        <v>265</v>
      </c>
      <c r="B573" s="2" t="n">
        <v>13.8564629630875</v>
      </c>
      <c r="C573" s="2" t="n">
        <v>0</v>
      </c>
      <c r="D573" s="2" t="n">
        <v>13.8564629630875</v>
      </c>
    </row>
    <row r="574" customFormat="false" ht="13" hidden="false" customHeight="false" outlineLevel="0" collapsed="false">
      <c r="A574" s="2" t="n">
        <v>304</v>
      </c>
      <c r="B574" s="2" t="n">
        <v>0</v>
      </c>
      <c r="C574" s="2" t="n">
        <v>13.8710426963366</v>
      </c>
      <c r="D574" s="2" t="n">
        <v>13.8710426963366</v>
      </c>
    </row>
    <row r="575" customFormat="false" ht="13" hidden="false" customHeight="false" outlineLevel="0" collapsed="false">
      <c r="A575" s="2" t="n">
        <v>58</v>
      </c>
      <c r="B575" s="2" t="n">
        <v>0</v>
      </c>
      <c r="C575" s="2" t="n">
        <v>13.8963071002494</v>
      </c>
      <c r="D575" s="2" t="n">
        <v>13.8963071002494</v>
      </c>
    </row>
    <row r="576" customFormat="false" ht="13" hidden="false" customHeight="false" outlineLevel="0" collapsed="false">
      <c r="A576" s="2" t="n">
        <v>50</v>
      </c>
      <c r="B576" s="2" t="n">
        <v>0</v>
      </c>
      <c r="C576" s="2" t="n">
        <v>13.9049579984125</v>
      </c>
      <c r="D576" s="2" t="n">
        <v>13.9049579984125</v>
      </c>
    </row>
    <row r="577" customFormat="false" ht="13" hidden="false" customHeight="false" outlineLevel="0" collapsed="false">
      <c r="A577" s="2" t="n">
        <v>105</v>
      </c>
      <c r="B577" s="2" t="n">
        <v>13.9059336620789</v>
      </c>
      <c r="C577" s="2" t="n">
        <v>0</v>
      </c>
      <c r="D577" s="2" t="n">
        <v>13.9059336620789</v>
      </c>
    </row>
    <row r="578" customFormat="false" ht="13" hidden="false" customHeight="false" outlineLevel="0" collapsed="false">
      <c r="A578" s="2" t="n">
        <v>27</v>
      </c>
      <c r="B578" s="2" t="n">
        <v>0</v>
      </c>
      <c r="C578" s="2" t="n">
        <v>13.9099053097737</v>
      </c>
      <c r="D578" s="2" t="n">
        <v>13.9099053097737</v>
      </c>
    </row>
    <row r="579" customFormat="false" ht="13" hidden="false" customHeight="false" outlineLevel="0" collapsed="false">
      <c r="A579" s="2" t="n">
        <v>224</v>
      </c>
      <c r="B579" s="2" t="n">
        <v>13.9345279274001</v>
      </c>
      <c r="C579" s="2" t="n">
        <v>0</v>
      </c>
      <c r="D579" s="2" t="n">
        <v>13.9345279274001</v>
      </c>
    </row>
    <row r="580" customFormat="false" ht="13" hidden="false" customHeight="false" outlineLevel="0" collapsed="false">
      <c r="A580" s="2" t="n">
        <v>868</v>
      </c>
      <c r="B580" s="2" t="n">
        <v>0</v>
      </c>
      <c r="C580" s="2" t="n">
        <v>13.9418851192358</v>
      </c>
      <c r="D580" s="2" t="n">
        <v>13.9418851192358</v>
      </c>
    </row>
    <row r="581" customFormat="false" ht="13" hidden="false" customHeight="false" outlineLevel="0" collapsed="false">
      <c r="A581" s="2" t="n">
        <v>78</v>
      </c>
      <c r="B581" s="2" t="n">
        <v>0</v>
      </c>
      <c r="C581" s="2" t="n">
        <v>13.9507087975907</v>
      </c>
      <c r="D581" s="2" t="n">
        <v>13.9507087975907</v>
      </c>
    </row>
    <row r="582" customFormat="false" ht="13" hidden="false" customHeight="false" outlineLevel="0" collapsed="false">
      <c r="A582" s="2" t="n">
        <v>866</v>
      </c>
      <c r="B582" s="2" t="n">
        <v>0</v>
      </c>
      <c r="C582" s="2" t="n">
        <v>13.9591131643605</v>
      </c>
      <c r="D582" s="2" t="n">
        <v>13.9591131643605</v>
      </c>
    </row>
    <row r="583" customFormat="false" ht="13" hidden="false" customHeight="false" outlineLevel="0" collapsed="false">
      <c r="A583" s="2" t="n">
        <v>854</v>
      </c>
      <c r="B583" s="2" t="n">
        <v>0</v>
      </c>
      <c r="C583" s="2" t="n">
        <v>13.9711462108438</v>
      </c>
      <c r="D583" s="2" t="n">
        <v>13.9711462108438</v>
      </c>
    </row>
    <row r="584" customFormat="false" ht="13" hidden="false" customHeight="false" outlineLevel="0" collapsed="false">
      <c r="A584" s="2" t="n">
        <v>500</v>
      </c>
      <c r="B584" s="2" t="n">
        <v>14.0168992845969</v>
      </c>
      <c r="C584" s="2" t="n">
        <v>0</v>
      </c>
      <c r="D584" s="2" t="n">
        <v>14.0168992845969</v>
      </c>
    </row>
    <row r="585" customFormat="false" ht="13" hidden="false" customHeight="false" outlineLevel="0" collapsed="false">
      <c r="A585" s="2" t="n">
        <v>299</v>
      </c>
      <c r="B585" s="2" t="n">
        <v>14.0200326797351</v>
      </c>
      <c r="C585" s="2" t="n">
        <v>0</v>
      </c>
      <c r="D585" s="2" t="n">
        <v>14.0200326797351</v>
      </c>
    </row>
    <row r="586" customFormat="false" ht="13" hidden="false" customHeight="false" outlineLevel="0" collapsed="false">
      <c r="A586" s="2" t="n">
        <v>755</v>
      </c>
      <c r="B586" s="2" t="n">
        <v>0</v>
      </c>
      <c r="C586" s="2" t="n">
        <v>14.0247776908332</v>
      </c>
      <c r="D586" s="2" t="n">
        <v>14.0247776908332</v>
      </c>
    </row>
    <row r="587" customFormat="false" ht="13" hidden="false" customHeight="false" outlineLevel="0" collapsed="false">
      <c r="A587" s="2" t="n">
        <v>564</v>
      </c>
      <c r="B587" s="2" t="n">
        <v>0</v>
      </c>
      <c r="C587" s="2" t="n">
        <v>14.033990606295</v>
      </c>
      <c r="D587" s="2" t="n">
        <v>14.033990606295</v>
      </c>
    </row>
    <row r="588" customFormat="false" ht="13" hidden="false" customHeight="false" outlineLevel="0" collapsed="false">
      <c r="A588" s="2" t="n">
        <v>86</v>
      </c>
      <c r="B588" s="2" t="n">
        <v>0</v>
      </c>
      <c r="C588" s="2" t="n">
        <v>14.0961440572923</v>
      </c>
      <c r="D588" s="2" t="n">
        <v>14.0961440572923</v>
      </c>
    </row>
    <row r="589" customFormat="false" ht="13" hidden="false" customHeight="false" outlineLevel="0" collapsed="false">
      <c r="A589" s="2" t="n">
        <v>60</v>
      </c>
      <c r="B589" s="2" t="n">
        <v>0</v>
      </c>
      <c r="C589" s="2" t="n">
        <v>14.1002829101262</v>
      </c>
      <c r="D589" s="2" t="n">
        <v>14.1002829101262</v>
      </c>
    </row>
    <row r="590" customFormat="false" ht="13" hidden="false" customHeight="false" outlineLevel="0" collapsed="false">
      <c r="A590" s="2" t="n">
        <v>437</v>
      </c>
      <c r="B590" s="2" t="n">
        <v>14.1184949597685</v>
      </c>
      <c r="C590" s="2" t="n">
        <v>0</v>
      </c>
      <c r="D590" s="2" t="n">
        <v>14.1184949597685</v>
      </c>
    </row>
    <row r="591" customFormat="false" ht="13" hidden="false" customHeight="false" outlineLevel="0" collapsed="false">
      <c r="A591" s="2" t="n">
        <v>293</v>
      </c>
      <c r="B591" s="2" t="n">
        <v>0</v>
      </c>
      <c r="C591" s="2" t="n">
        <v>14.1338425263862</v>
      </c>
      <c r="D591" s="2" t="n">
        <v>14.1338425263862</v>
      </c>
    </row>
    <row r="592" customFormat="false" ht="13" hidden="false" customHeight="false" outlineLevel="0" collapsed="false">
      <c r="A592" s="2" t="n">
        <v>118</v>
      </c>
      <c r="B592" s="2" t="n">
        <v>0</v>
      </c>
      <c r="C592" s="2" t="n">
        <v>14.1684883571515</v>
      </c>
      <c r="D592" s="2" t="n">
        <v>14.1684883571515</v>
      </c>
    </row>
    <row r="593" customFormat="false" ht="13" hidden="false" customHeight="false" outlineLevel="0" collapsed="false">
      <c r="A593" s="2" t="n">
        <v>373</v>
      </c>
      <c r="B593" s="2" t="n">
        <v>14.1751207888665</v>
      </c>
      <c r="C593" s="2" t="n">
        <v>0</v>
      </c>
      <c r="D593" s="2" t="n">
        <v>14.1751207888665</v>
      </c>
    </row>
    <row r="594" customFormat="false" ht="13" hidden="false" customHeight="false" outlineLevel="0" collapsed="false">
      <c r="A594" s="2" t="n">
        <v>754</v>
      </c>
      <c r="B594" s="2" t="n">
        <v>0</v>
      </c>
      <c r="C594" s="2" t="n">
        <v>14.1788288185659</v>
      </c>
      <c r="D594" s="2" t="n">
        <v>14.1788288185659</v>
      </c>
    </row>
    <row r="595" customFormat="false" ht="13" hidden="false" customHeight="false" outlineLevel="0" collapsed="false">
      <c r="A595" s="2" t="n">
        <v>557</v>
      </c>
      <c r="B595" s="2" t="n">
        <v>0</v>
      </c>
      <c r="C595" s="2" t="n">
        <v>14.203452406168</v>
      </c>
      <c r="D595" s="2" t="n">
        <v>14.203452406168</v>
      </c>
    </row>
    <row r="596" customFormat="false" ht="13" hidden="false" customHeight="false" outlineLevel="0" collapsed="false">
      <c r="A596" s="2" t="n">
        <v>538</v>
      </c>
      <c r="B596" s="2" t="n">
        <v>14.2131369757309</v>
      </c>
      <c r="C596" s="2" t="n">
        <v>0</v>
      </c>
      <c r="D596" s="2" t="n">
        <v>14.2131369757309</v>
      </c>
    </row>
    <row r="597" customFormat="false" ht="13" hidden="false" customHeight="false" outlineLevel="0" collapsed="false">
      <c r="A597" s="2" t="n">
        <v>121</v>
      </c>
      <c r="B597" s="2" t="n">
        <v>0</v>
      </c>
      <c r="C597" s="2" t="n">
        <v>14.2229336556455</v>
      </c>
      <c r="D597" s="2" t="n">
        <v>14.2229336556455</v>
      </c>
    </row>
    <row r="598" customFormat="false" ht="13" hidden="false" customHeight="false" outlineLevel="0" collapsed="false">
      <c r="A598" s="2" t="n">
        <v>453</v>
      </c>
      <c r="B598" s="2" t="n">
        <v>14.2682105625296</v>
      </c>
      <c r="C598" s="2" t="n">
        <v>0</v>
      </c>
      <c r="D598" s="2" t="n">
        <v>14.2682105625296</v>
      </c>
    </row>
    <row r="599" customFormat="false" ht="13" hidden="false" customHeight="false" outlineLevel="0" collapsed="false">
      <c r="A599" s="2" t="n">
        <v>218</v>
      </c>
      <c r="B599" s="2" t="n">
        <v>14.2961665711476</v>
      </c>
      <c r="C599" s="2" t="n">
        <v>0</v>
      </c>
      <c r="D599" s="2" t="n">
        <v>14.2961665711476</v>
      </c>
    </row>
    <row r="600" customFormat="false" ht="13" hidden="false" customHeight="false" outlineLevel="0" collapsed="false">
      <c r="A600" s="2" t="n">
        <v>254</v>
      </c>
      <c r="B600" s="2" t="n">
        <v>14.3201238056294</v>
      </c>
      <c r="C600" s="2" t="n">
        <v>0</v>
      </c>
      <c r="D600" s="2" t="n">
        <v>14.3201238056294</v>
      </c>
    </row>
    <row r="601" customFormat="false" ht="13" hidden="false" customHeight="false" outlineLevel="0" collapsed="false">
      <c r="A601" s="2" t="n">
        <v>841</v>
      </c>
      <c r="B601" s="2" t="n">
        <v>0</v>
      </c>
      <c r="C601" s="2" t="n">
        <v>14.3290738657012</v>
      </c>
      <c r="D601" s="2" t="n">
        <v>14.3290738657012</v>
      </c>
    </row>
    <row r="602" customFormat="false" ht="13" hidden="false" customHeight="false" outlineLevel="0" collapsed="false">
      <c r="A602" s="2" t="n">
        <v>534</v>
      </c>
      <c r="B602" s="2" t="n">
        <v>14.3373814675697</v>
      </c>
      <c r="C602" s="2" t="n">
        <v>0</v>
      </c>
      <c r="D602" s="2" t="n">
        <v>14.3373814675697</v>
      </c>
    </row>
    <row r="603" customFormat="false" ht="13" hidden="false" customHeight="false" outlineLevel="0" collapsed="false">
      <c r="A603" s="2" t="n">
        <v>816</v>
      </c>
      <c r="B603" s="2" t="n">
        <v>14.3448668617967</v>
      </c>
      <c r="C603" s="2" t="n">
        <v>0</v>
      </c>
      <c r="D603" s="2" t="n">
        <v>14.3448668617967</v>
      </c>
    </row>
    <row r="604" customFormat="false" ht="13" hidden="false" customHeight="false" outlineLevel="0" collapsed="false">
      <c r="A604" s="2" t="n">
        <v>795</v>
      </c>
      <c r="B604" s="2" t="n">
        <v>0</v>
      </c>
      <c r="C604" s="2" t="n">
        <v>14.3825896205982</v>
      </c>
      <c r="D604" s="2" t="n">
        <v>14.3825896205982</v>
      </c>
    </row>
    <row r="605" customFormat="false" ht="13" hidden="false" customHeight="false" outlineLevel="0" collapsed="false">
      <c r="A605" s="2" t="n">
        <v>464</v>
      </c>
      <c r="B605" s="2" t="n">
        <v>14.3906496749702</v>
      </c>
      <c r="C605" s="2" t="n">
        <v>0</v>
      </c>
      <c r="D605" s="2" t="n">
        <v>14.3906496749702</v>
      </c>
    </row>
    <row r="606" customFormat="false" ht="13" hidden="false" customHeight="false" outlineLevel="0" collapsed="false">
      <c r="A606" s="2" t="n">
        <v>230</v>
      </c>
      <c r="B606" s="2" t="n">
        <v>14.3934737500705</v>
      </c>
      <c r="C606" s="2" t="n">
        <v>0</v>
      </c>
      <c r="D606" s="2" t="n">
        <v>14.3934737500705</v>
      </c>
    </row>
    <row r="607" customFormat="false" ht="13" hidden="false" customHeight="false" outlineLevel="0" collapsed="false">
      <c r="A607" s="2" t="n">
        <v>843</v>
      </c>
      <c r="B607" s="2" t="n">
        <v>0</v>
      </c>
      <c r="C607" s="2" t="n">
        <v>14.4205327780803</v>
      </c>
      <c r="D607" s="2" t="n">
        <v>14.4205327780803</v>
      </c>
    </row>
    <row r="608" customFormat="false" ht="13" hidden="false" customHeight="false" outlineLevel="0" collapsed="false">
      <c r="A608" s="2" t="n">
        <v>266</v>
      </c>
      <c r="B608" s="2" t="n">
        <v>14.4469042965786</v>
      </c>
      <c r="C608" s="2" t="n">
        <v>0</v>
      </c>
      <c r="D608" s="2" t="n">
        <v>14.4469042965786</v>
      </c>
    </row>
    <row r="609" customFormat="false" ht="13" hidden="false" customHeight="false" outlineLevel="0" collapsed="false">
      <c r="A609" s="2" t="n">
        <v>573</v>
      </c>
      <c r="B609" s="2" t="n">
        <v>14.4486369795741</v>
      </c>
      <c r="C609" s="2" t="n">
        <v>0</v>
      </c>
      <c r="D609" s="2" t="n">
        <v>14.4486369795741</v>
      </c>
    </row>
    <row r="610" customFormat="false" ht="13" hidden="false" customHeight="false" outlineLevel="0" collapsed="false">
      <c r="A610" s="2" t="n">
        <v>197</v>
      </c>
      <c r="B610" s="2" t="n">
        <v>14.4775885399072</v>
      </c>
      <c r="C610" s="2" t="n">
        <v>0</v>
      </c>
      <c r="D610" s="2" t="n">
        <v>14.4775885399072</v>
      </c>
    </row>
    <row r="611" customFormat="false" ht="13" hidden="false" customHeight="false" outlineLevel="0" collapsed="false">
      <c r="A611" s="2" t="n">
        <v>851</v>
      </c>
      <c r="B611" s="2" t="n">
        <v>0</v>
      </c>
      <c r="C611" s="2" t="n">
        <v>14.5237767160605</v>
      </c>
      <c r="D611" s="2" t="n">
        <v>14.5237767160605</v>
      </c>
    </row>
    <row r="612" customFormat="false" ht="13" hidden="false" customHeight="false" outlineLevel="0" collapsed="false">
      <c r="A612" s="2" t="n">
        <v>565</v>
      </c>
      <c r="B612" s="2" t="n">
        <v>0</v>
      </c>
      <c r="C612" s="2" t="n">
        <v>14.5350927803772</v>
      </c>
      <c r="D612" s="2" t="n">
        <v>14.5350927803772</v>
      </c>
    </row>
    <row r="613" customFormat="false" ht="13" hidden="false" customHeight="false" outlineLevel="0" collapsed="false">
      <c r="A613" s="2" t="n">
        <v>869</v>
      </c>
      <c r="B613" s="2" t="n">
        <v>0</v>
      </c>
      <c r="C613" s="2" t="n">
        <v>14.5764016937048</v>
      </c>
      <c r="D613" s="2" t="n">
        <v>14.5764016937048</v>
      </c>
    </row>
    <row r="614" customFormat="false" ht="13" hidden="false" customHeight="false" outlineLevel="0" collapsed="false">
      <c r="A614" s="2" t="n">
        <v>523</v>
      </c>
      <c r="B614" s="2" t="n">
        <v>14.6165515555037</v>
      </c>
      <c r="C614" s="2" t="n">
        <v>0</v>
      </c>
      <c r="D614" s="2" t="n">
        <v>14.6165515555037</v>
      </c>
    </row>
    <row r="615" customFormat="false" ht="13" hidden="false" customHeight="false" outlineLevel="0" collapsed="false">
      <c r="A615" s="2" t="n">
        <v>497</v>
      </c>
      <c r="B615" s="2" t="n">
        <v>14.6166842133393</v>
      </c>
      <c r="C615" s="2" t="n">
        <v>0</v>
      </c>
      <c r="D615" s="2" t="n">
        <v>14.6166842133393</v>
      </c>
    </row>
    <row r="616" customFormat="false" ht="13" hidden="false" customHeight="false" outlineLevel="0" collapsed="false">
      <c r="A616" s="2" t="n">
        <v>54</v>
      </c>
      <c r="B616" s="2" t="n">
        <v>0</v>
      </c>
      <c r="C616" s="2" t="n">
        <v>14.6291320259665</v>
      </c>
      <c r="D616" s="2" t="n">
        <v>14.6291320259665</v>
      </c>
    </row>
    <row r="617" customFormat="false" ht="13" hidden="false" customHeight="false" outlineLevel="0" collapsed="false">
      <c r="A617" s="2" t="n">
        <v>123</v>
      </c>
      <c r="B617" s="2" t="n">
        <v>0</v>
      </c>
      <c r="C617" s="2" t="n">
        <v>14.6576125468074</v>
      </c>
      <c r="D617" s="2" t="n">
        <v>14.6576125468074</v>
      </c>
    </row>
    <row r="618" customFormat="false" ht="13" hidden="false" customHeight="false" outlineLevel="0" collapsed="false">
      <c r="A618" s="2" t="n">
        <v>545</v>
      </c>
      <c r="B618" s="2" t="n">
        <v>14.7170362700622</v>
      </c>
      <c r="C618" s="2" t="n">
        <v>0</v>
      </c>
      <c r="D618" s="2" t="n">
        <v>14.7170362700622</v>
      </c>
    </row>
    <row r="619" customFormat="false" ht="13" hidden="false" customHeight="false" outlineLevel="0" collapsed="false">
      <c r="A619" s="2" t="n">
        <v>532</v>
      </c>
      <c r="B619" s="2" t="n">
        <v>14.7604572058375</v>
      </c>
      <c r="C619" s="2" t="n">
        <v>0</v>
      </c>
      <c r="D619" s="2" t="n">
        <v>14.7604572058375</v>
      </c>
    </row>
    <row r="620" customFormat="false" ht="13" hidden="false" customHeight="false" outlineLevel="0" collapsed="false">
      <c r="A620" s="2" t="n">
        <v>760</v>
      </c>
      <c r="B620" s="2" t="n">
        <v>0</v>
      </c>
      <c r="C620" s="2" t="n">
        <v>14.7966409364916</v>
      </c>
      <c r="D620" s="2" t="n">
        <v>14.7966409364916</v>
      </c>
    </row>
    <row r="621" customFormat="false" ht="13" hidden="false" customHeight="false" outlineLevel="0" collapsed="false">
      <c r="A621" s="2" t="n">
        <v>543</v>
      </c>
      <c r="B621" s="2" t="n">
        <v>0</v>
      </c>
      <c r="C621" s="2" t="n">
        <v>14.8154581974558</v>
      </c>
      <c r="D621" s="2" t="n">
        <v>14.8154581974558</v>
      </c>
    </row>
    <row r="622" customFormat="false" ht="13" hidden="false" customHeight="false" outlineLevel="0" collapsed="false">
      <c r="A622" s="2" t="n">
        <v>451</v>
      </c>
      <c r="B622" s="2" t="n">
        <v>14.8588032083738</v>
      </c>
      <c r="C622" s="2" t="n">
        <v>0</v>
      </c>
      <c r="D622" s="2" t="n">
        <v>14.8588032083738</v>
      </c>
    </row>
    <row r="623" customFormat="false" ht="13" hidden="false" customHeight="false" outlineLevel="0" collapsed="false">
      <c r="A623" s="2" t="n">
        <v>524</v>
      </c>
      <c r="B623" s="2" t="n">
        <v>14.8997976040271</v>
      </c>
      <c r="C623" s="2" t="n">
        <v>0</v>
      </c>
      <c r="D623" s="2" t="n">
        <v>14.8997976040271</v>
      </c>
    </row>
    <row r="624" customFormat="false" ht="13" hidden="false" customHeight="false" outlineLevel="0" collapsed="false">
      <c r="A624" s="2" t="n">
        <v>183</v>
      </c>
      <c r="B624" s="2" t="n">
        <v>0</v>
      </c>
      <c r="C624" s="2" t="n">
        <v>14.915299429951</v>
      </c>
      <c r="D624" s="2" t="n">
        <v>14.915299429951</v>
      </c>
    </row>
    <row r="625" customFormat="false" ht="13" hidden="false" customHeight="false" outlineLevel="0" collapsed="false">
      <c r="A625" s="2" t="n">
        <v>83</v>
      </c>
      <c r="B625" s="2" t="n">
        <v>0</v>
      </c>
      <c r="C625" s="2" t="n">
        <v>14.9159083352319</v>
      </c>
      <c r="D625" s="2" t="n">
        <v>14.9159083352319</v>
      </c>
    </row>
    <row r="626" customFormat="false" ht="13" hidden="false" customHeight="false" outlineLevel="0" collapsed="false">
      <c r="A626" s="2" t="n">
        <v>842</v>
      </c>
      <c r="B626" s="2" t="n">
        <v>0</v>
      </c>
      <c r="C626" s="2" t="n">
        <v>14.9396556663112</v>
      </c>
      <c r="D626" s="2" t="n">
        <v>14.9396556663112</v>
      </c>
    </row>
    <row r="627" customFormat="false" ht="13" hidden="false" customHeight="false" outlineLevel="0" collapsed="false">
      <c r="A627" s="2" t="n">
        <v>428</v>
      </c>
      <c r="B627" s="2" t="n">
        <v>14.961364976677</v>
      </c>
      <c r="C627" s="2" t="n">
        <v>0</v>
      </c>
      <c r="D627" s="2" t="n">
        <v>14.961364976677</v>
      </c>
    </row>
    <row r="628" customFormat="false" ht="13" hidden="false" customHeight="false" outlineLevel="0" collapsed="false">
      <c r="A628" s="2" t="n">
        <v>82</v>
      </c>
      <c r="B628" s="2" t="n">
        <v>0</v>
      </c>
      <c r="C628" s="2" t="n">
        <v>14.9870756603436</v>
      </c>
      <c r="D628" s="2" t="n">
        <v>14.9870756603436</v>
      </c>
    </row>
    <row r="629" customFormat="false" ht="13" hidden="false" customHeight="false" outlineLevel="0" collapsed="false">
      <c r="A629" s="2" t="n">
        <v>773</v>
      </c>
      <c r="B629" s="2" t="n">
        <v>0</v>
      </c>
      <c r="C629" s="2" t="n">
        <v>15.0043148956219</v>
      </c>
      <c r="D629" s="2" t="n">
        <v>15.0043148956219</v>
      </c>
    </row>
    <row r="630" customFormat="false" ht="13" hidden="false" customHeight="false" outlineLevel="0" collapsed="false">
      <c r="A630" s="2" t="n">
        <v>305</v>
      </c>
      <c r="B630" s="2" t="n">
        <v>0</v>
      </c>
      <c r="C630" s="2" t="n">
        <v>15.0699039293311</v>
      </c>
      <c r="D630" s="2" t="n">
        <v>15.0699039293311</v>
      </c>
    </row>
    <row r="631" customFormat="false" ht="13" hidden="false" customHeight="false" outlineLevel="0" collapsed="false">
      <c r="A631" s="2" t="n">
        <v>833</v>
      </c>
      <c r="B631" s="2" t="n">
        <v>0</v>
      </c>
      <c r="C631" s="2" t="n">
        <v>15.0795144178834</v>
      </c>
      <c r="D631" s="2" t="n">
        <v>15.0795144178834</v>
      </c>
    </row>
    <row r="632" customFormat="false" ht="13" hidden="false" customHeight="false" outlineLevel="0" collapsed="false">
      <c r="A632" s="2" t="n">
        <v>762</v>
      </c>
      <c r="B632" s="2" t="n">
        <v>0</v>
      </c>
      <c r="C632" s="2" t="n">
        <v>15.0879986771859</v>
      </c>
      <c r="D632" s="2" t="n">
        <v>15.0879986771859</v>
      </c>
    </row>
    <row r="633" customFormat="false" ht="13" hidden="false" customHeight="false" outlineLevel="0" collapsed="false">
      <c r="A633" s="2" t="n">
        <v>34</v>
      </c>
      <c r="B633" s="2" t="n">
        <v>0</v>
      </c>
      <c r="C633" s="2" t="n">
        <v>15.1206939569839</v>
      </c>
      <c r="D633" s="2" t="n">
        <v>15.1206939569839</v>
      </c>
    </row>
    <row r="634" customFormat="false" ht="13" hidden="false" customHeight="false" outlineLevel="0" collapsed="false">
      <c r="A634" s="2" t="n">
        <v>33</v>
      </c>
      <c r="B634" s="2" t="n">
        <v>0</v>
      </c>
      <c r="C634" s="2" t="n">
        <v>15.1220116077164</v>
      </c>
      <c r="D634" s="2" t="n">
        <v>15.1220116077164</v>
      </c>
    </row>
    <row r="635" customFormat="false" ht="13" hidden="false" customHeight="false" outlineLevel="0" collapsed="false">
      <c r="A635" s="2" t="n">
        <v>801</v>
      </c>
      <c r="B635" s="2" t="n">
        <v>0</v>
      </c>
      <c r="C635" s="2" t="n">
        <v>15.1284547800794</v>
      </c>
      <c r="D635" s="2" t="n">
        <v>15.1284547800794</v>
      </c>
    </row>
    <row r="636" customFormat="false" ht="13" hidden="false" customHeight="false" outlineLevel="0" collapsed="false">
      <c r="A636" s="2" t="n">
        <v>552</v>
      </c>
      <c r="B636" s="2" t="n">
        <v>0</v>
      </c>
      <c r="C636" s="2" t="n">
        <v>15.1444028751337</v>
      </c>
      <c r="D636" s="2" t="n">
        <v>15.1444028751337</v>
      </c>
    </row>
    <row r="637" customFormat="false" ht="13" hidden="false" customHeight="false" outlineLevel="0" collapsed="false">
      <c r="A637" s="2" t="n">
        <v>475</v>
      </c>
      <c r="B637" s="2" t="n">
        <v>15.1955078465564</v>
      </c>
      <c r="C637" s="2" t="n">
        <v>0</v>
      </c>
      <c r="D637" s="2" t="n">
        <v>15.1955078465564</v>
      </c>
    </row>
    <row r="638" customFormat="false" ht="13" hidden="false" customHeight="false" outlineLevel="0" collapsed="false">
      <c r="A638" s="2" t="n">
        <v>855</v>
      </c>
      <c r="B638" s="2" t="n">
        <v>0</v>
      </c>
      <c r="C638" s="2" t="n">
        <v>15.2080979988961</v>
      </c>
      <c r="D638" s="2" t="n">
        <v>15.2080979988961</v>
      </c>
    </row>
    <row r="639" customFormat="false" ht="13" hidden="false" customHeight="false" outlineLevel="0" collapsed="false">
      <c r="A639" s="2" t="n">
        <v>295</v>
      </c>
      <c r="B639" s="2" t="n">
        <v>0</v>
      </c>
      <c r="C639" s="2" t="n">
        <v>15.2436122784812</v>
      </c>
      <c r="D639" s="2" t="n">
        <v>15.2436122784812</v>
      </c>
    </row>
    <row r="640" customFormat="false" ht="13" hidden="false" customHeight="false" outlineLevel="0" collapsed="false">
      <c r="A640" s="2" t="n">
        <v>223</v>
      </c>
      <c r="B640" s="2" t="n">
        <v>15.3514203664125</v>
      </c>
      <c r="C640" s="2" t="n">
        <v>0</v>
      </c>
      <c r="D640" s="2" t="n">
        <v>15.3514203664125</v>
      </c>
    </row>
    <row r="641" customFormat="false" ht="13" hidden="false" customHeight="false" outlineLevel="0" collapsed="false">
      <c r="A641" s="2" t="n">
        <v>525</v>
      </c>
      <c r="B641" s="2" t="n">
        <v>15.3730247640395</v>
      </c>
      <c r="C641" s="2" t="n">
        <v>0</v>
      </c>
      <c r="D641" s="2" t="n">
        <v>15.3730247640395</v>
      </c>
    </row>
    <row r="642" customFormat="false" ht="13" hidden="false" customHeight="false" outlineLevel="0" collapsed="false">
      <c r="A642" s="2" t="n">
        <v>491</v>
      </c>
      <c r="B642" s="2" t="n">
        <v>15.3740441733542</v>
      </c>
      <c r="C642" s="2" t="n">
        <v>0</v>
      </c>
      <c r="D642" s="2" t="n">
        <v>15.3740441733542</v>
      </c>
    </row>
    <row r="643" customFormat="false" ht="13" hidden="false" customHeight="false" outlineLevel="0" collapsed="false">
      <c r="A643" s="2" t="n">
        <v>834</v>
      </c>
      <c r="B643" s="2" t="n">
        <v>0</v>
      </c>
      <c r="C643" s="2" t="n">
        <v>15.3793974443839</v>
      </c>
      <c r="D643" s="2" t="n">
        <v>15.3793974443839</v>
      </c>
    </row>
    <row r="644" customFormat="false" ht="13" hidden="false" customHeight="false" outlineLevel="0" collapsed="false">
      <c r="A644" s="2" t="n">
        <v>482</v>
      </c>
      <c r="B644" s="2" t="n">
        <v>15.4414356487571</v>
      </c>
      <c r="C644" s="2" t="n">
        <v>0</v>
      </c>
      <c r="D644" s="2" t="n">
        <v>15.4414356487571</v>
      </c>
    </row>
    <row r="645" customFormat="false" ht="13" hidden="false" customHeight="false" outlineLevel="0" collapsed="false">
      <c r="A645" s="2" t="n">
        <v>487</v>
      </c>
      <c r="B645" s="2" t="n">
        <v>15.4721841648936</v>
      </c>
      <c r="C645" s="2" t="n">
        <v>0</v>
      </c>
      <c r="D645" s="2" t="n">
        <v>15.4721841648936</v>
      </c>
    </row>
    <row r="646" customFormat="false" ht="13" hidden="false" customHeight="false" outlineLevel="0" collapsed="false">
      <c r="A646" s="2" t="n">
        <v>43</v>
      </c>
      <c r="B646" s="2" t="n">
        <v>0</v>
      </c>
      <c r="C646" s="2" t="n">
        <v>15.4778159836486</v>
      </c>
      <c r="D646" s="2" t="n">
        <v>15.4778159836486</v>
      </c>
    </row>
    <row r="647" customFormat="false" ht="13" hidden="false" customHeight="false" outlineLevel="0" collapsed="false">
      <c r="A647" s="2" t="n">
        <v>502</v>
      </c>
      <c r="B647" s="2" t="n">
        <v>15.4845783937575</v>
      </c>
      <c r="C647" s="2" t="n">
        <v>0</v>
      </c>
      <c r="D647" s="2" t="n">
        <v>15.4845783937575</v>
      </c>
    </row>
    <row r="648" customFormat="false" ht="13" hidden="false" customHeight="false" outlineLevel="0" collapsed="false">
      <c r="A648" s="2" t="n">
        <v>796</v>
      </c>
      <c r="B648" s="2" t="n">
        <v>0</v>
      </c>
      <c r="C648" s="2" t="n">
        <v>15.4887604151085</v>
      </c>
      <c r="D648" s="2" t="n">
        <v>15.4887604151085</v>
      </c>
    </row>
    <row r="649" customFormat="false" ht="13" hidden="false" customHeight="false" outlineLevel="0" collapsed="false">
      <c r="A649" s="2" t="n">
        <v>797</v>
      </c>
      <c r="B649" s="2" t="n">
        <v>0</v>
      </c>
      <c r="C649" s="2" t="n">
        <v>15.5062614943821</v>
      </c>
      <c r="D649" s="2" t="n">
        <v>15.5062614943821</v>
      </c>
    </row>
    <row r="650" customFormat="false" ht="13" hidden="false" customHeight="false" outlineLevel="0" collapsed="false">
      <c r="A650" s="2" t="n">
        <v>764</v>
      </c>
      <c r="B650" s="2" t="n">
        <v>0</v>
      </c>
      <c r="C650" s="2" t="n">
        <v>15.5338913484394</v>
      </c>
      <c r="D650" s="2" t="n">
        <v>15.5338913484394</v>
      </c>
    </row>
    <row r="651" customFormat="false" ht="13" hidden="false" customHeight="false" outlineLevel="0" collapsed="false">
      <c r="A651" s="2" t="n">
        <v>67</v>
      </c>
      <c r="B651" s="2" t="n">
        <v>0</v>
      </c>
      <c r="C651" s="2" t="n">
        <v>15.6030238924493</v>
      </c>
      <c r="D651" s="2" t="n">
        <v>15.6030238924493</v>
      </c>
    </row>
    <row r="652" customFormat="false" ht="13" hidden="false" customHeight="false" outlineLevel="0" collapsed="false">
      <c r="A652" s="2" t="n">
        <v>438</v>
      </c>
      <c r="B652" s="2" t="n">
        <v>15.6403198834426</v>
      </c>
      <c r="C652" s="2" t="n">
        <v>0</v>
      </c>
      <c r="D652" s="2" t="n">
        <v>15.6403198834426</v>
      </c>
    </row>
    <row r="653" customFormat="false" ht="13" hidden="false" customHeight="false" outlineLevel="0" collapsed="false">
      <c r="A653" s="2" t="n">
        <v>520</v>
      </c>
      <c r="B653" s="2" t="n">
        <v>15.706314262457</v>
      </c>
      <c r="C653" s="2" t="n">
        <v>0</v>
      </c>
      <c r="D653" s="2" t="n">
        <v>15.706314262457</v>
      </c>
    </row>
    <row r="654" customFormat="false" ht="13" hidden="false" customHeight="false" outlineLevel="0" collapsed="false">
      <c r="A654" s="2" t="n">
        <v>571</v>
      </c>
      <c r="B654" s="2" t="n">
        <v>0</v>
      </c>
      <c r="C654" s="2" t="n">
        <v>15.7150302823005</v>
      </c>
      <c r="D654" s="2" t="n">
        <v>15.7150302823005</v>
      </c>
    </row>
    <row r="655" customFormat="false" ht="13" hidden="false" customHeight="false" outlineLevel="0" collapsed="false">
      <c r="A655" s="2" t="n">
        <v>307</v>
      </c>
      <c r="B655" s="2" t="n">
        <v>0</v>
      </c>
      <c r="C655" s="2" t="n">
        <v>15.718021426384</v>
      </c>
      <c r="D655" s="2" t="n">
        <v>15.718021426384</v>
      </c>
    </row>
    <row r="656" customFormat="false" ht="13" hidden="false" customHeight="false" outlineLevel="0" collapsed="false">
      <c r="A656" s="2" t="n">
        <v>837</v>
      </c>
      <c r="B656" s="2" t="n">
        <v>0</v>
      </c>
      <c r="C656" s="2" t="n">
        <v>15.7248912093814</v>
      </c>
      <c r="D656" s="2" t="n">
        <v>15.7248912093814</v>
      </c>
    </row>
    <row r="657" customFormat="false" ht="13" hidden="false" customHeight="false" outlineLevel="0" collapsed="false">
      <c r="A657" s="2" t="n">
        <v>87</v>
      </c>
      <c r="B657" s="2" t="n">
        <v>0</v>
      </c>
      <c r="C657" s="2" t="n">
        <v>15.7255149330001</v>
      </c>
      <c r="D657" s="2" t="n">
        <v>15.7255149330001</v>
      </c>
    </row>
    <row r="658" customFormat="false" ht="13" hidden="false" customHeight="false" outlineLevel="0" collapsed="false">
      <c r="A658" s="2" t="n">
        <v>870</v>
      </c>
      <c r="B658" s="2" t="n">
        <v>0</v>
      </c>
      <c r="C658" s="2" t="n">
        <v>15.7353996549787</v>
      </c>
      <c r="D658" s="2" t="n">
        <v>15.7353996549787</v>
      </c>
    </row>
    <row r="659" customFormat="false" ht="13" hidden="false" customHeight="false" outlineLevel="0" collapsed="false">
      <c r="A659" s="2" t="n">
        <v>225</v>
      </c>
      <c r="B659" s="2" t="n">
        <v>15.7617981958645</v>
      </c>
      <c r="C659" s="2" t="n">
        <v>0</v>
      </c>
      <c r="D659" s="2" t="n">
        <v>15.7617981958645</v>
      </c>
    </row>
    <row r="660" customFormat="false" ht="13" hidden="false" customHeight="false" outlineLevel="0" collapsed="false">
      <c r="A660" s="2" t="n">
        <v>476</v>
      </c>
      <c r="B660" s="2" t="n">
        <v>15.7902279783165</v>
      </c>
      <c r="C660" s="2" t="n">
        <v>0</v>
      </c>
      <c r="D660" s="2" t="n">
        <v>15.7902279783165</v>
      </c>
    </row>
    <row r="661" customFormat="false" ht="13" hidden="false" customHeight="false" outlineLevel="0" collapsed="false">
      <c r="A661" s="2" t="n">
        <v>631</v>
      </c>
      <c r="B661" s="2" t="n">
        <v>15.8047658712807</v>
      </c>
      <c r="C661" s="2" t="n">
        <v>0</v>
      </c>
      <c r="D661" s="2" t="n">
        <v>15.8047658712807</v>
      </c>
    </row>
    <row r="662" customFormat="false" ht="13" hidden="false" customHeight="false" outlineLevel="0" collapsed="false">
      <c r="A662" s="2" t="n">
        <v>774</v>
      </c>
      <c r="B662" s="2" t="n">
        <v>0</v>
      </c>
      <c r="C662" s="2" t="n">
        <v>15.8059576259974</v>
      </c>
      <c r="D662" s="2" t="n">
        <v>15.8059576259974</v>
      </c>
    </row>
    <row r="663" customFormat="false" ht="13" hidden="false" customHeight="false" outlineLevel="0" collapsed="false">
      <c r="A663" s="2" t="n">
        <v>185</v>
      </c>
      <c r="B663" s="2" t="n">
        <v>0</v>
      </c>
      <c r="C663" s="2" t="n">
        <v>15.8065354223549</v>
      </c>
      <c r="D663" s="2" t="n">
        <v>15.8065354223549</v>
      </c>
    </row>
    <row r="664" customFormat="false" ht="13" hidden="false" customHeight="false" outlineLevel="0" collapsed="false">
      <c r="A664" s="2" t="n">
        <v>231</v>
      </c>
      <c r="B664" s="2" t="n">
        <v>15.8602041831138</v>
      </c>
      <c r="C664" s="2" t="n">
        <v>0</v>
      </c>
      <c r="D664" s="2" t="n">
        <v>15.8602041831138</v>
      </c>
    </row>
    <row r="665" customFormat="false" ht="13" hidden="false" customHeight="false" outlineLevel="0" collapsed="false">
      <c r="A665" s="2" t="n">
        <v>485</v>
      </c>
      <c r="B665" s="2" t="n">
        <v>15.8699526639699</v>
      </c>
      <c r="C665" s="2" t="n">
        <v>0</v>
      </c>
      <c r="D665" s="2" t="n">
        <v>15.8699526639699</v>
      </c>
    </row>
    <row r="666" customFormat="false" ht="13" hidden="false" customHeight="false" outlineLevel="0" collapsed="false">
      <c r="A666" s="2" t="n">
        <v>219</v>
      </c>
      <c r="B666" s="2" t="n">
        <v>15.9061962536316</v>
      </c>
      <c r="C666" s="2" t="n">
        <v>0</v>
      </c>
      <c r="D666" s="2" t="n">
        <v>15.9061962536316</v>
      </c>
    </row>
    <row r="667" customFormat="false" ht="13" hidden="false" customHeight="false" outlineLevel="0" collapsed="false">
      <c r="A667" s="2" t="n">
        <v>859</v>
      </c>
      <c r="B667" s="2" t="n">
        <v>0</v>
      </c>
      <c r="C667" s="2" t="n">
        <v>15.9247360523987</v>
      </c>
      <c r="D667" s="2" t="n">
        <v>15.9247360523987</v>
      </c>
    </row>
    <row r="668" customFormat="false" ht="13" hidden="false" customHeight="false" outlineLevel="0" collapsed="false">
      <c r="A668" s="2" t="n">
        <v>237</v>
      </c>
      <c r="B668" s="2" t="n">
        <v>15.9458867563421</v>
      </c>
      <c r="C668" s="2" t="n">
        <v>0</v>
      </c>
      <c r="D668" s="2" t="n">
        <v>15.9458867563421</v>
      </c>
    </row>
    <row r="669" customFormat="false" ht="13" hidden="false" customHeight="false" outlineLevel="0" collapsed="false">
      <c r="A669" s="2" t="n">
        <v>768</v>
      </c>
      <c r="B669" s="2" t="n">
        <v>0</v>
      </c>
      <c r="C669" s="2" t="n">
        <v>16.028571198855</v>
      </c>
      <c r="D669" s="2" t="n">
        <v>16.028571198855</v>
      </c>
    </row>
    <row r="670" customFormat="false" ht="13" hidden="false" customHeight="false" outlineLevel="0" collapsed="false">
      <c r="A670" s="2" t="n">
        <v>558</v>
      </c>
      <c r="B670" s="2" t="n">
        <v>0</v>
      </c>
      <c r="C670" s="2" t="n">
        <v>16.0513786504803</v>
      </c>
      <c r="D670" s="2" t="n">
        <v>16.0513786504803</v>
      </c>
    </row>
    <row r="671" customFormat="false" ht="13" hidden="false" customHeight="false" outlineLevel="0" collapsed="false">
      <c r="A671" s="2" t="n">
        <v>788</v>
      </c>
      <c r="B671" s="2" t="n">
        <v>0</v>
      </c>
      <c r="C671" s="2" t="n">
        <v>16.0600795750536</v>
      </c>
      <c r="D671" s="2" t="n">
        <v>16.0600795750536</v>
      </c>
    </row>
    <row r="672" customFormat="false" ht="13" hidden="false" customHeight="false" outlineLevel="0" collapsed="false">
      <c r="A672" s="2" t="n">
        <v>790</v>
      </c>
      <c r="B672" s="2" t="n">
        <v>0</v>
      </c>
      <c r="C672" s="2" t="n">
        <v>16.1125039002741</v>
      </c>
      <c r="D672" s="2" t="n">
        <v>16.1125039002741</v>
      </c>
    </row>
    <row r="673" customFormat="false" ht="13" hidden="false" customHeight="false" outlineLevel="0" collapsed="false">
      <c r="A673" s="2" t="n">
        <v>267</v>
      </c>
      <c r="B673" s="2" t="n">
        <v>16.1371913952144</v>
      </c>
      <c r="C673" s="2" t="n">
        <v>0</v>
      </c>
      <c r="D673" s="2" t="n">
        <v>16.1371913952144</v>
      </c>
    </row>
    <row r="674" customFormat="false" ht="13" hidden="false" customHeight="false" outlineLevel="0" collapsed="false">
      <c r="A674" s="2" t="n">
        <v>61</v>
      </c>
      <c r="B674" s="2" t="n">
        <v>0</v>
      </c>
      <c r="C674" s="2" t="n">
        <v>16.158061433992</v>
      </c>
      <c r="D674" s="2" t="n">
        <v>16.158061433992</v>
      </c>
    </row>
    <row r="675" customFormat="false" ht="13" hidden="false" customHeight="false" outlineLevel="0" collapsed="false">
      <c r="A675" s="2" t="n">
        <v>559</v>
      </c>
      <c r="B675" s="2" t="n">
        <v>16.160332040657</v>
      </c>
      <c r="C675" s="2" t="n">
        <v>0</v>
      </c>
      <c r="D675" s="2" t="n">
        <v>16.160332040657</v>
      </c>
    </row>
    <row r="676" customFormat="false" ht="13" hidden="false" customHeight="false" outlineLevel="0" collapsed="false">
      <c r="A676" s="2" t="n">
        <v>192</v>
      </c>
      <c r="B676" s="2" t="n">
        <v>0</v>
      </c>
      <c r="C676" s="2" t="n">
        <v>16.1642675196429</v>
      </c>
      <c r="D676" s="2" t="n">
        <v>16.1642675196429</v>
      </c>
    </row>
    <row r="677" customFormat="false" ht="13" hidden="false" customHeight="false" outlineLevel="0" collapsed="false">
      <c r="A677" s="2" t="n">
        <v>134</v>
      </c>
      <c r="B677" s="2" t="n">
        <v>0</v>
      </c>
      <c r="C677" s="2" t="n">
        <v>16.1930544480714</v>
      </c>
      <c r="D677" s="2" t="n">
        <v>16.1930544480714</v>
      </c>
    </row>
    <row r="678" customFormat="false" ht="13" hidden="false" customHeight="false" outlineLevel="0" collapsed="false">
      <c r="A678" s="2" t="n">
        <v>778</v>
      </c>
      <c r="B678" s="2" t="n">
        <v>0</v>
      </c>
      <c r="C678" s="2" t="n">
        <v>16.2226720156311</v>
      </c>
      <c r="D678" s="2" t="n">
        <v>16.2226720156311</v>
      </c>
    </row>
    <row r="679" customFormat="false" ht="13" hidden="false" customHeight="false" outlineLevel="0" collapsed="false">
      <c r="A679" s="2" t="n">
        <v>566</v>
      </c>
      <c r="B679" s="2" t="n">
        <v>0</v>
      </c>
      <c r="C679" s="2" t="n">
        <v>16.2338716491811</v>
      </c>
      <c r="D679" s="2" t="n">
        <v>16.2338716491811</v>
      </c>
    </row>
    <row r="680" customFormat="false" ht="13" hidden="false" customHeight="false" outlineLevel="0" collapsed="false">
      <c r="A680" s="2" t="n">
        <v>253</v>
      </c>
      <c r="B680" s="2" t="n">
        <v>16.2550318566841</v>
      </c>
      <c r="C680" s="2" t="n">
        <v>0</v>
      </c>
      <c r="D680" s="2" t="n">
        <v>16.2550318566841</v>
      </c>
    </row>
    <row r="681" customFormat="false" ht="13" hidden="false" customHeight="false" outlineLevel="0" collapsed="false">
      <c r="A681" s="2" t="n">
        <v>479</v>
      </c>
      <c r="B681" s="2" t="n">
        <v>16.2872174579941</v>
      </c>
      <c r="C681" s="2" t="n">
        <v>0</v>
      </c>
      <c r="D681" s="2" t="n">
        <v>16.2872174579941</v>
      </c>
    </row>
    <row r="682" customFormat="false" ht="13" hidden="false" customHeight="false" outlineLevel="0" collapsed="false">
      <c r="A682" s="2" t="n">
        <v>122</v>
      </c>
      <c r="B682" s="2" t="n">
        <v>0</v>
      </c>
      <c r="C682" s="2" t="n">
        <v>16.3027503939118</v>
      </c>
      <c r="D682" s="2" t="n">
        <v>16.3027503939118</v>
      </c>
    </row>
    <row r="683" customFormat="false" ht="13" hidden="false" customHeight="false" outlineLevel="0" collapsed="false">
      <c r="A683" s="2" t="n">
        <v>439</v>
      </c>
      <c r="B683" s="2" t="n">
        <v>16.3056636948668</v>
      </c>
      <c r="C683" s="2" t="n">
        <v>0</v>
      </c>
      <c r="D683" s="2" t="n">
        <v>16.3056636948668</v>
      </c>
    </row>
    <row r="684" customFormat="false" ht="13" hidden="false" customHeight="false" outlineLevel="0" collapsed="false">
      <c r="A684" s="2" t="n">
        <v>802</v>
      </c>
      <c r="B684" s="2" t="n">
        <v>0</v>
      </c>
      <c r="C684" s="2" t="n">
        <v>16.3057357077569</v>
      </c>
      <c r="D684" s="2" t="n">
        <v>16.3057357077569</v>
      </c>
    </row>
    <row r="685" customFormat="false" ht="13" hidden="false" customHeight="false" outlineLevel="0" collapsed="false">
      <c r="A685" s="2" t="n">
        <v>769</v>
      </c>
      <c r="B685" s="2" t="n">
        <v>0</v>
      </c>
      <c r="C685" s="2" t="n">
        <v>16.3106505049873</v>
      </c>
      <c r="D685" s="2" t="n">
        <v>16.3106505049873</v>
      </c>
    </row>
    <row r="686" customFormat="false" ht="13" hidden="false" customHeight="false" outlineLevel="0" collapsed="false">
      <c r="A686" s="2" t="n">
        <v>574</v>
      </c>
      <c r="B686" s="2" t="n">
        <v>16.3536307452875</v>
      </c>
      <c r="C686" s="2" t="n">
        <v>0</v>
      </c>
      <c r="D686" s="2" t="n">
        <v>16.3536307452875</v>
      </c>
    </row>
    <row r="687" customFormat="false" ht="13" hidden="false" customHeight="false" outlineLevel="0" collapsed="false">
      <c r="A687" s="2" t="n">
        <v>546</v>
      </c>
      <c r="B687" s="2" t="n">
        <v>16.4491960223216</v>
      </c>
      <c r="C687" s="2" t="n">
        <v>0</v>
      </c>
      <c r="D687" s="2" t="n">
        <v>16.4491960223216</v>
      </c>
    </row>
    <row r="688" customFormat="false" ht="13" hidden="false" customHeight="false" outlineLevel="0" collapsed="false">
      <c r="A688" s="2" t="n">
        <v>114</v>
      </c>
      <c r="B688" s="2" t="n">
        <v>0</v>
      </c>
      <c r="C688" s="2" t="n">
        <v>16.4497830725578</v>
      </c>
      <c r="D688" s="2" t="n">
        <v>16.4497830725578</v>
      </c>
    </row>
    <row r="689" customFormat="false" ht="13" hidden="false" customHeight="false" outlineLevel="0" collapsed="false">
      <c r="A689" s="2" t="n">
        <v>526</v>
      </c>
      <c r="B689" s="2" t="n">
        <v>16.4560751904718</v>
      </c>
      <c r="C689" s="2" t="n">
        <v>0</v>
      </c>
      <c r="D689" s="2" t="n">
        <v>16.4560751904718</v>
      </c>
    </row>
    <row r="690" customFormat="false" ht="13" hidden="false" customHeight="false" outlineLevel="0" collapsed="false">
      <c r="A690" s="2" t="n">
        <v>803</v>
      </c>
      <c r="B690" s="2" t="n">
        <v>0</v>
      </c>
      <c r="C690" s="2" t="n">
        <v>16.4830393641787</v>
      </c>
      <c r="D690" s="2" t="n">
        <v>16.4830393641787</v>
      </c>
    </row>
    <row r="691" customFormat="false" ht="13" hidden="false" customHeight="false" outlineLevel="0" collapsed="false">
      <c r="A691" s="2" t="n">
        <v>63</v>
      </c>
      <c r="B691" s="2" t="n">
        <v>0</v>
      </c>
      <c r="C691" s="2" t="n">
        <v>16.4835616541864</v>
      </c>
      <c r="D691" s="2" t="n">
        <v>16.4835616541864</v>
      </c>
    </row>
    <row r="692" customFormat="false" ht="13" hidden="false" customHeight="false" outlineLevel="0" collapsed="false">
      <c r="A692" s="2" t="n">
        <v>791</v>
      </c>
      <c r="B692" s="2" t="n">
        <v>0</v>
      </c>
      <c r="C692" s="2" t="n">
        <v>16.4847949579402</v>
      </c>
      <c r="D692" s="2" t="n">
        <v>16.4847949579402</v>
      </c>
    </row>
    <row r="693" customFormat="false" ht="13" hidden="false" customHeight="false" outlineLevel="0" collapsed="false">
      <c r="A693" s="2" t="n">
        <v>296</v>
      </c>
      <c r="B693" s="2" t="n">
        <v>0</v>
      </c>
      <c r="C693" s="2" t="n">
        <v>16.4902619998301</v>
      </c>
      <c r="D693" s="2" t="n">
        <v>16.4902619998301</v>
      </c>
    </row>
    <row r="694" customFormat="false" ht="13" hidden="false" customHeight="false" outlineLevel="0" collapsed="false">
      <c r="A694" s="2" t="n">
        <v>238</v>
      </c>
      <c r="B694" s="2" t="n">
        <v>16.4988248995618</v>
      </c>
      <c r="C694" s="2" t="n">
        <v>0</v>
      </c>
      <c r="D694" s="2" t="n">
        <v>16.4988248995618</v>
      </c>
    </row>
    <row r="695" customFormat="false" ht="13" hidden="false" customHeight="false" outlineLevel="0" collapsed="false">
      <c r="A695" s="2" t="n">
        <v>70</v>
      </c>
      <c r="B695" s="2" t="n">
        <v>0</v>
      </c>
      <c r="C695" s="2" t="n">
        <v>16.5005294413724</v>
      </c>
      <c r="D695" s="2" t="n">
        <v>16.5005294413724</v>
      </c>
    </row>
    <row r="696" customFormat="false" ht="13" hidden="false" customHeight="false" outlineLevel="0" collapsed="false">
      <c r="A696" s="2" t="n">
        <v>504</v>
      </c>
      <c r="B696" s="2" t="n">
        <v>16.5850020318302</v>
      </c>
      <c r="C696" s="2" t="n">
        <v>0</v>
      </c>
      <c r="D696" s="2" t="n">
        <v>16.5850020318302</v>
      </c>
    </row>
    <row r="697" customFormat="false" ht="13" hidden="false" customHeight="false" outlineLevel="0" collapsed="false">
      <c r="A697" s="2" t="n">
        <v>308</v>
      </c>
      <c r="B697" s="2" t="n">
        <v>0</v>
      </c>
      <c r="C697" s="2" t="n">
        <v>16.5860483935413</v>
      </c>
      <c r="D697" s="2" t="n">
        <v>16.5860483935413</v>
      </c>
    </row>
    <row r="698" customFormat="false" ht="13" hidden="false" customHeight="false" outlineLevel="0" collapsed="false">
      <c r="A698" s="2" t="n">
        <v>132</v>
      </c>
      <c r="B698" s="2" t="n">
        <v>0</v>
      </c>
      <c r="C698" s="2" t="n">
        <v>16.5884900761813</v>
      </c>
      <c r="D698" s="2" t="n">
        <v>16.5884900761813</v>
      </c>
    </row>
    <row r="699" customFormat="false" ht="13" hidden="false" customHeight="false" outlineLevel="0" collapsed="false">
      <c r="A699" s="2" t="n">
        <v>128</v>
      </c>
      <c r="B699" s="2" t="n">
        <v>0</v>
      </c>
      <c r="C699" s="2" t="n">
        <v>16.5901061551391</v>
      </c>
      <c r="D699" s="2" t="n">
        <v>16.5901061551391</v>
      </c>
    </row>
    <row r="700" customFormat="false" ht="13" hidden="false" customHeight="false" outlineLevel="0" collapsed="false">
      <c r="A700" s="2" t="n">
        <v>186</v>
      </c>
      <c r="B700" s="2" t="n">
        <v>0</v>
      </c>
      <c r="C700" s="2" t="n">
        <v>16.6091095228407</v>
      </c>
      <c r="D700" s="2" t="n">
        <v>16.6091095228407</v>
      </c>
    </row>
    <row r="701" customFormat="false" ht="13" hidden="false" customHeight="false" outlineLevel="0" collapsed="false">
      <c r="A701" s="2" t="n">
        <v>429</v>
      </c>
      <c r="B701" s="2" t="n">
        <v>16.616446864774</v>
      </c>
      <c r="C701" s="2" t="n">
        <v>0</v>
      </c>
      <c r="D701" s="2" t="n">
        <v>16.616446864774</v>
      </c>
    </row>
    <row r="702" customFormat="false" ht="13" hidden="false" customHeight="false" outlineLevel="0" collapsed="false">
      <c r="A702" s="2" t="n">
        <v>195</v>
      </c>
      <c r="B702" s="2" t="n">
        <v>0</v>
      </c>
      <c r="C702" s="2" t="n">
        <v>16.632692823587</v>
      </c>
      <c r="D702" s="2" t="n">
        <v>16.632692823587</v>
      </c>
    </row>
    <row r="703" customFormat="false" ht="13" hidden="false" customHeight="false" outlineLevel="0" collapsed="false">
      <c r="A703" s="2" t="n">
        <v>775</v>
      </c>
      <c r="B703" s="2" t="n">
        <v>0</v>
      </c>
      <c r="C703" s="2" t="n">
        <v>16.6335944039537</v>
      </c>
      <c r="D703" s="2" t="n">
        <v>16.6335944039537</v>
      </c>
    </row>
    <row r="704" customFormat="false" ht="13" hidden="false" customHeight="false" outlineLevel="0" collapsed="false">
      <c r="A704" s="2" t="n">
        <v>130</v>
      </c>
      <c r="B704" s="2" t="n">
        <v>0</v>
      </c>
      <c r="C704" s="2" t="n">
        <v>16.6367204894525</v>
      </c>
      <c r="D704" s="2" t="n">
        <v>16.6367204894525</v>
      </c>
    </row>
    <row r="705" customFormat="false" ht="13" hidden="false" customHeight="false" outlineLevel="0" collapsed="false">
      <c r="A705" s="2" t="n">
        <v>300</v>
      </c>
      <c r="B705" s="2" t="n">
        <v>0</v>
      </c>
      <c r="C705" s="2" t="n">
        <v>16.6424695109986</v>
      </c>
      <c r="D705" s="2" t="n">
        <v>16.6424695109986</v>
      </c>
    </row>
    <row r="706" customFormat="false" ht="13" hidden="false" customHeight="false" outlineLevel="0" collapsed="false">
      <c r="A706" s="2" t="n">
        <v>270</v>
      </c>
      <c r="B706" s="2" t="n">
        <v>16.6489983061647</v>
      </c>
      <c r="C706" s="2" t="n">
        <v>0</v>
      </c>
      <c r="D706" s="2" t="n">
        <v>16.6489983061647</v>
      </c>
    </row>
    <row r="707" customFormat="false" ht="13" hidden="false" customHeight="false" outlineLevel="0" collapsed="false">
      <c r="A707" s="2" t="n">
        <v>619</v>
      </c>
      <c r="B707" s="2" t="n">
        <v>16.6727545961742</v>
      </c>
      <c r="C707" s="2" t="n">
        <v>0</v>
      </c>
      <c r="D707" s="2" t="n">
        <v>16.6727545961742</v>
      </c>
    </row>
    <row r="708" customFormat="false" ht="13" hidden="false" customHeight="false" outlineLevel="0" collapsed="false">
      <c r="A708" s="2" t="n">
        <v>779</v>
      </c>
      <c r="B708" s="2" t="n">
        <v>0</v>
      </c>
      <c r="C708" s="2" t="n">
        <v>16.7837911172154</v>
      </c>
      <c r="D708" s="2" t="n">
        <v>16.7837911172154</v>
      </c>
    </row>
    <row r="709" customFormat="false" ht="13" hidden="false" customHeight="false" outlineLevel="0" collapsed="false">
      <c r="A709" s="2" t="n">
        <v>124</v>
      </c>
      <c r="B709" s="2" t="n">
        <v>0</v>
      </c>
      <c r="C709" s="2" t="n">
        <v>16.7937471627889</v>
      </c>
      <c r="D709" s="2" t="n">
        <v>16.7937471627889</v>
      </c>
    </row>
    <row r="710" customFormat="false" ht="13" hidden="false" customHeight="false" outlineLevel="0" collapsed="false">
      <c r="A710" s="2" t="n">
        <v>553</v>
      </c>
      <c r="B710" s="2" t="n">
        <v>0</v>
      </c>
      <c r="C710" s="2" t="n">
        <v>16.8377812034605</v>
      </c>
      <c r="D710" s="2" t="n">
        <v>16.8377812034605</v>
      </c>
    </row>
    <row r="711" customFormat="false" ht="13" hidden="false" customHeight="false" outlineLevel="0" collapsed="false">
      <c r="A711" s="2" t="n">
        <v>611</v>
      </c>
      <c r="B711" s="2" t="n">
        <v>16.8495637147298</v>
      </c>
      <c r="C711" s="2" t="n">
        <v>0</v>
      </c>
      <c r="D711" s="2" t="n">
        <v>16.8495637147298</v>
      </c>
    </row>
    <row r="712" customFormat="false" ht="13" hidden="false" customHeight="false" outlineLevel="0" collapsed="false">
      <c r="A712" s="2" t="n">
        <v>71</v>
      </c>
      <c r="B712" s="2" t="n">
        <v>0</v>
      </c>
      <c r="C712" s="2" t="n">
        <v>16.8642477256031</v>
      </c>
      <c r="D712" s="2" t="n">
        <v>16.8642477256031</v>
      </c>
    </row>
    <row r="713" customFormat="false" ht="13" hidden="false" customHeight="false" outlineLevel="0" collapsed="false">
      <c r="A713" s="2" t="n">
        <v>125</v>
      </c>
      <c r="B713" s="2" t="n">
        <v>0</v>
      </c>
      <c r="C713" s="2" t="n">
        <v>16.8799180340597</v>
      </c>
      <c r="D713" s="2" t="n">
        <v>16.8799180340597</v>
      </c>
    </row>
    <row r="714" customFormat="false" ht="13" hidden="false" customHeight="false" outlineLevel="0" collapsed="false">
      <c r="A714" s="2" t="n">
        <v>35</v>
      </c>
      <c r="B714" s="2" t="n">
        <v>0</v>
      </c>
      <c r="C714" s="2" t="n">
        <v>16.9367103257285</v>
      </c>
      <c r="D714" s="2" t="n">
        <v>16.9367103257285</v>
      </c>
    </row>
    <row r="715" customFormat="false" ht="13" hidden="false" customHeight="false" outlineLevel="0" collapsed="false">
      <c r="A715" s="2" t="n">
        <v>441</v>
      </c>
      <c r="B715" s="2" t="n">
        <v>16.9539477521787</v>
      </c>
      <c r="C715" s="2" t="n">
        <v>0</v>
      </c>
      <c r="D715" s="2" t="n">
        <v>16.9539477521787</v>
      </c>
    </row>
    <row r="716" customFormat="false" ht="13" hidden="false" customHeight="false" outlineLevel="0" collapsed="false">
      <c r="A716" s="2" t="n">
        <v>44</v>
      </c>
      <c r="B716" s="2" t="n">
        <v>0</v>
      </c>
      <c r="C716" s="2" t="n">
        <v>16.9964952517802</v>
      </c>
      <c r="D716" s="2" t="n">
        <v>16.9964952517802</v>
      </c>
    </row>
    <row r="717" customFormat="false" ht="13" hidden="false" customHeight="false" outlineLevel="0" collapsed="false">
      <c r="A717" s="2" t="n">
        <v>126</v>
      </c>
      <c r="B717" s="2" t="n">
        <v>0</v>
      </c>
      <c r="C717" s="2" t="n">
        <v>17.0005679985978</v>
      </c>
      <c r="D717" s="2" t="n">
        <v>17.0005679985978</v>
      </c>
    </row>
    <row r="718" customFormat="false" ht="13" hidden="false" customHeight="false" outlineLevel="0" collapsed="false">
      <c r="A718" s="2" t="n">
        <v>115</v>
      </c>
      <c r="B718" s="2" t="n">
        <v>0</v>
      </c>
      <c r="C718" s="2" t="n">
        <v>17.0085572314443</v>
      </c>
      <c r="D718" s="2" t="n">
        <v>17.0085572314443</v>
      </c>
    </row>
    <row r="719" customFormat="false" ht="13" hidden="false" customHeight="false" outlineLevel="0" collapsed="false">
      <c r="A719" s="2" t="n">
        <v>222</v>
      </c>
      <c r="B719" s="2" t="n">
        <v>17.0655083693602</v>
      </c>
      <c r="C719" s="2" t="n">
        <v>0</v>
      </c>
      <c r="D719" s="2" t="n">
        <v>17.0655083693602</v>
      </c>
    </row>
    <row r="720" customFormat="false" ht="13" hidden="false" customHeight="false" outlineLevel="0" collapsed="false">
      <c r="A720" s="2" t="n">
        <v>519</v>
      </c>
      <c r="B720" s="2" t="n">
        <v>17.2212991410629</v>
      </c>
      <c r="C720" s="2" t="n">
        <v>0</v>
      </c>
      <c r="D720" s="2" t="n">
        <v>17.2212991410629</v>
      </c>
    </row>
    <row r="721" customFormat="false" ht="13" hidden="false" customHeight="false" outlineLevel="0" collapsed="false">
      <c r="A721" s="2" t="n">
        <v>632</v>
      </c>
      <c r="B721" s="2" t="n">
        <v>17.2482740565176</v>
      </c>
      <c r="C721" s="2" t="n">
        <v>0</v>
      </c>
      <c r="D721" s="2" t="n">
        <v>17.2482740565176</v>
      </c>
    </row>
    <row r="722" customFormat="false" ht="13" hidden="false" customHeight="false" outlineLevel="0" collapsed="false">
      <c r="A722" s="2" t="n">
        <v>93</v>
      </c>
      <c r="B722" s="2" t="n">
        <v>0</v>
      </c>
      <c r="C722" s="2" t="n">
        <v>17.2526405670602</v>
      </c>
      <c r="D722" s="2" t="n">
        <v>17.2526405670602</v>
      </c>
    </row>
    <row r="723" customFormat="false" ht="13" hidden="false" customHeight="false" outlineLevel="0" collapsed="false">
      <c r="A723" s="2" t="n">
        <v>575</v>
      </c>
      <c r="B723" s="2" t="n">
        <v>17.2715223301781</v>
      </c>
      <c r="C723" s="2" t="n">
        <v>0</v>
      </c>
      <c r="D723" s="2" t="n">
        <v>17.2715223301781</v>
      </c>
    </row>
    <row r="724" customFormat="false" ht="13" hidden="false" customHeight="false" outlineLevel="0" collapsed="false">
      <c r="A724" s="2" t="n">
        <v>554</v>
      </c>
      <c r="B724" s="2" t="n">
        <v>0</v>
      </c>
      <c r="C724" s="2" t="n">
        <v>17.2843556372092</v>
      </c>
      <c r="D724" s="2" t="n">
        <v>17.2843556372092</v>
      </c>
    </row>
    <row r="725" customFormat="false" ht="13" hidden="false" customHeight="false" outlineLevel="0" collapsed="false">
      <c r="A725" s="2" t="n">
        <v>444</v>
      </c>
      <c r="B725" s="2" t="n">
        <v>17.3213846977395</v>
      </c>
      <c r="C725" s="2" t="n">
        <v>0</v>
      </c>
      <c r="D725" s="2" t="n">
        <v>17.3213846977395</v>
      </c>
    </row>
    <row r="726" customFormat="false" ht="13" hidden="false" customHeight="false" outlineLevel="0" collapsed="false">
      <c r="A726" s="2" t="n">
        <v>798</v>
      </c>
      <c r="B726" s="2" t="n">
        <v>0</v>
      </c>
      <c r="C726" s="2" t="n">
        <v>17.3745482084291</v>
      </c>
      <c r="D726" s="2" t="n">
        <v>17.3745482084291</v>
      </c>
    </row>
    <row r="727" customFormat="false" ht="13" hidden="false" customHeight="false" outlineLevel="0" collapsed="false">
      <c r="A727" s="2" t="n">
        <v>109</v>
      </c>
      <c r="B727" s="2" t="n">
        <v>0</v>
      </c>
      <c r="C727" s="2" t="n">
        <v>17.4271024998287</v>
      </c>
      <c r="D727" s="2" t="n">
        <v>17.4271024998287</v>
      </c>
    </row>
    <row r="728" customFormat="false" ht="13" hidden="false" customHeight="false" outlineLevel="0" collapsed="false">
      <c r="A728" s="2" t="n">
        <v>90</v>
      </c>
      <c r="B728" s="2" t="n">
        <v>0</v>
      </c>
      <c r="C728" s="2" t="n">
        <v>17.4418254802857</v>
      </c>
      <c r="D728" s="2" t="n">
        <v>17.4418254802857</v>
      </c>
    </row>
    <row r="729" customFormat="false" ht="13" hidden="false" customHeight="false" outlineLevel="0" collapsed="false">
      <c r="A729" s="2" t="n">
        <v>232</v>
      </c>
      <c r="B729" s="2" t="n">
        <v>17.4645650305157</v>
      </c>
      <c r="C729" s="2" t="n">
        <v>0</v>
      </c>
      <c r="D729" s="2" t="n">
        <v>17.4645650305157</v>
      </c>
    </row>
    <row r="730" customFormat="false" ht="13" hidden="false" customHeight="false" outlineLevel="0" collapsed="false">
      <c r="A730" s="2" t="n">
        <v>570</v>
      </c>
      <c r="B730" s="2" t="n">
        <v>0</v>
      </c>
      <c r="C730" s="2" t="n">
        <v>17.4996731665108</v>
      </c>
      <c r="D730" s="2" t="n">
        <v>17.4996731665108</v>
      </c>
    </row>
    <row r="731" customFormat="false" ht="13" hidden="false" customHeight="false" outlineLevel="0" collapsed="false">
      <c r="A731" s="2" t="n">
        <v>64</v>
      </c>
      <c r="B731" s="2" t="n">
        <v>0</v>
      </c>
      <c r="C731" s="2" t="n">
        <v>17.5283477381686</v>
      </c>
      <c r="D731" s="2" t="n">
        <v>17.5283477381686</v>
      </c>
    </row>
    <row r="732" customFormat="false" ht="13" hidden="false" customHeight="false" outlineLevel="0" collapsed="false">
      <c r="A732" s="2" t="n">
        <v>198</v>
      </c>
      <c r="B732" s="2" t="n">
        <v>0</v>
      </c>
      <c r="C732" s="2" t="n">
        <v>17.5537372515905</v>
      </c>
      <c r="D732" s="2" t="n">
        <v>17.5537372515905</v>
      </c>
    </row>
    <row r="733" customFormat="false" ht="13" hidden="false" customHeight="false" outlineLevel="0" collapsed="false">
      <c r="A733" s="2" t="n">
        <v>199</v>
      </c>
      <c r="B733" s="2" t="n">
        <v>0</v>
      </c>
      <c r="C733" s="2" t="n">
        <v>17.6225650453695</v>
      </c>
      <c r="D733" s="2" t="n">
        <v>17.6225650453695</v>
      </c>
    </row>
    <row r="734" customFormat="false" ht="13" hidden="false" customHeight="false" outlineLevel="0" collapsed="false">
      <c r="A734" s="2" t="n">
        <v>88</v>
      </c>
      <c r="B734" s="2" t="n">
        <v>0</v>
      </c>
      <c r="C734" s="2" t="n">
        <v>17.6362943179555</v>
      </c>
      <c r="D734" s="2" t="n">
        <v>17.6362943179555</v>
      </c>
    </row>
    <row r="735" customFormat="false" ht="13" hidden="false" customHeight="false" outlineLevel="0" collapsed="false">
      <c r="A735" s="2" t="n">
        <v>240</v>
      </c>
      <c r="B735" s="2" t="n">
        <v>17.6387830845432</v>
      </c>
      <c r="C735" s="2" t="n">
        <v>0</v>
      </c>
      <c r="D735" s="2" t="n">
        <v>17.6387830845432</v>
      </c>
    </row>
    <row r="736" customFormat="false" ht="13" hidden="false" customHeight="false" outlineLevel="0" collapsed="false">
      <c r="A736" s="2" t="n">
        <v>638</v>
      </c>
      <c r="B736" s="2" t="n">
        <v>17.6486411762821</v>
      </c>
      <c r="C736" s="2" t="n">
        <v>0</v>
      </c>
      <c r="D736" s="2" t="n">
        <v>17.6486411762821</v>
      </c>
    </row>
    <row r="737" customFormat="false" ht="13" hidden="false" customHeight="false" outlineLevel="0" collapsed="false">
      <c r="A737" s="2" t="n">
        <v>478</v>
      </c>
      <c r="B737" s="2" t="n">
        <v>17.6527123840756</v>
      </c>
      <c r="C737" s="2" t="n">
        <v>0</v>
      </c>
      <c r="D737" s="2" t="n">
        <v>17.6527123840756</v>
      </c>
    </row>
    <row r="738" customFormat="false" ht="13" hidden="false" customHeight="false" outlineLevel="0" collapsed="false">
      <c r="A738" s="2" t="n">
        <v>301</v>
      </c>
      <c r="B738" s="2" t="n">
        <v>0</v>
      </c>
      <c r="C738" s="2" t="n">
        <v>17.6610204467121</v>
      </c>
      <c r="D738" s="2" t="n">
        <v>17.6610204467121</v>
      </c>
    </row>
    <row r="739" customFormat="false" ht="13" hidden="false" customHeight="false" outlineLevel="0" collapsed="false">
      <c r="A739" s="2" t="n">
        <v>572</v>
      </c>
      <c r="B739" s="2" t="n">
        <v>0</v>
      </c>
      <c r="C739" s="2" t="n">
        <v>17.7153085149059</v>
      </c>
      <c r="D739" s="2" t="n">
        <v>17.7153085149059</v>
      </c>
    </row>
    <row r="740" customFormat="false" ht="13" hidden="false" customHeight="false" outlineLevel="0" collapsed="false">
      <c r="A740" s="2" t="n">
        <v>111</v>
      </c>
      <c r="B740" s="2" t="n">
        <v>0</v>
      </c>
      <c r="C740" s="2" t="n">
        <v>17.7404163719986</v>
      </c>
      <c r="D740" s="2" t="n">
        <v>17.7404163719986</v>
      </c>
    </row>
    <row r="741" customFormat="false" ht="13" hidden="false" customHeight="false" outlineLevel="0" collapsed="false">
      <c r="A741" s="2" t="n">
        <v>871</v>
      </c>
      <c r="B741" s="2" t="n">
        <v>0</v>
      </c>
      <c r="C741" s="2" t="n">
        <v>17.8481764321269</v>
      </c>
      <c r="D741" s="2" t="n">
        <v>17.8481764321269</v>
      </c>
    </row>
    <row r="742" customFormat="false" ht="13" hidden="false" customHeight="false" outlineLevel="0" collapsed="false">
      <c r="A742" s="2" t="n">
        <v>106</v>
      </c>
      <c r="B742" s="2" t="n">
        <v>0</v>
      </c>
      <c r="C742" s="2" t="n">
        <v>17.8533743263068</v>
      </c>
      <c r="D742" s="2" t="n">
        <v>17.8533743263068</v>
      </c>
    </row>
    <row r="743" customFormat="false" ht="13" hidden="false" customHeight="false" outlineLevel="0" collapsed="false">
      <c r="A743" s="2" t="n">
        <v>560</v>
      </c>
      <c r="B743" s="2" t="n">
        <v>17.8557377621098</v>
      </c>
      <c r="C743" s="2" t="n">
        <v>0</v>
      </c>
      <c r="D743" s="2" t="n">
        <v>17.8557377621098</v>
      </c>
    </row>
    <row r="744" customFormat="false" ht="13" hidden="false" customHeight="false" outlineLevel="0" collapsed="false">
      <c r="A744" s="2" t="n">
        <v>220</v>
      </c>
      <c r="B744" s="2" t="n">
        <v>17.8784377740819</v>
      </c>
      <c r="C744" s="2" t="n">
        <v>0</v>
      </c>
      <c r="D744" s="2" t="n">
        <v>17.8784377740819</v>
      </c>
    </row>
    <row r="745" customFormat="false" ht="13" hidden="false" customHeight="false" outlineLevel="0" collapsed="false">
      <c r="A745" s="2" t="n">
        <v>135</v>
      </c>
      <c r="B745" s="2" t="n">
        <v>0</v>
      </c>
      <c r="C745" s="2" t="n">
        <v>17.8883716831734</v>
      </c>
      <c r="D745" s="2" t="n">
        <v>17.8883716831734</v>
      </c>
    </row>
    <row r="746" customFormat="false" ht="13" hidden="false" customHeight="false" outlineLevel="0" collapsed="false">
      <c r="A746" s="2" t="n">
        <v>634</v>
      </c>
      <c r="B746" s="2" t="n">
        <v>17.918890763892</v>
      </c>
      <c r="C746" s="2" t="n">
        <v>0</v>
      </c>
      <c r="D746" s="2" t="n">
        <v>17.918890763892</v>
      </c>
    </row>
    <row r="747" customFormat="false" ht="13" hidden="false" customHeight="false" outlineLevel="0" collapsed="false">
      <c r="A747" s="2" t="n">
        <v>804</v>
      </c>
      <c r="B747" s="2" t="n">
        <v>0</v>
      </c>
      <c r="C747" s="2" t="n">
        <v>17.9608584249497</v>
      </c>
      <c r="D747" s="2" t="n">
        <v>17.9608584249497</v>
      </c>
    </row>
    <row r="748" customFormat="false" ht="13" hidden="false" customHeight="false" outlineLevel="0" collapsed="false">
      <c r="A748" s="2" t="n">
        <v>567</v>
      </c>
      <c r="B748" s="2" t="n">
        <v>0</v>
      </c>
      <c r="C748" s="2" t="n">
        <v>17.9986671962573</v>
      </c>
      <c r="D748" s="2" t="n">
        <v>17.9986671962573</v>
      </c>
    </row>
    <row r="749" customFormat="false" ht="13" hidden="false" customHeight="false" outlineLevel="0" collapsed="false">
      <c r="A749" s="2" t="n">
        <v>187</v>
      </c>
      <c r="B749" s="2" t="n">
        <v>0</v>
      </c>
      <c r="C749" s="2" t="n">
        <v>18.0328567124916</v>
      </c>
      <c r="D749" s="2" t="n">
        <v>18.0328567124916</v>
      </c>
    </row>
    <row r="750" customFormat="false" ht="13" hidden="false" customHeight="false" outlineLevel="0" collapsed="false">
      <c r="A750" s="2" t="n">
        <v>204</v>
      </c>
      <c r="B750" s="2" t="n">
        <v>0</v>
      </c>
      <c r="C750" s="2" t="n">
        <v>18.0440668194075</v>
      </c>
      <c r="D750" s="2" t="n">
        <v>18.0440668194075</v>
      </c>
    </row>
    <row r="751" customFormat="false" ht="13" hidden="false" customHeight="false" outlineLevel="0" collapsed="false">
      <c r="A751" s="2" t="n">
        <v>249</v>
      </c>
      <c r="B751" s="2" t="n">
        <v>18.0627874703572</v>
      </c>
      <c r="C751" s="2" t="n">
        <v>0</v>
      </c>
      <c r="D751" s="2" t="n">
        <v>18.0627874703572</v>
      </c>
    </row>
    <row r="752" customFormat="false" ht="13" hidden="false" customHeight="false" outlineLevel="0" collapsed="false">
      <c r="A752" s="2" t="n">
        <v>200</v>
      </c>
      <c r="B752" s="2" t="n">
        <v>0</v>
      </c>
      <c r="C752" s="2" t="n">
        <v>18.0650987269017</v>
      </c>
      <c r="D752" s="2" t="n">
        <v>18.0650987269017</v>
      </c>
    </row>
    <row r="753" customFormat="false" ht="13" hidden="false" customHeight="false" outlineLevel="0" collapsed="false">
      <c r="A753" s="2" t="n">
        <v>505</v>
      </c>
      <c r="B753" s="2" t="n">
        <v>18.0862204070326</v>
      </c>
      <c r="C753" s="2" t="n">
        <v>0</v>
      </c>
      <c r="D753" s="2" t="n">
        <v>18.0862204070326</v>
      </c>
    </row>
    <row r="754" customFormat="false" ht="13" hidden="false" customHeight="false" outlineLevel="0" collapsed="false">
      <c r="A754" s="2" t="n">
        <v>233</v>
      </c>
      <c r="B754" s="2" t="n">
        <v>18.0931048541948</v>
      </c>
      <c r="C754" s="2" t="n">
        <v>0</v>
      </c>
      <c r="D754" s="2" t="n">
        <v>18.0931048541948</v>
      </c>
    </row>
    <row r="755" customFormat="false" ht="13" hidden="false" customHeight="false" outlineLevel="0" collapsed="false">
      <c r="A755" s="2" t="n">
        <v>625</v>
      </c>
      <c r="B755" s="2" t="n">
        <v>18.093346810739</v>
      </c>
      <c r="C755" s="2" t="n">
        <v>0</v>
      </c>
      <c r="D755" s="2" t="n">
        <v>18.093346810739</v>
      </c>
    </row>
    <row r="756" customFormat="false" ht="13" hidden="false" customHeight="false" outlineLevel="0" collapsed="false">
      <c r="A756" s="2" t="n">
        <v>273</v>
      </c>
      <c r="B756" s="2" t="n">
        <v>18.1106301276939</v>
      </c>
      <c r="C756" s="2" t="n">
        <v>0</v>
      </c>
      <c r="D756" s="2" t="n">
        <v>18.1106301276939</v>
      </c>
    </row>
    <row r="757" customFormat="false" ht="13" hidden="false" customHeight="false" outlineLevel="0" collapsed="false">
      <c r="A757" s="2" t="n">
        <v>547</v>
      </c>
      <c r="B757" s="2" t="n">
        <v>18.112691455714</v>
      </c>
      <c r="C757" s="2" t="n">
        <v>0</v>
      </c>
      <c r="D757" s="2" t="n">
        <v>18.112691455714</v>
      </c>
    </row>
    <row r="758" customFormat="false" ht="13" hidden="false" customHeight="false" outlineLevel="0" collapsed="false">
      <c r="A758" s="2" t="n">
        <v>770</v>
      </c>
      <c r="B758" s="2" t="n">
        <v>0</v>
      </c>
      <c r="C758" s="2" t="n">
        <v>18.1378785675844</v>
      </c>
      <c r="D758" s="2" t="n">
        <v>18.1378785675844</v>
      </c>
    </row>
    <row r="759" customFormat="false" ht="13" hidden="false" customHeight="false" outlineLevel="0" collapsed="false">
      <c r="A759" s="2" t="n">
        <v>872</v>
      </c>
      <c r="B759" s="2" t="n">
        <v>0</v>
      </c>
      <c r="C759" s="2" t="n">
        <v>18.2051780402257</v>
      </c>
      <c r="D759" s="2" t="n">
        <v>18.2051780402257</v>
      </c>
    </row>
    <row r="760" customFormat="false" ht="13" hidden="false" customHeight="false" outlineLevel="0" collapsed="false">
      <c r="A760" s="2" t="n">
        <v>786</v>
      </c>
      <c r="B760" s="2" t="n">
        <v>0</v>
      </c>
      <c r="C760" s="2" t="n">
        <v>18.2138823679729</v>
      </c>
      <c r="D760" s="2" t="n">
        <v>18.2138823679729</v>
      </c>
    </row>
    <row r="761" customFormat="false" ht="13" hidden="false" customHeight="false" outlineLevel="0" collapsed="false">
      <c r="A761" s="2" t="n">
        <v>627</v>
      </c>
      <c r="B761" s="2" t="n">
        <v>18.2650311302285</v>
      </c>
      <c r="C761" s="2" t="n">
        <v>0</v>
      </c>
      <c r="D761" s="2" t="n">
        <v>18.2650311302285</v>
      </c>
    </row>
    <row r="762" customFormat="false" ht="13" hidden="false" customHeight="false" outlineLevel="0" collapsed="false">
      <c r="A762" s="2" t="n">
        <v>642</v>
      </c>
      <c r="B762" s="2" t="n">
        <v>18.3243600500704</v>
      </c>
      <c r="C762" s="2" t="n">
        <v>0</v>
      </c>
      <c r="D762" s="2" t="n">
        <v>18.3243600500704</v>
      </c>
    </row>
    <row r="763" customFormat="false" ht="13" hidden="false" customHeight="false" outlineLevel="0" collapsed="false">
      <c r="A763" s="2" t="n">
        <v>446</v>
      </c>
      <c r="B763" s="2" t="n">
        <v>18.3595927567414</v>
      </c>
      <c r="C763" s="2" t="n">
        <v>0</v>
      </c>
      <c r="D763" s="2" t="n">
        <v>18.3595927567414</v>
      </c>
    </row>
    <row r="764" customFormat="false" ht="13" hidden="false" customHeight="false" outlineLevel="0" collapsed="false">
      <c r="A764" s="2" t="n">
        <v>112</v>
      </c>
      <c r="B764" s="2" t="n">
        <v>0</v>
      </c>
      <c r="C764" s="2" t="n">
        <v>18.4027573622825</v>
      </c>
      <c r="D764" s="2" t="n">
        <v>18.4027573622825</v>
      </c>
    </row>
    <row r="765" customFormat="false" ht="13" hidden="false" customHeight="false" outlineLevel="0" collapsed="false">
      <c r="A765" s="2" t="n">
        <v>555</v>
      </c>
      <c r="B765" s="2" t="n">
        <v>18.4744895433353</v>
      </c>
      <c r="C765" s="2" t="n">
        <v>0</v>
      </c>
      <c r="D765" s="2" t="n">
        <v>18.4744895433353</v>
      </c>
    </row>
    <row r="766" customFormat="false" ht="13" hidden="false" customHeight="false" outlineLevel="0" collapsed="false">
      <c r="A766" s="2" t="n">
        <v>286</v>
      </c>
      <c r="B766" s="2" t="n">
        <v>18.4835487222235</v>
      </c>
      <c r="C766" s="2" t="n">
        <v>0</v>
      </c>
      <c r="D766" s="2" t="n">
        <v>18.4835487222235</v>
      </c>
    </row>
    <row r="767" customFormat="false" ht="13" hidden="false" customHeight="false" outlineLevel="0" collapsed="false">
      <c r="A767" s="2" t="n">
        <v>810</v>
      </c>
      <c r="B767" s="2" t="n">
        <v>18.5097663638145</v>
      </c>
      <c r="C767" s="2" t="n">
        <v>0</v>
      </c>
      <c r="D767" s="2" t="n">
        <v>18.5097663638145</v>
      </c>
    </row>
    <row r="768" customFormat="false" ht="13" hidden="false" customHeight="false" outlineLevel="0" collapsed="false">
      <c r="A768" s="2" t="n">
        <v>244</v>
      </c>
      <c r="B768" s="2" t="n">
        <v>18.5679261110637</v>
      </c>
      <c r="C768" s="2" t="n">
        <v>0</v>
      </c>
      <c r="D768" s="2" t="n">
        <v>18.5679261110637</v>
      </c>
    </row>
    <row r="769" customFormat="false" ht="13" hidden="false" customHeight="false" outlineLevel="0" collapsed="false">
      <c r="A769" s="2" t="n">
        <v>612</v>
      </c>
      <c r="B769" s="2" t="n">
        <v>18.5687457245843</v>
      </c>
      <c r="C769" s="2" t="n">
        <v>0</v>
      </c>
      <c r="D769" s="2" t="n">
        <v>18.5687457245843</v>
      </c>
    </row>
    <row r="770" customFormat="false" ht="13" hidden="false" customHeight="false" outlineLevel="0" collapsed="false">
      <c r="A770" s="2" t="n">
        <v>644</v>
      </c>
      <c r="B770" s="2" t="n">
        <v>18.5705296311666</v>
      </c>
      <c r="C770" s="2" t="n">
        <v>0</v>
      </c>
      <c r="D770" s="2" t="n">
        <v>18.5705296311666</v>
      </c>
    </row>
    <row r="771" customFormat="false" ht="13" hidden="false" customHeight="false" outlineLevel="0" collapsed="false">
      <c r="A771" s="2" t="n">
        <v>780</v>
      </c>
      <c r="B771" s="2" t="n">
        <v>0</v>
      </c>
      <c r="C771" s="2" t="n">
        <v>18.6029638325581</v>
      </c>
      <c r="D771" s="2" t="n">
        <v>18.6029638325581</v>
      </c>
    </row>
    <row r="772" customFormat="false" ht="13" hidden="false" customHeight="false" outlineLevel="0" collapsed="false">
      <c r="A772" s="2" t="n">
        <v>36</v>
      </c>
      <c r="B772" s="2" t="n">
        <v>0</v>
      </c>
      <c r="C772" s="2" t="n">
        <v>18.6108007860998</v>
      </c>
      <c r="D772" s="2" t="n">
        <v>18.6108007860998</v>
      </c>
    </row>
    <row r="773" customFormat="false" ht="13" hidden="false" customHeight="false" outlineLevel="0" collapsed="false">
      <c r="A773" s="2" t="n">
        <v>620</v>
      </c>
      <c r="B773" s="2" t="n">
        <v>18.6929437478628</v>
      </c>
      <c r="C773" s="2" t="n">
        <v>0</v>
      </c>
      <c r="D773" s="2" t="n">
        <v>18.6929437478628</v>
      </c>
    </row>
    <row r="774" customFormat="false" ht="13" hidden="false" customHeight="false" outlineLevel="0" collapsed="false">
      <c r="A774" s="2" t="n">
        <v>241</v>
      </c>
      <c r="B774" s="2" t="n">
        <v>18.7229510095632</v>
      </c>
      <c r="C774" s="2" t="n">
        <v>0</v>
      </c>
      <c r="D774" s="2" t="n">
        <v>18.7229510095632</v>
      </c>
    </row>
    <row r="775" customFormat="false" ht="13" hidden="false" customHeight="false" outlineLevel="0" collapsed="false">
      <c r="A775" s="2" t="n">
        <v>247</v>
      </c>
      <c r="B775" s="2" t="n">
        <v>18.7545029941381</v>
      </c>
      <c r="C775" s="2" t="n">
        <v>0</v>
      </c>
      <c r="D775" s="2" t="n">
        <v>18.7545029941381</v>
      </c>
    </row>
    <row r="776" customFormat="false" ht="13" hidden="false" customHeight="false" outlineLevel="0" collapsed="false">
      <c r="A776" s="2" t="n">
        <v>202</v>
      </c>
      <c r="B776" s="2" t="n">
        <v>0</v>
      </c>
      <c r="C776" s="2" t="n">
        <v>18.792634577969</v>
      </c>
      <c r="D776" s="2" t="n">
        <v>18.792634577969</v>
      </c>
    </row>
    <row r="777" customFormat="false" ht="13" hidden="false" customHeight="false" outlineLevel="0" collapsed="false">
      <c r="A777" s="2" t="n">
        <v>101</v>
      </c>
      <c r="B777" s="2" t="n">
        <v>0</v>
      </c>
      <c r="C777" s="2" t="n">
        <v>18.8106548993194</v>
      </c>
      <c r="D777" s="2" t="n">
        <v>18.8106548993194</v>
      </c>
    </row>
    <row r="778" customFormat="false" ht="13" hidden="false" customHeight="false" outlineLevel="0" collapsed="false">
      <c r="A778" s="2" t="n">
        <v>94</v>
      </c>
      <c r="B778" s="2" t="n">
        <v>0</v>
      </c>
      <c r="C778" s="2" t="n">
        <v>18.8669648022264</v>
      </c>
      <c r="D778" s="2" t="n">
        <v>18.8669648022264</v>
      </c>
    </row>
    <row r="779" customFormat="false" ht="13" hidden="false" customHeight="false" outlineLevel="0" collapsed="false">
      <c r="A779" s="2" t="n">
        <v>576</v>
      </c>
      <c r="B779" s="2" t="n">
        <v>18.9321041380664</v>
      </c>
      <c r="C779" s="2" t="n">
        <v>0</v>
      </c>
      <c r="D779" s="2" t="n">
        <v>18.9321041380664</v>
      </c>
    </row>
    <row r="780" customFormat="false" ht="13" hidden="false" customHeight="false" outlineLevel="0" collapsed="false">
      <c r="A780" s="2" t="n">
        <v>640</v>
      </c>
      <c r="B780" s="2" t="n">
        <v>18.9635818331138</v>
      </c>
      <c r="C780" s="2" t="n">
        <v>0</v>
      </c>
      <c r="D780" s="2" t="n">
        <v>18.9635818331138</v>
      </c>
    </row>
    <row r="781" customFormat="false" ht="13" hidden="false" customHeight="false" outlineLevel="0" collapsed="false">
      <c r="A781" s="2" t="n">
        <v>613</v>
      </c>
      <c r="B781" s="2" t="n">
        <v>19.021524571705</v>
      </c>
      <c r="C781" s="2" t="n">
        <v>0</v>
      </c>
      <c r="D781" s="2" t="n">
        <v>19.021524571705</v>
      </c>
    </row>
    <row r="782" customFormat="false" ht="13" hidden="false" customHeight="false" outlineLevel="0" collapsed="false">
      <c r="A782" s="2" t="n">
        <v>107</v>
      </c>
      <c r="B782" s="2" t="n">
        <v>0</v>
      </c>
      <c r="C782" s="2" t="n">
        <v>19.1018545668031</v>
      </c>
      <c r="D782" s="2" t="n">
        <v>19.1018545668031</v>
      </c>
    </row>
    <row r="783" customFormat="false" ht="13" hidden="false" customHeight="false" outlineLevel="0" collapsed="false">
      <c r="A783" s="2" t="n">
        <v>561</v>
      </c>
      <c r="B783" s="2" t="n">
        <v>19.1024922347633</v>
      </c>
      <c r="C783" s="2" t="n">
        <v>0</v>
      </c>
      <c r="D783" s="2" t="n">
        <v>19.1024922347633</v>
      </c>
    </row>
    <row r="784" customFormat="false" ht="13" hidden="false" customHeight="false" outlineLevel="0" collapsed="false">
      <c r="A784" s="2" t="n">
        <v>242</v>
      </c>
      <c r="B784" s="2" t="n">
        <v>19.1786814624552</v>
      </c>
      <c r="C784" s="2" t="n">
        <v>0</v>
      </c>
      <c r="D784" s="2" t="n">
        <v>19.1786814624552</v>
      </c>
    </row>
    <row r="785" customFormat="false" ht="13" hidden="false" customHeight="false" outlineLevel="0" collapsed="false">
      <c r="A785" s="2" t="n">
        <v>875</v>
      </c>
      <c r="B785" s="2" t="n">
        <v>0</v>
      </c>
      <c r="C785" s="2" t="n">
        <v>19.2206403267274</v>
      </c>
      <c r="D785" s="2" t="n">
        <v>19.2206403267274</v>
      </c>
    </row>
    <row r="786" customFormat="false" ht="13" hidden="false" customHeight="false" outlineLevel="0" collapsed="false">
      <c r="A786" s="2" t="n">
        <v>811</v>
      </c>
      <c r="B786" s="2" t="n">
        <v>19.2248490181541</v>
      </c>
      <c r="C786" s="2" t="n">
        <v>0</v>
      </c>
      <c r="D786" s="2" t="n">
        <v>19.2248490181541</v>
      </c>
    </row>
    <row r="787" customFormat="false" ht="13" hidden="false" customHeight="false" outlineLevel="0" collapsed="false">
      <c r="A787" s="2" t="n">
        <v>556</v>
      </c>
      <c r="B787" s="2" t="n">
        <v>19.293966830887</v>
      </c>
      <c r="C787" s="2" t="n">
        <v>0</v>
      </c>
      <c r="D787" s="2" t="n">
        <v>19.293966830887</v>
      </c>
    </row>
    <row r="788" customFormat="false" ht="13" hidden="false" customHeight="false" outlineLevel="0" collapsed="false">
      <c r="A788" s="2" t="n">
        <v>817</v>
      </c>
      <c r="B788" s="2" t="n">
        <v>0</v>
      </c>
      <c r="C788" s="2" t="n">
        <v>19.3201190309433</v>
      </c>
      <c r="D788" s="2" t="n">
        <v>19.3201190309433</v>
      </c>
    </row>
    <row r="789" customFormat="false" ht="13" hidden="false" customHeight="false" outlineLevel="0" collapsed="false">
      <c r="A789" s="2" t="n">
        <v>39</v>
      </c>
      <c r="B789" s="2" t="n">
        <v>0</v>
      </c>
      <c r="C789" s="2" t="n">
        <v>19.3309319918464</v>
      </c>
      <c r="D789" s="2" t="n">
        <v>19.3309319918464</v>
      </c>
    </row>
    <row r="790" customFormat="false" ht="13" hidden="false" customHeight="false" outlineLevel="0" collapsed="false">
      <c r="A790" s="2" t="n">
        <v>622</v>
      </c>
      <c r="B790" s="2" t="n">
        <v>19.3572983508942</v>
      </c>
      <c r="C790" s="2" t="n">
        <v>0</v>
      </c>
      <c r="D790" s="2" t="n">
        <v>19.3572983508942</v>
      </c>
    </row>
    <row r="791" customFormat="false" ht="13" hidden="false" customHeight="false" outlineLevel="0" collapsed="false">
      <c r="A791" s="2" t="n">
        <v>38</v>
      </c>
      <c r="B791" s="2" t="n">
        <v>0</v>
      </c>
      <c r="C791" s="2" t="n">
        <v>19.4991892996286</v>
      </c>
      <c r="D791" s="2" t="n">
        <v>19.4991892996286</v>
      </c>
    </row>
    <row r="792" customFormat="false" ht="13" hidden="false" customHeight="false" outlineLevel="0" collapsed="false">
      <c r="A792" s="2" t="n">
        <v>782</v>
      </c>
      <c r="B792" s="2" t="n">
        <v>0</v>
      </c>
      <c r="C792" s="2" t="n">
        <v>19.5393376552094</v>
      </c>
      <c r="D792" s="2" t="n">
        <v>19.5393376552094</v>
      </c>
    </row>
    <row r="793" customFormat="false" ht="13" hidden="false" customHeight="false" outlineLevel="0" collapsed="false">
      <c r="A793" s="2" t="n">
        <v>283</v>
      </c>
      <c r="B793" s="2" t="n">
        <v>19.5484543156882</v>
      </c>
      <c r="C793" s="2" t="n">
        <v>0</v>
      </c>
      <c r="D793" s="2" t="n">
        <v>19.5484543156882</v>
      </c>
    </row>
    <row r="794" customFormat="false" ht="13" hidden="false" customHeight="false" outlineLevel="0" collapsed="false">
      <c r="A794" s="2" t="n">
        <v>506</v>
      </c>
      <c r="B794" s="2" t="n">
        <v>19.6160992968647</v>
      </c>
      <c r="C794" s="2" t="n">
        <v>0</v>
      </c>
      <c r="D794" s="2" t="n">
        <v>19.6160992968647</v>
      </c>
    </row>
    <row r="795" customFormat="false" ht="13" hidden="false" customHeight="false" outlineLevel="0" collapsed="false">
      <c r="A795" s="2" t="n">
        <v>99</v>
      </c>
      <c r="B795" s="2" t="n">
        <v>0</v>
      </c>
      <c r="C795" s="2" t="n">
        <v>19.6861190805676</v>
      </c>
      <c r="D795" s="2" t="n">
        <v>19.6861190805676</v>
      </c>
    </row>
    <row r="796" customFormat="false" ht="13" hidden="false" customHeight="false" outlineLevel="0" collapsed="false">
      <c r="A796" s="2" t="n">
        <v>245</v>
      </c>
      <c r="B796" s="2" t="n">
        <v>19.7055705855501</v>
      </c>
      <c r="C796" s="2" t="n">
        <v>0</v>
      </c>
      <c r="D796" s="2" t="n">
        <v>19.7055705855501</v>
      </c>
    </row>
    <row r="797" customFormat="false" ht="13" hidden="false" customHeight="false" outlineLevel="0" collapsed="false">
      <c r="A797" s="2" t="n">
        <v>626</v>
      </c>
      <c r="B797" s="2" t="n">
        <v>19.7071118097671</v>
      </c>
      <c r="C797" s="2" t="n">
        <v>0</v>
      </c>
      <c r="D797" s="2" t="n">
        <v>19.7071118097671</v>
      </c>
    </row>
    <row r="798" customFormat="false" ht="13" hidden="false" customHeight="false" outlineLevel="0" collapsed="false">
      <c r="A798" s="2" t="n">
        <v>548</v>
      </c>
      <c r="B798" s="2" t="n">
        <v>19.7706514925542</v>
      </c>
      <c r="C798" s="2" t="n">
        <v>0</v>
      </c>
      <c r="D798" s="2" t="n">
        <v>19.7706514925542</v>
      </c>
    </row>
    <row r="799" customFormat="false" ht="13" hidden="false" customHeight="false" outlineLevel="0" collapsed="false">
      <c r="A799" s="2" t="n">
        <v>805</v>
      </c>
      <c r="B799" s="2" t="n">
        <v>0</v>
      </c>
      <c r="C799" s="2" t="n">
        <v>19.8437044863284</v>
      </c>
      <c r="D799" s="2" t="n">
        <v>19.8437044863284</v>
      </c>
    </row>
    <row r="800" customFormat="false" ht="13" hidden="false" customHeight="false" outlineLevel="0" collapsed="false">
      <c r="A800" s="2" t="n">
        <v>975</v>
      </c>
      <c r="B800" s="2" t="n">
        <v>0</v>
      </c>
      <c r="C800" s="2" t="n">
        <v>19.846644680704</v>
      </c>
      <c r="D800" s="2" t="n">
        <v>19.846644680704</v>
      </c>
    </row>
    <row r="801" customFormat="false" ht="13" hidden="false" customHeight="false" outlineLevel="0" collapsed="false">
      <c r="A801" s="2" t="n">
        <v>274</v>
      </c>
      <c r="B801" s="2" t="n">
        <v>19.9203133128723</v>
      </c>
      <c r="C801" s="2" t="n">
        <v>0</v>
      </c>
      <c r="D801" s="2" t="n">
        <v>19.9203133128723</v>
      </c>
    </row>
    <row r="802" customFormat="false" ht="13" hidden="false" customHeight="false" outlineLevel="0" collapsed="false">
      <c r="A802" s="2" t="n">
        <v>95</v>
      </c>
      <c r="B802" s="2" t="n">
        <v>0</v>
      </c>
      <c r="C802" s="2" t="n">
        <v>19.9376495598334</v>
      </c>
      <c r="D802" s="2" t="n">
        <v>19.9376495598334</v>
      </c>
    </row>
    <row r="803" customFormat="false" ht="13" hidden="false" customHeight="false" outlineLevel="0" collapsed="false">
      <c r="A803" s="2" t="n">
        <v>806</v>
      </c>
      <c r="B803" s="2" t="n">
        <v>20.0532150369332</v>
      </c>
      <c r="C803" s="2" t="n">
        <v>0</v>
      </c>
      <c r="D803" s="2" t="n">
        <v>20.0532150369332</v>
      </c>
    </row>
    <row r="804" customFormat="false" ht="13" hidden="false" customHeight="false" outlineLevel="0" collapsed="false">
      <c r="A804" s="2" t="n">
        <v>577</v>
      </c>
      <c r="B804" s="2" t="n">
        <v>20.0804258642224</v>
      </c>
      <c r="C804" s="2" t="n">
        <v>0</v>
      </c>
      <c r="D804" s="2" t="n">
        <v>20.0804258642224</v>
      </c>
    </row>
    <row r="805" customFormat="false" ht="13" hidden="false" customHeight="false" outlineLevel="0" collapsed="false">
      <c r="A805" s="2" t="n">
        <v>881</v>
      </c>
      <c r="B805" s="2" t="n">
        <v>0</v>
      </c>
      <c r="C805" s="2" t="n">
        <v>20.141415910422</v>
      </c>
      <c r="D805" s="2" t="n">
        <v>20.141415910422</v>
      </c>
    </row>
    <row r="806" customFormat="false" ht="13" hidden="false" customHeight="false" outlineLevel="0" collapsed="false">
      <c r="A806" s="2" t="n">
        <v>818</v>
      </c>
      <c r="B806" s="2" t="n">
        <v>0</v>
      </c>
      <c r="C806" s="2" t="n">
        <v>20.1513517531372</v>
      </c>
      <c r="D806" s="2" t="n">
        <v>20.1513517531372</v>
      </c>
    </row>
    <row r="807" customFormat="false" ht="13" hidden="false" customHeight="false" outlineLevel="0" collapsed="false">
      <c r="A807" s="2" t="n">
        <v>807</v>
      </c>
      <c r="B807" s="2" t="n">
        <v>0</v>
      </c>
      <c r="C807" s="2" t="n">
        <v>20.1716644833682</v>
      </c>
      <c r="D807" s="2" t="n">
        <v>20.1716644833682</v>
      </c>
    </row>
    <row r="808" customFormat="false" ht="13" hidden="false" customHeight="false" outlineLevel="0" collapsed="false">
      <c r="A808" s="2" t="n">
        <v>981</v>
      </c>
      <c r="B808" s="2" t="n">
        <v>0</v>
      </c>
      <c r="C808" s="2" t="n">
        <v>20.1823323081126</v>
      </c>
      <c r="D808" s="2" t="n">
        <v>20.1823323081126</v>
      </c>
    </row>
    <row r="809" customFormat="false" ht="13" hidden="false" customHeight="false" outlineLevel="0" collapsed="false">
      <c r="A809" s="2" t="n">
        <v>614</v>
      </c>
      <c r="B809" s="2" t="n">
        <v>20.245847144096</v>
      </c>
      <c r="C809" s="2" t="n">
        <v>0</v>
      </c>
      <c r="D809" s="2" t="n">
        <v>20.245847144096</v>
      </c>
    </row>
    <row r="810" customFormat="false" ht="13" hidden="false" customHeight="false" outlineLevel="0" collapsed="false">
      <c r="A810" s="2" t="n">
        <v>815</v>
      </c>
      <c r="B810" s="2" t="n">
        <v>0</v>
      </c>
      <c r="C810" s="2" t="n">
        <v>20.4890506799657</v>
      </c>
      <c r="D810" s="2" t="n">
        <v>20.4890506799657</v>
      </c>
    </row>
    <row r="811" customFormat="false" ht="13" hidden="false" customHeight="false" outlineLevel="0" collapsed="false">
      <c r="A811" s="2" t="n">
        <v>876</v>
      </c>
      <c r="B811" s="2" t="n">
        <v>0</v>
      </c>
      <c r="C811" s="2" t="n">
        <v>20.6469709947762</v>
      </c>
      <c r="D811" s="2" t="n">
        <v>20.6469709947762</v>
      </c>
    </row>
    <row r="812" customFormat="false" ht="13" hidden="false" customHeight="false" outlineLevel="0" collapsed="false">
      <c r="A812" s="2" t="n">
        <v>646</v>
      </c>
      <c r="B812" s="2" t="n">
        <v>20.6803622728486</v>
      </c>
      <c r="C812" s="2" t="n">
        <v>0</v>
      </c>
      <c r="D812" s="2" t="n">
        <v>20.6803622728486</v>
      </c>
    </row>
    <row r="813" customFormat="false" ht="13" hidden="false" customHeight="false" outlineLevel="0" collapsed="false">
      <c r="A813" s="2" t="n">
        <v>280</v>
      </c>
      <c r="B813" s="2" t="n">
        <v>20.706401757805</v>
      </c>
      <c r="C813" s="2" t="n">
        <v>0</v>
      </c>
      <c r="D813" s="2" t="n">
        <v>20.706401757805</v>
      </c>
    </row>
    <row r="814" customFormat="false" ht="13" hidden="false" customHeight="false" outlineLevel="0" collapsed="false">
      <c r="A814" s="2" t="n">
        <v>978</v>
      </c>
      <c r="B814" s="2" t="n">
        <v>0</v>
      </c>
      <c r="C814" s="2" t="n">
        <v>20.7085801551798</v>
      </c>
      <c r="D814" s="2" t="n">
        <v>20.7085801551798</v>
      </c>
    </row>
    <row r="815" customFormat="false" ht="13" hidden="false" customHeight="false" outlineLevel="0" collapsed="false">
      <c r="A815" s="2" t="n">
        <v>606</v>
      </c>
      <c r="B815" s="2" t="n">
        <v>20.769101679592</v>
      </c>
      <c r="C815" s="2" t="n">
        <v>0</v>
      </c>
      <c r="D815" s="2" t="n">
        <v>20.769101679592</v>
      </c>
    </row>
    <row r="816" customFormat="false" ht="13" hidden="false" customHeight="false" outlineLevel="0" collapsed="false">
      <c r="A816" s="2" t="n">
        <v>568</v>
      </c>
      <c r="B816" s="2" t="n">
        <v>20.7733963232798</v>
      </c>
      <c r="C816" s="2" t="n">
        <v>0</v>
      </c>
      <c r="D816" s="2" t="n">
        <v>20.7733963232798</v>
      </c>
    </row>
    <row r="817" customFormat="false" ht="13" hidden="false" customHeight="false" outlineLevel="0" collapsed="false">
      <c r="A817" s="2" t="n">
        <v>562</v>
      </c>
      <c r="B817" s="2" t="n">
        <v>20.8168188380744</v>
      </c>
      <c r="C817" s="2" t="n">
        <v>0</v>
      </c>
      <c r="D817" s="2" t="n">
        <v>20.8168188380744</v>
      </c>
    </row>
    <row r="818" customFormat="false" ht="13" hidden="false" customHeight="false" outlineLevel="0" collapsed="false">
      <c r="A818" s="2" t="n">
        <v>877</v>
      </c>
      <c r="B818" s="2" t="n">
        <v>0</v>
      </c>
      <c r="C818" s="2" t="n">
        <v>20.8361161644871</v>
      </c>
      <c r="D818" s="2" t="n">
        <v>20.8361161644871</v>
      </c>
    </row>
    <row r="819" customFormat="false" ht="13" hidden="false" customHeight="false" outlineLevel="0" collapsed="false">
      <c r="A819" s="2" t="n">
        <v>812</v>
      </c>
      <c r="B819" s="2" t="n">
        <v>20.8533768491973</v>
      </c>
      <c r="C819" s="2" t="n">
        <v>0</v>
      </c>
      <c r="D819" s="2" t="n">
        <v>20.8533768491973</v>
      </c>
    </row>
    <row r="820" customFormat="false" ht="13" hidden="false" customHeight="false" outlineLevel="0" collapsed="false">
      <c r="A820" s="2" t="n">
        <v>549</v>
      </c>
      <c r="B820" s="2" t="n">
        <v>20.8759758400013</v>
      </c>
      <c r="C820" s="2" t="n">
        <v>0</v>
      </c>
      <c r="D820" s="2" t="n">
        <v>20.8759758400013</v>
      </c>
    </row>
    <row r="821" customFormat="false" ht="13" hidden="false" customHeight="false" outlineLevel="0" collapsed="false">
      <c r="A821" s="2" t="n">
        <v>578</v>
      </c>
      <c r="B821" s="2" t="n">
        <v>20.9244295588962</v>
      </c>
      <c r="C821" s="2" t="n">
        <v>0</v>
      </c>
      <c r="D821" s="2" t="n">
        <v>20.9244295588962</v>
      </c>
    </row>
    <row r="822" customFormat="false" ht="13" hidden="false" customHeight="false" outlineLevel="0" collapsed="false">
      <c r="A822" s="2" t="n">
        <v>783</v>
      </c>
      <c r="B822" s="2" t="n">
        <v>0</v>
      </c>
      <c r="C822" s="2" t="n">
        <v>20.9649391556426</v>
      </c>
      <c r="D822" s="2" t="n">
        <v>20.9649391556426</v>
      </c>
    </row>
    <row r="823" customFormat="false" ht="13" hidden="false" customHeight="false" outlineLevel="0" collapsed="false">
      <c r="A823" s="2" t="n">
        <v>808</v>
      </c>
      <c r="B823" s="2" t="n">
        <v>0</v>
      </c>
      <c r="C823" s="2" t="n">
        <v>21.0036436308867</v>
      </c>
      <c r="D823" s="2" t="n">
        <v>21.0036436308867</v>
      </c>
    </row>
    <row r="824" customFormat="false" ht="13" hidden="false" customHeight="false" outlineLevel="0" collapsed="false">
      <c r="A824" s="2" t="n">
        <v>507</v>
      </c>
      <c r="B824" s="2" t="n">
        <v>21.0490867358114</v>
      </c>
      <c r="C824" s="2" t="n">
        <v>0</v>
      </c>
      <c r="D824" s="2" t="n">
        <v>21.0490867358114</v>
      </c>
    </row>
    <row r="825" customFormat="false" ht="13" hidden="false" customHeight="false" outlineLevel="0" collapsed="false">
      <c r="A825" s="2" t="n">
        <v>974</v>
      </c>
      <c r="B825" s="2" t="n">
        <v>0</v>
      </c>
      <c r="C825" s="2" t="n">
        <v>21.0871271181206</v>
      </c>
      <c r="D825" s="2" t="n">
        <v>21.0871271181206</v>
      </c>
    </row>
    <row r="826" customFormat="false" ht="13" hidden="false" customHeight="false" outlineLevel="0" collapsed="false">
      <c r="A826" s="2" t="n">
        <v>615</v>
      </c>
      <c r="B826" s="2" t="n">
        <v>21.2648804509812</v>
      </c>
      <c r="C826" s="2" t="n">
        <v>0</v>
      </c>
      <c r="D826" s="2" t="n">
        <v>21.2648804509812</v>
      </c>
    </row>
    <row r="827" customFormat="false" ht="13" hidden="false" customHeight="false" outlineLevel="0" collapsed="false">
      <c r="A827" s="2" t="n">
        <v>569</v>
      </c>
      <c r="B827" s="2" t="n">
        <v>21.369353869947</v>
      </c>
      <c r="C827" s="2" t="n">
        <v>0</v>
      </c>
      <c r="D827" s="2" t="n">
        <v>21.369353869947</v>
      </c>
    </row>
    <row r="828" customFormat="false" ht="13" hidden="false" customHeight="false" outlineLevel="0" collapsed="false">
      <c r="A828" s="2" t="n">
        <v>275</v>
      </c>
      <c r="B828" s="2" t="n">
        <v>21.3878814368161</v>
      </c>
      <c r="C828" s="2" t="n">
        <v>0</v>
      </c>
      <c r="D828" s="2" t="n">
        <v>21.3878814368161</v>
      </c>
    </row>
    <row r="829" customFormat="false" ht="13" hidden="false" customHeight="false" outlineLevel="0" collapsed="false">
      <c r="A829" s="2" t="n">
        <v>277</v>
      </c>
      <c r="B829" s="2" t="n">
        <v>21.6823373053102</v>
      </c>
      <c r="C829" s="2" t="n">
        <v>0</v>
      </c>
      <c r="D829" s="2" t="n">
        <v>21.6823373053102</v>
      </c>
    </row>
    <row r="830" customFormat="false" ht="13" hidden="false" customHeight="false" outlineLevel="0" collapsed="false">
      <c r="A830" s="2" t="n">
        <v>982</v>
      </c>
      <c r="B830" s="2" t="n">
        <v>0</v>
      </c>
      <c r="C830" s="2" t="n">
        <v>21.6887522385289</v>
      </c>
      <c r="D830" s="2" t="n">
        <v>21.6887522385289</v>
      </c>
    </row>
    <row r="831" customFormat="false" ht="13" hidden="false" customHeight="false" outlineLevel="0" collapsed="false">
      <c r="A831" s="2" t="n">
        <v>882</v>
      </c>
      <c r="B831" s="2" t="n">
        <v>0</v>
      </c>
      <c r="C831" s="2" t="n">
        <v>21.7849099914863</v>
      </c>
      <c r="D831" s="2" t="n">
        <v>21.7849099914863</v>
      </c>
    </row>
    <row r="832" customFormat="false" ht="13" hidden="false" customHeight="false" outlineLevel="0" collapsed="false">
      <c r="A832" s="2" t="n">
        <v>819</v>
      </c>
      <c r="B832" s="2" t="n">
        <v>0</v>
      </c>
      <c r="C832" s="2" t="n">
        <v>21.7985239350605</v>
      </c>
      <c r="D832" s="2" t="n">
        <v>21.7985239350605</v>
      </c>
    </row>
    <row r="833" customFormat="false" ht="13" hidden="false" customHeight="false" outlineLevel="0" collapsed="false">
      <c r="A833" s="2" t="n">
        <v>813</v>
      </c>
      <c r="B833" s="2" t="n">
        <v>0</v>
      </c>
      <c r="C833" s="2" t="n">
        <v>21.9302173290452</v>
      </c>
      <c r="D833" s="2" t="n">
        <v>21.9302173290452</v>
      </c>
    </row>
    <row r="834" customFormat="false" ht="13" hidden="false" customHeight="false" outlineLevel="0" collapsed="false">
      <c r="A834" s="2" t="n">
        <v>814</v>
      </c>
      <c r="B834" s="2" t="n">
        <v>0</v>
      </c>
      <c r="C834" s="2" t="n">
        <v>22.0226543137678</v>
      </c>
      <c r="D834" s="2" t="n">
        <v>22.0226543137678</v>
      </c>
    </row>
    <row r="835" customFormat="false" ht="13" hidden="false" customHeight="false" outlineLevel="0" collapsed="false">
      <c r="A835" s="2" t="n">
        <v>647</v>
      </c>
      <c r="B835" s="2" t="n">
        <v>22.1134359351873</v>
      </c>
      <c r="C835" s="2" t="n">
        <v>0</v>
      </c>
      <c r="D835" s="2" t="n">
        <v>22.1134359351873</v>
      </c>
    </row>
    <row r="836" customFormat="false" ht="13" hidden="false" customHeight="false" outlineLevel="0" collapsed="false">
      <c r="A836" s="2" t="n">
        <v>563</v>
      </c>
      <c r="B836" s="2" t="n">
        <v>22.2376920787117</v>
      </c>
      <c r="C836" s="2" t="n">
        <v>0</v>
      </c>
      <c r="D836" s="2" t="n">
        <v>22.2376920787117</v>
      </c>
    </row>
    <row r="837" customFormat="false" ht="13" hidden="false" customHeight="false" outlineLevel="0" collapsed="false">
      <c r="A837" s="2" t="n">
        <v>799</v>
      </c>
      <c r="B837" s="2" t="n">
        <v>22.3458309888558</v>
      </c>
      <c r="C837" s="2" t="n">
        <v>0</v>
      </c>
      <c r="D837" s="2" t="n">
        <v>22.3458309888558</v>
      </c>
    </row>
    <row r="838" customFormat="false" ht="13" hidden="false" customHeight="false" outlineLevel="0" collapsed="false">
      <c r="A838" s="2" t="n">
        <v>579</v>
      </c>
      <c r="B838" s="2" t="n">
        <v>22.4178014051854</v>
      </c>
      <c r="C838" s="2" t="n">
        <v>0</v>
      </c>
      <c r="D838" s="2" t="n">
        <v>22.4178014051854</v>
      </c>
    </row>
    <row r="839" customFormat="false" ht="13" hidden="false" customHeight="false" outlineLevel="0" collapsed="false">
      <c r="A839" s="2" t="n">
        <v>649</v>
      </c>
      <c r="B839" s="2" t="n">
        <v>22.5240503729514</v>
      </c>
      <c r="C839" s="2" t="n">
        <v>0</v>
      </c>
      <c r="D839" s="2" t="n">
        <v>22.5240503729514</v>
      </c>
    </row>
    <row r="840" customFormat="false" ht="13" hidden="false" customHeight="false" outlineLevel="0" collapsed="false">
      <c r="A840" s="2" t="n">
        <v>508</v>
      </c>
      <c r="B840" s="2" t="n">
        <v>22.6590649409924</v>
      </c>
      <c r="C840" s="2" t="n">
        <v>0</v>
      </c>
      <c r="D840" s="2" t="n">
        <v>22.6590649409924</v>
      </c>
    </row>
    <row r="841" customFormat="false" ht="13" hidden="false" customHeight="false" outlineLevel="0" collapsed="false">
      <c r="A841" s="2" t="n">
        <v>800</v>
      </c>
      <c r="B841" s="2" t="n">
        <v>22.7618590036584</v>
      </c>
      <c r="C841" s="2" t="n">
        <v>0</v>
      </c>
      <c r="D841" s="2" t="n">
        <v>22.7618590036584</v>
      </c>
    </row>
    <row r="842" customFormat="false" ht="13" hidden="false" customHeight="false" outlineLevel="0" collapsed="false">
      <c r="A842" s="2" t="n">
        <v>809</v>
      </c>
      <c r="B842" s="2" t="n">
        <v>0</v>
      </c>
      <c r="C842" s="2" t="n">
        <v>22.8158893377548</v>
      </c>
      <c r="D842" s="2" t="n">
        <v>22.8158893377548</v>
      </c>
    </row>
    <row r="843" customFormat="false" ht="13" hidden="false" customHeight="false" outlineLevel="0" collapsed="false">
      <c r="A843" s="2" t="n">
        <v>607</v>
      </c>
      <c r="B843" s="2" t="n">
        <v>22.8172486405142</v>
      </c>
      <c r="C843" s="2" t="n">
        <v>0</v>
      </c>
      <c r="D843" s="2" t="n">
        <v>22.8172486405142</v>
      </c>
    </row>
    <row r="844" customFormat="false" ht="13" hidden="false" customHeight="false" outlineLevel="0" collapsed="false">
      <c r="A844" s="2" t="n">
        <v>792</v>
      </c>
      <c r="B844" s="2" t="n">
        <v>23.1284145303318</v>
      </c>
      <c r="C844" s="2" t="n">
        <v>0</v>
      </c>
      <c r="D844" s="2" t="n">
        <v>23.1284145303318</v>
      </c>
    </row>
    <row r="845" customFormat="false" ht="13" hidden="false" customHeight="false" outlineLevel="0" collapsed="false">
      <c r="A845" s="2" t="n">
        <v>983</v>
      </c>
      <c r="B845" s="2" t="n">
        <v>0</v>
      </c>
      <c r="C845" s="2" t="n">
        <v>23.3111005300175</v>
      </c>
      <c r="D845" s="2" t="n">
        <v>23.3111005300175</v>
      </c>
    </row>
    <row r="846" customFormat="false" ht="13" hidden="false" customHeight="false" outlineLevel="0" collapsed="false">
      <c r="A846" s="2" t="n">
        <v>652</v>
      </c>
      <c r="B846" s="2" t="n">
        <v>23.4022268030818</v>
      </c>
      <c r="C846" s="2" t="n">
        <v>0</v>
      </c>
      <c r="D846" s="2" t="n">
        <v>23.4022268030818</v>
      </c>
    </row>
    <row r="847" customFormat="false" ht="13" hidden="false" customHeight="false" outlineLevel="0" collapsed="false">
      <c r="A847" s="2" t="n">
        <v>513</v>
      </c>
      <c r="B847" s="2" t="n">
        <v>23.4923284604848</v>
      </c>
      <c r="C847" s="2" t="n">
        <v>0</v>
      </c>
      <c r="D847" s="2" t="n">
        <v>23.4923284604848</v>
      </c>
    </row>
    <row r="848" customFormat="false" ht="13" hidden="false" customHeight="false" outlineLevel="0" collapsed="false">
      <c r="A848" s="2" t="n">
        <v>278</v>
      </c>
      <c r="B848" s="2" t="n">
        <v>23.6009674239449</v>
      </c>
      <c r="C848" s="2" t="n">
        <v>0</v>
      </c>
      <c r="D848" s="2" t="n">
        <v>23.6009674239449</v>
      </c>
    </row>
    <row r="849" customFormat="false" ht="13" hidden="false" customHeight="false" outlineLevel="0" collapsed="false">
      <c r="A849" s="2" t="n">
        <v>820</v>
      </c>
      <c r="B849" s="2" t="n">
        <v>0</v>
      </c>
      <c r="C849" s="2" t="n">
        <v>23.6358645198626</v>
      </c>
      <c r="D849" s="2" t="n">
        <v>23.6358645198626</v>
      </c>
    </row>
    <row r="850" customFormat="false" ht="13" hidden="false" customHeight="false" outlineLevel="0" collapsed="false">
      <c r="A850" s="2" t="n">
        <v>824</v>
      </c>
      <c r="B850" s="2" t="n">
        <v>0</v>
      </c>
      <c r="C850" s="2" t="n">
        <v>23.6504296891142</v>
      </c>
      <c r="D850" s="2" t="n">
        <v>23.6504296891142</v>
      </c>
    </row>
    <row r="851" customFormat="false" ht="13" hidden="false" customHeight="false" outlineLevel="0" collapsed="false">
      <c r="A851" s="2" t="n">
        <v>883</v>
      </c>
      <c r="B851" s="2" t="n">
        <v>0</v>
      </c>
      <c r="C851" s="2" t="n">
        <v>23.6944889629638</v>
      </c>
      <c r="D851" s="2" t="n">
        <v>23.6944889629638</v>
      </c>
    </row>
    <row r="852" customFormat="false" ht="13" hidden="false" customHeight="false" outlineLevel="0" collapsed="false">
      <c r="A852" s="2" t="n">
        <v>909</v>
      </c>
      <c r="B852" s="2" t="n">
        <v>0</v>
      </c>
      <c r="C852" s="2" t="n">
        <v>23.7800388414296</v>
      </c>
      <c r="D852" s="2" t="n">
        <v>23.7800388414296</v>
      </c>
    </row>
    <row r="853" customFormat="false" ht="13" hidden="false" customHeight="false" outlineLevel="0" collapsed="false">
      <c r="A853" s="2" t="n">
        <v>699</v>
      </c>
      <c r="B853" s="2" t="n">
        <v>23.8928778059056</v>
      </c>
      <c r="C853" s="2" t="n">
        <v>0</v>
      </c>
      <c r="D853" s="2" t="n">
        <v>23.8928778059056</v>
      </c>
    </row>
    <row r="854" customFormat="false" ht="13" hidden="false" customHeight="false" outlineLevel="0" collapsed="false">
      <c r="A854" s="2" t="n">
        <v>701</v>
      </c>
      <c r="B854" s="2" t="n">
        <v>23.9096451064075</v>
      </c>
      <c r="C854" s="2" t="n">
        <v>0</v>
      </c>
      <c r="D854" s="2" t="n">
        <v>23.9096451064075</v>
      </c>
    </row>
    <row r="855" customFormat="false" ht="13" hidden="false" customHeight="false" outlineLevel="0" collapsed="false">
      <c r="A855" s="2" t="n">
        <v>934</v>
      </c>
      <c r="B855" s="2" t="n">
        <v>0</v>
      </c>
      <c r="C855" s="2" t="n">
        <v>24.1470777731761</v>
      </c>
      <c r="D855" s="2" t="n">
        <v>24.1470777731761</v>
      </c>
    </row>
    <row r="856" customFormat="false" ht="13" hidden="false" customHeight="false" outlineLevel="0" collapsed="false">
      <c r="A856" s="2" t="n">
        <v>510</v>
      </c>
      <c r="B856" s="2" t="n">
        <v>24.2295564646748</v>
      </c>
      <c r="C856" s="2" t="n">
        <v>0</v>
      </c>
      <c r="D856" s="2" t="n">
        <v>24.2295564646748</v>
      </c>
    </row>
    <row r="857" customFormat="false" ht="13" hidden="false" customHeight="false" outlineLevel="0" collapsed="false">
      <c r="A857" s="2" t="n">
        <v>821</v>
      </c>
      <c r="B857" s="2" t="n">
        <v>0</v>
      </c>
      <c r="C857" s="2" t="n">
        <v>24.2517077228529</v>
      </c>
      <c r="D857" s="2" t="n">
        <v>24.2517077228529</v>
      </c>
    </row>
    <row r="858" customFormat="false" ht="13" hidden="false" customHeight="false" outlineLevel="0" collapsed="false">
      <c r="A858" s="2" t="n">
        <v>580</v>
      </c>
      <c r="B858" s="2" t="n">
        <v>24.3434460948565</v>
      </c>
      <c r="C858" s="2" t="n">
        <v>0</v>
      </c>
      <c r="D858" s="2" t="n">
        <v>24.3434460948565</v>
      </c>
    </row>
    <row r="859" customFormat="false" ht="13" hidden="false" customHeight="false" outlineLevel="0" collapsed="false">
      <c r="A859" s="2" t="n">
        <v>826</v>
      </c>
      <c r="B859" s="2" t="n">
        <v>0</v>
      </c>
      <c r="C859" s="2" t="n">
        <v>24.3532300327259</v>
      </c>
      <c r="D859" s="2" t="n">
        <v>24.3532300327259</v>
      </c>
    </row>
    <row r="860" customFormat="false" ht="13" hidden="false" customHeight="false" outlineLevel="0" collapsed="false">
      <c r="A860" s="2" t="n">
        <v>935</v>
      </c>
      <c r="B860" s="2" t="n">
        <v>0</v>
      </c>
      <c r="C860" s="2" t="n">
        <v>24.3715629167697</v>
      </c>
      <c r="D860" s="2" t="n">
        <v>24.3715629167697</v>
      </c>
    </row>
    <row r="861" customFormat="false" ht="13" hidden="false" customHeight="false" outlineLevel="0" collapsed="false">
      <c r="A861" s="2" t="n">
        <v>937</v>
      </c>
      <c r="B861" s="2" t="n">
        <v>0</v>
      </c>
      <c r="C861" s="2" t="n">
        <v>24.373742144066</v>
      </c>
      <c r="D861" s="2" t="n">
        <v>24.373742144066</v>
      </c>
    </row>
    <row r="862" customFormat="false" ht="13" hidden="false" customHeight="false" outlineLevel="0" collapsed="false">
      <c r="A862" s="2" t="n">
        <v>666</v>
      </c>
      <c r="B862" s="2" t="n">
        <v>24.4194680392712</v>
      </c>
      <c r="C862" s="2" t="n">
        <v>0</v>
      </c>
      <c r="D862" s="2" t="n">
        <v>24.4194680392712</v>
      </c>
    </row>
    <row r="863" customFormat="false" ht="13" hidden="false" customHeight="false" outlineLevel="0" collapsed="false">
      <c r="A863" s="2" t="n">
        <v>653</v>
      </c>
      <c r="B863" s="2" t="n">
        <v>24.4921399083706</v>
      </c>
      <c r="C863" s="2" t="n">
        <v>0</v>
      </c>
      <c r="D863" s="2" t="n">
        <v>24.4921399083706</v>
      </c>
    </row>
    <row r="864" customFormat="false" ht="13" hidden="false" customHeight="false" outlineLevel="0" collapsed="false">
      <c r="A864" s="2" t="n">
        <v>650</v>
      </c>
      <c r="B864" s="2" t="n">
        <v>24.5414794835168</v>
      </c>
      <c r="C864" s="2" t="n">
        <v>0</v>
      </c>
      <c r="D864" s="2" t="n">
        <v>24.5414794835168</v>
      </c>
    </row>
    <row r="865" customFormat="false" ht="13" hidden="false" customHeight="false" outlineLevel="0" collapsed="false">
      <c r="A865" s="2" t="n">
        <v>985</v>
      </c>
      <c r="B865" s="2" t="n">
        <v>0</v>
      </c>
      <c r="C865" s="2" t="n">
        <v>24.5666612321029</v>
      </c>
      <c r="D865" s="2" t="n">
        <v>24.5666612321029</v>
      </c>
    </row>
    <row r="866" customFormat="false" ht="13" hidden="false" customHeight="false" outlineLevel="0" collapsed="false">
      <c r="A866" s="2" t="n">
        <v>825</v>
      </c>
      <c r="B866" s="2" t="n">
        <v>0</v>
      </c>
      <c r="C866" s="2" t="n">
        <v>24.6089347022388</v>
      </c>
      <c r="D866" s="2" t="n">
        <v>24.6089347022388</v>
      </c>
    </row>
    <row r="867" customFormat="false" ht="13" hidden="false" customHeight="false" outlineLevel="0" collapsed="false">
      <c r="A867" s="2" t="n">
        <v>970</v>
      </c>
      <c r="B867" s="2" t="n">
        <v>0</v>
      </c>
      <c r="C867" s="2" t="n">
        <v>24.6211039914078</v>
      </c>
      <c r="D867" s="2" t="n">
        <v>24.6211039914078</v>
      </c>
    </row>
    <row r="868" customFormat="false" ht="13" hidden="false" customHeight="false" outlineLevel="0" collapsed="false">
      <c r="A868" s="2" t="n">
        <v>793</v>
      </c>
      <c r="B868" s="2" t="n">
        <v>24.7011255414868</v>
      </c>
      <c r="C868" s="2" t="n">
        <v>0</v>
      </c>
      <c r="D868" s="2" t="n">
        <v>24.7011255414868</v>
      </c>
    </row>
    <row r="869" customFormat="false" ht="13" hidden="false" customHeight="false" outlineLevel="0" collapsed="false">
      <c r="A869" s="2" t="n">
        <v>822</v>
      </c>
      <c r="B869" s="2" t="n">
        <v>0</v>
      </c>
      <c r="C869" s="2" t="n">
        <v>24.7025855033213</v>
      </c>
      <c r="D869" s="2" t="n">
        <v>24.7025855033213</v>
      </c>
    </row>
    <row r="870" customFormat="false" ht="13" hidden="false" customHeight="false" outlineLevel="0" collapsed="false">
      <c r="A870" s="2" t="n">
        <v>896</v>
      </c>
      <c r="B870" s="2" t="n">
        <v>0</v>
      </c>
      <c r="C870" s="2" t="n">
        <v>24.7810786919081</v>
      </c>
      <c r="D870" s="2" t="n">
        <v>24.7810786919081</v>
      </c>
    </row>
    <row r="871" customFormat="false" ht="13" hidden="false" customHeight="false" outlineLevel="0" collapsed="false">
      <c r="A871" s="2" t="n">
        <v>703</v>
      </c>
      <c r="B871" s="2" t="n">
        <v>24.7990486915567</v>
      </c>
      <c r="C871" s="2" t="n">
        <v>0</v>
      </c>
      <c r="D871" s="2" t="n">
        <v>24.7990486915567</v>
      </c>
    </row>
    <row r="872" customFormat="false" ht="13" hidden="false" customHeight="false" outlineLevel="0" collapsed="false">
      <c r="A872" s="2" t="n">
        <v>702</v>
      </c>
      <c r="B872" s="2" t="n">
        <v>24.8046457201172</v>
      </c>
      <c r="C872" s="2" t="n">
        <v>0</v>
      </c>
      <c r="D872" s="2" t="n">
        <v>24.8046457201172</v>
      </c>
    </row>
    <row r="873" customFormat="false" ht="13" hidden="false" customHeight="false" outlineLevel="0" collapsed="false">
      <c r="A873" s="2" t="n">
        <v>939</v>
      </c>
      <c r="B873" s="2" t="n">
        <v>0</v>
      </c>
      <c r="C873" s="2" t="n">
        <v>24.9633925016185</v>
      </c>
      <c r="D873" s="2" t="n">
        <v>24.9633925016185</v>
      </c>
    </row>
    <row r="874" customFormat="false" ht="13" hidden="false" customHeight="false" outlineLevel="0" collapsed="false">
      <c r="A874" s="2" t="n">
        <v>911</v>
      </c>
      <c r="B874" s="2" t="n">
        <v>0</v>
      </c>
      <c r="C874" s="2" t="n">
        <v>25.1940569226258</v>
      </c>
      <c r="D874" s="2" t="n">
        <v>25.1940569226258</v>
      </c>
    </row>
    <row r="875" customFormat="false" ht="13" hidden="false" customHeight="false" outlineLevel="0" collapsed="false">
      <c r="A875" s="2" t="n">
        <v>665</v>
      </c>
      <c r="B875" s="2" t="n">
        <v>25.2407374095095</v>
      </c>
      <c r="C875" s="2" t="n">
        <v>0</v>
      </c>
      <c r="D875" s="2" t="n">
        <v>25.2407374095095</v>
      </c>
    </row>
    <row r="876" customFormat="false" ht="13" hidden="false" customHeight="false" outlineLevel="0" collapsed="false">
      <c r="A876" s="2" t="n">
        <v>886</v>
      </c>
      <c r="B876" s="2" t="n">
        <v>0</v>
      </c>
      <c r="C876" s="2" t="n">
        <v>25.2537298090725</v>
      </c>
      <c r="D876" s="2" t="n">
        <v>25.2537298090725</v>
      </c>
    </row>
    <row r="877" customFormat="false" ht="13" hidden="false" customHeight="false" outlineLevel="0" collapsed="false">
      <c r="A877" s="2" t="n">
        <v>930</v>
      </c>
      <c r="B877" s="2" t="n">
        <v>0</v>
      </c>
      <c r="C877" s="2" t="n">
        <v>25.2936403559728</v>
      </c>
      <c r="D877" s="2" t="n">
        <v>25.2936403559728</v>
      </c>
    </row>
    <row r="878" customFormat="false" ht="13" hidden="false" customHeight="false" outlineLevel="0" collapsed="false">
      <c r="A878" s="2" t="n">
        <v>711</v>
      </c>
      <c r="B878" s="2" t="n">
        <v>25.3243623490779</v>
      </c>
      <c r="C878" s="2" t="n">
        <v>0</v>
      </c>
      <c r="D878" s="2" t="n">
        <v>25.3243623490779</v>
      </c>
    </row>
    <row r="879" customFormat="false" ht="13" hidden="false" customHeight="false" outlineLevel="0" collapsed="false">
      <c r="A879" s="2" t="n">
        <v>583</v>
      </c>
      <c r="B879" s="2" t="n">
        <v>25.4011850306789</v>
      </c>
      <c r="C879" s="2" t="n">
        <v>0</v>
      </c>
      <c r="D879" s="2" t="n">
        <v>25.4011850306789</v>
      </c>
    </row>
    <row r="880" customFormat="false" ht="13" hidden="false" customHeight="false" outlineLevel="0" collapsed="false">
      <c r="A880" s="2" t="n">
        <v>884</v>
      </c>
      <c r="B880" s="2" t="n">
        <v>0</v>
      </c>
      <c r="C880" s="2" t="n">
        <v>25.4617670572355</v>
      </c>
      <c r="D880" s="2" t="n">
        <v>25.4617670572355</v>
      </c>
    </row>
    <row r="881" customFormat="false" ht="13" hidden="false" customHeight="false" outlineLevel="0" collapsed="false">
      <c r="A881" s="2" t="n">
        <v>938</v>
      </c>
      <c r="B881" s="2" t="n">
        <v>0</v>
      </c>
      <c r="C881" s="2" t="n">
        <v>25.7230246268773</v>
      </c>
      <c r="D881" s="2" t="n">
        <v>25.7230246268773</v>
      </c>
    </row>
    <row r="882" customFormat="false" ht="13" hidden="false" customHeight="false" outlineLevel="0" collapsed="false">
      <c r="A882" s="2" t="n">
        <v>704</v>
      </c>
      <c r="B882" s="2" t="n">
        <v>25.7338210678325</v>
      </c>
      <c r="C882" s="2" t="n">
        <v>0</v>
      </c>
      <c r="D882" s="2" t="n">
        <v>25.7338210678325</v>
      </c>
    </row>
    <row r="883" customFormat="false" ht="13" hidden="false" customHeight="false" outlineLevel="0" collapsed="false">
      <c r="A883" s="2" t="n">
        <v>719</v>
      </c>
      <c r="B883" s="2" t="n">
        <v>25.8055432461416</v>
      </c>
      <c r="C883" s="2" t="n">
        <v>0</v>
      </c>
      <c r="D883" s="2" t="n">
        <v>25.8055432461416</v>
      </c>
    </row>
    <row r="884" customFormat="false" ht="13" hidden="false" customHeight="false" outlineLevel="0" collapsed="false">
      <c r="A884" s="2" t="n">
        <v>712</v>
      </c>
      <c r="B884" s="2" t="n">
        <v>25.8089970105837</v>
      </c>
      <c r="C884" s="2" t="n">
        <v>0</v>
      </c>
      <c r="D884" s="2" t="n">
        <v>25.8089970105837</v>
      </c>
    </row>
    <row r="885" customFormat="false" ht="13" hidden="false" customHeight="false" outlineLevel="0" collapsed="false">
      <c r="A885" s="2" t="n">
        <v>717</v>
      </c>
      <c r="B885" s="2" t="n">
        <v>25.8440866554738</v>
      </c>
      <c r="C885" s="2" t="n">
        <v>0</v>
      </c>
      <c r="D885" s="2" t="n">
        <v>25.8440866554738</v>
      </c>
    </row>
    <row r="886" customFormat="false" ht="13" hidden="false" customHeight="false" outlineLevel="0" collapsed="false">
      <c r="A886" s="2" t="n">
        <v>794</v>
      </c>
      <c r="B886" s="2" t="n">
        <v>25.8747375549589</v>
      </c>
      <c r="C886" s="2" t="n">
        <v>0</v>
      </c>
      <c r="D886" s="2" t="n">
        <v>25.8747375549589</v>
      </c>
    </row>
    <row r="887" customFormat="false" ht="13" hidden="false" customHeight="false" outlineLevel="0" collapsed="false">
      <c r="A887" s="2" t="n">
        <v>668</v>
      </c>
      <c r="B887" s="2" t="n">
        <v>25.8823392405918</v>
      </c>
      <c r="C887" s="2" t="n">
        <v>0</v>
      </c>
      <c r="D887" s="2" t="n">
        <v>25.8823392405918</v>
      </c>
    </row>
    <row r="888" customFormat="false" ht="13" hidden="false" customHeight="false" outlineLevel="0" collapsed="false">
      <c r="A888" s="2" t="n">
        <v>898</v>
      </c>
      <c r="B888" s="2" t="n">
        <v>0</v>
      </c>
      <c r="C888" s="2" t="n">
        <v>26.0097937924593</v>
      </c>
      <c r="D888" s="2" t="n">
        <v>26.0097937924593</v>
      </c>
    </row>
    <row r="889" customFormat="false" ht="13" hidden="false" customHeight="false" outlineLevel="0" collapsed="false">
      <c r="A889" s="2" t="n">
        <v>661</v>
      </c>
      <c r="B889" s="2" t="n">
        <v>26.0589283355648</v>
      </c>
      <c r="C889" s="2" t="n">
        <v>0</v>
      </c>
      <c r="D889" s="2" t="n">
        <v>26.0589283355648</v>
      </c>
    </row>
    <row r="890" customFormat="false" ht="13" hidden="false" customHeight="false" outlineLevel="0" collapsed="false">
      <c r="A890" s="2" t="n">
        <v>987</v>
      </c>
      <c r="B890" s="2" t="n">
        <v>0</v>
      </c>
      <c r="C890" s="2" t="n">
        <v>26.0753396894916</v>
      </c>
      <c r="D890" s="2" t="n">
        <v>26.0753396894916</v>
      </c>
    </row>
    <row r="891" customFormat="false" ht="13" hidden="false" customHeight="false" outlineLevel="0" collapsed="false">
      <c r="A891" s="2" t="n">
        <v>986</v>
      </c>
      <c r="B891" s="2" t="n">
        <v>0</v>
      </c>
      <c r="C891" s="2" t="n">
        <v>26.078397333102</v>
      </c>
      <c r="D891" s="2" t="n">
        <v>26.078397333102</v>
      </c>
    </row>
    <row r="892" customFormat="false" ht="13" hidden="false" customHeight="false" outlineLevel="0" collapsed="false">
      <c r="A892" s="2" t="n">
        <v>695</v>
      </c>
      <c r="B892" s="2" t="n">
        <v>26.1552507090777</v>
      </c>
      <c r="C892" s="2" t="n">
        <v>0</v>
      </c>
      <c r="D892" s="2" t="n">
        <v>26.1552507090777</v>
      </c>
    </row>
    <row r="893" customFormat="false" ht="13" hidden="false" customHeight="false" outlineLevel="0" collapsed="false">
      <c r="A893" s="2" t="n">
        <v>789</v>
      </c>
      <c r="B893" s="2" t="n">
        <v>26.1988377907169</v>
      </c>
      <c r="C893" s="2" t="n">
        <v>0</v>
      </c>
      <c r="D893" s="2" t="n">
        <v>26.1988377907169</v>
      </c>
    </row>
    <row r="894" customFormat="false" ht="13" hidden="false" customHeight="false" outlineLevel="0" collapsed="false">
      <c r="A894" s="2" t="n">
        <v>940</v>
      </c>
      <c r="B894" s="2" t="n">
        <v>0</v>
      </c>
      <c r="C894" s="2" t="n">
        <v>26.2530811606185</v>
      </c>
      <c r="D894" s="2" t="n">
        <v>26.2530811606185</v>
      </c>
    </row>
    <row r="895" customFormat="false" ht="13" hidden="false" customHeight="false" outlineLevel="0" collapsed="false">
      <c r="A895" s="2" t="n">
        <v>693</v>
      </c>
      <c r="B895" s="2" t="n">
        <v>26.3709817304468</v>
      </c>
      <c r="C895" s="2" t="n">
        <v>0</v>
      </c>
      <c r="D895" s="2" t="n">
        <v>26.3709817304468</v>
      </c>
    </row>
    <row r="896" customFormat="false" ht="13" hidden="false" customHeight="false" outlineLevel="0" collapsed="false">
      <c r="A896" s="2" t="n">
        <v>757</v>
      </c>
      <c r="B896" s="2" t="n">
        <v>26.4005899494608</v>
      </c>
      <c r="C896" s="2" t="n">
        <v>0</v>
      </c>
      <c r="D896" s="2" t="n">
        <v>26.4005899494608</v>
      </c>
    </row>
    <row r="897" customFormat="false" ht="13" hidden="false" customHeight="false" outlineLevel="0" collapsed="false">
      <c r="A897" s="2" t="n">
        <v>667</v>
      </c>
      <c r="B897" s="2" t="n">
        <v>26.4113129043707</v>
      </c>
      <c r="C897" s="2" t="n">
        <v>0</v>
      </c>
      <c r="D897" s="2" t="n">
        <v>26.4113129043707</v>
      </c>
    </row>
    <row r="898" customFormat="false" ht="13" hidden="false" customHeight="false" outlineLevel="0" collapsed="false">
      <c r="A898" s="2" t="n">
        <v>669</v>
      </c>
      <c r="B898" s="2" t="n">
        <v>26.4330178541763</v>
      </c>
      <c r="C898" s="2" t="n">
        <v>0</v>
      </c>
      <c r="D898" s="2" t="n">
        <v>26.4330178541763</v>
      </c>
    </row>
    <row r="899" customFormat="false" ht="13" hidden="false" customHeight="false" outlineLevel="0" collapsed="false">
      <c r="A899" s="2" t="n">
        <v>664</v>
      </c>
      <c r="B899" s="2" t="n">
        <v>26.4474118068481</v>
      </c>
      <c r="C899" s="2" t="n">
        <v>0</v>
      </c>
      <c r="D899" s="2" t="n">
        <v>26.4474118068481</v>
      </c>
    </row>
    <row r="900" customFormat="false" ht="13" hidden="false" customHeight="false" outlineLevel="0" collapsed="false">
      <c r="A900" s="2" t="n">
        <v>654</v>
      </c>
      <c r="B900" s="2" t="n">
        <v>26.4999772627591</v>
      </c>
      <c r="C900" s="2" t="n">
        <v>0</v>
      </c>
      <c r="D900" s="2" t="n">
        <v>26.4999772627591</v>
      </c>
    </row>
    <row r="901" customFormat="false" ht="13" hidden="false" customHeight="false" outlineLevel="0" collapsed="false">
      <c r="A901" s="2" t="n">
        <v>715</v>
      </c>
      <c r="B901" s="2" t="n">
        <v>26.5792795172554</v>
      </c>
      <c r="C901" s="2" t="n">
        <v>0</v>
      </c>
      <c r="D901" s="2" t="n">
        <v>26.5792795172554</v>
      </c>
    </row>
    <row r="902" customFormat="false" ht="13" hidden="false" customHeight="false" outlineLevel="0" collapsed="false">
      <c r="A902" s="2" t="n">
        <v>960</v>
      </c>
      <c r="B902" s="2" t="n">
        <v>0</v>
      </c>
      <c r="C902" s="2" t="n">
        <v>26.5987211508416</v>
      </c>
      <c r="D902" s="2" t="n">
        <v>26.5987211508416</v>
      </c>
    </row>
    <row r="903" customFormat="false" ht="13" hidden="false" customHeight="false" outlineLevel="0" collapsed="false">
      <c r="A903" s="2" t="n">
        <v>756</v>
      </c>
      <c r="B903" s="2" t="n">
        <v>26.6162542700579</v>
      </c>
      <c r="C903" s="2" t="n">
        <v>0</v>
      </c>
      <c r="D903" s="2" t="n">
        <v>26.6162542700579</v>
      </c>
    </row>
    <row r="904" customFormat="false" ht="13" hidden="false" customHeight="false" outlineLevel="0" collapsed="false">
      <c r="A904" s="2" t="n">
        <v>905</v>
      </c>
      <c r="B904" s="2" t="n">
        <v>0</v>
      </c>
      <c r="C904" s="2" t="n">
        <v>26.6527003810209</v>
      </c>
      <c r="D904" s="2" t="n">
        <v>26.6527003810209</v>
      </c>
    </row>
    <row r="905" customFormat="false" ht="13" hidden="false" customHeight="false" outlineLevel="0" collapsed="false">
      <c r="A905" s="2" t="n">
        <v>961</v>
      </c>
      <c r="B905" s="2" t="n">
        <v>0</v>
      </c>
      <c r="C905" s="2" t="n">
        <v>26.6582600418797</v>
      </c>
      <c r="D905" s="2" t="n">
        <v>26.6582600418797</v>
      </c>
    </row>
    <row r="906" customFormat="false" ht="13" hidden="false" customHeight="false" outlineLevel="0" collapsed="false">
      <c r="A906" s="2" t="n">
        <v>723</v>
      </c>
      <c r="B906" s="2" t="n">
        <v>26.6597148481169</v>
      </c>
      <c r="C906" s="2" t="n">
        <v>0</v>
      </c>
      <c r="D906" s="2" t="n">
        <v>26.6597148481169</v>
      </c>
    </row>
    <row r="907" customFormat="false" ht="13" hidden="false" customHeight="false" outlineLevel="0" collapsed="false">
      <c r="A907" s="2" t="n">
        <v>658</v>
      </c>
      <c r="B907" s="2" t="n">
        <v>26.6969235846344</v>
      </c>
      <c r="C907" s="2" t="n">
        <v>0</v>
      </c>
      <c r="D907" s="2" t="n">
        <v>26.6969235846344</v>
      </c>
    </row>
    <row r="908" customFormat="false" ht="13" hidden="false" customHeight="false" outlineLevel="0" collapsed="false">
      <c r="A908" s="2" t="n">
        <v>927</v>
      </c>
      <c r="B908" s="2" t="n">
        <v>0</v>
      </c>
      <c r="C908" s="2" t="n">
        <v>26.708695061556</v>
      </c>
      <c r="D908" s="2" t="n">
        <v>26.708695061556</v>
      </c>
    </row>
    <row r="909" customFormat="false" ht="13" hidden="false" customHeight="false" outlineLevel="0" collapsed="false">
      <c r="A909" s="2" t="n">
        <v>602</v>
      </c>
      <c r="B909" s="2" t="n">
        <v>26.8134749648299</v>
      </c>
      <c r="C909" s="2" t="n">
        <v>0</v>
      </c>
      <c r="D909" s="2" t="n">
        <v>26.8134749648299</v>
      </c>
    </row>
    <row r="910" customFormat="false" ht="13" hidden="false" customHeight="false" outlineLevel="0" collapsed="false">
      <c r="A910" s="2" t="n">
        <v>887</v>
      </c>
      <c r="B910" s="2" t="n">
        <v>0</v>
      </c>
      <c r="C910" s="2" t="n">
        <v>26.841820337995</v>
      </c>
      <c r="D910" s="2" t="n">
        <v>26.841820337995</v>
      </c>
    </row>
    <row r="911" customFormat="false" ht="13" hidden="false" customHeight="false" outlineLevel="0" collapsed="false">
      <c r="A911" s="2" t="n">
        <v>992</v>
      </c>
      <c r="B911" s="2" t="n">
        <v>0</v>
      </c>
      <c r="C911" s="2" t="n">
        <v>26.952316010455</v>
      </c>
      <c r="D911" s="2" t="n">
        <v>26.952316010455</v>
      </c>
    </row>
    <row r="912" customFormat="false" ht="13" hidden="false" customHeight="false" outlineLevel="0" collapsed="false">
      <c r="A912" s="2" t="n">
        <v>965</v>
      </c>
      <c r="B912" s="2" t="n">
        <v>0</v>
      </c>
      <c r="C912" s="2" t="n">
        <v>26.9557003077986</v>
      </c>
      <c r="D912" s="2" t="n">
        <v>26.9557003077986</v>
      </c>
    </row>
    <row r="913" customFormat="false" ht="13" hidden="false" customHeight="false" outlineLevel="0" collapsed="false">
      <c r="A913" s="2" t="n">
        <v>895</v>
      </c>
      <c r="B913" s="2" t="n">
        <v>0</v>
      </c>
      <c r="C913" s="2" t="n">
        <v>27.0093714778229</v>
      </c>
      <c r="D913" s="2" t="n">
        <v>27.0093714778229</v>
      </c>
    </row>
    <row r="914" customFormat="false" ht="13" hidden="false" customHeight="false" outlineLevel="0" collapsed="false">
      <c r="A914" s="2" t="n">
        <v>996</v>
      </c>
      <c r="B914" s="2" t="n">
        <v>0</v>
      </c>
      <c r="C914" s="2" t="n">
        <v>27.0392354176388</v>
      </c>
      <c r="D914" s="2" t="n">
        <v>27.0392354176388</v>
      </c>
    </row>
    <row r="915" customFormat="false" ht="13" hidden="false" customHeight="false" outlineLevel="0" collapsed="false">
      <c r="A915" s="2" t="n">
        <v>888</v>
      </c>
      <c r="B915" s="2" t="n">
        <v>0</v>
      </c>
      <c r="C915" s="2" t="n">
        <v>27.074063587462</v>
      </c>
      <c r="D915" s="2" t="n">
        <v>27.074063587462</v>
      </c>
    </row>
    <row r="916" customFormat="false" ht="13" hidden="false" customHeight="false" outlineLevel="0" collapsed="false">
      <c r="A916" s="2" t="n">
        <v>912</v>
      </c>
      <c r="B916" s="2" t="n">
        <v>0</v>
      </c>
      <c r="C916" s="2" t="n">
        <v>27.0821343900876</v>
      </c>
      <c r="D916" s="2" t="n">
        <v>27.0821343900876</v>
      </c>
    </row>
    <row r="917" customFormat="false" ht="13" hidden="false" customHeight="false" outlineLevel="0" collapsed="false">
      <c r="A917" s="2" t="n">
        <v>913</v>
      </c>
      <c r="B917" s="2" t="n">
        <v>0</v>
      </c>
      <c r="C917" s="2" t="n">
        <v>27.1031121905259</v>
      </c>
      <c r="D917" s="2" t="n">
        <v>27.1031121905259</v>
      </c>
    </row>
    <row r="918" customFormat="false" ht="13" hidden="false" customHeight="false" outlineLevel="0" collapsed="false">
      <c r="A918" s="2" t="n">
        <v>751</v>
      </c>
      <c r="B918" s="2" t="n">
        <v>27.1399381225526</v>
      </c>
      <c r="C918" s="2" t="n">
        <v>0</v>
      </c>
      <c r="D918" s="2" t="n">
        <v>27.1399381225526</v>
      </c>
    </row>
    <row r="919" customFormat="false" ht="13" hidden="false" customHeight="false" outlineLevel="0" collapsed="false">
      <c r="A919" s="2" t="n">
        <v>759</v>
      </c>
      <c r="B919" s="2" t="n">
        <v>27.1565098151282</v>
      </c>
      <c r="C919" s="2" t="n">
        <v>0</v>
      </c>
      <c r="D919" s="2" t="n">
        <v>27.1565098151282</v>
      </c>
    </row>
    <row r="920" customFormat="false" ht="13" hidden="false" customHeight="false" outlineLevel="0" collapsed="false">
      <c r="A920" s="2" t="n">
        <v>721</v>
      </c>
      <c r="B920" s="2" t="n">
        <v>27.1934994112613</v>
      </c>
      <c r="C920" s="2" t="n">
        <v>0</v>
      </c>
      <c r="D920" s="2" t="n">
        <v>27.1934994112613</v>
      </c>
    </row>
    <row r="921" customFormat="false" ht="13" hidden="false" customHeight="false" outlineLevel="0" collapsed="false">
      <c r="A921" s="2" t="n">
        <v>776</v>
      </c>
      <c r="B921" s="2" t="n">
        <v>27.2203959965426</v>
      </c>
      <c r="C921" s="2" t="n">
        <v>0</v>
      </c>
      <c r="D921" s="2" t="n">
        <v>27.2203959965426</v>
      </c>
    </row>
    <row r="922" customFormat="false" ht="13" hidden="false" customHeight="false" outlineLevel="0" collapsed="false">
      <c r="A922" s="2" t="n">
        <v>705</v>
      </c>
      <c r="B922" s="2" t="n">
        <v>27.2319287535138</v>
      </c>
      <c r="C922" s="2" t="n">
        <v>0</v>
      </c>
      <c r="D922" s="2" t="n">
        <v>27.2319287535138</v>
      </c>
    </row>
    <row r="923" customFormat="false" ht="13" hidden="false" customHeight="false" outlineLevel="0" collapsed="false">
      <c r="A923" s="2" t="n">
        <v>963</v>
      </c>
      <c r="B923" s="2" t="n">
        <v>0</v>
      </c>
      <c r="C923" s="2" t="n">
        <v>27.2725088691662</v>
      </c>
      <c r="D923" s="2" t="n">
        <v>27.2725088691662</v>
      </c>
    </row>
    <row r="924" customFormat="false" ht="13" hidden="false" customHeight="false" outlineLevel="0" collapsed="false">
      <c r="A924" s="2" t="n">
        <v>761</v>
      </c>
      <c r="B924" s="2" t="n">
        <v>27.2927342799984</v>
      </c>
      <c r="C924" s="2" t="n">
        <v>0</v>
      </c>
      <c r="D924" s="2" t="n">
        <v>27.2927342799984</v>
      </c>
    </row>
    <row r="925" customFormat="false" ht="13" hidden="false" customHeight="false" outlineLevel="0" collapsed="false">
      <c r="A925" s="2" t="n">
        <v>584</v>
      </c>
      <c r="B925" s="2" t="n">
        <v>27.3146073245953</v>
      </c>
      <c r="C925" s="2" t="n">
        <v>0</v>
      </c>
      <c r="D925" s="2" t="n">
        <v>27.3146073245953</v>
      </c>
    </row>
    <row r="926" customFormat="false" ht="13" hidden="false" customHeight="false" outlineLevel="0" collapsed="false">
      <c r="A926" s="2" t="n">
        <v>744</v>
      </c>
      <c r="B926" s="2" t="n">
        <v>27.3242867644259</v>
      </c>
      <c r="C926" s="2" t="n">
        <v>0</v>
      </c>
      <c r="D926" s="2" t="n">
        <v>27.3242867644259</v>
      </c>
    </row>
    <row r="927" customFormat="false" ht="13" hidden="false" customHeight="false" outlineLevel="0" collapsed="false">
      <c r="A927" s="2" t="n">
        <v>1000</v>
      </c>
      <c r="B927" s="2" t="n">
        <v>0</v>
      </c>
      <c r="C927" s="2" t="n">
        <v>27.3337957764236</v>
      </c>
      <c r="D927" s="2" t="n">
        <v>27.3337957764236</v>
      </c>
    </row>
    <row r="928" customFormat="false" ht="13" hidden="false" customHeight="false" outlineLevel="0" collapsed="false">
      <c r="A928" s="2" t="n">
        <v>899</v>
      </c>
      <c r="B928" s="2" t="n">
        <v>0</v>
      </c>
      <c r="C928" s="2" t="n">
        <v>27.3872237101594</v>
      </c>
      <c r="D928" s="2" t="n">
        <v>27.3872237101594</v>
      </c>
    </row>
    <row r="929" customFormat="false" ht="13" hidden="false" customHeight="false" outlineLevel="0" collapsed="false">
      <c r="A929" s="2" t="n">
        <v>988</v>
      </c>
      <c r="B929" s="2" t="n">
        <v>0</v>
      </c>
      <c r="C929" s="2" t="n">
        <v>27.4492929939088</v>
      </c>
      <c r="D929" s="2" t="n">
        <v>27.4492929939088</v>
      </c>
    </row>
    <row r="930" customFormat="false" ht="13" hidden="false" customHeight="false" outlineLevel="0" collapsed="false">
      <c r="A930" s="2" t="n">
        <v>993</v>
      </c>
      <c r="B930" s="2" t="n">
        <v>0</v>
      </c>
      <c r="C930" s="2" t="n">
        <v>27.4870484427008</v>
      </c>
      <c r="D930" s="2" t="n">
        <v>27.4870484427008</v>
      </c>
    </row>
    <row r="931" customFormat="false" ht="13" hidden="false" customHeight="false" outlineLevel="0" collapsed="false">
      <c r="A931" s="2" t="n">
        <v>655</v>
      </c>
      <c r="B931" s="2" t="n">
        <v>27.5184638236893</v>
      </c>
      <c r="C931" s="2" t="n">
        <v>0</v>
      </c>
      <c r="D931" s="2" t="n">
        <v>27.5184638236893</v>
      </c>
    </row>
    <row r="932" customFormat="false" ht="13" hidden="false" customHeight="false" outlineLevel="0" collapsed="false">
      <c r="A932" s="2" t="n">
        <v>916</v>
      </c>
      <c r="B932" s="2" t="n">
        <v>0</v>
      </c>
      <c r="C932" s="2" t="n">
        <v>27.5625967108462</v>
      </c>
      <c r="D932" s="2" t="n">
        <v>27.5625967108462</v>
      </c>
    </row>
    <row r="933" customFormat="false" ht="13" hidden="false" customHeight="false" outlineLevel="0" collapsed="false">
      <c r="A933" s="2" t="n">
        <v>941</v>
      </c>
      <c r="B933" s="2" t="n">
        <v>0</v>
      </c>
      <c r="C933" s="2" t="n">
        <v>27.58425872045</v>
      </c>
      <c r="D933" s="2" t="n">
        <v>27.58425872045</v>
      </c>
    </row>
    <row r="934" customFormat="false" ht="13" hidden="false" customHeight="false" outlineLevel="0" collapsed="false">
      <c r="A934" s="2" t="n">
        <v>738</v>
      </c>
      <c r="B934" s="2" t="n">
        <v>27.6460453864521</v>
      </c>
      <c r="C934" s="2" t="n">
        <v>0</v>
      </c>
      <c r="D934" s="2" t="n">
        <v>27.6460453864521</v>
      </c>
    </row>
    <row r="935" customFormat="false" ht="13" hidden="false" customHeight="false" outlineLevel="0" collapsed="false">
      <c r="A935" s="2" t="n">
        <v>752</v>
      </c>
      <c r="B935" s="2" t="n">
        <v>27.6974939711212</v>
      </c>
      <c r="C935" s="2" t="n">
        <v>0</v>
      </c>
      <c r="D935" s="2" t="n">
        <v>27.6974939711212</v>
      </c>
    </row>
    <row r="936" customFormat="false" ht="13" hidden="false" customHeight="false" outlineLevel="0" collapsed="false">
      <c r="A936" s="2" t="n">
        <v>662</v>
      </c>
      <c r="B936" s="2" t="n">
        <v>27.7909230492876</v>
      </c>
      <c r="C936" s="2" t="n">
        <v>0</v>
      </c>
      <c r="D936" s="2" t="n">
        <v>27.7909230492876</v>
      </c>
    </row>
    <row r="937" customFormat="false" ht="13" hidden="false" customHeight="false" outlineLevel="0" collapsed="false">
      <c r="A937" s="2" t="n">
        <v>596</v>
      </c>
      <c r="B937" s="2" t="n">
        <v>27.8172491539564</v>
      </c>
      <c r="C937" s="2" t="n">
        <v>0</v>
      </c>
      <c r="D937" s="2" t="n">
        <v>27.8172491539564</v>
      </c>
    </row>
    <row r="938" customFormat="false" ht="13" hidden="false" customHeight="false" outlineLevel="0" collapsed="false">
      <c r="A938" s="2" t="n">
        <v>787</v>
      </c>
      <c r="B938" s="2" t="n">
        <v>27.8212276125569</v>
      </c>
      <c r="C938" s="2" t="n">
        <v>0</v>
      </c>
      <c r="D938" s="2" t="n">
        <v>27.8212276125569</v>
      </c>
    </row>
    <row r="939" customFormat="false" ht="13" hidden="false" customHeight="false" outlineLevel="0" collapsed="false">
      <c r="A939" s="2" t="n">
        <v>713</v>
      </c>
      <c r="B939" s="2" t="n">
        <v>27.9179434296206</v>
      </c>
      <c r="C939" s="2" t="n">
        <v>0</v>
      </c>
      <c r="D939" s="2" t="n">
        <v>27.9179434296206</v>
      </c>
    </row>
    <row r="940" customFormat="false" ht="13" hidden="false" customHeight="false" outlineLevel="0" collapsed="false">
      <c r="A940" s="2" t="n">
        <v>781</v>
      </c>
      <c r="B940" s="2" t="n">
        <v>27.9334734944102</v>
      </c>
      <c r="C940" s="2" t="n">
        <v>0</v>
      </c>
      <c r="D940" s="2" t="n">
        <v>27.9334734944102</v>
      </c>
    </row>
    <row r="941" customFormat="false" ht="13" hidden="false" customHeight="false" outlineLevel="0" collapsed="false">
      <c r="A941" s="2" t="n">
        <v>989</v>
      </c>
      <c r="B941" s="2" t="n">
        <v>0</v>
      </c>
      <c r="C941" s="2" t="n">
        <v>27.9428977991563</v>
      </c>
      <c r="D941" s="2" t="n">
        <v>27.9428977991563</v>
      </c>
    </row>
    <row r="942" customFormat="false" ht="13" hidden="false" customHeight="false" outlineLevel="0" collapsed="false">
      <c r="A942" s="2" t="n">
        <v>889</v>
      </c>
      <c r="B942" s="2" t="n">
        <v>0</v>
      </c>
      <c r="C942" s="2" t="n">
        <v>27.9606521317515</v>
      </c>
      <c r="D942" s="2" t="n">
        <v>27.9606521317515</v>
      </c>
    </row>
    <row r="943" customFormat="false" ht="13" hidden="false" customHeight="false" outlineLevel="0" collapsed="false">
      <c r="A943" s="2" t="n">
        <v>690</v>
      </c>
      <c r="B943" s="2" t="n">
        <v>28.0527983869284</v>
      </c>
      <c r="C943" s="2" t="n">
        <v>0</v>
      </c>
      <c r="D943" s="2" t="n">
        <v>28.0527983869284</v>
      </c>
    </row>
    <row r="944" customFormat="false" ht="13" hidden="false" customHeight="false" outlineLevel="0" collapsed="false">
      <c r="A944" s="2" t="n">
        <v>997</v>
      </c>
      <c r="B944" s="2" t="n">
        <v>0</v>
      </c>
      <c r="C944" s="2" t="n">
        <v>28.1293798792085</v>
      </c>
      <c r="D944" s="2" t="n">
        <v>28.1293798792085</v>
      </c>
    </row>
    <row r="945" customFormat="false" ht="13" hidden="false" customHeight="false" outlineLevel="0" collapsed="false">
      <c r="A945" s="2" t="n">
        <v>725</v>
      </c>
      <c r="B945" s="2" t="n">
        <v>28.1296241404415</v>
      </c>
      <c r="C945" s="2" t="n">
        <v>0</v>
      </c>
      <c r="D945" s="2" t="n">
        <v>28.1296241404415</v>
      </c>
    </row>
    <row r="946" customFormat="false" ht="13" hidden="false" customHeight="false" outlineLevel="0" collapsed="false">
      <c r="A946" s="2" t="n">
        <v>763</v>
      </c>
      <c r="B946" s="2" t="n">
        <v>28.1594703136227</v>
      </c>
      <c r="C946" s="2" t="n">
        <v>0</v>
      </c>
      <c r="D946" s="2" t="n">
        <v>28.1594703136227</v>
      </c>
    </row>
    <row r="947" customFormat="false" ht="13" hidden="false" customHeight="false" outlineLevel="0" collapsed="false">
      <c r="A947" s="2" t="n">
        <v>733</v>
      </c>
      <c r="B947" s="2" t="n">
        <v>28.1596100958296</v>
      </c>
      <c r="C947" s="2" t="n">
        <v>0</v>
      </c>
      <c r="D947" s="2" t="n">
        <v>28.1596100958296</v>
      </c>
    </row>
    <row r="948" customFormat="false" ht="13" hidden="false" customHeight="false" outlineLevel="0" collapsed="false">
      <c r="A948" s="2" t="n">
        <v>994</v>
      </c>
      <c r="B948" s="2" t="n">
        <v>0</v>
      </c>
      <c r="C948" s="2" t="n">
        <v>28.1669647546867</v>
      </c>
      <c r="D948" s="2" t="n">
        <v>28.1669647546867</v>
      </c>
    </row>
    <row r="949" customFormat="false" ht="13" hidden="false" customHeight="false" outlineLevel="0" collapsed="false">
      <c r="A949" s="2" t="n">
        <v>918</v>
      </c>
      <c r="B949" s="2" t="n">
        <v>0</v>
      </c>
      <c r="C949" s="2" t="n">
        <v>28.2032601722548</v>
      </c>
      <c r="D949" s="2" t="n">
        <v>28.2032601722548</v>
      </c>
    </row>
    <row r="950" customFormat="false" ht="13" hidden="false" customHeight="false" outlineLevel="0" collapsed="false">
      <c r="A950" s="2" t="n">
        <v>732</v>
      </c>
      <c r="B950" s="2" t="n">
        <v>28.3406369853624</v>
      </c>
      <c r="C950" s="2" t="n">
        <v>0</v>
      </c>
      <c r="D950" s="2" t="n">
        <v>28.3406369853624</v>
      </c>
    </row>
    <row r="951" customFormat="false" ht="13" hidden="false" customHeight="false" outlineLevel="0" collapsed="false">
      <c r="A951" s="2" t="n">
        <v>670</v>
      </c>
      <c r="B951" s="2" t="n">
        <v>28.3528962695401</v>
      </c>
      <c r="C951" s="2" t="n">
        <v>0</v>
      </c>
      <c r="D951" s="2" t="n">
        <v>28.3528962695401</v>
      </c>
    </row>
    <row r="952" customFormat="false" ht="13" hidden="false" customHeight="false" outlineLevel="0" collapsed="false">
      <c r="A952" s="2" t="n">
        <v>945</v>
      </c>
      <c r="B952" s="2" t="n">
        <v>0</v>
      </c>
      <c r="C952" s="2" t="n">
        <v>28.4437589356642</v>
      </c>
      <c r="D952" s="2" t="n">
        <v>28.4437589356642</v>
      </c>
    </row>
    <row r="953" customFormat="false" ht="13" hidden="false" customHeight="false" outlineLevel="0" collapsed="false">
      <c r="A953" s="2" t="n">
        <v>784</v>
      </c>
      <c r="B953" s="2" t="n">
        <v>28.4639528099353</v>
      </c>
      <c r="C953" s="2" t="n">
        <v>0</v>
      </c>
      <c r="D953" s="2" t="n">
        <v>28.4639528099353</v>
      </c>
    </row>
    <row r="954" customFormat="false" ht="13" hidden="false" customHeight="false" outlineLevel="0" collapsed="false">
      <c r="A954" s="2" t="n">
        <v>950</v>
      </c>
      <c r="B954" s="2" t="n">
        <v>0</v>
      </c>
      <c r="C954" s="2" t="n">
        <v>28.6274458805669</v>
      </c>
      <c r="D954" s="2" t="n">
        <v>28.6274458805669</v>
      </c>
    </row>
    <row r="955" customFormat="false" ht="13" hidden="false" customHeight="false" outlineLevel="0" collapsed="false">
      <c r="A955" s="2" t="n">
        <v>585</v>
      </c>
      <c r="B955" s="2" t="n">
        <v>28.6322768762179</v>
      </c>
      <c r="C955" s="2" t="n">
        <v>0</v>
      </c>
      <c r="D955" s="2" t="n">
        <v>28.6322768762179</v>
      </c>
    </row>
    <row r="956" customFormat="false" ht="13" hidden="false" customHeight="false" outlineLevel="0" collapsed="false">
      <c r="A956" s="2" t="n">
        <v>772</v>
      </c>
      <c r="B956" s="2" t="n">
        <v>28.7104330742759</v>
      </c>
      <c r="C956" s="2" t="n">
        <v>0</v>
      </c>
      <c r="D956" s="2" t="n">
        <v>28.7104330742759</v>
      </c>
    </row>
    <row r="957" customFormat="false" ht="13" hidden="false" customHeight="false" outlineLevel="0" collapsed="false">
      <c r="A957" s="2" t="n">
        <v>745</v>
      </c>
      <c r="B957" s="2" t="n">
        <v>28.7124590847368</v>
      </c>
      <c r="C957" s="2" t="n">
        <v>0</v>
      </c>
      <c r="D957" s="2" t="n">
        <v>28.7124590847368</v>
      </c>
    </row>
    <row r="958" customFormat="false" ht="13" hidden="false" customHeight="false" outlineLevel="0" collapsed="false">
      <c r="A958" s="2" t="n">
        <v>771</v>
      </c>
      <c r="B958" s="2" t="n">
        <v>28.8054875868863</v>
      </c>
      <c r="C958" s="2" t="n">
        <v>0</v>
      </c>
      <c r="D958" s="2" t="n">
        <v>28.8054875868863</v>
      </c>
    </row>
    <row r="959" customFormat="false" ht="13" hidden="false" customHeight="false" outlineLevel="0" collapsed="false">
      <c r="A959" s="2" t="n">
        <v>735</v>
      </c>
      <c r="B959" s="2" t="n">
        <v>28.8055089517941</v>
      </c>
      <c r="C959" s="2" t="n">
        <v>0</v>
      </c>
      <c r="D959" s="2" t="n">
        <v>28.8055089517941</v>
      </c>
    </row>
    <row r="960" customFormat="false" ht="13" hidden="false" customHeight="false" outlineLevel="0" collapsed="false">
      <c r="A960" s="2" t="n">
        <v>691</v>
      </c>
      <c r="B960" s="2" t="n">
        <v>28.931637265979</v>
      </c>
      <c r="C960" s="2" t="n">
        <v>0</v>
      </c>
      <c r="D960" s="2" t="n">
        <v>28.931637265979</v>
      </c>
    </row>
    <row r="961" customFormat="false" ht="13" hidden="false" customHeight="false" outlineLevel="0" collapsed="false">
      <c r="A961" s="2" t="n">
        <v>914</v>
      </c>
      <c r="B961" s="2" t="n">
        <v>0</v>
      </c>
      <c r="C961" s="2" t="n">
        <v>29.058582783145</v>
      </c>
      <c r="D961" s="2" t="n">
        <v>29.058582783145</v>
      </c>
    </row>
    <row r="962" customFormat="false" ht="13" hidden="false" customHeight="false" outlineLevel="0" collapsed="false">
      <c r="A962" s="2" t="n">
        <v>777</v>
      </c>
      <c r="B962" s="2" t="n">
        <v>29.1097561915061</v>
      </c>
      <c r="C962" s="2" t="n">
        <v>0</v>
      </c>
      <c r="D962" s="2" t="n">
        <v>29.1097561915061</v>
      </c>
    </row>
    <row r="963" customFormat="false" ht="13" hidden="false" customHeight="false" outlineLevel="0" collapsed="false">
      <c r="A963" s="2" t="n">
        <v>680</v>
      </c>
      <c r="B963" s="2" t="n">
        <v>29.117708430673</v>
      </c>
      <c r="C963" s="2" t="n">
        <v>0</v>
      </c>
      <c r="D963" s="2" t="n">
        <v>29.117708430673</v>
      </c>
    </row>
    <row r="964" customFormat="false" ht="13" hidden="false" customHeight="false" outlineLevel="0" collapsed="false">
      <c r="A964" s="2" t="n">
        <v>765</v>
      </c>
      <c r="B964" s="2" t="n">
        <v>29.2086369120419</v>
      </c>
      <c r="C964" s="2" t="n">
        <v>0</v>
      </c>
      <c r="D964" s="2" t="n">
        <v>29.2086369120419</v>
      </c>
    </row>
    <row r="965" customFormat="false" ht="13" hidden="false" customHeight="false" outlineLevel="0" collapsed="false">
      <c r="A965" s="2" t="n">
        <v>892</v>
      </c>
      <c r="B965" s="2" t="n">
        <v>0</v>
      </c>
      <c r="C965" s="2" t="n">
        <v>29.2555368058239</v>
      </c>
      <c r="D965" s="2" t="n">
        <v>29.2555368058239</v>
      </c>
    </row>
    <row r="966" customFormat="false" ht="13" hidden="false" customHeight="false" outlineLevel="0" collapsed="false">
      <c r="A966" s="2" t="n">
        <v>890</v>
      </c>
      <c r="B966" s="2" t="n">
        <v>0</v>
      </c>
      <c r="C966" s="2" t="n">
        <v>29.3033772875364</v>
      </c>
      <c r="D966" s="2" t="n">
        <v>29.3033772875364</v>
      </c>
    </row>
    <row r="967" customFormat="false" ht="13" hidden="false" customHeight="false" outlineLevel="0" collapsed="false">
      <c r="A967" s="2" t="n">
        <v>785</v>
      </c>
      <c r="B967" s="2" t="n">
        <v>29.3133448459778</v>
      </c>
      <c r="C967" s="2" t="n">
        <v>0</v>
      </c>
      <c r="D967" s="2" t="n">
        <v>29.3133448459778</v>
      </c>
    </row>
    <row r="968" customFormat="false" ht="13" hidden="false" customHeight="false" outlineLevel="0" collapsed="false">
      <c r="A968" s="2" t="n">
        <v>942</v>
      </c>
      <c r="B968" s="2" t="n">
        <v>0</v>
      </c>
      <c r="C968" s="2" t="n">
        <v>29.3922744240315</v>
      </c>
      <c r="D968" s="2" t="n">
        <v>29.3922744240315</v>
      </c>
    </row>
    <row r="969" customFormat="false" ht="13" hidden="false" customHeight="false" outlineLevel="0" collapsed="false">
      <c r="A969" s="2" t="n">
        <v>686</v>
      </c>
      <c r="B969" s="2" t="n">
        <v>29.4271371038956</v>
      </c>
      <c r="C969" s="2" t="n">
        <v>0</v>
      </c>
      <c r="D969" s="2" t="n">
        <v>29.4271371038956</v>
      </c>
    </row>
    <row r="970" customFormat="false" ht="13" hidden="false" customHeight="false" outlineLevel="0" collapsed="false">
      <c r="A970" s="2" t="n">
        <v>946</v>
      </c>
      <c r="B970" s="2" t="n">
        <v>0</v>
      </c>
      <c r="C970" s="2" t="n">
        <v>29.4323304890776</v>
      </c>
      <c r="D970" s="2" t="n">
        <v>29.4323304890776</v>
      </c>
    </row>
    <row r="971" customFormat="false" ht="13" hidden="false" customHeight="false" outlineLevel="0" collapsed="false">
      <c r="A971" s="2" t="n">
        <v>739</v>
      </c>
      <c r="B971" s="2" t="n">
        <v>29.5241257720431</v>
      </c>
      <c r="C971" s="2" t="n">
        <v>0</v>
      </c>
      <c r="D971" s="2" t="n">
        <v>29.5241257720431</v>
      </c>
    </row>
    <row r="972" customFormat="false" ht="13" hidden="false" customHeight="false" outlineLevel="0" collapsed="false">
      <c r="A972" s="2" t="n">
        <v>598</v>
      </c>
      <c r="B972" s="2" t="n">
        <v>29.5241508048459</v>
      </c>
      <c r="C972" s="2" t="n">
        <v>0</v>
      </c>
      <c r="D972" s="2" t="n">
        <v>29.5241508048459</v>
      </c>
    </row>
    <row r="973" customFormat="false" ht="13" hidden="false" customHeight="false" outlineLevel="0" collapsed="false">
      <c r="A973" s="2" t="n">
        <v>587</v>
      </c>
      <c r="B973" s="2" t="n">
        <v>29.667600381029</v>
      </c>
      <c r="C973" s="2" t="n">
        <v>0</v>
      </c>
      <c r="D973" s="2" t="n">
        <v>29.667600381029</v>
      </c>
    </row>
    <row r="974" customFormat="false" ht="13" hidden="false" customHeight="false" outlineLevel="0" collapsed="false">
      <c r="A974" s="2" t="n">
        <v>592</v>
      </c>
      <c r="B974" s="2" t="n">
        <v>29.7401034558013</v>
      </c>
      <c r="C974" s="2" t="n">
        <v>0</v>
      </c>
      <c r="D974" s="2" t="n">
        <v>29.7401034558013</v>
      </c>
    </row>
    <row r="975" customFormat="false" ht="13" hidden="false" customHeight="false" outlineLevel="0" collapsed="false">
      <c r="A975" s="2" t="n">
        <v>957</v>
      </c>
      <c r="B975" s="2" t="n">
        <v>0</v>
      </c>
      <c r="C975" s="2" t="n">
        <v>29.7731250490541</v>
      </c>
      <c r="D975" s="2" t="n">
        <v>29.7731250490541</v>
      </c>
    </row>
    <row r="976" customFormat="false" ht="13" hidden="false" customHeight="false" outlineLevel="0" collapsed="false">
      <c r="A976" s="2" t="n">
        <v>586</v>
      </c>
      <c r="B976" s="2" t="n">
        <v>29.8764535599261</v>
      </c>
      <c r="C976" s="2" t="n">
        <v>0</v>
      </c>
      <c r="D976" s="2" t="n">
        <v>29.8764535599261</v>
      </c>
    </row>
    <row r="977" customFormat="false" ht="13" hidden="false" customHeight="false" outlineLevel="0" collapsed="false">
      <c r="A977" s="2" t="n">
        <v>688</v>
      </c>
      <c r="B977" s="2" t="n">
        <v>29.8916945377409</v>
      </c>
      <c r="C977" s="2" t="n">
        <v>0</v>
      </c>
      <c r="D977" s="2" t="n">
        <v>29.8916945377409</v>
      </c>
    </row>
    <row r="978" customFormat="false" ht="13" hidden="false" customHeight="false" outlineLevel="0" collapsed="false">
      <c r="A978" s="2" t="n">
        <v>922</v>
      </c>
      <c r="B978" s="2" t="n">
        <v>0</v>
      </c>
      <c r="C978" s="2" t="n">
        <v>29.9209708761961</v>
      </c>
      <c r="D978" s="2" t="n">
        <v>29.9209708761961</v>
      </c>
    </row>
    <row r="979" customFormat="false" ht="13" hidden="false" customHeight="false" outlineLevel="0" collapsed="false">
      <c r="A979" s="2" t="n">
        <v>919</v>
      </c>
      <c r="B979" s="2" t="n">
        <v>0</v>
      </c>
      <c r="C979" s="2" t="n">
        <v>30.0068616875867</v>
      </c>
      <c r="D979" s="2" t="n">
        <v>30.0068616875867</v>
      </c>
    </row>
    <row r="980" customFormat="false" ht="13" hidden="false" customHeight="false" outlineLevel="0" collapsed="false">
      <c r="A980" s="2" t="n">
        <v>730</v>
      </c>
      <c r="B980" s="2" t="n">
        <v>30.0805724356303</v>
      </c>
      <c r="C980" s="2" t="n">
        <v>0</v>
      </c>
      <c r="D980" s="2" t="n">
        <v>30.0805724356303</v>
      </c>
    </row>
    <row r="981" customFormat="false" ht="13" hidden="false" customHeight="false" outlineLevel="0" collapsed="false">
      <c r="A981" s="2" t="n">
        <v>671</v>
      </c>
      <c r="B981" s="2" t="n">
        <v>30.0851550083506</v>
      </c>
      <c r="C981" s="2" t="n">
        <v>0</v>
      </c>
      <c r="D981" s="2" t="n">
        <v>30.0851550083506</v>
      </c>
    </row>
    <row r="982" customFormat="false" ht="13" hidden="false" customHeight="false" outlineLevel="0" collapsed="false">
      <c r="A982" s="2" t="n">
        <v>948</v>
      </c>
      <c r="B982" s="2" t="n">
        <v>0</v>
      </c>
      <c r="C982" s="2" t="n">
        <v>30.1272143757884</v>
      </c>
      <c r="D982" s="2" t="n">
        <v>30.1272143757884</v>
      </c>
    </row>
    <row r="983" customFormat="false" ht="13" hidden="false" customHeight="false" outlineLevel="0" collapsed="false">
      <c r="A983" s="2" t="n">
        <v>726</v>
      </c>
      <c r="B983" s="2" t="n">
        <v>30.253742084787</v>
      </c>
      <c r="C983" s="2" t="n">
        <v>0</v>
      </c>
      <c r="D983" s="2" t="n">
        <v>30.253742084787</v>
      </c>
    </row>
    <row r="984" customFormat="false" ht="13" hidden="false" customHeight="false" outlineLevel="0" collapsed="false">
      <c r="A984" s="2" t="n">
        <v>590</v>
      </c>
      <c r="B984" s="2" t="n">
        <v>30.3025417966393</v>
      </c>
      <c r="C984" s="2" t="n">
        <v>0</v>
      </c>
      <c r="D984" s="2" t="n">
        <v>30.3025417966393</v>
      </c>
    </row>
    <row r="985" customFormat="false" ht="13" hidden="false" customHeight="false" outlineLevel="0" collapsed="false">
      <c r="A985" s="2" t="n">
        <v>951</v>
      </c>
      <c r="B985" s="2" t="n">
        <v>0</v>
      </c>
      <c r="C985" s="2" t="n">
        <v>30.3641193726562</v>
      </c>
      <c r="D985" s="2" t="n">
        <v>30.3641193726562</v>
      </c>
    </row>
    <row r="986" customFormat="false" ht="13" hidden="false" customHeight="false" outlineLevel="0" collapsed="false">
      <c r="A986" s="2" t="n">
        <v>589</v>
      </c>
      <c r="B986" s="2" t="n">
        <v>30.513958539649</v>
      </c>
      <c r="C986" s="2" t="n">
        <v>0</v>
      </c>
      <c r="D986" s="2" t="n">
        <v>30.513958539649</v>
      </c>
    </row>
    <row r="987" customFormat="false" ht="13" hidden="false" customHeight="false" outlineLevel="0" collapsed="false">
      <c r="A987" s="2" t="n">
        <v>681</v>
      </c>
      <c r="B987" s="2" t="n">
        <v>30.5734933564743</v>
      </c>
      <c r="C987" s="2" t="n">
        <v>0</v>
      </c>
      <c r="D987" s="2" t="n">
        <v>30.5734933564743</v>
      </c>
    </row>
    <row r="988" customFormat="false" ht="13" hidden="false" customHeight="false" outlineLevel="0" collapsed="false">
      <c r="A988" s="2" t="n">
        <v>740</v>
      </c>
      <c r="B988" s="2" t="n">
        <v>30.6525975420728</v>
      </c>
      <c r="C988" s="2" t="n">
        <v>0</v>
      </c>
      <c r="D988" s="2" t="n">
        <v>30.6525975420728</v>
      </c>
    </row>
    <row r="989" customFormat="false" ht="13" hidden="false" customHeight="false" outlineLevel="0" collapsed="false">
      <c r="A989" s="2" t="n">
        <v>920</v>
      </c>
      <c r="B989" s="2" t="n">
        <v>0</v>
      </c>
      <c r="C989" s="2" t="n">
        <v>30.6646154956217</v>
      </c>
      <c r="D989" s="2" t="n">
        <v>30.6646154956217</v>
      </c>
    </row>
    <row r="990" customFormat="false" ht="13" hidden="false" customHeight="false" outlineLevel="0" collapsed="false">
      <c r="A990" s="2" t="n">
        <v>677</v>
      </c>
      <c r="B990" s="2" t="n">
        <v>30.8057995410378</v>
      </c>
      <c r="C990" s="2" t="n">
        <v>0</v>
      </c>
      <c r="D990" s="2" t="n">
        <v>30.8057995410378</v>
      </c>
    </row>
    <row r="991" customFormat="false" ht="13" hidden="false" customHeight="false" outlineLevel="0" collapsed="false">
      <c r="A991" s="2" t="n">
        <v>947</v>
      </c>
      <c r="B991" s="2" t="n">
        <v>0</v>
      </c>
      <c r="C991" s="2" t="n">
        <v>30.9695226400185</v>
      </c>
      <c r="D991" s="2" t="n">
        <v>30.9695226400185</v>
      </c>
    </row>
    <row r="992" customFormat="false" ht="13" hidden="false" customHeight="false" outlineLevel="0" collapsed="false">
      <c r="A992" s="2" t="n">
        <v>599</v>
      </c>
      <c r="B992" s="2" t="n">
        <v>31.0286384065203</v>
      </c>
      <c r="C992" s="2" t="n">
        <v>0</v>
      </c>
      <c r="D992" s="2" t="n">
        <v>31.0286384065203</v>
      </c>
    </row>
    <row r="993" customFormat="false" ht="13" hidden="false" customHeight="false" outlineLevel="0" collapsed="false">
      <c r="A993" s="2" t="n">
        <v>766</v>
      </c>
      <c r="B993" s="2" t="n">
        <v>31.0888705007226</v>
      </c>
      <c r="C993" s="2" t="n">
        <v>0</v>
      </c>
      <c r="D993" s="2" t="n">
        <v>31.0888705007226</v>
      </c>
    </row>
    <row r="994" customFormat="false" ht="13" hidden="false" customHeight="false" outlineLevel="0" collapsed="false">
      <c r="A994" s="2" t="n">
        <v>672</v>
      </c>
      <c r="B994" s="2" t="n">
        <v>31.2742696094391</v>
      </c>
      <c r="C994" s="2" t="n">
        <v>0</v>
      </c>
      <c r="D994" s="2" t="n">
        <v>31.2742696094391</v>
      </c>
    </row>
    <row r="995" customFormat="false" ht="13" hidden="false" customHeight="false" outlineLevel="0" collapsed="false">
      <c r="A995" s="2" t="n">
        <v>954</v>
      </c>
      <c r="B995" s="2" t="n">
        <v>0</v>
      </c>
      <c r="C995" s="2" t="n">
        <v>31.4337126337795</v>
      </c>
      <c r="D995" s="2" t="n">
        <v>31.4337126337795</v>
      </c>
    </row>
    <row r="996" customFormat="false" ht="13" hidden="false" customHeight="false" outlineLevel="0" collapsed="false">
      <c r="A996" s="2" t="n">
        <v>956</v>
      </c>
      <c r="B996" s="2" t="n">
        <v>0</v>
      </c>
      <c r="C996" s="2" t="n">
        <v>31.5976422493322</v>
      </c>
      <c r="D996" s="2" t="n">
        <v>31.5976422493322</v>
      </c>
    </row>
    <row r="997" customFormat="false" ht="13" hidden="false" customHeight="false" outlineLevel="0" collapsed="false">
      <c r="A997" s="2" t="n">
        <v>953</v>
      </c>
      <c r="B997" s="2" t="n">
        <v>0</v>
      </c>
      <c r="C997" s="2" t="n">
        <v>31.6240946961431</v>
      </c>
      <c r="D997" s="2" t="n">
        <v>31.6240946961431</v>
      </c>
    </row>
    <row r="998" customFormat="false" ht="13" hidden="false" customHeight="false" outlineLevel="0" collapsed="false">
      <c r="A998" s="2" t="n">
        <v>678</v>
      </c>
      <c r="B998" s="2" t="n">
        <v>31.9891952515344</v>
      </c>
      <c r="C998" s="2" t="n">
        <v>0</v>
      </c>
      <c r="D998" s="2" t="n">
        <v>31.9891952515344</v>
      </c>
    </row>
    <row r="999" customFormat="false" ht="13" hidden="false" customHeight="false" outlineLevel="0" collapsed="false">
      <c r="A999" s="2" t="n">
        <v>767</v>
      </c>
      <c r="B999" s="2" t="n">
        <v>32.7467330130663</v>
      </c>
      <c r="C999" s="2" t="n">
        <v>0</v>
      </c>
      <c r="D999" s="2" t="n">
        <v>32.7467330130663</v>
      </c>
    </row>
    <row r="1000" customFormat="false" ht="13" hidden="false" customHeight="false" outlineLevel="0" collapsed="false">
      <c r="A1000" s="2" t="n">
        <v>673</v>
      </c>
      <c r="B1000" s="2" t="n">
        <v>32.9918914750109</v>
      </c>
      <c r="C1000" s="2" t="n">
        <v>0</v>
      </c>
      <c r="D1000" s="2" t="n">
        <v>32.9918914750109</v>
      </c>
    </row>
    <row r="1001" customFormat="false" ht="13" hidden="false" customHeight="false" outlineLevel="0" collapsed="false">
      <c r="A1001" s="2" t="n">
        <v>674</v>
      </c>
      <c r="B1001" s="2" t="n">
        <v>34.8154992834706</v>
      </c>
      <c r="C1001" s="2" t="n">
        <v>0</v>
      </c>
      <c r="D1001" s="2" t="n">
        <v>34.8154992834706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2000-08-24T01:41:25Z</dcterms:created>
  <dc:creator>David Levinson</dc:creator>
  <dc:description/>
  <dc:language>en-AU</dc:language>
  <cp:lastModifiedBy>David Levinson</cp:lastModifiedBy>
  <cp:revision>0</cp:revision>
  <dc:subject/>
  <dc:title/>
</cp:coreProperties>
</file>